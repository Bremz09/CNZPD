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SamB\CNZPD\pages\CdA Testing\"/>
    </mc:Choice>
  </mc:AlternateContent>
  <xr:revisionPtr revIDLastSave="0" documentId="13_ncr:1_{FD847507-D332-435F-84E8-DC4DF16E4DE0}" xr6:coauthVersionLast="47" xr6:coauthVersionMax="47" xr10:uidLastSave="{00000000-0000-0000-0000-000000000000}"/>
  <bookViews>
    <workbookView xWindow="-98" yWindow="-98" windowWidth="19396" windowHeight="11475" xr2:uid="{00000000-000D-0000-FFFF-FFFF00000000}"/>
  </bookViews>
  <sheets>
    <sheet name="CdA Track Testing" sheetId="12" r:id="rId1"/>
  </sheets>
  <externalReferences>
    <externalReference r:id="rId2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42" i="12" l="1"/>
  <c r="R341" i="12"/>
  <c r="AY36" i="12"/>
  <c r="AY35" i="12"/>
  <c r="AY33" i="12"/>
  <c r="AY31" i="12"/>
  <c r="AY30" i="12"/>
  <c r="AY29" i="12"/>
  <c r="AY28" i="12"/>
  <c r="AY27" i="12"/>
  <c r="AY26" i="12"/>
  <c r="AY19" i="12"/>
  <c r="AY18" i="12"/>
  <c r="AY17" i="12"/>
  <c r="AY16" i="12"/>
  <c r="AY15" i="12"/>
  <c r="AY14" i="12"/>
  <c r="AY12" i="12"/>
  <c r="AY11" i="12"/>
  <c r="AY9" i="12"/>
  <c r="AY8" i="12"/>
  <c r="AY7" i="12"/>
  <c r="AY6" i="12"/>
  <c r="AY4" i="12"/>
  <c r="AY3" i="12"/>
</calcChain>
</file>

<file path=xl/sharedStrings.xml><?xml version="1.0" encoding="utf-8"?>
<sst xmlns="http://schemas.openxmlformats.org/spreadsheetml/2006/main" count="3575" uniqueCount="630">
  <si>
    <t>Squad</t>
  </si>
  <si>
    <t>Name</t>
  </si>
  <si>
    <t>Date</t>
  </si>
  <si>
    <t>Rep</t>
  </si>
  <si>
    <t>Power</t>
  </si>
  <si>
    <t>Distance (m)</t>
  </si>
  <si>
    <t>Helmet</t>
  </si>
  <si>
    <t>System weight (kg)</t>
  </si>
  <si>
    <t>Tyre pressure</t>
  </si>
  <si>
    <t>Gear</t>
  </si>
  <si>
    <t>Crr</t>
  </si>
  <si>
    <t>Temp</t>
  </si>
  <si>
    <t>Humidity</t>
  </si>
  <si>
    <t>ME</t>
  </si>
  <si>
    <t>Aaron Gate</t>
  </si>
  <si>
    <t>Le Col</t>
  </si>
  <si>
    <t>BT</t>
  </si>
  <si>
    <t>Campbell Stewart</t>
  </si>
  <si>
    <t>24.7</t>
  </si>
  <si>
    <t>24.8</t>
  </si>
  <si>
    <t>24.5</t>
  </si>
  <si>
    <t>24.6</t>
  </si>
  <si>
    <t>Baseline</t>
  </si>
  <si>
    <t>Bont</t>
  </si>
  <si>
    <t>George Jackson</t>
  </si>
  <si>
    <t>Keegan Hornblow</t>
  </si>
  <si>
    <t>Nick Kergozou</t>
  </si>
  <si>
    <t>24.4</t>
  </si>
  <si>
    <t>Tom Sexton</t>
  </si>
  <si>
    <t>24.9</t>
  </si>
  <si>
    <t>Video</t>
  </si>
  <si>
    <t>Position</t>
  </si>
  <si>
    <t>CdA - Notio</t>
  </si>
  <si>
    <t>Speed</t>
  </si>
  <si>
    <t>Bike</t>
  </si>
  <si>
    <t>Wheels</t>
  </si>
  <si>
    <t>Cranks</t>
  </si>
  <si>
    <t>Rider weight</t>
  </si>
  <si>
    <t>Bike weight</t>
  </si>
  <si>
    <t>Mechanical efficeincy</t>
  </si>
  <si>
    <t>Air pressure</t>
  </si>
  <si>
    <t>Air density</t>
  </si>
  <si>
    <t>Wheel diameter</t>
  </si>
  <si>
    <t>WE</t>
  </si>
  <si>
    <t>Ally Wollaston</t>
  </si>
  <si>
    <t>Bryony Botha</t>
  </si>
  <si>
    <t>Sami Donnelly</t>
  </si>
  <si>
    <t>Giro</t>
  </si>
  <si>
    <t>Avanti TP M</t>
  </si>
  <si>
    <t>SPA</t>
  </si>
  <si>
    <t>CdA - JP</t>
  </si>
  <si>
    <t>Calibration factor</t>
  </si>
  <si>
    <t>Notio Power Meter Calibration</t>
  </si>
  <si>
    <t xml:space="preserve">Low stack bracket </t>
  </si>
  <si>
    <t>Bracket angle (deg)</t>
  </si>
  <si>
    <t>Plate (width - mm)</t>
  </si>
  <si>
    <t>Spacers (height) - mm</t>
  </si>
  <si>
    <t>Pad c-c (mm)</t>
  </si>
  <si>
    <t xml:space="preserve">Grip (angle - deg) </t>
  </si>
  <si>
    <t>Frame Size</t>
  </si>
  <si>
    <t>Seat Height (mm). Measured @120 Behind Saddle Tip</t>
  </si>
  <si>
    <t>Seat Angle (Deg Down)</t>
  </si>
  <si>
    <t>Set Back (mm)</t>
  </si>
  <si>
    <t>Height-&gt;180cm?</t>
  </si>
  <si>
    <t>BB Centre-Pad (mm)</t>
  </si>
  <si>
    <t>BB Centre Ext Tip (mm)</t>
  </si>
  <si>
    <t>Pad Drop (mm) Mesured from 120mm Saddle Point</t>
  </si>
  <si>
    <t>Ext Tip Width (mm)</t>
  </si>
  <si>
    <t>10cm Rule. Pass-Fail?</t>
  </si>
  <si>
    <t>Pad Width (mm)</t>
  </si>
  <si>
    <t>Spacers (mm)</t>
  </si>
  <si>
    <t>Cranks (mm)</t>
  </si>
  <si>
    <t>Crank Asset Tag ID</t>
  </si>
  <si>
    <t>Saddle</t>
  </si>
  <si>
    <t>Front of pads 180cm behind extension tip. Pass-Fail</t>
  </si>
  <si>
    <t>Pad Angle &lt;30deg. Pass-Fail</t>
  </si>
  <si>
    <t>Comments</t>
  </si>
  <si>
    <t>Avanti TP L</t>
  </si>
  <si>
    <t>PM9</t>
  </si>
  <si>
    <t>Emily Shearman</t>
  </si>
  <si>
    <t>CB - increase in CdA in last lap so used first 2 laps for GM data</t>
  </si>
  <si>
    <t>CB - First lap CdA a bit low so take last 2 laps on GM data</t>
  </si>
  <si>
    <t>CB - noisy CdA data; laps were 0.1732, 0.1698, 0.1758</t>
  </si>
  <si>
    <t>CB - last lap increases CdA so used first 2 laps in GM data</t>
  </si>
  <si>
    <t>CB - last lap increased CdA but pace was similar. Used all 3 laps for GM data but each lap CdA's were: 0.1701, 0.1688, 0.1757</t>
  </si>
  <si>
    <t>Fatigue Current Bar extensions</t>
  </si>
  <si>
    <t>Long</t>
  </si>
  <si>
    <t>CB - pace slowing 0.1 sec each lap so used first 2 laps GM data</t>
  </si>
  <si>
    <t>Clogger not turned on</t>
  </si>
  <si>
    <t>B5</t>
  </si>
  <si>
    <t>Notio not turned on</t>
  </si>
  <si>
    <t>CB - last lap big drop in CdA and power so use 2 lap data</t>
  </si>
  <si>
    <t>CB - drop in CdA in final lap so take first 2 laps of GM data</t>
  </si>
  <si>
    <t>A4</t>
  </si>
  <si>
    <t>CB - No PM9 data seemed to be recorded. Re-run at the end as Rep 9</t>
  </si>
  <si>
    <t>CB - Lap 2 seems high CdA for some reason, so take first and last lap in GM data</t>
  </si>
  <si>
    <t>CB - Larger increase in CdA in last lap so take first 2 laps in GM data</t>
  </si>
  <si>
    <t>CB - Last lap CdA and power drops so use first 2 laps of GM data only</t>
  </si>
  <si>
    <t>Fatigue Current Bar Extensions</t>
  </si>
  <si>
    <t>Michaela Drummond</t>
  </si>
  <si>
    <t>?speed drop out NOTIO (JR); CB - Only did 2 laps by mistake so GM data is 2 laps</t>
  </si>
  <si>
    <t>CB - Seems pace and power drops in last lap so used first 2 laps GM data.</t>
  </si>
  <si>
    <t>CB - Coming off the pace across whole effort. Used first 2 lap GM data.</t>
  </si>
  <si>
    <t>CB - Drop in pace and power and increase in CdA in last lap. Take first 2 laps of GM data</t>
  </si>
  <si>
    <t>CB - CdA up and down each lap</t>
  </si>
  <si>
    <t>CB - Drop in pace and power and CdA in last lap. CdA up and down in the rep. Take first 2 laps of GM data</t>
  </si>
  <si>
    <t>CB - Increase in CdA in last lap with similar lap split. Use first 2 laps of GM data</t>
  </si>
  <si>
    <t>https://youtu.be/D6qup2DIskU</t>
  </si>
  <si>
    <t>https://youtu.be/PHDEtqLDCG0</t>
  </si>
  <si>
    <t>https://youtu.be/r-wbWAyNnEc</t>
  </si>
  <si>
    <t>https://youtu.be/dtIolu62rCU</t>
  </si>
  <si>
    <t>https://youtu.be/4-0HZ0Wd49g</t>
  </si>
  <si>
    <t>https://youtu.be/53Q_C3LnnNw</t>
  </si>
  <si>
    <t>https://youtu.be/c9e0F2nAMW4</t>
  </si>
  <si>
    <t>https://youtu.be/Fab97inuCMc</t>
  </si>
  <si>
    <t>https://youtu.be/puq1tLHwbXc</t>
  </si>
  <si>
    <t>https://youtu.be/S3_xHwSvyYQ</t>
  </si>
  <si>
    <t>https://youtu.be/7TxEaSYc-0A</t>
  </si>
  <si>
    <t>https://youtu.be/rQEkfPod1sc</t>
  </si>
  <si>
    <t>https://youtu.be/PP45mY0dSi4</t>
  </si>
  <si>
    <t>https://youtu.be/3A9qcXxwWmE</t>
  </si>
  <si>
    <t>https://youtu.be/ju0mVWywI3I</t>
  </si>
  <si>
    <t>https://youtu.be/TAR_sGhH2aE</t>
  </si>
  <si>
    <t>https://youtu.be/5aRFAp_2Wuw</t>
  </si>
  <si>
    <t>https://youtu.be/kDnMTqWW1bk</t>
  </si>
  <si>
    <t>https://youtu.be/9zzzfdZTMjI</t>
  </si>
  <si>
    <t>https://youtu.be/r0g7KjsdmYc</t>
  </si>
  <si>
    <t>https://youtu.be/vWRRqvFVyNE</t>
  </si>
  <si>
    <t>https://youtu.be/6VclkoTp5oo</t>
  </si>
  <si>
    <t>https://youtu.be/gnF3uhics2o</t>
  </si>
  <si>
    <t>https://youtu.be/g1gMEmqbx1M</t>
  </si>
  <si>
    <t>https://youtu.be/lTlkbY3VYrI</t>
  </si>
  <si>
    <t>https://youtu.be/wy_tQCUqvEE</t>
  </si>
  <si>
    <t>https://youtu.be/p5OOaP7BKpw</t>
  </si>
  <si>
    <t>https://youtu.be/a7jzNHzeLXM</t>
  </si>
  <si>
    <t>https://youtu.be/L20vyeRmgjo</t>
  </si>
  <si>
    <t>https://youtu.be/5uxzBraIhJ8</t>
  </si>
  <si>
    <t>https://youtu.be/SEHaW7Ms2T0</t>
  </si>
  <si>
    <t>https://youtu.be/eGw6GCAoL94</t>
  </si>
  <si>
    <t>https://youtu.be/bLE1dPY9uiY</t>
  </si>
  <si>
    <t>https://youtu.be/XjQcJ-wsPv8</t>
  </si>
  <si>
    <t>https://youtu.be/ZyehVvHyGTQ</t>
  </si>
  <si>
    <t>https://youtu.be/G4T72CgMTmU</t>
  </si>
  <si>
    <t>https://youtu.be/eDEbGenHN60</t>
  </si>
  <si>
    <t>https://youtu.be/WtAhZpT16DM</t>
  </si>
  <si>
    <t>https://youtu.be/H_YxGf1YsB4</t>
  </si>
  <si>
    <t>https://youtu.be/pbMecRJBRSQ</t>
  </si>
  <si>
    <t>https://youtu.be/XKj9pbywDxQ</t>
  </si>
  <si>
    <t>https://youtu.be/BjaiVOxwrgU</t>
  </si>
  <si>
    <t>https://youtu.be/iIlYKg-WkxQ</t>
  </si>
  <si>
    <t>https://youtu.be/cojrMVQBjOA</t>
  </si>
  <si>
    <t>https://youtu.be/UB9XqIe3MgE</t>
  </si>
  <si>
    <t>https://youtu.be/UaJWNFUVP3c</t>
  </si>
  <si>
    <t>https://youtu.be/NAsu87NWRgs</t>
  </si>
  <si>
    <t>https://youtu.be/Kz6sh-Zfl9c</t>
  </si>
  <si>
    <t>https://youtu.be/ntKbXdKtAcc</t>
  </si>
  <si>
    <t>https://youtu.be/rFaPUQO6-h4</t>
  </si>
  <si>
    <t>https://youtu.be/YUWDrUDVIY8</t>
  </si>
  <si>
    <t>https://youtu.be/Ehk13luFY8A</t>
  </si>
  <si>
    <t>https://youtu.be/VDZ9OQZJups</t>
  </si>
  <si>
    <t>https://youtu.be/l0ykZOXzV6M</t>
  </si>
  <si>
    <t>https://youtu.be/GX2_mORq1vQ</t>
  </si>
  <si>
    <t>https://youtu.be/3NgeAzBkwYw</t>
  </si>
  <si>
    <t>https://youtu.be/8P3rWmh0-WQ</t>
  </si>
  <si>
    <t>https://youtu.be/AbYWhpCp8N4</t>
  </si>
  <si>
    <t>https://youtu.be/_4K77C3QMoQ</t>
  </si>
  <si>
    <t>https://youtu.be/dAnh1AUgaf0</t>
  </si>
  <si>
    <t>https://youtu.be/YNoSLyXms_M</t>
  </si>
  <si>
    <t>https://youtu.be/zALaTu1HPjQ</t>
  </si>
  <si>
    <t>https://youtu.be/MA8L7LwnRus</t>
  </si>
  <si>
    <t>https://youtu.be/GGq6wTxULOs</t>
  </si>
  <si>
    <t>https://youtu.be/U9rofBt7rEs</t>
  </si>
  <si>
    <t>https://youtu.be/wPF5Y8Z1I1s</t>
  </si>
  <si>
    <t>https://youtu.be/KCirxqiNg0A</t>
  </si>
  <si>
    <t>https://youtu.be/yHFJwyPznik</t>
  </si>
  <si>
    <t>https://youtu.be/zkDzSQwnj4I</t>
  </si>
  <si>
    <t>https://youtu.be/pEfoZYCeJ_s</t>
  </si>
  <si>
    <t>https://youtu.be/O_m5eoXMRoo</t>
  </si>
  <si>
    <t>https://youtu.be/GR9uN3LMpAs</t>
  </si>
  <si>
    <t>https://youtu.be/rCntnEgATvo</t>
  </si>
  <si>
    <t>https://youtu.be/cSoPxcjolRg</t>
  </si>
  <si>
    <t>https://youtu.be/hD4kdng5HsM</t>
  </si>
  <si>
    <t>https://youtu.be/_GHb-Og_gS8</t>
  </si>
  <si>
    <t>https://youtu.be/wbt49JXASEU</t>
  </si>
  <si>
    <t>https://youtu.be/bF6ucGNoRiQ</t>
  </si>
  <si>
    <t>https://youtu.be/s0do8D-8Udw</t>
  </si>
  <si>
    <t>https://youtu.be/5stHYvz4_J4</t>
  </si>
  <si>
    <t>https://youtu.be/N9m2HIJa16k</t>
  </si>
  <si>
    <t>https://youtu.be/0nZDeK0yvqE</t>
  </si>
  <si>
    <t>https://youtu.be/rDYjantxfG8</t>
  </si>
  <si>
    <t>https://youtu.be/7YS7Wm0oQd8</t>
  </si>
  <si>
    <t>https://youtu.be/M1cLzjRuapQ</t>
  </si>
  <si>
    <t>https://youtu.be/Wc9UqnpKeBE</t>
  </si>
  <si>
    <t>https://youtu.be/ibcqALPdMsw</t>
  </si>
  <si>
    <t>https://youtu.be/IRdzERTOUwg</t>
  </si>
  <si>
    <t>https://youtu.be/JNEFJ-0mDls</t>
  </si>
  <si>
    <t>https://youtu.be/CePGrtdggsM</t>
  </si>
  <si>
    <t>https://youtu.be/bHND6odhbOY</t>
  </si>
  <si>
    <t>https://youtu.be/0LxxiWMMC0I</t>
  </si>
  <si>
    <t>https://youtu.be/XeyvBLEKyRc</t>
  </si>
  <si>
    <t>https://youtu.be/SaacsrTJ5kM</t>
  </si>
  <si>
    <t>https://youtu.be/-25mlwkxL0c</t>
  </si>
  <si>
    <t>https://youtu.be/cNebqSIw528</t>
  </si>
  <si>
    <t>https://youtu.be/-UA5mWzEQ5k</t>
  </si>
  <si>
    <t>https://youtu.be/qop5eu9uYeM</t>
  </si>
  <si>
    <t>https://youtu.be/uwedk0qQfcQ</t>
  </si>
  <si>
    <t>https://youtu.be/8Ju853Y8MLw</t>
  </si>
  <si>
    <t>https://youtu.be/nvclfAD1jNM</t>
  </si>
  <si>
    <t>https://youtu.be/CKMHYanYR8g</t>
  </si>
  <si>
    <t>CdA - JP std</t>
  </si>
  <si>
    <t>Nicole Shields</t>
  </si>
  <si>
    <t>24</t>
  </si>
  <si>
    <t>Target CB</t>
  </si>
  <si>
    <t>FW - A</t>
  </si>
  <si>
    <t>FW - B</t>
  </si>
  <si>
    <t>FW - A (Narrow)</t>
  </si>
  <si>
    <t>A1/P10</t>
  </si>
  <si>
    <t>FW - B (Wide)</t>
  </si>
  <si>
    <t>Target CB Medium Frame</t>
  </si>
  <si>
    <t>Campbell Stewart Bunch</t>
  </si>
  <si>
    <t>Bunch Pos 1</t>
  </si>
  <si>
    <t>Bunch Pos A (Long)</t>
  </si>
  <si>
    <t>Bunch Pos B (Narrow)</t>
  </si>
  <si>
    <t>Mistral (L)</t>
  </si>
  <si>
    <t>Avanti TP XL</t>
  </si>
  <si>
    <t>No Clogger</t>
  </si>
  <si>
    <t>https://youtu.be/rQ1_mt0VukY</t>
  </si>
  <si>
    <t>https://youtu.be/IxRBbR0rD-Y</t>
  </si>
  <si>
    <t>https://youtu.be/sFEtDl-_KmE</t>
  </si>
  <si>
    <t>https://youtu.be/grCxsWm12kI</t>
  </si>
  <si>
    <t>https://youtu.be/IYIex8nfmhU</t>
  </si>
  <si>
    <t>https://youtu.be/cwDRscMayVg</t>
  </si>
  <si>
    <t>https://youtu.be/WmeDK57VT7k</t>
  </si>
  <si>
    <t>https://youtu.be/4ROSTmgDiLs</t>
  </si>
  <si>
    <t>https://youtu.be/9aSJ3HRRJgE</t>
  </si>
  <si>
    <t>https://youtu.be/-14HOnhCmcc</t>
  </si>
  <si>
    <t>https://youtu.be/hWa4FfOU9gM</t>
  </si>
  <si>
    <t>https://youtu.be/1BwmURpApsk</t>
  </si>
  <si>
    <t>https://youtu.be/zwj8eIOZtFg</t>
  </si>
  <si>
    <t>https://youtu.be/8JZjLajhO_Y</t>
  </si>
  <si>
    <t>https://youtu.be/EWUexW8uOIQ</t>
  </si>
  <si>
    <t>https://youtu.be/IXoDWpen-Qw</t>
  </si>
  <si>
    <t>https://youtu.be/uTTkSZYCHrE</t>
  </si>
  <si>
    <t>https://youtu.be/G-XNN3dw7kA</t>
  </si>
  <si>
    <t>https://youtu.be/waJcq8TRv3I</t>
  </si>
  <si>
    <t>https://youtu.be/uSatXSLUSGM</t>
  </si>
  <si>
    <t>https://youtu.be/NnVUNB2X9t0</t>
  </si>
  <si>
    <t>https://youtu.be/YnhEa9adShk</t>
  </si>
  <si>
    <t>https://youtu.be/zZ2_QAlpsu0</t>
  </si>
  <si>
    <t>https://youtu.be/ynTCI17OGK0</t>
  </si>
  <si>
    <t>https://youtu.be/KB58SgJjsSc</t>
  </si>
  <si>
    <t>https://youtu.be/Jfr0IGiwpX8</t>
  </si>
  <si>
    <t>https://youtu.be/1CQaf_cmx1A</t>
  </si>
  <si>
    <t>https://youtu.be/9Cpb-dg0LYg</t>
  </si>
  <si>
    <t>https://youtu.be/VvgBAobvyVY</t>
  </si>
  <si>
    <t>https://youtu.be/ufQSy-R3CvU</t>
  </si>
  <si>
    <t>https://youtu.be/5F-CLynz6Zs</t>
  </si>
  <si>
    <t>https://youtu.be/_9bd_XbxB_c</t>
  </si>
  <si>
    <t>https://youtu.be/it95vOfr7nA</t>
  </si>
  <si>
    <t>https://youtu.be/AjlMpddOFSw</t>
  </si>
  <si>
    <t>https://youtu.be/9tYURP_r46w</t>
  </si>
  <si>
    <t>https://youtu.be/vVZIloW-soo</t>
  </si>
  <si>
    <t>https://youtu.be/MlzUaZVqOXM</t>
  </si>
  <si>
    <t>https://youtu.be/qIBJVrCDpok</t>
  </si>
  <si>
    <t>https://youtu.be/w6FCq6PRvjo</t>
  </si>
  <si>
    <t>https://youtu.be/9xF7u5k5Lok</t>
  </si>
  <si>
    <t>https://youtu.be/mrBzHktO7mo</t>
  </si>
  <si>
    <t>https://youtu.be/g7v13oWpJZA</t>
  </si>
  <si>
    <t>https://youtu.be/Uk8ktwls074</t>
  </si>
  <si>
    <t>https://youtu.be/PHgQnph5rPM</t>
  </si>
  <si>
    <t>https://youtu.be/VXNx_b1EvmM</t>
  </si>
  <si>
    <t>https://youtu.be/I0CcC2KDfWQ</t>
  </si>
  <si>
    <t>https://youtu.be/UCBmJARwBMY</t>
  </si>
  <si>
    <t>https://youtu.be/qkSqE_z-N4M</t>
  </si>
  <si>
    <t>https://youtu.be/dpBOeriSqpc</t>
  </si>
  <si>
    <t>https://youtu.be/FePK-7jNZHw</t>
  </si>
  <si>
    <t>https://youtu.be/XA7sxB8d8xg</t>
  </si>
  <si>
    <t>https://youtu.be/-kxqzqS729A</t>
  </si>
  <si>
    <t>https://youtu.be/8074fxgqneY</t>
  </si>
  <si>
    <t>https://youtu.be/ICQSRQ0fULc</t>
  </si>
  <si>
    <t>https://youtu.be/OWcKTOi4d1g</t>
  </si>
  <si>
    <t>https://youtu.be/jDUA6LMtRjM</t>
  </si>
  <si>
    <t>https://youtu.be/e1lTWotQwyE</t>
  </si>
  <si>
    <t>https://youtu.be/DSyQgINM0sU</t>
  </si>
  <si>
    <t>https://youtu.be/S7VDAEZnElM</t>
  </si>
  <si>
    <t>https://youtu.be/n9SAXXuk1z4</t>
  </si>
  <si>
    <t>https://youtu.be/RFDJWpvoXV4</t>
  </si>
  <si>
    <t>https://youtu.be/7Y0NBsmQww0</t>
  </si>
  <si>
    <t>https://youtu.be/zOS0DCPaevI</t>
  </si>
  <si>
    <t>https://youtu.be/w0yiaNPvkKw</t>
  </si>
  <si>
    <t>https://youtu.be/9DZPQW_H5pE</t>
  </si>
  <si>
    <t>https://youtu.be/CqDCslw9skM</t>
  </si>
  <si>
    <t>https://youtu.be/s7wUWLfbKoQ</t>
  </si>
  <si>
    <t>https://youtu.be/1ObS4y-Xjec</t>
  </si>
  <si>
    <t>https://youtu.be/pyzv3gCVftg</t>
  </si>
  <si>
    <t>https://youtu.be/GyjcEi2cyCc</t>
  </si>
  <si>
    <t>https://youtu.be/DWITm3O8wT0</t>
  </si>
  <si>
    <t>https://youtu.be/2YVGOEaSoqg</t>
  </si>
  <si>
    <t>https://youtu.be/SsdcNmy8hr0</t>
  </si>
  <si>
    <t>https://youtu.be/bWnrqUYs5_w</t>
  </si>
  <si>
    <t>https://youtu.be/NIV5qzlN6Rk</t>
  </si>
  <si>
    <t>https://youtu.be/vS2OsSPcPQY</t>
  </si>
  <si>
    <t>https://youtu.be/ghXonaDvc68</t>
  </si>
  <si>
    <t>https://youtu.be/oT9YADUemlU</t>
  </si>
  <si>
    <t>https://youtu.be/fLuP3_klp9I</t>
  </si>
  <si>
    <t>https://youtu.be/AKrG_vcPakM</t>
  </si>
  <si>
    <t>https://youtu.be/hWys5FWGnME</t>
  </si>
  <si>
    <t>https://youtu.be/BZj-mYb7zx4</t>
  </si>
  <si>
    <t>https://youtu.be/tYCQW5JX11U</t>
  </si>
  <si>
    <t>https://youtu.be/GWSNTsx_bvA</t>
  </si>
  <si>
    <t>https://youtu.be/XyabRxSIets</t>
  </si>
  <si>
    <t>https://youtu.be/890AqxGbXDE</t>
  </si>
  <si>
    <t>https://youtu.be/-vw1wRyHnCc</t>
  </si>
  <si>
    <t>https://youtu.be/G5XbGIvJ_kU</t>
  </si>
  <si>
    <t>https://youtu.be/febYfmU9iLE</t>
  </si>
  <si>
    <t>https://youtu.be/rh0Z-DmE0dU</t>
  </si>
  <si>
    <t>https://youtu.be/Y6GlwG3xRjM</t>
  </si>
  <si>
    <t>https://youtu.be/OuNSxXsAiyg</t>
  </si>
  <si>
    <t>https://youtu.be/xmWNyIIZTK0</t>
  </si>
  <si>
    <t>https://youtu.be/k-OYup6bnRA</t>
  </si>
  <si>
    <t>https://youtu.be/rw_1fcXfKh0</t>
  </si>
  <si>
    <t>https://youtu.be/lscRxlkgXuE</t>
  </si>
  <si>
    <t>https://youtu.be/-3KZnuomlgw</t>
  </si>
  <si>
    <t>https://youtu.be/-XaDYUZr88g</t>
  </si>
  <si>
    <t>https://youtu.be/JsPpKAhLoRY</t>
  </si>
  <si>
    <t>https://youtu.be/YmDxwdeFvvc</t>
  </si>
  <si>
    <t>https://youtu.be/te_Be4Hx9_w</t>
  </si>
  <si>
    <t>https://youtu.be/rajSdmmxJ4I</t>
  </si>
  <si>
    <t>https://youtu.be/krP_1J3_Its</t>
  </si>
  <si>
    <t>A1_T0.5/P15</t>
  </si>
  <si>
    <t>Evo Pro (M)</t>
  </si>
  <si>
    <t>A1_T1/P10</t>
  </si>
  <si>
    <t>A1_T1/P15</t>
  </si>
  <si>
    <t>Mitti (007)</t>
  </si>
  <si>
    <t>https://youtu.be/JmxzKEp_9ag</t>
  </si>
  <si>
    <t>https://youtu.be/xV2KYK3VIjQ</t>
  </si>
  <si>
    <t>https://youtu.be/8-u3e_sc0-I</t>
  </si>
  <si>
    <t>https://youtu.be/vOIUBRep3SU</t>
  </si>
  <si>
    <t>https://youtu.be/GVx-DBwFP4E</t>
  </si>
  <si>
    <t>https://youtu.be/u3U3SM8U1ds</t>
  </si>
  <si>
    <t>https://youtu.be/EhSRp4zsL0E</t>
  </si>
  <si>
    <t>https://youtu.be/ydKW0D8AupI</t>
  </si>
  <si>
    <t>https://youtu.be/XXuOuKAQb4Y</t>
  </si>
  <si>
    <t>https://youtu.be/lw8EQH882pU</t>
  </si>
  <si>
    <t>https://youtu.be/3zBUUP8d7Ww</t>
  </si>
  <si>
    <t>https://youtu.be/FFANJXPUGdI</t>
  </si>
  <si>
    <t>https://youtu.be/kq1TuIJIxSs</t>
  </si>
  <si>
    <t>https://youtu.be/T9muzDcE3gc</t>
  </si>
  <si>
    <t>https://youtu.be/FlO_JT6LbnQ</t>
  </si>
  <si>
    <t>https://youtu.be/al3SBPBgeAw</t>
  </si>
  <si>
    <t>https://youtu.be/_SxDVeHjKJU</t>
  </si>
  <si>
    <t>https://youtu.be/AW7eVEVKa60</t>
  </si>
  <si>
    <t>https://youtu.be/OhasA8Jhlbk</t>
  </si>
  <si>
    <t>Baseline Pos 1</t>
  </si>
  <si>
    <t>B5_VP</t>
  </si>
  <si>
    <t>https://youtu.be/wel8YuB-dhc</t>
  </si>
  <si>
    <t>https://youtu.be/aX3QIF9xkEU</t>
  </si>
  <si>
    <t>https://youtu.be/fhlj6pLELAQ</t>
  </si>
  <si>
    <t>https://youtu.be/i77g7a4v3uQ</t>
  </si>
  <si>
    <t>https://youtu.be/LLemKbwLGVk</t>
  </si>
  <si>
    <t>https://youtu.be/ZhAxDU7_x44</t>
  </si>
  <si>
    <t>https://youtu.be/LC-2ow61E7g</t>
  </si>
  <si>
    <t>https://youtu.be/j7WTScnPxvo</t>
  </si>
  <si>
    <t>https://youtu.be/EW6SjiQ1OtA</t>
  </si>
  <si>
    <t>https://youtu.be/8MNdMyZPjjY</t>
  </si>
  <si>
    <t>https://youtu.be/4cxJRZJfzeQ</t>
  </si>
  <si>
    <t>https://youtu.be/rSfMknZxqNI</t>
  </si>
  <si>
    <t>https://youtu.be/_AqOxwTDako</t>
  </si>
  <si>
    <t>https://youtu.be/gAglEClIV8w</t>
  </si>
  <si>
    <t>https://youtu.be/oZLI8DjNuD8</t>
  </si>
  <si>
    <t>https://youtu.be/7suwfUqiaCQ</t>
  </si>
  <si>
    <t>https://youtu.be/nwnaycmrWiE</t>
  </si>
  <si>
    <t>https://youtu.be/RiIimjXnndw</t>
  </si>
  <si>
    <t>https://youtu.be/-4TDKW443Tk</t>
  </si>
  <si>
    <t>https://youtu.be/MVW6qF68XV8</t>
  </si>
  <si>
    <t>https://youtu.be/FylSfp486eg</t>
  </si>
  <si>
    <t>https://youtu.be/KfJCdOKBGYY</t>
  </si>
  <si>
    <t>https://youtu.be/htEQi9emq4w</t>
  </si>
  <si>
    <t>Evo Pro (L)</t>
  </si>
  <si>
    <t>WS</t>
  </si>
  <si>
    <t xml:space="preserve">Ellesse Andrews </t>
  </si>
  <si>
    <t>Pos 1</t>
  </si>
  <si>
    <t>Used last 2 half laps for CdA. Ignored first half lap (Low CdA with moto push)</t>
  </si>
  <si>
    <t>Ally Wollaston Bunch</t>
  </si>
  <si>
    <t>https://youtu.be/J5AfPjvfTA0</t>
  </si>
  <si>
    <t>https://youtu.be/1zdo7vIwjbw</t>
  </si>
  <si>
    <t>https://youtu.be/-2ubSXej1bk</t>
  </si>
  <si>
    <t>https://youtu.be/oTcN4Qw88oA</t>
  </si>
  <si>
    <t>https://youtu.be/79iBC_0fNt4</t>
  </si>
  <si>
    <t>https://youtu.be/OEZESUIuA7k</t>
  </si>
  <si>
    <t>https://youtu.be/7muLO-l1o2Y</t>
  </si>
  <si>
    <t>https://youtu.be/Pgf8agS8XOM</t>
  </si>
  <si>
    <t>https://youtu.be/R19hWe0LwnY</t>
  </si>
  <si>
    <t>https://youtu.be/Z3TToVI7Buw</t>
  </si>
  <si>
    <t>https://youtu.be/Nu5N9Ddowjs</t>
  </si>
  <si>
    <t>https://youtu.be/HFYICwidmFs</t>
  </si>
  <si>
    <t>https://youtu.be/WIdUEitHJAQ</t>
  </si>
  <si>
    <t>https://youtu.be/kZb5L4g8ThA</t>
  </si>
  <si>
    <t>https://youtu.be/PVP3g2whHQY</t>
  </si>
  <si>
    <t>https://youtu.be/_-9e8UaGqJU</t>
  </si>
  <si>
    <t>https://youtu.be/akiPhCLKdMo</t>
  </si>
  <si>
    <t>https://youtu.be/1ABU1ZuQQzU</t>
  </si>
  <si>
    <t>https://youtu.be/qTF3XygHx2U</t>
  </si>
  <si>
    <t>https://youtu.be/May5-S10jaQ</t>
  </si>
  <si>
    <t>https://youtu.be/lX9lfzyfIU0</t>
  </si>
  <si>
    <t>https://youtu.be/jFKiKcYDPh0</t>
  </si>
  <si>
    <t>https://youtu.be/jsU_EdGGeL4</t>
  </si>
  <si>
    <t>https://youtu.be/EcqT9DziyBE</t>
  </si>
  <si>
    <t>https://youtu.be/tK1ms7ukr6k</t>
  </si>
  <si>
    <t>https://youtu.be/FnUpyKN8yJQ</t>
  </si>
  <si>
    <t>https://youtu.be/okDxMumnYrY</t>
  </si>
  <si>
    <t>https://youtu.be/HCVVwt1JDsQ</t>
  </si>
  <si>
    <t>https://youtu.be/o7XuY6EPHYU</t>
  </si>
  <si>
    <t>https://youtu.be/gJlkUnRPzv8</t>
  </si>
  <si>
    <t>https://youtu.be/LeTA0Mbg6tE</t>
  </si>
  <si>
    <t>https://youtu.be/b0EPD5_ibe8</t>
  </si>
  <si>
    <t>https://youtu.be/JzquxV1txKo</t>
  </si>
  <si>
    <t>https://youtu.be/OH1PZTt63Lk</t>
  </si>
  <si>
    <t>https://youtu.be/47dA6oedSZE</t>
  </si>
  <si>
    <t>https://youtu.be/yalNPZ41SZo</t>
  </si>
  <si>
    <t>https://youtu.be/vEolGhj5_zs</t>
  </si>
  <si>
    <t>https://youtu.be/R4OO-yp3vZs</t>
  </si>
  <si>
    <t>https://youtu.be/tdf0pOypaRE</t>
  </si>
  <si>
    <t>https://youtu.be/jmEbNCR8r8U</t>
  </si>
  <si>
    <t>https://youtu.be/COVZHJttJF4</t>
  </si>
  <si>
    <t>https://youtu.be/3vM2hfSE12Y</t>
  </si>
  <si>
    <t>https://youtu.be/Vb6KZDgY_o8</t>
  </si>
  <si>
    <t>https://youtu.be/ZgFZrlvhlso</t>
  </si>
  <si>
    <t>https://youtu.be/0AtAVy18B9w</t>
  </si>
  <si>
    <t>https://youtu.be/GAMxLRQt7Ko</t>
  </si>
  <si>
    <t>https://youtu.be/bQmDYuGWqA0</t>
  </si>
  <si>
    <t>https://youtu.be/1BSGxNsqZbo</t>
  </si>
  <si>
    <t>https://youtu.be/vVJCgxickcc</t>
  </si>
  <si>
    <t>https://youtu.be/RRC0F-VI8Ao</t>
  </si>
  <si>
    <t>https://youtu.be/qRNbtwrSBqs</t>
  </si>
  <si>
    <t>https://youtu.be/W85EK3bXMws</t>
  </si>
  <si>
    <t>https://youtu.be/ZUR8RlJg3bQ</t>
  </si>
  <si>
    <t>https://youtu.be/I4oXnBtUl-4</t>
  </si>
  <si>
    <t>https://youtu.be/1gftK_54qc4</t>
  </si>
  <si>
    <t>https://youtu.be/Z79VDmQCJFA</t>
  </si>
  <si>
    <t>https://youtu.be/Y3JkSkVU6Gc</t>
  </si>
  <si>
    <t>https://youtu.be/Y_N7CFY6HbQ</t>
  </si>
  <si>
    <t>Aaron Gate  Bunch</t>
  </si>
  <si>
    <t>Bunch Pos A</t>
  </si>
  <si>
    <t>Pos A</t>
  </si>
  <si>
    <t>CB: GM CdA ignores middle lap</t>
  </si>
  <si>
    <t>CB: GM CdA ignores first lap</t>
  </si>
  <si>
    <t>CB: GM CdA ignores last lap</t>
  </si>
  <si>
    <t>Mythos Bars</t>
  </si>
  <si>
    <t>Velobike Bars</t>
  </si>
  <si>
    <t>Mythos Bars - Narrow elbows</t>
  </si>
  <si>
    <t>Baseline - Braced core</t>
  </si>
  <si>
    <t>https://youtu.be/0cPTTnjwYBU</t>
  </si>
  <si>
    <t>https://youtu.be/nsEEYpD4jUk</t>
  </si>
  <si>
    <t>https://youtu.be/qSZN3y-viJA</t>
  </si>
  <si>
    <t>https://youtu.be/BxOfmdpVJR8</t>
  </si>
  <si>
    <t>https://youtu.be/5WVZHWuW894</t>
  </si>
  <si>
    <t>https://youtu.be/8zZMCCyfQ_w</t>
  </si>
  <si>
    <t>https://youtu.be/0BGowZAeyG0</t>
  </si>
  <si>
    <t>https://youtu.be/ANskD3MXFwE</t>
  </si>
  <si>
    <t>https://youtu.be/4MYnWb64g54</t>
  </si>
  <si>
    <t>https://youtu.be/01PKKPNGK0k</t>
  </si>
  <si>
    <t>https://youtu.be/Oyn7m6Fd3Bs</t>
  </si>
  <si>
    <t>https://youtu.be/T1W2t_QXWJU</t>
  </si>
  <si>
    <t>https://youtu.be/JkOG_hb8GXc</t>
  </si>
  <si>
    <t>https://youtu.be/GLFF_wIST7M</t>
  </si>
  <si>
    <t>https://youtu.be/R139zxyPRvs</t>
  </si>
  <si>
    <t>https://youtu.be/whe1A1cKdBI</t>
  </si>
  <si>
    <t>https://youtu.be/EtIGocdeVuM</t>
  </si>
  <si>
    <t>https://youtu.be/TroFT2S93vQ</t>
  </si>
  <si>
    <t>https://youtu.be/kr4P-sGk3PE</t>
  </si>
  <si>
    <t>https://youtu.be/eiuc6ahsA00</t>
  </si>
  <si>
    <t>https://youtu.be/Q_sXOyLn3TQ</t>
  </si>
  <si>
    <t>https://youtu.be/7UhX53M6F5o</t>
  </si>
  <si>
    <t>https://youtu.be/6xsiT_nZ5vw</t>
  </si>
  <si>
    <t>https://youtu.be/rG1Kh4_rb3M</t>
  </si>
  <si>
    <t>https://youtu.be/6ZuVENpstFw</t>
  </si>
  <si>
    <t>https://youtu.be/sSEmujfoWdc</t>
  </si>
  <si>
    <t>https://youtu.be/BST72t0rH0Y</t>
  </si>
  <si>
    <t>https://youtu.be/2NMrdkP6-A8</t>
  </si>
  <si>
    <t>https://youtu.be/y0LXHzyZUl0</t>
  </si>
  <si>
    <t>https://youtu.be/EA3QGv4SBPM</t>
  </si>
  <si>
    <t>https://youtu.be/32jiqeYeCMo</t>
  </si>
  <si>
    <t>https://youtu.be/4UjKDZMGoXQ</t>
  </si>
  <si>
    <t>https://youtu.be/0idsOz6Q2fg</t>
  </si>
  <si>
    <t>https://youtu.be/grS3E6h_ANY</t>
  </si>
  <si>
    <t>https://youtu.be/LwVqeCrLeYI</t>
  </si>
  <si>
    <t>https://youtu.be/TyDwgE5jJ9Y</t>
  </si>
  <si>
    <t>https://youtu.be/qsx0qRsHTyI</t>
  </si>
  <si>
    <t>https://youtu.be/UgpmVes83_8</t>
  </si>
  <si>
    <t>https://youtu.be/_z0pjAJpfxI</t>
  </si>
  <si>
    <t>https://youtu.be/qdHqcayI7L0</t>
  </si>
  <si>
    <t>https://youtu.be/Kxkzs8nE_30</t>
  </si>
  <si>
    <t>https://youtu.be/pYZ6m5uWfBs</t>
  </si>
  <si>
    <t>https://youtu.be/sjySGA9TDtc</t>
  </si>
  <si>
    <t>Clothing</t>
  </si>
  <si>
    <t>Shoe cover</t>
  </si>
  <si>
    <t>Shoes</t>
  </si>
  <si>
    <t>Avg % decrease/increase vs baseline</t>
  </si>
  <si>
    <t>Avg Watt saving/increase (58k/h bunch, 65km/h TP). 1.165m3</t>
  </si>
  <si>
    <t>CB - Increasing CdA across laps; 0.1600, 0.1657, 0.1708</t>
  </si>
  <si>
    <t>CB - Increasing CdA across laps; 0.1695, 0.1723, 0.1790</t>
  </si>
  <si>
    <t>CB - CdA ignored first 2 laps this rep as bit all over the place; 0.1677, 0.1830, 0.1748 - speed data had a lot of spikes in it</t>
  </si>
  <si>
    <t>CB - Cda is from first 2 laps with same splits 15.18, but CdA increasing each lap anyway; 0.1730, 0.1740, 0.1755</t>
  </si>
  <si>
    <t>CB - increasing CdA across rep, 0.1716, 01757, 0.1798</t>
  </si>
  <si>
    <t>CB - CdA from first 2 laps as last lap higher CdA; 0.1691, 0.1688, 0.1716, and slower lap; 14.8, 14.8, 15.0</t>
  </si>
  <si>
    <t>CB - CdA ignores first lap with lower CdA, but changing CdA across rep; 0.1777, 0.1818, 0.1806</t>
  </si>
  <si>
    <t>CB - CdA ignored first lap as lower CdA; 0.1692, 0.1735, 0.1735</t>
  </si>
  <si>
    <t>CB - CdA changing across rep; 0.1673, 0.1767, 0.1697</t>
  </si>
  <si>
    <t>A5_VP (Ally)</t>
  </si>
  <si>
    <t>CB - CdA ignores first lap as lower CdA; 0.1733, 0.1795, 0.1780</t>
  </si>
  <si>
    <t>CB - CdA removed first lap as lower CdA; 0.1688, 0.1714, 0.1719</t>
  </si>
  <si>
    <t>CB - CdA ignores first lap with lower CdA; 0.1711, 0.1733, 0.1732</t>
  </si>
  <si>
    <t>CB - CdA ignore first lap with lower CdA; 0.1698, 0.1732, 0.1736</t>
  </si>
  <si>
    <t>CB - CdA ignore first lap with higher CdA, 0.1607, 0.1653, 0.1689</t>
  </si>
  <si>
    <t>CB - CdA ignores first lap as lower CdA; 0.1616, 0.1676, 0.1653</t>
  </si>
  <si>
    <t>CB - CdA ignores first lap as lower CdA; 0.1705, 0.1758, 0.1745</t>
  </si>
  <si>
    <t>CB - CdA removed first lap as low CdA; 0.1585, 0.1629, 0.1656</t>
  </si>
  <si>
    <t>POC (M)</t>
  </si>
  <si>
    <t>CB - similar CdA all laps; 0.1634, 0.1641, 0.1639</t>
  </si>
  <si>
    <t>https://youtu.be/KOvcYsKBnx4</t>
  </si>
  <si>
    <t>https://youtu.be/8k2ISbXXywQ</t>
  </si>
  <si>
    <t>https://youtu.be/DU2rsUVoFRs</t>
  </si>
  <si>
    <t>https://youtu.be/bvdyO9SMRos</t>
  </si>
  <si>
    <t>https://youtu.be/h02XnZtSeDU</t>
  </si>
  <si>
    <t>https://youtu.be/ZTBY9mNkQNo</t>
  </si>
  <si>
    <t>https://youtu.be/2cvx7C44RfY</t>
  </si>
  <si>
    <t>https://youtu.be/RVdekZQ3BHc</t>
  </si>
  <si>
    <t>https://youtu.be/7jgugcwce0I</t>
  </si>
  <si>
    <t>https://youtu.be/hFVAqvtA6oY</t>
  </si>
  <si>
    <t>https://youtu.be/TzfZBT7o6N8</t>
  </si>
  <si>
    <t>https://youtu.be/SMKbIIpj100</t>
  </si>
  <si>
    <t>https://youtu.be/jw1TgMwqQ4E</t>
  </si>
  <si>
    <t>https://youtu.be/OTCB7i4ktlc</t>
  </si>
  <si>
    <t>https://youtu.be/Px3Ql8FjtLs</t>
  </si>
  <si>
    <t>https://youtu.be/FwhRomUdkBU</t>
  </si>
  <si>
    <t>https://youtu.be/wN14ch40mgU</t>
  </si>
  <si>
    <t>https://youtu.be/3ravrwSAB_0</t>
  </si>
  <si>
    <t>https://youtu.be/jc63xOdqxjk</t>
  </si>
  <si>
    <t>https://youtu.be/nY_ZZh3dKAA</t>
  </si>
  <si>
    <t>https://youtu.be/LXAUpvuUoLo</t>
  </si>
  <si>
    <t>FW - Low + Narrow</t>
  </si>
  <si>
    <t>Current bars - Matched FW</t>
  </si>
  <si>
    <t>FW bars + seat change</t>
  </si>
  <si>
    <t>FW - Wide</t>
  </si>
  <si>
    <t>FW - E</t>
  </si>
  <si>
    <t>FW Matched</t>
  </si>
  <si>
    <t>FW - Narrow</t>
  </si>
  <si>
    <t>FW - B + 20mm</t>
  </si>
  <si>
    <t>FW - C</t>
  </si>
  <si>
    <t>FW - D</t>
  </si>
  <si>
    <t>FW - G</t>
  </si>
  <si>
    <t>FW - H</t>
  </si>
  <si>
    <t>FW - I</t>
  </si>
  <si>
    <t>FW - J</t>
  </si>
  <si>
    <t>FW - F</t>
  </si>
  <si>
    <t>FW - Target</t>
  </si>
  <si>
    <t>A1_TI/P10</t>
  </si>
  <si>
    <t>A1_TI/P15</t>
  </si>
  <si>
    <t>A5_VP</t>
  </si>
  <si>
    <t>B1_T1/T10</t>
  </si>
  <si>
    <t>B1/T10</t>
  </si>
  <si>
    <t>B3/P10</t>
  </si>
  <si>
    <t>B3/T10</t>
  </si>
  <si>
    <t>B3/T10prn6</t>
  </si>
  <si>
    <t>B3/P05prn6</t>
  </si>
  <si>
    <t>B3_T1/P05prn6</t>
  </si>
  <si>
    <t>B3_T1/P10prn6</t>
  </si>
  <si>
    <t>B3_T10</t>
  </si>
  <si>
    <t>B5_prn6</t>
  </si>
  <si>
    <t>C1_T2/P10prn6</t>
  </si>
  <si>
    <t>Mistral (LW)</t>
  </si>
  <si>
    <t>POC (L)</t>
  </si>
  <si>
    <t>S-Works (L)</t>
  </si>
  <si>
    <t>Sweet Protection (L)</t>
  </si>
  <si>
    <t>Bambino (M)</t>
  </si>
  <si>
    <t>Avanti Sprint XL</t>
  </si>
  <si>
    <t>Champion Systems</t>
  </si>
  <si>
    <t>Imp Sport</t>
  </si>
  <si>
    <t>L-L-25</t>
  </si>
  <si>
    <t>S-M-22</t>
  </si>
  <si>
    <t>CB</t>
  </si>
  <si>
    <t>FW Seat-10mm</t>
  </si>
  <si>
    <t>Targer CB</t>
  </si>
  <si>
    <t>FW - B +10mm</t>
  </si>
  <si>
    <t>None</t>
  </si>
  <si>
    <t>CdA - GM</t>
  </si>
  <si>
    <t>LeCol</t>
  </si>
  <si>
    <t>https://youtu.be/HG2AuxOdWXI</t>
  </si>
  <si>
    <t>https://youtu.be/-JiQJ58567o</t>
  </si>
  <si>
    <t>https://youtu.be/M2qfWP4TgLQ</t>
  </si>
  <si>
    <t>https://youtu.be/189Izmx6qrQ</t>
  </si>
  <si>
    <t>https://youtu.be/uaIxo2wIegw</t>
  </si>
  <si>
    <t>https://youtu.be/ZORThkhqiH4</t>
  </si>
  <si>
    <t>https://youtu.be/GGyqbzQ_DOc</t>
  </si>
  <si>
    <t>https://youtu.be/caWXOGwhmeQ</t>
  </si>
  <si>
    <t>Wind</t>
  </si>
  <si>
    <t>CdA - JP - PF corrected</t>
  </si>
  <si>
    <t>30cm Velobike Bars</t>
  </si>
  <si>
    <t>Mythos Bars Head Down</t>
  </si>
  <si>
    <r>
      <t>FW - F 22</t>
    </r>
    <r>
      <rPr>
        <sz val="11"/>
        <color theme="1"/>
        <rFont val="Aptos Narrow"/>
        <family val="2"/>
      </rPr>
      <t>°</t>
    </r>
  </si>
  <si>
    <t>FW - C relaxed</t>
  </si>
  <si>
    <t>Imp Sport-Narrow Trip</t>
  </si>
  <si>
    <t>Imp Sport-Wide Trip</t>
  </si>
  <si>
    <t>https://youtu.be/hyUsDx-mJCs</t>
  </si>
  <si>
    <t>https://youtu.be/eWSNx-EJHJ0</t>
  </si>
  <si>
    <t>https://youtu.be/fd38XxDaI6s</t>
  </si>
  <si>
    <t>https://youtu.be/Cmyidg_0paY</t>
  </si>
  <si>
    <t>https://youtu.be/czn91BAF6eY</t>
  </si>
  <si>
    <t>https://youtu.be/ZiWWh48f0rs</t>
  </si>
  <si>
    <t>https://youtu.be/PUjNXht8rfI</t>
  </si>
  <si>
    <t>https://youtu.be/WzMdwWBvKN4</t>
  </si>
  <si>
    <t>https://youtu.be/X4B86tBM79k</t>
  </si>
  <si>
    <t>https://youtu.be/5WILAJaHKCM</t>
  </si>
  <si>
    <t>https://youtu.be/AeV0Ysi3nOE</t>
  </si>
  <si>
    <t>https://youtu.be/uQ92Mc6XQbg</t>
  </si>
  <si>
    <t>https://youtu.be/awaQSIHWPxs</t>
  </si>
  <si>
    <t>https://youtu.be/aM2y5VIAgEw</t>
  </si>
  <si>
    <t>https://youtu.be/jG-doCtgFl8</t>
  </si>
  <si>
    <t>https://youtu.be/KMTI-d3h474</t>
  </si>
  <si>
    <t>https://youtu.be/TBhxFvXlZvw</t>
  </si>
  <si>
    <t>https://youtu.be/CbzVpZndUSs</t>
  </si>
  <si>
    <t>https://youtu.be/Ek8di_GAlXw</t>
  </si>
  <si>
    <t>https://youtu.be/q21G4HGYLrY</t>
  </si>
  <si>
    <t>https://youtu.be/t6LycKnd1TA</t>
  </si>
  <si>
    <t>https://youtu.be/t3Fsyt0GH9M</t>
  </si>
  <si>
    <t>https://youtu.be/BPS-T-6FvMI</t>
  </si>
  <si>
    <t>https://youtu.be/1WxB3ZxKZo0</t>
  </si>
  <si>
    <t>https://youtu.be/H0J0PU3Fbj8</t>
  </si>
  <si>
    <t>https://youtu.be/1irR39Fm_1Y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</si>
</sst>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indexed="8"/>
      <name val="Verdana"/>
      <family val="2"/>
    </font>
    <font>
      <sz val="11"/>
      <color rgb="FF000000"/>
      <name val="Calibri"/>
      <family val="2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Aptos Narrow"/>
      <family val="2"/>
    </font>
    <font>
      <sz val="11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 tint="-0.499984740745262"/>
        <bgColor theme="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1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3">
    <xf numFmtId="0" fontId="0" fillId="0" borderId="0"/>
    <xf numFmtId="0" fontId="3" fillId="0" borderId="0" applyNumberFormat="0" applyFill="0" applyBorder="0" applyProtection="0">
      <alignment vertical="top"/>
    </xf>
    <xf numFmtId="0" fontId="5" fillId="0" borderId="0" applyNumberFormat="0" applyFill="0" applyBorder="0" applyAlignment="0" applyProtection="0"/>
  </cellStyleXfs>
  <cellXfs count="75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left" vertical="top" wrapText="1"/>
    </xf>
    <xf numFmtId="14" fontId="0" fillId="0" borderId="0" xfId="0" applyNumberFormat="1" applyAlignment="1">
      <alignment horizontal="left" vertical="top" wrapText="1"/>
    </xf>
    <xf numFmtId="0" fontId="0" fillId="0" borderId="0" xfId="0" applyAlignment="1">
      <alignment horizontal="center" vertical="top" wrapText="1"/>
    </xf>
    <xf numFmtId="0" fontId="0" fillId="0" borderId="0" xfId="0" applyAlignment="1">
      <alignment horizontal="center" wrapText="1"/>
    </xf>
    <xf numFmtId="49" fontId="0" fillId="0" borderId="0" xfId="0" applyNumberFormat="1" applyAlignment="1">
      <alignment wrapText="1"/>
    </xf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 wrapText="1"/>
    </xf>
    <xf numFmtId="0" fontId="4" fillId="0" borderId="0" xfId="0" applyFont="1" applyAlignment="1">
      <alignment horizontal="center" vertical="top" wrapText="1"/>
    </xf>
    <xf numFmtId="0" fontId="4" fillId="0" borderId="0" xfId="0" applyFont="1" applyAlignment="1">
      <alignment horizontal="left" vertical="top" wrapText="1"/>
    </xf>
    <xf numFmtId="0" fontId="0" fillId="0" borderId="0" xfId="0" applyAlignment="1">
      <alignment horizontal="center" vertical="top"/>
    </xf>
    <xf numFmtId="49" fontId="0" fillId="0" borderId="0" xfId="0" applyNumberFormat="1" applyAlignment="1">
      <alignment horizontal="center" vertical="top" wrapText="1"/>
    </xf>
    <xf numFmtId="0" fontId="4" fillId="0" borderId="0" xfId="0" applyFont="1"/>
    <xf numFmtId="0" fontId="1" fillId="3" borderId="2" xfId="0" applyFont="1" applyFill="1" applyBorder="1" applyAlignment="1">
      <alignment horizontal="center" vertical="top" wrapText="1"/>
    </xf>
    <xf numFmtId="0" fontId="1" fillId="3" borderId="3" xfId="0" applyFont="1" applyFill="1" applyBorder="1" applyAlignment="1">
      <alignment horizontal="center" vertical="top" wrapText="1"/>
    </xf>
    <xf numFmtId="0" fontId="4" fillId="0" borderId="0" xfId="0" applyFont="1" applyAlignment="1">
      <alignment horizontal="center"/>
    </xf>
    <xf numFmtId="0" fontId="4" fillId="0" borderId="2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 vertical="top" wrapText="1"/>
    </xf>
    <xf numFmtId="0" fontId="2" fillId="0" borderId="3" xfId="0" applyFont="1" applyBorder="1" applyAlignment="1">
      <alignment horizontal="center" vertical="top" wrapText="1"/>
    </xf>
    <xf numFmtId="164" fontId="0" fillId="0" borderId="0" xfId="0" applyNumberFormat="1" applyAlignment="1">
      <alignment horizontal="center" vertical="top" wrapText="1"/>
    </xf>
    <xf numFmtId="0" fontId="0" fillId="0" borderId="2" xfId="0" applyBorder="1" applyAlignment="1">
      <alignment horizontal="center" vertical="top" wrapText="1"/>
    </xf>
    <xf numFmtId="0" fontId="9" fillId="2" borderId="2" xfId="0" applyFont="1" applyFill="1" applyBorder="1" applyAlignment="1">
      <alignment horizontal="left" vertical="center" wrapText="1"/>
    </xf>
    <xf numFmtId="14" fontId="9" fillId="2" borderId="0" xfId="0" applyNumberFormat="1" applyFont="1" applyFill="1" applyAlignment="1">
      <alignment horizontal="left" vertical="top" wrapText="1"/>
    </xf>
    <xf numFmtId="0" fontId="9" fillId="4" borderId="0" xfId="0" applyFont="1" applyFill="1" applyAlignment="1">
      <alignment horizontal="center" vertical="center" wrapText="1"/>
    </xf>
    <xf numFmtId="0" fontId="10" fillId="4" borderId="0" xfId="0" applyFont="1" applyFill="1" applyAlignment="1">
      <alignment horizontal="center" vertical="center" wrapText="1"/>
    </xf>
    <xf numFmtId="0" fontId="10" fillId="6" borderId="0" xfId="0" applyFont="1" applyFill="1" applyAlignment="1">
      <alignment horizontal="center" vertical="center"/>
    </xf>
    <xf numFmtId="0" fontId="10" fillId="6" borderId="0" xfId="0" applyFont="1" applyFill="1" applyAlignment="1">
      <alignment horizontal="center" vertical="center" wrapText="1"/>
    </xf>
    <xf numFmtId="0" fontId="9" fillId="6" borderId="2" xfId="0" applyFont="1" applyFill="1" applyBorder="1" applyAlignment="1">
      <alignment horizontal="center" vertical="center" wrapText="1"/>
    </xf>
    <xf numFmtId="0" fontId="9" fillId="6" borderId="2" xfId="0" applyFont="1" applyFill="1" applyBorder="1" applyAlignment="1">
      <alignment horizontal="left" vertical="center" wrapText="1"/>
    </xf>
    <xf numFmtId="49" fontId="9" fillId="6" borderId="2" xfId="0" applyNumberFormat="1" applyFont="1" applyFill="1" applyBorder="1" applyAlignment="1">
      <alignment horizontal="left" vertical="center" wrapText="1"/>
    </xf>
    <xf numFmtId="0" fontId="9" fillId="5" borderId="0" xfId="0" applyFont="1" applyFill="1" applyAlignment="1">
      <alignment horizontal="left" vertical="center" wrapText="1"/>
    </xf>
    <xf numFmtId="0" fontId="9" fillId="2" borderId="0" xfId="0" applyFont="1" applyFill="1" applyAlignment="1">
      <alignment horizontal="left" vertical="top" wrapText="1"/>
    </xf>
    <xf numFmtId="0" fontId="0" fillId="0" borderId="0" xfId="0" applyAlignment="1">
      <alignment vertical="top"/>
    </xf>
    <xf numFmtId="14" fontId="5" fillId="0" borderId="0" xfId="2" applyNumberFormat="1" applyBorder="1" applyAlignment="1">
      <alignment horizontal="left" vertical="top" wrapText="1"/>
    </xf>
    <xf numFmtId="0" fontId="9" fillId="2" borderId="2" xfId="0" applyFont="1" applyFill="1" applyBorder="1" applyAlignment="1">
      <alignment horizontal="center" vertical="center" wrapText="1"/>
    </xf>
    <xf numFmtId="14" fontId="5" fillId="0" borderId="0" xfId="2" applyNumberFormat="1" applyAlignment="1">
      <alignment horizontal="left" vertical="top" wrapText="1"/>
    </xf>
    <xf numFmtId="0" fontId="7" fillId="0" borderId="0" xfId="0" applyFont="1" applyAlignment="1">
      <alignment horizontal="center" vertical="top" wrapText="1"/>
    </xf>
    <xf numFmtId="164" fontId="0" fillId="0" borderId="0" xfId="0" applyNumberFormat="1" applyAlignment="1">
      <alignment horizontal="left" vertical="top" wrapText="1"/>
    </xf>
    <xf numFmtId="0" fontId="8" fillId="0" borderId="0" xfId="0" applyFont="1" applyAlignment="1">
      <alignment horizontal="left" vertical="top" wrapText="1"/>
    </xf>
    <xf numFmtId="0" fontId="0" fillId="3" borderId="2" xfId="0" applyFill="1" applyBorder="1" applyAlignment="1">
      <alignment horizontal="left" vertical="top" wrapText="1"/>
    </xf>
    <xf numFmtId="0" fontId="0" fillId="3" borderId="2" xfId="0" applyFill="1" applyBorder="1" applyAlignment="1">
      <alignment horizontal="center" vertical="center" wrapText="1"/>
    </xf>
    <xf numFmtId="0" fontId="0" fillId="3" borderId="3" xfId="0" applyFill="1" applyBorder="1" applyAlignment="1">
      <alignment horizontal="left" vertical="top" wrapText="1"/>
    </xf>
    <xf numFmtId="1" fontId="9" fillId="2" borderId="2" xfId="0" applyNumberFormat="1" applyFont="1" applyFill="1" applyBorder="1" applyAlignment="1">
      <alignment horizontal="center" vertical="center" wrapText="1"/>
    </xf>
    <xf numFmtId="1" fontId="0" fillId="0" borderId="0" xfId="0" applyNumberFormat="1"/>
    <xf numFmtId="0" fontId="9" fillId="5" borderId="0" xfId="0" applyFont="1" applyFill="1" applyAlignment="1">
      <alignment horizontal="center" vertical="center" wrapText="1"/>
    </xf>
    <xf numFmtId="0" fontId="0" fillId="7" borderId="0" xfId="0" applyFill="1" applyAlignment="1">
      <alignment horizontal="center" vertical="center" wrapText="1"/>
    </xf>
    <xf numFmtId="0" fontId="0" fillId="7" borderId="0" xfId="0" applyFill="1" applyAlignment="1">
      <alignment horizontal="center"/>
    </xf>
    <xf numFmtId="0" fontId="0" fillId="0" borderId="0" xfId="0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11" fillId="0" borderId="0" xfId="0" applyFont="1" applyAlignment="1">
      <alignment horizontal="center" vertical="top" wrapText="1"/>
    </xf>
    <xf numFmtId="0" fontId="9" fillId="2" borderId="2" xfId="0" applyFont="1" applyFill="1" applyBorder="1" applyAlignment="1">
      <alignment vertical="center" wrapText="1"/>
    </xf>
    <xf numFmtId="0" fontId="0" fillId="0" borderId="0" xfId="0" applyAlignment="1">
      <alignment vertical="top" wrapText="1"/>
    </xf>
    <xf numFmtId="0" fontId="0" fillId="3" borderId="0" xfId="0" applyFill="1" applyAlignment="1">
      <alignment horizontal="center" vertical="top" wrapText="1"/>
    </xf>
    <xf numFmtId="0" fontId="0" fillId="0" borderId="2" xfId="0" applyBorder="1" applyAlignment="1">
      <alignment horizontal="left" vertical="top" wrapText="1"/>
    </xf>
    <xf numFmtId="0" fontId="0" fillId="3" borderId="0" xfId="0" applyFill="1" applyAlignment="1">
      <alignment horizontal="left" vertical="top" wrapText="1"/>
    </xf>
    <xf numFmtId="0" fontId="1" fillId="3" borderId="4" xfId="0" applyFont="1" applyFill="1" applyBorder="1" applyAlignment="1">
      <alignment horizontal="center" vertical="top" wrapText="1"/>
    </xf>
    <xf numFmtId="0" fontId="1" fillId="3" borderId="0" xfId="0" applyFont="1" applyFill="1" applyAlignment="1">
      <alignment horizontal="center" vertical="top" wrapText="1"/>
    </xf>
    <xf numFmtId="0" fontId="1" fillId="3" borderId="1" xfId="0" applyFont="1" applyFill="1" applyBorder="1" applyAlignment="1">
      <alignment horizontal="center" vertical="top" wrapText="1"/>
    </xf>
    <xf numFmtId="164" fontId="1" fillId="0" borderId="0" xfId="0" applyNumberFormat="1" applyFont="1" applyAlignment="1">
      <alignment horizontal="center" vertical="center" wrapText="1"/>
    </xf>
    <xf numFmtId="0" fontId="4" fillId="0" borderId="1" xfId="0" applyFont="1" applyBorder="1" applyAlignment="1">
      <alignment horizontal="center"/>
    </xf>
    <xf numFmtId="0" fontId="1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top" wrapText="1"/>
    </xf>
    <xf numFmtId="0" fontId="12" fillId="3" borderId="2" xfId="0" applyFont="1" applyFill="1" applyBorder="1" applyAlignment="1">
      <alignment horizontal="left" vertical="top" wrapText="1"/>
    </xf>
    <xf numFmtId="0" fontId="12" fillId="3" borderId="2" xfId="0" applyFont="1" applyFill="1" applyBorder="1" applyAlignment="1">
      <alignment horizontal="center" vertical="center" wrapText="1"/>
    </xf>
    <xf numFmtId="0" fontId="12" fillId="3" borderId="3" xfId="0" applyFont="1" applyFill="1" applyBorder="1" applyAlignment="1">
      <alignment horizontal="left" vertical="top" wrapText="1"/>
    </xf>
    <xf numFmtId="0" fontId="12" fillId="3" borderId="1" xfId="0" applyFont="1" applyFill="1" applyBorder="1" applyAlignment="1">
      <alignment horizontal="left" vertical="top" wrapText="1"/>
    </xf>
    <xf numFmtId="0" fontId="12" fillId="3" borderId="1" xfId="0" applyFont="1" applyFill="1" applyBorder="1" applyAlignment="1">
      <alignment horizontal="center" vertical="center" wrapText="1"/>
    </xf>
    <xf numFmtId="0" fontId="12" fillId="3" borderId="4" xfId="0" applyFont="1" applyFill="1" applyBorder="1" applyAlignment="1">
      <alignment horizontal="left" vertical="top" wrapText="1"/>
    </xf>
    <xf numFmtId="0" fontId="0" fillId="3" borderId="1" xfId="0" applyFill="1" applyBorder="1" applyAlignment="1">
      <alignment horizontal="left" vertical="top" wrapText="1"/>
    </xf>
    <xf numFmtId="0" fontId="0" fillId="3" borderId="1" xfId="0" applyFill="1" applyBorder="1" applyAlignment="1">
      <alignment horizontal="center" vertical="center" wrapText="1"/>
    </xf>
    <xf numFmtId="0" fontId="0" fillId="3" borderId="4" xfId="0" applyFill="1" applyBorder="1" applyAlignment="1">
      <alignment horizontal="left" vertical="top" wrapText="1"/>
    </xf>
    <xf numFmtId="0" fontId="14" fillId="0" borderId="0" xfId="0" applyFont="1" applyAlignment="1">
      <alignment horizontal="center"/>
    </xf>
  </cellXfs>
  <cellStyles count="3">
    <cellStyle name="Hyperlink" xfId="2" builtinId="8"/>
    <cellStyle name="Normal" xfId="0" builtinId="0"/>
    <cellStyle name="Normal 2" xfId="1" xr:uid="{00000000-0005-0000-0000-000002000000}"/>
  </cellStyles>
  <dxfs count="64">
    <dxf>
      <numFmt numFmtId="19" formatCode="d/mm/yyyy"/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fill>
        <patternFill patternType="solid">
          <fgColor theme="4" tint="0.79998168889431442"/>
          <bgColor theme="4" tint="0.79998168889431442"/>
        </patternFill>
      </fill>
      <alignment horizontal="left" vertical="top" textRotation="0" wrapText="1" indent="0" justifyLastLine="0" shrinkToFit="0" readingOrder="0"/>
      <border diagonalUp="0" diagonalDown="0">
        <left/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left" vertical="top" textRotation="0" wrapText="1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numFmt numFmtId="0" formatCode="General"/>
      <alignment horizontal="center" vertical="center" textRotation="0" wrapText="1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numFmt numFmtId="0" formatCode="General"/>
      <alignment horizontal="center" vertical="center" textRotation="0" wrapText="1" indent="0" justifyLastLine="0" shrinkToFit="0" readingOrder="0"/>
    </dxf>
    <dxf>
      <numFmt numFmtId="0" formatCode="General"/>
      <alignment horizontal="center" vertical="center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numFmt numFmtId="0" formatCode="General"/>
      <alignment horizontal="center" vertical="center" textRotation="0" wrapText="1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numFmt numFmtId="0" formatCode="General"/>
      <alignment horizontal="center" vertical="center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numFmt numFmtId="0" formatCode="General"/>
      <alignment horizontal="left" vertical="top" textRotation="0" wrapText="1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numFmt numFmtId="19" formatCode="d/mm/yyyy"/>
      <alignment horizontal="left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/>
          <bgColor theme="4"/>
        </patternFill>
      </fill>
      <alignment horizontal="left" vertical="top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yclingnz.sharepoint.com/sites/proj-EquipmentSystemsDevelopment/Shared%20Documents/Track%20Program/Track%20CdA%20Aero%20Testing%20Database.xlsx" TargetMode="External"/><Relationship Id="rId1" Type="http://schemas.openxmlformats.org/officeDocument/2006/relationships/externalLinkPath" Target="https://cyclingnz.sharepoint.com/sites/proj-EquipmentSystemsDevelopment/Shared%20Documents/Track%20Program/Track%20CdA%20Aero%20Testing%20Data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dA Track Testing"/>
      <sheetName val="Data cut from table - to sort"/>
      <sheetName val="Track CdA Aero Testing Database"/>
    </sheetNames>
    <sheetDataSet>
      <sheetData sheetId="0"/>
      <sheetData sheetId="1" refreshError="1"/>
      <sheetData sheetId="2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4000000}" name="Track_TT23" displayName="Track_TT23" ref="A1:BJ447" totalsRowShown="0" headerRowDxfId="63" dataDxfId="62">
  <autoFilter ref="A1:BJ447" xr:uid="{00000000-0009-0000-0100-000002000000}"/>
  <sortState xmlns:xlrd2="http://schemas.microsoft.com/office/spreadsheetml/2017/richdata2" ref="A2:BJ447">
    <sortCondition ref="C1:C447"/>
  </sortState>
  <tableColumns count="62">
    <tableColumn id="2" xr3:uid="{00000000-0010-0000-0400-000002000000}" name="Squad" dataDxfId="61"/>
    <tableColumn id="3" xr3:uid="{00000000-0010-0000-0400-000003000000}" name="Name" dataDxfId="60"/>
    <tableColumn id="5" xr3:uid="{00000000-0010-0000-0400-000005000000}" name="Date" dataDxfId="59"/>
    <tableColumn id="28" xr3:uid="{00000000-0010-0000-0400-00001C000000}" name="Rep" dataDxfId="58"/>
    <tableColumn id="24" xr3:uid="{00000000-0010-0000-0400-000018000000}" name="Position" dataDxfId="57"/>
    <tableColumn id="1" xr3:uid="{00000000-0010-0000-0400-000001000000}" name="Clothing" dataDxfId="56"/>
    <tableColumn id="9" xr3:uid="{00000000-0010-0000-0400-000009000000}" name="Shoe cover" dataDxfId="55"/>
    <tableColumn id="26" xr3:uid="{00000000-0010-0000-0400-00001A000000}" name="Helmet" dataDxfId="54"/>
    <tableColumn id="33" xr3:uid="{FEDBBE6B-630D-4D78-8489-0CC46EA5E217}" name="CdA - JP" dataDxfId="53"/>
    <tableColumn id="30" xr3:uid="{7B7219E6-8D22-42C7-82A8-477BB1AD27D5}" name="CdA - JP - PF corrected" dataDxfId="52"/>
    <tableColumn id="62" xr3:uid="{CD6A5023-8C12-45B2-B9D7-71028627ECC2}" name="CdA - JP std" dataDxfId="51"/>
    <tableColumn id="6" xr3:uid="{00000000-0010-0000-0400-000006000000}" name="CdA - Notio" dataDxfId="50"/>
    <tableColumn id="27" xr3:uid="{00000000-0010-0000-0400-00001B000000}" name="CdA - GM" dataDxfId="49"/>
    <tableColumn id="29" xr3:uid="{3054590F-4E61-4A1E-97EF-179356716651}" name="Wind" dataDxfId="48"/>
    <tableColumn id="10" xr3:uid="{00000000-0010-0000-0400-00000A000000}" name="Shoes" dataDxfId="47"/>
    <tableColumn id="36" xr3:uid="{62B1476E-87AB-4F6C-8CC0-2D04683A4C88}" name="Calibration factor" dataDxfId="46"/>
    <tableColumn id="37" xr3:uid="{FC0F34A6-2FEB-495E-BA78-4658A787E878}" name="Notio Power Meter Calibration" dataDxfId="45"/>
    <tableColumn id="35" xr3:uid="{00000000-0010-0000-0400-000023000000}" name="Avg % decrease/increase vs baseline" dataDxfId="44"/>
    <tableColumn id="34" xr3:uid="{00000000-0010-0000-0400-000022000000}" name="Avg Watt saving/increase (58k/h bunch, 65km/h TP). 1.165m3" dataDxfId="43"/>
    <tableColumn id="17" xr3:uid="{00000000-0010-0000-0400-000011000000}" name="Speed" dataDxfId="42"/>
    <tableColumn id="8" xr3:uid="{00000000-0010-0000-0400-000008000000}" name="Power" dataDxfId="41"/>
    <tableColumn id="22" xr3:uid="{00000000-0010-0000-0400-000016000000}" name="Distance (m)" dataDxfId="40"/>
    <tableColumn id="11" xr3:uid="{00000000-0010-0000-0400-00000B000000}" name="Bike" dataDxfId="39"/>
    <tableColumn id="12" xr3:uid="{00000000-0010-0000-0400-00000C000000}" name="Wheels" dataDxfId="38"/>
    <tableColumn id="13" xr3:uid="{00000000-0010-0000-0400-00000D000000}" name="Cranks" dataDxfId="37"/>
    <tableColumn id="38" xr3:uid="{28260B65-049E-46A2-A1C2-F772206B1000}" name="Low stack bracket " dataDxfId="36"/>
    <tableColumn id="42" xr3:uid="{113DF572-4739-43A0-BFF2-EB7460F19479}" name="Bracket angle (deg)" dataDxfId="35"/>
    <tableColumn id="41" xr3:uid="{C3C310E4-E093-4AD7-B9A1-9B391A474BAF}" name="Plate (width - mm)" dataDxfId="34"/>
    <tableColumn id="40" xr3:uid="{D5438F9D-26D4-4C18-8E5B-CBE59386E41A}" name="Spacers (height) - mm" dataDxfId="33"/>
    <tableColumn id="39" xr3:uid="{F5716C46-C7E0-49BD-9D08-6A7E8169777E}" name="Pad c-c (mm)" dataDxfId="32"/>
    <tableColumn id="43" xr3:uid="{6670518C-1DDA-4ACC-9D11-4A034FF1B8CA}" name="Grip (angle - deg) " dataDxfId="31"/>
    <tableColumn id="44" xr3:uid="{044D64D8-33A2-4E74-B4E3-B1FC428E6BF5}" name="Frame Size" dataDxfId="30"/>
    <tableColumn id="45" xr3:uid="{3ED6A40E-B727-4AF7-8689-457DE1DA309C}" name="Seat Height (mm). Measured @120 Behind Saddle Tip" dataDxfId="29"/>
    <tableColumn id="57" xr3:uid="{E6393DF1-2E4C-4DFF-B7D9-7627EA6A5E9C}" name="Seat Angle (Deg Down)" dataDxfId="28"/>
    <tableColumn id="56" xr3:uid="{23084582-1972-421B-8363-3CB2D2D0DE2D}" name="Set Back (mm)" dataDxfId="27"/>
    <tableColumn id="55" xr3:uid="{F40D1C55-5E26-4185-B309-AA40083E88A3}" name="Height-&gt;180cm?" dataDxfId="26"/>
    <tableColumn id="54" xr3:uid="{95012FDA-27CC-4236-8FFA-32B1604EDCE1}" name="BB Centre-Pad (mm)" dataDxfId="25"/>
    <tableColumn id="53" xr3:uid="{CF6BA97B-EC15-48FE-A8D9-268D130A21D7}" name="BB Centre Ext Tip (mm)" dataDxfId="24"/>
    <tableColumn id="52" xr3:uid="{1333E878-C839-4F8B-B194-EB690E5A2C60}" name="Pad Drop (mm) Mesured from 120mm Saddle Point" dataDxfId="23"/>
    <tableColumn id="51" xr3:uid="{4D42D141-4AA4-42EC-862D-0C936376E71D}" name="Ext Tip Width (mm)" dataDxfId="22"/>
    <tableColumn id="50" xr3:uid="{D855B818-BDFD-4D17-A331-2BFAF6AD4724}" name="10cm Rule. Pass-Fail?" dataDxfId="21"/>
    <tableColumn id="49" xr3:uid="{C33FBED9-D68D-47CE-970B-350144A9C0A4}" name="Pad Width (mm)" dataDxfId="20"/>
    <tableColumn id="48" xr3:uid="{398B4C91-6F35-4D01-8B76-92EB5D54814C}" name="Spacers (mm)" dataDxfId="19"/>
    <tableColumn id="47" xr3:uid="{EC73748A-3E6E-4659-858C-D0884665FC27}" name="Cranks (mm)" dataDxfId="18"/>
    <tableColumn id="46" xr3:uid="{45D74FEE-52FD-4E4B-BDE1-94C73EA03538}" name="Crank Asset Tag ID" dataDxfId="17"/>
    <tableColumn id="59" xr3:uid="{2E1FADB1-AB7F-467F-A7E3-C678B601568E}" name="Saddle" dataDxfId="16"/>
    <tableColumn id="60" xr3:uid="{A5B99959-C16D-409F-885D-7A5E777C41AC}" name="Front of pads 180cm behind extension tip. Pass-Fail" dataDxfId="15"/>
    <tableColumn id="58" xr3:uid="{E0FBA4DE-7410-410A-B74C-CE2553865FB7}" name="Pad Angle &lt;30deg. Pass-Fail" dataDxfId="14"/>
    <tableColumn id="14" xr3:uid="{00000000-0010-0000-0400-00000E000000}" name="Rider weight" dataDxfId="13"/>
    <tableColumn id="23" xr3:uid="{00000000-0010-0000-0400-000017000000}" name="Bike weight" dataDxfId="12"/>
    <tableColumn id="32" xr3:uid="{E7FA2116-1C97-4394-A6CC-46F42F10822F}" name="System weight (kg)" dataDxfId="11"/>
    <tableColumn id="15" xr3:uid="{00000000-0010-0000-0400-00000F000000}" name="Tyre pressure" dataDxfId="10"/>
    <tableColumn id="25" xr3:uid="{00000000-0010-0000-0400-000019000000}" name="Gear" dataDxfId="9"/>
    <tableColumn id="16" xr3:uid="{00000000-0010-0000-0400-000010000000}" name="Crr" dataDxfId="8"/>
    <tableColumn id="21" xr3:uid="{00000000-0010-0000-0400-000015000000}" name="Mechanical efficeincy" dataDxfId="7"/>
    <tableColumn id="18" xr3:uid="{00000000-0010-0000-0400-000012000000}" name="Temp" dataDxfId="6"/>
    <tableColumn id="19" xr3:uid="{00000000-0010-0000-0400-000013000000}" name="Air pressure" dataDxfId="5"/>
    <tableColumn id="7" xr3:uid="{00000000-0010-0000-0400-000007000000}" name="Humidity" dataDxfId="4"/>
    <tableColumn id="20" xr3:uid="{00000000-0010-0000-0400-000014000000}" name="Air density" dataDxfId="3"/>
    <tableColumn id="4" xr3:uid="{00000000-0010-0000-0400-000004000000}" name="Wheel diameter" dataDxfId="2"/>
    <tableColumn id="61" xr3:uid="{4C2202FB-4A59-4816-8E7B-7CE3968515C5}" name="Comments" dataDxfId="1"/>
    <tableColumn id="31" xr3:uid="{EE5279F6-0CC0-4D71-88E8-E4FEB321C91F}" name="Video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youtu.be/al3SBPBgeAw" TargetMode="External"/><Relationship Id="rId2" Type="http://schemas.openxmlformats.org/officeDocument/2006/relationships/hyperlink" Target="https://youtu.be/bLE1dPY9uiY" TargetMode="External"/><Relationship Id="rId1" Type="http://schemas.openxmlformats.org/officeDocument/2006/relationships/hyperlink" Target="https://youtu.be/32jiqeYeCMo" TargetMode="External"/><Relationship Id="rId6" Type="http://schemas.openxmlformats.org/officeDocument/2006/relationships/table" Target="../tables/table1.xm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youtu.be/eWSNx-EJHJ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R447"/>
  <sheetViews>
    <sheetView showGridLines="0" tabSelected="1" zoomScale="55" zoomScaleNormal="55" workbookViewId="0">
      <pane ySplit="1" topLeftCell="A37" activePane="bottomLeft" state="frozen"/>
      <selection activeCell="AD1" sqref="AD1"/>
      <selection pane="bottomLeft" activeCell="J448" sqref="J448"/>
    </sheetView>
  </sheetViews>
  <sheetFormatPr defaultColWidth="23.1328125" defaultRowHeight="14.25" x14ac:dyDescent="0.45"/>
  <cols>
    <col min="1" max="1" width="7.46484375" style="1" customWidth="1"/>
    <col min="2" max="2" width="23.1328125" style="1"/>
    <col min="3" max="3" width="12.86328125" style="3" customWidth="1"/>
    <col min="4" max="4" width="9.796875" style="46" customWidth="1"/>
    <col min="5" max="5" width="28" customWidth="1"/>
    <col min="6" max="7" width="23.1328125" style="7" customWidth="1"/>
    <col min="8" max="9" width="23.1328125" style="5" customWidth="1"/>
    <col min="10" max="11" width="23.1328125" style="7" customWidth="1"/>
    <col min="12" max="12" width="23.1328125" customWidth="1"/>
    <col min="13" max="22" width="23.1328125" style="7" customWidth="1"/>
    <col min="23" max="26" width="23.1328125" customWidth="1"/>
    <col min="27" max="56" width="23.1328125" style="5" customWidth="1"/>
    <col min="57" max="58" width="23.1328125" style="1" customWidth="1"/>
    <col min="59" max="60" width="23.1328125" style="5" customWidth="1"/>
    <col min="61" max="61" width="23.1328125" style="1" customWidth="1"/>
    <col min="62" max="62" width="23.1328125" style="1"/>
    <col min="63" max="63" width="23.1328125" style="6"/>
    <col min="64" max="64" width="23.1328125" style="1"/>
    <col min="65" max="65" width="100.86328125" style="1" customWidth="1"/>
    <col min="70" max="70" width="23.1328125" style="7"/>
  </cols>
  <sheetData>
    <row r="1" spans="1:70" s="35" customFormat="1" ht="42.75" x14ac:dyDescent="0.45">
      <c r="A1" s="24" t="s">
        <v>0</v>
      </c>
      <c r="B1" s="53" t="s">
        <v>1</v>
      </c>
      <c r="C1" s="3" t="s">
        <v>2</v>
      </c>
      <c r="D1" s="45" t="s">
        <v>3</v>
      </c>
      <c r="E1" s="37" t="s">
        <v>31</v>
      </c>
      <c r="F1" s="27" t="s">
        <v>495</v>
      </c>
      <c r="G1" s="26" t="s">
        <v>496</v>
      </c>
      <c r="H1" s="26" t="s">
        <v>6</v>
      </c>
      <c r="I1" s="47" t="s">
        <v>50</v>
      </c>
      <c r="J1" s="47" t="s">
        <v>597</v>
      </c>
      <c r="K1" s="47" t="s">
        <v>209</v>
      </c>
      <c r="L1" s="47" t="s">
        <v>32</v>
      </c>
      <c r="M1" s="47" t="s">
        <v>586</v>
      </c>
      <c r="N1" s="47" t="s">
        <v>596</v>
      </c>
      <c r="O1" s="26" t="s">
        <v>497</v>
      </c>
      <c r="P1" s="47" t="s">
        <v>51</v>
      </c>
      <c r="Q1" s="47" t="s">
        <v>52</v>
      </c>
      <c r="R1" s="47" t="s">
        <v>498</v>
      </c>
      <c r="S1" s="47" t="s">
        <v>499</v>
      </c>
      <c r="T1" s="47" t="s">
        <v>33</v>
      </c>
      <c r="U1" s="47" t="s">
        <v>4</v>
      </c>
      <c r="V1" s="47" t="s">
        <v>5</v>
      </c>
      <c r="W1" s="26" t="s">
        <v>34</v>
      </c>
      <c r="X1" s="26" t="s">
        <v>35</v>
      </c>
      <c r="Y1" s="26" t="s">
        <v>36</v>
      </c>
      <c r="Z1" s="28" t="s">
        <v>53</v>
      </c>
      <c r="AA1" s="29" t="s">
        <v>54</v>
      </c>
      <c r="AB1" s="29" t="s">
        <v>55</v>
      </c>
      <c r="AC1" s="29" t="s">
        <v>56</v>
      </c>
      <c r="AD1" s="29" t="s">
        <v>57</v>
      </c>
      <c r="AE1" s="29" t="s">
        <v>58</v>
      </c>
      <c r="AF1" s="30" t="s">
        <v>59</v>
      </c>
      <c r="AG1" s="30" t="s">
        <v>60</v>
      </c>
      <c r="AH1" s="30" t="s">
        <v>61</v>
      </c>
      <c r="AI1" s="30" t="s">
        <v>62</v>
      </c>
      <c r="AJ1" s="30" t="s">
        <v>63</v>
      </c>
      <c r="AK1" s="30" t="s">
        <v>64</v>
      </c>
      <c r="AL1" s="30" t="s">
        <v>65</v>
      </c>
      <c r="AM1" s="31" t="s">
        <v>66</v>
      </c>
      <c r="AN1" s="31" t="s">
        <v>67</v>
      </c>
      <c r="AO1" s="31" t="s">
        <v>68</v>
      </c>
      <c r="AP1" s="31" t="s">
        <v>69</v>
      </c>
      <c r="AQ1" s="31" t="s">
        <v>70</v>
      </c>
      <c r="AR1" s="31" t="s">
        <v>71</v>
      </c>
      <c r="AS1" s="31" t="s">
        <v>72</v>
      </c>
      <c r="AT1" s="31" t="s">
        <v>73</v>
      </c>
      <c r="AU1" s="32" t="s">
        <v>74</v>
      </c>
      <c r="AV1" s="31" t="s">
        <v>75</v>
      </c>
      <c r="AW1" s="26" t="s">
        <v>37</v>
      </c>
      <c r="AX1" s="26" t="s">
        <v>38</v>
      </c>
      <c r="AY1" s="26" t="s">
        <v>7</v>
      </c>
      <c r="AZ1" s="26" t="s">
        <v>8</v>
      </c>
      <c r="BA1" s="26" t="s">
        <v>9</v>
      </c>
      <c r="BB1" s="26" t="s">
        <v>10</v>
      </c>
      <c r="BC1" s="26" t="s">
        <v>39</v>
      </c>
      <c r="BD1" s="26" t="s">
        <v>11</v>
      </c>
      <c r="BE1" s="26" t="s">
        <v>40</v>
      </c>
      <c r="BF1" s="26" t="s">
        <v>12</v>
      </c>
      <c r="BG1" s="26" t="s">
        <v>41</v>
      </c>
      <c r="BH1" s="33" t="s">
        <v>42</v>
      </c>
      <c r="BI1" s="34" t="s">
        <v>76</v>
      </c>
      <c r="BJ1" s="25" t="s">
        <v>30</v>
      </c>
    </row>
    <row r="2" spans="1:70" x14ac:dyDescent="0.45">
      <c r="A2" s="2" t="s">
        <v>43</v>
      </c>
      <c r="B2" s="54" t="s">
        <v>45</v>
      </c>
      <c r="C2" s="3">
        <v>45197</v>
      </c>
      <c r="D2" s="8">
        <v>1</v>
      </c>
      <c r="E2" s="10" t="s">
        <v>22</v>
      </c>
      <c r="F2" s="4" t="s">
        <v>15</v>
      </c>
      <c r="G2" s="4" t="s">
        <v>15</v>
      </c>
      <c r="H2" s="4" t="s">
        <v>223</v>
      </c>
      <c r="I2" s="7"/>
      <c r="L2" s="7"/>
      <c r="M2" s="7">
        <v>0.161</v>
      </c>
      <c r="O2" s="9" t="s">
        <v>47</v>
      </c>
      <c r="T2" s="7">
        <v>60.3</v>
      </c>
      <c r="U2" s="7">
        <v>461</v>
      </c>
      <c r="V2" s="7">
        <v>754.8</v>
      </c>
      <c r="W2" s="9"/>
      <c r="X2" s="9" t="s">
        <v>49</v>
      </c>
      <c r="Y2" s="4" t="s">
        <v>78</v>
      </c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>
        <v>71.8</v>
      </c>
      <c r="AX2" s="9">
        <v>8.1999999999999993</v>
      </c>
      <c r="AY2" s="9"/>
      <c r="AZ2" s="7">
        <v>200</v>
      </c>
      <c r="BA2" s="4">
        <v>111.4</v>
      </c>
      <c r="BB2" s="4"/>
      <c r="BC2" s="4"/>
      <c r="BD2" s="12" t="s">
        <v>211</v>
      </c>
      <c r="BE2" s="14">
        <v>997</v>
      </c>
      <c r="BF2" s="63">
        <v>49</v>
      </c>
      <c r="BG2" s="15">
        <v>1.163</v>
      </c>
      <c r="BH2" s="7">
        <v>2096</v>
      </c>
      <c r="BI2" s="4"/>
      <c r="BJ2" s="3"/>
      <c r="BK2"/>
      <c r="BL2"/>
      <c r="BM2"/>
      <c r="BR2"/>
    </row>
    <row r="3" spans="1:70" x14ac:dyDescent="0.45">
      <c r="A3" s="2" t="s">
        <v>43</v>
      </c>
      <c r="B3" s="54" t="s">
        <v>45</v>
      </c>
      <c r="C3" s="3">
        <v>45197</v>
      </c>
      <c r="D3" s="8">
        <v>2</v>
      </c>
      <c r="E3" s="10" t="s">
        <v>22</v>
      </c>
      <c r="F3" s="4" t="s">
        <v>15</v>
      </c>
      <c r="G3" s="4" t="s">
        <v>15</v>
      </c>
      <c r="H3" s="4" t="s">
        <v>330</v>
      </c>
      <c r="I3" s="7"/>
      <c r="L3" s="7"/>
      <c r="M3" s="7">
        <v>0.161</v>
      </c>
      <c r="O3" s="9" t="s">
        <v>47</v>
      </c>
      <c r="T3" s="7">
        <v>60.4</v>
      </c>
      <c r="U3" s="7">
        <v>470</v>
      </c>
      <c r="V3" s="7">
        <v>754.6</v>
      </c>
      <c r="W3" s="9"/>
      <c r="X3" s="9" t="s">
        <v>49</v>
      </c>
      <c r="Y3" s="4" t="s">
        <v>78</v>
      </c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  <c r="AU3" s="9"/>
      <c r="AV3" s="9"/>
      <c r="AW3" s="9">
        <v>65.900000000000006</v>
      </c>
      <c r="AX3" s="9">
        <v>8</v>
      </c>
      <c r="AY3" s="9">
        <f>[1]!Track_TT23[[#This Row],[Bike weight ]]+[1]!Track_TT23[[#This Row],[Rider weight ]]</f>
        <v>82.399999999999991</v>
      </c>
      <c r="AZ3" s="7">
        <v>200</v>
      </c>
      <c r="BA3" s="4">
        <v>111.4</v>
      </c>
      <c r="BB3" s="4"/>
      <c r="BC3" s="4"/>
      <c r="BD3" s="12" t="s">
        <v>211</v>
      </c>
      <c r="BE3" s="14">
        <v>997</v>
      </c>
      <c r="BF3" s="63">
        <v>49</v>
      </c>
      <c r="BG3" s="15">
        <v>1.163</v>
      </c>
      <c r="BH3" s="7">
        <v>2096</v>
      </c>
      <c r="BI3" s="4"/>
      <c r="BJ3" s="3"/>
      <c r="BK3"/>
      <c r="BL3"/>
      <c r="BM3"/>
      <c r="BR3"/>
    </row>
    <row r="4" spans="1:70" x14ac:dyDescent="0.45">
      <c r="A4" s="2" t="s">
        <v>43</v>
      </c>
      <c r="B4" s="54" t="s">
        <v>45</v>
      </c>
      <c r="C4" s="3">
        <v>45197</v>
      </c>
      <c r="D4" s="8">
        <v>3</v>
      </c>
      <c r="E4" s="10" t="s">
        <v>22</v>
      </c>
      <c r="F4" s="4" t="s">
        <v>15</v>
      </c>
      <c r="G4" s="4" t="s">
        <v>15</v>
      </c>
      <c r="H4" s="4" t="s">
        <v>574</v>
      </c>
      <c r="I4" s="7"/>
      <c r="L4" s="7"/>
      <c r="M4" s="7">
        <v>0.16220000000000001</v>
      </c>
      <c r="O4" s="9" t="s">
        <v>47</v>
      </c>
      <c r="T4" s="7">
        <v>60.2</v>
      </c>
      <c r="U4" s="7">
        <v>463</v>
      </c>
      <c r="V4" s="7">
        <v>754.2</v>
      </c>
      <c r="W4" s="9"/>
      <c r="X4" s="9" t="s">
        <v>49</v>
      </c>
      <c r="Y4" s="4" t="s">
        <v>78</v>
      </c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>
        <v>63.5</v>
      </c>
      <c r="AX4" s="9">
        <v>8.1999999999999993</v>
      </c>
      <c r="AY4" s="9">
        <f>[1]!Track_TT23[[#This Row],[Bike weight ]]+[1]!Track_TT23[[#This Row],[Rider weight ]]</f>
        <v>70</v>
      </c>
      <c r="AZ4" s="7">
        <v>200</v>
      </c>
      <c r="BA4" s="4">
        <v>109.7</v>
      </c>
      <c r="BB4" s="4"/>
      <c r="BC4" s="4"/>
      <c r="BD4" s="16">
        <v>23.9</v>
      </c>
      <c r="BE4" s="17">
        <v>997.1</v>
      </c>
      <c r="BF4" s="16">
        <v>49.6</v>
      </c>
      <c r="BG4" s="15"/>
      <c r="BH4" s="7">
        <v>2096</v>
      </c>
      <c r="BI4" s="13" t="s">
        <v>80</v>
      </c>
      <c r="BJ4" s="3"/>
      <c r="BK4"/>
      <c r="BL4"/>
      <c r="BM4"/>
      <c r="BR4"/>
    </row>
    <row r="5" spans="1:70" x14ac:dyDescent="0.45">
      <c r="A5" s="2" t="s">
        <v>43</v>
      </c>
      <c r="B5" s="54" t="s">
        <v>45</v>
      </c>
      <c r="C5" s="3">
        <v>45197</v>
      </c>
      <c r="D5" s="8">
        <v>4</v>
      </c>
      <c r="E5" s="10" t="s">
        <v>22</v>
      </c>
      <c r="F5" s="4" t="s">
        <v>15</v>
      </c>
      <c r="G5" s="4" t="s">
        <v>15</v>
      </c>
      <c r="H5" s="4" t="s">
        <v>223</v>
      </c>
      <c r="I5" s="7"/>
      <c r="L5" s="7"/>
      <c r="M5" s="7">
        <v>0.1608</v>
      </c>
      <c r="O5" s="9" t="s">
        <v>47</v>
      </c>
      <c r="T5" s="7">
        <v>60.1</v>
      </c>
      <c r="U5" s="7">
        <v>458</v>
      </c>
      <c r="V5" s="7">
        <v>754.4</v>
      </c>
      <c r="W5" s="9"/>
      <c r="X5" s="9" t="s">
        <v>49</v>
      </c>
      <c r="Y5" s="4" t="s">
        <v>78</v>
      </c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>
        <v>71.8</v>
      </c>
      <c r="AX5" s="9">
        <v>8.1999999999999993</v>
      </c>
      <c r="AY5" s="9"/>
      <c r="AZ5" s="7">
        <v>200</v>
      </c>
      <c r="BA5" s="4">
        <v>111.4</v>
      </c>
      <c r="BB5" s="4"/>
      <c r="BC5" s="4"/>
      <c r="BD5" s="12" t="s">
        <v>20</v>
      </c>
      <c r="BE5" s="14">
        <v>997</v>
      </c>
      <c r="BF5" s="63">
        <v>49</v>
      </c>
      <c r="BG5" s="15">
        <v>1.1599999999999999</v>
      </c>
      <c r="BH5" s="7">
        <v>2096</v>
      </c>
      <c r="BI5" s="4"/>
      <c r="BJ5" s="3"/>
      <c r="BK5"/>
      <c r="BL5"/>
      <c r="BM5"/>
      <c r="BR5"/>
    </row>
    <row r="6" spans="1:70" x14ac:dyDescent="0.45">
      <c r="A6" s="2" t="s">
        <v>43</v>
      </c>
      <c r="B6" s="54" t="s">
        <v>45</v>
      </c>
      <c r="C6" s="3">
        <v>45197</v>
      </c>
      <c r="D6" s="8">
        <v>5</v>
      </c>
      <c r="E6" s="10" t="s">
        <v>22</v>
      </c>
      <c r="F6" s="4" t="s">
        <v>15</v>
      </c>
      <c r="G6" s="4" t="s">
        <v>15</v>
      </c>
      <c r="H6" s="9" t="s">
        <v>573</v>
      </c>
      <c r="I6" s="7"/>
      <c r="L6" s="7"/>
      <c r="M6" s="7">
        <v>0.16270000000000001</v>
      </c>
      <c r="O6" s="9" t="s">
        <v>47</v>
      </c>
      <c r="T6" s="7">
        <v>59.7</v>
      </c>
      <c r="U6" s="7">
        <v>439</v>
      </c>
      <c r="V6" s="7">
        <v>754.4</v>
      </c>
      <c r="W6" s="9"/>
      <c r="X6" s="9" t="s">
        <v>49</v>
      </c>
      <c r="Y6" s="4" t="s">
        <v>78</v>
      </c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>
        <v>65.900000000000006</v>
      </c>
      <c r="AX6" s="9">
        <v>8</v>
      </c>
      <c r="AY6" s="9">
        <f>[1]!Track_TT23[[#This Row],[Bike weight ]]+[1]!Track_TT23[[#This Row],[Rider weight ]]</f>
        <v>82.399999999999991</v>
      </c>
      <c r="AZ6" s="7">
        <v>200</v>
      </c>
      <c r="BA6" s="4">
        <v>111.4</v>
      </c>
      <c r="BB6" s="4"/>
      <c r="BC6" s="4"/>
      <c r="BD6" s="12" t="s">
        <v>27</v>
      </c>
      <c r="BE6" s="14">
        <v>997</v>
      </c>
      <c r="BF6" s="63">
        <v>49</v>
      </c>
      <c r="BG6" s="15">
        <v>1.161</v>
      </c>
      <c r="BH6" s="7">
        <v>2096</v>
      </c>
      <c r="BI6" s="4"/>
      <c r="BJ6" s="3"/>
      <c r="BK6"/>
      <c r="BL6"/>
      <c r="BM6"/>
      <c r="BR6"/>
    </row>
    <row r="7" spans="1:70" x14ac:dyDescent="0.45">
      <c r="A7" s="2" t="s">
        <v>43</v>
      </c>
      <c r="B7" s="54" t="s">
        <v>45</v>
      </c>
      <c r="C7" s="3">
        <v>45197</v>
      </c>
      <c r="D7" s="8">
        <v>6</v>
      </c>
      <c r="E7" s="10" t="s">
        <v>22</v>
      </c>
      <c r="F7" s="4" t="s">
        <v>15</v>
      </c>
      <c r="G7" s="4" t="s">
        <v>15</v>
      </c>
      <c r="H7" s="4" t="s">
        <v>574</v>
      </c>
      <c r="I7" s="7"/>
      <c r="L7" s="7"/>
      <c r="M7" s="7">
        <v>0.16309999999999999</v>
      </c>
      <c r="O7" s="9" t="s">
        <v>47</v>
      </c>
      <c r="T7" s="7">
        <v>60</v>
      </c>
      <c r="U7" s="7">
        <v>446</v>
      </c>
      <c r="V7" s="7">
        <v>754.6</v>
      </c>
      <c r="W7" s="9"/>
      <c r="X7" s="9" t="s">
        <v>49</v>
      </c>
      <c r="Y7" s="4" t="s">
        <v>78</v>
      </c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>
        <v>63.6</v>
      </c>
      <c r="AX7" s="9">
        <v>8.1999999999999993</v>
      </c>
      <c r="AY7" s="9">
        <f>[1]!Track_TT23[[#This Row],[Bike weight ]]+[1]!Track_TT23[[#This Row],[Rider weight ]]</f>
        <v>70</v>
      </c>
      <c r="AZ7" s="7">
        <v>200</v>
      </c>
      <c r="BA7" s="4">
        <v>109.7</v>
      </c>
      <c r="BB7" s="4"/>
      <c r="BC7" s="4"/>
      <c r="BD7" s="16">
        <v>24.5</v>
      </c>
      <c r="BE7" s="17">
        <v>997</v>
      </c>
      <c r="BF7" s="16">
        <v>48</v>
      </c>
      <c r="BG7" s="15"/>
      <c r="BH7" s="7">
        <v>2096</v>
      </c>
      <c r="BI7" s="13" t="s">
        <v>81</v>
      </c>
      <c r="BJ7" s="3"/>
      <c r="BK7"/>
      <c r="BL7"/>
      <c r="BM7"/>
      <c r="BR7"/>
    </row>
    <row r="8" spans="1:70" x14ac:dyDescent="0.45">
      <c r="A8" s="2" t="s">
        <v>43</v>
      </c>
      <c r="B8" s="54" t="s">
        <v>79</v>
      </c>
      <c r="C8" s="3">
        <v>45197</v>
      </c>
      <c r="D8" s="8">
        <v>1</v>
      </c>
      <c r="E8" s="10" t="s">
        <v>22</v>
      </c>
      <c r="F8" s="4" t="s">
        <v>15</v>
      </c>
      <c r="G8" s="4" t="s">
        <v>585</v>
      </c>
      <c r="H8" s="4" t="s">
        <v>330</v>
      </c>
      <c r="I8" s="7"/>
      <c r="L8" s="7"/>
      <c r="M8" s="7">
        <v>0.15840000000000001</v>
      </c>
      <c r="O8" s="9" t="s">
        <v>23</v>
      </c>
      <c r="T8" s="7">
        <v>58.9</v>
      </c>
      <c r="U8" s="7">
        <v>430</v>
      </c>
      <c r="V8" s="7">
        <v>756.7</v>
      </c>
      <c r="W8" s="9"/>
      <c r="X8" s="9" t="s">
        <v>49</v>
      </c>
      <c r="Y8" s="4" t="s">
        <v>78</v>
      </c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>
        <v>71.7</v>
      </c>
      <c r="AX8" s="9">
        <v>8.1999999999999993</v>
      </c>
      <c r="AY8" s="9">
        <f>[1]!Track_TT23[[#This Row],[Bike weight ]]+[1]!Track_TT23[[#This Row],[Rider weight ]]</f>
        <v>8.1</v>
      </c>
      <c r="AZ8" s="7">
        <v>200</v>
      </c>
      <c r="BA8" s="4">
        <v>111.4</v>
      </c>
      <c r="BB8" s="4"/>
      <c r="BC8" s="4"/>
      <c r="BD8" s="12" t="s">
        <v>21</v>
      </c>
      <c r="BE8" s="14">
        <v>996</v>
      </c>
      <c r="BF8" s="63">
        <v>49</v>
      </c>
      <c r="BG8" s="15">
        <v>1.159</v>
      </c>
      <c r="BH8" s="7">
        <v>2096</v>
      </c>
      <c r="BI8" s="4"/>
      <c r="BJ8" s="3"/>
      <c r="BK8"/>
      <c r="BL8"/>
      <c r="BM8"/>
      <c r="BR8"/>
    </row>
    <row r="9" spans="1:70" x14ac:dyDescent="0.45">
      <c r="A9" s="2" t="s">
        <v>43</v>
      </c>
      <c r="B9" s="54" t="s">
        <v>79</v>
      </c>
      <c r="C9" s="3">
        <v>45197</v>
      </c>
      <c r="D9" s="8">
        <v>2</v>
      </c>
      <c r="E9" s="10" t="s">
        <v>22</v>
      </c>
      <c r="F9" s="4" t="s">
        <v>15</v>
      </c>
      <c r="G9" s="4" t="s">
        <v>585</v>
      </c>
      <c r="H9" s="4" t="s">
        <v>574</v>
      </c>
      <c r="I9" s="7"/>
      <c r="L9" s="7"/>
      <c r="M9" s="7">
        <v>0.15759999999999999</v>
      </c>
      <c r="O9" s="9" t="s">
        <v>23</v>
      </c>
      <c r="T9" s="7">
        <v>58.7</v>
      </c>
      <c r="U9" s="7">
        <v>421</v>
      </c>
      <c r="V9" s="7">
        <v>755.6</v>
      </c>
      <c r="W9" s="9"/>
      <c r="X9" s="9" t="s">
        <v>49</v>
      </c>
      <c r="Y9" s="4" t="s">
        <v>78</v>
      </c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>
        <v>65.8</v>
      </c>
      <c r="AX9" s="9">
        <v>8</v>
      </c>
      <c r="AY9" s="9">
        <f>[1]!Track_TT23[[#This Row],[Bike weight ]]+[1]!Track_TT23[[#This Row],[Rider weight ]]</f>
        <v>73.300000000000011</v>
      </c>
      <c r="AZ9" s="7">
        <v>200</v>
      </c>
      <c r="BA9" s="4">
        <v>111.4</v>
      </c>
      <c r="BB9" s="4"/>
      <c r="BC9" s="4"/>
      <c r="BD9" s="12" t="s">
        <v>20</v>
      </c>
      <c r="BE9" s="14">
        <v>997</v>
      </c>
      <c r="BF9" s="63">
        <v>49</v>
      </c>
      <c r="BG9" s="15">
        <v>1.1599999999999999</v>
      </c>
      <c r="BH9" s="7">
        <v>2096</v>
      </c>
      <c r="BI9" s="4"/>
      <c r="BJ9" s="3"/>
      <c r="BK9"/>
      <c r="BL9"/>
      <c r="BM9"/>
      <c r="BR9"/>
    </row>
    <row r="10" spans="1:70" x14ac:dyDescent="0.45">
      <c r="A10" s="2" t="s">
        <v>43</v>
      </c>
      <c r="B10" s="54" t="s">
        <v>79</v>
      </c>
      <c r="C10" s="3">
        <v>45197</v>
      </c>
      <c r="D10" s="8">
        <v>3</v>
      </c>
      <c r="E10" s="10" t="s">
        <v>22</v>
      </c>
      <c r="F10" s="4" t="s">
        <v>15</v>
      </c>
      <c r="G10" s="4" t="s">
        <v>585</v>
      </c>
      <c r="H10" s="4" t="s">
        <v>223</v>
      </c>
      <c r="I10" s="7"/>
      <c r="L10" s="7"/>
      <c r="M10" s="7">
        <v>0.15540000000000001</v>
      </c>
      <c r="O10" s="9" t="s">
        <v>23</v>
      </c>
      <c r="T10" s="7">
        <v>59.6</v>
      </c>
      <c r="U10" s="7">
        <v>424</v>
      </c>
      <c r="V10" s="7">
        <v>756.2</v>
      </c>
      <c r="W10" s="9"/>
      <c r="X10" s="9" t="s">
        <v>49</v>
      </c>
      <c r="Y10" s="4" t="s">
        <v>78</v>
      </c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>
        <v>63.6</v>
      </c>
      <c r="AX10" s="9">
        <v>8.1999999999999993</v>
      </c>
      <c r="AY10" s="9"/>
      <c r="AZ10" s="7">
        <v>200</v>
      </c>
      <c r="BA10" s="4">
        <v>109.7</v>
      </c>
      <c r="BB10" s="4"/>
      <c r="BC10" s="4"/>
      <c r="BD10" s="16">
        <v>24.6</v>
      </c>
      <c r="BE10" s="17">
        <v>997</v>
      </c>
      <c r="BF10" s="16">
        <v>47</v>
      </c>
      <c r="BG10" s="15"/>
      <c r="BH10" s="7">
        <v>2096</v>
      </c>
      <c r="BI10" s="13" t="s">
        <v>82</v>
      </c>
      <c r="BJ10" s="3"/>
      <c r="BK10"/>
      <c r="BL10"/>
      <c r="BM10"/>
      <c r="BR10"/>
    </row>
    <row r="11" spans="1:70" x14ac:dyDescent="0.45">
      <c r="A11" s="2" t="s">
        <v>43</v>
      </c>
      <c r="B11" s="54" t="s">
        <v>79</v>
      </c>
      <c r="C11" s="3">
        <v>45197</v>
      </c>
      <c r="D11" s="8">
        <v>4</v>
      </c>
      <c r="E11" s="10" t="s">
        <v>22</v>
      </c>
      <c r="F11" s="4" t="s">
        <v>15</v>
      </c>
      <c r="G11" s="4" t="s">
        <v>585</v>
      </c>
      <c r="H11" s="4" t="s">
        <v>330</v>
      </c>
      <c r="I11" s="7"/>
      <c r="L11" s="7"/>
      <c r="M11" s="7">
        <v>0.1575</v>
      </c>
      <c r="O11" s="9" t="s">
        <v>23</v>
      </c>
      <c r="T11" s="7">
        <v>60.4</v>
      </c>
      <c r="U11" s="7">
        <v>442</v>
      </c>
      <c r="V11" s="7">
        <v>756.3</v>
      </c>
      <c r="W11" s="9"/>
      <c r="X11" s="9" t="s">
        <v>49</v>
      </c>
      <c r="Y11" s="4" t="s">
        <v>78</v>
      </c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>
        <v>71.599999999999994</v>
      </c>
      <c r="AX11" s="9">
        <v>8.1999999999999993</v>
      </c>
      <c r="AY11" s="9">
        <f>[1]!Track_TT23[[#This Row],[Bike weight ]]+[1]!Track_TT23[[#This Row],[Rider weight ]]</f>
        <v>73.300000000000011</v>
      </c>
      <c r="AZ11" s="7">
        <v>200</v>
      </c>
      <c r="BA11" s="4">
        <v>111.4</v>
      </c>
      <c r="BB11" s="4"/>
      <c r="BC11" s="4"/>
      <c r="BD11" s="12" t="s">
        <v>18</v>
      </c>
      <c r="BE11" s="14">
        <v>996</v>
      </c>
      <c r="BF11" s="63">
        <v>47</v>
      </c>
      <c r="BG11" s="15">
        <v>1.1579999999999999</v>
      </c>
      <c r="BH11" s="7">
        <v>2096</v>
      </c>
      <c r="BI11" s="4"/>
      <c r="BJ11" s="3"/>
      <c r="BK11"/>
      <c r="BL11"/>
      <c r="BM11"/>
      <c r="BR11"/>
    </row>
    <row r="12" spans="1:70" x14ac:dyDescent="0.45">
      <c r="A12" s="2" t="s">
        <v>43</v>
      </c>
      <c r="B12" s="54" t="s">
        <v>79</v>
      </c>
      <c r="C12" s="3">
        <v>45197</v>
      </c>
      <c r="D12" s="8">
        <v>5</v>
      </c>
      <c r="E12" s="10" t="s">
        <v>22</v>
      </c>
      <c r="F12" s="4" t="s">
        <v>15</v>
      </c>
      <c r="G12" s="4" t="s">
        <v>585</v>
      </c>
      <c r="H12" s="4" t="s">
        <v>574</v>
      </c>
      <c r="I12" s="7"/>
      <c r="L12" s="7"/>
      <c r="M12" s="7">
        <v>0.15909999999999999</v>
      </c>
      <c r="O12" s="9" t="s">
        <v>23</v>
      </c>
      <c r="T12" s="7">
        <v>60</v>
      </c>
      <c r="U12" s="7">
        <v>436</v>
      </c>
      <c r="V12" s="7">
        <v>756.1</v>
      </c>
      <c r="W12" s="9"/>
      <c r="X12" s="9" t="s">
        <v>49</v>
      </c>
      <c r="Y12" s="4" t="s">
        <v>78</v>
      </c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>
        <v>65.7</v>
      </c>
      <c r="AX12" s="9">
        <v>8</v>
      </c>
      <c r="AY12" s="9">
        <f>[1]!Track_TT23[[#This Row],[Bike weight ]]+[1]!Track_TT23[[#This Row],[Rider weight ]]</f>
        <v>8.1</v>
      </c>
      <c r="AZ12" s="7">
        <v>200</v>
      </c>
      <c r="BA12" s="4">
        <v>111.4</v>
      </c>
      <c r="BB12" s="4"/>
      <c r="BC12" s="4"/>
      <c r="BD12" s="12" t="s">
        <v>18</v>
      </c>
      <c r="BE12" s="14">
        <v>996</v>
      </c>
      <c r="BF12" s="63">
        <v>47</v>
      </c>
      <c r="BG12" s="15">
        <v>1.159</v>
      </c>
      <c r="BH12" s="7">
        <v>2096</v>
      </c>
      <c r="BI12" s="4"/>
      <c r="BJ12" s="3"/>
      <c r="BK12"/>
      <c r="BL12"/>
      <c r="BM12"/>
      <c r="BR12"/>
    </row>
    <row r="13" spans="1:70" x14ac:dyDescent="0.45">
      <c r="A13" s="2" t="s">
        <v>43</v>
      </c>
      <c r="B13" s="54" t="s">
        <v>79</v>
      </c>
      <c r="C13" s="3">
        <v>45197</v>
      </c>
      <c r="D13" s="8">
        <v>6</v>
      </c>
      <c r="E13" s="10" t="s">
        <v>22</v>
      </c>
      <c r="F13" s="4" t="s">
        <v>15</v>
      </c>
      <c r="G13" s="4" t="s">
        <v>585</v>
      </c>
      <c r="H13" s="4" t="s">
        <v>223</v>
      </c>
      <c r="I13" s="7"/>
      <c r="L13" s="7"/>
      <c r="M13" s="7">
        <v>0.15659999999999999</v>
      </c>
      <c r="O13" s="9" t="s">
        <v>23</v>
      </c>
      <c r="T13" s="7">
        <v>59.3</v>
      </c>
      <c r="U13" s="7">
        <v>419</v>
      </c>
      <c r="V13" s="7">
        <v>756.3</v>
      </c>
      <c r="W13" s="9"/>
      <c r="X13" s="9" t="s">
        <v>49</v>
      </c>
      <c r="Y13" s="4" t="s">
        <v>78</v>
      </c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>
        <v>63.5</v>
      </c>
      <c r="AX13" s="9">
        <v>8.1999999999999993</v>
      </c>
      <c r="AY13" s="9"/>
      <c r="AZ13" s="7">
        <v>200</v>
      </c>
      <c r="BA13" s="4">
        <v>109.7</v>
      </c>
      <c r="BB13" s="4"/>
      <c r="BC13" s="4"/>
      <c r="BD13" s="16">
        <v>24.7</v>
      </c>
      <c r="BE13" s="17">
        <v>997</v>
      </c>
      <c r="BF13" s="16">
        <v>47</v>
      </c>
      <c r="BG13" s="15"/>
      <c r="BH13" s="7">
        <v>2096</v>
      </c>
      <c r="BI13" s="13" t="s">
        <v>83</v>
      </c>
      <c r="BJ13" s="3"/>
      <c r="BK13"/>
      <c r="BL13"/>
      <c r="BM13"/>
      <c r="BR13"/>
    </row>
    <row r="14" spans="1:70" x14ac:dyDescent="0.45">
      <c r="A14" s="2" t="s">
        <v>43</v>
      </c>
      <c r="B14" s="54" t="s">
        <v>46</v>
      </c>
      <c r="C14" s="3">
        <v>45197</v>
      </c>
      <c r="D14" s="8">
        <v>1</v>
      </c>
      <c r="E14" s="10" t="s">
        <v>22</v>
      </c>
      <c r="F14" s="4" t="s">
        <v>15</v>
      </c>
      <c r="G14" s="4" t="s">
        <v>15</v>
      </c>
      <c r="H14" s="4" t="s">
        <v>330</v>
      </c>
      <c r="I14" s="7"/>
      <c r="L14" s="7"/>
      <c r="M14" s="7">
        <v>0.17150000000000001</v>
      </c>
      <c r="O14" s="9"/>
      <c r="T14" s="7">
        <v>57.5</v>
      </c>
      <c r="U14" s="7">
        <v>440</v>
      </c>
      <c r="V14" s="7">
        <v>750</v>
      </c>
      <c r="W14" s="9"/>
      <c r="X14" s="9" t="s">
        <v>49</v>
      </c>
      <c r="Y14" s="4" t="s">
        <v>78</v>
      </c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>
        <v>71.599999999999994</v>
      </c>
      <c r="AX14" s="9">
        <v>8.1999999999999993</v>
      </c>
      <c r="AY14" s="9">
        <f>[1]!Track_TT23[[#This Row],[Bike weight ]]+[1]!Track_TT23[[#This Row],[Rider weight ]]</f>
        <v>73.300000000000011</v>
      </c>
      <c r="AZ14" s="7">
        <v>200</v>
      </c>
      <c r="BA14" s="4">
        <v>111.4</v>
      </c>
      <c r="BB14" s="4"/>
      <c r="BC14" s="4"/>
      <c r="BD14" s="12" t="s">
        <v>29</v>
      </c>
      <c r="BE14" s="14">
        <v>995</v>
      </c>
      <c r="BF14" s="63">
        <v>47</v>
      </c>
      <c r="BG14" s="15">
        <v>1.157</v>
      </c>
      <c r="BH14" s="7">
        <v>2096</v>
      </c>
      <c r="BI14" s="4"/>
      <c r="BJ14" s="3"/>
      <c r="BK14"/>
      <c r="BL14"/>
      <c r="BM14"/>
      <c r="BR14"/>
    </row>
    <row r="15" spans="1:70" x14ac:dyDescent="0.45">
      <c r="A15" s="2" t="s">
        <v>43</v>
      </c>
      <c r="B15" s="54" t="s">
        <v>46</v>
      </c>
      <c r="C15" s="3">
        <v>45197</v>
      </c>
      <c r="D15" s="8">
        <v>2</v>
      </c>
      <c r="E15" s="10" t="s">
        <v>22</v>
      </c>
      <c r="F15" s="4" t="s">
        <v>15</v>
      </c>
      <c r="G15" s="4" t="s">
        <v>15</v>
      </c>
      <c r="H15" s="9" t="s">
        <v>572</v>
      </c>
      <c r="I15" s="7"/>
      <c r="L15" s="7"/>
      <c r="M15" s="7">
        <v>0.16969999999999999</v>
      </c>
      <c r="O15" s="9"/>
      <c r="T15" s="7">
        <v>56.9</v>
      </c>
      <c r="U15" s="7">
        <v>416</v>
      </c>
      <c r="V15" s="7">
        <v>750</v>
      </c>
      <c r="W15" s="9"/>
      <c r="X15" s="9" t="s">
        <v>49</v>
      </c>
      <c r="Y15" s="4" t="s">
        <v>78</v>
      </c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>
        <v>65.8</v>
      </c>
      <c r="AX15" s="9">
        <v>8</v>
      </c>
      <c r="AY15" s="9">
        <f>[1]!Track_TT23[[#This Row],[Bike weight ]]+[1]!Track_TT23[[#This Row],[Rider weight ]]</f>
        <v>82.1</v>
      </c>
      <c r="AZ15" s="7">
        <v>200</v>
      </c>
      <c r="BA15" s="4">
        <v>111.4</v>
      </c>
      <c r="BB15" s="4"/>
      <c r="BC15" s="4"/>
      <c r="BD15" s="12" t="s">
        <v>29</v>
      </c>
      <c r="BE15" s="14">
        <v>996</v>
      </c>
      <c r="BF15" s="63">
        <v>47</v>
      </c>
      <c r="BG15" s="15">
        <v>1.157</v>
      </c>
      <c r="BH15" s="7">
        <v>2096</v>
      </c>
      <c r="BI15" s="4"/>
      <c r="BJ15" s="3"/>
      <c r="BK15"/>
      <c r="BL15"/>
      <c r="BM15"/>
      <c r="BR15"/>
    </row>
    <row r="16" spans="1:70" x14ac:dyDescent="0.45">
      <c r="A16" s="2" t="s">
        <v>43</v>
      </c>
      <c r="B16" s="54" t="s">
        <v>46</v>
      </c>
      <c r="C16" s="3">
        <v>45197</v>
      </c>
      <c r="D16" s="8">
        <v>3</v>
      </c>
      <c r="E16" s="10" t="s">
        <v>22</v>
      </c>
      <c r="F16" s="4" t="s">
        <v>15</v>
      </c>
      <c r="G16" s="4" t="s">
        <v>15</v>
      </c>
      <c r="H16" s="9" t="s">
        <v>573</v>
      </c>
      <c r="I16" s="7"/>
      <c r="L16" s="7"/>
      <c r="M16" s="7">
        <v>0.1729</v>
      </c>
      <c r="O16" s="9"/>
      <c r="T16" s="7">
        <v>56.2</v>
      </c>
      <c r="U16" s="7">
        <v>400</v>
      </c>
      <c r="V16" s="7">
        <v>750</v>
      </c>
      <c r="W16" s="9"/>
      <c r="X16" s="9" t="s">
        <v>49</v>
      </c>
      <c r="Y16" s="4" t="s">
        <v>78</v>
      </c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>
        <v>63.5</v>
      </c>
      <c r="AX16" s="9">
        <v>8.1999999999999993</v>
      </c>
      <c r="AY16" s="9">
        <f>[1]!Track_TT23[[#This Row],[Bike weight ]]+[1]!Track_TT23[[#This Row],[Rider weight ]]</f>
        <v>69.7</v>
      </c>
      <c r="AZ16" s="7">
        <v>200</v>
      </c>
      <c r="BA16" s="4">
        <v>109.7</v>
      </c>
      <c r="BB16" s="4"/>
      <c r="BC16" s="4"/>
      <c r="BD16" s="16">
        <v>24.9</v>
      </c>
      <c r="BE16" s="17">
        <v>997</v>
      </c>
      <c r="BF16" s="16">
        <v>45</v>
      </c>
      <c r="BG16" s="15"/>
      <c r="BH16" s="7">
        <v>2096</v>
      </c>
      <c r="BI16" s="13" t="s">
        <v>83</v>
      </c>
      <c r="BJ16" s="3"/>
      <c r="BK16"/>
      <c r="BL16"/>
      <c r="BM16"/>
      <c r="BR16"/>
    </row>
    <row r="17" spans="1:70" x14ac:dyDescent="0.45">
      <c r="A17" s="2" t="s">
        <v>43</v>
      </c>
      <c r="B17" s="54" t="s">
        <v>46</v>
      </c>
      <c r="C17" s="3">
        <v>45197</v>
      </c>
      <c r="D17" s="8">
        <v>4</v>
      </c>
      <c r="E17" s="10" t="s">
        <v>22</v>
      </c>
      <c r="F17" s="4" t="s">
        <v>15</v>
      </c>
      <c r="G17" s="4" t="s">
        <v>15</v>
      </c>
      <c r="H17" s="4" t="s">
        <v>330</v>
      </c>
      <c r="I17" s="7"/>
      <c r="L17" s="7"/>
      <c r="M17" s="7">
        <v>0.16889999999999999</v>
      </c>
      <c r="O17" s="9"/>
      <c r="T17" s="7">
        <v>58</v>
      </c>
      <c r="U17" s="7">
        <v>435</v>
      </c>
      <c r="V17" s="7">
        <v>750</v>
      </c>
      <c r="W17" s="9"/>
      <c r="X17" s="9" t="s">
        <v>49</v>
      </c>
      <c r="Y17" s="4" t="s">
        <v>78</v>
      </c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>
        <v>71.5</v>
      </c>
      <c r="AX17" s="9">
        <v>8.1999999999999993</v>
      </c>
      <c r="AY17" s="9">
        <f>[1]!Track_TT23[[#This Row],[Bike weight ]]+[1]!Track_TT23[[#This Row],[Rider weight ]]</f>
        <v>82.1</v>
      </c>
      <c r="AZ17" s="7">
        <v>200</v>
      </c>
      <c r="BA17" s="4">
        <v>111.4</v>
      </c>
      <c r="BB17" s="4"/>
      <c r="BC17" s="4"/>
      <c r="BD17" s="12" t="s">
        <v>19</v>
      </c>
      <c r="BE17" s="14">
        <v>995</v>
      </c>
      <c r="BF17" s="63">
        <v>47</v>
      </c>
      <c r="BG17" s="15">
        <v>1.157</v>
      </c>
      <c r="BH17" s="7">
        <v>2096</v>
      </c>
      <c r="BI17" s="4"/>
      <c r="BJ17" s="3"/>
      <c r="BK17"/>
      <c r="BL17"/>
      <c r="BM17"/>
      <c r="BR17"/>
    </row>
    <row r="18" spans="1:70" x14ac:dyDescent="0.45">
      <c r="A18" s="2" t="s">
        <v>43</v>
      </c>
      <c r="B18" s="54" t="s">
        <v>46</v>
      </c>
      <c r="C18" s="3">
        <v>45197</v>
      </c>
      <c r="D18" s="8">
        <v>5</v>
      </c>
      <c r="E18" s="10" t="s">
        <v>22</v>
      </c>
      <c r="F18" s="4" t="s">
        <v>15</v>
      </c>
      <c r="G18" s="4" t="s">
        <v>15</v>
      </c>
      <c r="H18" s="9" t="s">
        <v>572</v>
      </c>
      <c r="I18" s="7"/>
      <c r="L18" s="7"/>
      <c r="M18" s="7">
        <v>0.16420000000000001</v>
      </c>
      <c r="O18" s="9"/>
      <c r="T18" s="7">
        <v>58.6</v>
      </c>
      <c r="U18" s="7">
        <v>436</v>
      </c>
      <c r="V18" s="7">
        <v>750</v>
      </c>
      <c r="W18" s="9"/>
      <c r="X18" s="9" t="s">
        <v>49</v>
      </c>
      <c r="Y18" s="4" t="s">
        <v>78</v>
      </c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>
        <v>65.7</v>
      </c>
      <c r="AX18" s="9">
        <v>8</v>
      </c>
      <c r="AY18" s="9">
        <f>[1]!Track_TT23[[#This Row],[Bike weight ]]+[1]!Track_TT23[[#This Row],[Rider weight ]]</f>
        <v>69.7</v>
      </c>
      <c r="AZ18" s="7">
        <v>200</v>
      </c>
      <c r="BA18" s="4">
        <v>111.4</v>
      </c>
      <c r="BB18" s="4"/>
      <c r="BC18" s="4"/>
      <c r="BD18" s="12" t="s">
        <v>18</v>
      </c>
      <c r="BE18" s="14">
        <v>995</v>
      </c>
      <c r="BF18" s="63">
        <v>47</v>
      </c>
      <c r="BG18" s="15">
        <v>1.1579999999999999</v>
      </c>
      <c r="BH18" s="7">
        <v>2096</v>
      </c>
      <c r="BI18" s="4"/>
      <c r="BJ18" s="3"/>
      <c r="BK18"/>
      <c r="BL18"/>
      <c r="BM18"/>
      <c r="BR18"/>
    </row>
    <row r="19" spans="1:70" x14ac:dyDescent="0.45">
      <c r="A19" s="2" t="s">
        <v>43</v>
      </c>
      <c r="B19" s="54" t="s">
        <v>46</v>
      </c>
      <c r="C19" s="3">
        <v>45197</v>
      </c>
      <c r="D19" s="8">
        <v>6</v>
      </c>
      <c r="E19" s="10" t="s">
        <v>22</v>
      </c>
      <c r="F19" s="4" t="s">
        <v>15</v>
      </c>
      <c r="G19" s="4" t="s">
        <v>15</v>
      </c>
      <c r="H19" s="9" t="s">
        <v>573</v>
      </c>
      <c r="I19" s="7"/>
      <c r="L19" s="7"/>
      <c r="M19" s="7">
        <v>0.1757</v>
      </c>
      <c r="O19" s="9"/>
      <c r="T19" s="7">
        <v>57.9</v>
      </c>
      <c r="U19" s="7">
        <v>423</v>
      </c>
      <c r="V19" s="7">
        <v>750</v>
      </c>
      <c r="W19" s="9"/>
      <c r="X19" s="9" t="s">
        <v>49</v>
      </c>
      <c r="Y19" s="4" t="s">
        <v>78</v>
      </c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>
        <v>63.5</v>
      </c>
      <c r="AX19" s="9">
        <v>8.1999999999999993</v>
      </c>
      <c r="AY19" s="9">
        <f>[1]!Track_TT23[[#This Row],[Bike weight ]]+[1]!Track_TT23[[#This Row],[Rider weight ]]</f>
        <v>75.900000000000006</v>
      </c>
      <c r="AZ19" s="7">
        <v>200</v>
      </c>
      <c r="BA19" s="4">
        <v>109.7</v>
      </c>
      <c r="BB19" s="4"/>
      <c r="BC19" s="4"/>
      <c r="BD19" s="16">
        <v>24.8</v>
      </c>
      <c r="BE19" s="17">
        <v>997</v>
      </c>
      <c r="BF19" s="16">
        <v>45</v>
      </c>
      <c r="BG19" s="15"/>
      <c r="BH19" s="7">
        <v>2096</v>
      </c>
      <c r="BI19" s="13" t="s">
        <v>84</v>
      </c>
      <c r="BJ19" s="3"/>
      <c r="BK19"/>
      <c r="BL19"/>
      <c r="BM19"/>
      <c r="BR19"/>
    </row>
    <row r="20" spans="1:70" ht="28.5" x14ac:dyDescent="0.45">
      <c r="A20" s="2" t="s">
        <v>43</v>
      </c>
      <c r="B20" s="54" t="s">
        <v>45</v>
      </c>
      <c r="C20" s="3">
        <v>45219</v>
      </c>
      <c r="D20" s="8">
        <v>1</v>
      </c>
      <c r="E20" s="2" t="s">
        <v>212</v>
      </c>
      <c r="F20" s="4" t="s">
        <v>15</v>
      </c>
      <c r="G20" s="4" t="s">
        <v>15</v>
      </c>
      <c r="H20" s="4" t="s">
        <v>223</v>
      </c>
      <c r="I20" s="7"/>
      <c r="L20" s="7"/>
      <c r="M20" s="7">
        <v>0.15809999999999999</v>
      </c>
      <c r="O20" s="4" t="s">
        <v>47</v>
      </c>
      <c r="T20" s="7">
        <v>57.7</v>
      </c>
      <c r="U20" s="7">
        <v>426</v>
      </c>
      <c r="V20" s="7">
        <v>750</v>
      </c>
      <c r="W20" s="4"/>
      <c r="X20" s="9" t="s">
        <v>49</v>
      </c>
      <c r="Y20" s="4" t="s">
        <v>78</v>
      </c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>
        <v>72</v>
      </c>
      <c r="AX20" s="4">
        <v>7.9</v>
      </c>
      <c r="AY20" s="9"/>
      <c r="AZ20" s="7">
        <v>200</v>
      </c>
      <c r="BA20" s="4">
        <v>111.6</v>
      </c>
      <c r="BB20" s="4"/>
      <c r="BC20" s="4"/>
      <c r="BD20" s="18">
        <v>24.9</v>
      </c>
      <c r="BE20" s="19">
        <v>1013</v>
      </c>
      <c r="BF20" s="18">
        <v>52.4</v>
      </c>
      <c r="BG20" s="20"/>
      <c r="BH20" s="4"/>
      <c r="BI20" s="4"/>
      <c r="BJ20" s="3" t="s">
        <v>115</v>
      </c>
      <c r="BK20"/>
      <c r="BL20"/>
      <c r="BM20"/>
      <c r="BR20"/>
    </row>
    <row r="21" spans="1:70" ht="28.5" x14ac:dyDescent="0.45">
      <c r="A21" s="2" t="s">
        <v>43</v>
      </c>
      <c r="B21" s="54" t="s">
        <v>45</v>
      </c>
      <c r="C21" s="3">
        <v>45219</v>
      </c>
      <c r="D21" s="8">
        <v>2</v>
      </c>
      <c r="E21" s="2" t="s">
        <v>579</v>
      </c>
      <c r="F21" s="4" t="s">
        <v>15</v>
      </c>
      <c r="G21" s="4" t="s">
        <v>15</v>
      </c>
      <c r="H21" s="4" t="s">
        <v>223</v>
      </c>
      <c r="I21" s="7"/>
      <c r="L21" s="7"/>
      <c r="M21" s="7">
        <v>0.16009999999999999</v>
      </c>
      <c r="O21" s="4" t="s">
        <v>47</v>
      </c>
      <c r="T21" s="7">
        <v>59.6</v>
      </c>
      <c r="U21" s="7">
        <v>452</v>
      </c>
      <c r="V21" s="7">
        <v>750</v>
      </c>
      <c r="W21" s="4"/>
      <c r="X21" s="9" t="s">
        <v>49</v>
      </c>
      <c r="Y21" s="4" t="s">
        <v>78</v>
      </c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>
        <v>66.099999999999994</v>
      </c>
      <c r="AX21" s="4">
        <v>8</v>
      </c>
      <c r="AY21" s="9"/>
      <c r="AZ21" s="7">
        <v>200</v>
      </c>
      <c r="BA21" s="4">
        <v>111.6</v>
      </c>
      <c r="BB21" s="4"/>
      <c r="BC21" s="4"/>
      <c r="BD21" s="18">
        <v>24.9</v>
      </c>
      <c r="BE21" s="19">
        <v>1013</v>
      </c>
      <c r="BF21" s="18">
        <v>52.4</v>
      </c>
      <c r="BG21" s="20"/>
      <c r="BH21" s="4"/>
      <c r="BI21" s="4"/>
      <c r="BJ21" s="3" t="s">
        <v>116</v>
      </c>
      <c r="BK21"/>
      <c r="BL21"/>
      <c r="BM21"/>
      <c r="BR21"/>
    </row>
    <row r="22" spans="1:70" ht="28.5" x14ac:dyDescent="0.45">
      <c r="A22" s="2" t="s">
        <v>43</v>
      </c>
      <c r="B22" s="54" t="s">
        <v>45</v>
      </c>
      <c r="C22" s="3">
        <v>45219</v>
      </c>
      <c r="D22" s="8">
        <v>3</v>
      </c>
      <c r="E22" s="2" t="s">
        <v>580</v>
      </c>
      <c r="F22" s="4" t="s">
        <v>15</v>
      </c>
      <c r="G22" s="4" t="s">
        <v>15</v>
      </c>
      <c r="H22" s="4" t="s">
        <v>223</v>
      </c>
      <c r="I22" s="7"/>
      <c r="L22" s="7"/>
      <c r="M22" s="7">
        <v>0.158</v>
      </c>
      <c r="O22" s="4" t="s">
        <v>47</v>
      </c>
      <c r="T22" s="7">
        <v>59.3</v>
      </c>
      <c r="U22" s="7">
        <v>441</v>
      </c>
      <c r="V22" s="7">
        <v>750</v>
      </c>
      <c r="W22" s="4"/>
      <c r="X22" s="9" t="s">
        <v>49</v>
      </c>
      <c r="Y22" s="4" t="s">
        <v>78</v>
      </c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>
        <v>75.8</v>
      </c>
      <c r="AX22" s="4">
        <v>8.1</v>
      </c>
      <c r="AY22" s="9"/>
      <c r="AZ22" s="7">
        <v>200</v>
      </c>
      <c r="BA22" s="4"/>
      <c r="BB22" s="4"/>
      <c r="BC22" s="4"/>
      <c r="BD22" s="16">
        <v>24.9</v>
      </c>
      <c r="BE22" s="17">
        <v>1013</v>
      </c>
      <c r="BF22" s="16">
        <v>52.4</v>
      </c>
      <c r="BG22" s="15"/>
      <c r="BH22" s="4"/>
      <c r="BI22" s="4"/>
      <c r="BJ22" s="3" t="s">
        <v>117</v>
      </c>
      <c r="BK22"/>
      <c r="BL22"/>
      <c r="BM22"/>
      <c r="BR22"/>
    </row>
    <row r="23" spans="1:70" ht="28.5" x14ac:dyDescent="0.45">
      <c r="A23" s="2" t="s">
        <v>43</v>
      </c>
      <c r="B23" s="54" t="s">
        <v>45</v>
      </c>
      <c r="C23" s="3">
        <v>45219</v>
      </c>
      <c r="D23" s="8">
        <v>4</v>
      </c>
      <c r="E23" s="2" t="s">
        <v>212</v>
      </c>
      <c r="F23" s="4" t="s">
        <v>15</v>
      </c>
      <c r="G23" s="4" t="s">
        <v>15</v>
      </c>
      <c r="H23" s="4" t="s">
        <v>223</v>
      </c>
      <c r="I23" s="7"/>
      <c r="L23" s="7"/>
      <c r="M23" s="7">
        <v>0.16170000000000001</v>
      </c>
      <c r="O23" s="4" t="s">
        <v>47</v>
      </c>
      <c r="T23" s="7">
        <v>59.3</v>
      </c>
      <c r="U23" s="7">
        <v>432</v>
      </c>
      <c r="V23" s="7">
        <v>750</v>
      </c>
      <c r="W23" s="4"/>
      <c r="X23" s="9" t="s">
        <v>49</v>
      </c>
      <c r="Y23" s="4" t="s">
        <v>78</v>
      </c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>
        <v>72</v>
      </c>
      <c r="AX23" s="4">
        <v>7.9</v>
      </c>
      <c r="AY23" s="9"/>
      <c r="AZ23" s="7">
        <v>200</v>
      </c>
      <c r="BA23" s="4">
        <v>111.6</v>
      </c>
      <c r="BB23" s="4"/>
      <c r="BC23" s="4"/>
      <c r="BD23" s="18">
        <v>24.9</v>
      </c>
      <c r="BE23" s="19">
        <v>1013</v>
      </c>
      <c r="BF23" s="18">
        <v>52.4</v>
      </c>
      <c r="BG23" s="20"/>
      <c r="BH23" s="4"/>
      <c r="BI23" s="4"/>
      <c r="BJ23" s="3" t="s">
        <v>118</v>
      </c>
      <c r="BK23"/>
      <c r="BL23"/>
      <c r="BM23"/>
      <c r="BR23"/>
    </row>
    <row r="24" spans="1:70" ht="28.5" x14ac:dyDescent="0.45">
      <c r="A24" s="2" t="s">
        <v>43</v>
      </c>
      <c r="B24" s="54" t="s">
        <v>45</v>
      </c>
      <c r="C24" s="3">
        <v>45219</v>
      </c>
      <c r="D24" s="8">
        <v>5</v>
      </c>
      <c r="E24" s="2" t="s">
        <v>579</v>
      </c>
      <c r="F24" s="4" t="s">
        <v>15</v>
      </c>
      <c r="G24" s="4" t="s">
        <v>15</v>
      </c>
      <c r="H24" s="4" t="s">
        <v>223</v>
      </c>
      <c r="I24" s="7"/>
      <c r="L24" s="7"/>
      <c r="M24" s="7">
        <v>0.1595</v>
      </c>
      <c r="O24" s="4" t="s">
        <v>47</v>
      </c>
      <c r="T24" s="7">
        <v>59.6</v>
      </c>
      <c r="U24" s="7">
        <v>434</v>
      </c>
      <c r="V24" s="7">
        <v>750</v>
      </c>
      <c r="W24" s="4"/>
      <c r="X24" s="9" t="s">
        <v>49</v>
      </c>
      <c r="Y24" s="4" t="s">
        <v>78</v>
      </c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>
        <v>66.099999999999994</v>
      </c>
      <c r="AX24" s="4">
        <v>8</v>
      </c>
      <c r="AY24" s="9"/>
      <c r="AZ24" s="7">
        <v>200</v>
      </c>
      <c r="BA24" s="4">
        <v>111.6</v>
      </c>
      <c r="BB24" s="4"/>
      <c r="BC24" s="4"/>
      <c r="BD24" s="18">
        <v>24.9</v>
      </c>
      <c r="BE24" s="19">
        <v>1013</v>
      </c>
      <c r="BF24" s="18">
        <v>52.4</v>
      </c>
      <c r="BG24" s="20"/>
      <c r="BH24" s="4"/>
      <c r="BI24" s="4"/>
      <c r="BJ24" s="3" t="s">
        <v>119</v>
      </c>
      <c r="BK24"/>
      <c r="BL24"/>
      <c r="BM24"/>
      <c r="BR24"/>
    </row>
    <row r="25" spans="1:70" ht="28.5" x14ac:dyDescent="0.45">
      <c r="A25" s="2" t="s">
        <v>43</v>
      </c>
      <c r="B25" s="54" t="s">
        <v>45</v>
      </c>
      <c r="C25" s="3">
        <v>45219</v>
      </c>
      <c r="D25" s="8">
        <v>6</v>
      </c>
      <c r="E25" s="2" t="s">
        <v>580</v>
      </c>
      <c r="F25" s="4" t="s">
        <v>15</v>
      </c>
      <c r="G25" s="4" t="s">
        <v>15</v>
      </c>
      <c r="H25" s="4" t="s">
        <v>223</v>
      </c>
      <c r="I25" s="7"/>
      <c r="L25" s="7"/>
      <c r="M25" s="7">
        <v>0.1603</v>
      </c>
      <c r="O25" s="4" t="s">
        <v>47</v>
      </c>
      <c r="T25" s="7">
        <v>61</v>
      </c>
      <c r="U25" s="7">
        <v>455</v>
      </c>
      <c r="V25" s="7">
        <v>750</v>
      </c>
      <c r="W25" s="4"/>
      <c r="X25" s="9" t="s">
        <v>49</v>
      </c>
      <c r="Y25" s="4" t="s">
        <v>78</v>
      </c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>
        <v>75.599999999999994</v>
      </c>
      <c r="AX25" s="4">
        <v>8.1</v>
      </c>
      <c r="AY25" s="9"/>
      <c r="AZ25" s="7">
        <v>200</v>
      </c>
      <c r="BA25" s="4"/>
      <c r="BB25" s="4"/>
      <c r="BC25" s="4"/>
      <c r="BD25" s="16">
        <v>24.9</v>
      </c>
      <c r="BE25" s="17">
        <v>1013</v>
      </c>
      <c r="BF25" s="16">
        <v>52.4</v>
      </c>
      <c r="BG25" s="15"/>
      <c r="BH25" s="4"/>
      <c r="BI25" s="4"/>
      <c r="BJ25" s="3" t="s">
        <v>120</v>
      </c>
      <c r="BK25"/>
      <c r="BL25"/>
      <c r="BM25"/>
      <c r="BR25"/>
    </row>
    <row r="26" spans="1:70" ht="28.5" x14ac:dyDescent="0.45">
      <c r="A26" s="2" t="s">
        <v>43</v>
      </c>
      <c r="B26" s="54" t="s">
        <v>79</v>
      </c>
      <c r="C26" s="3">
        <v>45219</v>
      </c>
      <c r="D26" s="8">
        <v>1</v>
      </c>
      <c r="E26" s="2" t="s">
        <v>541</v>
      </c>
      <c r="F26" s="4" t="s">
        <v>15</v>
      </c>
      <c r="G26" s="4" t="s">
        <v>15</v>
      </c>
      <c r="H26" s="4" t="s">
        <v>330</v>
      </c>
      <c r="I26" s="7"/>
      <c r="L26" s="7"/>
      <c r="M26" s="7">
        <v>0.1482</v>
      </c>
      <c r="O26" s="4" t="s">
        <v>23</v>
      </c>
      <c r="T26" s="7">
        <v>59.2</v>
      </c>
      <c r="U26" s="7">
        <v>436</v>
      </c>
      <c r="V26" s="7">
        <v>750</v>
      </c>
      <c r="W26" s="4"/>
      <c r="X26" s="9" t="s">
        <v>49</v>
      </c>
      <c r="Y26" s="4" t="s">
        <v>78</v>
      </c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>
        <v>71.900000000000006</v>
      </c>
      <c r="AX26" s="4">
        <v>7.9</v>
      </c>
      <c r="AY26" s="9">
        <f>[1]!Track_TT23[[#This Row],[Bike weight ]]+[1]!Track_TT23[[#This Row],[Rider weight ]]</f>
        <v>71.599999999999994</v>
      </c>
      <c r="AZ26" s="7">
        <v>200</v>
      </c>
      <c r="BA26" s="4">
        <v>111.6</v>
      </c>
      <c r="BB26" s="4"/>
      <c r="BC26" s="4"/>
      <c r="BD26" s="18">
        <v>25</v>
      </c>
      <c r="BE26" s="19">
        <v>1012</v>
      </c>
      <c r="BF26" s="18">
        <v>52.5</v>
      </c>
      <c r="BG26" s="20"/>
      <c r="BH26" s="4"/>
      <c r="BI26" s="4"/>
      <c r="BJ26" s="3" t="s">
        <v>121</v>
      </c>
      <c r="BK26"/>
      <c r="BL26"/>
      <c r="BM26"/>
      <c r="BR26"/>
    </row>
    <row r="27" spans="1:70" ht="28.5" x14ac:dyDescent="0.45">
      <c r="A27" s="2" t="s">
        <v>43</v>
      </c>
      <c r="B27" s="54" t="s">
        <v>79</v>
      </c>
      <c r="C27" s="3">
        <v>45219</v>
      </c>
      <c r="D27" s="8">
        <v>2</v>
      </c>
      <c r="E27" s="2" t="s">
        <v>85</v>
      </c>
      <c r="F27" s="4" t="s">
        <v>15</v>
      </c>
      <c r="G27" s="4" t="s">
        <v>15</v>
      </c>
      <c r="H27" s="4" t="s">
        <v>330</v>
      </c>
      <c r="I27" s="7"/>
      <c r="L27" s="7"/>
      <c r="M27" s="7">
        <v>0.15210000000000001</v>
      </c>
      <c r="O27" s="4" t="s">
        <v>23</v>
      </c>
      <c r="T27" s="7">
        <v>60.5</v>
      </c>
      <c r="U27" s="7">
        <v>460</v>
      </c>
      <c r="V27" s="7">
        <v>750</v>
      </c>
      <c r="W27" s="4"/>
      <c r="X27" s="9" t="s">
        <v>49</v>
      </c>
      <c r="Y27" s="4" t="s">
        <v>78</v>
      </c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>
        <v>66.099999999999994</v>
      </c>
      <c r="AX27" s="4">
        <v>8</v>
      </c>
      <c r="AY27" s="9">
        <f>[1]!Track_TT23[[#This Row],[Bike weight ]]+[1]!Track_TT23[[#This Row],[Rider weight ]]</f>
        <v>75.900000000000006</v>
      </c>
      <c r="AZ27" s="7">
        <v>200</v>
      </c>
      <c r="BA27" s="4">
        <v>111.6</v>
      </c>
      <c r="BB27" s="4"/>
      <c r="BC27" s="4"/>
      <c r="BD27" s="18">
        <v>25</v>
      </c>
      <c r="BE27" s="19">
        <v>1012</v>
      </c>
      <c r="BF27" s="18">
        <v>52.5</v>
      </c>
      <c r="BG27" s="20"/>
      <c r="BH27" s="4"/>
      <c r="BI27" s="4"/>
      <c r="BJ27" s="3" t="s">
        <v>107</v>
      </c>
      <c r="BK27"/>
      <c r="BL27"/>
      <c r="BM27"/>
      <c r="BR27"/>
    </row>
    <row r="28" spans="1:70" ht="28.5" x14ac:dyDescent="0.45">
      <c r="A28" s="2" t="s">
        <v>43</v>
      </c>
      <c r="B28" s="54" t="s">
        <v>79</v>
      </c>
      <c r="C28" s="3">
        <v>45219</v>
      </c>
      <c r="D28" s="8">
        <v>3</v>
      </c>
      <c r="E28" s="2" t="s">
        <v>212</v>
      </c>
      <c r="F28" s="4" t="s">
        <v>15</v>
      </c>
      <c r="G28" s="4" t="s">
        <v>15</v>
      </c>
      <c r="H28" s="4" t="s">
        <v>330</v>
      </c>
      <c r="I28" s="7"/>
      <c r="L28" s="7"/>
      <c r="M28" s="7">
        <v>0.15429999999999999</v>
      </c>
      <c r="O28" s="4" t="s">
        <v>23</v>
      </c>
      <c r="T28" s="7">
        <v>59</v>
      </c>
      <c r="U28" s="7">
        <v>421</v>
      </c>
      <c r="V28" s="7">
        <v>750</v>
      </c>
      <c r="W28" s="4"/>
      <c r="X28" s="9" t="s">
        <v>49</v>
      </c>
      <c r="Y28" s="4" t="s">
        <v>78</v>
      </c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>
        <v>75.599999999999994</v>
      </c>
      <c r="AX28" s="4">
        <v>8.1</v>
      </c>
      <c r="AY28" s="9">
        <f>[1]!Track_TT23[[#This Row],[Bike weight ]]+[1]!Track_TT23[[#This Row],[Rider weight ]]</f>
        <v>71.599999999999994</v>
      </c>
      <c r="AZ28" s="7">
        <v>200</v>
      </c>
      <c r="BA28" s="4"/>
      <c r="BB28" s="4"/>
      <c r="BC28" s="4"/>
      <c r="BD28" s="16">
        <v>25</v>
      </c>
      <c r="BE28" s="17">
        <v>1012</v>
      </c>
      <c r="BF28" s="16">
        <v>52.5</v>
      </c>
      <c r="BG28" s="15"/>
      <c r="BH28" s="4"/>
      <c r="BI28" s="4"/>
      <c r="BJ28" s="3" t="s">
        <v>108</v>
      </c>
      <c r="BK28"/>
      <c r="BL28"/>
      <c r="BM28"/>
      <c r="BR28"/>
    </row>
    <row r="29" spans="1:70" ht="28.5" x14ac:dyDescent="0.45">
      <c r="A29" s="2" t="s">
        <v>43</v>
      </c>
      <c r="B29" s="54" t="s">
        <v>79</v>
      </c>
      <c r="C29" s="3">
        <v>45219</v>
      </c>
      <c r="D29" s="8">
        <v>4</v>
      </c>
      <c r="E29" s="2" t="s">
        <v>541</v>
      </c>
      <c r="F29" s="4" t="s">
        <v>15</v>
      </c>
      <c r="G29" s="4" t="s">
        <v>15</v>
      </c>
      <c r="H29" s="4" t="s">
        <v>330</v>
      </c>
      <c r="I29" s="7"/>
      <c r="L29" s="7"/>
      <c r="M29" s="7">
        <v>0.1469</v>
      </c>
      <c r="O29" s="4" t="s">
        <v>23</v>
      </c>
      <c r="T29" s="7">
        <v>60</v>
      </c>
      <c r="U29" s="7">
        <v>414</v>
      </c>
      <c r="V29" s="7">
        <v>750</v>
      </c>
      <c r="W29" s="4"/>
      <c r="X29" s="9" t="s">
        <v>49</v>
      </c>
      <c r="Y29" s="4" t="s">
        <v>78</v>
      </c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>
        <v>71.900000000000006</v>
      </c>
      <c r="AX29" s="4">
        <v>7.9</v>
      </c>
      <c r="AY29" s="9">
        <f>[1]!Track_TT23[[#This Row],[Bike weight ]]+[1]!Track_TT23[[#This Row],[Rider weight ]]</f>
        <v>79.599999999999994</v>
      </c>
      <c r="AZ29" s="7">
        <v>200</v>
      </c>
      <c r="BA29" s="4">
        <v>111.6</v>
      </c>
      <c r="BB29" s="4"/>
      <c r="BC29" s="4"/>
      <c r="BD29" s="18">
        <v>25.4</v>
      </c>
      <c r="BE29" s="18">
        <v>1012</v>
      </c>
      <c r="BF29" s="18">
        <v>52.9</v>
      </c>
      <c r="BG29" s="4"/>
      <c r="BH29" s="4"/>
      <c r="BI29" s="4"/>
      <c r="BJ29" s="3" t="s">
        <v>109</v>
      </c>
      <c r="BK29"/>
      <c r="BL29"/>
      <c r="BM29"/>
      <c r="BR29"/>
    </row>
    <row r="30" spans="1:70" ht="28.5" x14ac:dyDescent="0.45">
      <c r="A30" s="2" t="s">
        <v>43</v>
      </c>
      <c r="B30" s="54" t="s">
        <v>79</v>
      </c>
      <c r="C30" s="3">
        <v>45219</v>
      </c>
      <c r="D30" s="8">
        <v>5</v>
      </c>
      <c r="E30" s="2" t="s">
        <v>85</v>
      </c>
      <c r="F30" s="4" t="s">
        <v>15</v>
      </c>
      <c r="G30" s="4" t="s">
        <v>15</v>
      </c>
      <c r="H30" s="4" t="s">
        <v>330</v>
      </c>
      <c r="I30" s="7"/>
      <c r="L30" s="7"/>
      <c r="M30" s="7">
        <v>0.15570000000000001</v>
      </c>
      <c r="O30" s="4" t="s">
        <v>23</v>
      </c>
      <c r="T30" s="7">
        <v>60.1</v>
      </c>
      <c r="U30" s="7">
        <v>429</v>
      </c>
      <c r="V30" s="7">
        <v>750</v>
      </c>
      <c r="W30" s="4"/>
      <c r="X30" s="9" t="s">
        <v>49</v>
      </c>
      <c r="Y30" s="4" t="s">
        <v>78</v>
      </c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>
        <v>66</v>
      </c>
      <c r="AX30" s="4">
        <v>8</v>
      </c>
      <c r="AY30" s="9">
        <f>[1]!Track_TT23[[#This Row],[Bike weight ]]+[1]!Track_TT23[[#This Row],[Rider weight ]]</f>
        <v>0</v>
      </c>
      <c r="AZ30" s="7">
        <v>200</v>
      </c>
      <c r="BA30" s="4">
        <v>111.6</v>
      </c>
      <c r="BB30" s="4"/>
      <c r="BC30" s="4"/>
      <c r="BD30" s="18">
        <v>25.4</v>
      </c>
      <c r="BE30" s="18">
        <v>1012</v>
      </c>
      <c r="BF30" s="18">
        <v>52.9</v>
      </c>
      <c r="BG30" s="4"/>
      <c r="BH30" s="4"/>
      <c r="BI30" s="4"/>
      <c r="BJ30" s="3" t="s">
        <v>110</v>
      </c>
      <c r="BK30"/>
      <c r="BL30"/>
      <c r="BM30"/>
      <c r="BR30"/>
    </row>
    <row r="31" spans="1:70" ht="28.5" x14ac:dyDescent="0.45">
      <c r="A31" s="2" t="s">
        <v>43</v>
      </c>
      <c r="B31" s="54" t="s">
        <v>79</v>
      </c>
      <c r="C31" s="3">
        <v>45219</v>
      </c>
      <c r="D31" s="8">
        <v>6</v>
      </c>
      <c r="E31" s="2" t="s">
        <v>212</v>
      </c>
      <c r="F31" s="4" t="s">
        <v>15</v>
      </c>
      <c r="G31" s="4" t="s">
        <v>15</v>
      </c>
      <c r="H31" s="4" t="s">
        <v>330</v>
      </c>
      <c r="I31" s="7"/>
      <c r="L31" s="7"/>
      <c r="M31" s="7">
        <v>0.15429999999999999</v>
      </c>
      <c r="O31" s="4" t="s">
        <v>23</v>
      </c>
      <c r="T31" s="7">
        <v>60.1</v>
      </c>
      <c r="U31" s="7">
        <v>411</v>
      </c>
      <c r="V31" s="7">
        <v>750</v>
      </c>
      <c r="W31" s="4"/>
      <c r="X31" s="9" t="s">
        <v>49</v>
      </c>
      <c r="Y31" s="4" t="s">
        <v>78</v>
      </c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>
        <v>75.7</v>
      </c>
      <c r="AX31" s="4">
        <v>8.1</v>
      </c>
      <c r="AY31" s="9">
        <f>[1]!Track_TT23[[#This Row],[Bike weight ]]+[1]!Track_TT23[[#This Row],[Rider weight ]]</f>
        <v>0</v>
      </c>
      <c r="AZ31" s="7">
        <v>200</v>
      </c>
      <c r="BA31" s="4"/>
      <c r="BB31" s="4"/>
      <c r="BC31" s="4"/>
      <c r="BD31" s="16">
        <v>25.4</v>
      </c>
      <c r="BE31" s="16">
        <v>1012</v>
      </c>
      <c r="BF31" s="16">
        <v>52.9</v>
      </c>
      <c r="BG31" s="59"/>
      <c r="BH31" s="4"/>
      <c r="BI31" s="4"/>
      <c r="BJ31" s="3" t="s">
        <v>111</v>
      </c>
      <c r="BK31"/>
      <c r="BL31"/>
      <c r="BM31"/>
      <c r="BR31"/>
    </row>
    <row r="32" spans="1:70" ht="28.5" x14ac:dyDescent="0.45">
      <c r="A32" s="2" t="s">
        <v>13</v>
      </c>
      <c r="B32" s="54" t="s">
        <v>24</v>
      </c>
      <c r="C32" s="3">
        <v>45219</v>
      </c>
      <c r="D32" s="8">
        <v>1</v>
      </c>
      <c r="E32" s="2" t="s">
        <v>212</v>
      </c>
      <c r="F32" s="4" t="s">
        <v>15</v>
      </c>
      <c r="G32" s="4" t="s">
        <v>577</v>
      </c>
      <c r="H32" s="4" t="s">
        <v>223</v>
      </c>
      <c r="I32" s="7"/>
      <c r="L32" s="7"/>
      <c r="M32" s="7">
        <v>0.17799999999999999</v>
      </c>
      <c r="O32" s="4"/>
      <c r="T32" s="7">
        <v>61.1</v>
      </c>
      <c r="U32" s="7">
        <v>527</v>
      </c>
      <c r="V32" s="7">
        <v>750</v>
      </c>
      <c r="W32" s="4"/>
      <c r="X32" s="9" t="s">
        <v>49</v>
      </c>
      <c r="Y32" s="4" t="s">
        <v>78</v>
      </c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>
        <v>71.599999999999994</v>
      </c>
      <c r="AX32" s="4">
        <v>7.9</v>
      </c>
      <c r="AY32" s="9"/>
      <c r="AZ32" s="7">
        <v>200</v>
      </c>
      <c r="BA32" s="4">
        <v>111.6</v>
      </c>
      <c r="BB32" s="4"/>
      <c r="BC32" s="4"/>
      <c r="BD32" s="18">
        <v>25.8</v>
      </c>
      <c r="BE32" s="18">
        <v>1012</v>
      </c>
      <c r="BF32" s="18">
        <v>51.8</v>
      </c>
      <c r="BG32" s="4"/>
      <c r="BH32" s="4"/>
      <c r="BI32" s="4"/>
      <c r="BJ32" s="3" t="s">
        <v>112</v>
      </c>
      <c r="BK32"/>
      <c r="BL32"/>
      <c r="BM32"/>
      <c r="BR32"/>
    </row>
    <row r="33" spans="1:70" ht="28.5" x14ac:dyDescent="0.45">
      <c r="A33" s="2" t="s">
        <v>13</v>
      </c>
      <c r="B33" s="54" t="s">
        <v>24</v>
      </c>
      <c r="C33" s="3">
        <v>45219</v>
      </c>
      <c r="D33" s="8">
        <v>2</v>
      </c>
      <c r="E33" s="2" t="s">
        <v>86</v>
      </c>
      <c r="F33" s="4" t="s">
        <v>15</v>
      </c>
      <c r="G33" s="4" t="s">
        <v>577</v>
      </c>
      <c r="H33" s="4" t="s">
        <v>223</v>
      </c>
      <c r="I33" s="7"/>
      <c r="L33" s="7"/>
      <c r="M33" s="7">
        <v>0.17480000000000001</v>
      </c>
      <c r="O33" s="4"/>
      <c r="T33" s="7">
        <v>62.3</v>
      </c>
      <c r="U33" s="7">
        <v>550</v>
      </c>
      <c r="V33" s="7">
        <v>750</v>
      </c>
      <c r="W33" s="4"/>
      <c r="X33" s="9" t="s">
        <v>49</v>
      </c>
      <c r="Y33" s="4" t="s">
        <v>78</v>
      </c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>
        <v>66</v>
      </c>
      <c r="AX33" s="4">
        <v>8</v>
      </c>
      <c r="AY33" s="9">
        <f>[1]!Track_TT23[[#This Row],[Bike weight ]]+[1]!Track_TT23[[#This Row],[Rider weight ]]</f>
        <v>0</v>
      </c>
      <c r="AZ33" s="7">
        <v>200</v>
      </c>
      <c r="BA33" s="4">
        <v>111.6</v>
      </c>
      <c r="BB33" s="4"/>
      <c r="BC33" s="4"/>
      <c r="BD33" s="18">
        <v>25.8</v>
      </c>
      <c r="BE33" s="18">
        <v>1012</v>
      </c>
      <c r="BF33" s="18">
        <v>51.8</v>
      </c>
      <c r="BG33" s="4"/>
      <c r="BH33" s="4"/>
      <c r="BI33" s="4"/>
      <c r="BJ33" s="3" t="s">
        <v>113</v>
      </c>
      <c r="BK33"/>
      <c r="BL33"/>
      <c r="BM33"/>
      <c r="BR33"/>
    </row>
    <row r="34" spans="1:70" ht="28.5" x14ac:dyDescent="0.45">
      <c r="A34" s="2" t="s">
        <v>13</v>
      </c>
      <c r="B34" s="54" t="s">
        <v>24</v>
      </c>
      <c r="C34" s="3">
        <v>45219</v>
      </c>
      <c r="D34" s="8">
        <v>3</v>
      </c>
      <c r="E34" s="2" t="s">
        <v>212</v>
      </c>
      <c r="F34" s="4" t="s">
        <v>15</v>
      </c>
      <c r="G34" s="4" t="s">
        <v>577</v>
      </c>
      <c r="H34" s="4" t="s">
        <v>223</v>
      </c>
      <c r="I34" s="7"/>
      <c r="L34" s="7"/>
      <c r="M34" s="7">
        <v>0.17449999999999999</v>
      </c>
      <c r="O34" s="4"/>
      <c r="T34" s="7">
        <v>63.2</v>
      </c>
      <c r="U34" s="7">
        <v>570</v>
      </c>
      <c r="V34" s="7">
        <v>750</v>
      </c>
      <c r="W34" s="4"/>
      <c r="X34" s="9" t="s">
        <v>49</v>
      </c>
      <c r="Y34" s="4" t="s">
        <v>78</v>
      </c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>
        <v>75.7</v>
      </c>
      <c r="AX34" s="4">
        <v>8.1</v>
      </c>
      <c r="AY34" s="9"/>
      <c r="AZ34" s="7">
        <v>200</v>
      </c>
      <c r="BA34" s="4"/>
      <c r="BB34" s="4"/>
      <c r="BC34" s="4"/>
      <c r="BD34" s="16">
        <v>25.8</v>
      </c>
      <c r="BE34" s="16">
        <v>1012</v>
      </c>
      <c r="BF34" s="16">
        <v>51.8</v>
      </c>
      <c r="BG34" s="59"/>
      <c r="BH34" s="4"/>
      <c r="BI34" s="13" t="s">
        <v>87</v>
      </c>
      <c r="BJ34" s="3" t="s">
        <v>114</v>
      </c>
      <c r="BK34"/>
      <c r="BL34"/>
      <c r="BM34"/>
      <c r="BR34"/>
    </row>
    <row r="35" spans="1:70" ht="28.5" x14ac:dyDescent="0.45">
      <c r="A35" s="2" t="s">
        <v>13</v>
      </c>
      <c r="B35" s="54" t="s">
        <v>24</v>
      </c>
      <c r="C35" s="3">
        <v>45219</v>
      </c>
      <c r="D35" s="8">
        <v>4</v>
      </c>
      <c r="E35" s="2" t="s">
        <v>86</v>
      </c>
      <c r="F35" s="4" t="s">
        <v>15</v>
      </c>
      <c r="G35" s="4" t="s">
        <v>577</v>
      </c>
      <c r="H35" s="4" t="s">
        <v>223</v>
      </c>
      <c r="I35" s="7"/>
      <c r="L35" s="7"/>
      <c r="M35" s="7">
        <v>0.17299999999999999</v>
      </c>
      <c r="O35" s="4"/>
      <c r="T35" s="7">
        <v>63.2</v>
      </c>
      <c r="U35" s="7">
        <v>558</v>
      </c>
      <c r="V35" s="7">
        <v>750</v>
      </c>
      <c r="W35" s="4"/>
      <c r="X35" s="9" t="s">
        <v>49</v>
      </c>
      <c r="Y35" s="4" t="s">
        <v>78</v>
      </c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>
        <v>71.599999999999994</v>
      </c>
      <c r="AX35" s="4">
        <v>7.9</v>
      </c>
      <c r="AY35" s="9">
        <f>[1]!Track_TT23[[#This Row],[Bike weight ]]+[1]!Track_TT23[[#This Row],[Rider weight ]]</f>
        <v>74.900000000000006</v>
      </c>
      <c r="AZ35" s="7">
        <v>200</v>
      </c>
      <c r="BA35" s="4">
        <v>111.6</v>
      </c>
      <c r="BB35" s="4"/>
      <c r="BC35" s="4"/>
      <c r="BD35" s="18">
        <v>26.3</v>
      </c>
      <c r="BE35" s="18">
        <v>1012</v>
      </c>
      <c r="BF35" s="18">
        <v>51.3</v>
      </c>
      <c r="BG35" s="4"/>
      <c r="BH35" s="7"/>
      <c r="BI35" s="4"/>
      <c r="BJ35" s="3" t="s">
        <v>122</v>
      </c>
      <c r="BK35"/>
      <c r="BL35"/>
      <c r="BM35"/>
      <c r="BR35"/>
    </row>
    <row r="36" spans="1:70" ht="28.5" x14ac:dyDescent="0.45">
      <c r="A36" s="2" t="s">
        <v>13</v>
      </c>
      <c r="B36" s="54" t="s">
        <v>24</v>
      </c>
      <c r="C36" s="3">
        <v>45219</v>
      </c>
      <c r="D36" s="8">
        <v>5</v>
      </c>
      <c r="E36" s="2" t="s">
        <v>86</v>
      </c>
      <c r="F36" s="4" t="s">
        <v>15</v>
      </c>
      <c r="G36" s="4" t="s">
        <v>577</v>
      </c>
      <c r="H36" s="4" t="s">
        <v>223</v>
      </c>
      <c r="I36" s="7"/>
      <c r="L36" s="7"/>
      <c r="M36" s="7">
        <v>0.17230000000000001</v>
      </c>
      <c r="O36" s="4"/>
      <c r="T36" s="7">
        <v>63.3</v>
      </c>
      <c r="U36" s="7">
        <v>561</v>
      </c>
      <c r="V36" s="7">
        <v>750</v>
      </c>
      <c r="W36" s="4"/>
      <c r="X36" s="9" t="s">
        <v>49</v>
      </c>
      <c r="Y36" s="4" t="s">
        <v>78</v>
      </c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>
        <v>65.900000000000006</v>
      </c>
      <c r="AX36" s="4">
        <v>8</v>
      </c>
      <c r="AY36" s="9">
        <f>[1]!Track_TT23[[#This Row],[Bike weight ]]+[1]!Track_TT23[[#This Row],[Rider weight ]]</f>
        <v>74.900000000000006</v>
      </c>
      <c r="AZ36" s="7">
        <v>200</v>
      </c>
      <c r="BA36" s="4">
        <v>111.6</v>
      </c>
      <c r="BB36" s="4"/>
      <c r="BC36" s="4"/>
      <c r="BD36" s="18">
        <v>26.3</v>
      </c>
      <c r="BE36" s="18">
        <v>1012</v>
      </c>
      <c r="BF36" s="18">
        <v>51.3</v>
      </c>
      <c r="BG36" s="4"/>
      <c r="BH36" s="4"/>
      <c r="BI36" s="4"/>
      <c r="BJ36" s="3" t="s">
        <v>123</v>
      </c>
      <c r="BK36"/>
      <c r="BL36"/>
      <c r="BM36"/>
      <c r="BR36"/>
    </row>
    <row r="37" spans="1:70" ht="28.5" x14ac:dyDescent="0.45">
      <c r="A37" s="2" t="s">
        <v>13</v>
      </c>
      <c r="B37" s="54" t="s">
        <v>24</v>
      </c>
      <c r="C37" s="3">
        <v>45219</v>
      </c>
      <c r="D37" s="8">
        <v>6</v>
      </c>
      <c r="E37" s="2" t="s">
        <v>212</v>
      </c>
      <c r="F37" s="4" t="s">
        <v>15</v>
      </c>
      <c r="G37" s="4" t="s">
        <v>577</v>
      </c>
      <c r="H37" s="4" t="s">
        <v>223</v>
      </c>
      <c r="I37" s="7"/>
      <c r="L37" s="7"/>
      <c r="M37" s="7">
        <v>0.17299999999999999</v>
      </c>
      <c r="O37" s="4"/>
      <c r="T37" s="7">
        <v>63.5</v>
      </c>
      <c r="U37" s="7">
        <v>572</v>
      </c>
      <c r="V37" s="7">
        <v>750</v>
      </c>
      <c r="W37" s="4"/>
      <c r="X37" s="9" t="s">
        <v>49</v>
      </c>
      <c r="Y37" s="4" t="s">
        <v>78</v>
      </c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>
        <v>75.8</v>
      </c>
      <c r="AX37" s="4">
        <v>8.1</v>
      </c>
      <c r="AY37" s="9"/>
      <c r="AZ37" s="7">
        <v>200</v>
      </c>
      <c r="BA37" s="4"/>
      <c r="BB37" s="4"/>
      <c r="BC37" s="4"/>
      <c r="BD37" s="16">
        <v>26.3</v>
      </c>
      <c r="BE37" s="16">
        <v>1012</v>
      </c>
      <c r="BF37" s="16">
        <v>51.3</v>
      </c>
      <c r="BG37" s="59"/>
      <c r="BH37" s="4"/>
      <c r="BI37" s="4"/>
      <c r="BJ37" s="3" t="s">
        <v>124</v>
      </c>
      <c r="BK37"/>
      <c r="BL37"/>
      <c r="BM37"/>
      <c r="BR37"/>
    </row>
    <row r="38" spans="1:70" ht="28.5" x14ac:dyDescent="0.45">
      <c r="A38" s="2" t="s">
        <v>43</v>
      </c>
      <c r="B38" s="54" t="s">
        <v>45</v>
      </c>
      <c r="C38" s="3">
        <v>45225</v>
      </c>
      <c r="D38" s="8">
        <v>1</v>
      </c>
      <c r="E38" s="2" t="s">
        <v>213</v>
      </c>
      <c r="F38" s="4" t="s">
        <v>15</v>
      </c>
      <c r="G38" s="4" t="s">
        <v>15</v>
      </c>
      <c r="H38" s="4" t="s">
        <v>223</v>
      </c>
      <c r="I38" s="7"/>
      <c r="L38" s="7"/>
      <c r="M38" s="7">
        <v>0.15690000000000001</v>
      </c>
      <c r="O38" s="4"/>
      <c r="T38" s="7">
        <v>59.4</v>
      </c>
      <c r="U38" s="7">
        <v>435</v>
      </c>
      <c r="V38" s="7">
        <v>750</v>
      </c>
      <c r="W38" s="4"/>
      <c r="X38" s="9" t="s">
        <v>49</v>
      </c>
      <c r="Y38" s="4" t="s">
        <v>78</v>
      </c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>
        <v>80.599999999999994</v>
      </c>
      <c r="AZ38" s="7">
        <v>200</v>
      </c>
      <c r="BA38" s="4">
        <v>111.6</v>
      </c>
      <c r="BB38" s="4"/>
      <c r="BC38" s="4"/>
      <c r="BD38" s="18">
        <v>24.8</v>
      </c>
      <c r="BE38" s="18">
        <v>1012</v>
      </c>
      <c r="BF38" s="18">
        <v>53.5</v>
      </c>
      <c r="BG38" s="4"/>
      <c r="BH38" s="4"/>
      <c r="BI38" s="4"/>
      <c r="BJ38" s="3" t="s">
        <v>131</v>
      </c>
      <c r="BK38" s="7"/>
      <c r="BL38"/>
      <c r="BM38"/>
      <c r="BR38"/>
    </row>
    <row r="39" spans="1:70" ht="28.5" x14ac:dyDescent="0.45">
      <c r="A39" s="2" t="s">
        <v>43</v>
      </c>
      <c r="B39" s="54" t="s">
        <v>45</v>
      </c>
      <c r="C39" s="3">
        <v>45225</v>
      </c>
      <c r="D39" s="8">
        <v>2</v>
      </c>
      <c r="E39" s="2" t="s">
        <v>212</v>
      </c>
      <c r="F39" s="4" t="s">
        <v>15</v>
      </c>
      <c r="G39" s="4" t="s">
        <v>15</v>
      </c>
      <c r="H39" s="4" t="s">
        <v>223</v>
      </c>
      <c r="I39" s="7"/>
      <c r="L39" s="7"/>
      <c r="M39" s="7">
        <v>0.16109999999999999</v>
      </c>
      <c r="O39" s="4"/>
      <c r="T39" s="7">
        <v>59</v>
      </c>
      <c r="U39" s="7">
        <v>440</v>
      </c>
      <c r="V39" s="7">
        <v>750</v>
      </c>
      <c r="W39" s="4"/>
      <c r="X39" s="9" t="s">
        <v>49</v>
      </c>
      <c r="Y39" s="4" t="s">
        <v>78</v>
      </c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>
        <v>85.7</v>
      </c>
      <c r="AZ39" s="7">
        <v>200</v>
      </c>
      <c r="BA39" s="4">
        <v>117</v>
      </c>
      <c r="BB39" s="4"/>
      <c r="BC39" s="4"/>
      <c r="BD39" s="4">
        <v>25</v>
      </c>
      <c r="BE39" s="59">
        <v>1012</v>
      </c>
      <c r="BF39" s="63">
        <v>53</v>
      </c>
      <c r="BG39" s="59">
        <v>1.1739999999999999</v>
      </c>
      <c r="BH39" s="4"/>
      <c r="BI39" s="4"/>
      <c r="BJ39" s="3" t="s">
        <v>132</v>
      </c>
      <c r="BK39" s="7"/>
      <c r="BL39"/>
      <c r="BM39"/>
      <c r="BR39"/>
    </row>
    <row r="40" spans="1:70" ht="28.5" x14ac:dyDescent="0.45">
      <c r="A40" s="2" t="s">
        <v>43</v>
      </c>
      <c r="B40" s="54" t="s">
        <v>45</v>
      </c>
      <c r="C40" s="3">
        <v>45225</v>
      </c>
      <c r="D40" s="8">
        <v>3</v>
      </c>
      <c r="E40" s="2" t="s">
        <v>213</v>
      </c>
      <c r="F40" s="4" t="s">
        <v>15</v>
      </c>
      <c r="G40" s="4" t="s">
        <v>15</v>
      </c>
      <c r="H40" s="4" t="s">
        <v>223</v>
      </c>
      <c r="I40" s="7"/>
      <c r="L40" s="7"/>
      <c r="M40" s="7">
        <v>0.15529999999999999</v>
      </c>
      <c r="O40" s="4"/>
      <c r="T40" s="7">
        <v>60.3</v>
      </c>
      <c r="U40" s="7">
        <v>448</v>
      </c>
      <c r="V40" s="7">
        <v>750</v>
      </c>
      <c r="W40" s="4"/>
      <c r="X40" s="9" t="s">
        <v>49</v>
      </c>
      <c r="Y40" s="4" t="s">
        <v>78</v>
      </c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>
        <v>74.400000000000006</v>
      </c>
      <c r="AZ40" s="7">
        <v>200</v>
      </c>
      <c r="BA40" s="4">
        <v>111.6</v>
      </c>
      <c r="BB40" s="4"/>
      <c r="BC40" s="4"/>
      <c r="BD40" s="18">
        <v>24.8</v>
      </c>
      <c r="BE40" s="18">
        <v>1012</v>
      </c>
      <c r="BF40" s="18">
        <v>53.5</v>
      </c>
      <c r="BG40" s="4"/>
      <c r="BH40" s="4"/>
      <c r="BI40" s="4"/>
      <c r="BJ40" s="3" t="s">
        <v>133</v>
      </c>
      <c r="BK40" s="7"/>
      <c r="BL40"/>
      <c r="BM40"/>
      <c r="BR40"/>
    </row>
    <row r="41" spans="1:70" ht="28.5" x14ac:dyDescent="0.45">
      <c r="A41" s="2" t="s">
        <v>43</v>
      </c>
      <c r="B41" s="54" t="s">
        <v>45</v>
      </c>
      <c r="C41" s="3">
        <v>45225</v>
      </c>
      <c r="D41" s="8">
        <v>4</v>
      </c>
      <c r="E41" s="2" t="s">
        <v>212</v>
      </c>
      <c r="F41" s="4" t="s">
        <v>15</v>
      </c>
      <c r="G41" s="4" t="s">
        <v>15</v>
      </c>
      <c r="H41" s="4" t="s">
        <v>223</v>
      </c>
      <c r="I41" s="7"/>
      <c r="L41" s="7"/>
      <c r="M41" s="7">
        <v>0.16059999999999999</v>
      </c>
      <c r="O41" s="4"/>
      <c r="T41" s="7">
        <v>59.7</v>
      </c>
      <c r="U41" s="7">
        <v>447</v>
      </c>
      <c r="V41" s="7">
        <v>750</v>
      </c>
      <c r="W41" s="4"/>
      <c r="X41" s="9" t="s">
        <v>49</v>
      </c>
      <c r="Y41" s="4" t="s">
        <v>78</v>
      </c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>
        <v>80.3</v>
      </c>
      <c r="AZ41" s="7">
        <v>200</v>
      </c>
      <c r="BA41" s="4">
        <v>117</v>
      </c>
      <c r="BB41" s="4"/>
      <c r="BC41" s="4"/>
      <c r="BD41" s="4">
        <v>25.1</v>
      </c>
      <c r="BE41" s="14">
        <v>1012</v>
      </c>
      <c r="BF41" s="63">
        <v>54</v>
      </c>
      <c r="BG41" s="15">
        <v>1.1739999999999999</v>
      </c>
      <c r="BH41" s="4"/>
      <c r="BI41" s="4"/>
      <c r="BJ41" s="3" t="s">
        <v>134</v>
      </c>
      <c r="BK41" s="7"/>
      <c r="BL41"/>
      <c r="BM41"/>
      <c r="BR41"/>
    </row>
    <row r="42" spans="1:70" ht="28.5" x14ac:dyDescent="0.45">
      <c r="A42" s="2" t="s">
        <v>43</v>
      </c>
      <c r="B42" s="54" t="s">
        <v>45</v>
      </c>
      <c r="C42" s="3">
        <v>45225</v>
      </c>
      <c r="D42" s="8">
        <v>5</v>
      </c>
      <c r="E42" s="2" t="s">
        <v>212</v>
      </c>
      <c r="F42" s="4" t="s">
        <v>15</v>
      </c>
      <c r="G42" s="4" t="s">
        <v>15</v>
      </c>
      <c r="H42" s="4" t="s">
        <v>223</v>
      </c>
      <c r="I42" s="7"/>
      <c r="L42" s="7"/>
      <c r="M42" s="7">
        <v>0.16220000000000001</v>
      </c>
      <c r="O42" s="4"/>
      <c r="T42" s="7">
        <v>59.9</v>
      </c>
      <c r="U42" s="7">
        <v>454</v>
      </c>
      <c r="V42" s="7">
        <v>750</v>
      </c>
      <c r="W42" s="4"/>
      <c r="X42" s="9" t="s">
        <v>49</v>
      </c>
      <c r="Y42" s="4" t="s">
        <v>78</v>
      </c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4"/>
      <c r="AS42" s="4"/>
      <c r="AT42" s="4"/>
      <c r="AU42" s="4"/>
      <c r="AV42" s="4"/>
      <c r="AW42" s="4"/>
      <c r="AX42" s="4"/>
      <c r="AY42" s="4">
        <v>80.599999999999994</v>
      </c>
      <c r="AZ42" s="7">
        <v>200</v>
      </c>
      <c r="BA42" s="4">
        <v>111.6</v>
      </c>
      <c r="BB42" s="4"/>
      <c r="BC42" s="4"/>
      <c r="BD42" s="18">
        <v>25.1</v>
      </c>
      <c r="BE42" s="19">
        <v>1012</v>
      </c>
      <c r="BF42" s="18">
        <v>53</v>
      </c>
      <c r="BG42" s="21"/>
      <c r="BH42" s="4"/>
      <c r="BI42" s="4"/>
      <c r="BJ42" s="3" t="s">
        <v>135</v>
      </c>
      <c r="BK42" s="7"/>
      <c r="BL42"/>
      <c r="BM42"/>
      <c r="BR42"/>
    </row>
    <row r="43" spans="1:70" ht="28.5" x14ac:dyDescent="0.45">
      <c r="A43" s="2" t="s">
        <v>43</v>
      </c>
      <c r="B43" s="54" t="s">
        <v>45</v>
      </c>
      <c r="C43" s="3">
        <v>45225</v>
      </c>
      <c r="D43" s="8">
        <v>6</v>
      </c>
      <c r="E43" s="2" t="s">
        <v>213</v>
      </c>
      <c r="F43" s="4" t="s">
        <v>15</v>
      </c>
      <c r="G43" s="4" t="s">
        <v>15</v>
      </c>
      <c r="H43" s="4" t="s">
        <v>223</v>
      </c>
      <c r="I43" s="7"/>
      <c r="L43" s="7"/>
      <c r="M43" s="7">
        <v>0.15939999999999999</v>
      </c>
      <c r="O43" s="4"/>
      <c r="T43" s="7">
        <v>59.4</v>
      </c>
      <c r="U43" s="7">
        <v>445</v>
      </c>
      <c r="V43" s="7">
        <v>750</v>
      </c>
      <c r="W43" s="4"/>
      <c r="X43" s="9" t="s">
        <v>49</v>
      </c>
      <c r="Y43" s="4" t="s">
        <v>78</v>
      </c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4"/>
      <c r="AS43" s="4"/>
      <c r="AT43" s="4"/>
      <c r="AU43" s="4"/>
      <c r="AV43" s="4"/>
      <c r="AW43" s="4"/>
      <c r="AX43" s="4"/>
      <c r="AY43" s="4">
        <v>85.8</v>
      </c>
      <c r="AZ43" s="7">
        <v>200</v>
      </c>
      <c r="BA43" s="4">
        <v>117</v>
      </c>
      <c r="BB43" s="4"/>
      <c r="BC43" s="4"/>
      <c r="BD43" s="4">
        <v>25.1</v>
      </c>
      <c r="BE43" s="14">
        <v>1012</v>
      </c>
      <c r="BF43" s="63">
        <v>53</v>
      </c>
      <c r="BG43" s="15">
        <v>1.1739999999999999</v>
      </c>
      <c r="BH43" s="4"/>
      <c r="BI43" s="4"/>
      <c r="BJ43" s="3" t="s">
        <v>136</v>
      </c>
      <c r="BK43" s="7"/>
      <c r="BL43"/>
      <c r="BM43"/>
      <c r="BR43"/>
    </row>
    <row r="44" spans="1:70" ht="28.5" x14ac:dyDescent="0.45">
      <c r="A44" s="2" t="s">
        <v>13</v>
      </c>
      <c r="B44" s="54" t="s">
        <v>17</v>
      </c>
      <c r="C44" s="3">
        <v>45225</v>
      </c>
      <c r="D44" s="8">
        <v>1</v>
      </c>
      <c r="E44" s="2" t="s">
        <v>85</v>
      </c>
      <c r="F44" s="4" t="s">
        <v>15</v>
      </c>
      <c r="G44" s="4" t="s">
        <v>577</v>
      </c>
      <c r="H44" s="4" t="s">
        <v>571</v>
      </c>
      <c r="I44" s="7"/>
      <c r="L44" s="7"/>
      <c r="M44" s="7">
        <v>0.17469999999999999</v>
      </c>
      <c r="O44" s="4"/>
      <c r="T44" s="7">
        <v>61.8</v>
      </c>
      <c r="U44" s="7">
        <v>529</v>
      </c>
      <c r="V44" s="7">
        <v>755.9</v>
      </c>
      <c r="W44" s="4"/>
      <c r="X44" s="9" t="s">
        <v>49</v>
      </c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  <c r="AV44" s="4"/>
      <c r="AW44" s="4"/>
      <c r="AX44" s="4"/>
      <c r="AY44" s="4">
        <v>74.5</v>
      </c>
      <c r="AZ44" s="7">
        <v>200</v>
      </c>
      <c r="BA44" s="4">
        <v>111.6</v>
      </c>
      <c r="BB44" s="4"/>
      <c r="BC44" s="4"/>
      <c r="BD44" s="18">
        <v>25.1</v>
      </c>
      <c r="BE44" s="19">
        <v>1012</v>
      </c>
      <c r="BF44" s="18">
        <v>53</v>
      </c>
      <c r="BG44" s="21"/>
      <c r="BH44" s="4"/>
      <c r="BI44" s="4"/>
      <c r="BJ44" s="3" t="s">
        <v>125</v>
      </c>
      <c r="BK44" s="7"/>
      <c r="BL44"/>
      <c r="BM44"/>
      <c r="BR44"/>
    </row>
    <row r="45" spans="1:70" ht="28.5" x14ac:dyDescent="0.45">
      <c r="A45" s="2" t="s">
        <v>13</v>
      </c>
      <c r="B45" s="54" t="s">
        <v>17</v>
      </c>
      <c r="C45" s="3">
        <v>45225</v>
      </c>
      <c r="D45" s="8">
        <v>2</v>
      </c>
      <c r="E45" s="2" t="s">
        <v>212</v>
      </c>
      <c r="F45" s="4" t="s">
        <v>15</v>
      </c>
      <c r="G45" s="4" t="s">
        <v>577</v>
      </c>
      <c r="H45" s="4" t="s">
        <v>571</v>
      </c>
      <c r="I45" s="7"/>
      <c r="L45" s="7"/>
      <c r="M45" s="7">
        <v>0.16830000000000001</v>
      </c>
      <c r="O45" s="4"/>
      <c r="T45" s="7">
        <v>62.7</v>
      </c>
      <c r="U45" s="7">
        <v>538</v>
      </c>
      <c r="V45" s="7">
        <v>757.2</v>
      </c>
      <c r="W45" s="4"/>
      <c r="X45" s="9" t="s">
        <v>49</v>
      </c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4"/>
      <c r="AS45" s="4"/>
      <c r="AT45" s="4"/>
      <c r="AU45" s="4"/>
      <c r="AV45" s="4"/>
      <c r="AW45" s="4"/>
      <c r="AX45" s="4"/>
      <c r="AY45" s="4">
        <v>80.099999999999994</v>
      </c>
      <c r="AZ45" s="7">
        <v>200</v>
      </c>
      <c r="BA45" s="4">
        <v>117</v>
      </c>
      <c r="BB45" s="4"/>
      <c r="BC45" s="4"/>
      <c r="BD45" s="4">
        <v>25.1</v>
      </c>
      <c r="BE45" s="14">
        <v>1012</v>
      </c>
      <c r="BF45" s="63">
        <v>53</v>
      </c>
      <c r="BG45" s="15">
        <v>1.1739999999999999</v>
      </c>
      <c r="BH45" s="4"/>
      <c r="BI45" s="4"/>
      <c r="BJ45" s="3" t="s">
        <v>126</v>
      </c>
      <c r="BK45" s="7"/>
      <c r="BL45"/>
      <c r="BM45"/>
      <c r="BR45"/>
    </row>
    <row r="46" spans="1:70" ht="28.5" x14ac:dyDescent="0.45">
      <c r="A46" s="2" t="s">
        <v>13</v>
      </c>
      <c r="B46" s="54" t="s">
        <v>17</v>
      </c>
      <c r="C46" s="3">
        <v>45225</v>
      </c>
      <c r="D46" s="8">
        <v>3</v>
      </c>
      <c r="E46" s="2" t="s">
        <v>556</v>
      </c>
      <c r="F46" s="4" t="s">
        <v>15</v>
      </c>
      <c r="G46" s="4" t="s">
        <v>577</v>
      </c>
      <c r="H46" s="4" t="s">
        <v>571</v>
      </c>
      <c r="I46" s="7"/>
      <c r="L46" s="7"/>
      <c r="M46" s="7">
        <v>0.17280000000000001</v>
      </c>
      <c r="O46" s="4"/>
      <c r="T46" s="7">
        <v>62.9</v>
      </c>
      <c r="U46" s="7">
        <v>560</v>
      </c>
      <c r="V46" s="7">
        <v>0.17280000000000001</v>
      </c>
      <c r="W46" s="4"/>
      <c r="X46" s="9" t="s">
        <v>49</v>
      </c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/>
      <c r="AS46" s="4"/>
      <c r="AT46" s="4"/>
      <c r="AU46" s="4"/>
      <c r="AV46" s="4"/>
      <c r="AW46" s="4"/>
      <c r="AX46" s="4"/>
      <c r="AY46" s="4">
        <v>80.400000000000006</v>
      </c>
      <c r="AZ46" s="7">
        <v>200</v>
      </c>
      <c r="BA46" s="4">
        <v>111.6</v>
      </c>
      <c r="BB46" s="4"/>
      <c r="BC46" s="4"/>
      <c r="BD46" s="18">
        <v>25.3</v>
      </c>
      <c r="BE46" s="19">
        <v>1012</v>
      </c>
      <c r="BF46" s="18">
        <v>53</v>
      </c>
      <c r="BG46" s="21"/>
      <c r="BH46" s="4"/>
      <c r="BI46" s="4"/>
      <c r="BJ46" s="3" t="s">
        <v>127</v>
      </c>
      <c r="BK46" s="7"/>
      <c r="BL46"/>
      <c r="BM46"/>
      <c r="BR46"/>
    </row>
    <row r="47" spans="1:70" ht="28.5" x14ac:dyDescent="0.45">
      <c r="A47" s="2" t="s">
        <v>13</v>
      </c>
      <c r="B47" s="54" t="s">
        <v>17</v>
      </c>
      <c r="C47" s="3">
        <v>45225</v>
      </c>
      <c r="D47" s="8">
        <v>4</v>
      </c>
      <c r="E47" s="2" t="s">
        <v>85</v>
      </c>
      <c r="F47" s="4" t="s">
        <v>15</v>
      </c>
      <c r="G47" s="4" t="s">
        <v>577</v>
      </c>
      <c r="H47" s="4" t="s">
        <v>571</v>
      </c>
      <c r="I47" s="7"/>
      <c r="L47" s="7"/>
      <c r="M47" s="7">
        <v>0.17480000000000001</v>
      </c>
      <c r="O47" s="4"/>
      <c r="T47" s="7">
        <v>62.1</v>
      </c>
      <c r="U47" s="7">
        <v>541</v>
      </c>
      <c r="V47" s="7">
        <v>756.3</v>
      </c>
      <c r="W47" s="4"/>
      <c r="X47" s="9" t="s">
        <v>49</v>
      </c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4"/>
      <c r="AS47" s="4"/>
      <c r="AT47" s="4"/>
      <c r="AU47" s="4"/>
      <c r="AV47" s="4"/>
      <c r="AW47" s="4"/>
      <c r="AX47" s="4"/>
      <c r="AY47" s="4">
        <v>85.9</v>
      </c>
      <c r="AZ47" s="7">
        <v>200</v>
      </c>
      <c r="BA47" s="4">
        <v>117</v>
      </c>
      <c r="BB47" s="4"/>
      <c r="BC47" s="4"/>
      <c r="BD47" s="4">
        <v>25.1</v>
      </c>
      <c r="BE47" s="14">
        <v>1012</v>
      </c>
      <c r="BF47" s="63">
        <v>53</v>
      </c>
      <c r="BG47" s="15">
        <v>1.1739999999999999</v>
      </c>
      <c r="BH47" s="4"/>
      <c r="BI47" s="4"/>
      <c r="BJ47" s="3" t="s">
        <v>128</v>
      </c>
      <c r="BK47" s="7"/>
      <c r="BL47"/>
      <c r="BM47"/>
      <c r="BR47"/>
    </row>
    <row r="48" spans="1:70" ht="28.5" x14ac:dyDescent="0.45">
      <c r="A48" s="2" t="s">
        <v>13</v>
      </c>
      <c r="B48" s="54" t="s">
        <v>17</v>
      </c>
      <c r="C48" s="3">
        <v>45225</v>
      </c>
      <c r="D48" s="8">
        <v>5</v>
      </c>
      <c r="E48" s="2" t="s">
        <v>556</v>
      </c>
      <c r="F48" s="4" t="s">
        <v>15</v>
      </c>
      <c r="G48" s="4" t="s">
        <v>577</v>
      </c>
      <c r="H48" s="4" t="s">
        <v>571</v>
      </c>
      <c r="I48" s="7"/>
      <c r="L48" s="7"/>
      <c r="M48" s="7">
        <v>0.17380000000000001</v>
      </c>
      <c r="O48" s="4"/>
      <c r="T48" s="7">
        <v>62.1</v>
      </c>
      <c r="U48" s="7">
        <v>535</v>
      </c>
      <c r="V48" s="7">
        <v>756.7</v>
      </c>
      <c r="W48" s="4"/>
      <c r="X48" s="9" t="s">
        <v>49</v>
      </c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/>
      <c r="AT48" s="4"/>
      <c r="AU48" s="4"/>
      <c r="AV48" s="4"/>
      <c r="AW48" s="4"/>
      <c r="AX48" s="4"/>
      <c r="AY48" s="4">
        <v>74.3</v>
      </c>
      <c r="AZ48" s="7">
        <v>200</v>
      </c>
      <c r="BA48" s="4">
        <v>111.6</v>
      </c>
      <c r="BB48" s="4"/>
      <c r="BC48" s="4"/>
      <c r="BD48" s="18">
        <v>25.3</v>
      </c>
      <c r="BE48" s="19">
        <v>1012</v>
      </c>
      <c r="BF48" s="18">
        <v>53</v>
      </c>
      <c r="BG48" s="21"/>
      <c r="BH48" s="4"/>
      <c r="BI48" s="4"/>
      <c r="BJ48" s="3" t="s">
        <v>129</v>
      </c>
      <c r="BK48" s="7"/>
      <c r="BL48"/>
      <c r="BM48"/>
      <c r="BR48"/>
    </row>
    <row r="49" spans="1:70" ht="28.5" x14ac:dyDescent="0.45">
      <c r="A49" s="2" t="s">
        <v>13</v>
      </c>
      <c r="B49" s="54" t="s">
        <v>17</v>
      </c>
      <c r="C49" s="3">
        <v>45225</v>
      </c>
      <c r="D49" s="8">
        <v>6</v>
      </c>
      <c r="E49" s="2" t="s">
        <v>212</v>
      </c>
      <c r="F49" s="4" t="s">
        <v>15</v>
      </c>
      <c r="G49" s="4" t="s">
        <v>577</v>
      </c>
      <c r="H49" s="4" t="s">
        <v>571</v>
      </c>
      <c r="I49" s="7"/>
      <c r="L49" s="7"/>
      <c r="M49" s="7">
        <v>0.1716</v>
      </c>
      <c r="O49" s="4"/>
      <c r="T49" s="7">
        <v>62.7</v>
      </c>
      <c r="U49" s="7">
        <v>547</v>
      </c>
      <c r="V49" s="7">
        <v>756.8</v>
      </c>
      <c r="W49" s="4"/>
      <c r="X49" s="9" t="s">
        <v>49</v>
      </c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4"/>
      <c r="AS49" s="4"/>
      <c r="AT49" s="4"/>
      <c r="AU49" s="4"/>
      <c r="AV49" s="4"/>
      <c r="AW49" s="4"/>
      <c r="AX49" s="4"/>
      <c r="AY49" s="4">
        <v>80.099999999999994</v>
      </c>
      <c r="AZ49" s="7">
        <v>200</v>
      </c>
      <c r="BA49" s="4">
        <v>117</v>
      </c>
      <c r="BB49" s="4"/>
      <c r="BC49" s="4"/>
      <c r="BD49" s="4">
        <v>25.1</v>
      </c>
      <c r="BE49" s="14">
        <v>1012</v>
      </c>
      <c r="BF49" s="63">
        <v>54</v>
      </c>
      <c r="BG49" s="15">
        <v>1.1739999999999999</v>
      </c>
      <c r="BH49" s="4"/>
      <c r="BI49" s="4"/>
      <c r="BJ49" s="3" t="s">
        <v>130</v>
      </c>
      <c r="BK49" s="7"/>
      <c r="BL49"/>
      <c r="BM49"/>
      <c r="BR49"/>
    </row>
    <row r="50" spans="1:70" ht="28.5" x14ac:dyDescent="0.45">
      <c r="A50" s="2" t="s">
        <v>43</v>
      </c>
      <c r="B50" s="54" t="s">
        <v>79</v>
      </c>
      <c r="C50" s="3">
        <v>45225</v>
      </c>
      <c r="D50" s="8">
        <v>1</v>
      </c>
      <c r="E50" s="2" t="s">
        <v>85</v>
      </c>
      <c r="F50" s="4" t="s">
        <v>15</v>
      </c>
      <c r="G50" s="4" t="s">
        <v>15</v>
      </c>
      <c r="H50" s="4" t="s">
        <v>330</v>
      </c>
      <c r="I50" s="7"/>
      <c r="L50" s="7"/>
      <c r="M50" s="7">
        <v>0.154</v>
      </c>
      <c r="O50" s="4"/>
      <c r="T50" s="7">
        <v>59.4</v>
      </c>
      <c r="U50" s="7">
        <v>426</v>
      </c>
      <c r="V50" s="7">
        <v>750</v>
      </c>
      <c r="W50" s="4"/>
      <c r="X50" s="9" t="s">
        <v>49</v>
      </c>
      <c r="Y50" s="4" t="s">
        <v>78</v>
      </c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4"/>
      <c r="AS50" s="4"/>
      <c r="AT50" s="4"/>
      <c r="AU50" s="4"/>
      <c r="AV50" s="4"/>
      <c r="AW50" s="4"/>
      <c r="AX50" s="4"/>
      <c r="AY50" s="4">
        <v>74.3</v>
      </c>
      <c r="AZ50" s="7">
        <v>200</v>
      </c>
      <c r="BA50" s="4">
        <v>111.6</v>
      </c>
      <c r="BB50" s="4"/>
      <c r="BC50" s="4"/>
      <c r="BD50" s="18">
        <v>25.1</v>
      </c>
      <c r="BE50" s="18">
        <v>1011</v>
      </c>
      <c r="BF50" s="18">
        <v>54.2</v>
      </c>
      <c r="BG50" s="64"/>
      <c r="BH50" s="4"/>
      <c r="BI50" s="4"/>
      <c r="BJ50" s="3" t="s">
        <v>145</v>
      </c>
      <c r="BK50" s="7"/>
      <c r="BL50"/>
      <c r="BM50"/>
      <c r="BR50"/>
    </row>
    <row r="51" spans="1:70" ht="28.5" x14ac:dyDescent="0.45">
      <c r="A51" s="2" t="s">
        <v>43</v>
      </c>
      <c r="B51" s="54" t="s">
        <v>79</v>
      </c>
      <c r="C51" s="3">
        <v>45225</v>
      </c>
      <c r="D51" s="8">
        <v>2</v>
      </c>
      <c r="E51" s="2" t="s">
        <v>541</v>
      </c>
      <c r="F51" s="4" t="s">
        <v>15</v>
      </c>
      <c r="G51" s="4" t="s">
        <v>15</v>
      </c>
      <c r="H51" s="4" t="s">
        <v>330</v>
      </c>
      <c r="I51" s="7"/>
      <c r="L51" s="7"/>
      <c r="M51" s="7">
        <v>0.1444</v>
      </c>
      <c r="O51" s="4"/>
      <c r="T51" s="7">
        <v>59.1</v>
      </c>
      <c r="U51" s="7">
        <v>405</v>
      </c>
      <c r="V51" s="7">
        <v>750</v>
      </c>
      <c r="W51" s="4"/>
      <c r="X51" s="9" t="s">
        <v>49</v>
      </c>
      <c r="Y51" s="4" t="s">
        <v>78</v>
      </c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4"/>
      <c r="AS51" s="4"/>
      <c r="AT51" s="4"/>
      <c r="AU51" s="4"/>
      <c r="AV51" s="4"/>
      <c r="AW51" s="4"/>
      <c r="AX51" s="4"/>
      <c r="AY51" s="4">
        <v>80</v>
      </c>
      <c r="AZ51" s="7">
        <v>200</v>
      </c>
      <c r="BA51" s="4">
        <v>117</v>
      </c>
      <c r="BB51" s="4"/>
      <c r="BC51" s="4"/>
      <c r="BD51" s="4">
        <v>25.1</v>
      </c>
      <c r="BE51" s="59">
        <v>1011</v>
      </c>
      <c r="BF51" s="63">
        <v>54</v>
      </c>
      <c r="BG51" s="59">
        <v>1.173</v>
      </c>
      <c r="BH51" s="4"/>
      <c r="BI51" s="4"/>
      <c r="BJ51" s="3" t="s">
        <v>146</v>
      </c>
      <c r="BK51" s="7"/>
      <c r="BL51"/>
      <c r="BM51"/>
      <c r="BR51"/>
    </row>
    <row r="52" spans="1:70" ht="28.5" x14ac:dyDescent="0.45">
      <c r="A52" s="2" t="s">
        <v>43</v>
      </c>
      <c r="B52" s="54" t="s">
        <v>79</v>
      </c>
      <c r="C52" s="3">
        <v>45225</v>
      </c>
      <c r="D52" s="8">
        <v>3</v>
      </c>
      <c r="E52" s="2" t="s">
        <v>85</v>
      </c>
      <c r="F52" s="4" t="s">
        <v>15</v>
      </c>
      <c r="G52" s="4" t="s">
        <v>15</v>
      </c>
      <c r="H52" s="4" t="s">
        <v>330</v>
      </c>
      <c r="I52" s="7"/>
      <c r="L52" s="7"/>
      <c r="M52" s="7">
        <v>0.15229999999999999</v>
      </c>
      <c r="O52" s="4"/>
      <c r="T52" s="7">
        <v>59.8</v>
      </c>
      <c r="U52" s="7">
        <v>429</v>
      </c>
      <c r="V52" s="7">
        <v>750</v>
      </c>
      <c r="W52" s="4"/>
      <c r="X52" s="9" t="s">
        <v>49</v>
      </c>
      <c r="Y52" s="4" t="s">
        <v>78</v>
      </c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4"/>
      <c r="AT52" s="4"/>
      <c r="AU52" s="4"/>
      <c r="AV52" s="4"/>
      <c r="AW52" s="4"/>
      <c r="AX52" s="4"/>
      <c r="AY52" s="4">
        <v>80</v>
      </c>
      <c r="AZ52" s="7">
        <v>200</v>
      </c>
      <c r="BA52" s="4">
        <v>111.6</v>
      </c>
      <c r="BB52" s="4"/>
      <c r="BC52" s="4"/>
      <c r="BD52" s="18">
        <v>25.1</v>
      </c>
      <c r="BE52" s="18">
        <v>1011</v>
      </c>
      <c r="BF52" s="18">
        <v>54.2</v>
      </c>
      <c r="BG52" s="64"/>
      <c r="BH52" s="4"/>
      <c r="BI52" s="4"/>
      <c r="BJ52" s="3" t="s">
        <v>147</v>
      </c>
      <c r="BK52" s="7"/>
      <c r="BL52"/>
      <c r="BM52"/>
      <c r="BR52"/>
    </row>
    <row r="53" spans="1:70" ht="28.5" x14ac:dyDescent="0.45">
      <c r="A53" s="2" t="s">
        <v>43</v>
      </c>
      <c r="B53" s="54" t="s">
        <v>79</v>
      </c>
      <c r="C53" s="3">
        <v>45225</v>
      </c>
      <c r="D53" s="8">
        <v>4</v>
      </c>
      <c r="E53" s="2" t="s">
        <v>541</v>
      </c>
      <c r="F53" s="4" t="s">
        <v>15</v>
      </c>
      <c r="G53" s="4" t="s">
        <v>15</v>
      </c>
      <c r="H53" s="4" t="s">
        <v>330</v>
      </c>
      <c r="I53" s="7"/>
      <c r="L53" s="7"/>
      <c r="M53" s="7">
        <v>0.1477</v>
      </c>
      <c r="O53" s="4"/>
      <c r="T53" s="7">
        <v>59.1</v>
      </c>
      <c r="U53" s="7">
        <v>402</v>
      </c>
      <c r="V53" s="7">
        <v>750</v>
      </c>
      <c r="W53" s="4"/>
      <c r="X53" s="9" t="s">
        <v>49</v>
      </c>
      <c r="Y53" s="4" t="s">
        <v>78</v>
      </c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4"/>
      <c r="AX53" s="4"/>
      <c r="AY53" s="4">
        <v>85.6</v>
      </c>
      <c r="AZ53" s="7">
        <v>200</v>
      </c>
      <c r="BA53" s="4">
        <v>117</v>
      </c>
      <c r="BB53" s="4"/>
      <c r="BC53" s="4"/>
      <c r="BD53" s="4">
        <v>25.2</v>
      </c>
      <c r="BE53" s="59">
        <v>1011</v>
      </c>
      <c r="BF53" s="63">
        <v>54</v>
      </c>
      <c r="BG53" s="59">
        <v>1.173</v>
      </c>
      <c r="BH53" s="4"/>
      <c r="BI53" s="4"/>
      <c r="BJ53" s="3" t="s">
        <v>148</v>
      </c>
      <c r="BK53" s="7"/>
      <c r="BL53"/>
      <c r="BM53"/>
      <c r="BR53"/>
    </row>
    <row r="54" spans="1:70" ht="28.5" x14ac:dyDescent="0.45">
      <c r="A54" s="2" t="s">
        <v>43</v>
      </c>
      <c r="B54" s="54" t="s">
        <v>79</v>
      </c>
      <c r="C54" s="3">
        <v>45225</v>
      </c>
      <c r="D54" s="8">
        <v>5</v>
      </c>
      <c r="E54" s="2" t="s">
        <v>85</v>
      </c>
      <c r="F54" s="4" t="s">
        <v>15</v>
      </c>
      <c r="G54" s="4" t="s">
        <v>15</v>
      </c>
      <c r="H54" s="4" t="s">
        <v>330</v>
      </c>
      <c r="I54" s="7"/>
      <c r="L54" s="7"/>
      <c r="M54" s="7">
        <v>0.15509999999999999</v>
      </c>
      <c r="O54" s="4"/>
      <c r="T54" s="7">
        <v>59.8</v>
      </c>
      <c r="U54" s="7">
        <v>434</v>
      </c>
      <c r="V54" s="7">
        <v>750</v>
      </c>
      <c r="W54" s="4"/>
      <c r="X54" s="9" t="s">
        <v>49</v>
      </c>
      <c r="Y54" s="4" t="s">
        <v>78</v>
      </c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/>
      <c r="AY54" s="4">
        <v>74.400000000000006</v>
      </c>
      <c r="AZ54" s="7">
        <v>200</v>
      </c>
      <c r="BA54" s="4">
        <v>111.6</v>
      </c>
      <c r="BB54" s="4"/>
      <c r="BC54" s="4"/>
      <c r="BD54" s="18">
        <v>25.1</v>
      </c>
      <c r="BE54" s="18">
        <v>1011</v>
      </c>
      <c r="BF54" s="18">
        <v>54.2</v>
      </c>
      <c r="BG54" s="64"/>
      <c r="BH54" s="4"/>
      <c r="BI54" s="4"/>
      <c r="BJ54" s="3" t="s">
        <v>137</v>
      </c>
      <c r="BK54" s="7"/>
      <c r="BL54"/>
      <c r="BM54"/>
      <c r="BR54"/>
    </row>
    <row r="55" spans="1:70" ht="28.5" x14ac:dyDescent="0.45">
      <c r="A55" s="2" t="s">
        <v>43</v>
      </c>
      <c r="B55" s="54" t="s">
        <v>79</v>
      </c>
      <c r="C55" s="3">
        <v>45225</v>
      </c>
      <c r="D55" s="8">
        <v>6</v>
      </c>
      <c r="E55" s="2" t="s">
        <v>541</v>
      </c>
      <c r="F55" s="4" t="s">
        <v>15</v>
      </c>
      <c r="G55" s="4" t="s">
        <v>15</v>
      </c>
      <c r="H55" s="4" t="s">
        <v>330</v>
      </c>
      <c r="I55" s="7"/>
      <c r="L55" s="7"/>
      <c r="M55" s="7">
        <v>0.14940000000000001</v>
      </c>
      <c r="O55" s="4"/>
      <c r="T55" s="7">
        <v>60.3</v>
      </c>
      <c r="U55" s="7">
        <v>424</v>
      </c>
      <c r="V55" s="7">
        <v>750</v>
      </c>
      <c r="W55" s="4"/>
      <c r="X55" s="9" t="s">
        <v>49</v>
      </c>
      <c r="Y55" s="4" t="s">
        <v>78</v>
      </c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  <c r="AV55" s="4"/>
      <c r="AW55" s="4"/>
      <c r="AX55" s="4"/>
      <c r="AY55" s="4">
        <v>80.099999999999994</v>
      </c>
      <c r="AZ55" s="7">
        <v>200</v>
      </c>
      <c r="BA55" s="4">
        <v>117</v>
      </c>
      <c r="BB55" s="4"/>
      <c r="BC55" s="4"/>
      <c r="BD55" s="4">
        <v>25.2</v>
      </c>
      <c r="BE55" s="59">
        <v>1011</v>
      </c>
      <c r="BF55" s="63">
        <v>54</v>
      </c>
      <c r="BG55" s="59">
        <v>1.173</v>
      </c>
      <c r="BH55" s="4"/>
      <c r="BI55" s="4"/>
      <c r="BJ55" s="3" t="s">
        <v>138</v>
      </c>
      <c r="BK55" s="7"/>
      <c r="BL55"/>
      <c r="BM55"/>
      <c r="BR55"/>
    </row>
    <row r="56" spans="1:70" ht="28.5" x14ac:dyDescent="0.45">
      <c r="A56" s="2" t="s">
        <v>13</v>
      </c>
      <c r="B56" s="54" t="s">
        <v>28</v>
      </c>
      <c r="C56" s="3">
        <v>45225</v>
      </c>
      <c r="D56" s="8">
        <v>1</v>
      </c>
      <c r="E56" s="2" t="s">
        <v>543</v>
      </c>
      <c r="F56" s="4" t="s">
        <v>15</v>
      </c>
      <c r="G56" s="4" t="s">
        <v>577</v>
      </c>
      <c r="H56" s="4" t="s">
        <v>571</v>
      </c>
      <c r="I56" s="7"/>
      <c r="L56" s="7"/>
      <c r="M56" s="7">
        <v>0.15659999999999999</v>
      </c>
      <c r="O56" s="4"/>
      <c r="T56" s="7">
        <v>64.099999999999994</v>
      </c>
      <c r="U56" s="7">
        <v>531</v>
      </c>
      <c r="V56" s="7">
        <v>756.8</v>
      </c>
      <c r="W56" s="4"/>
      <c r="X56" s="9" t="s">
        <v>49</v>
      </c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4"/>
      <c r="AT56" s="4"/>
      <c r="AU56" s="4"/>
      <c r="AV56" s="4"/>
      <c r="AW56" s="4"/>
      <c r="AX56" s="4"/>
      <c r="AY56" s="4">
        <v>75</v>
      </c>
      <c r="AZ56" s="7">
        <v>200</v>
      </c>
      <c r="BA56" s="4">
        <v>111.6</v>
      </c>
      <c r="BB56" s="4"/>
      <c r="BC56" s="4"/>
      <c r="BD56" s="18">
        <v>25.2</v>
      </c>
      <c r="BE56" s="18">
        <v>1005</v>
      </c>
      <c r="BF56" s="18">
        <v>41</v>
      </c>
      <c r="BG56" s="64"/>
      <c r="BH56" s="4"/>
      <c r="BI56" s="4"/>
      <c r="BJ56" s="36" t="s">
        <v>139</v>
      </c>
      <c r="BK56" s="7"/>
      <c r="BL56"/>
      <c r="BM56"/>
      <c r="BR56"/>
    </row>
    <row r="57" spans="1:70" ht="28.5" x14ac:dyDescent="0.45">
      <c r="A57" s="2" t="s">
        <v>13</v>
      </c>
      <c r="B57" s="54" t="s">
        <v>28</v>
      </c>
      <c r="C57" s="3">
        <v>45225</v>
      </c>
      <c r="D57" s="8">
        <v>2</v>
      </c>
      <c r="E57" s="2" t="s">
        <v>212</v>
      </c>
      <c r="F57" s="4" t="s">
        <v>15</v>
      </c>
      <c r="G57" s="4" t="s">
        <v>577</v>
      </c>
      <c r="H57" s="4" t="s">
        <v>571</v>
      </c>
      <c r="I57" s="7"/>
      <c r="L57" s="7"/>
      <c r="M57" s="7">
        <v>0.1595</v>
      </c>
      <c r="O57" s="4"/>
      <c r="T57" s="7">
        <v>65</v>
      </c>
      <c r="U57" s="7">
        <v>585</v>
      </c>
      <c r="V57" s="7">
        <v>756.7</v>
      </c>
      <c r="W57" s="4"/>
      <c r="X57" s="9" t="s">
        <v>49</v>
      </c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R57" s="4"/>
      <c r="AS57" s="4"/>
      <c r="AT57" s="4"/>
      <c r="AU57" s="4"/>
      <c r="AV57" s="4"/>
      <c r="AW57" s="4"/>
      <c r="AX57" s="4"/>
      <c r="AY57" s="4">
        <v>80.2</v>
      </c>
      <c r="AZ57" s="7">
        <v>200</v>
      </c>
      <c r="BA57" s="22">
        <v>117</v>
      </c>
      <c r="BB57" s="4"/>
      <c r="BC57" s="4"/>
      <c r="BD57" s="18">
        <v>25.2</v>
      </c>
      <c r="BE57" s="18">
        <v>1005</v>
      </c>
      <c r="BF57" s="18">
        <v>41</v>
      </c>
      <c r="BG57" s="64"/>
      <c r="BH57" s="4"/>
      <c r="BI57" s="4"/>
      <c r="BJ57" s="3" t="s">
        <v>140</v>
      </c>
      <c r="BK57" s="7"/>
      <c r="BL57"/>
      <c r="BM57"/>
      <c r="BR57"/>
    </row>
    <row r="58" spans="1:70" ht="28.5" x14ac:dyDescent="0.45">
      <c r="A58" s="2" t="s">
        <v>13</v>
      </c>
      <c r="B58" s="54" t="s">
        <v>28</v>
      </c>
      <c r="C58" s="3">
        <v>45225</v>
      </c>
      <c r="D58" s="8">
        <v>3</v>
      </c>
      <c r="E58" s="2" t="s">
        <v>212</v>
      </c>
      <c r="F58" s="4" t="s">
        <v>15</v>
      </c>
      <c r="G58" s="4" t="s">
        <v>577</v>
      </c>
      <c r="H58" s="4" t="s">
        <v>571</v>
      </c>
      <c r="I58" s="7"/>
      <c r="L58" s="7"/>
      <c r="M58" s="7">
        <v>0.1605</v>
      </c>
      <c r="O58" s="4"/>
      <c r="T58" s="7">
        <v>65.400000000000006</v>
      </c>
      <c r="U58" s="7">
        <v>599</v>
      </c>
      <c r="V58" s="7">
        <v>756.9</v>
      </c>
      <c r="W58" s="4"/>
      <c r="X58" s="9" t="s">
        <v>49</v>
      </c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AR58" s="4"/>
      <c r="AS58" s="4"/>
      <c r="AT58" s="4"/>
      <c r="AU58" s="4"/>
      <c r="AV58" s="4"/>
      <c r="AW58" s="4"/>
      <c r="AX58" s="4"/>
      <c r="AY58" s="4">
        <v>79.099999999999994</v>
      </c>
      <c r="AZ58" s="7">
        <v>200</v>
      </c>
      <c r="BA58" s="4">
        <v>111.6</v>
      </c>
      <c r="BB58" s="4"/>
      <c r="BC58" s="4"/>
      <c r="BD58" s="18">
        <v>25.2</v>
      </c>
      <c r="BE58" s="18">
        <v>1005</v>
      </c>
      <c r="BF58" s="18">
        <v>41</v>
      </c>
      <c r="BG58" s="64"/>
      <c r="BH58" s="4"/>
      <c r="BI58" s="11" t="s">
        <v>88</v>
      </c>
      <c r="BJ58" s="3" t="s">
        <v>141</v>
      </c>
      <c r="BK58" s="7"/>
      <c r="BL58"/>
      <c r="BM58"/>
      <c r="BR58"/>
    </row>
    <row r="59" spans="1:70" ht="28.5" x14ac:dyDescent="0.45">
      <c r="A59" s="2" t="s">
        <v>13</v>
      </c>
      <c r="B59" s="54" t="s">
        <v>28</v>
      </c>
      <c r="C59" s="3">
        <v>45225</v>
      </c>
      <c r="D59" s="8">
        <v>4</v>
      </c>
      <c r="E59" s="2" t="s">
        <v>543</v>
      </c>
      <c r="F59" s="4" t="s">
        <v>15</v>
      </c>
      <c r="G59" s="4" t="s">
        <v>577</v>
      </c>
      <c r="H59" s="4" t="s">
        <v>571</v>
      </c>
      <c r="I59" s="7"/>
      <c r="L59" s="7"/>
      <c r="M59" s="7">
        <v>0.156</v>
      </c>
      <c r="O59" s="4"/>
      <c r="T59" s="7">
        <v>64.900000000000006</v>
      </c>
      <c r="U59" s="7">
        <v>558</v>
      </c>
      <c r="V59" s="7">
        <v>757.1</v>
      </c>
      <c r="W59" s="4"/>
      <c r="X59" s="9" t="s">
        <v>49</v>
      </c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AR59" s="4"/>
      <c r="AS59" s="4"/>
      <c r="AT59" s="4"/>
      <c r="AU59" s="4"/>
      <c r="AV59" s="4"/>
      <c r="AW59" s="4"/>
      <c r="AX59" s="4"/>
      <c r="AY59" s="4">
        <v>84.8</v>
      </c>
      <c r="AZ59" s="7">
        <v>200</v>
      </c>
      <c r="BA59" s="22">
        <v>117</v>
      </c>
      <c r="BB59" s="4"/>
      <c r="BC59" s="4"/>
      <c r="BD59" s="16">
        <v>25.2</v>
      </c>
      <c r="BE59" s="16">
        <v>1005</v>
      </c>
      <c r="BF59" s="16">
        <v>41</v>
      </c>
      <c r="BG59" s="4"/>
      <c r="BH59" s="4"/>
      <c r="BI59" s="4"/>
      <c r="BJ59" s="3" t="s">
        <v>142</v>
      </c>
      <c r="BK59" s="7"/>
      <c r="BL59"/>
      <c r="BM59"/>
      <c r="BR59"/>
    </row>
    <row r="60" spans="1:70" ht="28.5" x14ac:dyDescent="0.45">
      <c r="A60" s="2" t="s">
        <v>13</v>
      </c>
      <c r="B60" s="54" t="s">
        <v>28</v>
      </c>
      <c r="C60" s="3">
        <v>45225</v>
      </c>
      <c r="D60" s="8">
        <v>5</v>
      </c>
      <c r="E60" s="2" t="s">
        <v>212</v>
      </c>
      <c r="F60" s="4" t="s">
        <v>15</v>
      </c>
      <c r="G60" s="4" t="s">
        <v>577</v>
      </c>
      <c r="H60" s="4" t="s">
        <v>571</v>
      </c>
      <c r="I60" s="7"/>
      <c r="L60" s="7"/>
      <c r="M60" s="7">
        <v>0.1595</v>
      </c>
      <c r="O60" s="4"/>
      <c r="T60" s="7">
        <v>65.099999999999994</v>
      </c>
      <c r="U60" s="7">
        <v>586</v>
      </c>
      <c r="V60" s="7">
        <v>757.9</v>
      </c>
      <c r="W60" s="4"/>
      <c r="X60" s="9" t="s">
        <v>49</v>
      </c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AR60" s="4"/>
      <c r="AS60" s="4"/>
      <c r="AT60" s="4"/>
      <c r="AU60" s="4"/>
      <c r="AV60" s="4"/>
      <c r="AW60" s="4"/>
      <c r="AX60" s="4"/>
      <c r="AY60" s="4">
        <v>75.099999999999994</v>
      </c>
      <c r="AZ60" s="7">
        <v>200</v>
      </c>
      <c r="BA60" s="4">
        <v>111.6</v>
      </c>
      <c r="BB60" s="4"/>
      <c r="BC60" s="4"/>
      <c r="BD60" s="18">
        <v>25.2</v>
      </c>
      <c r="BE60" s="18">
        <v>1005</v>
      </c>
      <c r="BF60" s="18">
        <v>41</v>
      </c>
      <c r="BG60" s="64"/>
      <c r="BH60" s="4"/>
      <c r="BI60" s="4"/>
      <c r="BJ60" s="3" t="s">
        <v>143</v>
      </c>
      <c r="BK60" s="7"/>
      <c r="BL60"/>
      <c r="BM60"/>
      <c r="BR60"/>
    </row>
    <row r="61" spans="1:70" ht="28.5" x14ac:dyDescent="0.45">
      <c r="A61" s="2" t="s">
        <v>13</v>
      </c>
      <c r="B61" s="54" t="s">
        <v>28</v>
      </c>
      <c r="C61" s="3">
        <v>45225</v>
      </c>
      <c r="D61" s="8">
        <v>6</v>
      </c>
      <c r="E61" s="2" t="s">
        <v>543</v>
      </c>
      <c r="F61" s="4" t="s">
        <v>15</v>
      </c>
      <c r="G61" s="4" t="s">
        <v>577</v>
      </c>
      <c r="H61" s="4" t="s">
        <v>571</v>
      </c>
      <c r="I61" s="7"/>
      <c r="L61" s="7"/>
      <c r="M61" s="7">
        <v>0.1573</v>
      </c>
      <c r="O61" s="4"/>
      <c r="T61" s="7">
        <v>64.8</v>
      </c>
      <c r="U61" s="7">
        <v>547</v>
      </c>
      <c r="V61" s="7">
        <v>757.2</v>
      </c>
      <c r="W61" s="4"/>
      <c r="X61" s="9" t="s">
        <v>49</v>
      </c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  <c r="AR61" s="4"/>
      <c r="AS61" s="4"/>
      <c r="AT61" s="4"/>
      <c r="AU61" s="4"/>
      <c r="AV61" s="4"/>
      <c r="AW61" s="4"/>
      <c r="AX61" s="4"/>
      <c r="AY61" s="4">
        <v>80.099999999999994</v>
      </c>
      <c r="AZ61" s="7">
        <v>200</v>
      </c>
      <c r="BA61" s="22">
        <v>117</v>
      </c>
      <c r="BB61" s="4"/>
      <c r="BC61" s="4"/>
      <c r="BD61" s="18">
        <v>25.2</v>
      </c>
      <c r="BE61" s="18">
        <v>1005</v>
      </c>
      <c r="BF61" s="18">
        <v>41</v>
      </c>
      <c r="BG61" s="64"/>
      <c r="BH61" s="4"/>
      <c r="BI61" s="4"/>
      <c r="BJ61" s="3" t="s">
        <v>144</v>
      </c>
      <c r="BK61" s="7"/>
      <c r="BL61"/>
      <c r="BM61"/>
      <c r="BR61"/>
    </row>
    <row r="62" spans="1:70" ht="28.5" x14ac:dyDescent="0.45">
      <c r="A62" s="2" t="s">
        <v>43</v>
      </c>
      <c r="B62" s="54" t="s">
        <v>45</v>
      </c>
      <c r="C62" s="3">
        <v>45229</v>
      </c>
      <c r="D62" s="8">
        <v>1</v>
      </c>
      <c r="E62" s="2" t="s">
        <v>212</v>
      </c>
      <c r="F62" s="4" t="s">
        <v>15</v>
      </c>
      <c r="G62" s="4" t="s">
        <v>15</v>
      </c>
      <c r="H62" s="4" t="s">
        <v>223</v>
      </c>
      <c r="I62" s="7">
        <v>0.15820000000000001</v>
      </c>
      <c r="J62" s="7">
        <v>0.15820000000000001</v>
      </c>
      <c r="K62" s="7">
        <v>1.8E-3</v>
      </c>
      <c r="L62" s="7"/>
      <c r="M62" s="7">
        <v>0.15709999999999999</v>
      </c>
      <c r="N62" s="7">
        <v>-0.52</v>
      </c>
      <c r="O62" s="4"/>
      <c r="P62" s="7">
        <v>1.2695000000000001</v>
      </c>
      <c r="T62" s="7">
        <v>59.2</v>
      </c>
      <c r="U62" s="7">
        <v>430</v>
      </c>
      <c r="V62" s="7">
        <v>750</v>
      </c>
      <c r="W62" s="4"/>
      <c r="X62" s="9" t="s">
        <v>49</v>
      </c>
      <c r="Y62" s="4" t="s">
        <v>78</v>
      </c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  <c r="AR62" s="4"/>
      <c r="AS62" s="4"/>
      <c r="AT62" s="4"/>
      <c r="AU62" s="4"/>
      <c r="AV62" s="4"/>
      <c r="AW62" s="4"/>
      <c r="AX62" s="4"/>
      <c r="AY62" s="4">
        <v>79.099999999999994</v>
      </c>
      <c r="AZ62" s="7">
        <v>200</v>
      </c>
      <c r="BA62" s="4">
        <v>111.6</v>
      </c>
      <c r="BB62" s="4"/>
      <c r="BC62" s="4"/>
      <c r="BD62" s="18">
        <v>25.2</v>
      </c>
      <c r="BE62" s="18">
        <v>1005</v>
      </c>
      <c r="BF62" s="18">
        <v>41</v>
      </c>
      <c r="BG62" s="64"/>
      <c r="BH62" s="4"/>
      <c r="BI62" s="4"/>
      <c r="BJ62" s="3" t="s">
        <v>155</v>
      </c>
      <c r="BK62"/>
      <c r="BL62"/>
      <c r="BM62"/>
      <c r="BR62"/>
    </row>
    <row r="63" spans="1:70" ht="28.5" x14ac:dyDescent="0.45">
      <c r="A63" s="2" t="s">
        <v>43</v>
      </c>
      <c r="B63" s="54" t="s">
        <v>45</v>
      </c>
      <c r="C63" s="3">
        <v>45229</v>
      </c>
      <c r="D63" s="8">
        <v>2</v>
      </c>
      <c r="E63" s="2" t="s">
        <v>556</v>
      </c>
      <c r="F63" s="4" t="s">
        <v>15</v>
      </c>
      <c r="G63" s="4" t="s">
        <v>15</v>
      </c>
      <c r="H63" s="4" t="s">
        <v>223</v>
      </c>
      <c r="I63" s="7">
        <v>0.158</v>
      </c>
      <c r="J63" s="7">
        <v>0.158</v>
      </c>
      <c r="K63" s="7">
        <v>3.0999999999999999E-3</v>
      </c>
      <c r="L63" s="7"/>
      <c r="M63" s="7">
        <v>0.1573</v>
      </c>
      <c r="N63" s="7">
        <v>-0.57999999999999996</v>
      </c>
      <c r="O63" s="4"/>
      <c r="P63" s="7">
        <v>1.2695000000000001</v>
      </c>
      <c r="T63" s="7">
        <v>59.9</v>
      </c>
      <c r="U63" s="7">
        <v>442</v>
      </c>
      <c r="V63" s="7">
        <v>750</v>
      </c>
      <c r="W63" s="4"/>
      <c r="X63" s="9" t="s">
        <v>49</v>
      </c>
      <c r="Y63" s="4" t="s">
        <v>78</v>
      </c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  <c r="AS63" s="4"/>
      <c r="AT63" s="4"/>
      <c r="AU63" s="4"/>
      <c r="AV63" s="4"/>
      <c r="AW63" s="4"/>
      <c r="AX63" s="4"/>
      <c r="AY63" s="4">
        <v>85</v>
      </c>
      <c r="AZ63" s="7">
        <v>200</v>
      </c>
      <c r="BA63" s="22">
        <v>117</v>
      </c>
      <c r="BB63" s="4"/>
      <c r="BC63" s="4"/>
      <c r="BD63" s="16">
        <v>25.2</v>
      </c>
      <c r="BE63" s="16">
        <v>1005</v>
      </c>
      <c r="BF63" s="16">
        <v>41</v>
      </c>
      <c r="BG63" s="4"/>
      <c r="BH63" s="4"/>
      <c r="BI63" s="4"/>
      <c r="BJ63" s="3" t="s">
        <v>156</v>
      </c>
      <c r="BK63"/>
      <c r="BL63"/>
      <c r="BM63"/>
      <c r="BR63"/>
    </row>
    <row r="64" spans="1:70" ht="28.5" x14ac:dyDescent="0.45">
      <c r="A64" s="2" t="s">
        <v>43</v>
      </c>
      <c r="B64" s="54" t="s">
        <v>45</v>
      </c>
      <c r="C64" s="3">
        <v>45229</v>
      </c>
      <c r="D64" s="8">
        <v>3</v>
      </c>
      <c r="E64" s="2" t="s">
        <v>556</v>
      </c>
      <c r="F64" s="4" t="s">
        <v>15</v>
      </c>
      <c r="G64" s="4" t="s">
        <v>15</v>
      </c>
      <c r="H64" s="4" t="s">
        <v>223</v>
      </c>
      <c r="I64" s="7">
        <v>0.15559999999999999</v>
      </c>
      <c r="J64" s="7">
        <v>0.15559999999999999</v>
      </c>
      <c r="K64" s="7">
        <v>5.1000000000000004E-3</v>
      </c>
      <c r="L64" s="7"/>
      <c r="N64" s="7">
        <v>-0.56000000000000005</v>
      </c>
      <c r="O64" s="4"/>
      <c r="P64" s="7">
        <v>1.2695000000000001</v>
      </c>
      <c r="V64" s="7">
        <v>750</v>
      </c>
      <c r="W64" s="4"/>
      <c r="X64" s="9" t="s">
        <v>49</v>
      </c>
      <c r="Y64" s="4" t="s">
        <v>78</v>
      </c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  <c r="AQ64" s="4"/>
      <c r="AR64" s="4"/>
      <c r="AS64" s="4"/>
      <c r="AT64" s="4"/>
      <c r="AU64" s="4"/>
      <c r="AV64" s="4"/>
      <c r="AW64" s="4"/>
      <c r="AX64" s="4"/>
      <c r="AY64" s="4">
        <v>75.2</v>
      </c>
      <c r="AZ64" s="7">
        <v>200</v>
      </c>
      <c r="BA64" s="4">
        <v>111.6</v>
      </c>
      <c r="BB64" s="4"/>
      <c r="BC64" s="4"/>
      <c r="BD64" s="18">
        <v>25.2</v>
      </c>
      <c r="BE64" s="18">
        <v>1005</v>
      </c>
      <c r="BF64" s="18">
        <v>41</v>
      </c>
      <c r="BG64" s="64"/>
      <c r="BH64" s="4"/>
      <c r="BI64" s="4"/>
      <c r="BJ64" s="3" t="s">
        <v>157</v>
      </c>
      <c r="BK64"/>
      <c r="BL64"/>
      <c r="BM64"/>
      <c r="BR64"/>
    </row>
    <row r="65" spans="1:70" ht="28.5" x14ac:dyDescent="0.45">
      <c r="A65" s="2" t="s">
        <v>43</v>
      </c>
      <c r="B65" s="54" t="s">
        <v>45</v>
      </c>
      <c r="C65" s="3">
        <v>45229</v>
      </c>
      <c r="D65" s="8">
        <v>4</v>
      </c>
      <c r="E65" s="2" t="s">
        <v>212</v>
      </c>
      <c r="F65" s="4" t="s">
        <v>15</v>
      </c>
      <c r="G65" s="4" t="s">
        <v>15</v>
      </c>
      <c r="H65" s="4" t="s">
        <v>223</v>
      </c>
      <c r="I65" s="7">
        <v>0.16009999999999999</v>
      </c>
      <c r="J65" s="7">
        <v>0.16009999999999999</v>
      </c>
      <c r="K65" s="7">
        <v>2.2000000000000001E-3</v>
      </c>
      <c r="L65" s="7"/>
      <c r="M65" s="7">
        <v>0.15870000000000001</v>
      </c>
      <c r="N65" s="7">
        <v>-0.48</v>
      </c>
      <c r="O65" s="4"/>
      <c r="P65" s="7">
        <v>1.2695000000000001</v>
      </c>
      <c r="T65" s="7">
        <v>59.4</v>
      </c>
      <c r="U65" s="7">
        <v>442</v>
      </c>
      <c r="V65" s="7">
        <v>750</v>
      </c>
      <c r="W65" s="4"/>
      <c r="X65" s="9" t="s">
        <v>49</v>
      </c>
      <c r="Y65" s="4" t="s">
        <v>78</v>
      </c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4"/>
      <c r="AX65" s="4"/>
      <c r="AY65" s="4">
        <v>79.900000000000006</v>
      </c>
      <c r="AZ65" s="7">
        <v>200</v>
      </c>
      <c r="BA65" s="22">
        <v>117</v>
      </c>
      <c r="BB65" s="4"/>
      <c r="BC65" s="4"/>
      <c r="BD65" s="18">
        <v>25.2</v>
      </c>
      <c r="BE65" s="18">
        <v>1005</v>
      </c>
      <c r="BF65" s="18">
        <v>41</v>
      </c>
      <c r="BG65" s="64"/>
      <c r="BH65" s="4"/>
      <c r="BI65" s="4"/>
      <c r="BJ65" s="3" t="s">
        <v>158</v>
      </c>
      <c r="BK65"/>
      <c r="BL65"/>
      <c r="BM65"/>
      <c r="BR65"/>
    </row>
    <row r="66" spans="1:70" ht="28.5" x14ac:dyDescent="0.45">
      <c r="A66" s="2" t="s">
        <v>43</v>
      </c>
      <c r="B66" s="54" t="s">
        <v>45</v>
      </c>
      <c r="C66" s="3">
        <v>45229</v>
      </c>
      <c r="D66" s="8">
        <v>5</v>
      </c>
      <c r="E66" s="2" t="s">
        <v>556</v>
      </c>
      <c r="F66" s="4" t="s">
        <v>15</v>
      </c>
      <c r="G66" s="4" t="s">
        <v>15</v>
      </c>
      <c r="H66" s="4" t="s">
        <v>223</v>
      </c>
      <c r="I66" s="7">
        <v>0.15820000000000001</v>
      </c>
      <c r="J66" s="7">
        <v>0.15820000000000001</v>
      </c>
      <c r="K66" s="7">
        <v>5.9999999999999995E-4</v>
      </c>
      <c r="L66" s="7"/>
      <c r="M66" s="7">
        <v>0.15529999999999999</v>
      </c>
      <c r="N66" s="7">
        <v>-0.56000000000000005</v>
      </c>
      <c r="O66" s="4"/>
      <c r="P66" s="7">
        <v>1.2695000000000001</v>
      </c>
      <c r="T66" s="7">
        <v>59.4</v>
      </c>
      <c r="U66" s="7">
        <v>441</v>
      </c>
      <c r="V66" s="7">
        <v>750</v>
      </c>
      <c r="W66" s="4"/>
      <c r="X66" s="9" t="s">
        <v>49</v>
      </c>
      <c r="Y66" s="4" t="s">
        <v>78</v>
      </c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4"/>
      <c r="AX66" s="4"/>
      <c r="AY66" s="4">
        <v>78.900000000000006</v>
      </c>
      <c r="AZ66" s="7">
        <v>200</v>
      </c>
      <c r="BA66" s="4">
        <v>111.6</v>
      </c>
      <c r="BB66" s="4"/>
      <c r="BC66" s="4"/>
      <c r="BD66" s="18">
        <v>25.2</v>
      </c>
      <c r="BE66" s="18">
        <v>1005</v>
      </c>
      <c r="BF66" s="18">
        <v>41</v>
      </c>
      <c r="BG66" s="64"/>
      <c r="BH66" s="4"/>
      <c r="BI66" s="4"/>
      <c r="BJ66" s="3" t="s">
        <v>159</v>
      </c>
      <c r="BK66"/>
      <c r="BL66"/>
      <c r="BM66"/>
      <c r="BR66"/>
    </row>
    <row r="67" spans="1:70" ht="28.5" x14ac:dyDescent="0.45">
      <c r="A67" s="2" t="s">
        <v>43</v>
      </c>
      <c r="B67" s="54" t="s">
        <v>45</v>
      </c>
      <c r="C67" s="3">
        <v>45229</v>
      </c>
      <c r="D67" s="8">
        <v>6</v>
      </c>
      <c r="E67" s="2" t="s">
        <v>556</v>
      </c>
      <c r="F67" s="4" t="s">
        <v>15</v>
      </c>
      <c r="G67" s="4" t="s">
        <v>15</v>
      </c>
      <c r="H67" s="4" t="s">
        <v>223</v>
      </c>
      <c r="I67" s="7">
        <v>0.15659999999999999</v>
      </c>
      <c r="J67" s="7">
        <v>0.15659999999999999</v>
      </c>
      <c r="K67" s="7">
        <v>3.0999999999999999E-3</v>
      </c>
      <c r="L67" s="7"/>
      <c r="M67" s="7">
        <v>0.15690000000000001</v>
      </c>
      <c r="N67" s="7">
        <v>-0.57999999999999996</v>
      </c>
      <c r="O67" s="4"/>
      <c r="P67" s="7">
        <v>1.2695000000000001</v>
      </c>
      <c r="T67" s="7">
        <v>60</v>
      </c>
      <c r="U67" s="7">
        <v>442</v>
      </c>
      <c r="V67" s="7">
        <v>750</v>
      </c>
      <c r="W67" s="4"/>
      <c r="X67" s="9" t="s">
        <v>49</v>
      </c>
      <c r="Y67" s="4" t="s">
        <v>78</v>
      </c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4"/>
      <c r="AX67" s="4"/>
      <c r="AY67" s="4">
        <v>84.8</v>
      </c>
      <c r="AZ67" s="7">
        <v>200</v>
      </c>
      <c r="BA67" s="22">
        <v>117</v>
      </c>
      <c r="BB67" s="4"/>
      <c r="BC67" s="4"/>
      <c r="BD67" s="16">
        <v>25.2</v>
      </c>
      <c r="BE67" s="16">
        <v>1005</v>
      </c>
      <c r="BF67" s="16">
        <v>41</v>
      </c>
      <c r="BG67" s="4"/>
      <c r="BH67" s="4"/>
      <c r="BI67" s="4"/>
      <c r="BJ67" s="3" t="s">
        <v>160</v>
      </c>
      <c r="BK67"/>
      <c r="BL67"/>
      <c r="BM67"/>
      <c r="BR67"/>
    </row>
    <row r="68" spans="1:70" ht="28.5" x14ac:dyDescent="0.45">
      <c r="A68" s="2" t="s">
        <v>13</v>
      </c>
      <c r="B68" s="54" t="s">
        <v>17</v>
      </c>
      <c r="C68" s="3">
        <v>45229</v>
      </c>
      <c r="D68" s="8">
        <v>1</v>
      </c>
      <c r="E68" s="2" t="s">
        <v>546</v>
      </c>
      <c r="F68" s="4" t="s">
        <v>15</v>
      </c>
      <c r="G68" s="4" t="s">
        <v>577</v>
      </c>
      <c r="H68" s="4" t="s">
        <v>571</v>
      </c>
      <c r="I68" s="7">
        <v>0.17499999999999999</v>
      </c>
      <c r="J68" s="7">
        <v>0.17499999999999999</v>
      </c>
      <c r="K68" s="7">
        <v>5.0000000000000001E-3</v>
      </c>
      <c r="L68" s="7"/>
      <c r="M68" s="7">
        <v>0.1744</v>
      </c>
      <c r="N68" s="7">
        <v>-0.68</v>
      </c>
      <c r="O68" s="4"/>
      <c r="P68" s="7">
        <v>1.282</v>
      </c>
      <c r="T68" s="7">
        <v>61.9</v>
      </c>
      <c r="U68" s="7">
        <v>538</v>
      </c>
      <c r="V68" s="7">
        <v>750</v>
      </c>
      <c r="W68" s="4"/>
      <c r="X68" s="9" t="s">
        <v>49</v>
      </c>
      <c r="Y68" s="4" t="s">
        <v>78</v>
      </c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4"/>
      <c r="AX68" s="4"/>
      <c r="AY68" s="4">
        <v>75</v>
      </c>
      <c r="AZ68" s="7">
        <v>200</v>
      </c>
      <c r="BA68" s="4">
        <v>111.6</v>
      </c>
      <c r="BB68" s="4"/>
      <c r="BC68" s="4"/>
      <c r="BD68" s="18">
        <v>25.2</v>
      </c>
      <c r="BE68" s="18">
        <v>1005</v>
      </c>
      <c r="BF68" s="18">
        <v>41</v>
      </c>
      <c r="BG68" s="64"/>
      <c r="BH68" s="4"/>
      <c r="BI68" s="4"/>
      <c r="BJ68" s="3" t="s">
        <v>149</v>
      </c>
      <c r="BK68"/>
      <c r="BL68"/>
      <c r="BM68"/>
      <c r="BR68"/>
    </row>
    <row r="69" spans="1:70" ht="28.5" x14ac:dyDescent="0.45">
      <c r="A69" s="2" t="s">
        <v>13</v>
      </c>
      <c r="B69" s="54" t="s">
        <v>17</v>
      </c>
      <c r="C69" s="3">
        <v>45229</v>
      </c>
      <c r="D69" s="8">
        <v>2</v>
      </c>
      <c r="E69" s="2" t="s">
        <v>212</v>
      </c>
      <c r="F69" s="4" t="s">
        <v>15</v>
      </c>
      <c r="G69" s="4" t="s">
        <v>577</v>
      </c>
      <c r="H69" s="4" t="s">
        <v>571</v>
      </c>
      <c r="I69" s="48"/>
      <c r="J69" s="48"/>
      <c r="K69" s="48"/>
      <c r="L69" s="7"/>
      <c r="M69" s="7">
        <v>0.1696</v>
      </c>
      <c r="O69" s="4"/>
      <c r="P69" s="7">
        <v>1.282</v>
      </c>
      <c r="T69" s="7">
        <v>63.3</v>
      </c>
      <c r="U69" s="7">
        <v>561</v>
      </c>
      <c r="V69" s="7">
        <v>750</v>
      </c>
      <c r="W69" s="4"/>
      <c r="X69" s="9" t="s">
        <v>49</v>
      </c>
      <c r="Y69" s="4" t="s">
        <v>78</v>
      </c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4"/>
      <c r="AX69" s="4"/>
      <c r="AY69" s="4">
        <v>79.900000000000006</v>
      </c>
      <c r="AZ69" s="7">
        <v>200</v>
      </c>
      <c r="BA69" s="22">
        <v>117</v>
      </c>
      <c r="BB69" s="4"/>
      <c r="BC69" s="4"/>
      <c r="BD69" s="18">
        <v>25.2</v>
      </c>
      <c r="BE69" s="18">
        <v>1005</v>
      </c>
      <c r="BF69" s="18">
        <v>41</v>
      </c>
      <c r="BG69" s="64"/>
      <c r="BH69" s="4"/>
      <c r="BI69" s="4"/>
      <c r="BJ69" s="3" t="s">
        <v>150</v>
      </c>
      <c r="BK69"/>
      <c r="BL69"/>
      <c r="BM69"/>
      <c r="BR69"/>
    </row>
    <row r="70" spans="1:70" ht="28.5" x14ac:dyDescent="0.45">
      <c r="A70" s="2" t="s">
        <v>13</v>
      </c>
      <c r="B70" s="54" t="s">
        <v>17</v>
      </c>
      <c r="C70" s="3">
        <v>45229</v>
      </c>
      <c r="D70" s="8">
        <v>3</v>
      </c>
      <c r="E70" s="2" t="s">
        <v>212</v>
      </c>
      <c r="F70" s="4" t="s">
        <v>15</v>
      </c>
      <c r="G70" s="4" t="s">
        <v>577</v>
      </c>
      <c r="H70" s="4" t="s">
        <v>571</v>
      </c>
      <c r="I70" s="7">
        <v>0.16819999999999999</v>
      </c>
      <c r="J70" s="7">
        <v>0.16819999999999999</v>
      </c>
      <c r="K70" s="7">
        <v>2.3E-3</v>
      </c>
      <c r="L70" s="7"/>
      <c r="M70" s="7">
        <v>0.16700000000000001</v>
      </c>
      <c r="N70" s="7">
        <v>-0.63</v>
      </c>
      <c r="O70" s="4"/>
      <c r="P70" s="7">
        <v>1.282</v>
      </c>
      <c r="T70" s="7">
        <v>64</v>
      </c>
      <c r="U70" s="7">
        <v>577</v>
      </c>
      <c r="V70" s="7">
        <v>750</v>
      </c>
      <c r="W70" s="4"/>
      <c r="X70" s="9" t="s">
        <v>49</v>
      </c>
      <c r="Y70" s="4" t="s">
        <v>78</v>
      </c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  <c r="AP70" s="4"/>
      <c r="AQ70" s="4"/>
      <c r="AR70" s="4"/>
      <c r="AS70" s="4"/>
      <c r="AT70" s="4"/>
      <c r="AU70" s="4"/>
      <c r="AV70" s="4"/>
      <c r="AW70" s="4"/>
      <c r="AX70" s="4"/>
      <c r="AY70" s="4">
        <v>78.8</v>
      </c>
      <c r="AZ70" s="7">
        <v>200</v>
      </c>
      <c r="BA70" s="4">
        <v>111.6</v>
      </c>
      <c r="BB70" s="4"/>
      <c r="BC70" s="4"/>
      <c r="BD70" s="18">
        <v>25.2</v>
      </c>
      <c r="BE70" s="18">
        <v>1005</v>
      </c>
      <c r="BF70" s="18">
        <v>41</v>
      </c>
      <c r="BG70" s="64"/>
      <c r="BH70" s="4"/>
      <c r="BI70" s="4"/>
      <c r="BJ70" s="3" t="s">
        <v>151</v>
      </c>
      <c r="BK70"/>
      <c r="BL70"/>
      <c r="BM70"/>
      <c r="BR70"/>
    </row>
    <row r="71" spans="1:70" ht="28.5" x14ac:dyDescent="0.45">
      <c r="A71" s="2" t="s">
        <v>13</v>
      </c>
      <c r="B71" s="54" t="s">
        <v>17</v>
      </c>
      <c r="C71" s="3">
        <v>45229</v>
      </c>
      <c r="D71" s="8">
        <v>4</v>
      </c>
      <c r="E71" s="2" t="s">
        <v>546</v>
      </c>
      <c r="F71" s="4" t="s">
        <v>15</v>
      </c>
      <c r="G71" s="4" t="s">
        <v>577</v>
      </c>
      <c r="H71" s="4" t="s">
        <v>571</v>
      </c>
      <c r="I71" s="7">
        <v>0.17760000000000001</v>
      </c>
      <c r="J71" s="7">
        <v>0.17760000000000001</v>
      </c>
      <c r="K71" s="7">
        <v>3.8999999999999998E-3</v>
      </c>
      <c r="L71" s="7"/>
      <c r="M71" s="7">
        <v>0.1729</v>
      </c>
      <c r="N71" s="7">
        <v>-0.72</v>
      </c>
      <c r="O71" s="4"/>
      <c r="P71" s="7">
        <v>1.282</v>
      </c>
      <c r="T71" s="7">
        <v>64</v>
      </c>
      <c r="U71" s="7">
        <v>592</v>
      </c>
      <c r="V71" s="7">
        <v>750</v>
      </c>
      <c r="W71" s="4"/>
      <c r="X71" s="9" t="s">
        <v>49</v>
      </c>
      <c r="Y71" s="4" t="s">
        <v>78</v>
      </c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4"/>
      <c r="AX71" s="4"/>
      <c r="AY71" s="4">
        <v>84.6</v>
      </c>
      <c r="AZ71" s="7">
        <v>200</v>
      </c>
      <c r="BA71" s="22">
        <v>117</v>
      </c>
      <c r="BB71" s="4"/>
      <c r="BC71" s="4"/>
      <c r="BD71" s="16">
        <v>25.2</v>
      </c>
      <c r="BE71" s="16">
        <v>1005</v>
      </c>
      <c r="BF71" s="16">
        <v>41</v>
      </c>
      <c r="BG71" s="4"/>
      <c r="BH71" s="4"/>
      <c r="BI71" s="4"/>
      <c r="BJ71" s="3" t="s">
        <v>152</v>
      </c>
      <c r="BK71"/>
      <c r="BL71"/>
      <c r="BM71"/>
      <c r="BR71"/>
    </row>
    <row r="72" spans="1:70" ht="28.5" x14ac:dyDescent="0.45">
      <c r="A72" s="2" t="s">
        <v>13</v>
      </c>
      <c r="B72" s="54" t="s">
        <v>17</v>
      </c>
      <c r="C72" s="3">
        <v>45229</v>
      </c>
      <c r="D72" s="8">
        <v>5</v>
      </c>
      <c r="E72" s="2" t="s">
        <v>212</v>
      </c>
      <c r="F72" s="4" t="s">
        <v>15</v>
      </c>
      <c r="G72" s="4" t="s">
        <v>577</v>
      </c>
      <c r="H72" s="4" t="s">
        <v>571</v>
      </c>
      <c r="I72" s="7">
        <v>0.1699</v>
      </c>
      <c r="J72" s="7">
        <v>0.1699</v>
      </c>
      <c r="K72" s="7">
        <v>2.2000000000000001E-3</v>
      </c>
      <c r="L72" s="7"/>
      <c r="M72" s="7">
        <v>0.1676</v>
      </c>
      <c r="N72" s="7">
        <v>-0.66</v>
      </c>
      <c r="O72" s="4"/>
      <c r="P72" s="7">
        <v>1.282</v>
      </c>
      <c r="T72" s="7">
        <v>64.400000000000006</v>
      </c>
      <c r="U72" s="7">
        <v>593</v>
      </c>
      <c r="V72" s="7">
        <v>750</v>
      </c>
      <c r="W72" s="4"/>
      <c r="X72" s="9" t="s">
        <v>49</v>
      </c>
      <c r="Y72" s="4" t="s">
        <v>78</v>
      </c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  <c r="AP72" s="4"/>
      <c r="AQ72" s="4"/>
      <c r="AR72" s="4"/>
      <c r="AS72" s="4"/>
      <c r="AT72" s="4"/>
      <c r="AU72" s="4"/>
      <c r="AV72" s="4"/>
      <c r="AW72" s="4"/>
      <c r="AX72" s="4"/>
      <c r="AY72" s="4">
        <v>75.099999999999994</v>
      </c>
      <c r="AZ72" s="7">
        <v>200</v>
      </c>
      <c r="BA72" s="4">
        <v>111.6</v>
      </c>
      <c r="BB72" s="4"/>
      <c r="BC72" s="4"/>
      <c r="BD72" s="18">
        <v>25.2</v>
      </c>
      <c r="BE72" s="18">
        <v>1005</v>
      </c>
      <c r="BF72" s="18">
        <v>41</v>
      </c>
      <c r="BG72" s="64"/>
      <c r="BH72" s="4"/>
      <c r="BI72" s="4"/>
      <c r="BJ72" s="3" t="s">
        <v>153</v>
      </c>
      <c r="BK72"/>
      <c r="BL72"/>
      <c r="BM72"/>
      <c r="BR72"/>
    </row>
    <row r="73" spans="1:70" ht="28.5" x14ac:dyDescent="0.45">
      <c r="A73" s="2" t="s">
        <v>13</v>
      </c>
      <c r="B73" s="54" t="s">
        <v>17</v>
      </c>
      <c r="C73" s="3">
        <v>45229</v>
      </c>
      <c r="D73" s="8">
        <v>6</v>
      </c>
      <c r="E73" s="2" t="s">
        <v>546</v>
      </c>
      <c r="F73" s="4" t="s">
        <v>15</v>
      </c>
      <c r="G73" s="4" t="s">
        <v>577</v>
      </c>
      <c r="H73" s="4" t="s">
        <v>571</v>
      </c>
      <c r="I73" s="7">
        <v>0.17979999999999999</v>
      </c>
      <c r="J73" s="7">
        <v>0.17979999999999999</v>
      </c>
      <c r="K73" s="7">
        <v>5.5999999999999999E-3</v>
      </c>
      <c r="L73" s="7"/>
      <c r="M73" s="7">
        <v>0.1749</v>
      </c>
      <c r="N73" s="7">
        <v>-0.69</v>
      </c>
      <c r="O73" s="4"/>
      <c r="P73" s="7">
        <v>1.282</v>
      </c>
      <c r="T73" s="7">
        <v>63.2</v>
      </c>
      <c r="U73" s="7">
        <v>580</v>
      </c>
      <c r="V73" s="7">
        <v>750</v>
      </c>
      <c r="W73" s="4"/>
      <c r="X73" s="9" t="s">
        <v>49</v>
      </c>
      <c r="Y73" s="4" t="s">
        <v>78</v>
      </c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4"/>
      <c r="AX73" s="4"/>
      <c r="AY73" s="4">
        <v>79.900000000000006</v>
      </c>
      <c r="AZ73" s="7">
        <v>200</v>
      </c>
      <c r="BA73" s="22">
        <v>117</v>
      </c>
      <c r="BB73" s="4"/>
      <c r="BC73" s="4"/>
      <c r="BD73" s="18">
        <v>25.2</v>
      </c>
      <c r="BE73" s="18">
        <v>1005</v>
      </c>
      <c r="BF73" s="18">
        <v>41</v>
      </c>
      <c r="BG73" s="64"/>
      <c r="BH73" s="4"/>
      <c r="BI73" s="4"/>
      <c r="BJ73" s="3" t="s">
        <v>154</v>
      </c>
      <c r="BK73"/>
      <c r="BL73"/>
      <c r="BM73"/>
      <c r="BR73"/>
    </row>
    <row r="74" spans="1:70" ht="28.5" x14ac:dyDescent="0.45">
      <c r="A74" s="2" t="s">
        <v>43</v>
      </c>
      <c r="B74" s="54" t="s">
        <v>79</v>
      </c>
      <c r="C74" s="3">
        <v>45229</v>
      </c>
      <c r="D74" s="8">
        <v>1</v>
      </c>
      <c r="E74" s="2" t="s">
        <v>547</v>
      </c>
      <c r="F74" s="4" t="s">
        <v>15</v>
      </c>
      <c r="G74" s="4" t="s">
        <v>15</v>
      </c>
      <c r="H74" s="4" t="s">
        <v>223</v>
      </c>
      <c r="I74" s="7">
        <v>0.15110000000000001</v>
      </c>
      <c r="J74" s="7">
        <v>0.15110000000000001</v>
      </c>
      <c r="K74" s="7">
        <v>8.9999999999999993E-3</v>
      </c>
      <c r="L74" s="7"/>
      <c r="M74" s="7">
        <v>0.1434</v>
      </c>
      <c r="N74" s="7">
        <v>-0.69</v>
      </c>
      <c r="O74" s="4"/>
      <c r="P74" s="7">
        <v>1.2615000000000001</v>
      </c>
      <c r="T74" s="7">
        <v>57.9</v>
      </c>
      <c r="U74" s="7">
        <v>385</v>
      </c>
      <c r="V74" s="7">
        <v>750</v>
      </c>
      <c r="W74" s="4"/>
      <c r="X74" s="9" t="s">
        <v>49</v>
      </c>
      <c r="Y74" s="4" t="s">
        <v>78</v>
      </c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  <c r="AR74" s="4"/>
      <c r="AS74" s="4"/>
      <c r="AT74" s="4"/>
      <c r="AU74" s="4"/>
      <c r="AV74" s="4"/>
      <c r="AW74" s="4"/>
      <c r="AX74" s="4"/>
      <c r="AY74" s="4">
        <v>78.7</v>
      </c>
      <c r="AZ74" s="4"/>
      <c r="BA74" s="4">
        <v>111.6</v>
      </c>
      <c r="BB74" s="4"/>
      <c r="BC74" s="4"/>
      <c r="BD74" s="18">
        <v>25.1</v>
      </c>
      <c r="BE74" s="18">
        <v>1010</v>
      </c>
      <c r="BF74" s="18">
        <v>47.7</v>
      </c>
      <c r="BG74" s="4"/>
      <c r="BH74" s="4"/>
      <c r="BI74" s="4"/>
      <c r="BJ74" s="3" t="s">
        <v>169</v>
      </c>
      <c r="BK74"/>
      <c r="BL74"/>
      <c r="BM74"/>
      <c r="BR74"/>
    </row>
    <row r="75" spans="1:70" ht="28.5" x14ac:dyDescent="0.45">
      <c r="A75" s="2" t="s">
        <v>43</v>
      </c>
      <c r="B75" s="54" t="s">
        <v>79</v>
      </c>
      <c r="C75" s="3">
        <v>45229</v>
      </c>
      <c r="D75" s="8">
        <v>2</v>
      </c>
      <c r="E75" s="2" t="s">
        <v>212</v>
      </c>
      <c r="F75" s="4" t="s">
        <v>15</v>
      </c>
      <c r="G75" s="4" t="s">
        <v>15</v>
      </c>
      <c r="H75" s="4" t="s">
        <v>330</v>
      </c>
      <c r="I75" s="7">
        <v>0.1545</v>
      </c>
      <c r="J75" s="7">
        <v>0.1565</v>
      </c>
      <c r="K75" s="7">
        <v>1.8E-3</v>
      </c>
      <c r="L75" s="7"/>
      <c r="M75" s="7">
        <v>0.14960000000000001</v>
      </c>
      <c r="N75" s="7">
        <v>-0.61</v>
      </c>
      <c r="O75" s="4"/>
      <c r="P75" s="7">
        <v>1.2615000000000001</v>
      </c>
      <c r="T75" s="7">
        <v>60.2</v>
      </c>
      <c r="U75" s="7">
        <v>429</v>
      </c>
      <c r="V75" s="7">
        <v>750</v>
      </c>
      <c r="W75" s="4"/>
      <c r="X75" s="9" t="s">
        <v>49</v>
      </c>
      <c r="Y75" s="4" t="s">
        <v>78</v>
      </c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  <c r="AR75" s="4"/>
      <c r="AS75" s="4"/>
      <c r="AT75" s="4"/>
      <c r="AU75" s="4"/>
      <c r="AV75" s="4"/>
      <c r="AW75" s="4"/>
      <c r="AX75" s="4"/>
      <c r="AY75" s="4">
        <v>85.5</v>
      </c>
      <c r="AZ75" s="4"/>
      <c r="BA75" s="22">
        <v>117</v>
      </c>
      <c r="BB75" s="4"/>
      <c r="BC75" s="4"/>
      <c r="BD75" s="18">
        <v>25.1</v>
      </c>
      <c r="BE75" s="18">
        <v>1010</v>
      </c>
      <c r="BF75" s="18">
        <v>47.7</v>
      </c>
      <c r="BG75" s="4"/>
      <c r="BH75" s="4"/>
      <c r="BI75" s="4"/>
      <c r="BJ75" s="3" t="s">
        <v>170</v>
      </c>
      <c r="BK75"/>
      <c r="BL75"/>
      <c r="BM75"/>
      <c r="BR75"/>
    </row>
    <row r="76" spans="1:70" ht="28.5" x14ac:dyDescent="0.45">
      <c r="A76" s="2" t="s">
        <v>43</v>
      </c>
      <c r="B76" s="54" t="s">
        <v>79</v>
      </c>
      <c r="C76" s="3">
        <v>45229</v>
      </c>
      <c r="D76" s="8">
        <v>3</v>
      </c>
      <c r="E76" s="2" t="s">
        <v>544</v>
      </c>
      <c r="F76" s="4" t="s">
        <v>15</v>
      </c>
      <c r="G76" s="4" t="s">
        <v>15</v>
      </c>
      <c r="H76" s="4" t="s">
        <v>223</v>
      </c>
      <c r="I76" s="7">
        <v>0.14810000000000001</v>
      </c>
      <c r="J76" s="7">
        <v>0.1487</v>
      </c>
      <c r="K76" s="7">
        <v>4.4999999999999997E-3</v>
      </c>
      <c r="L76" s="7"/>
      <c r="M76" s="7">
        <v>0.14299999999999999</v>
      </c>
      <c r="N76" s="7">
        <v>-0.67</v>
      </c>
      <c r="O76" s="4"/>
      <c r="P76" s="7">
        <v>1.2615000000000001</v>
      </c>
      <c r="T76" s="7">
        <v>60.2</v>
      </c>
      <c r="U76" s="7">
        <v>421</v>
      </c>
      <c r="V76" s="7">
        <v>750</v>
      </c>
      <c r="W76" s="4"/>
      <c r="X76" s="9" t="s">
        <v>49</v>
      </c>
      <c r="Y76" s="4" t="s">
        <v>78</v>
      </c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  <c r="AR76" s="4"/>
      <c r="AS76" s="4"/>
      <c r="AT76" s="4"/>
      <c r="AU76" s="4"/>
      <c r="AV76" s="4"/>
      <c r="AW76" s="4"/>
      <c r="AX76" s="4"/>
      <c r="AY76" s="4">
        <v>74.900000000000006</v>
      </c>
      <c r="AZ76" s="4"/>
      <c r="BA76" s="4">
        <v>111.6</v>
      </c>
      <c r="BB76" s="4"/>
      <c r="BC76" s="4"/>
      <c r="BD76" s="18">
        <v>25.1</v>
      </c>
      <c r="BE76" s="18">
        <v>1010</v>
      </c>
      <c r="BF76" s="18">
        <v>47.7</v>
      </c>
      <c r="BG76" s="4"/>
      <c r="BH76" s="4"/>
      <c r="BI76" s="4"/>
      <c r="BJ76" s="3" t="s">
        <v>171</v>
      </c>
      <c r="BK76"/>
      <c r="BL76"/>
      <c r="BM76"/>
      <c r="BR76"/>
    </row>
    <row r="77" spans="1:70" ht="28.5" x14ac:dyDescent="0.45">
      <c r="A77" s="2" t="s">
        <v>43</v>
      </c>
      <c r="B77" s="54" t="s">
        <v>79</v>
      </c>
      <c r="C77" s="3">
        <v>45229</v>
      </c>
      <c r="D77" s="8">
        <v>4</v>
      </c>
      <c r="E77" s="2" t="s">
        <v>547</v>
      </c>
      <c r="F77" s="4" t="s">
        <v>15</v>
      </c>
      <c r="G77" s="4" t="s">
        <v>15</v>
      </c>
      <c r="H77" s="4" t="s">
        <v>223</v>
      </c>
      <c r="I77" s="7">
        <v>0.14530000000000001</v>
      </c>
      <c r="J77" s="7">
        <v>0.14530000000000001</v>
      </c>
      <c r="K77" s="7">
        <v>4.4999999999999997E-3</v>
      </c>
      <c r="L77" s="7"/>
      <c r="M77" s="7">
        <v>0.1426</v>
      </c>
      <c r="N77" s="7">
        <v>-0.69</v>
      </c>
      <c r="O77" s="4"/>
      <c r="P77" s="7">
        <v>1.2615000000000001</v>
      </c>
      <c r="T77" s="7">
        <v>59.6</v>
      </c>
      <c r="U77" s="7">
        <v>409</v>
      </c>
      <c r="V77" s="7">
        <v>750</v>
      </c>
      <c r="W77" s="4"/>
      <c r="X77" s="9" t="s">
        <v>49</v>
      </c>
      <c r="Y77" s="4" t="s">
        <v>78</v>
      </c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  <c r="AR77" s="4"/>
      <c r="AS77" s="4"/>
      <c r="AT77" s="4"/>
      <c r="AU77" s="4"/>
      <c r="AV77" s="4"/>
      <c r="AW77" s="4"/>
      <c r="AX77" s="4"/>
      <c r="AY77" s="4">
        <v>80</v>
      </c>
      <c r="AZ77" s="4"/>
      <c r="BA77" s="22">
        <v>117</v>
      </c>
      <c r="BB77" s="4"/>
      <c r="BC77" s="4"/>
      <c r="BD77" s="18">
        <v>25.1</v>
      </c>
      <c r="BE77" s="18">
        <v>1010</v>
      </c>
      <c r="BF77" s="18">
        <v>47.7</v>
      </c>
      <c r="BG77" s="64"/>
      <c r="BH77" s="4"/>
      <c r="BI77" s="4"/>
      <c r="BJ77" s="3" t="s">
        <v>172</v>
      </c>
      <c r="BK77"/>
      <c r="BL77"/>
      <c r="BM77"/>
      <c r="BR77"/>
    </row>
    <row r="78" spans="1:70" ht="28.5" x14ac:dyDescent="0.45">
      <c r="A78" s="2" t="s">
        <v>43</v>
      </c>
      <c r="B78" s="54" t="s">
        <v>79</v>
      </c>
      <c r="C78" s="3">
        <v>45229</v>
      </c>
      <c r="D78" s="8">
        <v>5</v>
      </c>
      <c r="E78" s="2" t="s">
        <v>212</v>
      </c>
      <c r="F78" s="4" t="s">
        <v>15</v>
      </c>
      <c r="G78" s="4" t="s">
        <v>15</v>
      </c>
      <c r="H78" s="4" t="s">
        <v>330</v>
      </c>
      <c r="I78" s="7">
        <v>0.15459999999999999</v>
      </c>
      <c r="J78" s="7">
        <v>0.15659999999999999</v>
      </c>
      <c r="K78" s="7">
        <v>3.8999999999999998E-3</v>
      </c>
      <c r="L78" s="7"/>
      <c r="M78" s="7">
        <v>0.15029999999999999</v>
      </c>
      <c r="N78" s="7">
        <v>-0.56999999999999995</v>
      </c>
      <c r="O78" s="4"/>
      <c r="P78" s="7">
        <v>1.2615000000000001</v>
      </c>
      <c r="T78" s="7">
        <v>60.5</v>
      </c>
      <c r="U78" s="7">
        <v>445</v>
      </c>
      <c r="V78" s="7">
        <v>750</v>
      </c>
      <c r="W78" s="4"/>
      <c r="X78" s="9" t="s">
        <v>49</v>
      </c>
      <c r="Y78" s="4" t="s">
        <v>78</v>
      </c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  <c r="AR78" s="4"/>
      <c r="AS78" s="4"/>
      <c r="AT78" s="4"/>
      <c r="AU78" s="4"/>
      <c r="AV78" s="4"/>
      <c r="AW78" s="4"/>
      <c r="AX78" s="4"/>
      <c r="AY78" s="4">
        <v>78.599999999999994</v>
      </c>
      <c r="AZ78" s="4"/>
      <c r="BA78" s="4">
        <v>111.6</v>
      </c>
      <c r="BB78" s="4"/>
      <c r="BC78" s="4"/>
      <c r="BD78" s="18">
        <v>25.9</v>
      </c>
      <c r="BE78" s="18">
        <v>1010</v>
      </c>
      <c r="BF78" s="18">
        <v>47</v>
      </c>
      <c r="BG78" s="4"/>
      <c r="BH78" s="4"/>
      <c r="BI78" s="4"/>
      <c r="BJ78" s="3" t="s">
        <v>161</v>
      </c>
      <c r="BK78"/>
      <c r="BL78"/>
      <c r="BM78"/>
      <c r="BR78"/>
    </row>
    <row r="79" spans="1:70" ht="28.5" x14ac:dyDescent="0.45">
      <c r="A79" s="2" t="s">
        <v>43</v>
      </c>
      <c r="B79" s="54" t="s">
        <v>79</v>
      </c>
      <c r="C79" s="3">
        <v>45229</v>
      </c>
      <c r="D79" s="8">
        <v>6</v>
      </c>
      <c r="E79" s="2" t="s">
        <v>544</v>
      </c>
      <c r="F79" s="4" t="s">
        <v>15</v>
      </c>
      <c r="G79" s="4" t="s">
        <v>15</v>
      </c>
      <c r="H79" s="4" t="s">
        <v>223</v>
      </c>
      <c r="I79" s="7">
        <v>0.14860000000000001</v>
      </c>
      <c r="J79" s="7">
        <v>0.1492</v>
      </c>
      <c r="K79" s="7">
        <v>3.5999999999999999E-3</v>
      </c>
      <c r="L79" s="7"/>
      <c r="M79" s="7">
        <v>0.1452</v>
      </c>
      <c r="N79" s="7">
        <v>-0.65</v>
      </c>
      <c r="O79" s="4"/>
      <c r="P79" s="7">
        <v>1.2615000000000001</v>
      </c>
      <c r="T79" s="7">
        <v>60.4</v>
      </c>
      <c r="U79" s="7">
        <v>432</v>
      </c>
      <c r="V79" s="7">
        <v>750</v>
      </c>
      <c r="W79" s="4"/>
      <c r="X79" s="9" t="s">
        <v>49</v>
      </c>
      <c r="Y79" s="4" t="s">
        <v>78</v>
      </c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  <c r="AQ79" s="4"/>
      <c r="AR79" s="4"/>
      <c r="AS79" s="4"/>
      <c r="AT79" s="4"/>
      <c r="AU79" s="4"/>
      <c r="AV79" s="4"/>
      <c r="AW79" s="4"/>
      <c r="AX79" s="4"/>
      <c r="AY79" s="4">
        <v>85.5</v>
      </c>
      <c r="AZ79" s="4"/>
      <c r="BA79" s="22">
        <v>117</v>
      </c>
      <c r="BB79" s="4"/>
      <c r="BC79" s="4"/>
      <c r="BD79" s="18">
        <v>25.9</v>
      </c>
      <c r="BE79" s="18">
        <v>1010</v>
      </c>
      <c r="BF79" s="18">
        <v>47</v>
      </c>
      <c r="BG79" s="4"/>
      <c r="BH79" s="4"/>
      <c r="BI79" s="4"/>
      <c r="BJ79" s="3" t="s">
        <v>162</v>
      </c>
      <c r="BK79"/>
      <c r="BL79"/>
      <c r="BM79"/>
      <c r="BR79"/>
    </row>
    <row r="80" spans="1:70" ht="28.5" x14ac:dyDescent="0.45">
      <c r="A80" s="2" t="s">
        <v>13</v>
      </c>
      <c r="B80" s="54" t="s">
        <v>28</v>
      </c>
      <c r="C80" s="3">
        <v>45229</v>
      </c>
      <c r="D80" s="8">
        <v>1</v>
      </c>
      <c r="E80" s="2" t="s">
        <v>542</v>
      </c>
      <c r="F80" s="4" t="s">
        <v>15</v>
      </c>
      <c r="G80" s="4" t="s">
        <v>577</v>
      </c>
      <c r="H80" s="4" t="s">
        <v>571</v>
      </c>
      <c r="I80" s="7">
        <v>0.1658</v>
      </c>
      <c r="J80" s="7">
        <v>0.1658</v>
      </c>
      <c r="K80" s="7">
        <v>3.3E-3</v>
      </c>
      <c r="L80" s="7"/>
      <c r="M80" s="7">
        <v>0.1623</v>
      </c>
      <c r="N80" s="7">
        <v>-0.74</v>
      </c>
      <c r="O80" s="4"/>
      <c r="P80" s="7">
        <v>1.2150000000000001</v>
      </c>
      <c r="T80" s="7">
        <v>64.400000000000006</v>
      </c>
      <c r="U80" s="7">
        <v>565</v>
      </c>
      <c r="V80" s="7">
        <v>750</v>
      </c>
      <c r="W80" s="4"/>
      <c r="X80" s="9" t="s">
        <v>49</v>
      </c>
      <c r="Y80" s="4" t="s">
        <v>78</v>
      </c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  <c r="AP80" s="4"/>
      <c r="AQ80" s="4"/>
      <c r="AR80" s="4"/>
      <c r="AS80" s="4"/>
      <c r="AT80" s="4"/>
      <c r="AU80" s="4"/>
      <c r="AV80" s="4"/>
      <c r="AW80" s="4"/>
      <c r="AX80" s="4"/>
      <c r="AY80" s="4">
        <v>74.900000000000006</v>
      </c>
      <c r="AZ80" s="4"/>
      <c r="BA80" s="4">
        <v>111.6</v>
      </c>
      <c r="BB80" s="4"/>
      <c r="BC80" s="4"/>
      <c r="BD80" s="18">
        <v>25.9</v>
      </c>
      <c r="BE80" s="18">
        <v>1010</v>
      </c>
      <c r="BF80" s="18">
        <v>47</v>
      </c>
      <c r="BG80" s="4"/>
      <c r="BH80" s="4"/>
      <c r="BI80" s="18" t="s">
        <v>91</v>
      </c>
      <c r="BJ80" s="3" t="s">
        <v>163</v>
      </c>
      <c r="BK80"/>
      <c r="BL80"/>
      <c r="BM80"/>
      <c r="BR80"/>
    </row>
    <row r="81" spans="1:70" ht="28.5" x14ac:dyDescent="0.45">
      <c r="A81" s="2" t="s">
        <v>13</v>
      </c>
      <c r="B81" s="54" t="s">
        <v>28</v>
      </c>
      <c r="C81" s="3">
        <v>45229</v>
      </c>
      <c r="D81" s="8">
        <v>2</v>
      </c>
      <c r="E81" s="2" t="s">
        <v>542</v>
      </c>
      <c r="F81" s="4" t="s">
        <v>15</v>
      </c>
      <c r="G81" s="4" t="s">
        <v>577</v>
      </c>
      <c r="H81" s="4" t="s">
        <v>574</v>
      </c>
      <c r="I81" s="7">
        <v>0.1719</v>
      </c>
      <c r="J81" s="7">
        <v>0.1719</v>
      </c>
      <c r="K81" s="7">
        <v>4.7999999999999996E-3</v>
      </c>
      <c r="L81" s="7"/>
      <c r="M81" s="7">
        <v>0.16739999999999999</v>
      </c>
      <c r="N81" s="7">
        <v>-0.78</v>
      </c>
      <c r="O81" s="4"/>
      <c r="P81" s="7">
        <v>1.2150000000000001</v>
      </c>
      <c r="T81" s="7">
        <v>63.9</v>
      </c>
      <c r="U81" s="7">
        <v>568</v>
      </c>
      <c r="V81" s="7">
        <v>750</v>
      </c>
      <c r="W81" s="4"/>
      <c r="X81" s="9" t="s">
        <v>49</v>
      </c>
      <c r="Y81" s="4" t="s">
        <v>78</v>
      </c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  <c r="AP81" s="4"/>
      <c r="AQ81" s="4"/>
      <c r="AR81" s="4"/>
      <c r="AS81" s="4"/>
      <c r="AT81" s="4"/>
      <c r="AU81" s="4"/>
      <c r="AV81" s="4"/>
      <c r="AW81" s="4"/>
      <c r="AX81" s="4"/>
      <c r="AY81" s="4">
        <v>80.099999999999994</v>
      </c>
      <c r="AZ81" s="4"/>
      <c r="BA81" s="22">
        <v>117</v>
      </c>
      <c r="BB81" s="4"/>
      <c r="BC81" s="4"/>
      <c r="BD81" s="18">
        <v>25.9</v>
      </c>
      <c r="BE81" s="18">
        <v>1010</v>
      </c>
      <c r="BF81" s="18">
        <v>47</v>
      </c>
      <c r="BG81" s="64"/>
      <c r="BH81" s="4"/>
      <c r="BI81" s="18" t="s">
        <v>92</v>
      </c>
      <c r="BJ81" s="3" t="s">
        <v>164</v>
      </c>
      <c r="BK81"/>
      <c r="BL81"/>
      <c r="BM81"/>
      <c r="BR81"/>
    </row>
    <row r="82" spans="1:70" ht="28.5" x14ac:dyDescent="0.45">
      <c r="A82" s="2" t="s">
        <v>13</v>
      </c>
      <c r="B82" s="54" t="s">
        <v>28</v>
      </c>
      <c r="C82" s="3">
        <v>45229</v>
      </c>
      <c r="D82" s="8">
        <v>3</v>
      </c>
      <c r="E82" s="2" t="s">
        <v>542</v>
      </c>
      <c r="F82" s="4" t="s">
        <v>15</v>
      </c>
      <c r="G82" s="4" t="s">
        <v>577</v>
      </c>
      <c r="H82" s="9" t="s">
        <v>573</v>
      </c>
      <c r="I82" s="7">
        <v>0.1696</v>
      </c>
      <c r="J82" s="7">
        <v>0.1696</v>
      </c>
      <c r="K82" s="7">
        <v>4.4000000000000003E-3</v>
      </c>
      <c r="L82" s="7"/>
      <c r="M82" s="7">
        <v>0.1676</v>
      </c>
      <c r="N82" s="7">
        <v>-0.7</v>
      </c>
      <c r="O82" s="4"/>
      <c r="P82" s="7">
        <v>1.2150000000000001</v>
      </c>
      <c r="T82" s="7">
        <v>64.2</v>
      </c>
      <c r="U82" s="7">
        <v>564</v>
      </c>
      <c r="V82" s="7">
        <v>750</v>
      </c>
      <c r="W82" s="4"/>
      <c r="X82" s="9" t="s">
        <v>49</v>
      </c>
      <c r="Y82" s="4" t="s">
        <v>78</v>
      </c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4"/>
      <c r="AP82" s="4"/>
      <c r="AQ82" s="4"/>
      <c r="AR82" s="4"/>
      <c r="AS82" s="4"/>
      <c r="AT82" s="4"/>
      <c r="AU82" s="4"/>
      <c r="AV82" s="4"/>
      <c r="AW82" s="4"/>
      <c r="AX82" s="4"/>
      <c r="AY82" s="4">
        <v>78.7</v>
      </c>
      <c r="AZ82" s="4"/>
      <c r="BA82" s="4">
        <v>111.6</v>
      </c>
      <c r="BB82" s="4"/>
      <c r="BC82" s="4"/>
      <c r="BD82" s="18">
        <v>26.4</v>
      </c>
      <c r="BE82" s="18">
        <v>1010</v>
      </c>
      <c r="BF82" s="18">
        <v>46.5</v>
      </c>
      <c r="BG82" s="4"/>
      <c r="BH82" s="4"/>
      <c r="BI82" s="4"/>
      <c r="BJ82" s="3" t="s">
        <v>165</v>
      </c>
      <c r="BK82"/>
      <c r="BL82"/>
      <c r="BM82"/>
      <c r="BR82"/>
    </row>
    <row r="83" spans="1:70" ht="28.5" x14ac:dyDescent="0.45">
      <c r="A83" s="2" t="s">
        <v>13</v>
      </c>
      <c r="B83" s="54" t="s">
        <v>28</v>
      </c>
      <c r="C83" s="3">
        <v>45229</v>
      </c>
      <c r="D83" s="8">
        <v>4</v>
      </c>
      <c r="E83" s="2" t="s">
        <v>542</v>
      </c>
      <c r="F83" s="4" t="s">
        <v>15</v>
      </c>
      <c r="G83" s="4" t="s">
        <v>577</v>
      </c>
      <c r="H83" s="4" t="s">
        <v>223</v>
      </c>
      <c r="I83" s="7">
        <v>0.16819999999999999</v>
      </c>
      <c r="J83" s="7">
        <v>0.16819999999999999</v>
      </c>
      <c r="K83" s="7">
        <v>3.7000000000000002E-3</v>
      </c>
      <c r="L83" s="7"/>
      <c r="M83" s="7">
        <v>0.16220000000000001</v>
      </c>
      <c r="N83" s="7">
        <v>-0.8</v>
      </c>
      <c r="O83" s="4"/>
      <c r="P83" s="7">
        <v>1.2150000000000001</v>
      </c>
      <c r="T83" s="7">
        <v>64.900000000000006</v>
      </c>
      <c r="U83" s="7">
        <v>573</v>
      </c>
      <c r="V83" s="7">
        <v>750</v>
      </c>
      <c r="W83" s="4"/>
      <c r="X83" s="9" t="s">
        <v>49</v>
      </c>
      <c r="Y83" s="4" t="s">
        <v>78</v>
      </c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  <c r="AP83" s="4"/>
      <c r="AQ83" s="4"/>
      <c r="AR83" s="4"/>
      <c r="AS83" s="4"/>
      <c r="AT83" s="4"/>
      <c r="AU83" s="4"/>
      <c r="AV83" s="4"/>
      <c r="AW83" s="4"/>
      <c r="AX83" s="4"/>
      <c r="AY83" s="4">
        <v>85.2</v>
      </c>
      <c r="AZ83" s="4"/>
      <c r="BA83" s="22">
        <v>117</v>
      </c>
      <c r="BB83" s="4"/>
      <c r="BC83" s="4"/>
      <c r="BD83" s="18">
        <v>26.4</v>
      </c>
      <c r="BE83" s="18">
        <v>1010</v>
      </c>
      <c r="BF83" s="18">
        <v>46.5</v>
      </c>
      <c r="BG83" s="4"/>
      <c r="BH83" s="4"/>
      <c r="BI83" s="4"/>
      <c r="BJ83" s="3" t="s">
        <v>166</v>
      </c>
      <c r="BK83"/>
      <c r="BL83"/>
      <c r="BM83"/>
      <c r="BR83"/>
    </row>
    <row r="84" spans="1:70" ht="28.5" x14ac:dyDescent="0.45">
      <c r="A84" s="2" t="s">
        <v>13</v>
      </c>
      <c r="B84" s="54" t="s">
        <v>28</v>
      </c>
      <c r="C84" s="3">
        <v>45229</v>
      </c>
      <c r="D84" s="8">
        <v>5</v>
      </c>
      <c r="E84" s="2" t="s">
        <v>542</v>
      </c>
      <c r="F84" s="4" t="s">
        <v>15</v>
      </c>
      <c r="G84" s="4" t="s">
        <v>577</v>
      </c>
      <c r="H84" s="4" t="s">
        <v>574</v>
      </c>
      <c r="I84" s="7">
        <v>0.17169999999999999</v>
      </c>
      <c r="J84" s="7">
        <v>0.17169999999999999</v>
      </c>
      <c r="K84" s="7">
        <v>3.0999999999999999E-3</v>
      </c>
      <c r="L84" s="7"/>
      <c r="M84" s="7">
        <v>0.1666</v>
      </c>
      <c r="N84" s="7">
        <v>-0.78</v>
      </c>
      <c r="O84" s="4"/>
      <c r="P84" s="7">
        <v>1.2150000000000001</v>
      </c>
      <c r="T84" s="7">
        <v>64</v>
      </c>
      <c r="U84" s="7">
        <v>574</v>
      </c>
      <c r="V84" s="7">
        <v>750</v>
      </c>
      <c r="W84" s="4"/>
      <c r="X84" s="9" t="s">
        <v>49</v>
      </c>
      <c r="Y84" s="4" t="s">
        <v>78</v>
      </c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4"/>
      <c r="AP84" s="4"/>
      <c r="AQ84" s="4"/>
      <c r="AR84" s="4"/>
      <c r="AS84" s="4"/>
      <c r="AT84" s="4"/>
      <c r="AU84" s="4"/>
      <c r="AV84" s="4"/>
      <c r="AW84" s="4"/>
      <c r="AX84" s="4"/>
      <c r="AY84" s="4">
        <v>74.7</v>
      </c>
      <c r="AZ84" s="4"/>
      <c r="BA84" s="4">
        <v>111.6</v>
      </c>
      <c r="BB84" s="4"/>
      <c r="BC84" s="4"/>
      <c r="BD84" s="18">
        <v>26.4</v>
      </c>
      <c r="BE84" s="18">
        <v>1010</v>
      </c>
      <c r="BF84" s="18">
        <v>46.5</v>
      </c>
      <c r="BG84" s="4"/>
      <c r="BH84" s="4"/>
      <c r="BI84" s="4"/>
      <c r="BJ84" s="3" t="s">
        <v>167</v>
      </c>
      <c r="BK84"/>
      <c r="BL84"/>
      <c r="BM84"/>
      <c r="BR84"/>
    </row>
    <row r="85" spans="1:70" ht="28.5" x14ac:dyDescent="0.45">
      <c r="A85" s="2" t="s">
        <v>13</v>
      </c>
      <c r="B85" s="54" t="s">
        <v>28</v>
      </c>
      <c r="C85" s="3">
        <v>45229</v>
      </c>
      <c r="D85" s="8">
        <v>6</v>
      </c>
      <c r="E85" s="2" t="s">
        <v>542</v>
      </c>
      <c r="F85" s="4" t="s">
        <v>15</v>
      </c>
      <c r="G85" s="4" t="s">
        <v>577</v>
      </c>
      <c r="H85" s="9" t="s">
        <v>573</v>
      </c>
      <c r="I85" s="7">
        <v>0.1701</v>
      </c>
      <c r="J85" s="7">
        <v>0.1701</v>
      </c>
      <c r="K85" s="7">
        <v>6.4999999999999997E-3</v>
      </c>
      <c r="L85" s="7"/>
      <c r="M85" s="7">
        <v>0.16639999999999999</v>
      </c>
      <c r="N85" s="7">
        <v>-0.75</v>
      </c>
      <c r="O85" s="4"/>
      <c r="P85" s="7">
        <v>1.2150000000000001</v>
      </c>
      <c r="T85" s="7">
        <v>63.8</v>
      </c>
      <c r="U85" s="7">
        <v>555</v>
      </c>
      <c r="V85" s="7">
        <v>750</v>
      </c>
      <c r="W85" s="4"/>
      <c r="X85" s="9" t="s">
        <v>49</v>
      </c>
      <c r="Y85" s="4" t="s">
        <v>78</v>
      </c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  <c r="AP85" s="4"/>
      <c r="AQ85" s="4"/>
      <c r="AR85" s="4"/>
      <c r="AS85" s="4"/>
      <c r="AT85" s="4"/>
      <c r="AU85" s="4"/>
      <c r="AV85" s="4"/>
      <c r="AW85" s="4"/>
      <c r="AX85" s="4"/>
      <c r="AY85" s="4">
        <v>80.2</v>
      </c>
      <c r="AZ85" s="4"/>
      <c r="BA85" s="22">
        <v>117</v>
      </c>
      <c r="BB85" s="4"/>
      <c r="BC85" s="4"/>
      <c r="BD85" s="18">
        <v>26.4</v>
      </c>
      <c r="BE85" s="18">
        <v>1010</v>
      </c>
      <c r="BF85" s="18">
        <v>46.5</v>
      </c>
      <c r="BG85" s="4"/>
      <c r="BH85" s="4"/>
      <c r="BI85" s="4"/>
      <c r="BJ85" s="3" t="s">
        <v>168</v>
      </c>
      <c r="BK85"/>
      <c r="BL85"/>
      <c r="BM85"/>
      <c r="BR85"/>
    </row>
    <row r="86" spans="1:70" ht="28.5" x14ac:dyDescent="0.45">
      <c r="A86" s="2" t="s">
        <v>43</v>
      </c>
      <c r="B86" s="54" t="s">
        <v>45</v>
      </c>
      <c r="C86" s="3">
        <v>45232</v>
      </c>
      <c r="D86" s="8">
        <v>1</v>
      </c>
      <c r="E86" s="2" t="s">
        <v>556</v>
      </c>
      <c r="F86" s="4" t="s">
        <v>559</v>
      </c>
      <c r="G86" s="4" t="s">
        <v>15</v>
      </c>
      <c r="H86" s="4" t="s">
        <v>223</v>
      </c>
      <c r="I86" s="7">
        <v>0.15820000000000001</v>
      </c>
      <c r="J86" s="7">
        <v>0.15820000000000001</v>
      </c>
      <c r="K86" s="7">
        <v>1.2999999999999999E-3</v>
      </c>
      <c r="L86" s="7"/>
      <c r="M86" s="7">
        <v>0.15570000000000001</v>
      </c>
      <c r="N86" s="7">
        <v>-0.36</v>
      </c>
      <c r="O86" s="4"/>
      <c r="P86" s="7">
        <v>1.2769999999999999</v>
      </c>
      <c r="T86" s="7">
        <v>59.7</v>
      </c>
      <c r="U86" s="7">
        <v>437</v>
      </c>
      <c r="V86" s="7">
        <v>750</v>
      </c>
      <c r="W86" s="4"/>
      <c r="X86" s="4"/>
      <c r="Y86" s="4" t="s">
        <v>78</v>
      </c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  <c r="AP86" s="4"/>
      <c r="AQ86" s="4"/>
      <c r="AR86" s="4"/>
      <c r="AS86" s="4"/>
      <c r="AT86" s="4"/>
      <c r="AU86" s="4"/>
      <c r="AV86" s="4"/>
      <c r="AW86" s="4"/>
      <c r="AX86" s="4"/>
      <c r="AY86" s="4">
        <v>78.7</v>
      </c>
      <c r="AZ86" s="4"/>
      <c r="BA86" s="4">
        <v>111.6</v>
      </c>
      <c r="BB86" s="4"/>
      <c r="BC86" s="4"/>
      <c r="BD86" s="18">
        <v>26.4</v>
      </c>
      <c r="BE86" s="18">
        <v>1010</v>
      </c>
      <c r="BF86" s="18">
        <v>46.5</v>
      </c>
      <c r="BG86" s="4"/>
      <c r="BH86" s="4"/>
      <c r="BI86" s="4"/>
      <c r="BJ86" s="3" t="s">
        <v>180</v>
      </c>
      <c r="BK86"/>
      <c r="BL86"/>
      <c r="BM86"/>
      <c r="BR86"/>
    </row>
    <row r="87" spans="1:70" ht="28.5" x14ac:dyDescent="0.45">
      <c r="A87" s="2" t="s">
        <v>43</v>
      </c>
      <c r="B87" s="54" t="s">
        <v>45</v>
      </c>
      <c r="C87" s="3">
        <v>45232</v>
      </c>
      <c r="D87" s="8">
        <v>2</v>
      </c>
      <c r="E87" s="2" t="s">
        <v>556</v>
      </c>
      <c r="F87" s="4" t="s">
        <v>559</v>
      </c>
      <c r="G87" s="4" t="s">
        <v>15</v>
      </c>
      <c r="H87" s="4" t="s">
        <v>571</v>
      </c>
      <c r="I87" s="7">
        <v>0.1593</v>
      </c>
      <c r="J87" s="7">
        <v>0.1593</v>
      </c>
      <c r="K87" s="7">
        <v>2E-3</v>
      </c>
      <c r="L87" s="7"/>
      <c r="M87" s="7">
        <v>0.15909999999999999</v>
      </c>
      <c r="N87" s="7">
        <v>-0.3</v>
      </c>
      <c r="O87" s="4"/>
      <c r="P87" s="7">
        <v>1.2769999999999999</v>
      </c>
      <c r="T87" s="7">
        <v>59.4</v>
      </c>
      <c r="U87" s="7">
        <v>434</v>
      </c>
      <c r="V87" s="7">
        <v>750</v>
      </c>
      <c r="W87" s="4"/>
      <c r="X87" s="4"/>
      <c r="Y87" s="4" t="s">
        <v>78</v>
      </c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  <c r="AP87" s="4"/>
      <c r="AQ87" s="4"/>
      <c r="AR87" s="4"/>
      <c r="AS87" s="4"/>
      <c r="AT87" s="4"/>
      <c r="AU87" s="4"/>
      <c r="AV87" s="4"/>
      <c r="AW87" s="4"/>
      <c r="AX87" s="4"/>
      <c r="AY87" s="4">
        <v>85.3</v>
      </c>
      <c r="AZ87" s="4"/>
      <c r="BA87" s="22">
        <v>117</v>
      </c>
      <c r="BB87" s="4"/>
      <c r="BC87" s="4"/>
      <c r="BD87" s="18">
        <v>26.4</v>
      </c>
      <c r="BE87" s="18">
        <v>1010</v>
      </c>
      <c r="BF87" s="18">
        <v>46.5</v>
      </c>
      <c r="BG87" s="4"/>
      <c r="BH87" s="4"/>
      <c r="BI87" s="4" t="s">
        <v>90</v>
      </c>
      <c r="BJ87" s="3" t="s">
        <v>181</v>
      </c>
      <c r="BK87"/>
      <c r="BL87"/>
      <c r="BM87"/>
      <c r="BR87"/>
    </row>
    <row r="88" spans="1:70" ht="28.5" x14ac:dyDescent="0.45">
      <c r="A88" s="2" t="s">
        <v>43</v>
      </c>
      <c r="B88" s="54" t="s">
        <v>45</v>
      </c>
      <c r="C88" s="3">
        <v>45232</v>
      </c>
      <c r="D88" s="8">
        <v>3</v>
      </c>
      <c r="E88" s="2" t="s">
        <v>556</v>
      </c>
      <c r="F88" s="4" t="s">
        <v>559</v>
      </c>
      <c r="G88" s="4" t="s">
        <v>15</v>
      </c>
      <c r="H88" s="9" t="s">
        <v>573</v>
      </c>
      <c r="I88" s="7">
        <v>0.15809999999999999</v>
      </c>
      <c r="J88" s="7">
        <v>0.15809999999999999</v>
      </c>
      <c r="K88" s="7">
        <v>4.0000000000000001E-3</v>
      </c>
      <c r="L88" s="7"/>
      <c r="M88" s="7">
        <v>0.15759999999999999</v>
      </c>
      <c r="N88" s="7">
        <v>-0.33</v>
      </c>
      <c r="O88" s="4"/>
      <c r="P88" s="7">
        <v>1.2769999999999999</v>
      </c>
      <c r="T88" s="7">
        <v>58.9</v>
      </c>
      <c r="U88" s="7">
        <v>430</v>
      </c>
      <c r="V88" s="7">
        <v>750</v>
      </c>
      <c r="W88" s="4"/>
      <c r="X88" s="4"/>
      <c r="Y88" s="4" t="s">
        <v>78</v>
      </c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4"/>
      <c r="AX88" s="4"/>
      <c r="AY88" s="4">
        <v>74.8</v>
      </c>
      <c r="AZ88" s="4"/>
      <c r="BA88" s="4">
        <v>111.6</v>
      </c>
      <c r="BB88" s="4"/>
      <c r="BC88" s="4"/>
      <c r="BD88" s="18">
        <v>26.4</v>
      </c>
      <c r="BE88" s="18">
        <v>1010</v>
      </c>
      <c r="BF88" s="18">
        <v>46.5</v>
      </c>
      <c r="BG88" s="4"/>
      <c r="BH88" s="4"/>
      <c r="BI88" s="4"/>
      <c r="BJ88" s="3" t="s">
        <v>182</v>
      </c>
      <c r="BK88"/>
      <c r="BL88"/>
      <c r="BM88"/>
      <c r="BR88"/>
    </row>
    <row r="89" spans="1:70" ht="28.5" x14ac:dyDescent="0.45">
      <c r="A89" s="2" t="s">
        <v>43</v>
      </c>
      <c r="B89" s="54" t="s">
        <v>45</v>
      </c>
      <c r="C89" s="3">
        <v>45232</v>
      </c>
      <c r="D89" s="8">
        <v>4</v>
      </c>
      <c r="E89" s="2" t="s">
        <v>556</v>
      </c>
      <c r="F89" s="4" t="s">
        <v>559</v>
      </c>
      <c r="G89" s="4" t="s">
        <v>15</v>
      </c>
      <c r="H89" s="4" t="s">
        <v>223</v>
      </c>
      <c r="I89" s="7">
        <v>0.1573</v>
      </c>
      <c r="J89" s="7">
        <v>0.1573</v>
      </c>
      <c r="K89" s="7">
        <v>2.5000000000000001E-3</v>
      </c>
      <c r="L89" s="7"/>
      <c r="M89" s="7">
        <v>0.15809999999999999</v>
      </c>
      <c r="N89" s="7">
        <v>-0.34</v>
      </c>
      <c r="O89" s="4"/>
      <c r="P89" s="7">
        <v>1.2769999999999999</v>
      </c>
      <c r="T89" s="7">
        <v>59.3</v>
      </c>
      <c r="U89" s="7">
        <v>434</v>
      </c>
      <c r="V89" s="7">
        <v>750</v>
      </c>
      <c r="W89" s="4"/>
      <c r="X89" s="4"/>
      <c r="Y89" s="4" t="s">
        <v>78</v>
      </c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4"/>
      <c r="AT89" s="4"/>
      <c r="AU89" s="4"/>
      <c r="AV89" s="4"/>
      <c r="AW89" s="4"/>
      <c r="AX89" s="4"/>
      <c r="AY89" s="4">
        <v>80</v>
      </c>
      <c r="AZ89" s="4"/>
      <c r="BA89" s="22">
        <v>117</v>
      </c>
      <c r="BB89" s="4"/>
      <c r="BC89" s="4"/>
      <c r="BD89" s="18">
        <v>26.4</v>
      </c>
      <c r="BE89" s="18">
        <v>1010</v>
      </c>
      <c r="BF89" s="18">
        <v>46.5</v>
      </c>
      <c r="BG89" s="4"/>
      <c r="BH89" s="4"/>
      <c r="BI89" s="4"/>
      <c r="BJ89" s="3" t="s">
        <v>183</v>
      </c>
      <c r="BK89"/>
      <c r="BL89"/>
      <c r="BM89"/>
      <c r="BR89"/>
    </row>
    <row r="90" spans="1:70" ht="28.5" x14ac:dyDescent="0.45">
      <c r="A90" s="2" t="s">
        <v>43</v>
      </c>
      <c r="B90" s="54" t="s">
        <v>45</v>
      </c>
      <c r="C90" s="3">
        <v>45232</v>
      </c>
      <c r="D90" s="8">
        <v>5</v>
      </c>
      <c r="E90" s="2" t="s">
        <v>556</v>
      </c>
      <c r="F90" s="4" t="s">
        <v>559</v>
      </c>
      <c r="G90" s="4" t="s">
        <v>15</v>
      </c>
      <c r="H90" s="4" t="s">
        <v>571</v>
      </c>
      <c r="I90" s="7">
        <v>0.1585</v>
      </c>
      <c r="J90" s="7">
        <v>0.1585</v>
      </c>
      <c r="K90" s="7">
        <v>1.2999999999999999E-3</v>
      </c>
      <c r="L90" s="7"/>
      <c r="M90" s="7">
        <v>0.157</v>
      </c>
      <c r="N90" s="7">
        <v>-0.35</v>
      </c>
      <c r="O90" s="4"/>
      <c r="P90" s="7">
        <v>1.2769999999999999</v>
      </c>
      <c r="T90" s="7">
        <v>59.5</v>
      </c>
      <c r="U90" s="7">
        <v>431</v>
      </c>
      <c r="V90" s="7">
        <v>750</v>
      </c>
      <c r="W90" s="4"/>
      <c r="X90" s="4"/>
      <c r="Y90" s="4" t="s">
        <v>78</v>
      </c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  <c r="AP90" s="4"/>
      <c r="AQ90" s="4"/>
      <c r="AR90" s="4"/>
      <c r="AS90" s="4"/>
      <c r="AT90" s="4"/>
      <c r="AU90" s="4"/>
      <c r="AV90" s="4"/>
      <c r="AW90" s="4"/>
      <c r="AX90" s="4"/>
      <c r="AY90" s="4">
        <v>78.5</v>
      </c>
      <c r="AZ90" s="4"/>
      <c r="BA90" s="4">
        <v>111.6</v>
      </c>
      <c r="BB90" s="4"/>
      <c r="BC90" s="4"/>
      <c r="BD90" s="18">
        <v>26.7</v>
      </c>
      <c r="BE90" s="18">
        <v>1010</v>
      </c>
      <c r="BF90" s="18">
        <v>46.7</v>
      </c>
      <c r="BG90" s="4"/>
      <c r="BH90" s="4"/>
      <c r="BI90" s="4"/>
      <c r="BJ90" s="3" t="s">
        <v>197</v>
      </c>
      <c r="BK90"/>
      <c r="BL90"/>
      <c r="BM90"/>
      <c r="BR90"/>
    </row>
    <row r="91" spans="1:70" ht="28.5" x14ac:dyDescent="0.45">
      <c r="A91" s="2" t="s">
        <v>43</v>
      </c>
      <c r="B91" s="54" t="s">
        <v>45</v>
      </c>
      <c r="C91" s="3">
        <v>45232</v>
      </c>
      <c r="D91" s="8">
        <v>6</v>
      </c>
      <c r="E91" s="2" t="s">
        <v>556</v>
      </c>
      <c r="F91" s="4" t="s">
        <v>559</v>
      </c>
      <c r="G91" s="4" t="s">
        <v>15</v>
      </c>
      <c r="H91" s="9" t="s">
        <v>573</v>
      </c>
      <c r="I91" s="7">
        <v>0.16059999999999999</v>
      </c>
      <c r="J91" s="7">
        <v>0.16059999999999999</v>
      </c>
      <c r="K91" s="7">
        <v>3.5000000000000001E-3</v>
      </c>
      <c r="L91" s="7"/>
      <c r="M91" s="7">
        <v>0.16059999999999999</v>
      </c>
      <c r="N91" s="7">
        <v>-0.28999999999999998</v>
      </c>
      <c r="O91" s="4"/>
      <c r="P91" s="7">
        <v>1.2769999999999999</v>
      </c>
      <c r="T91" s="7">
        <v>59.5</v>
      </c>
      <c r="U91" s="7">
        <v>434</v>
      </c>
      <c r="V91" s="7">
        <v>750</v>
      </c>
      <c r="W91" s="4"/>
      <c r="X91" s="4"/>
      <c r="Y91" s="4" t="s">
        <v>78</v>
      </c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  <c r="AP91" s="4"/>
      <c r="AQ91" s="4"/>
      <c r="AR91" s="4"/>
      <c r="AS91" s="4"/>
      <c r="AT91" s="4"/>
      <c r="AU91" s="4"/>
      <c r="AV91" s="4"/>
      <c r="AW91" s="4"/>
      <c r="AX91" s="4"/>
      <c r="AY91" s="4">
        <v>85.3</v>
      </c>
      <c r="AZ91" s="4"/>
      <c r="BA91" s="22">
        <v>117</v>
      </c>
      <c r="BB91" s="4"/>
      <c r="BC91" s="4"/>
      <c r="BD91" s="18">
        <v>26.7</v>
      </c>
      <c r="BE91" s="18">
        <v>1010</v>
      </c>
      <c r="BF91" s="18">
        <v>46.7</v>
      </c>
      <c r="BG91" s="4"/>
      <c r="BH91" s="4"/>
      <c r="BI91" s="4"/>
      <c r="BJ91" s="3" t="s">
        <v>173</v>
      </c>
      <c r="BK91"/>
      <c r="BL91"/>
      <c r="BM91"/>
      <c r="BR91"/>
    </row>
    <row r="92" spans="1:70" ht="28.5" x14ac:dyDescent="0.45">
      <c r="A92" s="2" t="s">
        <v>13</v>
      </c>
      <c r="B92" s="54" t="s">
        <v>17</v>
      </c>
      <c r="C92" s="3">
        <v>45232</v>
      </c>
      <c r="D92" s="8">
        <v>1</v>
      </c>
      <c r="E92" s="2" t="s">
        <v>212</v>
      </c>
      <c r="F92" s="4" t="s">
        <v>89</v>
      </c>
      <c r="G92" s="4" t="s">
        <v>577</v>
      </c>
      <c r="H92" s="4" t="s">
        <v>571</v>
      </c>
      <c r="I92" s="7">
        <v>0.1668</v>
      </c>
      <c r="J92" s="7">
        <v>0.1668</v>
      </c>
      <c r="K92" s="7">
        <v>4.4999999999999997E-3</v>
      </c>
      <c r="L92" s="7"/>
      <c r="M92" s="7">
        <v>0.1671</v>
      </c>
      <c r="N92" s="7">
        <v>-0.32</v>
      </c>
      <c r="O92" s="4"/>
      <c r="P92" s="7">
        <v>1.2755000000000001</v>
      </c>
      <c r="T92" s="7">
        <v>64.400000000000006</v>
      </c>
      <c r="U92" s="7">
        <v>594</v>
      </c>
      <c r="V92" s="7">
        <v>750</v>
      </c>
      <c r="W92" s="4"/>
      <c r="X92" s="4"/>
      <c r="Y92" s="4" t="s">
        <v>78</v>
      </c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4"/>
      <c r="AP92" s="4"/>
      <c r="AQ92" s="4"/>
      <c r="AR92" s="4"/>
      <c r="AS92" s="4"/>
      <c r="AT92" s="4"/>
      <c r="AU92" s="4"/>
      <c r="AV92" s="4"/>
      <c r="AW92" s="4"/>
      <c r="AX92" s="4"/>
      <c r="AY92" s="4">
        <v>74.599999999999994</v>
      </c>
      <c r="AZ92" s="4"/>
      <c r="BA92" s="4">
        <v>111.6</v>
      </c>
      <c r="BB92" s="4"/>
      <c r="BC92" s="4"/>
      <c r="BD92" s="18">
        <v>26.7</v>
      </c>
      <c r="BE92" s="18">
        <v>1010</v>
      </c>
      <c r="BF92" s="18">
        <v>46.7</v>
      </c>
      <c r="BG92" s="4"/>
      <c r="BH92" s="4"/>
      <c r="BI92" s="4"/>
      <c r="BJ92" s="3" t="s">
        <v>175</v>
      </c>
      <c r="BK92"/>
      <c r="BL92"/>
      <c r="BM92"/>
      <c r="BR92"/>
    </row>
    <row r="93" spans="1:70" ht="28.5" x14ac:dyDescent="0.45">
      <c r="A93" s="2" t="s">
        <v>13</v>
      </c>
      <c r="B93" s="54" t="s">
        <v>17</v>
      </c>
      <c r="C93" s="3">
        <v>45232</v>
      </c>
      <c r="D93" s="8">
        <v>2</v>
      </c>
      <c r="E93" s="2" t="s">
        <v>212</v>
      </c>
      <c r="F93" s="4" t="s">
        <v>89</v>
      </c>
      <c r="G93" s="4" t="s">
        <v>577</v>
      </c>
      <c r="H93" s="4" t="s">
        <v>378</v>
      </c>
      <c r="I93" s="7">
        <v>0.16520000000000001</v>
      </c>
      <c r="J93" s="7">
        <v>0.16520000000000001</v>
      </c>
      <c r="K93" s="7">
        <v>4.0000000000000001E-3</v>
      </c>
      <c r="L93" s="7"/>
      <c r="M93" s="7">
        <v>0.16719999999999999</v>
      </c>
      <c r="N93" s="7">
        <v>-0.28999999999999998</v>
      </c>
      <c r="O93" s="4"/>
      <c r="P93" s="7">
        <v>1.2755000000000001</v>
      </c>
      <c r="T93" s="7">
        <v>63.7</v>
      </c>
      <c r="U93" s="7">
        <v>580</v>
      </c>
      <c r="V93" s="7">
        <v>750</v>
      </c>
      <c r="W93" s="4"/>
      <c r="X93" s="4"/>
      <c r="Y93" s="4" t="s">
        <v>78</v>
      </c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  <c r="AQ93" s="4"/>
      <c r="AR93" s="4"/>
      <c r="AS93" s="4"/>
      <c r="AT93" s="4"/>
      <c r="AU93" s="4"/>
      <c r="AV93" s="4"/>
      <c r="AW93" s="4"/>
      <c r="AX93" s="4"/>
      <c r="AY93" s="4">
        <v>80.099999999999994</v>
      </c>
      <c r="AZ93" s="4"/>
      <c r="BA93" s="22">
        <v>117</v>
      </c>
      <c r="BB93" s="4"/>
      <c r="BC93" s="4"/>
      <c r="BD93" s="18">
        <v>26.7</v>
      </c>
      <c r="BE93" s="18">
        <v>1010</v>
      </c>
      <c r="BF93" s="18">
        <v>46.7</v>
      </c>
      <c r="BG93" s="4"/>
      <c r="BH93" s="4"/>
      <c r="BI93" s="4"/>
      <c r="BJ93" s="3" t="s">
        <v>174</v>
      </c>
      <c r="BK93"/>
      <c r="BL93"/>
      <c r="BM93"/>
      <c r="BR93"/>
    </row>
    <row r="94" spans="1:70" ht="28.5" x14ac:dyDescent="0.45">
      <c r="A94" s="2" t="s">
        <v>13</v>
      </c>
      <c r="B94" s="54" t="s">
        <v>17</v>
      </c>
      <c r="C94" s="3">
        <v>45232</v>
      </c>
      <c r="D94" s="8">
        <v>3</v>
      </c>
      <c r="E94" s="2" t="s">
        <v>212</v>
      </c>
      <c r="F94" s="4" t="s">
        <v>89</v>
      </c>
      <c r="G94" s="4" t="s">
        <v>577</v>
      </c>
      <c r="H94" s="4" t="s">
        <v>223</v>
      </c>
      <c r="I94" s="7">
        <v>0.16739999999999999</v>
      </c>
      <c r="J94" s="7">
        <v>0.16739999999999999</v>
      </c>
      <c r="K94" s="7">
        <v>3.5000000000000001E-3</v>
      </c>
      <c r="L94" s="7"/>
      <c r="M94" s="7">
        <v>0.16889999999999999</v>
      </c>
      <c r="N94" s="7">
        <v>-0.35</v>
      </c>
      <c r="O94" s="4"/>
      <c r="P94" s="7">
        <v>1.2755000000000001</v>
      </c>
      <c r="T94" s="7">
        <v>64.5</v>
      </c>
      <c r="U94" s="7">
        <v>584</v>
      </c>
      <c r="V94" s="7">
        <v>750</v>
      </c>
      <c r="W94" s="4"/>
      <c r="X94" s="4"/>
      <c r="Y94" s="4" t="s">
        <v>78</v>
      </c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  <c r="AP94" s="4"/>
      <c r="AQ94" s="4"/>
      <c r="AR94" s="4"/>
      <c r="AS94" s="4"/>
      <c r="AT94" s="4"/>
      <c r="AU94" s="4"/>
      <c r="AV94" s="4"/>
      <c r="AW94" s="4"/>
      <c r="AX94" s="4"/>
      <c r="AY94" s="4">
        <v>78.5</v>
      </c>
      <c r="AZ94" s="4"/>
      <c r="BA94" s="4">
        <v>111.6</v>
      </c>
      <c r="BB94" s="4"/>
      <c r="BC94" s="4"/>
      <c r="BD94" s="18">
        <v>26.7</v>
      </c>
      <c r="BE94" s="18">
        <v>1010</v>
      </c>
      <c r="BF94" s="18">
        <v>46.7</v>
      </c>
      <c r="BG94" s="4"/>
      <c r="BH94" s="4"/>
      <c r="BI94" s="4"/>
      <c r="BJ94" s="3" t="s">
        <v>176</v>
      </c>
      <c r="BK94"/>
      <c r="BL94"/>
      <c r="BM94"/>
      <c r="BR94"/>
    </row>
    <row r="95" spans="1:70" ht="28.5" x14ac:dyDescent="0.45">
      <c r="A95" s="2" t="s">
        <v>13</v>
      </c>
      <c r="B95" s="54" t="s">
        <v>17</v>
      </c>
      <c r="C95" s="3">
        <v>45232</v>
      </c>
      <c r="D95" s="8">
        <v>4</v>
      </c>
      <c r="E95" s="2" t="s">
        <v>212</v>
      </c>
      <c r="F95" s="4" t="s">
        <v>89</v>
      </c>
      <c r="G95" s="4" t="s">
        <v>577</v>
      </c>
      <c r="H95" s="4" t="s">
        <v>571</v>
      </c>
      <c r="I95" s="48"/>
      <c r="J95" s="48"/>
      <c r="K95" s="48"/>
      <c r="L95" s="7"/>
      <c r="M95" s="7">
        <v>0.16839999999999999</v>
      </c>
      <c r="O95" s="4"/>
      <c r="P95" s="7">
        <v>1.2755000000000001</v>
      </c>
      <c r="T95" s="7">
        <v>64.8</v>
      </c>
      <c r="U95" s="7">
        <v>609</v>
      </c>
      <c r="V95" s="7">
        <v>750</v>
      </c>
      <c r="W95" s="4"/>
      <c r="X95" s="4"/>
      <c r="Y95" s="4" t="s">
        <v>78</v>
      </c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  <c r="AQ95" s="4"/>
      <c r="AR95" s="4"/>
      <c r="AS95" s="4"/>
      <c r="AT95" s="4"/>
      <c r="AU95" s="4"/>
      <c r="AV95" s="4"/>
      <c r="AW95" s="4"/>
      <c r="AX95" s="4"/>
      <c r="AY95" s="4">
        <v>85.3</v>
      </c>
      <c r="AZ95" s="4"/>
      <c r="BA95" s="22">
        <v>117</v>
      </c>
      <c r="BB95" s="4"/>
      <c r="BC95" s="4"/>
      <c r="BD95" s="18">
        <v>26.7</v>
      </c>
      <c r="BE95" s="18">
        <v>1010</v>
      </c>
      <c r="BF95" s="18">
        <v>46.7</v>
      </c>
      <c r="BG95" s="4"/>
      <c r="BH95" s="4"/>
      <c r="BI95" s="4"/>
      <c r="BJ95" s="3" t="s">
        <v>177</v>
      </c>
      <c r="BK95"/>
      <c r="BL95"/>
      <c r="BM95"/>
      <c r="BR95"/>
    </row>
    <row r="96" spans="1:70" ht="28.5" x14ac:dyDescent="0.45">
      <c r="A96" s="2" t="s">
        <v>13</v>
      </c>
      <c r="B96" s="54" t="s">
        <v>17</v>
      </c>
      <c r="C96" s="3">
        <v>45232</v>
      </c>
      <c r="D96" s="8">
        <v>5</v>
      </c>
      <c r="E96" s="2" t="s">
        <v>212</v>
      </c>
      <c r="F96" s="4" t="s">
        <v>89</v>
      </c>
      <c r="G96" s="4" t="s">
        <v>577</v>
      </c>
      <c r="H96" s="4" t="s">
        <v>378</v>
      </c>
      <c r="I96" s="7">
        <v>0.16719999999999999</v>
      </c>
      <c r="J96" s="7">
        <v>0.16719999999999999</v>
      </c>
      <c r="K96" s="7">
        <v>6.3E-3</v>
      </c>
      <c r="L96" s="7"/>
      <c r="M96" s="7">
        <v>0.16980000000000001</v>
      </c>
      <c r="N96" s="7">
        <v>-0.34</v>
      </c>
      <c r="O96" s="4"/>
      <c r="P96" s="7">
        <v>1.2755000000000001</v>
      </c>
      <c r="T96" s="7">
        <v>64.2</v>
      </c>
      <c r="U96" s="7">
        <v>600</v>
      </c>
      <c r="V96" s="7">
        <v>750</v>
      </c>
      <c r="W96" s="4"/>
      <c r="X96" s="4"/>
      <c r="Y96" s="4" t="s">
        <v>78</v>
      </c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  <c r="AP96" s="4"/>
      <c r="AQ96" s="4"/>
      <c r="AR96" s="4"/>
      <c r="AS96" s="4"/>
      <c r="AT96" s="4"/>
      <c r="AU96" s="4"/>
      <c r="AV96" s="4"/>
      <c r="AW96" s="4"/>
      <c r="AX96" s="4"/>
      <c r="AY96" s="4">
        <v>74.8</v>
      </c>
      <c r="AZ96" s="4"/>
      <c r="BA96" s="4">
        <v>111.6</v>
      </c>
      <c r="BB96" s="4"/>
      <c r="BC96" s="4"/>
      <c r="BD96" s="18">
        <v>26.7</v>
      </c>
      <c r="BE96" s="18">
        <v>1010</v>
      </c>
      <c r="BF96" s="18">
        <v>46.7</v>
      </c>
      <c r="BG96" s="4"/>
      <c r="BH96" s="4"/>
      <c r="BI96" s="4"/>
      <c r="BJ96" s="3" t="s">
        <v>198</v>
      </c>
      <c r="BK96"/>
      <c r="BL96"/>
      <c r="BM96"/>
      <c r="BR96"/>
    </row>
    <row r="97" spans="1:70" ht="28.5" x14ac:dyDescent="0.45">
      <c r="A97" s="2" t="s">
        <v>13</v>
      </c>
      <c r="B97" s="54" t="s">
        <v>17</v>
      </c>
      <c r="C97" s="3">
        <v>45232</v>
      </c>
      <c r="D97" s="8">
        <v>6</v>
      </c>
      <c r="E97" s="2" t="s">
        <v>212</v>
      </c>
      <c r="F97" s="4" t="s">
        <v>89</v>
      </c>
      <c r="G97" s="4" t="s">
        <v>577</v>
      </c>
      <c r="H97" s="4" t="s">
        <v>223</v>
      </c>
      <c r="I97" s="7">
        <v>0.17050000000000001</v>
      </c>
      <c r="J97" s="7">
        <v>0.17050000000000001</v>
      </c>
      <c r="K97" s="7">
        <v>5.3E-3</v>
      </c>
      <c r="L97" s="7"/>
      <c r="M97" s="7">
        <v>0.1691</v>
      </c>
      <c r="N97" s="7">
        <v>-0.33</v>
      </c>
      <c r="O97" s="4"/>
      <c r="P97" s="7">
        <v>1.2755000000000001</v>
      </c>
      <c r="T97" s="7">
        <v>65.2</v>
      </c>
      <c r="U97" s="7">
        <v>590</v>
      </c>
      <c r="V97" s="7">
        <v>750</v>
      </c>
      <c r="W97" s="4"/>
      <c r="X97" s="4"/>
      <c r="Y97" s="4" t="s">
        <v>78</v>
      </c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  <c r="AP97" s="4"/>
      <c r="AQ97" s="4"/>
      <c r="AR97" s="4"/>
      <c r="AS97" s="4"/>
      <c r="AT97" s="4"/>
      <c r="AU97" s="4"/>
      <c r="AV97" s="4"/>
      <c r="AW97" s="4"/>
      <c r="AX97" s="4"/>
      <c r="AY97" s="4">
        <v>79.900000000000006</v>
      </c>
      <c r="AZ97" s="4"/>
      <c r="BA97" s="22">
        <v>117</v>
      </c>
      <c r="BB97" s="4"/>
      <c r="BC97" s="4"/>
      <c r="BD97" s="18">
        <v>26.7</v>
      </c>
      <c r="BE97" s="18">
        <v>1010</v>
      </c>
      <c r="BF97" s="18">
        <v>46.7</v>
      </c>
      <c r="BG97" s="4"/>
      <c r="BH97" s="4"/>
      <c r="BI97" s="4"/>
      <c r="BJ97" s="3" t="s">
        <v>178</v>
      </c>
      <c r="BK97"/>
      <c r="BL97"/>
      <c r="BM97"/>
      <c r="BR97"/>
    </row>
    <row r="98" spans="1:70" ht="28.5" x14ac:dyDescent="0.45">
      <c r="A98" s="2" t="s">
        <v>13</v>
      </c>
      <c r="B98" s="54" t="s">
        <v>17</v>
      </c>
      <c r="C98" s="3">
        <v>45232</v>
      </c>
      <c r="D98" s="8">
        <v>7</v>
      </c>
      <c r="E98" s="2" t="s">
        <v>212</v>
      </c>
      <c r="F98" s="4" t="s">
        <v>89</v>
      </c>
      <c r="G98" s="4" t="s">
        <v>577</v>
      </c>
      <c r="H98" s="4" t="s">
        <v>571</v>
      </c>
      <c r="I98" s="7">
        <v>0.16789999999999999</v>
      </c>
      <c r="J98" s="7">
        <v>0.16789999999999999</v>
      </c>
      <c r="K98" s="7">
        <v>2.3E-3</v>
      </c>
      <c r="L98" s="7"/>
      <c r="M98" s="7">
        <v>0.1699</v>
      </c>
      <c r="N98" s="7">
        <v>-0.3</v>
      </c>
      <c r="O98" s="4"/>
      <c r="P98" s="7">
        <v>1.2755000000000001</v>
      </c>
      <c r="T98" s="7">
        <v>65.2</v>
      </c>
      <c r="U98" s="7">
        <v>605</v>
      </c>
      <c r="V98" s="7">
        <v>750</v>
      </c>
      <c r="W98" s="4"/>
      <c r="X98" s="4"/>
      <c r="Y98" s="4" t="s">
        <v>78</v>
      </c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4"/>
      <c r="AP98" s="4"/>
      <c r="AQ98" s="4"/>
      <c r="AR98" s="4"/>
      <c r="AS98" s="4"/>
      <c r="AT98" s="4"/>
      <c r="AU98" s="4"/>
      <c r="AV98" s="4"/>
      <c r="AW98" s="4"/>
      <c r="AX98" s="4"/>
      <c r="AY98" s="4">
        <v>85.3</v>
      </c>
      <c r="AZ98" s="4"/>
      <c r="BA98" s="22">
        <v>117</v>
      </c>
      <c r="BB98" s="4"/>
      <c r="BC98" s="4"/>
      <c r="BD98" s="18">
        <v>26.7</v>
      </c>
      <c r="BE98" s="18">
        <v>1010</v>
      </c>
      <c r="BF98" s="18">
        <v>46.7</v>
      </c>
      <c r="BG98" s="4"/>
      <c r="BH98" s="4"/>
      <c r="BI98" s="4"/>
      <c r="BJ98" s="3" t="s">
        <v>179</v>
      </c>
      <c r="BK98"/>
      <c r="BL98"/>
      <c r="BM98"/>
      <c r="BR98"/>
    </row>
    <row r="99" spans="1:70" ht="28.5" x14ac:dyDescent="0.45">
      <c r="A99" s="2" t="s">
        <v>43</v>
      </c>
      <c r="B99" s="54" t="s">
        <v>79</v>
      </c>
      <c r="C99" s="3">
        <v>45232</v>
      </c>
      <c r="D99" s="8">
        <v>1</v>
      </c>
      <c r="E99" s="2" t="s">
        <v>547</v>
      </c>
      <c r="F99" s="4" t="s">
        <v>562</v>
      </c>
      <c r="G99" s="4" t="s">
        <v>15</v>
      </c>
      <c r="H99" s="4" t="s">
        <v>223</v>
      </c>
      <c r="I99" s="7">
        <v>0.1477</v>
      </c>
      <c r="J99" s="7">
        <v>0.1477</v>
      </c>
      <c r="K99" s="7">
        <v>1.2800000000000001E-2</v>
      </c>
      <c r="L99" s="7"/>
      <c r="M99" s="7">
        <v>0.1439</v>
      </c>
      <c r="N99" s="7">
        <v>-0.35</v>
      </c>
      <c r="O99" s="4"/>
      <c r="P99" s="7">
        <v>1.292</v>
      </c>
      <c r="T99" s="7">
        <v>60.5</v>
      </c>
      <c r="U99" s="7">
        <v>431</v>
      </c>
      <c r="V99" s="7">
        <v>750</v>
      </c>
      <c r="W99" s="4"/>
      <c r="X99" s="4"/>
      <c r="Y99" s="4" t="s">
        <v>78</v>
      </c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  <c r="AP99" s="4"/>
      <c r="AQ99" s="4"/>
      <c r="AR99" s="4"/>
      <c r="AS99" s="4"/>
      <c r="AT99" s="4"/>
      <c r="AU99" s="4"/>
      <c r="AV99" s="4"/>
      <c r="AW99" s="4"/>
      <c r="AX99" s="4"/>
      <c r="AY99" s="4">
        <v>80.2</v>
      </c>
      <c r="AZ99" s="4"/>
      <c r="BA99" s="4">
        <v>111.6</v>
      </c>
      <c r="BB99" s="4"/>
      <c r="BC99" s="4"/>
      <c r="BD99" s="4">
        <v>23.9</v>
      </c>
      <c r="BE99" s="4">
        <v>1010</v>
      </c>
      <c r="BF99" s="63">
        <v>48.2</v>
      </c>
      <c r="BG99" s="63"/>
      <c r="BH99" s="4"/>
      <c r="BI99" s="4"/>
      <c r="BJ99" s="3" t="s">
        <v>193</v>
      </c>
      <c r="BK99"/>
      <c r="BL99"/>
      <c r="BM99"/>
      <c r="BR99"/>
    </row>
    <row r="100" spans="1:70" ht="28.5" x14ac:dyDescent="0.45">
      <c r="A100" s="2" t="s">
        <v>43</v>
      </c>
      <c r="B100" s="54" t="s">
        <v>79</v>
      </c>
      <c r="C100" s="3">
        <v>45232</v>
      </c>
      <c r="D100" s="8">
        <v>2</v>
      </c>
      <c r="E100" s="2" t="s">
        <v>547</v>
      </c>
      <c r="F100" s="4" t="s">
        <v>216</v>
      </c>
      <c r="G100" s="4" t="s">
        <v>15</v>
      </c>
      <c r="H100" s="4" t="s">
        <v>223</v>
      </c>
      <c r="I100" s="7">
        <v>0.14399999999999999</v>
      </c>
      <c r="J100" s="7">
        <v>0.14399999999999999</v>
      </c>
      <c r="K100" s="7">
        <v>1.8E-3</v>
      </c>
      <c r="L100" s="7"/>
      <c r="M100" s="7">
        <v>0.1457</v>
      </c>
      <c r="N100" s="7">
        <v>-0.35</v>
      </c>
      <c r="O100" s="4"/>
      <c r="P100" s="7">
        <v>1.292</v>
      </c>
      <c r="T100" s="7">
        <v>59</v>
      </c>
      <c r="U100" s="7">
        <v>395</v>
      </c>
      <c r="V100" s="7">
        <v>750</v>
      </c>
      <c r="W100" s="4"/>
      <c r="X100" s="4"/>
      <c r="Y100" s="4" t="s">
        <v>78</v>
      </c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  <c r="AP100" s="4"/>
      <c r="AQ100" s="4"/>
      <c r="AR100" s="4"/>
      <c r="AS100" s="4"/>
      <c r="AT100" s="4"/>
      <c r="AU100" s="4"/>
      <c r="AV100" s="4"/>
      <c r="AW100" s="4"/>
      <c r="AX100" s="4"/>
      <c r="AY100" s="4">
        <v>85.5</v>
      </c>
      <c r="AZ100" s="4"/>
      <c r="BA100" s="22">
        <v>117</v>
      </c>
      <c r="BB100" s="4"/>
      <c r="BC100" s="4"/>
      <c r="BD100" s="4">
        <v>23.9</v>
      </c>
      <c r="BE100" s="4">
        <v>1010</v>
      </c>
      <c r="BF100" s="63">
        <v>48.2</v>
      </c>
      <c r="BG100" s="63"/>
      <c r="BH100" s="4"/>
      <c r="BI100" s="13" t="s">
        <v>95</v>
      </c>
      <c r="BJ100" s="3" t="s">
        <v>194</v>
      </c>
      <c r="BK100"/>
      <c r="BL100"/>
      <c r="BM100"/>
      <c r="BR100"/>
    </row>
    <row r="101" spans="1:70" ht="28.5" x14ac:dyDescent="0.45">
      <c r="A101" s="2" t="s">
        <v>43</v>
      </c>
      <c r="B101" s="54" t="s">
        <v>79</v>
      </c>
      <c r="C101" s="3">
        <v>45232</v>
      </c>
      <c r="D101" s="8">
        <v>3</v>
      </c>
      <c r="E101" s="2" t="s">
        <v>547</v>
      </c>
      <c r="F101" s="4" t="s">
        <v>559</v>
      </c>
      <c r="G101" s="4" t="s">
        <v>15</v>
      </c>
      <c r="H101" s="4" t="s">
        <v>223</v>
      </c>
      <c r="I101" s="7">
        <v>0.1454</v>
      </c>
      <c r="J101" s="7">
        <v>0.1454</v>
      </c>
      <c r="K101" s="7">
        <v>2.3999999999999998E-3</v>
      </c>
      <c r="L101" s="7"/>
      <c r="M101" s="7">
        <v>0.14610000000000001</v>
      </c>
      <c r="N101" s="7">
        <v>-0.32</v>
      </c>
      <c r="O101" s="4"/>
      <c r="P101" s="7">
        <v>1.292</v>
      </c>
      <c r="T101" s="7">
        <v>59.8</v>
      </c>
      <c r="U101" s="7">
        <v>411</v>
      </c>
      <c r="V101" s="7">
        <v>750</v>
      </c>
      <c r="W101" s="4"/>
      <c r="X101" s="4"/>
      <c r="Y101" s="4" t="s">
        <v>78</v>
      </c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  <c r="AP101" s="4"/>
      <c r="AQ101" s="4"/>
      <c r="AR101" s="4"/>
      <c r="AS101" s="4"/>
      <c r="AT101" s="4"/>
      <c r="AU101" s="4"/>
      <c r="AV101" s="4"/>
      <c r="AW101" s="4"/>
      <c r="AX101" s="4"/>
      <c r="AY101" s="4">
        <v>75.5</v>
      </c>
      <c r="AZ101" s="4"/>
      <c r="BA101" s="4">
        <v>111.6</v>
      </c>
      <c r="BB101" s="4"/>
      <c r="BC101" s="4"/>
      <c r="BD101" s="4">
        <v>23.9</v>
      </c>
      <c r="BE101" s="4">
        <v>1010</v>
      </c>
      <c r="BF101" s="63">
        <v>48.2</v>
      </c>
      <c r="BG101" s="63"/>
      <c r="BH101" s="4"/>
      <c r="BI101" s="4"/>
      <c r="BJ101" s="3" t="s">
        <v>195</v>
      </c>
      <c r="BK101"/>
      <c r="BL101"/>
      <c r="BM101"/>
      <c r="BR101"/>
    </row>
    <row r="102" spans="1:70" ht="42.75" x14ac:dyDescent="0.45">
      <c r="A102" s="2" t="s">
        <v>43</v>
      </c>
      <c r="B102" s="54" t="s">
        <v>79</v>
      </c>
      <c r="C102" s="3">
        <v>45232</v>
      </c>
      <c r="D102" s="8">
        <v>4</v>
      </c>
      <c r="E102" s="2" t="s">
        <v>547</v>
      </c>
      <c r="F102" s="4" t="s">
        <v>562</v>
      </c>
      <c r="G102" s="4" t="s">
        <v>15</v>
      </c>
      <c r="H102" s="4" t="s">
        <v>223</v>
      </c>
      <c r="I102" s="48"/>
      <c r="J102" s="48"/>
      <c r="K102" s="48"/>
      <c r="L102" s="7"/>
      <c r="M102" s="7">
        <v>0.1439</v>
      </c>
      <c r="O102" s="4"/>
      <c r="P102" s="7">
        <v>1.292</v>
      </c>
      <c r="T102" s="7">
        <v>60.1</v>
      </c>
      <c r="U102" s="7">
        <v>412</v>
      </c>
      <c r="V102" s="7">
        <v>750</v>
      </c>
      <c r="W102" s="4"/>
      <c r="X102" s="4"/>
      <c r="Y102" s="4" t="s">
        <v>78</v>
      </c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  <c r="AR102" s="4"/>
      <c r="AS102" s="4"/>
      <c r="AT102" s="4"/>
      <c r="AU102" s="4"/>
      <c r="AV102" s="4"/>
      <c r="AW102" s="4"/>
      <c r="AX102" s="4"/>
      <c r="AY102" s="4">
        <v>80.2</v>
      </c>
      <c r="AZ102" s="4"/>
      <c r="BA102" s="4">
        <v>111.6</v>
      </c>
      <c r="BB102" s="4"/>
      <c r="BC102" s="4"/>
      <c r="BD102" s="4">
        <v>24.1</v>
      </c>
      <c r="BE102" s="4">
        <v>1010</v>
      </c>
      <c r="BF102" s="63">
        <v>48.2</v>
      </c>
      <c r="BG102" s="63"/>
      <c r="BH102" s="4"/>
      <c r="BI102" s="4" t="s">
        <v>94</v>
      </c>
      <c r="BJ102" s="3" t="s">
        <v>184</v>
      </c>
      <c r="BK102"/>
      <c r="BL102"/>
      <c r="BM102"/>
      <c r="BR102"/>
    </row>
    <row r="103" spans="1:70" ht="28.5" x14ac:dyDescent="0.45">
      <c r="A103" s="2" t="s">
        <v>43</v>
      </c>
      <c r="B103" s="54" t="s">
        <v>79</v>
      </c>
      <c r="C103" s="3">
        <v>45232</v>
      </c>
      <c r="D103" s="8">
        <v>5</v>
      </c>
      <c r="E103" s="2" t="s">
        <v>547</v>
      </c>
      <c r="F103" s="4" t="s">
        <v>216</v>
      </c>
      <c r="G103" s="4" t="s">
        <v>15</v>
      </c>
      <c r="H103" s="4" t="s">
        <v>223</v>
      </c>
      <c r="I103" s="7">
        <v>0.14360000000000001</v>
      </c>
      <c r="J103" s="7">
        <v>0.14360000000000001</v>
      </c>
      <c r="K103" s="7">
        <v>2.5999999999999999E-3</v>
      </c>
      <c r="L103" s="7"/>
      <c r="M103" s="7">
        <v>0.14710000000000001</v>
      </c>
      <c r="N103" s="7">
        <v>-0.32</v>
      </c>
      <c r="O103" s="4"/>
      <c r="P103" s="7">
        <v>1.292</v>
      </c>
      <c r="T103" s="7">
        <v>60.4</v>
      </c>
      <c r="U103" s="7">
        <v>429</v>
      </c>
      <c r="V103" s="7">
        <v>750</v>
      </c>
      <c r="W103" s="4"/>
      <c r="X103" s="4"/>
      <c r="Y103" s="4" t="s">
        <v>78</v>
      </c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4"/>
      <c r="AT103" s="4"/>
      <c r="AU103" s="4"/>
      <c r="AV103" s="4"/>
      <c r="AW103" s="4"/>
      <c r="AX103" s="4"/>
      <c r="AY103" s="4">
        <v>85.4</v>
      </c>
      <c r="AZ103" s="4"/>
      <c r="BA103" s="22">
        <v>117</v>
      </c>
      <c r="BB103" s="4"/>
      <c r="BC103" s="4"/>
      <c r="BD103" s="4">
        <v>24.1</v>
      </c>
      <c r="BE103" s="4">
        <v>1010</v>
      </c>
      <c r="BF103" s="63">
        <v>48.2</v>
      </c>
      <c r="BG103" s="63"/>
      <c r="BH103" s="4"/>
      <c r="BI103" s="4"/>
      <c r="BJ103" s="3" t="s">
        <v>185</v>
      </c>
      <c r="BK103"/>
      <c r="BL103"/>
      <c r="BM103"/>
      <c r="BR103"/>
    </row>
    <row r="104" spans="1:70" ht="28.5" x14ac:dyDescent="0.45">
      <c r="A104" s="2" t="s">
        <v>43</v>
      </c>
      <c r="B104" s="54" t="s">
        <v>79</v>
      </c>
      <c r="C104" s="3">
        <v>45232</v>
      </c>
      <c r="D104" s="8">
        <v>6</v>
      </c>
      <c r="E104" s="2" t="s">
        <v>547</v>
      </c>
      <c r="F104" s="4" t="s">
        <v>559</v>
      </c>
      <c r="G104" s="4" t="s">
        <v>15</v>
      </c>
      <c r="H104" s="4" t="s">
        <v>223</v>
      </c>
      <c r="I104" s="7">
        <v>0.14560000000000001</v>
      </c>
      <c r="J104" s="7">
        <v>0.14560000000000001</v>
      </c>
      <c r="K104" s="7">
        <v>1.9E-3</v>
      </c>
      <c r="L104" s="7"/>
      <c r="M104" s="7">
        <v>0.14660000000000001</v>
      </c>
      <c r="N104" s="7">
        <v>-0.31</v>
      </c>
      <c r="O104" s="4"/>
      <c r="P104" s="7">
        <v>1.292</v>
      </c>
      <c r="T104" s="7">
        <v>60.2</v>
      </c>
      <c r="U104" s="7">
        <v>418</v>
      </c>
      <c r="V104" s="7">
        <v>750</v>
      </c>
      <c r="W104" s="4"/>
      <c r="X104" s="4"/>
      <c r="Y104" s="4" t="s">
        <v>78</v>
      </c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  <c r="AR104" s="4"/>
      <c r="AS104" s="4"/>
      <c r="AT104" s="4"/>
      <c r="AU104" s="4"/>
      <c r="AV104" s="4"/>
      <c r="AW104" s="4"/>
      <c r="AX104" s="4"/>
      <c r="AY104" s="4">
        <v>75.400000000000006</v>
      </c>
      <c r="AZ104" s="4"/>
      <c r="BA104" s="4">
        <v>111.6</v>
      </c>
      <c r="BB104" s="4"/>
      <c r="BC104" s="4"/>
      <c r="BD104" s="4">
        <v>24.1</v>
      </c>
      <c r="BE104" s="4">
        <v>1010</v>
      </c>
      <c r="BF104" s="63">
        <v>48.2</v>
      </c>
      <c r="BG104" s="63"/>
      <c r="BH104" s="4"/>
      <c r="BI104" s="13" t="s">
        <v>97</v>
      </c>
      <c r="BJ104" s="3" t="s">
        <v>186</v>
      </c>
      <c r="BK104"/>
      <c r="BL104"/>
      <c r="BM104"/>
      <c r="BR104"/>
    </row>
    <row r="105" spans="1:70" ht="28.5" x14ac:dyDescent="0.45">
      <c r="A105" s="2" t="s">
        <v>13</v>
      </c>
      <c r="B105" s="54" t="s">
        <v>28</v>
      </c>
      <c r="C105" s="3">
        <v>45232</v>
      </c>
      <c r="D105" s="8">
        <v>1</v>
      </c>
      <c r="E105" s="2" t="s">
        <v>212</v>
      </c>
      <c r="F105" s="4" t="s">
        <v>15</v>
      </c>
      <c r="G105" s="4" t="s">
        <v>577</v>
      </c>
      <c r="H105" s="4" t="s">
        <v>571</v>
      </c>
      <c r="I105" s="7">
        <v>0.15620000000000001</v>
      </c>
      <c r="J105" s="7">
        <v>0.15620000000000001</v>
      </c>
      <c r="K105" s="7">
        <v>2.7000000000000001E-3</v>
      </c>
      <c r="L105" s="7"/>
      <c r="M105" s="7">
        <v>0.15770000000000001</v>
      </c>
      <c r="N105" s="7">
        <v>-0.28999999999999998</v>
      </c>
      <c r="O105" s="4"/>
      <c r="P105" s="7">
        <v>1.26</v>
      </c>
      <c r="T105" s="7">
        <v>65.5</v>
      </c>
      <c r="U105" s="7">
        <v>595</v>
      </c>
      <c r="V105" s="7">
        <v>750</v>
      </c>
      <c r="W105" s="4"/>
      <c r="X105" s="4"/>
      <c r="Y105" s="4" t="s">
        <v>78</v>
      </c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4"/>
      <c r="AR105" s="4"/>
      <c r="AS105" s="4"/>
      <c r="AT105" s="4"/>
      <c r="AU105" s="4"/>
      <c r="AV105" s="4"/>
      <c r="AW105" s="4"/>
      <c r="AX105" s="4"/>
      <c r="AY105" s="4">
        <v>79.900000000000006</v>
      </c>
      <c r="AZ105" s="4"/>
      <c r="BA105" s="4">
        <v>111.6</v>
      </c>
      <c r="BB105" s="4"/>
      <c r="BC105" s="4"/>
      <c r="BD105" s="4">
        <v>24.8</v>
      </c>
      <c r="BE105" s="4">
        <v>1010</v>
      </c>
      <c r="BF105" s="63">
        <v>47</v>
      </c>
      <c r="BG105" s="63"/>
      <c r="BH105" s="4"/>
      <c r="BI105" s="4"/>
      <c r="BJ105" s="3" t="s">
        <v>187</v>
      </c>
      <c r="BK105"/>
      <c r="BL105"/>
      <c r="BM105"/>
      <c r="BR105"/>
    </row>
    <row r="106" spans="1:70" ht="28.5" x14ac:dyDescent="0.45">
      <c r="A106" s="2" t="s">
        <v>13</v>
      </c>
      <c r="B106" s="54" t="s">
        <v>28</v>
      </c>
      <c r="C106" s="3">
        <v>45232</v>
      </c>
      <c r="D106" s="8">
        <v>2</v>
      </c>
      <c r="E106" s="2" t="s">
        <v>213</v>
      </c>
      <c r="F106" s="4" t="s">
        <v>15</v>
      </c>
      <c r="G106" s="4" t="s">
        <v>577</v>
      </c>
      <c r="H106" s="4" t="s">
        <v>571</v>
      </c>
      <c r="I106" s="7">
        <v>0.15720000000000001</v>
      </c>
      <c r="J106" s="7">
        <v>0.1535</v>
      </c>
      <c r="K106" s="7">
        <v>3.5999999999999999E-3</v>
      </c>
      <c r="L106" s="7"/>
      <c r="M106" s="7">
        <v>0.15590000000000001</v>
      </c>
      <c r="N106" s="7">
        <v>-0.47</v>
      </c>
      <c r="O106" s="4"/>
      <c r="P106" s="7">
        <v>1.26</v>
      </c>
      <c r="T106" s="7">
        <v>65.2</v>
      </c>
      <c r="U106" s="7">
        <v>551</v>
      </c>
      <c r="V106" s="7">
        <v>750</v>
      </c>
      <c r="W106" s="4"/>
      <c r="X106" s="4"/>
      <c r="Y106" s="4" t="s">
        <v>78</v>
      </c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/>
      <c r="AP106" s="4"/>
      <c r="AQ106" s="4"/>
      <c r="AR106" s="4"/>
      <c r="AS106" s="4"/>
      <c r="AT106" s="4"/>
      <c r="AU106" s="4"/>
      <c r="AV106" s="4"/>
      <c r="AW106" s="4"/>
      <c r="AX106" s="4"/>
      <c r="AY106" s="4">
        <v>85.4</v>
      </c>
      <c r="AZ106" s="4"/>
      <c r="BA106" s="22">
        <v>117</v>
      </c>
      <c r="BB106" s="4"/>
      <c r="BC106" s="4"/>
      <c r="BD106" s="4">
        <v>24.8</v>
      </c>
      <c r="BE106" s="4">
        <v>1010</v>
      </c>
      <c r="BF106" s="63">
        <v>47</v>
      </c>
      <c r="BG106" s="63"/>
      <c r="BH106" s="4"/>
      <c r="BI106" s="4"/>
      <c r="BJ106" s="3" t="s">
        <v>188</v>
      </c>
      <c r="BK106"/>
      <c r="BL106"/>
      <c r="BM106"/>
      <c r="BR106"/>
    </row>
    <row r="107" spans="1:70" ht="28.5" x14ac:dyDescent="0.45">
      <c r="A107" s="2" t="s">
        <v>13</v>
      </c>
      <c r="B107" s="54" t="s">
        <v>28</v>
      </c>
      <c r="C107" s="3">
        <v>45232</v>
      </c>
      <c r="D107" s="8">
        <v>3</v>
      </c>
      <c r="E107" s="2" t="s">
        <v>214</v>
      </c>
      <c r="F107" s="4" t="s">
        <v>15</v>
      </c>
      <c r="G107" s="4" t="s">
        <v>577</v>
      </c>
      <c r="H107" s="4" t="s">
        <v>571</v>
      </c>
      <c r="I107" s="7">
        <v>0.1552</v>
      </c>
      <c r="J107" s="7">
        <v>0.15179999999999999</v>
      </c>
      <c r="K107" s="7">
        <v>2.5000000000000001E-3</v>
      </c>
      <c r="L107" s="7"/>
      <c r="M107" s="7">
        <v>0.15570000000000001</v>
      </c>
      <c r="N107" s="7">
        <v>-0.43</v>
      </c>
      <c r="O107" s="4"/>
      <c r="P107" s="7">
        <v>1.26</v>
      </c>
      <c r="T107" s="7">
        <v>65.2</v>
      </c>
      <c r="U107" s="7">
        <v>568</v>
      </c>
      <c r="V107" s="7">
        <v>750</v>
      </c>
      <c r="W107" s="4"/>
      <c r="X107" s="4"/>
      <c r="Y107" s="4" t="s">
        <v>78</v>
      </c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4"/>
      <c r="AP107" s="4"/>
      <c r="AQ107" s="4"/>
      <c r="AR107" s="4"/>
      <c r="AS107" s="4"/>
      <c r="AT107" s="4"/>
      <c r="AU107" s="4"/>
      <c r="AV107" s="4"/>
      <c r="AW107" s="4"/>
      <c r="AX107" s="4"/>
      <c r="AY107" s="4">
        <v>75.3</v>
      </c>
      <c r="AZ107" s="4"/>
      <c r="BA107" s="4">
        <v>111.6</v>
      </c>
      <c r="BB107" s="4"/>
      <c r="BC107" s="4"/>
      <c r="BD107" s="4">
        <v>24.8</v>
      </c>
      <c r="BE107" s="4">
        <v>1010</v>
      </c>
      <c r="BF107" s="63">
        <v>47</v>
      </c>
      <c r="BG107" s="63"/>
      <c r="BH107" s="4"/>
      <c r="BI107" s="4"/>
      <c r="BJ107" s="3" t="s">
        <v>189</v>
      </c>
      <c r="BK107"/>
      <c r="BL107"/>
      <c r="BM107"/>
      <c r="BR107"/>
    </row>
    <row r="108" spans="1:70" ht="28.5" x14ac:dyDescent="0.45">
      <c r="A108" s="2" t="s">
        <v>13</v>
      </c>
      <c r="B108" s="54" t="s">
        <v>28</v>
      </c>
      <c r="C108" s="3">
        <v>45232</v>
      </c>
      <c r="D108" s="8">
        <v>4</v>
      </c>
      <c r="E108" s="2" t="s">
        <v>212</v>
      </c>
      <c r="F108" s="4" t="s">
        <v>15</v>
      </c>
      <c r="G108" s="4" t="s">
        <v>577</v>
      </c>
      <c r="H108" s="4" t="s">
        <v>571</v>
      </c>
      <c r="I108" s="7">
        <v>0.158</v>
      </c>
      <c r="J108" s="7">
        <v>0.158</v>
      </c>
      <c r="K108" s="7">
        <v>3.3999999999999998E-3</v>
      </c>
      <c r="L108" s="7"/>
      <c r="M108" s="7">
        <v>0.16070000000000001</v>
      </c>
      <c r="N108" s="7">
        <v>-0.26</v>
      </c>
      <c r="O108" s="4"/>
      <c r="P108" s="7">
        <v>1.26</v>
      </c>
      <c r="T108" s="7">
        <v>65.2</v>
      </c>
      <c r="U108" s="7">
        <v>588</v>
      </c>
      <c r="V108" s="7">
        <v>750</v>
      </c>
      <c r="W108" s="4"/>
      <c r="X108" s="4"/>
      <c r="Y108" s="4" t="s">
        <v>78</v>
      </c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  <c r="AP108" s="4"/>
      <c r="AQ108" s="4"/>
      <c r="AR108" s="4"/>
      <c r="AS108" s="4"/>
      <c r="AT108" s="4"/>
      <c r="AU108" s="4"/>
      <c r="AV108" s="4"/>
      <c r="AW108" s="4"/>
      <c r="AX108" s="4"/>
      <c r="AY108" s="4">
        <v>79.8</v>
      </c>
      <c r="AZ108" s="4"/>
      <c r="BA108" s="4">
        <v>111.6</v>
      </c>
      <c r="BB108" s="4"/>
      <c r="BC108" s="4"/>
      <c r="BD108" s="4">
        <v>24.8</v>
      </c>
      <c r="BE108" s="4">
        <v>1010</v>
      </c>
      <c r="BF108" s="63">
        <v>47</v>
      </c>
      <c r="BG108" s="63"/>
      <c r="BH108" s="4"/>
      <c r="BI108" s="4"/>
      <c r="BJ108" s="3" t="s">
        <v>190</v>
      </c>
      <c r="BK108"/>
      <c r="BL108"/>
      <c r="BM108"/>
      <c r="BR108"/>
    </row>
    <row r="109" spans="1:70" ht="28.5" x14ac:dyDescent="0.45">
      <c r="A109" s="2" t="s">
        <v>13</v>
      </c>
      <c r="B109" s="54" t="s">
        <v>28</v>
      </c>
      <c r="C109" s="3">
        <v>45232</v>
      </c>
      <c r="D109" s="8">
        <v>5</v>
      </c>
      <c r="E109" s="2" t="s">
        <v>213</v>
      </c>
      <c r="F109" s="4" t="s">
        <v>15</v>
      </c>
      <c r="G109" s="4" t="s">
        <v>577</v>
      </c>
      <c r="H109" s="4" t="s">
        <v>571</v>
      </c>
      <c r="I109" s="7">
        <v>0.15709999999999999</v>
      </c>
      <c r="J109" s="7">
        <v>0.15340000000000001</v>
      </c>
      <c r="K109" s="7">
        <v>5.4999999999999997E-3</v>
      </c>
      <c r="L109" s="7"/>
      <c r="M109" s="7">
        <v>0.15529999999999999</v>
      </c>
      <c r="N109" s="7">
        <v>-0.45</v>
      </c>
      <c r="O109" s="4"/>
      <c r="P109" s="7">
        <v>1.26</v>
      </c>
      <c r="T109" s="7">
        <v>64.7</v>
      </c>
      <c r="U109" s="7">
        <v>546</v>
      </c>
      <c r="V109" s="7">
        <v>750</v>
      </c>
      <c r="W109" s="4"/>
      <c r="X109" s="4"/>
      <c r="Y109" s="4" t="s">
        <v>78</v>
      </c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  <c r="AR109" s="4"/>
      <c r="AS109" s="4"/>
      <c r="AT109" s="4"/>
      <c r="AU109" s="4"/>
      <c r="AV109" s="4"/>
      <c r="AW109" s="4"/>
      <c r="AX109" s="4"/>
      <c r="AY109" s="4">
        <v>85.2</v>
      </c>
      <c r="AZ109" s="4"/>
      <c r="BA109" s="22">
        <v>117</v>
      </c>
      <c r="BB109" s="4"/>
      <c r="BC109" s="4"/>
      <c r="BD109" s="4">
        <v>24.8</v>
      </c>
      <c r="BE109" s="4">
        <v>1010</v>
      </c>
      <c r="BF109" s="63">
        <v>47</v>
      </c>
      <c r="BG109" s="63"/>
      <c r="BH109" s="4"/>
      <c r="BI109" s="4"/>
      <c r="BJ109" s="3" t="s">
        <v>191</v>
      </c>
      <c r="BK109"/>
      <c r="BL109"/>
      <c r="BM109"/>
      <c r="BR109"/>
    </row>
    <row r="110" spans="1:70" ht="28.5" x14ac:dyDescent="0.45">
      <c r="A110" s="2" t="s">
        <v>13</v>
      </c>
      <c r="B110" s="54" t="s">
        <v>28</v>
      </c>
      <c r="C110" s="3">
        <v>45232</v>
      </c>
      <c r="D110" s="8">
        <v>6</v>
      </c>
      <c r="E110" s="2" t="s">
        <v>214</v>
      </c>
      <c r="F110" s="4" t="s">
        <v>15</v>
      </c>
      <c r="G110" s="4" t="s">
        <v>577</v>
      </c>
      <c r="H110" s="4" t="s">
        <v>571</v>
      </c>
      <c r="I110" s="7">
        <v>0.15620000000000001</v>
      </c>
      <c r="J110" s="7">
        <v>0.15279999999999999</v>
      </c>
      <c r="K110" s="7">
        <v>1.2999999999999999E-3</v>
      </c>
      <c r="L110" s="7"/>
      <c r="M110" s="7">
        <v>0.15540000000000001</v>
      </c>
      <c r="N110" s="7">
        <v>-0.46</v>
      </c>
      <c r="O110" s="4"/>
      <c r="P110" s="7">
        <v>1.26</v>
      </c>
      <c r="T110" s="7">
        <v>65.400000000000006</v>
      </c>
      <c r="U110" s="7">
        <v>553</v>
      </c>
      <c r="V110" s="7">
        <v>750</v>
      </c>
      <c r="W110" s="4"/>
      <c r="X110" s="4"/>
      <c r="Y110" s="4" t="s">
        <v>78</v>
      </c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  <c r="AR110" s="4"/>
      <c r="AS110" s="4"/>
      <c r="AT110" s="4"/>
      <c r="AU110" s="4"/>
      <c r="AV110" s="4"/>
      <c r="AW110" s="4"/>
      <c r="AX110" s="4"/>
      <c r="AY110" s="4">
        <v>75.2</v>
      </c>
      <c r="AZ110" s="4"/>
      <c r="BA110" s="4">
        <v>111.6</v>
      </c>
      <c r="BB110" s="4"/>
      <c r="BC110" s="4"/>
      <c r="BD110" s="4">
        <v>24.8</v>
      </c>
      <c r="BE110" s="4">
        <v>1010</v>
      </c>
      <c r="BF110" s="63">
        <v>47</v>
      </c>
      <c r="BG110" s="63"/>
      <c r="BH110" s="4"/>
      <c r="BI110" s="13" t="s">
        <v>97</v>
      </c>
      <c r="BJ110" s="3" t="s">
        <v>192</v>
      </c>
      <c r="BK110"/>
      <c r="BL110"/>
      <c r="BM110"/>
      <c r="BR110"/>
    </row>
    <row r="111" spans="1:70" ht="28.5" x14ac:dyDescent="0.45">
      <c r="A111" s="2" t="s">
        <v>43</v>
      </c>
      <c r="B111" s="54" t="s">
        <v>45</v>
      </c>
      <c r="C111" s="3">
        <v>45236</v>
      </c>
      <c r="D111" s="8">
        <v>1</v>
      </c>
      <c r="E111" s="2" t="s">
        <v>556</v>
      </c>
      <c r="F111" s="4" t="s">
        <v>93</v>
      </c>
      <c r="G111" s="4" t="s">
        <v>15</v>
      </c>
      <c r="H111" s="4" t="s">
        <v>223</v>
      </c>
      <c r="I111" s="7">
        <v>0.15939999999999999</v>
      </c>
      <c r="J111" s="7">
        <v>0.15939999999999999</v>
      </c>
      <c r="K111" s="7">
        <v>2.5000000000000001E-3</v>
      </c>
      <c r="L111" s="7">
        <v>0.159</v>
      </c>
      <c r="M111" s="7">
        <v>0.15809999999999999</v>
      </c>
      <c r="N111" s="7">
        <v>-0.49</v>
      </c>
      <c r="O111" s="4"/>
      <c r="P111" s="7">
        <v>1.2529999999999999</v>
      </c>
      <c r="Q111" s="7">
        <v>508</v>
      </c>
      <c r="T111" s="7">
        <v>60.1</v>
      </c>
      <c r="U111" s="7">
        <v>441</v>
      </c>
      <c r="V111" s="7">
        <v>750</v>
      </c>
      <c r="W111" s="4"/>
      <c r="X111" s="4"/>
      <c r="Y111" s="4" t="s">
        <v>78</v>
      </c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  <c r="AP111" s="4"/>
      <c r="AQ111" s="4"/>
      <c r="AR111" s="4"/>
      <c r="AS111" s="4"/>
      <c r="AT111" s="4"/>
      <c r="AU111" s="4"/>
      <c r="AV111" s="4"/>
      <c r="AW111" s="4"/>
      <c r="AX111" s="4"/>
      <c r="AY111" s="4">
        <v>79.5</v>
      </c>
      <c r="AZ111" s="4"/>
      <c r="BA111" s="4">
        <v>111.6</v>
      </c>
      <c r="BB111" s="4"/>
      <c r="BC111" s="4"/>
      <c r="BD111" s="4">
        <v>25.2</v>
      </c>
      <c r="BE111" s="4">
        <v>1010</v>
      </c>
      <c r="BF111" s="63">
        <v>47</v>
      </c>
      <c r="BG111" s="63"/>
      <c r="BH111" s="4"/>
      <c r="BI111" s="4"/>
      <c r="BJ111" s="3" t="s">
        <v>270</v>
      </c>
      <c r="BK111"/>
      <c r="BL111"/>
      <c r="BM111"/>
      <c r="BR111"/>
    </row>
    <row r="112" spans="1:70" ht="28.5" x14ac:dyDescent="0.45">
      <c r="A112" s="2" t="s">
        <v>43</v>
      </c>
      <c r="B112" s="54" t="s">
        <v>45</v>
      </c>
      <c r="C112" s="3">
        <v>45236</v>
      </c>
      <c r="D112" s="8">
        <v>2</v>
      </c>
      <c r="E112" s="2" t="s">
        <v>556</v>
      </c>
      <c r="F112" s="4" t="s">
        <v>216</v>
      </c>
      <c r="G112" s="4" t="s">
        <v>15</v>
      </c>
      <c r="H112" s="4" t="s">
        <v>223</v>
      </c>
      <c r="I112" s="49"/>
      <c r="J112" s="49"/>
      <c r="K112" s="49"/>
      <c r="L112" s="7">
        <v>0.161</v>
      </c>
      <c r="O112" s="4"/>
      <c r="P112" s="7">
        <v>1.2529999999999999</v>
      </c>
      <c r="Q112" s="7">
        <v>508</v>
      </c>
      <c r="V112" s="7">
        <v>750</v>
      </c>
      <c r="W112" s="4"/>
      <c r="X112" s="4"/>
      <c r="Y112" s="4" t="s">
        <v>78</v>
      </c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4"/>
      <c r="AP112" s="4"/>
      <c r="AQ112" s="4"/>
      <c r="AR112" s="4"/>
      <c r="AS112" s="4"/>
      <c r="AT112" s="4"/>
      <c r="AU112" s="4"/>
      <c r="AV112" s="4"/>
      <c r="AW112" s="4"/>
      <c r="AX112" s="4"/>
      <c r="AY112" s="4">
        <v>84.9</v>
      </c>
      <c r="AZ112" s="4"/>
      <c r="BA112" s="22">
        <v>117</v>
      </c>
      <c r="BB112" s="4"/>
      <c r="BC112" s="4"/>
      <c r="BD112" s="4">
        <v>25.2</v>
      </c>
      <c r="BE112" s="4">
        <v>1010</v>
      </c>
      <c r="BF112" s="63">
        <v>47</v>
      </c>
      <c r="BG112" s="63"/>
      <c r="BH112" s="4"/>
      <c r="BI112" s="13" t="s">
        <v>96</v>
      </c>
      <c r="BJ112" s="3" t="s">
        <v>271</v>
      </c>
      <c r="BK112"/>
      <c r="BL112"/>
      <c r="BM112"/>
      <c r="BR112"/>
    </row>
    <row r="113" spans="1:70" ht="28.5" x14ac:dyDescent="0.45">
      <c r="A113" s="2" t="s">
        <v>43</v>
      </c>
      <c r="B113" s="54" t="s">
        <v>45</v>
      </c>
      <c r="C113" s="3">
        <v>45236</v>
      </c>
      <c r="D113" s="8">
        <v>3</v>
      </c>
      <c r="E113" s="2" t="s">
        <v>556</v>
      </c>
      <c r="F113" s="4" t="s">
        <v>216</v>
      </c>
      <c r="G113" s="4" t="s">
        <v>578</v>
      </c>
      <c r="H113" s="4" t="s">
        <v>223</v>
      </c>
      <c r="I113" s="7">
        <v>0.154</v>
      </c>
      <c r="J113" s="7">
        <v>0.154</v>
      </c>
      <c r="K113" s="7">
        <v>4.3E-3</v>
      </c>
      <c r="L113" s="7">
        <v>0.158</v>
      </c>
      <c r="M113" s="7">
        <v>0.15559999999999999</v>
      </c>
      <c r="N113" s="7">
        <v>-0.49</v>
      </c>
      <c r="O113" s="4"/>
      <c r="P113" s="7">
        <v>1.2529999999999999</v>
      </c>
      <c r="Q113" s="7">
        <v>508</v>
      </c>
      <c r="T113" s="7">
        <v>60.1</v>
      </c>
      <c r="U113" s="7">
        <v>453</v>
      </c>
      <c r="V113" s="7">
        <v>750</v>
      </c>
      <c r="W113" s="4"/>
      <c r="X113" s="4"/>
      <c r="Y113" s="4" t="s">
        <v>78</v>
      </c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  <c r="AN113" s="4"/>
      <c r="AO113" s="4"/>
      <c r="AP113" s="4"/>
      <c r="AQ113" s="4"/>
      <c r="AR113" s="4"/>
      <c r="AS113" s="4"/>
      <c r="AT113" s="4"/>
      <c r="AU113" s="4"/>
      <c r="AV113" s="4"/>
      <c r="AW113" s="4"/>
      <c r="AX113" s="4"/>
      <c r="AY113" s="4">
        <v>75.099999999999994</v>
      </c>
      <c r="AZ113" s="4"/>
      <c r="BA113" s="4">
        <v>111.6</v>
      </c>
      <c r="BB113" s="4"/>
      <c r="BC113" s="4"/>
      <c r="BD113" s="4">
        <v>25.2</v>
      </c>
      <c r="BE113" s="4">
        <v>1010</v>
      </c>
      <c r="BF113" s="63">
        <v>47</v>
      </c>
      <c r="BG113" s="63"/>
      <c r="BH113" s="4"/>
      <c r="BI113" s="4"/>
      <c r="BJ113" s="3" t="s">
        <v>267</v>
      </c>
      <c r="BK113"/>
      <c r="BL113"/>
      <c r="BM113"/>
      <c r="BR113"/>
    </row>
    <row r="114" spans="1:70" ht="28.5" x14ac:dyDescent="0.45">
      <c r="A114" s="2" t="s">
        <v>43</v>
      </c>
      <c r="B114" s="54" t="s">
        <v>45</v>
      </c>
      <c r="C114" s="3">
        <v>45236</v>
      </c>
      <c r="D114" s="8">
        <v>4</v>
      </c>
      <c r="E114" s="2" t="s">
        <v>556</v>
      </c>
      <c r="F114" s="4" t="s">
        <v>216</v>
      </c>
      <c r="G114" s="4" t="s">
        <v>15</v>
      </c>
      <c r="H114" s="4" t="s">
        <v>223</v>
      </c>
      <c r="I114" s="48"/>
      <c r="J114" s="48"/>
      <c r="K114" s="48"/>
      <c r="L114" s="7"/>
      <c r="M114" s="7">
        <v>0.15390000000000001</v>
      </c>
      <c r="O114" s="4"/>
      <c r="P114" s="7">
        <v>1.2529999999999999</v>
      </c>
      <c r="Q114" s="7">
        <v>508</v>
      </c>
      <c r="T114" s="7">
        <v>60.6</v>
      </c>
      <c r="U114" s="7">
        <v>457</v>
      </c>
      <c r="V114" s="7">
        <v>750</v>
      </c>
      <c r="W114" s="4"/>
      <c r="X114" s="4"/>
      <c r="Y114" s="4" t="s">
        <v>78</v>
      </c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4"/>
      <c r="AP114" s="4"/>
      <c r="AQ114" s="4"/>
      <c r="AR114" s="4"/>
      <c r="AS114" s="4"/>
      <c r="AT114" s="4"/>
      <c r="AU114" s="4"/>
      <c r="AV114" s="4"/>
      <c r="AW114" s="4"/>
      <c r="AX114" s="4"/>
      <c r="AY114" s="4">
        <v>79.5</v>
      </c>
      <c r="AZ114" s="4"/>
      <c r="BA114" s="4">
        <v>111.6</v>
      </c>
      <c r="BB114" s="4"/>
      <c r="BC114" s="4"/>
      <c r="BD114" s="4">
        <v>25.7</v>
      </c>
      <c r="BE114" s="4">
        <v>1009</v>
      </c>
      <c r="BF114" s="63">
        <v>46.3</v>
      </c>
      <c r="BG114" s="63"/>
      <c r="BH114" s="4"/>
      <c r="BI114" s="4"/>
      <c r="BJ114" s="3" t="s">
        <v>268</v>
      </c>
      <c r="BK114"/>
      <c r="BL114"/>
      <c r="BM114"/>
      <c r="BR114"/>
    </row>
    <row r="115" spans="1:70" ht="28.5" x14ac:dyDescent="0.45">
      <c r="A115" s="2" t="s">
        <v>43</v>
      </c>
      <c r="B115" s="54" t="s">
        <v>45</v>
      </c>
      <c r="C115" s="3">
        <v>45236</v>
      </c>
      <c r="D115" s="8">
        <v>5</v>
      </c>
      <c r="E115" s="2" t="s">
        <v>556</v>
      </c>
      <c r="F115" s="4" t="s">
        <v>93</v>
      </c>
      <c r="G115" s="4" t="s">
        <v>15</v>
      </c>
      <c r="H115" s="4" t="s">
        <v>223</v>
      </c>
      <c r="I115" s="7">
        <v>0.15770000000000001</v>
      </c>
      <c r="J115" s="7">
        <v>0.15770000000000001</v>
      </c>
      <c r="K115" s="7">
        <v>4.1999999999999997E-3</v>
      </c>
      <c r="L115" s="7">
        <v>0.158</v>
      </c>
      <c r="M115" s="7">
        <v>0.15659999999999999</v>
      </c>
      <c r="N115" s="7">
        <v>-0.53</v>
      </c>
      <c r="O115" s="4"/>
      <c r="P115" s="7">
        <v>1.2529999999999999</v>
      </c>
      <c r="Q115" s="7">
        <v>508</v>
      </c>
      <c r="T115" s="7">
        <v>60.1</v>
      </c>
      <c r="U115" s="7">
        <v>449</v>
      </c>
      <c r="V115" s="7">
        <v>750</v>
      </c>
      <c r="W115" s="4"/>
      <c r="X115" s="4"/>
      <c r="Y115" s="4" t="s">
        <v>78</v>
      </c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  <c r="AN115" s="4"/>
      <c r="AO115" s="4"/>
      <c r="AP115" s="4"/>
      <c r="AQ115" s="4"/>
      <c r="AR115" s="4"/>
      <c r="AS115" s="4"/>
      <c r="AT115" s="4"/>
      <c r="AU115" s="4"/>
      <c r="AV115" s="4"/>
      <c r="AW115" s="4"/>
      <c r="AX115" s="4"/>
      <c r="AY115" s="4">
        <v>84.9</v>
      </c>
      <c r="AZ115" s="4"/>
      <c r="BA115" s="22">
        <v>117</v>
      </c>
      <c r="BB115" s="4"/>
      <c r="BC115" s="4"/>
      <c r="BD115" s="4">
        <v>25.7</v>
      </c>
      <c r="BE115" s="4">
        <v>1009</v>
      </c>
      <c r="BF115" s="63">
        <v>46.3</v>
      </c>
      <c r="BG115" s="63"/>
      <c r="BH115" s="4"/>
      <c r="BI115" s="4"/>
      <c r="BJ115" s="3" t="s">
        <v>269</v>
      </c>
      <c r="BK115"/>
      <c r="BL115"/>
      <c r="BM115"/>
      <c r="BR115"/>
    </row>
    <row r="116" spans="1:70" ht="28.5" x14ac:dyDescent="0.45">
      <c r="A116" s="2" t="s">
        <v>43</v>
      </c>
      <c r="B116" s="54" t="s">
        <v>45</v>
      </c>
      <c r="C116" s="3">
        <v>45236</v>
      </c>
      <c r="D116" s="8">
        <v>6</v>
      </c>
      <c r="E116" s="2" t="s">
        <v>556</v>
      </c>
      <c r="F116" s="4" t="s">
        <v>216</v>
      </c>
      <c r="G116" s="4" t="s">
        <v>15</v>
      </c>
      <c r="H116" s="4" t="s">
        <v>223</v>
      </c>
      <c r="I116" s="7">
        <v>0.15620000000000001</v>
      </c>
      <c r="J116" s="7">
        <v>0.15620000000000001</v>
      </c>
      <c r="K116" s="7">
        <v>2.5000000000000001E-3</v>
      </c>
      <c r="L116" s="7">
        <v>0.159</v>
      </c>
      <c r="M116" s="7">
        <v>0.15479999999999999</v>
      </c>
      <c r="N116" s="7">
        <v>-0.49</v>
      </c>
      <c r="O116" s="4"/>
      <c r="P116" s="7">
        <v>1.2529999999999999</v>
      </c>
      <c r="Q116" s="7">
        <v>508</v>
      </c>
      <c r="T116" s="7">
        <v>60.8</v>
      </c>
      <c r="U116" s="7">
        <v>459</v>
      </c>
      <c r="V116" s="7">
        <v>750</v>
      </c>
      <c r="W116" s="4"/>
      <c r="X116" s="4"/>
      <c r="Y116" s="4" t="s">
        <v>78</v>
      </c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  <c r="AN116" s="4"/>
      <c r="AO116" s="4"/>
      <c r="AP116" s="4"/>
      <c r="AQ116" s="4"/>
      <c r="AR116" s="4"/>
      <c r="AS116" s="4"/>
      <c r="AT116" s="4"/>
      <c r="AU116" s="4"/>
      <c r="AV116" s="4"/>
      <c r="AW116" s="4"/>
      <c r="AX116" s="4"/>
      <c r="AY116" s="4">
        <v>75.099999999999994</v>
      </c>
      <c r="AZ116" s="4"/>
      <c r="BA116" s="4">
        <v>111.6</v>
      </c>
      <c r="BB116" s="4"/>
      <c r="BC116" s="4"/>
      <c r="BD116" s="4">
        <v>25.7</v>
      </c>
      <c r="BE116" s="4">
        <v>1009</v>
      </c>
      <c r="BF116" s="63">
        <v>46.3</v>
      </c>
      <c r="BG116" s="63"/>
      <c r="BH116" s="4"/>
      <c r="BI116" s="4"/>
      <c r="BJ116" s="3" t="s">
        <v>196</v>
      </c>
      <c r="BK116"/>
      <c r="BL116"/>
      <c r="BM116"/>
      <c r="BR116"/>
    </row>
    <row r="117" spans="1:70" ht="28.5" x14ac:dyDescent="0.45">
      <c r="A117" s="2" t="s">
        <v>43</v>
      </c>
      <c r="B117" s="54" t="s">
        <v>45</v>
      </c>
      <c r="C117" s="3">
        <v>45236</v>
      </c>
      <c r="D117" s="8">
        <v>7</v>
      </c>
      <c r="E117" s="2" t="s">
        <v>556</v>
      </c>
      <c r="F117" s="4" t="s">
        <v>216</v>
      </c>
      <c r="G117" s="4" t="s">
        <v>578</v>
      </c>
      <c r="H117" s="4" t="s">
        <v>223</v>
      </c>
      <c r="I117" s="7">
        <v>0.1522</v>
      </c>
      <c r="J117" s="7">
        <v>0.1522</v>
      </c>
      <c r="K117" s="7">
        <v>2E-3</v>
      </c>
      <c r="L117" s="7">
        <v>0.156</v>
      </c>
      <c r="M117" s="7">
        <v>0.15240000000000001</v>
      </c>
      <c r="N117" s="7">
        <v>-0.51</v>
      </c>
      <c r="O117" s="4"/>
      <c r="P117" s="7">
        <v>1.2529999999999999</v>
      </c>
      <c r="Q117" s="7">
        <v>508</v>
      </c>
      <c r="T117" s="7">
        <v>61</v>
      </c>
      <c r="U117" s="7">
        <v>458</v>
      </c>
      <c r="V117" s="7">
        <v>750</v>
      </c>
      <c r="W117" s="4"/>
      <c r="X117" s="4"/>
      <c r="Y117" s="4" t="s">
        <v>78</v>
      </c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  <c r="AN117" s="4"/>
      <c r="AO117" s="4"/>
      <c r="AP117" s="4"/>
      <c r="AQ117" s="4"/>
      <c r="AR117" s="4"/>
      <c r="AS117" s="4"/>
      <c r="AT117" s="4"/>
      <c r="AU117" s="4"/>
      <c r="AV117" s="4"/>
      <c r="AW117" s="4"/>
      <c r="AX117" s="4"/>
      <c r="AY117" s="4">
        <v>79.5</v>
      </c>
      <c r="AZ117" s="4"/>
      <c r="BA117" s="4">
        <v>111.6</v>
      </c>
      <c r="BB117" s="4"/>
      <c r="BC117" s="4"/>
      <c r="BD117" s="4">
        <v>25.8</v>
      </c>
      <c r="BE117" s="4">
        <v>1009</v>
      </c>
      <c r="BF117" s="63">
        <v>45.7</v>
      </c>
      <c r="BG117" s="63"/>
      <c r="BH117" s="4"/>
      <c r="BI117" s="4"/>
      <c r="BJ117" s="3" t="s">
        <v>199</v>
      </c>
      <c r="BK117"/>
      <c r="BL117"/>
      <c r="BM117"/>
      <c r="BR117"/>
    </row>
    <row r="118" spans="1:70" ht="28.5" x14ac:dyDescent="0.45">
      <c r="A118" s="2" t="s">
        <v>43</v>
      </c>
      <c r="B118" s="54" t="s">
        <v>45</v>
      </c>
      <c r="C118" s="3">
        <v>45236</v>
      </c>
      <c r="D118" s="8">
        <v>8</v>
      </c>
      <c r="E118" s="2" t="s">
        <v>556</v>
      </c>
      <c r="F118" s="4" t="s">
        <v>216</v>
      </c>
      <c r="G118" s="4" t="s">
        <v>15</v>
      </c>
      <c r="H118" s="4" t="s">
        <v>223</v>
      </c>
      <c r="I118" s="7">
        <v>0.1573</v>
      </c>
      <c r="J118" s="7">
        <v>0.1573</v>
      </c>
      <c r="K118" s="7">
        <v>3.2000000000000002E-3</v>
      </c>
      <c r="L118" s="7">
        <v>0.16</v>
      </c>
      <c r="M118" s="7">
        <v>0.15709999999999999</v>
      </c>
      <c r="N118" s="7">
        <v>-0.49</v>
      </c>
      <c r="O118" s="4"/>
      <c r="P118" s="7">
        <v>1.2529999999999999</v>
      </c>
      <c r="Q118" s="7">
        <v>508</v>
      </c>
      <c r="T118" s="7">
        <v>60.6</v>
      </c>
      <c r="U118" s="7">
        <v>459</v>
      </c>
      <c r="V118" s="7">
        <v>750</v>
      </c>
      <c r="W118" s="4"/>
      <c r="X118" s="4"/>
      <c r="Y118" s="4" t="s">
        <v>78</v>
      </c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  <c r="AT118" s="4"/>
      <c r="AU118" s="4"/>
      <c r="AV118" s="4"/>
      <c r="AW118" s="4"/>
      <c r="AX118" s="4"/>
      <c r="AY118" s="4">
        <v>84.9</v>
      </c>
      <c r="AZ118" s="4"/>
      <c r="BA118" s="22">
        <v>117</v>
      </c>
      <c r="BB118" s="4"/>
      <c r="BC118" s="4"/>
      <c r="BD118" s="4">
        <v>25.8</v>
      </c>
      <c r="BE118" s="4">
        <v>1009</v>
      </c>
      <c r="BF118" s="63">
        <v>45.7</v>
      </c>
      <c r="BG118" s="63"/>
      <c r="BH118" s="4"/>
      <c r="BI118" s="4"/>
      <c r="BJ118" s="3" t="s">
        <v>200</v>
      </c>
      <c r="BK118"/>
      <c r="BL118"/>
      <c r="BM118"/>
      <c r="BR118"/>
    </row>
    <row r="119" spans="1:70" ht="28.5" x14ac:dyDescent="0.45">
      <c r="A119" s="2" t="s">
        <v>43</v>
      </c>
      <c r="B119" s="54" t="s">
        <v>45</v>
      </c>
      <c r="C119" s="3">
        <v>45236</v>
      </c>
      <c r="D119" s="8">
        <v>9</v>
      </c>
      <c r="E119" s="2" t="s">
        <v>556</v>
      </c>
      <c r="F119" s="4" t="s">
        <v>216</v>
      </c>
      <c r="G119" s="4" t="s">
        <v>15</v>
      </c>
      <c r="H119" s="4" t="s">
        <v>223</v>
      </c>
      <c r="I119" s="7">
        <v>0.15609999999999999</v>
      </c>
      <c r="J119" s="7">
        <v>0.15609999999999999</v>
      </c>
      <c r="K119" s="7">
        <v>2.8999999999999998E-3</v>
      </c>
      <c r="L119" s="7">
        <v>0.161</v>
      </c>
      <c r="M119" s="7">
        <v>0.1547</v>
      </c>
      <c r="N119" s="7">
        <v>-0.51</v>
      </c>
      <c r="O119" s="4"/>
      <c r="P119" s="7">
        <v>1.2529999999999999</v>
      </c>
      <c r="Q119" s="7">
        <v>508</v>
      </c>
      <c r="T119" s="7">
        <v>60.8</v>
      </c>
      <c r="U119" s="7">
        <v>454</v>
      </c>
      <c r="V119" s="7">
        <v>750</v>
      </c>
      <c r="W119" s="4"/>
      <c r="X119" s="4"/>
      <c r="Y119" s="4" t="s">
        <v>78</v>
      </c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4"/>
      <c r="AP119" s="4"/>
      <c r="AQ119" s="4"/>
      <c r="AR119" s="4"/>
      <c r="AS119" s="4"/>
      <c r="AT119" s="4"/>
      <c r="AU119" s="4"/>
      <c r="AV119" s="4"/>
      <c r="AW119" s="4"/>
      <c r="AX119" s="4"/>
      <c r="AY119" s="4">
        <v>74.900000000000006</v>
      </c>
      <c r="AZ119" s="4"/>
      <c r="BA119" s="4">
        <v>111.6</v>
      </c>
      <c r="BB119" s="4"/>
      <c r="BC119" s="4"/>
      <c r="BD119" s="4">
        <v>25.8</v>
      </c>
      <c r="BE119" s="4">
        <v>1009</v>
      </c>
      <c r="BF119" s="63">
        <v>45.7</v>
      </c>
      <c r="BG119" s="63"/>
      <c r="BH119" s="4"/>
      <c r="BI119" s="4"/>
      <c r="BJ119" s="3" t="s">
        <v>201</v>
      </c>
      <c r="BK119"/>
      <c r="BL119"/>
      <c r="BM119"/>
      <c r="BR119"/>
    </row>
    <row r="120" spans="1:70" ht="28.5" x14ac:dyDescent="0.45">
      <c r="A120" s="2" t="s">
        <v>13</v>
      </c>
      <c r="B120" s="54" t="s">
        <v>17</v>
      </c>
      <c r="C120" s="3">
        <v>45236</v>
      </c>
      <c r="D120" s="8">
        <v>1</v>
      </c>
      <c r="E120" s="2" t="s">
        <v>212</v>
      </c>
      <c r="F120" s="4" t="s">
        <v>89</v>
      </c>
      <c r="G120" s="4" t="s">
        <v>577</v>
      </c>
      <c r="H120" s="4" t="s">
        <v>378</v>
      </c>
      <c r="I120" s="18">
        <v>0.16750000000000001</v>
      </c>
      <c r="J120" s="18">
        <v>0.16750000000000001</v>
      </c>
      <c r="K120" s="18">
        <v>2.3999999999999998E-3</v>
      </c>
      <c r="L120" s="7">
        <v>0.16700000000000001</v>
      </c>
      <c r="M120" s="7">
        <v>0.16600000000000001</v>
      </c>
      <c r="N120" s="7">
        <v>-0.41</v>
      </c>
      <c r="O120" s="4"/>
      <c r="P120" s="7">
        <v>1.2609999999999999</v>
      </c>
      <c r="Q120" s="7">
        <v>502</v>
      </c>
      <c r="T120" s="7">
        <v>63.3</v>
      </c>
      <c r="U120" s="7">
        <v>559</v>
      </c>
      <c r="V120" s="7">
        <v>750</v>
      </c>
      <c r="W120" s="4"/>
      <c r="X120" s="4"/>
      <c r="Y120" s="4" t="s">
        <v>78</v>
      </c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4"/>
      <c r="AP120" s="4"/>
      <c r="AQ120" s="4"/>
      <c r="AR120" s="4"/>
      <c r="AS120" s="4"/>
      <c r="AT120" s="4"/>
      <c r="AU120" s="4"/>
      <c r="AV120" s="4"/>
      <c r="AW120" s="4"/>
      <c r="AX120" s="4"/>
      <c r="AY120" s="4">
        <v>79.400000000000006</v>
      </c>
      <c r="AZ120" s="4"/>
      <c r="BA120" s="4">
        <v>111.6</v>
      </c>
      <c r="BB120" s="4"/>
      <c r="BC120" s="4"/>
      <c r="BD120" s="4">
        <v>26.1</v>
      </c>
      <c r="BE120" s="4">
        <v>1009</v>
      </c>
      <c r="BF120" s="63">
        <v>45.2</v>
      </c>
      <c r="BG120" s="63"/>
      <c r="BH120" s="4"/>
      <c r="BI120" s="4"/>
      <c r="BJ120" s="3" t="s">
        <v>202</v>
      </c>
      <c r="BK120"/>
      <c r="BL120"/>
      <c r="BM120"/>
      <c r="BR120"/>
    </row>
    <row r="121" spans="1:70" ht="28.5" x14ac:dyDescent="0.45">
      <c r="A121" s="2" t="s">
        <v>13</v>
      </c>
      <c r="B121" s="54" t="s">
        <v>17</v>
      </c>
      <c r="C121" s="3">
        <v>45236</v>
      </c>
      <c r="D121" s="8">
        <v>2</v>
      </c>
      <c r="E121" s="2" t="s">
        <v>212</v>
      </c>
      <c r="F121" s="4" t="s">
        <v>563</v>
      </c>
      <c r="G121" s="4" t="s">
        <v>577</v>
      </c>
      <c r="H121" s="4" t="s">
        <v>378</v>
      </c>
      <c r="I121" s="7">
        <v>0.1656</v>
      </c>
      <c r="J121" s="7">
        <v>0.1656</v>
      </c>
      <c r="K121" s="7">
        <v>2.8E-3</v>
      </c>
      <c r="L121" s="7">
        <v>0.17</v>
      </c>
      <c r="M121" s="7">
        <v>0.1696</v>
      </c>
      <c r="N121" s="7">
        <v>-0.4</v>
      </c>
      <c r="O121" s="4"/>
      <c r="P121" s="7">
        <v>1.2609999999999999</v>
      </c>
      <c r="Q121" s="7">
        <v>502</v>
      </c>
      <c r="T121" s="7">
        <v>63.1</v>
      </c>
      <c r="U121" s="7">
        <v>563</v>
      </c>
      <c r="V121" s="7">
        <v>750</v>
      </c>
      <c r="W121" s="4"/>
      <c r="X121" s="4"/>
      <c r="Y121" s="4" t="s">
        <v>78</v>
      </c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4"/>
      <c r="AN121" s="4"/>
      <c r="AO121" s="4"/>
      <c r="AP121" s="4"/>
      <c r="AQ121" s="4"/>
      <c r="AR121" s="4"/>
      <c r="AS121" s="4"/>
      <c r="AT121" s="4"/>
      <c r="AU121" s="4"/>
      <c r="AV121" s="4"/>
      <c r="AW121" s="4"/>
      <c r="AX121" s="4"/>
      <c r="AY121" s="4">
        <v>84.8</v>
      </c>
      <c r="AZ121" s="4"/>
      <c r="BA121" s="22">
        <v>117</v>
      </c>
      <c r="BB121" s="4"/>
      <c r="BC121" s="4"/>
      <c r="BD121" s="4">
        <v>26.1</v>
      </c>
      <c r="BE121" s="4">
        <v>1009</v>
      </c>
      <c r="BF121" s="63">
        <v>45.2</v>
      </c>
      <c r="BG121" s="63"/>
      <c r="BH121" s="4"/>
      <c r="BI121" s="4"/>
      <c r="BJ121" s="3" t="s">
        <v>203</v>
      </c>
      <c r="BK121"/>
      <c r="BL121"/>
      <c r="BM121"/>
      <c r="BR121"/>
    </row>
    <row r="122" spans="1:70" ht="28.5" x14ac:dyDescent="0.45">
      <c r="A122" s="2" t="s">
        <v>13</v>
      </c>
      <c r="B122" s="54" t="s">
        <v>17</v>
      </c>
      <c r="C122" s="3">
        <v>45236</v>
      </c>
      <c r="D122" s="8">
        <v>3</v>
      </c>
      <c r="E122" s="2" t="s">
        <v>212</v>
      </c>
      <c r="F122" s="4" t="s">
        <v>564</v>
      </c>
      <c r="G122" s="4" t="s">
        <v>577</v>
      </c>
      <c r="H122" s="4" t="s">
        <v>378</v>
      </c>
      <c r="I122" s="7">
        <v>0.16969999999999999</v>
      </c>
      <c r="J122" s="7">
        <v>0.16969999999999999</v>
      </c>
      <c r="K122" s="7">
        <v>2.8999999999999998E-3</v>
      </c>
      <c r="L122" s="7"/>
      <c r="M122" s="7">
        <v>0.1701</v>
      </c>
      <c r="N122" s="7">
        <v>-0.37</v>
      </c>
      <c r="O122" s="4"/>
      <c r="P122" s="7">
        <v>1.2609999999999999</v>
      </c>
      <c r="Q122" s="7">
        <v>502</v>
      </c>
      <c r="T122" s="7">
        <v>63.3</v>
      </c>
      <c r="U122" s="7">
        <v>569</v>
      </c>
      <c r="V122" s="7">
        <v>750</v>
      </c>
      <c r="W122" s="4"/>
      <c r="X122" s="4"/>
      <c r="Y122" s="4" t="s">
        <v>78</v>
      </c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  <c r="AN122" s="4"/>
      <c r="AO122" s="4"/>
      <c r="AP122" s="4"/>
      <c r="AQ122" s="4"/>
      <c r="AR122" s="4"/>
      <c r="AS122" s="4"/>
      <c r="AT122" s="4"/>
      <c r="AU122" s="4"/>
      <c r="AV122" s="4"/>
      <c r="AW122" s="4"/>
      <c r="AX122" s="4"/>
      <c r="AY122" s="4">
        <v>75</v>
      </c>
      <c r="AZ122" s="4"/>
      <c r="BA122" s="4">
        <v>111.6</v>
      </c>
      <c r="BB122" s="4"/>
      <c r="BC122" s="4"/>
      <c r="BD122" s="4">
        <v>26.1</v>
      </c>
      <c r="BE122" s="4">
        <v>1009</v>
      </c>
      <c r="BF122" s="63">
        <v>45.2</v>
      </c>
      <c r="BG122" s="63"/>
      <c r="BH122" s="4"/>
      <c r="BI122" s="4"/>
      <c r="BJ122" s="3" t="s">
        <v>204</v>
      </c>
      <c r="BK122"/>
      <c r="BL122"/>
      <c r="BM122"/>
      <c r="BR122"/>
    </row>
    <row r="123" spans="1:70" ht="28.5" x14ac:dyDescent="0.45">
      <c r="A123" s="2" t="s">
        <v>13</v>
      </c>
      <c r="B123" s="54" t="s">
        <v>17</v>
      </c>
      <c r="C123" s="3">
        <v>45236</v>
      </c>
      <c r="D123" s="8">
        <v>4</v>
      </c>
      <c r="E123" s="2" t="s">
        <v>212</v>
      </c>
      <c r="F123" s="4" t="s">
        <v>563</v>
      </c>
      <c r="G123" s="4" t="s">
        <v>577</v>
      </c>
      <c r="H123" s="4" t="s">
        <v>378</v>
      </c>
      <c r="I123" s="7">
        <v>0.17119999999999999</v>
      </c>
      <c r="J123" s="7">
        <v>0.17119999999999999</v>
      </c>
      <c r="K123" s="7">
        <v>3.8999999999999998E-3</v>
      </c>
      <c r="L123" s="7"/>
      <c r="M123" s="7">
        <v>0.16919999999999999</v>
      </c>
      <c r="N123" s="7">
        <v>-0.36</v>
      </c>
      <c r="O123" s="4"/>
      <c r="P123" s="7">
        <v>1.2609999999999999</v>
      </c>
      <c r="Q123" s="7">
        <v>502</v>
      </c>
      <c r="T123" s="7">
        <v>63.6</v>
      </c>
      <c r="U123" s="7">
        <v>571</v>
      </c>
      <c r="V123" s="7">
        <v>750</v>
      </c>
      <c r="W123" s="4"/>
      <c r="X123" s="4"/>
      <c r="Y123" s="4" t="s">
        <v>78</v>
      </c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4"/>
      <c r="AN123" s="4"/>
      <c r="AO123" s="4"/>
      <c r="AP123" s="4"/>
      <c r="AQ123" s="4"/>
      <c r="AR123" s="4"/>
      <c r="AS123" s="4"/>
      <c r="AT123" s="4"/>
      <c r="AU123" s="4"/>
      <c r="AV123" s="4"/>
      <c r="AW123" s="4"/>
      <c r="AX123" s="4"/>
      <c r="AY123" s="4">
        <v>79.3</v>
      </c>
      <c r="AZ123" s="4"/>
      <c r="BA123" s="4">
        <v>111.6</v>
      </c>
      <c r="BB123" s="4"/>
      <c r="BC123" s="4"/>
      <c r="BD123" s="4">
        <v>26.4</v>
      </c>
      <c r="BE123" s="4">
        <v>1008</v>
      </c>
      <c r="BF123" s="63">
        <v>44.4</v>
      </c>
      <c r="BG123" s="63"/>
      <c r="BH123" s="4"/>
      <c r="BI123" s="4"/>
      <c r="BJ123" s="3" t="s">
        <v>205</v>
      </c>
      <c r="BK123"/>
      <c r="BL123"/>
      <c r="BM123"/>
      <c r="BR123"/>
    </row>
    <row r="124" spans="1:70" ht="28.5" x14ac:dyDescent="0.45">
      <c r="A124" s="2" t="s">
        <v>13</v>
      </c>
      <c r="B124" s="54" t="s">
        <v>17</v>
      </c>
      <c r="C124" s="3">
        <v>45236</v>
      </c>
      <c r="D124" s="8">
        <v>5</v>
      </c>
      <c r="E124" s="2" t="s">
        <v>212</v>
      </c>
      <c r="F124" s="4" t="s">
        <v>89</v>
      </c>
      <c r="G124" s="4" t="s">
        <v>577</v>
      </c>
      <c r="H124" s="4" t="s">
        <v>378</v>
      </c>
      <c r="I124" s="7">
        <v>0.1678</v>
      </c>
      <c r="J124" s="7">
        <v>0.1678</v>
      </c>
      <c r="K124" s="7">
        <v>3.5000000000000001E-3</v>
      </c>
      <c r="L124" s="7"/>
      <c r="M124" s="7">
        <v>0.1699</v>
      </c>
      <c r="N124" s="7">
        <v>-0.33</v>
      </c>
      <c r="O124" s="4"/>
      <c r="P124" s="7">
        <v>1.2609999999999999</v>
      </c>
      <c r="Q124" s="7">
        <v>502</v>
      </c>
      <c r="T124" s="7">
        <v>63.7</v>
      </c>
      <c r="U124" s="7">
        <v>577</v>
      </c>
      <c r="V124" s="7">
        <v>750</v>
      </c>
      <c r="W124" s="4"/>
      <c r="X124" s="4"/>
      <c r="Y124" s="4" t="s">
        <v>78</v>
      </c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4"/>
      <c r="AN124" s="4"/>
      <c r="AO124" s="4"/>
      <c r="AP124" s="4"/>
      <c r="AQ124" s="4"/>
      <c r="AR124" s="4"/>
      <c r="AS124" s="4"/>
      <c r="AT124" s="4"/>
      <c r="AU124" s="4"/>
      <c r="AV124" s="4"/>
      <c r="AW124" s="4"/>
      <c r="AX124" s="4"/>
      <c r="AY124" s="4">
        <v>75.599999999999994</v>
      </c>
      <c r="AZ124" s="4"/>
      <c r="BA124" s="4">
        <v>111.6</v>
      </c>
      <c r="BB124" s="4"/>
      <c r="BC124" s="4"/>
      <c r="BD124" s="16">
        <v>25.5</v>
      </c>
      <c r="BE124" s="16">
        <v>1012</v>
      </c>
      <c r="BF124" s="16">
        <v>39.4</v>
      </c>
      <c r="BG124" s="63"/>
      <c r="BH124" s="4"/>
      <c r="BI124" s="4"/>
      <c r="BJ124" s="3" t="s">
        <v>206</v>
      </c>
      <c r="BK124"/>
      <c r="BL124"/>
      <c r="BM124"/>
      <c r="BR124"/>
    </row>
    <row r="125" spans="1:70" ht="28.5" x14ac:dyDescent="0.45">
      <c r="A125" s="2" t="s">
        <v>13</v>
      </c>
      <c r="B125" s="54" t="s">
        <v>17</v>
      </c>
      <c r="C125" s="3">
        <v>45236</v>
      </c>
      <c r="D125" s="8">
        <v>6</v>
      </c>
      <c r="E125" s="2" t="s">
        <v>212</v>
      </c>
      <c r="F125" s="4" t="s">
        <v>563</v>
      </c>
      <c r="G125" s="4" t="s">
        <v>577</v>
      </c>
      <c r="H125" s="4" t="s">
        <v>378</v>
      </c>
      <c r="I125" s="7">
        <v>0.16850000000000001</v>
      </c>
      <c r="J125" s="7">
        <v>0.16850000000000001</v>
      </c>
      <c r="K125" s="7">
        <v>3.3E-3</v>
      </c>
      <c r="L125" s="7"/>
      <c r="M125" s="7">
        <v>0.1686</v>
      </c>
      <c r="N125" s="7">
        <v>-0.35</v>
      </c>
      <c r="O125" s="4"/>
      <c r="P125" s="7">
        <v>1.2609999999999999</v>
      </c>
      <c r="Q125" s="7">
        <v>502</v>
      </c>
      <c r="T125" s="7">
        <v>64.2</v>
      </c>
      <c r="U125" s="7">
        <v>571</v>
      </c>
      <c r="V125" s="7">
        <v>750</v>
      </c>
      <c r="W125" s="4"/>
      <c r="X125" s="4"/>
      <c r="Y125" s="4" t="s">
        <v>78</v>
      </c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4"/>
      <c r="AN125" s="4"/>
      <c r="AO125" s="4"/>
      <c r="AP125" s="4"/>
      <c r="AQ125" s="4"/>
      <c r="AR125" s="4"/>
      <c r="AS125" s="4"/>
      <c r="AT125" s="4"/>
      <c r="AU125" s="4"/>
      <c r="AV125" s="4"/>
      <c r="AW125" s="4"/>
      <c r="AX125" s="4"/>
      <c r="AY125" s="4">
        <v>84.4</v>
      </c>
      <c r="AZ125" s="4"/>
      <c r="BA125" s="4">
        <v>120.6</v>
      </c>
      <c r="BB125" s="4"/>
      <c r="BC125" s="4"/>
      <c r="BD125" s="16">
        <v>25.5</v>
      </c>
      <c r="BE125" s="16">
        <v>1012</v>
      </c>
      <c r="BF125" s="16">
        <v>39.4</v>
      </c>
      <c r="BG125" s="59"/>
      <c r="BH125" s="4"/>
      <c r="BI125" s="4"/>
      <c r="BJ125" s="3" t="s">
        <v>207</v>
      </c>
      <c r="BK125"/>
      <c r="BL125"/>
      <c r="BM125"/>
      <c r="BR125"/>
    </row>
    <row r="126" spans="1:70" ht="28.5" x14ac:dyDescent="0.45">
      <c r="A126" s="2" t="s">
        <v>13</v>
      </c>
      <c r="B126" s="54" t="s">
        <v>17</v>
      </c>
      <c r="C126" s="3">
        <v>45236</v>
      </c>
      <c r="D126" s="8">
        <v>7</v>
      </c>
      <c r="E126" s="2" t="s">
        <v>212</v>
      </c>
      <c r="F126" s="4" t="s">
        <v>564</v>
      </c>
      <c r="G126" s="4" t="s">
        <v>577</v>
      </c>
      <c r="H126" s="4" t="s">
        <v>378</v>
      </c>
      <c r="I126" s="7">
        <v>0.16539999999999999</v>
      </c>
      <c r="J126" s="7">
        <v>0.16539999999999999</v>
      </c>
      <c r="K126" s="7">
        <v>1.6999999999999999E-3</v>
      </c>
      <c r="L126" s="7"/>
      <c r="M126" s="7">
        <v>0.16869999999999999</v>
      </c>
      <c r="N126" s="7">
        <v>-0.31</v>
      </c>
      <c r="O126" s="4"/>
      <c r="P126" s="7">
        <v>1.2609999999999999</v>
      </c>
      <c r="Q126" s="7">
        <v>502</v>
      </c>
      <c r="T126" s="7">
        <v>63.4</v>
      </c>
      <c r="U126" s="7">
        <v>567</v>
      </c>
      <c r="V126" s="7">
        <v>750</v>
      </c>
      <c r="W126" s="4"/>
      <c r="X126" s="4"/>
      <c r="Y126" s="4" t="s">
        <v>78</v>
      </c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4"/>
      <c r="AN126" s="4"/>
      <c r="AO126" s="4"/>
      <c r="AP126" s="4"/>
      <c r="AQ126" s="4"/>
      <c r="AR126" s="4"/>
      <c r="AS126" s="4"/>
      <c r="AT126" s="4"/>
      <c r="AU126" s="4"/>
      <c r="AV126" s="4"/>
      <c r="AW126" s="4"/>
      <c r="AX126" s="4"/>
      <c r="AY126" s="4">
        <v>70.5</v>
      </c>
      <c r="AZ126" s="4"/>
      <c r="BA126" s="4">
        <v>111.6</v>
      </c>
      <c r="BB126" s="4"/>
      <c r="BC126" s="4"/>
      <c r="BD126" s="16">
        <v>25.5</v>
      </c>
      <c r="BE126" s="16">
        <v>1012</v>
      </c>
      <c r="BF126" s="16">
        <v>39.4</v>
      </c>
      <c r="BG126" s="59"/>
      <c r="BH126" s="4"/>
      <c r="BI126" s="4"/>
      <c r="BJ126" s="3" t="s">
        <v>272</v>
      </c>
      <c r="BK126"/>
      <c r="BL126"/>
      <c r="BM126"/>
      <c r="BR126"/>
    </row>
    <row r="127" spans="1:70" ht="28.5" x14ac:dyDescent="0.45">
      <c r="A127" s="2" t="s">
        <v>13</v>
      </c>
      <c r="B127" s="54" t="s">
        <v>17</v>
      </c>
      <c r="C127" s="3">
        <v>45236</v>
      </c>
      <c r="D127" s="8">
        <v>8</v>
      </c>
      <c r="E127" s="2" t="s">
        <v>212</v>
      </c>
      <c r="F127" s="4" t="s">
        <v>563</v>
      </c>
      <c r="G127" s="4" t="s">
        <v>577</v>
      </c>
      <c r="H127" s="4" t="s">
        <v>378</v>
      </c>
      <c r="I127" s="7">
        <v>0.16739999999999999</v>
      </c>
      <c r="J127" s="7">
        <v>0.16739999999999999</v>
      </c>
      <c r="K127" s="7">
        <v>4.1999999999999997E-3</v>
      </c>
      <c r="L127" s="7"/>
      <c r="M127" s="7">
        <v>0.1704</v>
      </c>
      <c r="N127" s="7">
        <v>-0.3</v>
      </c>
      <c r="O127" s="4"/>
      <c r="P127" s="7">
        <v>1.2609999999999999</v>
      </c>
      <c r="Q127" s="7">
        <v>502</v>
      </c>
      <c r="T127" s="7">
        <v>63.5</v>
      </c>
      <c r="U127" s="7">
        <v>567</v>
      </c>
      <c r="V127" s="7">
        <v>750</v>
      </c>
      <c r="W127" s="4"/>
      <c r="X127" s="4"/>
      <c r="Y127" s="4" t="s">
        <v>78</v>
      </c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4"/>
      <c r="AN127" s="4"/>
      <c r="AO127" s="4"/>
      <c r="AP127" s="4"/>
      <c r="AQ127" s="4"/>
      <c r="AR127" s="4"/>
      <c r="AS127" s="4"/>
      <c r="AT127" s="4"/>
      <c r="AU127" s="4"/>
      <c r="AV127" s="4"/>
      <c r="AW127" s="4"/>
      <c r="AX127" s="4"/>
      <c r="AY127" s="4">
        <v>72.3</v>
      </c>
      <c r="AZ127" s="4"/>
      <c r="BA127" s="4">
        <v>111.6</v>
      </c>
      <c r="BB127" s="4"/>
      <c r="BC127" s="4"/>
      <c r="BD127" s="16">
        <v>25.5</v>
      </c>
      <c r="BE127" s="16">
        <v>1012</v>
      </c>
      <c r="BF127" s="16">
        <v>39.4</v>
      </c>
      <c r="BG127" s="59"/>
      <c r="BH127" s="4"/>
      <c r="BI127" s="4"/>
      <c r="BJ127" s="3" t="s">
        <v>273</v>
      </c>
      <c r="BK127"/>
      <c r="BL127"/>
      <c r="BM127"/>
      <c r="BR127"/>
    </row>
    <row r="128" spans="1:70" ht="28.5" x14ac:dyDescent="0.45">
      <c r="A128" s="2" t="s">
        <v>43</v>
      </c>
      <c r="B128" s="54" t="s">
        <v>79</v>
      </c>
      <c r="C128" s="3">
        <v>45236</v>
      </c>
      <c r="D128" s="8">
        <v>1</v>
      </c>
      <c r="E128" s="2" t="s">
        <v>547</v>
      </c>
      <c r="F128" s="4" t="s">
        <v>93</v>
      </c>
      <c r="G128" s="4" t="s">
        <v>15</v>
      </c>
      <c r="H128" s="4" t="s">
        <v>223</v>
      </c>
      <c r="I128" s="7">
        <v>0.15010000000000001</v>
      </c>
      <c r="J128" s="7">
        <v>0.15010000000000001</v>
      </c>
      <c r="K128" s="7">
        <v>5.3E-3</v>
      </c>
      <c r="L128" s="7">
        <v>0.151</v>
      </c>
      <c r="M128" s="7">
        <v>0.14660000000000001</v>
      </c>
      <c r="N128" s="7">
        <v>-0.6</v>
      </c>
      <c r="O128" s="4"/>
      <c r="P128" s="7">
        <v>1.2404999999999999</v>
      </c>
      <c r="Q128" s="7">
        <v>507</v>
      </c>
      <c r="T128" s="7">
        <v>59.7</v>
      </c>
      <c r="U128" s="7">
        <v>418</v>
      </c>
      <c r="V128" s="7">
        <v>750</v>
      </c>
      <c r="W128" s="4"/>
      <c r="X128" s="4"/>
      <c r="Y128" s="4" t="s">
        <v>78</v>
      </c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4"/>
      <c r="AN128" s="4"/>
      <c r="AO128" s="4"/>
      <c r="AP128" s="4"/>
      <c r="AQ128" s="4"/>
      <c r="AR128" s="4"/>
      <c r="AS128" s="4"/>
      <c r="AT128" s="4"/>
      <c r="AU128" s="4"/>
      <c r="AV128" s="4"/>
      <c r="AW128" s="4"/>
      <c r="AX128" s="4"/>
      <c r="AY128" s="4">
        <v>75.5</v>
      </c>
      <c r="AZ128" s="4"/>
      <c r="BA128" s="4">
        <v>111.6</v>
      </c>
      <c r="BB128" s="4"/>
      <c r="BC128" s="4"/>
      <c r="BD128" s="16">
        <v>25.5</v>
      </c>
      <c r="BE128" s="17">
        <v>1012</v>
      </c>
      <c r="BF128" s="16">
        <v>39.4</v>
      </c>
      <c r="BG128" s="15"/>
      <c r="BH128" s="4"/>
      <c r="BI128" s="4"/>
      <c r="BJ128" s="3" t="s">
        <v>208</v>
      </c>
      <c r="BK128"/>
      <c r="BL128"/>
      <c r="BM128"/>
      <c r="BR128"/>
    </row>
    <row r="129" spans="1:70" ht="28.5" x14ac:dyDescent="0.45">
      <c r="A129" s="2" t="s">
        <v>43</v>
      </c>
      <c r="B129" s="54" t="s">
        <v>79</v>
      </c>
      <c r="C129" s="3">
        <v>45236</v>
      </c>
      <c r="D129" s="8">
        <v>2</v>
      </c>
      <c r="E129" s="2" t="s">
        <v>547</v>
      </c>
      <c r="F129" s="4" t="s">
        <v>216</v>
      </c>
      <c r="G129" s="4" t="s">
        <v>15</v>
      </c>
      <c r="H129" s="4" t="s">
        <v>223</v>
      </c>
      <c r="I129" s="7">
        <v>0.1457</v>
      </c>
      <c r="J129" s="7">
        <v>0.1457</v>
      </c>
      <c r="K129" s="7">
        <v>2.5000000000000001E-3</v>
      </c>
      <c r="L129" s="7">
        <v>0.151</v>
      </c>
      <c r="M129" s="7">
        <v>0.14710000000000001</v>
      </c>
      <c r="N129" s="7">
        <v>-0.65</v>
      </c>
      <c r="O129" s="4"/>
      <c r="P129" s="7">
        <v>1.2404999999999999</v>
      </c>
      <c r="Q129" s="7">
        <v>507</v>
      </c>
      <c r="T129" s="7">
        <v>58.6</v>
      </c>
      <c r="U129" s="7">
        <v>397</v>
      </c>
      <c r="V129" s="7">
        <v>750</v>
      </c>
      <c r="W129" s="4"/>
      <c r="X129" s="4"/>
      <c r="Y129" s="4" t="s">
        <v>78</v>
      </c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4"/>
      <c r="AN129" s="4"/>
      <c r="AO129" s="4"/>
      <c r="AP129" s="4"/>
      <c r="AQ129" s="4"/>
      <c r="AR129" s="4"/>
      <c r="AS129" s="4"/>
      <c r="AT129" s="4"/>
      <c r="AU129" s="4"/>
      <c r="AV129" s="4"/>
      <c r="AW129" s="4"/>
      <c r="AX129" s="4"/>
      <c r="AY129" s="4">
        <v>84.6</v>
      </c>
      <c r="AZ129" s="4"/>
      <c r="BA129" s="4">
        <v>120.6</v>
      </c>
      <c r="BB129" s="4"/>
      <c r="BC129" s="4"/>
      <c r="BD129" s="16">
        <v>25.5</v>
      </c>
      <c r="BE129" s="17">
        <v>1012</v>
      </c>
      <c r="BF129" s="16">
        <v>39.4</v>
      </c>
      <c r="BG129" s="15"/>
      <c r="BH129" s="4"/>
      <c r="BI129" s="4"/>
      <c r="BJ129" s="3" t="s">
        <v>277</v>
      </c>
      <c r="BK129"/>
      <c r="BL129"/>
      <c r="BM129"/>
      <c r="BR129"/>
    </row>
    <row r="130" spans="1:70" ht="57" x14ac:dyDescent="0.45">
      <c r="A130" s="2" t="s">
        <v>43</v>
      </c>
      <c r="B130" s="54" t="s">
        <v>79</v>
      </c>
      <c r="C130" s="3">
        <v>45236</v>
      </c>
      <c r="D130" s="8">
        <v>3</v>
      </c>
      <c r="E130" s="2" t="s">
        <v>547</v>
      </c>
      <c r="F130" s="4" t="s">
        <v>216</v>
      </c>
      <c r="G130" s="4" t="s">
        <v>578</v>
      </c>
      <c r="H130" s="4" t="s">
        <v>223</v>
      </c>
      <c r="I130" s="7">
        <v>0.14879999999999999</v>
      </c>
      <c r="J130" s="7">
        <v>0.14879999999999999</v>
      </c>
      <c r="K130" s="7">
        <v>4.5999999999999999E-3</v>
      </c>
      <c r="L130" s="7">
        <v>0.155</v>
      </c>
      <c r="M130" s="7">
        <v>0.14699999999999999</v>
      </c>
      <c r="N130" s="7">
        <v>-0.62</v>
      </c>
      <c r="O130" s="4"/>
      <c r="P130" s="7">
        <v>1.2404999999999999</v>
      </c>
      <c r="Q130" s="7">
        <v>507</v>
      </c>
      <c r="T130" s="7">
        <v>60.9</v>
      </c>
      <c r="U130" s="7">
        <v>448</v>
      </c>
      <c r="V130" s="7">
        <v>750</v>
      </c>
      <c r="W130" s="4"/>
      <c r="X130" s="4"/>
      <c r="Y130" s="4" t="s">
        <v>78</v>
      </c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4"/>
      <c r="AN130" s="4"/>
      <c r="AO130" s="4"/>
      <c r="AP130" s="4"/>
      <c r="AQ130" s="4"/>
      <c r="AR130" s="4"/>
      <c r="AS130" s="4"/>
      <c r="AT130" s="4"/>
      <c r="AU130" s="4"/>
      <c r="AV130" s="4"/>
      <c r="AW130" s="4"/>
      <c r="AX130" s="4"/>
      <c r="AY130" s="4">
        <v>70.3</v>
      </c>
      <c r="AZ130" s="4"/>
      <c r="BA130" s="4">
        <v>111.6</v>
      </c>
      <c r="BB130" s="4"/>
      <c r="BC130" s="4"/>
      <c r="BD130" s="16">
        <v>25.5</v>
      </c>
      <c r="BE130" s="17">
        <v>1012</v>
      </c>
      <c r="BF130" s="16">
        <v>39.4</v>
      </c>
      <c r="BG130" s="15"/>
      <c r="BH130" s="4"/>
      <c r="BI130" s="4" t="s">
        <v>100</v>
      </c>
      <c r="BJ130" s="3" t="s">
        <v>278</v>
      </c>
      <c r="BK130"/>
      <c r="BL130"/>
      <c r="BM130"/>
      <c r="BR130"/>
    </row>
    <row r="131" spans="1:70" ht="28.5" x14ac:dyDescent="0.45">
      <c r="A131" s="2" t="s">
        <v>43</v>
      </c>
      <c r="B131" s="54" t="s">
        <v>79</v>
      </c>
      <c r="C131" s="3">
        <v>45236</v>
      </c>
      <c r="D131" s="8">
        <v>4</v>
      </c>
      <c r="E131" s="2" t="s">
        <v>547</v>
      </c>
      <c r="F131" s="4" t="s">
        <v>216</v>
      </c>
      <c r="G131" s="4" t="s">
        <v>578</v>
      </c>
      <c r="H131" s="4" t="s">
        <v>330</v>
      </c>
      <c r="I131" s="7">
        <v>0.15029999999999999</v>
      </c>
      <c r="J131" s="7">
        <v>0.15029999999999999</v>
      </c>
      <c r="K131" s="7">
        <v>4.4000000000000003E-3</v>
      </c>
      <c r="L131" s="7">
        <v>0.154</v>
      </c>
      <c r="M131" s="7">
        <v>0.1487</v>
      </c>
      <c r="N131" s="7">
        <v>-0.62</v>
      </c>
      <c r="O131" s="4"/>
      <c r="P131" s="7">
        <v>1.2404999999999999</v>
      </c>
      <c r="Q131" s="7">
        <v>507</v>
      </c>
      <c r="T131" s="7">
        <v>60.3</v>
      </c>
      <c r="U131" s="7">
        <v>431</v>
      </c>
      <c r="V131" s="7">
        <v>750</v>
      </c>
      <c r="W131" s="4"/>
      <c r="X131" s="4"/>
      <c r="Y131" s="4" t="s">
        <v>78</v>
      </c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4"/>
      <c r="AN131" s="4"/>
      <c r="AO131" s="4"/>
      <c r="AP131" s="4"/>
      <c r="AQ131" s="4"/>
      <c r="AR131" s="4"/>
      <c r="AS131" s="4"/>
      <c r="AT131" s="4"/>
      <c r="AU131" s="4"/>
      <c r="AV131" s="4"/>
      <c r="AW131" s="4"/>
      <c r="AX131" s="4"/>
      <c r="AY131" s="4">
        <v>72.400000000000006</v>
      </c>
      <c r="AZ131" s="4"/>
      <c r="BA131" s="4">
        <v>111.6</v>
      </c>
      <c r="BB131" s="4"/>
      <c r="BC131" s="4"/>
      <c r="BD131" s="16">
        <v>25.5</v>
      </c>
      <c r="BE131" s="17">
        <v>1012</v>
      </c>
      <c r="BF131" s="16">
        <v>39.4</v>
      </c>
      <c r="BG131" s="15"/>
      <c r="BH131" s="4"/>
      <c r="BI131" s="4"/>
      <c r="BJ131" s="3" t="s">
        <v>279</v>
      </c>
      <c r="BK131"/>
      <c r="BL131"/>
      <c r="BM131"/>
      <c r="BR131"/>
    </row>
    <row r="132" spans="1:70" ht="28.5" x14ac:dyDescent="0.45">
      <c r="A132" s="2" t="s">
        <v>43</v>
      </c>
      <c r="B132" s="54" t="s">
        <v>79</v>
      </c>
      <c r="C132" s="3">
        <v>45236</v>
      </c>
      <c r="D132" s="8">
        <v>5</v>
      </c>
      <c r="E132" s="2" t="s">
        <v>547</v>
      </c>
      <c r="F132" s="4" t="s">
        <v>93</v>
      </c>
      <c r="G132" s="4" t="s">
        <v>15</v>
      </c>
      <c r="H132" s="4" t="s">
        <v>223</v>
      </c>
      <c r="I132" s="7">
        <v>0.14899999999999999</v>
      </c>
      <c r="J132" s="7">
        <v>0.14899999999999999</v>
      </c>
      <c r="K132" s="7">
        <v>4.0000000000000001E-3</v>
      </c>
      <c r="L132" s="7">
        <v>0.14899999999999999</v>
      </c>
      <c r="M132" s="7">
        <v>0.14610000000000001</v>
      </c>
      <c r="N132" s="7">
        <v>-0.56999999999999995</v>
      </c>
      <c r="O132" s="4"/>
      <c r="P132" s="7">
        <v>1.2404999999999999</v>
      </c>
      <c r="Q132" s="7">
        <v>507</v>
      </c>
      <c r="T132" s="7">
        <v>60.3</v>
      </c>
      <c r="U132" s="7">
        <v>428</v>
      </c>
      <c r="V132" s="7">
        <v>750</v>
      </c>
      <c r="W132" s="4"/>
      <c r="X132" s="4"/>
      <c r="Y132" s="4" t="s">
        <v>78</v>
      </c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4"/>
      <c r="AN132" s="4"/>
      <c r="AO132" s="4"/>
      <c r="AP132" s="4"/>
      <c r="AQ132" s="4"/>
      <c r="AR132" s="4"/>
      <c r="AS132" s="4"/>
      <c r="AT132" s="4"/>
      <c r="AU132" s="4"/>
      <c r="AV132" s="4"/>
      <c r="AW132" s="4"/>
      <c r="AX132" s="4"/>
      <c r="AY132" s="4">
        <v>75.5</v>
      </c>
      <c r="AZ132" s="4"/>
      <c r="BA132" s="4">
        <v>111.6</v>
      </c>
      <c r="BB132" s="4"/>
      <c r="BC132" s="4"/>
      <c r="BD132" s="16">
        <v>26</v>
      </c>
      <c r="BE132" s="62">
        <v>1012</v>
      </c>
      <c r="BF132" s="16">
        <v>40</v>
      </c>
      <c r="BG132" s="58"/>
      <c r="BH132" s="4"/>
      <c r="BI132" s="4"/>
      <c r="BJ132" s="3" t="s">
        <v>280</v>
      </c>
      <c r="BK132"/>
      <c r="BL132"/>
      <c r="BM132"/>
      <c r="BR132"/>
    </row>
    <row r="133" spans="1:70" ht="28.5" x14ac:dyDescent="0.45">
      <c r="A133" s="2" t="s">
        <v>43</v>
      </c>
      <c r="B133" s="54" t="s">
        <v>79</v>
      </c>
      <c r="C133" s="3">
        <v>45236</v>
      </c>
      <c r="D133" s="8">
        <v>6</v>
      </c>
      <c r="E133" s="2" t="s">
        <v>547</v>
      </c>
      <c r="F133" s="4" t="s">
        <v>216</v>
      </c>
      <c r="G133" s="4" t="s">
        <v>15</v>
      </c>
      <c r="H133" s="4" t="s">
        <v>223</v>
      </c>
      <c r="I133" s="7">
        <v>0.14960000000000001</v>
      </c>
      <c r="J133" s="7">
        <v>0.14960000000000001</v>
      </c>
      <c r="K133" s="7">
        <v>1.6999999999999999E-3</v>
      </c>
      <c r="L133" s="7">
        <v>0.15</v>
      </c>
      <c r="M133" s="7">
        <v>0.1462</v>
      </c>
      <c r="N133" s="7">
        <v>-0.65</v>
      </c>
      <c r="O133" s="4"/>
      <c r="P133" s="7">
        <v>1.2404999999999999</v>
      </c>
      <c r="Q133" s="7">
        <v>507</v>
      </c>
      <c r="T133" s="7">
        <v>61.5</v>
      </c>
      <c r="U133" s="7">
        <v>444</v>
      </c>
      <c r="V133" s="7">
        <v>750</v>
      </c>
      <c r="W133" s="4"/>
      <c r="X133" s="4"/>
      <c r="Y133" s="4" t="s">
        <v>78</v>
      </c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4"/>
      <c r="AN133" s="4"/>
      <c r="AO133" s="4"/>
      <c r="AP133" s="4"/>
      <c r="AQ133" s="4"/>
      <c r="AR133" s="4"/>
      <c r="AS133" s="4"/>
      <c r="AT133" s="4"/>
      <c r="AU133" s="4"/>
      <c r="AV133" s="4"/>
      <c r="AW133" s="4"/>
      <c r="AX133" s="4"/>
      <c r="AY133" s="4">
        <v>84.3</v>
      </c>
      <c r="AZ133" s="4"/>
      <c r="BA133" s="4">
        <v>120.6</v>
      </c>
      <c r="BB133" s="4"/>
      <c r="BC133" s="4"/>
      <c r="BD133" s="16">
        <v>26</v>
      </c>
      <c r="BE133" s="17">
        <v>1012</v>
      </c>
      <c r="BF133" s="16">
        <v>40</v>
      </c>
      <c r="BG133" s="15"/>
      <c r="BH133" s="4"/>
      <c r="BI133" s="4"/>
      <c r="BJ133" s="3" t="s">
        <v>274</v>
      </c>
      <c r="BK133"/>
      <c r="BL133"/>
      <c r="BM133"/>
      <c r="BR133"/>
    </row>
    <row r="134" spans="1:70" ht="28.5" x14ac:dyDescent="0.45">
      <c r="A134" s="2" t="s">
        <v>43</v>
      </c>
      <c r="B134" s="54" t="s">
        <v>79</v>
      </c>
      <c r="C134" s="3">
        <v>45236</v>
      </c>
      <c r="D134" s="8">
        <v>7</v>
      </c>
      <c r="E134" s="2" t="s">
        <v>547</v>
      </c>
      <c r="F134" s="4" t="s">
        <v>216</v>
      </c>
      <c r="G134" s="4" t="s">
        <v>578</v>
      </c>
      <c r="H134" s="4" t="s">
        <v>223</v>
      </c>
      <c r="I134" s="7">
        <v>0.1482</v>
      </c>
      <c r="J134" s="7">
        <v>0.1482</v>
      </c>
      <c r="K134" s="7">
        <v>3.7000000000000002E-3</v>
      </c>
      <c r="L134" s="7">
        <v>0.155</v>
      </c>
      <c r="M134" s="7">
        <v>0.1472</v>
      </c>
      <c r="N134" s="7">
        <v>-0.59</v>
      </c>
      <c r="O134" s="4"/>
      <c r="P134" s="7">
        <v>1.2404999999999999</v>
      </c>
      <c r="Q134" s="7">
        <v>507</v>
      </c>
      <c r="T134" s="7">
        <v>60.8</v>
      </c>
      <c r="U134" s="7">
        <v>446</v>
      </c>
      <c r="V134" s="7">
        <v>750</v>
      </c>
      <c r="W134" s="4"/>
      <c r="X134" s="4"/>
      <c r="Y134" s="4" t="s">
        <v>78</v>
      </c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4"/>
      <c r="AN134" s="4"/>
      <c r="AO134" s="4"/>
      <c r="AP134" s="4"/>
      <c r="AQ134" s="4"/>
      <c r="AR134" s="4"/>
      <c r="AS134" s="4"/>
      <c r="AT134" s="4"/>
      <c r="AU134" s="4"/>
      <c r="AV134" s="4"/>
      <c r="AW134" s="4"/>
      <c r="AX134" s="4"/>
      <c r="AY134" s="4">
        <v>70.2</v>
      </c>
      <c r="AZ134" s="4"/>
      <c r="BA134" s="4">
        <v>111.6</v>
      </c>
      <c r="BB134" s="4"/>
      <c r="BC134" s="4"/>
      <c r="BD134" s="16">
        <v>26</v>
      </c>
      <c r="BE134" s="17">
        <v>1012</v>
      </c>
      <c r="BF134" s="16">
        <v>40</v>
      </c>
      <c r="BG134" s="15"/>
      <c r="BH134" s="4"/>
      <c r="BI134" s="4"/>
      <c r="BJ134" s="3" t="s">
        <v>275</v>
      </c>
      <c r="BK134"/>
      <c r="BL134"/>
      <c r="BM134"/>
      <c r="BR134"/>
    </row>
    <row r="135" spans="1:70" ht="28.5" x14ac:dyDescent="0.45">
      <c r="A135" s="2" t="s">
        <v>43</v>
      </c>
      <c r="B135" s="54" t="s">
        <v>79</v>
      </c>
      <c r="C135" s="3">
        <v>45236</v>
      </c>
      <c r="D135" s="8">
        <v>8</v>
      </c>
      <c r="E135" s="2" t="s">
        <v>547</v>
      </c>
      <c r="F135" s="4" t="s">
        <v>216</v>
      </c>
      <c r="G135" s="4" t="s">
        <v>578</v>
      </c>
      <c r="H135" s="4" t="s">
        <v>330</v>
      </c>
      <c r="I135" s="7">
        <v>0.1489</v>
      </c>
      <c r="J135" s="7">
        <v>0.1489</v>
      </c>
      <c r="K135" s="7">
        <v>3.8E-3</v>
      </c>
      <c r="L135" s="7">
        <v>0.156</v>
      </c>
      <c r="M135" s="7">
        <v>0.14799999999999999</v>
      </c>
      <c r="N135" s="7">
        <v>-0.61</v>
      </c>
      <c r="O135" s="4"/>
      <c r="P135" s="7">
        <v>1.2404999999999999</v>
      </c>
      <c r="Q135" s="7">
        <v>507</v>
      </c>
      <c r="T135" s="7">
        <v>61.1</v>
      </c>
      <c r="U135" s="7">
        <v>454</v>
      </c>
      <c r="V135" s="7">
        <v>750</v>
      </c>
      <c r="W135" s="4"/>
      <c r="X135" s="4"/>
      <c r="Y135" s="4" t="s">
        <v>78</v>
      </c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4"/>
      <c r="AN135" s="4"/>
      <c r="AO135" s="4"/>
      <c r="AP135" s="4"/>
      <c r="AQ135" s="4"/>
      <c r="AR135" s="4"/>
      <c r="AS135" s="4"/>
      <c r="AT135" s="4"/>
      <c r="AU135" s="4"/>
      <c r="AV135" s="4"/>
      <c r="AW135" s="4"/>
      <c r="AX135" s="4"/>
      <c r="AY135" s="4">
        <v>72.5</v>
      </c>
      <c r="AZ135" s="4"/>
      <c r="BA135" s="4">
        <v>111.6</v>
      </c>
      <c r="BB135" s="4"/>
      <c r="BC135" s="4"/>
      <c r="BD135" s="16">
        <v>26</v>
      </c>
      <c r="BE135" s="17">
        <v>1012</v>
      </c>
      <c r="BF135" s="16">
        <v>40</v>
      </c>
      <c r="BG135" s="15"/>
      <c r="BH135" s="4"/>
      <c r="BI135" s="4"/>
      <c r="BJ135" s="3" t="s">
        <v>276</v>
      </c>
      <c r="BK135"/>
      <c r="BL135"/>
      <c r="BM135"/>
      <c r="BR135"/>
    </row>
    <row r="136" spans="1:70" ht="28.5" x14ac:dyDescent="0.45">
      <c r="A136" s="2" t="s">
        <v>43</v>
      </c>
      <c r="B136" s="54" t="s">
        <v>44</v>
      </c>
      <c r="C136" s="3">
        <v>45239</v>
      </c>
      <c r="D136" s="8">
        <v>1</v>
      </c>
      <c r="E136" s="2" t="s">
        <v>212</v>
      </c>
      <c r="F136" s="4" t="s">
        <v>15</v>
      </c>
      <c r="G136" s="4" t="s">
        <v>15</v>
      </c>
      <c r="H136" s="4" t="s">
        <v>330</v>
      </c>
      <c r="I136" s="7">
        <v>0.16550000000000001</v>
      </c>
      <c r="J136" s="7">
        <v>0.16550000000000001</v>
      </c>
      <c r="K136" s="7">
        <v>4.7999999999999996E-3</v>
      </c>
      <c r="L136" s="7">
        <v>0.16900000000000001</v>
      </c>
      <c r="M136" s="7">
        <v>0.16919999999999999</v>
      </c>
      <c r="N136" s="7">
        <v>-0.45</v>
      </c>
      <c r="O136" s="4"/>
      <c r="P136" s="7">
        <v>1.302</v>
      </c>
      <c r="Q136" s="7">
        <v>497</v>
      </c>
      <c r="T136" s="7">
        <v>59.1</v>
      </c>
      <c r="U136" s="7">
        <v>464</v>
      </c>
      <c r="V136" s="7">
        <v>750</v>
      </c>
      <c r="W136" s="4"/>
      <c r="X136" s="4"/>
      <c r="Y136" s="4" t="s">
        <v>78</v>
      </c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4"/>
      <c r="AN136" s="4"/>
      <c r="AO136" s="4"/>
      <c r="AP136" s="4"/>
      <c r="AQ136" s="4"/>
      <c r="AR136" s="4"/>
      <c r="AS136" s="4"/>
      <c r="AT136" s="4"/>
      <c r="AU136" s="4"/>
      <c r="AV136" s="4"/>
      <c r="AW136" s="4"/>
      <c r="AX136" s="4"/>
      <c r="AY136" s="4">
        <v>75.400000000000006</v>
      </c>
      <c r="AZ136" s="4"/>
      <c r="BA136" s="4">
        <v>111.6</v>
      </c>
      <c r="BB136" s="4"/>
      <c r="BC136" s="4"/>
      <c r="BD136" s="16">
        <v>26.3</v>
      </c>
      <c r="BE136" s="17">
        <v>1012</v>
      </c>
      <c r="BF136" s="16">
        <v>40</v>
      </c>
      <c r="BG136" s="15"/>
      <c r="BH136" s="4"/>
      <c r="BI136" s="4"/>
      <c r="BJ136" s="3" t="s">
        <v>322</v>
      </c>
      <c r="BK136"/>
      <c r="BL136"/>
      <c r="BM136"/>
      <c r="BR136"/>
    </row>
    <row r="137" spans="1:70" ht="28.5" x14ac:dyDescent="0.45">
      <c r="A137" s="2" t="s">
        <v>43</v>
      </c>
      <c r="B137" s="54" t="s">
        <v>44</v>
      </c>
      <c r="C137" s="3">
        <v>45239</v>
      </c>
      <c r="D137" s="8">
        <v>2</v>
      </c>
      <c r="E137" s="2" t="s">
        <v>98</v>
      </c>
      <c r="F137" s="4" t="s">
        <v>15</v>
      </c>
      <c r="G137" s="4" t="s">
        <v>15</v>
      </c>
      <c r="H137" s="4" t="s">
        <v>330</v>
      </c>
      <c r="I137" s="7">
        <v>0.16969999999999999</v>
      </c>
      <c r="J137" s="7">
        <v>0.16969999999999999</v>
      </c>
      <c r="K137" s="7">
        <v>2.5999999999999999E-3</v>
      </c>
      <c r="L137" s="7">
        <v>0.16800000000000001</v>
      </c>
      <c r="M137" s="7">
        <v>0.17069999999999999</v>
      </c>
      <c r="N137" s="7">
        <v>-0.46</v>
      </c>
      <c r="O137" s="4"/>
      <c r="P137" s="7">
        <v>1.302</v>
      </c>
      <c r="Q137" s="7">
        <v>497</v>
      </c>
      <c r="T137" s="7">
        <v>58.2</v>
      </c>
      <c r="U137" s="7">
        <v>434</v>
      </c>
      <c r="V137" s="7">
        <v>750</v>
      </c>
      <c r="W137" s="4"/>
      <c r="X137" s="4"/>
      <c r="Y137" s="4" t="s">
        <v>78</v>
      </c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  <c r="AN137" s="4"/>
      <c r="AO137" s="4"/>
      <c r="AP137" s="4"/>
      <c r="AQ137" s="4"/>
      <c r="AR137" s="4"/>
      <c r="AS137" s="4"/>
      <c r="AT137" s="4"/>
      <c r="AU137" s="4"/>
      <c r="AV137" s="4"/>
      <c r="AW137" s="4"/>
      <c r="AX137" s="4"/>
      <c r="AY137" s="4">
        <v>84.6</v>
      </c>
      <c r="AZ137" s="4"/>
      <c r="BA137" s="4">
        <v>120.6</v>
      </c>
      <c r="BB137" s="4"/>
      <c r="BC137" s="4"/>
      <c r="BD137" s="16">
        <v>26.3</v>
      </c>
      <c r="BE137" s="17">
        <v>1012</v>
      </c>
      <c r="BF137" s="16">
        <v>40</v>
      </c>
      <c r="BG137" s="15"/>
      <c r="BH137" s="4"/>
      <c r="BI137" s="4"/>
      <c r="BJ137" s="3" t="s">
        <v>321</v>
      </c>
      <c r="BK137"/>
      <c r="BL137"/>
      <c r="BM137"/>
      <c r="BR137"/>
    </row>
    <row r="138" spans="1:70" ht="28.5" x14ac:dyDescent="0.45">
      <c r="A138" s="2" t="s">
        <v>43</v>
      </c>
      <c r="B138" s="54" t="s">
        <v>44</v>
      </c>
      <c r="C138" s="3">
        <v>45239</v>
      </c>
      <c r="D138" s="8">
        <v>3</v>
      </c>
      <c r="E138" s="2" t="s">
        <v>213</v>
      </c>
      <c r="F138" s="4" t="s">
        <v>15</v>
      </c>
      <c r="G138" s="4" t="s">
        <v>15</v>
      </c>
      <c r="H138" s="4" t="s">
        <v>330</v>
      </c>
      <c r="I138" s="7">
        <v>0.1633</v>
      </c>
      <c r="J138" s="7">
        <v>0.1633</v>
      </c>
      <c r="K138" s="7">
        <v>1.6999999999999999E-3</v>
      </c>
      <c r="L138" s="7">
        <v>0.16300000000000001</v>
      </c>
      <c r="M138" s="7">
        <v>0.16289999999999999</v>
      </c>
      <c r="N138" s="7">
        <v>-0.52</v>
      </c>
      <c r="O138" s="4"/>
      <c r="P138" s="7">
        <v>1.302</v>
      </c>
      <c r="Q138" s="7">
        <v>497</v>
      </c>
      <c r="T138" s="7">
        <v>58.6</v>
      </c>
      <c r="U138" s="7">
        <v>424</v>
      </c>
      <c r="V138" s="7">
        <v>750</v>
      </c>
      <c r="W138" s="4"/>
      <c r="X138" s="4"/>
      <c r="Y138" s="4" t="s">
        <v>78</v>
      </c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4"/>
      <c r="AN138" s="4"/>
      <c r="AO138" s="4"/>
      <c r="AP138" s="4"/>
      <c r="AQ138" s="4"/>
      <c r="AR138" s="4"/>
      <c r="AS138" s="4"/>
      <c r="AT138" s="4"/>
      <c r="AU138" s="4"/>
      <c r="AV138" s="4"/>
      <c r="AW138" s="4"/>
      <c r="AX138" s="4"/>
      <c r="AY138" s="4">
        <v>70.099999999999994</v>
      </c>
      <c r="AZ138" s="4"/>
      <c r="BA138" s="4">
        <v>111.6</v>
      </c>
      <c r="BB138" s="4"/>
      <c r="BC138" s="4"/>
      <c r="BD138" s="16">
        <v>26.3</v>
      </c>
      <c r="BE138" s="62">
        <v>1012</v>
      </c>
      <c r="BF138" s="16">
        <v>40</v>
      </c>
      <c r="BG138" s="58"/>
      <c r="BH138" s="4"/>
      <c r="BI138" s="4"/>
      <c r="BJ138" s="3" t="s">
        <v>320</v>
      </c>
      <c r="BK138"/>
      <c r="BL138"/>
      <c r="BM138"/>
      <c r="BR138"/>
    </row>
    <row r="139" spans="1:70" ht="28.5" x14ac:dyDescent="0.45">
      <c r="A139" s="2" t="s">
        <v>43</v>
      </c>
      <c r="B139" s="54" t="s">
        <v>44</v>
      </c>
      <c r="C139" s="3">
        <v>45239</v>
      </c>
      <c r="D139" s="8">
        <v>4</v>
      </c>
      <c r="E139" s="2" t="s">
        <v>212</v>
      </c>
      <c r="F139" s="4" t="s">
        <v>15</v>
      </c>
      <c r="G139" s="4" t="s">
        <v>15</v>
      </c>
      <c r="H139" s="4" t="s">
        <v>330</v>
      </c>
      <c r="I139" s="7">
        <v>0.16650000000000001</v>
      </c>
      <c r="J139" s="7">
        <v>0.16650000000000001</v>
      </c>
      <c r="K139" s="7">
        <v>4.0000000000000001E-3</v>
      </c>
      <c r="L139" s="7">
        <v>0.161</v>
      </c>
      <c r="M139" s="7">
        <v>0.16830000000000001</v>
      </c>
      <c r="N139" s="7">
        <v>-0.48</v>
      </c>
      <c r="O139" s="4"/>
      <c r="P139" s="7">
        <v>1.302</v>
      </c>
      <c r="Q139" s="7">
        <v>497</v>
      </c>
      <c r="T139" s="7">
        <v>58.7</v>
      </c>
      <c r="U139" s="7">
        <v>425</v>
      </c>
      <c r="V139" s="7">
        <v>750</v>
      </c>
      <c r="W139" s="4"/>
      <c r="X139" s="4"/>
      <c r="Y139" s="4" t="s">
        <v>78</v>
      </c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4"/>
      <c r="AN139" s="4"/>
      <c r="AO139" s="4"/>
      <c r="AP139" s="4"/>
      <c r="AQ139" s="4"/>
      <c r="AR139" s="4"/>
      <c r="AS139" s="4"/>
      <c r="AT139" s="4"/>
      <c r="AU139" s="4"/>
      <c r="AV139" s="4"/>
      <c r="AW139" s="4"/>
      <c r="AX139" s="4"/>
      <c r="AY139" s="4">
        <v>72.400000000000006</v>
      </c>
      <c r="AZ139" s="4"/>
      <c r="BA139" s="4">
        <v>111.6</v>
      </c>
      <c r="BB139" s="4"/>
      <c r="BC139" s="4"/>
      <c r="BD139" s="16">
        <v>26.3</v>
      </c>
      <c r="BE139" s="17">
        <v>1012</v>
      </c>
      <c r="BF139" s="16">
        <v>40</v>
      </c>
      <c r="BG139" s="15"/>
      <c r="BH139" s="4"/>
      <c r="BI139" s="4"/>
      <c r="BJ139" s="3" t="s">
        <v>319</v>
      </c>
      <c r="BK139"/>
      <c r="BL139"/>
      <c r="BM139"/>
      <c r="BR139"/>
    </row>
    <row r="140" spans="1:70" ht="28.5" x14ac:dyDescent="0.45">
      <c r="A140" s="2" t="s">
        <v>43</v>
      </c>
      <c r="B140" s="54" t="s">
        <v>44</v>
      </c>
      <c r="C140" s="3">
        <v>45239</v>
      </c>
      <c r="D140" s="8">
        <v>5</v>
      </c>
      <c r="E140" s="2" t="s">
        <v>98</v>
      </c>
      <c r="F140" s="4" t="s">
        <v>15</v>
      </c>
      <c r="G140" s="4" t="s">
        <v>15</v>
      </c>
      <c r="H140" s="4" t="s">
        <v>330</v>
      </c>
      <c r="I140" s="7">
        <v>0.1676</v>
      </c>
      <c r="J140" s="7">
        <v>0.1676</v>
      </c>
      <c r="K140" s="7">
        <v>2.0999999999999999E-3</v>
      </c>
      <c r="L140" s="7">
        <v>0.16200000000000001</v>
      </c>
      <c r="M140" s="7">
        <v>0.16789999999999999</v>
      </c>
      <c r="N140" s="7">
        <v>-0.46</v>
      </c>
      <c r="O140" s="4"/>
      <c r="P140" s="7">
        <v>1.302</v>
      </c>
      <c r="Q140" s="7">
        <v>497</v>
      </c>
      <c r="T140" s="7">
        <v>58.3</v>
      </c>
      <c r="U140" s="7">
        <v>420</v>
      </c>
      <c r="V140" s="7">
        <v>750</v>
      </c>
      <c r="W140" s="4"/>
      <c r="X140" s="4"/>
      <c r="Y140" s="4" t="s">
        <v>78</v>
      </c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  <c r="AT140" s="4"/>
      <c r="AU140" s="4"/>
      <c r="AV140" s="4"/>
      <c r="AW140" s="4"/>
      <c r="AX140" s="4"/>
      <c r="AY140" s="4">
        <v>75.5</v>
      </c>
      <c r="AZ140" s="4"/>
      <c r="BA140" s="4">
        <v>111.6</v>
      </c>
      <c r="BB140" s="4"/>
      <c r="BC140" s="4"/>
      <c r="BD140" s="16">
        <v>26.5</v>
      </c>
      <c r="BE140" s="17">
        <v>1011</v>
      </c>
      <c r="BF140" s="16">
        <v>40</v>
      </c>
      <c r="BG140" s="15"/>
      <c r="BH140" s="4"/>
      <c r="BI140" s="4"/>
      <c r="BJ140" s="3" t="s">
        <v>318</v>
      </c>
      <c r="BK140"/>
      <c r="BL140"/>
      <c r="BM140"/>
      <c r="BR140"/>
    </row>
    <row r="141" spans="1:70" ht="28.5" x14ac:dyDescent="0.45">
      <c r="A141" s="2" t="s">
        <v>43</v>
      </c>
      <c r="B141" s="54" t="s">
        <v>44</v>
      </c>
      <c r="C141" s="3">
        <v>45239</v>
      </c>
      <c r="D141" s="8">
        <v>6</v>
      </c>
      <c r="E141" s="2" t="s">
        <v>213</v>
      </c>
      <c r="F141" s="4" t="s">
        <v>15</v>
      </c>
      <c r="G141" s="4" t="s">
        <v>15</v>
      </c>
      <c r="H141" s="4" t="s">
        <v>330</v>
      </c>
      <c r="I141" s="7">
        <v>0.16350000000000001</v>
      </c>
      <c r="J141" s="7">
        <v>0.16350000000000001</v>
      </c>
      <c r="K141" s="7">
        <v>3.0000000000000001E-3</v>
      </c>
      <c r="L141" s="7">
        <v>0.16400000000000001</v>
      </c>
      <c r="M141" s="7">
        <v>0.16489999999999999</v>
      </c>
      <c r="N141" s="7">
        <v>-0.46</v>
      </c>
      <c r="O141" s="4"/>
      <c r="P141" s="7">
        <v>1.302</v>
      </c>
      <c r="Q141" s="7">
        <v>497</v>
      </c>
      <c r="T141" s="7">
        <v>59.5</v>
      </c>
      <c r="U141" s="7">
        <v>450</v>
      </c>
      <c r="V141" s="7">
        <v>750</v>
      </c>
      <c r="W141" s="4"/>
      <c r="X141" s="4"/>
      <c r="Y141" s="4" t="s">
        <v>78</v>
      </c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4"/>
      <c r="AT141" s="4"/>
      <c r="AU141" s="4"/>
      <c r="AV141" s="4"/>
      <c r="AW141" s="4"/>
      <c r="AX141" s="4"/>
      <c r="AY141" s="4">
        <v>84.5</v>
      </c>
      <c r="AZ141" s="4"/>
      <c r="BA141" s="4">
        <v>120.6</v>
      </c>
      <c r="BB141" s="4"/>
      <c r="BC141" s="4"/>
      <c r="BD141" s="16">
        <v>26.5</v>
      </c>
      <c r="BE141" s="17">
        <v>1011</v>
      </c>
      <c r="BF141" s="16">
        <v>40</v>
      </c>
      <c r="BG141" s="15"/>
      <c r="BH141" s="4"/>
      <c r="BI141" s="4"/>
      <c r="BJ141" s="3" t="s">
        <v>317</v>
      </c>
      <c r="BK141"/>
      <c r="BL141"/>
      <c r="BM141"/>
      <c r="BR141"/>
    </row>
    <row r="142" spans="1:70" ht="28.5" x14ac:dyDescent="0.45">
      <c r="A142" s="2" t="s">
        <v>13</v>
      </c>
      <c r="B142" s="54" t="s">
        <v>17</v>
      </c>
      <c r="C142" s="3">
        <v>45239</v>
      </c>
      <c r="D142" s="8">
        <v>1</v>
      </c>
      <c r="E142" s="2" t="s">
        <v>212</v>
      </c>
      <c r="F142" s="4" t="s">
        <v>15</v>
      </c>
      <c r="G142" s="4" t="s">
        <v>577</v>
      </c>
      <c r="H142" s="4" t="s">
        <v>571</v>
      </c>
      <c r="I142" s="7">
        <v>0.17219999999999999</v>
      </c>
      <c r="J142" s="7">
        <v>0.17219999999999999</v>
      </c>
      <c r="K142" s="7">
        <v>6.8999999999999999E-3</v>
      </c>
      <c r="L142" s="7"/>
      <c r="M142" s="7">
        <v>0.17199999999999999</v>
      </c>
      <c r="N142" s="7">
        <v>-0.47</v>
      </c>
      <c r="O142" s="4"/>
      <c r="P142" s="7">
        <v>1.2515000000000001</v>
      </c>
      <c r="Q142" s="7">
        <v>504</v>
      </c>
      <c r="T142" s="7">
        <v>66.5</v>
      </c>
      <c r="U142" s="7">
        <v>614</v>
      </c>
      <c r="V142" s="7">
        <v>750</v>
      </c>
      <c r="W142" s="4"/>
      <c r="X142" s="4"/>
      <c r="Y142" s="4" t="s">
        <v>78</v>
      </c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/>
      <c r="AP142" s="4"/>
      <c r="AQ142" s="4"/>
      <c r="AR142" s="4"/>
      <c r="AS142" s="4"/>
      <c r="AT142" s="4"/>
      <c r="AU142" s="4"/>
      <c r="AV142" s="4"/>
      <c r="AW142" s="4"/>
      <c r="AX142" s="4"/>
      <c r="AY142" s="4">
        <v>70.099999999999994</v>
      </c>
      <c r="AZ142" s="4"/>
      <c r="BA142" s="4">
        <v>111.6</v>
      </c>
      <c r="BB142" s="4"/>
      <c r="BC142" s="4"/>
      <c r="BD142" s="16">
        <v>26.5</v>
      </c>
      <c r="BE142" s="17">
        <v>1011</v>
      </c>
      <c r="BF142" s="16">
        <v>40</v>
      </c>
      <c r="BG142" s="15"/>
      <c r="BH142" s="4"/>
      <c r="BI142" s="13" t="s">
        <v>101</v>
      </c>
      <c r="BJ142" s="3" t="s">
        <v>323</v>
      </c>
      <c r="BK142"/>
      <c r="BL142"/>
      <c r="BM142"/>
      <c r="BR142"/>
    </row>
    <row r="143" spans="1:70" ht="28.5" x14ac:dyDescent="0.45">
      <c r="A143" s="2" t="s">
        <v>13</v>
      </c>
      <c r="B143" s="54" t="s">
        <v>17</v>
      </c>
      <c r="C143" s="3">
        <v>45239</v>
      </c>
      <c r="D143" s="8">
        <v>2</v>
      </c>
      <c r="E143" s="2" t="s">
        <v>212</v>
      </c>
      <c r="F143" s="4" t="s">
        <v>567</v>
      </c>
      <c r="G143" s="4" t="s">
        <v>578</v>
      </c>
      <c r="H143" s="4" t="s">
        <v>378</v>
      </c>
      <c r="I143" s="7">
        <v>0.17</v>
      </c>
      <c r="J143" s="7">
        <v>0.17</v>
      </c>
      <c r="K143" s="7">
        <v>2.5999999999999999E-3</v>
      </c>
      <c r="L143" s="7"/>
      <c r="M143" s="7">
        <v>0.17169999999999999</v>
      </c>
      <c r="N143" s="7">
        <v>-0.41</v>
      </c>
      <c r="O143" s="4"/>
      <c r="P143" s="7">
        <v>1.2515000000000001</v>
      </c>
      <c r="Q143" s="7">
        <v>504</v>
      </c>
      <c r="T143" s="7">
        <v>66.099999999999994</v>
      </c>
      <c r="U143" s="7">
        <v>630</v>
      </c>
      <c r="V143" s="7">
        <v>750</v>
      </c>
      <c r="W143" s="4"/>
      <c r="X143" s="4"/>
      <c r="Y143" s="4" t="s">
        <v>78</v>
      </c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  <c r="AP143" s="4"/>
      <c r="AQ143" s="4"/>
      <c r="AR143" s="4"/>
      <c r="AS143" s="4"/>
      <c r="AT143" s="4"/>
      <c r="AU143" s="4"/>
      <c r="AV143" s="4"/>
      <c r="AW143" s="4"/>
      <c r="AX143" s="4"/>
      <c r="AY143" s="4">
        <v>72.3</v>
      </c>
      <c r="AZ143" s="4"/>
      <c r="BA143" s="4">
        <v>111.6</v>
      </c>
      <c r="BB143" s="4"/>
      <c r="BC143" s="4"/>
      <c r="BD143" s="16">
        <v>26.5</v>
      </c>
      <c r="BE143" s="17">
        <v>1011</v>
      </c>
      <c r="BF143" s="16">
        <v>40</v>
      </c>
      <c r="BG143" s="15"/>
      <c r="BH143" s="13"/>
      <c r="BI143" s="13" t="s">
        <v>102</v>
      </c>
      <c r="BJ143" s="3" t="s">
        <v>324</v>
      </c>
      <c r="BK143"/>
      <c r="BL143"/>
      <c r="BM143"/>
      <c r="BR143"/>
    </row>
    <row r="144" spans="1:70" ht="28.5" x14ac:dyDescent="0.45">
      <c r="A144" s="2" t="s">
        <v>13</v>
      </c>
      <c r="B144" s="54" t="s">
        <v>17</v>
      </c>
      <c r="C144" s="3">
        <v>45239</v>
      </c>
      <c r="D144" s="8">
        <v>3</v>
      </c>
      <c r="E144" s="2" t="s">
        <v>212</v>
      </c>
      <c r="F144" s="4" t="s">
        <v>15</v>
      </c>
      <c r="G144" s="4" t="s">
        <v>577</v>
      </c>
      <c r="H144" s="4" t="s">
        <v>571</v>
      </c>
      <c r="I144" s="7">
        <v>0.1691</v>
      </c>
      <c r="J144" s="7">
        <v>0.1691</v>
      </c>
      <c r="K144" s="7">
        <v>3.8E-3</v>
      </c>
      <c r="L144" s="7"/>
      <c r="M144" s="7">
        <v>0.16930000000000001</v>
      </c>
      <c r="N144" s="7">
        <v>-0.43</v>
      </c>
      <c r="O144" s="4"/>
      <c r="P144" s="7">
        <v>1.2515000000000001</v>
      </c>
      <c r="Q144" s="7">
        <v>504</v>
      </c>
      <c r="T144" s="7">
        <v>65.2</v>
      </c>
      <c r="U144" s="7">
        <v>609</v>
      </c>
      <c r="V144" s="7">
        <v>750</v>
      </c>
      <c r="W144" s="4"/>
      <c r="X144" s="4"/>
      <c r="Y144" s="4" t="s">
        <v>78</v>
      </c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4"/>
      <c r="AP144" s="4"/>
      <c r="AQ144" s="4"/>
      <c r="AR144" s="4"/>
      <c r="AS144" s="4"/>
      <c r="AT144" s="4"/>
      <c r="AU144" s="4"/>
      <c r="AV144" s="4"/>
      <c r="AW144" s="4"/>
      <c r="AX144" s="4"/>
      <c r="AY144" s="4">
        <v>75.5</v>
      </c>
      <c r="AZ144" s="4"/>
      <c r="BA144" s="4">
        <v>111.6</v>
      </c>
      <c r="BB144" s="4"/>
      <c r="BC144" s="4"/>
      <c r="BD144" s="16">
        <v>26.7</v>
      </c>
      <c r="BE144" s="62">
        <v>1011</v>
      </c>
      <c r="BF144" s="16">
        <v>39.6</v>
      </c>
      <c r="BG144" s="58"/>
      <c r="BH144" s="4"/>
      <c r="BI144" s="4"/>
      <c r="BJ144" s="3" t="s">
        <v>325</v>
      </c>
      <c r="BK144"/>
      <c r="BL144"/>
      <c r="BM144"/>
      <c r="BR144"/>
    </row>
    <row r="145" spans="1:70" ht="28.5" x14ac:dyDescent="0.45">
      <c r="A145" s="2" t="s">
        <v>13</v>
      </c>
      <c r="B145" s="54" t="s">
        <v>17</v>
      </c>
      <c r="C145" s="3">
        <v>45239</v>
      </c>
      <c r="D145" s="8">
        <v>4</v>
      </c>
      <c r="E145" s="2" t="s">
        <v>212</v>
      </c>
      <c r="F145" s="4" t="s">
        <v>567</v>
      </c>
      <c r="G145" s="4" t="s">
        <v>578</v>
      </c>
      <c r="H145" s="4" t="s">
        <v>378</v>
      </c>
      <c r="I145" s="7">
        <v>0.1719</v>
      </c>
      <c r="J145" s="7">
        <v>0.1719</v>
      </c>
      <c r="K145" s="7">
        <v>3.3999999999999998E-3</v>
      </c>
      <c r="L145" s="7"/>
      <c r="M145" s="7">
        <v>0.1714</v>
      </c>
      <c r="N145" s="7">
        <v>-0.45</v>
      </c>
      <c r="O145" s="4"/>
      <c r="P145" s="7">
        <v>1.2515000000000001</v>
      </c>
      <c r="Q145" s="7">
        <v>504</v>
      </c>
      <c r="T145" s="7">
        <v>65.900000000000006</v>
      </c>
      <c r="U145" s="7">
        <v>619</v>
      </c>
      <c r="V145" s="7">
        <v>750</v>
      </c>
      <c r="W145" s="4"/>
      <c r="X145" s="4"/>
      <c r="Y145" s="4" t="s">
        <v>78</v>
      </c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4"/>
      <c r="AP145" s="4"/>
      <c r="AQ145" s="4"/>
      <c r="AR145" s="4"/>
      <c r="AS145" s="4"/>
      <c r="AT145" s="4"/>
      <c r="AU145" s="4"/>
      <c r="AV145" s="4"/>
      <c r="AW145" s="4"/>
      <c r="AX145" s="4"/>
      <c r="AY145" s="4">
        <v>84.7</v>
      </c>
      <c r="AZ145" s="4"/>
      <c r="BA145" s="4">
        <v>120.6</v>
      </c>
      <c r="BB145" s="4"/>
      <c r="BC145" s="4"/>
      <c r="BD145" s="16">
        <v>26.7</v>
      </c>
      <c r="BE145" s="17">
        <v>1011</v>
      </c>
      <c r="BF145" s="16">
        <v>39.6</v>
      </c>
      <c r="BG145" s="15"/>
      <c r="BH145" s="4"/>
      <c r="BI145" s="4"/>
      <c r="BJ145" s="3" t="s">
        <v>326</v>
      </c>
      <c r="BK145"/>
      <c r="BL145"/>
      <c r="BM145"/>
      <c r="BR145"/>
    </row>
    <row r="146" spans="1:70" ht="28.5" x14ac:dyDescent="0.45">
      <c r="A146" s="2" t="s">
        <v>13</v>
      </c>
      <c r="B146" s="54" t="s">
        <v>17</v>
      </c>
      <c r="C146" s="3">
        <v>45239</v>
      </c>
      <c r="D146" s="8">
        <v>5</v>
      </c>
      <c r="E146" s="2" t="s">
        <v>212</v>
      </c>
      <c r="F146" s="4" t="s">
        <v>15</v>
      </c>
      <c r="G146" s="4" t="s">
        <v>577</v>
      </c>
      <c r="H146" s="4" t="s">
        <v>571</v>
      </c>
      <c r="I146" s="7">
        <v>0.17080000000000001</v>
      </c>
      <c r="J146" s="7">
        <v>0.17080000000000001</v>
      </c>
      <c r="K146" s="7">
        <v>2.0999999999999999E-3</v>
      </c>
      <c r="L146" s="7"/>
      <c r="M146" s="7">
        <v>0.1711</v>
      </c>
      <c r="N146" s="7">
        <v>-0.45</v>
      </c>
      <c r="O146" s="4"/>
      <c r="P146" s="7">
        <v>1.2515000000000001</v>
      </c>
      <c r="Q146" s="7">
        <v>504</v>
      </c>
      <c r="T146" s="7">
        <v>65.400000000000006</v>
      </c>
      <c r="U146" s="7">
        <v>605</v>
      </c>
      <c r="V146" s="7">
        <v>750</v>
      </c>
      <c r="W146" s="4"/>
      <c r="X146" s="4"/>
      <c r="Y146" s="4" t="s">
        <v>78</v>
      </c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  <c r="AP146" s="4"/>
      <c r="AQ146" s="4"/>
      <c r="AR146" s="4"/>
      <c r="AS146" s="4"/>
      <c r="AT146" s="4"/>
      <c r="AU146" s="4"/>
      <c r="AV146" s="4"/>
      <c r="AW146" s="4"/>
      <c r="AX146" s="4"/>
      <c r="AY146" s="4">
        <v>70</v>
      </c>
      <c r="AZ146" s="4"/>
      <c r="BA146" s="4">
        <v>111.6</v>
      </c>
      <c r="BB146" s="4"/>
      <c r="BC146" s="4"/>
      <c r="BD146" s="16">
        <v>26.7</v>
      </c>
      <c r="BE146" s="17">
        <v>1011</v>
      </c>
      <c r="BF146" s="16">
        <v>39.6</v>
      </c>
      <c r="BG146" s="15"/>
      <c r="BH146" s="4"/>
      <c r="BI146" s="4"/>
      <c r="BJ146" s="3" t="s">
        <v>327</v>
      </c>
      <c r="BK146"/>
      <c r="BL146"/>
      <c r="BM146"/>
      <c r="BR146"/>
    </row>
    <row r="147" spans="1:70" ht="28.5" x14ac:dyDescent="0.45">
      <c r="A147" s="2" t="s">
        <v>13</v>
      </c>
      <c r="B147" s="54" t="s">
        <v>17</v>
      </c>
      <c r="C147" s="3">
        <v>45239</v>
      </c>
      <c r="D147" s="8">
        <v>6</v>
      </c>
      <c r="E147" s="2" t="s">
        <v>212</v>
      </c>
      <c r="F147" s="4" t="s">
        <v>567</v>
      </c>
      <c r="G147" s="4" t="s">
        <v>578</v>
      </c>
      <c r="H147" s="4" t="s">
        <v>378</v>
      </c>
      <c r="I147" s="7">
        <v>0.1711</v>
      </c>
      <c r="J147" s="7">
        <v>0.1711</v>
      </c>
      <c r="K147" s="7">
        <v>4.4999999999999997E-3</v>
      </c>
      <c r="L147" s="7"/>
      <c r="M147" s="7">
        <v>0.17199999999999999</v>
      </c>
      <c r="N147" s="7">
        <v>-0.42</v>
      </c>
      <c r="O147" s="4"/>
      <c r="P147" s="7">
        <v>1.2515000000000001</v>
      </c>
      <c r="Q147" s="7">
        <v>504</v>
      </c>
      <c r="T147" s="7">
        <v>65.5</v>
      </c>
      <c r="U147" s="7">
        <v>613</v>
      </c>
      <c r="V147" s="7">
        <v>750</v>
      </c>
      <c r="W147" s="4"/>
      <c r="X147" s="4"/>
      <c r="Y147" s="4" t="s">
        <v>78</v>
      </c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  <c r="AP147" s="4"/>
      <c r="AQ147" s="4"/>
      <c r="AR147" s="4"/>
      <c r="AS147" s="4"/>
      <c r="AT147" s="4"/>
      <c r="AU147" s="4"/>
      <c r="AV147" s="4"/>
      <c r="AW147" s="4"/>
      <c r="AX147" s="4"/>
      <c r="AY147" s="4">
        <v>72.2</v>
      </c>
      <c r="AZ147" s="4"/>
      <c r="BA147" s="4">
        <v>111.6</v>
      </c>
      <c r="BB147" s="4"/>
      <c r="BC147" s="4"/>
      <c r="BD147" s="16">
        <v>26.7</v>
      </c>
      <c r="BE147" s="17">
        <v>1011</v>
      </c>
      <c r="BF147" s="16">
        <v>39.6</v>
      </c>
      <c r="BG147" s="15"/>
      <c r="BH147" s="4"/>
      <c r="BI147" s="4"/>
      <c r="BJ147" s="3" t="s">
        <v>328</v>
      </c>
      <c r="BK147"/>
      <c r="BL147"/>
      <c r="BM147"/>
      <c r="BR147"/>
    </row>
    <row r="148" spans="1:70" ht="28.5" x14ac:dyDescent="0.45">
      <c r="A148" s="2" t="s">
        <v>43</v>
      </c>
      <c r="B148" s="54" t="s">
        <v>99</v>
      </c>
      <c r="C148" s="3">
        <v>45239</v>
      </c>
      <c r="D148" s="8">
        <v>1</v>
      </c>
      <c r="E148" s="2" t="s">
        <v>212</v>
      </c>
      <c r="F148" s="4" t="s">
        <v>15</v>
      </c>
      <c r="G148" s="4" t="s">
        <v>15</v>
      </c>
      <c r="H148" s="4" t="s">
        <v>330</v>
      </c>
      <c r="I148" s="7">
        <v>0.16980000000000001</v>
      </c>
      <c r="J148" s="7">
        <v>0.16980000000000001</v>
      </c>
      <c r="K148" s="7">
        <v>4.3E-3</v>
      </c>
      <c r="L148" s="7">
        <v>0.17199999999999999</v>
      </c>
      <c r="M148" s="7">
        <v>0.17119999999999999</v>
      </c>
      <c r="O148" s="4"/>
      <c r="P148" s="7">
        <v>1.2375</v>
      </c>
      <c r="Q148" s="7">
        <v>511</v>
      </c>
      <c r="T148" s="7">
        <v>58.9</v>
      </c>
      <c r="U148" s="7">
        <v>462</v>
      </c>
      <c r="V148" s="7">
        <v>750</v>
      </c>
      <c r="W148" s="4"/>
      <c r="X148" s="4"/>
      <c r="Y148" s="4" t="s">
        <v>78</v>
      </c>
      <c r="Z148" s="4"/>
      <c r="AA148" s="4"/>
      <c r="AB148" s="4"/>
      <c r="AC148" s="4"/>
      <c r="AD148" s="4"/>
      <c r="AE148" s="9"/>
      <c r="AF148" s="9"/>
      <c r="AG148" s="9"/>
      <c r="AH148" s="9"/>
      <c r="AI148" s="9"/>
      <c r="AJ148" s="9"/>
      <c r="AK148" s="9"/>
      <c r="AL148" s="9"/>
      <c r="AM148" s="9"/>
      <c r="AN148" s="9"/>
      <c r="AO148" s="9"/>
      <c r="AP148" s="9"/>
      <c r="AQ148" s="9"/>
      <c r="AR148" s="9"/>
      <c r="AS148" s="9"/>
      <c r="AT148" s="9"/>
      <c r="AU148" s="9"/>
      <c r="AV148" s="9"/>
      <c r="AW148" s="9"/>
      <c r="AX148" s="9"/>
      <c r="AY148" s="9"/>
      <c r="AZ148" s="9"/>
      <c r="BA148" s="4">
        <v>113.4</v>
      </c>
      <c r="BB148" s="4"/>
      <c r="BC148" s="4"/>
      <c r="BD148" s="16">
        <v>24.5</v>
      </c>
      <c r="BE148" s="16">
        <v>1013</v>
      </c>
      <c r="BF148" s="16">
        <v>47.7</v>
      </c>
      <c r="BG148" s="15"/>
      <c r="BH148" s="7">
        <v>2096</v>
      </c>
      <c r="BI148" s="13" t="s">
        <v>103</v>
      </c>
      <c r="BJ148" s="3" t="s">
        <v>309</v>
      </c>
      <c r="BK148"/>
      <c r="BL148"/>
      <c r="BM148"/>
      <c r="BR148"/>
    </row>
    <row r="149" spans="1:70" ht="28.5" x14ac:dyDescent="0.45">
      <c r="A149" s="2" t="s">
        <v>43</v>
      </c>
      <c r="B149" s="54" t="s">
        <v>99</v>
      </c>
      <c r="C149" s="3">
        <v>45239</v>
      </c>
      <c r="D149" s="8">
        <v>2</v>
      </c>
      <c r="E149" s="2" t="s">
        <v>212</v>
      </c>
      <c r="F149" s="4" t="s">
        <v>15</v>
      </c>
      <c r="G149" s="4" t="s">
        <v>15</v>
      </c>
      <c r="H149" s="4" t="s">
        <v>330</v>
      </c>
      <c r="I149" s="7">
        <v>0.16669999999999999</v>
      </c>
      <c r="J149" s="7">
        <v>0.16669999999999999</v>
      </c>
      <c r="K149" s="7">
        <v>2.3999999999999998E-3</v>
      </c>
      <c r="L149" s="7">
        <v>0.17599999999999999</v>
      </c>
      <c r="M149" s="7">
        <v>0.17150000000000001</v>
      </c>
      <c r="O149" s="4"/>
      <c r="P149" s="7">
        <v>1.2375</v>
      </c>
      <c r="Q149" s="7">
        <v>511</v>
      </c>
      <c r="T149" s="7">
        <v>59.7</v>
      </c>
      <c r="U149" s="7">
        <v>485</v>
      </c>
      <c r="V149" s="7">
        <v>750</v>
      </c>
      <c r="W149" s="4"/>
      <c r="X149" s="4"/>
      <c r="Y149" s="4" t="s">
        <v>78</v>
      </c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  <c r="AP149" s="4"/>
      <c r="AQ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>
        <v>113.4</v>
      </c>
      <c r="BB149" s="4"/>
      <c r="BC149" s="4"/>
      <c r="BD149" s="16">
        <v>24.5</v>
      </c>
      <c r="BE149" s="16">
        <v>1013</v>
      </c>
      <c r="BF149" s="16">
        <v>47.7</v>
      </c>
      <c r="BG149" s="15"/>
      <c r="BH149" s="7">
        <v>2096</v>
      </c>
      <c r="BI149" s="13" t="s">
        <v>105</v>
      </c>
      <c r="BJ149" s="3" t="s">
        <v>308</v>
      </c>
      <c r="BK149"/>
      <c r="BL149"/>
      <c r="BM149"/>
      <c r="BR149"/>
    </row>
    <row r="150" spans="1:70" ht="28.5" x14ac:dyDescent="0.45">
      <c r="A150" s="2" t="s">
        <v>43</v>
      </c>
      <c r="B150" s="54" t="s">
        <v>99</v>
      </c>
      <c r="C150" s="3">
        <v>45239</v>
      </c>
      <c r="D150" s="8">
        <v>3</v>
      </c>
      <c r="E150" s="2" t="s">
        <v>213</v>
      </c>
      <c r="F150" s="4" t="s">
        <v>15</v>
      </c>
      <c r="G150" s="4" t="s">
        <v>15</v>
      </c>
      <c r="H150" s="4" t="s">
        <v>330</v>
      </c>
      <c r="I150" s="7">
        <v>0.1646</v>
      </c>
      <c r="J150" s="7">
        <v>0.1646</v>
      </c>
      <c r="K150" s="7">
        <v>5.3E-3</v>
      </c>
      <c r="L150" s="7">
        <v>0.16600000000000001</v>
      </c>
      <c r="M150" s="7">
        <v>0.16289999999999999</v>
      </c>
      <c r="O150" s="4"/>
      <c r="P150" s="7">
        <v>1.2375</v>
      </c>
      <c r="Q150" s="7">
        <v>511</v>
      </c>
      <c r="T150" s="7">
        <v>57.5</v>
      </c>
      <c r="U150" s="7">
        <v>409</v>
      </c>
      <c r="V150" s="7">
        <v>750</v>
      </c>
      <c r="W150" s="4"/>
      <c r="X150" s="4"/>
      <c r="Y150" s="4" t="s">
        <v>78</v>
      </c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  <c r="AP150" s="4"/>
      <c r="AQ150" s="4"/>
      <c r="AR150" s="4"/>
      <c r="AS150" s="4"/>
      <c r="AT150" s="4"/>
      <c r="AU150" s="4"/>
      <c r="AV150" s="4"/>
      <c r="AW150" s="4"/>
      <c r="AX150" s="4"/>
      <c r="AY150" s="4"/>
      <c r="AZ150" s="4"/>
      <c r="BA150" s="22">
        <v>117</v>
      </c>
      <c r="BB150" s="4"/>
      <c r="BC150" s="4"/>
      <c r="BD150" s="16">
        <v>24.5</v>
      </c>
      <c r="BE150" s="16">
        <v>1013</v>
      </c>
      <c r="BF150" s="16">
        <v>47.7</v>
      </c>
      <c r="BG150" s="58"/>
      <c r="BH150" s="7">
        <v>2096</v>
      </c>
      <c r="BI150" s="4"/>
      <c r="BJ150" s="3" t="s">
        <v>307</v>
      </c>
      <c r="BK150"/>
      <c r="BL150"/>
      <c r="BM150"/>
      <c r="BR150"/>
    </row>
    <row r="151" spans="1:70" ht="28.5" x14ac:dyDescent="0.45">
      <c r="A151" s="2" t="s">
        <v>43</v>
      </c>
      <c r="B151" s="54" t="s">
        <v>99</v>
      </c>
      <c r="C151" s="3">
        <v>45239</v>
      </c>
      <c r="D151" s="8">
        <v>4</v>
      </c>
      <c r="E151" s="2" t="s">
        <v>214</v>
      </c>
      <c r="F151" s="4" t="s">
        <v>15</v>
      </c>
      <c r="G151" s="4" t="s">
        <v>15</v>
      </c>
      <c r="H151" s="4" t="s">
        <v>330</v>
      </c>
      <c r="I151" s="7">
        <v>0.1656</v>
      </c>
      <c r="J151" s="7">
        <v>0.1656</v>
      </c>
      <c r="K151" s="7">
        <v>1E-3</v>
      </c>
      <c r="L151" s="7">
        <v>0.16500000000000001</v>
      </c>
      <c r="M151" s="7">
        <v>0.16350000000000001</v>
      </c>
      <c r="O151" s="4"/>
      <c r="P151" s="7">
        <v>1.2375</v>
      </c>
      <c r="Q151" s="7">
        <v>511</v>
      </c>
      <c r="T151" s="7">
        <v>57.7</v>
      </c>
      <c r="U151" s="7">
        <v>410</v>
      </c>
      <c r="V151" s="7">
        <v>750</v>
      </c>
      <c r="W151" s="4"/>
      <c r="X151" s="4"/>
      <c r="Y151" s="4" t="s">
        <v>78</v>
      </c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/>
      <c r="AP151" s="4"/>
      <c r="AQ151" s="4"/>
      <c r="AR151" s="4"/>
      <c r="AS151" s="4"/>
      <c r="AT151" s="4"/>
      <c r="AU151" s="4"/>
      <c r="AV151" s="4"/>
      <c r="AW151" s="4"/>
      <c r="AX151" s="4"/>
      <c r="AY151" s="4"/>
      <c r="AZ151" s="4"/>
      <c r="BA151" s="22">
        <v>117</v>
      </c>
      <c r="BB151" s="4"/>
      <c r="BC151" s="4"/>
      <c r="BD151" s="16">
        <v>24.5</v>
      </c>
      <c r="BE151" s="16">
        <v>1013</v>
      </c>
      <c r="BF151" s="16">
        <v>47.7</v>
      </c>
      <c r="BG151" s="15"/>
      <c r="BH151" s="7">
        <v>2096</v>
      </c>
      <c r="BI151" s="4"/>
      <c r="BJ151" s="3" t="s">
        <v>306</v>
      </c>
      <c r="BK151"/>
      <c r="BL151"/>
      <c r="BM151"/>
      <c r="BR151"/>
    </row>
    <row r="152" spans="1:70" ht="28.5" x14ac:dyDescent="0.45">
      <c r="A152" s="2" t="s">
        <v>43</v>
      </c>
      <c r="B152" s="54" t="s">
        <v>99</v>
      </c>
      <c r="C152" s="3">
        <v>45239</v>
      </c>
      <c r="D152" s="8">
        <v>5</v>
      </c>
      <c r="E152" s="2" t="s">
        <v>213</v>
      </c>
      <c r="F152" s="4" t="s">
        <v>15</v>
      </c>
      <c r="G152" s="4" t="s">
        <v>15</v>
      </c>
      <c r="H152" s="4" t="s">
        <v>330</v>
      </c>
      <c r="I152" s="7">
        <v>0.16830000000000001</v>
      </c>
      <c r="J152" s="7">
        <v>0.16830000000000001</v>
      </c>
      <c r="K152" s="7">
        <v>2.3E-3</v>
      </c>
      <c r="L152" s="7">
        <v>0.16200000000000001</v>
      </c>
      <c r="M152" s="7">
        <v>0.1628</v>
      </c>
      <c r="O152" s="4"/>
      <c r="P152" s="7">
        <v>1.2375</v>
      </c>
      <c r="Q152" s="7">
        <v>511</v>
      </c>
      <c r="T152" s="7">
        <v>58.2</v>
      </c>
      <c r="U152" s="7">
        <v>411</v>
      </c>
      <c r="V152" s="7">
        <v>750</v>
      </c>
      <c r="W152" s="4"/>
      <c r="X152" s="4"/>
      <c r="Y152" s="4" t="s">
        <v>78</v>
      </c>
      <c r="Z152" s="4"/>
      <c r="AA152" s="4"/>
      <c r="AB152" s="4"/>
      <c r="AC152" s="4"/>
      <c r="AD152" s="4"/>
      <c r="AE152" s="9"/>
      <c r="AF152" s="9"/>
      <c r="AG152" s="9"/>
      <c r="AH152" s="9"/>
      <c r="AI152" s="9"/>
      <c r="AJ152" s="9"/>
      <c r="AK152" s="9"/>
      <c r="AL152" s="9"/>
      <c r="AM152" s="9"/>
      <c r="AN152" s="9"/>
      <c r="AO152" s="9"/>
      <c r="AP152" s="9"/>
      <c r="AQ152" s="9"/>
      <c r="AR152" s="9"/>
      <c r="AS152" s="9"/>
      <c r="AT152" s="9"/>
      <c r="AU152" s="9"/>
      <c r="AV152" s="9"/>
      <c r="AW152" s="9"/>
      <c r="AX152" s="9"/>
      <c r="AY152" s="9"/>
      <c r="AZ152" s="9"/>
      <c r="BA152" s="4">
        <v>113.4</v>
      </c>
      <c r="BB152" s="4"/>
      <c r="BC152" s="4"/>
      <c r="BD152" s="16">
        <v>24.9</v>
      </c>
      <c r="BE152" s="16">
        <v>1012</v>
      </c>
      <c r="BF152" s="16">
        <v>45.5</v>
      </c>
      <c r="BG152" s="15"/>
      <c r="BH152" s="7">
        <v>2096</v>
      </c>
      <c r="BI152" s="13"/>
      <c r="BJ152" s="3" t="s">
        <v>305</v>
      </c>
      <c r="BK152"/>
      <c r="BL152"/>
      <c r="BM152"/>
      <c r="BR152"/>
    </row>
    <row r="153" spans="1:70" ht="28.5" x14ac:dyDescent="0.45">
      <c r="A153" s="2" t="s">
        <v>43</v>
      </c>
      <c r="B153" s="54" t="s">
        <v>99</v>
      </c>
      <c r="C153" s="3">
        <v>45239</v>
      </c>
      <c r="D153" s="8">
        <v>6</v>
      </c>
      <c r="E153" s="2" t="s">
        <v>214</v>
      </c>
      <c r="F153" s="4" t="s">
        <v>15</v>
      </c>
      <c r="G153" s="4" t="s">
        <v>15</v>
      </c>
      <c r="H153" s="4" t="s">
        <v>330</v>
      </c>
      <c r="I153" s="7">
        <v>0.16880000000000001</v>
      </c>
      <c r="J153" s="7">
        <v>0.16880000000000001</v>
      </c>
      <c r="K153" s="7">
        <v>3.7000000000000002E-3</v>
      </c>
      <c r="L153" s="7">
        <v>0.16600000000000001</v>
      </c>
      <c r="M153" s="7">
        <v>0.16600000000000001</v>
      </c>
      <c r="O153" s="4"/>
      <c r="P153" s="7">
        <v>1.2375</v>
      </c>
      <c r="Q153" s="7">
        <v>511</v>
      </c>
      <c r="T153" s="7">
        <v>58.6</v>
      </c>
      <c r="U153" s="7">
        <v>426</v>
      </c>
      <c r="V153" s="7">
        <v>750</v>
      </c>
      <c r="W153" s="4"/>
      <c r="X153" s="4"/>
      <c r="Y153" s="4" t="s">
        <v>78</v>
      </c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  <c r="AQ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>
        <v>113.4</v>
      </c>
      <c r="BB153" s="4"/>
      <c r="BC153" s="4"/>
      <c r="BD153" s="16">
        <v>24.9</v>
      </c>
      <c r="BE153" s="16">
        <v>1012</v>
      </c>
      <c r="BF153" s="16">
        <v>45.5</v>
      </c>
      <c r="BG153" s="15"/>
      <c r="BH153" s="7">
        <v>2096</v>
      </c>
      <c r="BI153" s="13" t="s">
        <v>106</v>
      </c>
      <c r="BJ153" s="3" t="s">
        <v>316</v>
      </c>
      <c r="BK153"/>
      <c r="BL153"/>
      <c r="BM153"/>
      <c r="BR153"/>
    </row>
    <row r="154" spans="1:70" ht="28.5" x14ac:dyDescent="0.45">
      <c r="A154" s="2" t="s">
        <v>43</v>
      </c>
      <c r="B154" s="54" t="s">
        <v>46</v>
      </c>
      <c r="C154" s="3">
        <v>45239</v>
      </c>
      <c r="D154" s="8">
        <v>1</v>
      </c>
      <c r="E154" s="2" t="s">
        <v>212</v>
      </c>
      <c r="F154" s="4" t="s">
        <v>15</v>
      </c>
      <c r="G154" s="4" t="s">
        <v>15</v>
      </c>
      <c r="H154" s="4" t="s">
        <v>330</v>
      </c>
      <c r="I154" s="7">
        <v>0.17269999999999999</v>
      </c>
      <c r="J154" s="7">
        <v>0.17269999999999999</v>
      </c>
      <c r="K154" s="7">
        <v>5.4999999999999997E-3</v>
      </c>
      <c r="L154" s="7"/>
      <c r="M154" s="7">
        <v>0.1739</v>
      </c>
      <c r="N154" s="7">
        <v>-0.41</v>
      </c>
      <c r="O154" s="4"/>
      <c r="P154" s="7">
        <v>1.2785</v>
      </c>
      <c r="Q154" s="7">
        <v>503</v>
      </c>
      <c r="T154" s="7">
        <v>56.7</v>
      </c>
      <c r="U154" s="7">
        <v>405</v>
      </c>
      <c r="V154" s="7">
        <v>750</v>
      </c>
      <c r="W154" s="4"/>
      <c r="X154" s="4"/>
      <c r="Y154" s="4" t="s">
        <v>78</v>
      </c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  <c r="AP154" s="4"/>
      <c r="AQ154" s="4"/>
      <c r="AR154" s="4"/>
      <c r="AS154" s="4"/>
      <c r="AT154" s="4"/>
      <c r="AU154" s="4"/>
      <c r="AV154" s="4"/>
      <c r="AW154" s="4"/>
      <c r="AX154" s="4"/>
      <c r="AY154" s="4"/>
      <c r="AZ154" s="4"/>
      <c r="BA154" s="22">
        <v>117</v>
      </c>
      <c r="BB154" s="4"/>
      <c r="BC154" s="4"/>
      <c r="BD154" s="16">
        <v>24.9</v>
      </c>
      <c r="BE154" s="16">
        <v>1012</v>
      </c>
      <c r="BF154" s="16">
        <v>45.5</v>
      </c>
      <c r="BG154" s="58"/>
      <c r="BH154" s="7">
        <v>2096</v>
      </c>
      <c r="BI154" s="4"/>
      <c r="BJ154" s="3" t="s">
        <v>315</v>
      </c>
      <c r="BK154"/>
      <c r="BL154"/>
      <c r="BM154"/>
      <c r="BR154"/>
    </row>
    <row r="155" spans="1:70" ht="28.5" x14ac:dyDescent="0.45">
      <c r="A155" s="2" t="s">
        <v>43</v>
      </c>
      <c r="B155" s="54" t="s">
        <v>46</v>
      </c>
      <c r="C155" s="3">
        <v>45239</v>
      </c>
      <c r="D155" s="8">
        <v>2</v>
      </c>
      <c r="E155" s="2" t="s">
        <v>212</v>
      </c>
      <c r="F155" s="4" t="s">
        <v>15</v>
      </c>
      <c r="G155" s="4" t="s">
        <v>15</v>
      </c>
      <c r="H155" s="4" t="s">
        <v>378</v>
      </c>
      <c r="I155" s="7">
        <v>0.17399999999999999</v>
      </c>
      <c r="J155" s="7">
        <v>0.17399999999999999</v>
      </c>
      <c r="K155" s="7">
        <v>2.3999999999999998E-3</v>
      </c>
      <c r="L155" s="7"/>
      <c r="M155" s="7">
        <v>0.17610000000000001</v>
      </c>
      <c r="N155" s="7">
        <v>-0.3</v>
      </c>
      <c r="O155" s="4"/>
      <c r="P155" s="7">
        <v>1.2785</v>
      </c>
      <c r="Q155" s="7">
        <v>503</v>
      </c>
      <c r="T155" s="7">
        <v>56.8</v>
      </c>
      <c r="U155" s="7">
        <v>422</v>
      </c>
      <c r="V155" s="7">
        <v>750</v>
      </c>
      <c r="W155" s="4"/>
      <c r="X155" s="4"/>
      <c r="Y155" s="4" t="s">
        <v>78</v>
      </c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4"/>
      <c r="AR155" s="4"/>
      <c r="AS155" s="4"/>
      <c r="AT155" s="4"/>
      <c r="AU155" s="4"/>
      <c r="AV155" s="4"/>
      <c r="AW155" s="4"/>
      <c r="AX155" s="4"/>
      <c r="AY155" s="4"/>
      <c r="AZ155" s="4"/>
      <c r="BA155" s="22">
        <v>117</v>
      </c>
      <c r="BB155" s="4"/>
      <c r="BC155" s="4"/>
      <c r="BD155" s="16">
        <v>24.9</v>
      </c>
      <c r="BE155" s="16">
        <v>1012</v>
      </c>
      <c r="BF155" s="16">
        <v>45.5</v>
      </c>
      <c r="BG155" s="15"/>
      <c r="BH155" s="7">
        <v>2096</v>
      </c>
      <c r="BI155" s="4"/>
      <c r="BJ155" s="3" t="s">
        <v>314</v>
      </c>
      <c r="BK155"/>
      <c r="BL155"/>
      <c r="BM155"/>
      <c r="BR155"/>
    </row>
    <row r="156" spans="1:70" ht="28.5" x14ac:dyDescent="0.45">
      <c r="A156" s="2" t="s">
        <v>43</v>
      </c>
      <c r="B156" s="54" t="s">
        <v>46</v>
      </c>
      <c r="C156" s="3">
        <v>45239</v>
      </c>
      <c r="D156" s="8">
        <v>3</v>
      </c>
      <c r="E156" s="2" t="s">
        <v>212</v>
      </c>
      <c r="F156" s="4" t="s">
        <v>15</v>
      </c>
      <c r="G156" s="4" t="s">
        <v>15</v>
      </c>
      <c r="H156" s="4" t="s">
        <v>518</v>
      </c>
      <c r="I156" s="7">
        <v>0.1671</v>
      </c>
      <c r="J156" s="7">
        <v>0.1671</v>
      </c>
      <c r="K156" s="7">
        <v>3.0999999999999999E-3</v>
      </c>
      <c r="L156" s="7"/>
      <c r="M156" s="7">
        <v>0.16850000000000001</v>
      </c>
      <c r="N156" s="7">
        <v>-0.32</v>
      </c>
      <c r="O156" s="4"/>
      <c r="P156" s="7">
        <v>1.2785</v>
      </c>
      <c r="Q156" s="7">
        <v>503</v>
      </c>
      <c r="T156" s="7">
        <v>57.4</v>
      </c>
      <c r="U156" s="7">
        <v>412</v>
      </c>
      <c r="V156" s="7">
        <v>750</v>
      </c>
      <c r="W156" s="4"/>
      <c r="X156" s="4"/>
      <c r="Y156" s="4" t="s">
        <v>78</v>
      </c>
      <c r="Z156" s="4"/>
      <c r="AA156" s="4"/>
      <c r="AB156" s="4"/>
      <c r="AC156" s="4"/>
      <c r="AD156" s="4"/>
      <c r="AE156" s="9"/>
      <c r="AF156" s="9"/>
      <c r="AG156" s="9"/>
      <c r="AH156" s="9"/>
      <c r="AI156" s="9"/>
      <c r="AJ156" s="9"/>
      <c r="AK156" s="9"/>
      <c r="AL156" s="9"/>
      <c r="AM156" s="9"/>
      <c r="AN156" s="9"/>
      <c r="AO156" s="9"/>
      <c r="AP156" s="9"/>
      <c r="AQ156" s="9"/>
      <c r="AR156" s="9"/>
      <c r="AS156" s="9"/>
      <c r="AT156" s="9"/>
      <c r="AU156" s="9"/>
      <c r="AV156" s="9"/>
      <c r="AW156" s="9"/>
      <c r="AX156" s="9"/>
      <c r="AY156" s="9"/>
      <c r="AZ156" s="9"/>
      <c r="BA156" s="4">
        <v>113.4</v>
      </c>
      <c r="BB156" s="4"/>
      <c r="BC156" s="4"/>
      <c r="BD156" s="16">
        <v>24.9</v>
      </c>
      <c r="BE156" s="16">
        <v>1012</v>
      </c>
      <c r="BF156" s="16">
        <v>45.5</v>
      </c>
      <c r="BG156" s="15"/>
      <c r="BH156" s="7">
        <v>2096</v>
      </c>
      <c r="BI156" s="13" t="s">
        <v>104</v>
      </c>
      <c r="BJ156" s="3" t="s">
        <v>313</v>
      </c>
      <c r="BK156"/>
      <c r="BL156"/>
      <c r="BM156"/>
      <c r="BR156"/>
    </row>
    <row r="157" spans="1:70" ht="28.5" x14ac:dyDescent="0.45">
      <c r="A157" s="2" t="s">
        <v>43</v>
      </c>
      <c r="B157" s="54" t="s">
        <v>46</v>
      </c>
      <c r="C157" s="3">
        <v>45239</v>
      </c>
      <c r="D157" s="8">
        <v>4</v>
      </c>
      <c r="E157" s="2" t="s">
        <v>212</v>
      </c>
      <c r="F157" s="4" t="s">
        <v>15</v>
      </c>
      <c r="G157" s="4" t="s">
        <v>15</v>
      </c>
      <c r="H157" s="4" t="s">
        <v>330</v>
      </c>
      <c r="I157" s="7">
        <v>0.17449999999999999</v>
      </c>
      <c r="J157" s="7">
        <v>0.17449999999999999</v>
      </c>
      <c r="K157" s="7">
        <v>1E-3</v>
      </c>
      <c r="L157" s="7"/>
      <c r="M157" s="7">
        <v>0.16850000000000001</v>
      </c>
      <c r="N157" s="7">
        <v>-0.34</v>
      </c>
      <c r="O157" s="4"/>
      <c r="P157" s="7">
        <v>1.2785</v>
      </c>
      <c r="Q157" s="7">
        <v>503</v>
      </c>
      <c r="T157" s="7">
        <v>56.6</v>
      </c>
      <c r="U157" s="7">
        <v>405</v>
      </c>
      <c r="V157" s="7">
        <v>750</v>
      </c>
      <c r="W157" s="4"/>
      <c r="X157" s="4"/>
      <c r="Y157" s="4" t="s">
        <v>78</v>
      </c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>
        <v>113.4</v>
      </c>
      <c r="BB157" s="4"/>
      <c r="BC157" s="4"/>
      <c r="BD157" s="16">
        <v>24.9</v>
      </c>
      <c r="BE157" s="16">
        <v>1012</v>
      </c>
      <c r="BF157" s="16">
        <v>45.5</v>
      </c>
      <c r="BG157" s="15"/>
      <c r="BH157" s="7">
        <v>2096</v>
      </c>
      <c r="BI157" s="13" t="s">
        <v>106</v>
      </c>
      <c r="BJ157" s="3" t="s">
        <v>312</v>
      </c>
      <c r="BK157"/>
      <c r="BL157"/>
      <c r="BM157"/>
      <c r="BR157"/>
    </row>
    <row r="158" spans="1:70" ht="28.5" x14ac:dyDescent="0.45">
      <c r="A158" s="2" t="s">
        <v>43</v>
      </c>
      <c r="B158" s="54" t="s">
        <v>46</v>
      </c>
      <c r="C158" s="3">
        <v>45239</v>
      </c>
      <c r="D158" s="8">
        <v>5</v>
      </c>
      <c r="E158" s="2" t="s">
        <v>212</v>
      </c>
      <c r="F158" s="4" t="s">
        <v>15</v>
      </c>
      <c r="G158" s="4" t="s">
        <v>15</v>
      </c>
      <c r="H158" s="4" t="s">
        <v>378</v>
      </c>
      <c r="I158" s="7">
        <v>0.17319999999999999</v>
      </c>
      <c r="J158" s="7">
        <v>0.17319999999999999</v>
      </c>
      <c r="K158" s="7">
        <v>3.5999999999999999E-3</v>
      </c>
      <c r="L158" s="7"/>
      <c r="M158" s="7">
        <v>0.1736</v>
      </c>
      <c r="N158" s="7">
        <v>-0.38</v>
      </c>
      <c r="O158" s="4"/>
      <c r="P158" s="7">
        <v>1.2785</v>
      </c>
      <c r="Q158" s="7">
        <v>503</v>
      </c>
      <c r="T158" s="7">
        <v>56.2</v>
      </c>
      <c r="U158" s="7">
        <v>375</v>
      </c>
      <c r="V158" s="7">
        <v>750</v>
      </c>
      <c r="W158" s="4"/>
      <c r="X158" s="4"/>
      <c r="Y158" s="4" t="s">
        <v>78</v>
      </c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  <c r="AQ158" s="4"/>
      <c r="AR158" s="4"/>
      <c r="AS158" s="4"/>
      <c r="AT158" s="4"/>
      <c r="AU158" s="4"/>
      <c r="AV158" s="4"/>
      <c r="AW158" s="4"/>
      <c r="AX158" s="4"/>
      <c r="AY158" s="4"/>
      <c r="AZ158" s="4"/>
      <c r="BA158" s="22">
        <v>117</v>
      </c>
      <c r="BB158" s="4"/>
      <c r="BC158" s="4"/>
      <c r="BD158" s="16">
        <v>24.9</v>
      </c>
      <c r="BE158" s="16">
        <v>1012</v>
      </c>
      <c r="BF158" s="16">
        <v>45.5</v>
      </c>
      <c r="BG158" s="15"/>
      <c r="BH158" s="7">
        <v>2096</v>
      </c>
      <c r="BI158" s="4"/>
      <c r="BJ158" s="3" t="s">
        <v>311</v>
      </c>
      <c r="BK158"/>
      <c r="BL158"/>
      <c r="BM158"/>
      <c r="BR158"/>
    </row>
    <row r="159" spans="1:70" ht="28.5" x14ac:dyDescent="0.45">
      <c r="A159" s="2" t="s">
        <v>43</v>
      </c>
      <c r="B159" s="54" t="s">
        <v>46</v>
      </c>
      <c r="C159" s="3">
        <v>45239</v>
      </c>
      <c r="D159" s="8">
        <v>6</v>
      </c>
      <c r="E159" s="2" t="s">
        <v>212</v>
      </c>
      <c r="F159" s="4" t="s">
        <v>15</v>
      </c>
      <c r="G159" s="4" t="s">
        <v>15</v>
      </c>
      <c r="H159" s="4" t="s">
        <v>518</v>
      </c>
      <c r="I159" s="7">
        <v>0.16619999999999999</v>
      </c>
      <c r="J159" s="7">
        <v>0.16619999999999999</v>
      </c>
      <c r="K159" s="7">
        <v>3.3999999999999998E-3</v>
      </c>
      <c r="L159" s="7"/>
      <c r="M159" s="7">
        <v>0.1724</v>
      </c>
      <c r="N159" s="7">
        <v>-0.32</v>
      </c>
      <c r="O159" s="4"/>
      <c r="P159" s="7">
        <v>1.2785</v>
      </c>
      <c r="Q159" s="7">
        <v>503</v>
      </c>
      <c r="T159" s="7">
        <v>57</v>
      </c>
      <c r="U159" s="7">
        <v>398</v>
      </c>
      <c r="V159" s="7">
        <v>750</v>
      </c>
      <c r="W159" s="4"/>
      <c r="X159" s="4"/>
      <c r="Y159" s="4" t="s">
        <v>78</v>
      </c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  <c r="AR159" s="4"/>
      <c r="AS159" s="4"/>
      <c r="AT159" s="4"/>
      <c r="AU159" s="4"/>
      <c r="AV159" s="4"/>
      <c r="AW159" s="4"/>
      <c r="AX159" s="4"/>
      <c r="AY159" s="4"/>
      <c r="AZ159" s="4"/>
      <c r="BA159" s="22">
        <v>117</v>
      </c>
      <c r="BB159" s="4"/>
      <c r="BC159" s="4"/>
      <c r="BD159" s="16">
        <v>24.9</v>
      </c>
      <c r="BE159" s="16">
        <v>1012</v>
      </c>
      <c r="BF159" s="16">
        <v>45.5</v>
      </c>
      <c r="BG159" s="15"/>
      <c r="BH159" s="7">
        <v>2096</v>
      </c>
      <c r="BI159" s="4"/>
      <c r="BJ159" s="3" t="s">
        <v>310</v>
      </c>
      <c r="BK159"/>
      <c r="BL159"/>
      <c r="BM159"/>
      <c r="BR159"/>
    </row>
    <row r="160" spans="1:70" ht="28.5" x14ac:dyDescent="0.45">
      <c r="A160" s="4" t="s">
        <v>43</v>
      </c>
      <c r="B160" s="54" t="s">
        <v>45</v>
      </c>
      <c r="C160" s="3">
        <v>45243</v>
      </c>
      <c r="D160" s="8">
        <v>1</v>
      </c>
      <c r="E160" s="2" t="s">
        <v>212</v>
      </c>
      <c r="F160" s="4" t="s">
        <v>15</v>
      </c>
      <c r="G160" s="4" t="s">
        <v>15</v>
      </c>
      <c r="H160" s="9" t="s">
        <v>223</v>
      </c>
      <c r="I160" s="7">
        <v>0.15759999999999999</v>
      </c>
      <c r="J160" s="7">
        <v>0.15759999999999999</v>
      </c>
      <c r="K160" s="7">
        <v>1E-3</v>
      </c>
      <c r="L160" s="7"/>
      <c r="M160" s="7">
        <v>0.1605</v>
      </c>
      <c r="N160" s="7">
        <v>-0.13</v>
      </c>
      <c r="O160" s="9"/>
      <c r="P160" s="7">
        <v>1.272</v>
      </c>
      <c r="T160" s="7">
        <v>60.6</v>
      </c>
      <c r="U160" s="7">
        <v>454</v>
      </c>
      <c r="V160" s="7">
        <v>750</v>
      </c>
      <c r="W160" s="9"/>
      <c r="X160" s="9"/>
      <c r="Y160" s="9"/>
      <c r="Z160" s="9"/>
      <c r="AA160" s="9"/>
      <c r="AB160" s="9"/>
      <c r="AC160" s="9"/>
      <c r="AD160" s="9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  <c r="AQ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>
        <v>113.4</v>
      </c>
      <c r="BB160" s="4"/>
      <c r="BC160" s="4"/>
      <c r="BD160" s="16">
        <v>25.1</v>
      </c>
      <c r="BE160" s="16">
        <v>1012</v>
      </c>
      <c r="BF160" s="16">
        <v>44.6</v>
      </c>
      <c r="BG160" s="58"/>
      <c r="BH160" s="7">
        <v>2096</v>
      </c>
      <c r="BI160" s="13"/>
      <c r="BJ160" s="3" t="s">
        <v>287</v>
      </c>
      <c r="BK160"/>
      <c r="BL160"/>
      <c r="BM160"/>
      <c r="BR160"/>
    </row>
    <row r="161" spans="1:70" ht="28.5" x14ac:dyDescent="0.45">
      <c r="A161" s="4" t="s">
        <v>43</v>
      </c>
      <c r="B161" s="54" t="s">
        <v>45</v>
      </c>
      <c r="C161" s="3">
        <v>45243</v>
      </c>
      <c r="D161" s="8">
        <v>2</v>
      </c>
      <c r="E161" s="10" t="s">
        <v>213</v>
      </c>
      <c r="F161" s="9" t="s">
        <v>216</v>
      </c>
      <c r="G161" s="9" t="s">
        <v>578</v>
      </c>
      <c r="H161" s="9" t="s">
        <v>223</v>
      </c>
      <c r="I161" s="7">
        <v>0.15190000000000001</v>
      </c>
      <c r="J161" s="7">
        <v>0.15190000000000001</v>
      </c>
      <c r="K161" s="7">
        <v>2.7000000000000001E-3</v>
      </c>
      <c r="L161" s="7"/>
      <c r="M161" s="7">
        <v>0.156</v>
      </c>
      <c r="N161" s="7">
        <v>-0.17</v>
      </c>
      <c r="O161" s="9"/>
      <c r="P161" s="7">
        <v>1.272</v>
      </c>
      <c r="T161" s="7">
        <v>61.4</v>
      </c>
      <c r="U161" s="7">
        <v>459</v>
      </c>
      <c r="V161" s="7">
        <v>750</v>
      </c>
      <c r="W161" s="9"/>
      <c r="X161" s="9"/>
      <c r="Y161" s="9"/>
      <c r="Z161" s="9"/>
      <c r="AA161" s="9"/>
      <c r="AB161" s="9"/>
      <c r="AC161" s="9"/>
      <c r="AD161" s="9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  <c r="AP161" s="4"/>
      <c r="AQ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>
        <v>113.4</v>
      </c>
      <c r="BB161" s="4"/>
      <c r="BC161" s="4"/>
      <c r="BD161" s="16">
        <v>25.1</v>
      </c>
      <c r="BE161" s="16">
        <v>1012</v>
      </c>
      <c r="BF161" s="16">
        <v>44.6</v>
      </c>
      <c r="BG161" s="15"/>
      <c r="BH161" s="7">
        <v>2096</v>
      </c>
      <c r="BI161" s="4"/>
      <c r="BJ161" s="3" t="s">
        <v>286</v>
      </c>
      <c r="BK161"/>
      <c r="BL161"/>
      <c r="BM161"/>
      <c r="BR161"/>
    </row>
    <row r="162" spans="1:70" ht="28.5" x14ac:dyDescent="0.45">
      <c r="A162" s="4" t="s">
        <v>43</v>
      </c>
      <c r="B162" s="54" t="s">
        <v>45</v>
      </c>
      <c r="C162" s="3">
        <v>45243</v>
      </c>
      <c r="D162" s="8">
        <v>3</v>
      </c>
      <c r="E162" s="2" t="s">
        <v>212</v>
      </c>
      <c r="F162" s="4" t="s">
        <v>15</v>
      </c>
      <c r="G162" s="4" t="s">
        <v>15</v>
      </c>
      <c r="H162" s="9" t="s">
        <v>223</v>
      </c>
      <c r="I162" s="7">
        <v>0.159</v>
      </c>
      <c r="J162" s="7">
        <v>0.159</v>
      </c>
      <c r="K162" s="7">
        <v>1E-4</v>
      </c>
      <c r="L162" s="7"/>
      <c r="M162" s="7">
        <v>0.159</v>
      </c>
      <c r="N162" s="7">
        <v>-0.28000000000000003</v>
      </c>
      <c r="O162" s="9"/>
      <c r="P162" s="7">
        <v>1.272</v>
      </c>
      <c r="T162" s="7">
        <v>61</v>
      </c>
      <c r="U162" s="7">
        <v>469</v>
      </c>
      <c r="V162" s="7">
        <v>750</v>
      </c>
      <c r="W162" s="9"/>
      <c r="X162" s="9"/>
      <c r="Y162" s="9"/>
      <c r="Z162" s="9"/>
      <c r="AA162" s="9"/>
      <c r="AB162" s="9"/>
      <c r="AC162" s="9"/>
      <c r="AD162" s="9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  <c r="AP162" s="4"/>
      <c r="AQ162" s="4"/>
      <c r="AR162" s="4"/>
      <c r="AS162" s="4"/>
      <c r="AT162" s="4"/>
      <c r="AU162" s="4"/>
      <c r="AV162" s="4"/>
      <c r="AW162" s="4"/>
      <c r="AX162" s="4"/>
      <c r="AY162" s="4"/>
      <c r="AZ162" s="4"/>
      <c r="BA162" s="22">
        <v>117</v>
      </c>
      <c r="BB162" s="4"/>
      <c r="BC162" s="4"/>
      <c r="BD162" s="16">
        <v>25.1</v>
      </c>
      <c r="BE162" s="16">
        <v>1012</v>
      </c>
      <c r="BF162" s="16">
        <v>44.6</v>
      </c>
      <c r="BG162" s="15"/>
      <c r="BH162" s="7">
        <v>2096</v>
      </c>
      <c r="BI162" s="4"/>
      <c r="BJ162" s="3" t="s">
        <v>285</v>
      </c>
      <c r="BK162"/>
      <c r="BL162"/>
      <c r="BM162"/>
      <c r="BR162"/>
    </row>
    <row r="163" spans="1:70" ht="28.5" x14ac:dyDescent="0.45">
      <c r="A163" s="4" t="s">
        <v>43</v>
      </c>
      <c r="B163" s="54" t="s">
        <v>45</v>
      </c>
      <c r="C163" s="3">
        <v>45243</v>
      </c>
      <c r="D163" s="8">
        <v>4</v>
      </c>
      <c r="E163" s="10" t="s">
        <v>213</v>
      </c>
      <c r="F163" s="9" t="s">
        <v>216</v>
      </c>
      <c r="G163" s="9" t="s">
        <v>578</v>
      </c>
      <c r="H163" s="9" t="s">
        <v>223</v>
      </c>
      <c r="I163" s="7">
        <v>0.15049999999999999</v>
      </c>
      <c r="J163" s="7">
        <v>0.15049999999999999</v>
      </c>
      <c r="K163" s="7">
        <v>1.8E-3</v>
      </c>
      <c r="L163" s="7"/>
      <c r="M163" s="7">
        <v>0.15329999999999999</v>
      </c>
      <c r="N163" s="7">
        <v>-0.25</v>
      </c>
      <c r="O163" s="4"/>
      <c r="P163" s="7">
        <v>1.272</v>
      </c>
      <c r="T163" s="7">
        <v>61.5</v>
      </c>
      <c r="U163" s="7">
        <v>467</v>
      </c>
      <c r="V163" s="7">
        <v>750</v>
      </c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  <c r="AP163" s="4"/>
      <c r="AQ163" s="4"/>
      <c r="AR163" s="4"/>
      <c r="AS163" s="4"/>
      <c r="AT163" s="4"/>
      <c r="AU163" s="4"/>
      <c r="AV163" s="4"/>
      <c r="AW163" s="4"/>
      <c r="AX163" s="4"/>
      <c r="AY163" s="4"/>
      <c r="AZ163" s="4"/>
      <c r="BA163" s="22">
        <v>117</v>
      </c>
      <c r="BB163" s="4"/>
      <c r="BC163" s="4"/>
      <c r="BD163" s="16">
        <v>25.1</v>
      </c>
      <c r="BE163" s="16">
        <v>1012</v>
      </c>
      <c r="BF163" s="16">
        <v>44.6</v>
      </c>
      <c r="BG163" s="15"/>
      <c r="BH163" s="7">
        <v>2096</v>
      </c>
      <c r="BI163" s="4"/>
      <c r="BJ163" s="3" t="s">
        <v>284</v>
      </c>
      <c r="BK163"/>
      <c r="BL163"/>
      <c r="BM163"/>
      <c r="BR163"/>
    </row>
    <row r="164" spans="1:70" ht="28.5" x14ac:dyDescent="0.45">
      <c r="A164" s="4" t="s">
        <v>43</v>
      </c>
      <c r="B164" s="54" t="s">
        <v>45</v>
      </c>
      <c r="C164" s="3">
        <v>45243</v>
      </c>
      <c r="D164" s="8">
        <v>5</v>
      </c>
      <c r="E164" s="2" t="s">
        <v>212</v>
      </c>
      <c r="F164" s="4" t="s">
        <v>15</v>
      </c>
      <c r="G164" s="4" t="s">
        <v>15</v>
      </c>
      <c r="H164" s="9" t="s">
        <v>223</v>
      </c>
      <c r="I164" s="7">
        <v>0.1565</v>
      </c>
      <c r="J164" s="7">
        <v>0.1565</v>
      </c>
      <c r="K164" s="7">
        <v>1.6999999999999999E-3</v>
      </c>
      <c r="L164" s="7"/>
      <c r="M164" s="7">
        <v>0.1583</v>
      </c>
      <c r="N164" s="7">
        <v>-0.15</v>
      </c>
      <c r="O164" s="4"/>
      <c r="P164" s="7">
        <v>1.272</v>
      </c>
      <c r="T164" s="7">
        <v>61.1</v>
      </c>
      <c r="U164" s="7">
        <v>472</v>
      </c>
      <c r="V164" s="7">
        <v>750</v>
      </c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  <c r="AP164" s="4"/>
      <c r="AQ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>
        <v>113.4</v>
      </c>
      <c r="BB164" s="4"/>
      <c r="BC164" s="4"/>
      <c r="BD164" s="16">
        <v>25.3</v>
      </c>
      <c r="BE164" s="16">
        <v>1012</v>
      </c>
      <c r="BF164" s="16">
        <v>44.3</v>
      </c>
      <c r="BG164" s="15"/>
      <c r="BH164" s="7">
        <v>2096</v>
      </c>
      <c r="BI164" s="13" t="s">
        <v>103</v>
      </c>
      <c r="BJ164" s="3" t="s">
        <v>283</v>
      </c>
      <c r="BK164"/>
      <c r="BL164"/>
      <c r="BM164"/>
      <c r="BR164"/>
    </row>
    <row r="165" spans="1:70" ht="28.5" x14ac:dyDescent="0.45">
      <c r="A165" s="4" t="s">
        <v>43</v>
      </c>
      <c r="B165" s="54" t="s">
        <v>45</v>
      </c>
      <c r="C165" s="3">
        <v>45243</v>
      </c>
      <c r="D165" s="8">
        <v>6</v>
      </c>
      <c r="E165" s="10" t="s">
        <v>213</v>
      </c>
      <c r="F165" s="9" t="s">
        <v>216</v>
      </c>
      <c r="G165" s="9" t="s">
        <v>578</v>
      </c>
      <c r="H165" s="9" t="s">
        <v>223</v>
      </c>
      <c r="I165" s="7">
        <v>0.15059</v>
      </c>
      <c r="J165" s="7">
        <v>0.15059</v>
      </c>
      <c r="K165" s="7">
        <v>2.3E-3</v>
      </c>
      <c r="L165" s="7"/>
      <c r="M165" s="7">
        <v>0.15310000000000001</v>
      </c>
      <c r="N165" s="7">
        <v>-0.23</v>
      </c>
      <c r="O165" s="4"/>
      <c r="P165" s="7">
        <v>1.272</v>
      </c>
      <c r="T165" s="7">
        <v>62.1</v>
      </c>
      <c r="U165" s="7">
        <v>473</v>
      </c>
      <c r="V165" s="7">
        <v>750</v>
      </c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  <c r="AP165" s="4"/>
      <c r="AQ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>
        <v>113.4</v>
      </c>
      <c r="BB165" s="4"/>
      <c r="BC165" s="4"/>
      <c r="BD165" s="16">
        <v>25.3</v>
      </c>
      <c r="BE165" s="16">
        <v>1012</v>
      </c>
      <c r="BF165" s="16">
        <v>44.3</v>
      </c>
      <c r="BG165" s="15"/>
      <c r="BH165" s="7">
        <v>2096</v>
      </c>
      <c r="BI165" s="4"/>
      <c r="BJ165" s="3" t="s">
        <v>281</v>
      </c>
      <c r="BK165"/>
      <c r="BL165"/>
      <c r="BM165"/>
      <c r="BR165"/>
    </row>
    <row r="166" spans="1:70" ht="28.5" x14ac:dyDescent="0.45">
      <c r="A166" s="4" t="s">
        <v>13</v>
      </c>
      <c r="B166" s="54" t="s">
        <v>17</v>
      </c>
      <c r="C166" s="3">
        <v>45243</v>
      </c>
      <c r="D166" s="8">
        <v>1</v>
      </c>
      <c r="E166" s="2" t="s">
        <v>212</v>
      </c>
      <c r="F166" s="4" t="s">
        <v>15</v>
      </c>
      <c r="G166" s="4" t="s">
        <v>577</v>
      </c>
      <c r="H166" s="4" t="s">
        <v>571</v>
      </c>
      <c r="I166" s="7">
        <v>0.17380000000000001</v>
      </c>
      <c r="J166" s="7">
        <v>0.17380000000000001</v>
      </c>
      <c r="K166" s="7">
        <v>1.5E-3</v>
      </c>
      <c r="L166" s="7"/>
      <c r="M166" s="7">
        <v>0.1719</v>
      </c>
      <c r="O166" s="4"/>
      <c r="P166" s="7">
        <v>1.2370000000000001</v>
      </c>
      <c r="T166" s="7">
        <v>63.1</v>
      </c>
      <c r="U166" s="7">
        <v>558</v>
      </c>
      <c r="V166" s="7">
        <v>750</v>
      </c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  <c r="AP166" s="4"/>
      <c r="AQ166" s="4"/>
      <c r="AR166" s="4"/>
      <c r="AS166" s="4"/>
      <c r="AT166" s="4"/>
      <c r="AU166" s="4"/>
      <c r="AV166" s="4"/>
      <c r="AW166" s="4"/>
      <c r="AX166" s="4"/>
      <c r="AY166" s="4"/>
      <c r="AZ166" s="4"/>
      <c r="BA166" s="22">
        <v>117</v>
      </c>
      <c r="BB166" s="4"/>
      <c r="BC166" s="4"/>
      <c r="BD166" s="16">
        <v>25.3</v>
      </c>
      <c r="BE166" s="16">
        <v>1012</v>
      </c>
      <c r="BF166" s="16">
        <v>44.3</v>
      </c>
      <c r="BG166" s="15"/>
      <c r="BH166" s="7">
        <v>2096</v>
      </c>
      <c r="BI166" s="4"/>
      <c r="BJ166" s="3" t="s">
        <v>282</v>
      </c>
      <c r="BK166"/>
      <c r="BL166"/>
      <c r="BM166"/>
      <c r="BR166"/>
    </row>
    <row r="167" spans="1:70" ht="28.5" x14ac:dyDescent="0.45">
      <c r="A167" s="4" t="s">
        <v>13</v>
      </c>
      <c r="B167" s="54" t="s">
        <v>17</v>
      </c>
      <c r="C167" s="3">
        <v>45243</v>
      </c>
      <c r="D167" s="8">
        <v>2</v>
      </c>
      <c r="E167" s="10" t="s">
        <v>213</v>
      </c>
      <c r="F167" s="4" t="s">
        <v>564</v>
      </c>
      <c r="G167" s="4" t="s">
        <v>578</v>
      </c>
      <c r="H167" s="4" t="s">
        <v>378</v>
      </c>
      <c r="I167" s="7">
        <v>0.17699999999999999</v>
      </c>
      <c r="J167" s="7">
        <v>0.17699999999999999</v>
      </c>
      <c r="K167" s="7">
        <v>2.5000000000000001E-3</v>
      </c>
      <c r="L167" s="7"/>
      <c r="M167" s="7">
        <v>0.17599999999999999</v>
      </c>
      <c r="O167" s="4"/>
      <c r="P167" s="7">
        <v>1.2370000000000001</v>
      </c>
      <c r="T167" s="7">
        <v>63.2</v>
      </c>
      <c r="U167" s="7">
        <v>574</v>
      </c>
      <c r="V167" s="7">
        <v>750</v>
      </c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>
        <v>113.4</v>
      </c>
      <c r="BB167" s="4"/>
      <c r="BC167" s="4"/>
      <c r="BD167" s="16">
        <v>25.6</v>
      </c>
      <c r="BE167" s="16">
        <v>1011</v>
      </c>
      <c r="BF167" s="16">
        <v>44.1</v>
      </c>
      <c r="BG167" s="15"/>
      <c r="BH167" s="7">
        <v>2096</v>
      </c>
      <c r="BI167" s="4"/>
      <c r="BJ167" s="3" t="s">
        <v>294</v>
      </c>
      <c r="BK167"/>
      <c r="BL167"/>
      <c r="BM167"/>
      <c r="BR167"/>
    </row>
    <row r="168" spans="1:70" ht="28.5" x14ac:dyDescent="0.45">
      <c r="A168" s="4" t="s">
        <v>13</v>
      </c>
      <c r="B168" s="54" t="s">
        <v>17</v>
      </c>
      <c r="C168" s="3">
        <v>45243</v>
      </c>
      <c r="D168" s="8">
        <v>3</v>
      </c>
      <c r="E168" s="2" t="s">
        <v>584</v>
      </c>
      <c r="F168" s="4" t="s">
        <v>564</v>
      </c>
      <c r="G168" s="4" t="s">
        <v>578</v>
      </c>
      <c r="H168" s="4" t="s">
        <v>378</v>
      </c>
      <c r="I168" s="7">
        <v>0.1777</v>
      </c>
      <c r="J168" s="7">
        <v>0.1777</v>
      </c>
      <c r="K168" s="7">
        <v>2.5000000000000001E-3</v>
      </c>
      <c r="L168" s="7"/>
      <c r="M168" s="7">
        <v>0.17929999999999999</v>
      </c>
      <c r="O168" s="4"/>
      <c r="P168" s="7">
        <v>1.2370000000000001</v>
      </c>
      <c r="T168" s="7">
        <v>63.1</v>
      </c>
      <c r="U168" s="7">
        <v>588</v>
      </c>
      <c r="V168" s="7">
        <v>750</v>
      </c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  <c r="AV168" s="4"/>
      <c r="AW168" s="4"/>
      <c r="AX168" s="4"/>
      <c r="AY168" s="4"/>
      <c r="AZ168" s="4"/>
      <c r="BA168" s="4">
        <v>113.4</v>
      </c>
      <c r="BB168" s="4"/>
      <c r="BC168" s="4"/>
      <c r="BD168" s="16">
        <v>25.6</v>
      </c>
      <c r="BE168" s="16">
        <v>1011</v>
      </c>
      <c r="BF168" s="16">
        <v>44.1</v>
      </c>
      <c r="BG168" s="15"/>
      <c r="BH168" s="7">
        <v>2096</v>
      </c>
      <c r="BI168" s="4"/>
      <c r="BJ168" s="3" t="s">
        <v>293</v>
      </c>
      <c r="BK168"/>
      <c r="BL168"/>
      <c r="BM168"/>
      <c r="BR168"/>
    </row>
    <row r="169" spans="1:70" ht="28.5" x14ac:dyDescent="0.45">
      <c r="A169" s="4" t="s">
        <v>13</v>
      </c>
      <c r="B169" s="54" t="s">
        <v>17</v>
      </c>
      <c r="C169" s="3">
        <v>45243</v>
      </c>
      <c r="D169" s="8">
        <v>4</v>
      </c>
      <c r="E169" s="2" t="s">
        <v>549</v>
      </c>
      <c r="F169" s="4" t="s">
        <v>564</v>
      </c>
      <c r="G169" s="4" t="s">
        <v>578</v>
      </c>
      <c r="H169" s="4" t="s">
        <v>378</v>
      </c>
      <c r="I169" s="7">
        <v>0.16769999999999999</v>
      </c>
      <c r="J169" s="7">
        <v>0.16769999999999999</v>
      </c>
      <c r="K169" s="7">
        <v>2.8999999999999998E-3</v>
      </c>
      <c r="L169" s="7"/>
      <c r="M169" s="7">
        <v>0.16639999999999999</v>
      </c>
      <c r="O169" s="4"/>
      <c r="P169" s="7">
        <v>1.2370000000000001</v>
      </c>
      <c r="T169" s="7">
        <v>63.7</v>
      </c>
      <c r="U169" s="7">
        <v>577</v>
      </c>
      <c r="V169" s="7">
        <v>750</v>
      </c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/>
      <c r="AU169" s="4"/>
      <c r="AV169" s="4"/>
      <c r="AW169" s="4"/>
      <c r="AX169" s="4"/>
      <c r="AY169" s="4"/>
      <c r="AZ169" s="4"/>
      <c r="BA169" s="22">
        <v>117</v>
      </c>
      <c r="BB169" s="4"/>
      <c r="BC169" s="4"/>
      <c r="BD169" s="16">
        <v>25.6</v>
      </c>
      <c r="BE169" s="16">
        <v>1011</v>
      </c>
      <c r="BF169" s="16">
        <v>44.1</v>
      </c>
      <c r="BG169" s="15"/>
      <c r="BH169" s="7">
        <v>2096</v>
      </c>
      <c r="BI169" s="4"/>
      <c r="BJ169" s="3" t="s">
        <v>292</v>
      </c>
      <c r="BK169"/>
      <c r="BL169"/>
      <c r="BM169"/>
      <c r="BR169"/>
    </row>
    <row r="170" spans="1:70" ht="28.5" x14ac:dyDescent="0.45">
      <c r="A170" s="4" t="s">
        <v>13</v>
      </c>
      <c r="B170" s="54" t="s">
        <v>17</v>
      </c>
      <c r="C170" s="3">
        <v>45243</v>
      </c>
      <c r="D170" s="8">
        <v>5</v>
      </c>
      <c r="E170" s="2" t="s">
        <v>212</v>
      </c>
      <c r="F170" s="4" t="s">
        <v>15</v>
      </c>
      <c r="G170" s="4" t="s">
        <v>577</v>
      </c>
      <c r="H170" s="4" t="s">
        <v>571</v>
      </c>
      <c r="I170" s="7">
        <v>0.16919999999999999</v>
      </c>
      <c r="J170" s="7">
        <v>0.16919999999999999</v>
      </c>
      <c r="K170" s="7">
        <v>3.5999999999999999E-3</v>
      </c>
      <c r="L170" s="7"/>
      <c r="M170" s="7">
        <v>0.16930000000000001</v>
      </c>
      <c r="O170" s="4"/>
      <c r="P170" s="7">
        <v>1.2370000000000001</v>
      </c>
      <c r="T170" s="7">
        <v>63.3</v>
      </c>
      <c r="U170" s="7">
        <v>573</v>
      </c>
      <c r="V170" s="7">
        <v>750</v>
      </c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  <c r="AV170" s="4"/>
      <c r="AW170" s="4"/>
      <c r="AX170" s="4"/>
      <c r="AY170" s="4"/>
      <c r="AZ170" s="4"/>
      <c r="BA170" s="22">
        <v>117</v>
      </c>
      <c r="BB170" s="4"/>
      <c r="BC170" s="4"/>
      <c r="BD170" s="16">
        <v>26</v>
      </c>
      <c r="BE170" s="16">
        <v>1012</v>
      </c>
      <c r="BF170" s="16">
        <v>43</v>
      </c>
      <c r="BG170" s="15"/>
      <c r="BH170" s="7">
        <v>2096</v>
      </c>
      <c r="BI170" s="4"/>
      <c r="BJ170" s="3" t="s">
        <v>291</v>
      </c>
      <c r="BK170"/>
      <c r="BL170"/>
      <c r="BM170"/>
      <c r="BR170"/>
    </row>
    <row r="171" spans="1:70" ht="28.5" x14ac:dyDescent="0.45">
      <c r="A171" s="4" t="s">
        <v>13</v>
      </c>
      <c r="B171" s="54" t="s">
        <v>17</v>
      </c>
      <c r="C171" s="3">
        <v>45243</v>
      </c>
      <c r="D171" s="8">
        <v>6</v>
      </c>
      <c r="E171" s="10" t="s">
        <v>213</v>
      </c>
      <c r="F171" s="4" t="s">
        <v>564</v>
      </c>
      <c r="G171" s="4" t="s">
        <v>578</v>
      </c>
      <c r="H171" s="4" t="s">
        <v>378</v>
      </c>
      <c r="I171" s="7">
        <v>0.1736</v>
      </c>
      <c r="J171" s="7">
        <v>0.1736</v>
      </c>
      <c r="K171" s="7">
        <v>4.8999999999999998E-3</v>
      </c>
      <c r="L171" s="7"/>
      <c r="M171" s="7">
        <v>0.17499999999999999</v>
      </c>
      <c r="O171" s="4"/>
      <c r="P171" s="7">
        <v>1.2370000000000001</v>
      </c>
      <c r="T171" s="7">
        <v>63.1</v>
      </c>
      <c r="U171" s="7">
        <v>582</v>
      </c>
      <c r="V171" s="7">
        <v>750</v>
      </c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  <c r="AV171" s="4"/>
      <c r="AW171" s="4"/>
      <c r="AX171" s="4"/>
      <c r="AY171" s="4"/>
      <c r="AZ171" s="4"/>
      <c r="BA171" s="22">
        <v>117</v>
      </c>
      <c r="BB171" s="4"/>
      <c r="BC171" s="4"/>
      <c r="BD171" s="16">
        <v>26</v>
      </c>
      <c r="BE171" s="16">
        <v>1012</v>
      </c>
      <c r="BF171" s="16">
        <v>43</v>
      </c>
      <c r="BG171" s="15"/>
      <c r="BH171" s="7">
        <v>2096</v>
      </c>
      <c r="BI171" s="4"/>
      <c r="BJ171" s="3" t="s">
        <v>290</v>
      </c>
      <c r="BK171"/>
      <c r="BL171"/>
      <c r="BM171"/>
      <c r="BR171"/>
    </row>
    <row r="172" spans="1:70" ht="28.5" x14ac:dyDescent="0.45">
      <c r="A172" s="4" t="s">
        <v>13</v>
      </c>
      <c r="B172" s="54" t="s">
        <v>17</v>
      </c>
      <c r="C172" s="3">
        <v>45243</v>
      </c>
      <c r="D172" s="8">
        <v>7</v>
      </c>
      <c r="E172" s="2" t="s">
        <v>214</v>
      </c>
      <c r="F172" s="4" t="s">
        <v>564</v>
      </c>
      <c r="G172" s="4" t="s">
        <v>578</v>
      </c>
      <c r="H172" s="4" t="s">
        <v>378</v>
      </c>
      <c r="I172" s="7">
        <v>0.1772</v>
      </c>
      <c r="J172" s="7">
        <v>0.1772</v>
      </c>
      <c r="K172" s="7">
        <v>2E-3</v>
      </c>
      <c r="L172" s="7"/>
      <c r="M172" s="7">
        <v>0.1769</v>
      </c>
      <c r="O172" s="4"/>
      <c r="P172" s="7">
        <v>1.2370000000000001</v>
      </c>
      <c r="T172" s="7">
        <v>63.5</v>
      </c>
      <c r="U172" s="7">
        <v>596</v>
      </c>
      <c r="V172" s="7">
        <v>750</v>
      </c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  <c r="AR172" s="4"/>
      <c r="AS172" s="4"/>
      <c r="AT172" s="4"/>
      <c r="AU172" s="4"/>
      <c r="AV172" s="4"/>
      <c r="AW172" s="4"/>
      <c r="AX172" s="4"/>
      <c r="AY172" s="4"/>
      <c r="AZ172" s="4"/>
      <c r="BA172" s="22">
        <v>117</v>
      </c>
      <c r="BB172" s="4"/>
      <c r="BC172" s="4"/>
      <c r="BD172" s="22">
        <v>25</v>
      </c>
      <c r="BE172" s="14">
        <v>1012</v>
      </c>
      <c r="BF172" s="61">
        <v>54</v>
      </c>
      <c r="BG172" s="15">
        <v>1.1739999999999999</v>
      </c>
      <c r="BH172" s="4">
        <v>2096</v>
      </c>
      <c r="BI172" s="4"/>
      <c r="BJ172" s="3" t="s">
        <v>289</v>
      </c>
      <c r="BK172"/>
      <c r="BL172"/>
      <c r="BM172"/>
      <c r="BR172"/>
    </row>
    <row r="173" spans="1:70" ht="28.5" x14ac:dyDescent="0.45">
      <c r="A173" s="4" t="s">
        <v>13</v>
      </c>
      <c r="B173" s="54" t="s">
        <v>17</v>
      </c>
      <c r="C173" s="3">
        <v>45243</v>
      </c>
      <c r="D173" s="8">
        <v>8</v>
      </c>
      <c r="E173" s="2" t="s">
        <v>549</v>
      </c>
      <c r="F173" s="4" t="s">
        <v>564</v>
      </c>
      <c r="G173" s="4" t="s">
        <v>578</v>
      </c>
      <c r="H173" s="4" t="s">
        <v>378</v>
      </c>
      <c r="I173" s="48"/>
      <c r="J173" s="48"/>
      <c r="K173" s="48"/>
      <c r="L173" s="7"/>
      <c r="M173" s="7">
        <v>0.16850000000000001</v>
      </c>
      <c r="O173" s="4"/>
      <c r="T173" s="7">
        <v>63.9</v>
      </c>
      <c r="U173" s="7">
        <v>589</v>
      </c>
      <c r="V173" s="7">
        <v>750</v>
      </c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  <c r="AP173" s="4"/>
      <c r="AQ173" s="4"/>
      <c r="AR173" s="4"/>
      <c r="AS173" s="4"/>
      <c r="AT173" s="4"/>
      <c r="AU173" s="4"/>
      <c r="AV173" s="4"/>
      <c r="AW173" s="4"/>
      <c r="AX173" s="4"/>
      <c r="AY173" s="4"/>
      <c r="AZ173" s="4"/>
      <c r="BA173" s="22">
        <v>117</v>
      </c>
      <c r="BB173" s="4"/>
      <c r="BC173" s="4"/>
      <c r="BD173" s="22">
        <v>25.1</v>
      </c>
      <c r="BE173" s="60">
        <v>1012</v>
      </c>
      <c r="BF173" s="61">
        <v>54</v>
      </c>
      <c r="BG173" s="58">
        <v>1.1739999999999999</v>
      </c>
      <c r="BH173" s="4">
        <v>2096</v>
      </c>
      <c r="BI173" s="4"/>
      <c r="BJ173" s="3" t="s">
        <v>288</v>
      </c>
      <c r="BK173"/>
      <c r="BL173"/>
      <c r="BM173"/>
      <c r="BR173"/>
    </row>
    <row r="174" spans="1:70" ht="28.5" x14ac:dyDescent="0.45">
      <c r="A174" s="4" t="s">
        <v>43</v>
      </c>
      <c r="B174" s="54" t="s">
        <v>79</v>
      </c>
      <c r="C174" s="3">
        <v>45243</v>
      </c>
      <c r="D174" s="8">
        <v>1</v>
      </c>
      <c r="E174" s="2" t="s">
        <v>583</v>
      </c>
      <c r="F174" s="4" t="s">
        <v>15</v>
      </c>
      <c r="G174" s="4" t="s">
        <v>15</v>
      </c>
      <c r="H174" s="4" t="s">
        <v>330</v>
      </c>
      <c r="I174" s="7">
        <v>0.16719999999999999</v>
      </c>
      <c r="J174" s="7">
        <v>0.16719999999999999</v>
      </c>
      <c r="K174" s="7">
        <v>3.0000000000000001E-3</v>
      </c>
      <c r="L174" s="7"/>
      <c r="M174" s="7">
        <v>0.1595</v>
      </c>
      <c r="N174" s="7">
        <v>-0.64</v>
      </c>
      <c r="O174" s="4"/>
      <c r="P174" s="7">
        <v>1.2110000000000001</v>
      </c>
      <c r="T174" s="7">
        <v>60.7</v>
      </c>
      <c r="U174" s="7">
        <v>448</v>
      </c>
      <c r="V174" s="7">
        <v>750</v>
      </c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4"/>
      <c r="AR174" s="4"/>
      <c r="AS174" s="4"/>
      <c r="AT174" s="4"/>
      <c r="AU174" s="4"/>
      <c r="AV174" s="4"/>
      <c r="AW174" s="4"/>
      <c r="AX174" s="4"/>
      <c r="AY174" s="4"/>
      <c r="AZ174" s="4"/>
      <c r="BA174" s="22">
        <v>117</v>
      </c>
      <c r="BB174" s="4"/>
      <c r="BC174" s="4"/>
      <c r="BD174" s="22">
        <v>25.1</v>
      </c>
      <c r="BE174" s="14">
        <v>1012</v>
      </c>
      <c r="BF174" s="61">
        <v>53</v>
      </c>
      <c r="BG174" s="15">
        <v>1.1739999999999999</v>
      </c>
      <c r="BH174" s="4">
        <v>2096</v>
      </c>
      <c r="BI174" s="4"/>
      <c r="BJ174" s="3" t="s">
        <v>299</v>
      </c>
      <c r="BK174"/>
      <c r="BL174"/>
      <c r="BM174"/>
      <c r="BR174"/>
    </row>
    <row r="175" spans="1:70" ht="28.5" x14ac:dyDescent="0.45">
      <c r="A175" s="4" t="s">
        <v>43</v>
      </c>
      <c r="B175" s="54" t="s">
        <v>79</v>
      </c>
      <c r="C175" s="3">
        <v>45243</v>
      </c>
      <c r="D175" s="8">
        <v>2</v>
      </c>
      <c r="E175" s="2" t="s">
        <v>214</v>
      </c>
      <c r="F175" s="4" t="s">
        <v>216</v>
      </c>
      <c r="G175" s="4" t="s">
        <v>15</v>
      </c>
      <c r="H175" s="4" t="s">
        <v>223</v>
      </c>
      <c r="I175" s="7">
        <v>0.15640000000000001</v>
      </c>
      <c r="J175" s="7">
        <v>0.15640000000000001</v>
      </c>
      <c r="K175" s="7">
        <v>2.8999999999999998E-3</v>
      </c>
      <c r="L175" s="7"/>
      <c r="M175" s="7">
        <v>0.15029999999999999</v>
      </c>
      <c r="N175" s="7">
        <v>-0.61</v>
      </c>
      <c r="O175" s="4"/>
      <c r="P175" s="7">
        <v>1.2110000000000001</v>
      </c>
      <c r="T175" s="7">
        <v>61.2</v>
      </c>
      <c r="U175" s="7">
        <v>450</v>
      </c>
      <c r="V175" s="7">
        <v>750</v>
      </c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  <c r="AP175" s="4"/>
      <c r="AQ175" s="4"/>
      <c r="AR175" s="4"/>
      <c r="AS175" s="4"/>
      <c r="AT175" s="4"/>
      <c r="AU175" s="4"/>
      <c r="AV175" s="4"/>
      <c r="AW175" s="4"/>
      <c r="AX175" s="4"/>
      <c r="AY175" s="4"/>
      <c r="AZ175" s="4"/>
      <c r="BA175" s="22">
        <v>117</v>
      </c>
      <c r="BB175" s="4"/>
      <c r="BC175" s="4"/>
      <c r="BD175" s="22">
        <v>25.1</v>
      </c>
      <c r="BE175" s="14">
        <v>1012</v>
      </c>
      <c r="BF175" s="61">
        <v>53</v>
      </c>
      <c r="BG175" s="15">
        <v>1.1739999999999999</v>
      </c>
      <c r="BH175" s="4">
        <v>2096</v>
      </c>
      <c r="BI175" s="4"/>
      <c r="BJ175" s="3" t="s">
        <v>298</v>
      </c>
      <c r="BK175"/>
      <c r="BL175"/>
      <c r="BM175"/>
      <c r="BR175"/>
    </row>
    <row r="176" spans="1:70" ht="28.5" x14ac:dyDescent="0.45">
      <c r="A176" s="4" t="s">
        <v>43</v>
      </c>
      <c r="B176" s="54" t="s">
        <v>79</v>
      </c>
      <c r="C176" s="3">
        <v>45243</v>
      </c>
      <c r="D176" s="8">
        <v>3</v>
      </c>
      <c r="E176" s="2" t="s">
        <v>583</v>
      </c>
      <c r="F176" s="4" t="s">
        <v>15</v>
      </c>
      <c r="G176" s="4" t="s">
        <v>15</v>
      </c>
      <c r="H176" s="4" t="s">
        <v>330</v>
      </c>
      <c r="I176" s="7">
        <v>0.16370000000000001</v>
      </c>
      <c r="J176" s="7">
        <v>0.16370000000000001</v>
      </c>
      <c r="K176" s="7">
        <v>3.2000000000000002E-3</v>
      </c>
      <c r="L176" s="7"/>
      <c r="M176" s="7">
        <v>0.15770000000000001</v>
      </c>
      <c r="N176" s="7">
        <v>-0.6</v>
      </c>
      <c r="O176" s="4"/>
      <c r="P176" s="7">
        <v>1.2110000000000001</v>
      </c>
      <c r="T176" s="7">
        <v>60.9</v>
      </c>
      <c r="U176" s="7">
        <v>468</v>
      </c>
      <c r="V176" s="7">
        <v>750</v>
      </c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  <c r="AQ176" s="4"/>
      <c r="AR176" s="4"/>
      <c r="AS176" s="4"/>
      <c r="AT176" s="4"/>
      <c r="AU176" s="4"/>
      <c r="AV176" s="4"/>
      <c r="AW176" s="4"/>
      <c r="AX176" s="4"/>
      <c r="AY176" s="4"/>
      <c r="AZ176" s="4"/>
      <c r="BA176" s="22">
        <v>117</v>
      </c>
      <c r="BB176" s="4"/>
      <c r="BC176" s="4"/>
      <c r="BD176" s="22">
        <v>25.1</v>
      </c>
      <c r="BE176" s="14">
        <v>1012</v>
      </c>
      <c r="BF176" s="61">
        <v>53</v>
      </c>
      <c r="BG176" s="15">
        <v>1.1739999999999999</v>
      </c>
      <c r="BH176" s="4">
        <v>2096</v>
      </c>
      <c r="BI176" s="4"/>
      <c r="BJ176" s="3" t="s">
        <v>297</v>
      </c>
      <c r="BK176"/>
      <c r="BL176"/>
      <c r="BM176"/>
      <c r="BR176"/>
    </row>
    <row r="177" spans="1:70" ht="28.5" x14ac:dyDescent="0.45">
      <c r="A177" s="4" t="s">
        <v>43</v>
      </c>
      <c r="B177" s="54" t="s">
        <v>79</v>
      </c>
      <c r="C177" s="3">
        <v>45243</v>
      </c>
      <c r="D177" s="8">
        <v>4</v>
      </c>
      <c r="E177" s="2" t="s">
        <v>214</v>
      </c>
      <c r="F177" s="4" t="s">
        <v>216</v>
      </c>
      <c r="G177" s="4" t="s">
        <v>15</v>
      </c>
      <c r="H177" s="4" t="s">
        <v>223</v>
      </c>
      <c r="I177" s="7">
        <v>0.15290000000000001</v>
      </c>
      <c r="J177" s="7">
        <v>0.15290000000000001</v>
      </c>
      <c r="K177" s="7">
        <v>3.5000000000000001E-3</v>
      </c>
      <c r="L177" s="7"/>
      <c r="M177" s="7">
        <v>0.14799999999999999</v>
      </c>
      <c r="N177" s="7">
        <v>-0.64</v>
      </c>
      <c r="O177" s="4"/>
      <c r="P177" s="7">
        <v>1.2110000000000001</v>
      </c>
      <c r="T177" s="7">
        <v>61</v>
      </c>
      <c r="U177" s="7">
        <v>439</v>
      </c>
      <c r="V177" s="7">
        <v>750</v>
      </c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  <c r="AP177" s="4"/>
      <c r="AQ177" s="4"/>
      <c r="AR177" s="4"/>
      <c r="AS177" s="4"/>
      <c r="AT177" s="4"/>
      <c r="AU177" s="4"/>
      <c r="AV177" s="4"/>
      <c r="AW177" s="4"/>
      <c r="AX177" s="4"/>
      <c r="AY177" s="4"/>
      <c r="AZ177" s="4"/>
      <c r="BA177" s="22">
        <v>117</v>
      </c>
      <c r="BB177" s="4"/>
      <c r="BC177" s="4"/>
      <c r="BD177" s="22">
        <v>25.1</v>
      </c>
      <c r="BE177" s="14">
        <v>1012</v>
      </c>
      <c r="BF177" s="61">
        <v>54</v>
      </c>
      <c r="BG177" s="15">
        <v>1.1739999999999999</v>
      </c>
      <c r="BH177" s="4">
        <v>2096</v>
      </c>
      <c r="BI177" s="4"/>
      <c r="BJ177" s="3" t="s">
        <v>296</v>
      </c>
      <c r="BK177"/>
      <c r="BL177"/>
      <c r="BM177"/>
      <c r="BR177"/>
    </row>
    <row r="178" spans="1:70" ht="28.5" x14ac:dyDescent="0.45">
      <c r="A178" s="4" t="s">
        <v>43</v>
      </c>
      <c r="B178" s="54" t="s">
        <v>79</v>
      </c>
      <c r="C178" s="3">
        <v>45243</v>
      </c>
      <c r="D178" s="8">
        <v>5</v>
      </c>
      <c r="E178" s="2" t="s">
        <v>583</v>
      </c>
      <c r="F178" s="4" t="s">
        <v>15</v>
      </c>
      <c r="G178" s="4" t="s">
        <v>15</v>
      </c>
      <c r="H178" s="4" t="s">
        <v>330</v>
      </c>
      <c r="I178" s="7">
        <v>0.16446</v>
      </c>
      <c r="J178" s="7">
        <v>0.16446</v>
      </c>
      <c r="K178" s="7">
        <v>1.6000000000000001E-3</v>
      </c>
      <c r="L178" s="7"/>
      <c r="M178" s="7">
        <v>0.1608</v>
      </c>
      <c r="N178" s="7">
        <v>-0.55000000000000004</v>
      </c>
      <c r="O178" s="4"/>
      <c r="P178" s="7">
        <v>1.2110000000000001</v>
      </c>
      <c r="T178" s="7">
        <v>60.7</v>
      </c>
      <c r="U178" s="7">
        <v>470</v>
      </c>
      <c r="V178" s="7">
        <v>750</v>
      </c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  <c r="AP178" s="4"/>
      <c r="AQ178" s="4"/>
      <c r="AR178" s="4"/>
      <c r="AS178" s="4"/>
      <c r="AT178" s="4"/>
      <c r="AU178" s="4"/>
      <c r="AV178" s="4"/>
      <c r="AW178" s="4"/>
      <c r="AX178" s="4"/>
      <c r="AY178" s="4"/>
      <c r="AZ178" s="4"/>
      <c r="BA178" s="22">
        <v>117</v>
      </c>
      <c r="BB178" s="4"/>
      <c r="BC178" s="4"/>
      <c r="BD178" s="22">
        <v>25.1</v>
      </c>
      <c r="BE178" s="14">
        <v>1012</v>
      </c>
      <c r="BF178" s="61">
        <v>54</v>
      </c>
      <c r="BG178" s="15">
        <v>1.175</v>
      </c>
      <c r="BH178" s="4">
        <v>2096</v>
      </c>
      <c r="BI178" s="4"/>
      <c r="BJ178" s="3" t="s">
        <v>295</v>
      </c>
      <c r="BK178"/>
      <c r="BL178"/>
      <c r="BM178"/>
      <c r="BR178"/>
    </row>
    <row r="179" spans="1:70" ht="28.5" x14ac:dyDescent="0.45">
      <c r="A179" s="4" t="s">
        <v>43</v>
      </c>
      <c r="B179" s="54" t="s">
        <v>79</v>
      </c>
      <c r="C179" s="3">
        <v>45243</v>
      </c>
      <c r="D179" s="8">
        <v>6</v>
      </c>
      <c r="E179" s="2" t="s">
        <v>214</v>
      </c>
      <c r="F179" s="4" t="s">
        <v>216</v>
      </c>
      <c r="G179" s="4" t="s">
        <v>15</v>
      </c>
      <c r="H179" s="4" t="s">
        <v>223</v>
      </c>
      <c r="I179" s="7">
        <v>0.15590000000000001</v>
      </c>
      <c r="J179" s="7">
        <v>0.15590000000000001</v>
      </c>
      <c r="K179" s="7">
        <v>4.4000000000000003E-3</v>
      </c>
      <c r="L179" s="7"/>
      <c r="M179" s="7">
        <v>0.15010000000000001</v>
      </c>
      <c r="N179" s="7">
        <v>-0.56999999999999995</v>
      </c>
      <c r="O179" s="4"/>
      <c r="P179" s="7">
        <v>1.2110000000000001</v>
      </c>
      <c r="T179" s="7">
        <v>61.5</v>
      </c>
      <c r="U179" s="7">
        <v>451</v>
      </c>
      <c r="V179" s="7">
        <v>750</v>
      </c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  <c r="AP179" s="4"/>
      <c r="AQ179" s="4"/>
      <c r="AR179" s="4"/>
      <c r="AS179" s="4"/>
      <c r="AT179" s="4"/>
      <c r="AU179" s="4"/>
      <c r="AV179" s="4"/>
      <c r="AW179" s="4"/>
      <c r="AX179" s="4"/>
      <c r="AY179" s="4"/>
      <c r="AZ179" s="4"/>
      <c r="BA179" s="22">
        <v>117</v>
      </c>
      <c r="BB179" s="4"/>
      <c r="BC179" s="4"/>
      <c r="BD179" s="22">
        <v>25.1</v>
      </c>
      <c r="BE179" s="14">
        <v>1011</v>
      </c>
      <c r="BF179" s="61">
        <v>54</v>
      </c>
      <c r="BG179" s="15">
        <v>1.1739999999999999</v>
      </c>
      <c r="BH179" s="4">
        <v>2096</v>
      </c>
      <c r="BI179" s="4"/>
      <c r="BJ179" s="3" t="s">
        <v>304</v>
      </c>
      <c r="BK179"/>
      <c r="BL179"/>
      <c r="BM179"/>
      <c r="BR179"/>
    </row>
    <row r="180" spans="1:70" ht="28.5" x14ac:dyDescent="0.45">
      <c r="A180" s="4" t="s">
        <v>13</v>
      </c>
      <c r="B180" s="54" t="s">
        <v>28</v>
      </c>
      <c r="C180" s="3">
        <v>45243</v>
      </c>
      <c r="D180" s="8">
        <v>1</v>
      </c>
      <c r="E180" s="2" t="s">
        <v>581</v>
      </c>
      <c r="F180" s="4" t="s">
        <v>15</v>
      </c>
      <c r="G180" s="4" t="s">
        <v>577</v>
      </c>
      <c r="H180" s="4" t="s">
        <v>571</v>
      </c>
      <c r="I180" s="7">
        <v>0.16969999999999999</v>
      </c>
      <c r="J180" s="7">
        <v>0.16969999999999999</v>
      </c>
      <c r="K180" s="7">
        <v>6.0000000000000001E-3</v>
      </c>
      <c r="L180" s="7"/>
      <c r="M180" s="7">
        <v>0.16200000000000001</v>
      </c>
      <c r="N180" s="7">
        <v>-0.93</v>
      </c>
      <c r="O180" s="4"/>
      <c r="P180" s="7">
        <v>1.163</v>
      </c>
      <c r="T180" s="7">
        <v>66</v>
      </c>
      <c r="U180" s="7">
        <v>616</v>
      </c>
      <c r="V180" s="7">
        <v>750</v>
      </c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  <c r="AP180" s="4"/>
      <c r="AQ180" s="4"/>
      <c r="AR180" s="4"/>
      <c r="AS180" s="4"/>
      <c r="AT180" s="4"/>
      <c r="AU180" s="4"/>
      <c r="AV180" s="4"/>
      <c r="AW180" s="4"/>
      <c r="AX180" s="4"/>
      <c r="AY180" s="4"/>
      <c r="AZ180" s="4"/>
      <c r="BA180" s="22">
        <v>117</v>
      </c>
      <c r="BB180" s="4"/>
      <c r="BC180" s="4"/>
      <c r="BD180" s="22">
        <v>25.1</v>
      </c>
      <c r="BE180" s="14">
        <v>1011</v>
      </c>
      <c r="BF180" s="61">
        <v>54</v>
      </c>
      <c r="BG180" s="15">
        <v>1.173</v>
      </c>
      <c r="BH180" s="4">
        <v>2096</v>
      </c>
      <c r="BI180" s="4"/>
      <c r="BJ180" s="3" t="s">
        <v>303</v>
      </c>
      <c r="BK180"/>
      <c r="BL180"/>
      <c r="BM180"/>
      <c r="BR180"/>
    </row>
    <row r="181" spans="1:70" ht="28.5" x14ac:dyDescent="0.45">
      <c r="A181" s="4" t="s">
        <v>13</v>
      </c>
      <c r="B181" s="54" t="s">
        <v>28</v>
      </c>
      <c r="C181" s="3">
        <v>45243</v>
      </c>
      <c r="D181" s="8">
        <v>2</v>
      </c>
      <c r="E181" s="2" t="s">
        <v>582</v>
      </c>
      <c r="F181" s="4" t="s">
        <v>15</v>
      </c>
      <c r="G181" s="4" t="s">
        <v>577</v>
      </c>
      <c r="H181" s="4" t="s">
        <v>571</v>
      </c>
      <c r="I181" s="7">
        <v>0.1704</v>
      </c>
      <c r="J181" s="7">
        <v>0.1704</v>
      </c>
      <c r="K181" s="7">
        <v>7.7999999999999996E-3</v>
      </c>
      <c r="L181" s="7"/>
      <c r="M181" s="7">
        <v>0.161</v>
      </c>
      <c r="N181" s="7">
        <v>-0.99</v>
      </c>
      <c r="O181" s="4"/>
      <c r="P181" s="7">
        <v>1.163</v>
      </c>
      <c r="T181" s="7">
        <v>65.099999999999994</v>
      </c>
      <c r="U181" s="7">
        <v>575</v>
      </c>
      <c r="V181" s="7">
        <v>750</v>
      </c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4"/>
      <c r="AR181" s="4"/>
      <c r="AS181" s="4"/>
      <c r="AT181" s="4"/>
      <c r="AU181" s="4"/>
      <c r="AV181" s="4"/>
      <c r="AW181" s="4"/>
      <c r="AX181" s="4"/>
      <c r="AY181" s="4"/>
      <c r="AZ181" s="4"/>
      <c r="BA181" s="22">
        <v>117</v>
      </c>
      <c r="BB181" s="4"/>
      <c r="BC181" s="4"/>
      <c r="BD181" s="22">
        <v>25.1</v>
      </c>
      <c r="BE181" s="14">
        <v>1011</v>
      </c>
      <c r="BF181" s="61">
        <v>54</v>
      </c>
      <c r="BG181" s="15">
        <v>1.173</v>
      </c>
      <c r="BH181" s="4">
        <v>2096</v>
      </c>
      <c r="BI181" s="4"/>
      <c r="BJ181" s="3" t="s">
        <v>302</v>
      </c>
      <c r="BK181"/>
      <c r="BL181"/>
      <c r="BM181"/>
      <c r="BR181"/>
    </row>
    <row r="182" spans="1:70" ht="28.5" x14ac:dyDescent="0.45">
      <c r="A182" s="4" t="s">
        <v>13</v>
      </c>
      <c r="B182" s="54" t="s">
        <v>28</v>
      </c>
      <c r="C182" s="3">
        <v>45243</v>
      </c>
      <c r="D182" s="8">
        <v>3</v>
      </c>
      <c r="E182" s="2" t="s">
        <v>581</v>
      </c>
      <c r="F182" s="4" t="s">
        <v>15</v>
      </c>
      <c r="G182" s="4" t="s">
        <v>577</v>
      </c>
      <c r="H182" s="4" t="s">
        <v>571</v>
      </c>
      <c r="I182" s="7">
        <v>0.17510000000000001</v>
      </c>
      <c r="J182" s="7">
        <v>0.17510000000000001</v>
      </c>
      <c r="K182" s="7">
        <v>6.7999999999999996E-3</v>
      </c>
      <c r="L182" s="7"/>
      <c r="M182" s="7">
        <v>0.16669999999999999</v>
      </c>
      <c r="N182" s="7">
        <v>-1.01</v>
      </c>
      <c r="O182" s="4"/>
      <c r="P182" s="7">
        <v>1.1565000000000001</v>
      </c>
      <c r="T182" s="7">
        <v>65</v>
      </c>
      <c r="U182" s="7">
        <v>611</v>
      </c>
      <c r="V182" s="7">
        <v>750</v>
      </c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4"/>
      <c r="AR182" s="4"/>
      <c r="AS182" s="4"/>
      <c r="AT182" s="4"/>
      <c r="AU182" s="4"/>
      <c r="AV182" s="4"/>
      <c r="AW182" s="4"/>
      <c r="AX182" s="4"/>
      <c r="AY182" s="4"/>
      <c r="AZ182" s="4"/>
      <c r="BA182" s="22">
        <v>117</v>
      </c>
      <c r="BB182" s="4"/>
      <c r="BC182" s="4"/>
      <c r="BD182" s="22">
        <v>25.2</v>
      </c>
      <c r="BE182" s="14">
        <v>1011</v>
      </c>
      <c r="BF182" s="61">
        <v>54</v>
      </c>
      <c r="BG182" s="15">
        <v>1.173</v>
      </c>
      <c r="BH182" s="4">
        <v>2096</v>
      </c>
      <c r="BI182" s="4"/>
      <c r="BJ182" s="3" t="s">
        <v>301</v>
      </c>
      <c r="BK182"/>
      <c r="BL182"/>
      <c r="BM182"/>
      <c r="BR182"/>
    </row>
    <row r="183" spans="1:70" ht="28.5" x14ac:dyDescent="0.45">
      <c r="A183" s="4" t="s">
        <v>13</v>
      </c>
      <c r="B183" s="54" t="s">
        <v>28</v>
      </c>
      <c r="C183" s="3">
        <v>45243</v>
      </c>
      <c r="D183" s="8">
        <v>4</v>
      </c>
      <c r="E183" s="2" t="s">
        <v>582</v>
      </c>
      <c r="F183" s="4" t="s">
        <v>15</v>
      </c>
      <c r="G183" s="4" t="s">
        <v>577</v>
      </c>
      <c r="H183" s="4" t="s">
        <v>571</v>
      </c>
      <c r="I183" s="7">
        <v>0.17510000000000001</v>
      </c>
      <c r="J183" s="7">
        <v>0.17510000000000001</v>
      </c>
      <c r="K183" s="7">
        <v>3.3E-3</v>
      </c>
      <c r="L183" s="7"/>
      <c r="M183" s="7">
        <v>0.16070000000000001</v>
      </c>
      <c r="N183" s="7">
        <v>-1.1399999999999999</v>
      </c>
      <c r="O183" s="4"/>
      <c r="P183" s="7">
        <v>1.1565000000000001</v>
      </c>
      <c r="T183" s="7">
        <v>65.400000000000006</v>
      </c>
      <c r="U183" s="7">
        <v>595</v>
      </c>
      <c r="V183" s="7">
        <v>750</v>
      </c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  <c r="AP183" s="4"/>
      <c r="AQ183" s="4"/>
      <c r="AR183" s="4"/>
      <c r="AS183" s="4"/>
      <c r="AT183" s="4"/>
      <c r="AU183" s="4"/>
      <c r="AV183" s="4"/>
      <c r="AW183" s="4"/>
      <c r="AX183" s="4"/>
      <c r="AY183" s="4"/>
      <c r="AZ183" s="4"/>
      <c r="BA183" s="22">
        <v>117</v>
      </c>
      <c r="BB183" s="4"/>
      <c r="BC183" s="4"/>
      <c r="BD183" s="22">
        <v>25.2</v>
      </c>
      <c r="BE183" s="14">
        <v>1011</v>
      </c>
      <c r="BF183" s="61">
        <v>54</v>
      </c>
      <c r="BG183" s="15">
        <v>1.173</v>
      </c>
      <c r="BH183" s="4">
        <v>2096</v>
      </c>
      <c r="BI183" s="4"/>
      <c r="BJ183" s="3" t="s">
        <v>300</v>
      </c>
      <c r="BK183"/>
      <c r="BL183"/>
      <c r="BM183"/>
      <c r="BR183"/>
    </row>
    <row r="184" spans="1:70" ht="28.5" x14ac:dyDescent="0.45">
      <c r="A184" s="2" t="s">
        <v>43</v>
      </c>
      <c r="B184" s="54" t="s">
        <v>44</v>
      </c>
      <c r="C184" s="3">
        <v>45246</v>
      </c>
      <c r="D184" s="8">
        <v>1</v>
      </c>
      <c r="E184" s="2" t="s">
        <v>212</v>
      </c>
      <c r="F184" s="4" t="s">
        <v>15</v>
      </c>
      <c r="G184" s="4" t="s">
        <v>15</v>
      </c>
      <c r="H184" s="4" t="s">
        <v>330</v>
      </c>
      <c r="I184" s="7">
        <v>0.1686</v>
      </c>
      <c r="J184" s="7">
        <v>0.1686</v>
      </c>
      <c r="K184" s="7">
        <v>2E-3</v>
      </c>
      <c r="L184" s="7">
        <v>0.16600000000000001</v>
      </c>
      <c r="M184" s="7">
        <v>0.1678</v>
      </c>
      <c r="N184" s="7">
        <v>-0.4</v>
      </c>
      <c r="O184" s="4"/>
      <c r="P184" s="7">
        <v>1.2955000000000001</v>
      </c>
      <c r="T184" s="7">
        <v>58.5</v>
      </c>
      <c r="U184" s="7">
        <v>439</v>
      </c>
      <c r="V184" s="7">
        <v>754.9</v>
      </c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  <c r="AP184" s="4"/>
      <c r="AQ184" s="4"/>
      <c r="AR184" s="4"/>
      <c r="AS184" s="4"/>
      <c r="AT184" s="4"/>
      <c r="AU184" s="4"/>
      <c r="AV184" s="4"/>
      <c r="AW184" s="4"/>
      <c r="AX184" s="4"/>
      <c r="AY184" s="4"/>
      <c r="AZ184" s="4"/>
      <c r="BA184" s="22">
        <v>111.6</v>
      </c>
      <c r="BB184" s="4"/>
      <c r="BC184" s="4"/>
      <c r="BD184" s="22">
        <v>24.3</v>
      </c>
      <c r="BE184" s="14">
        <v>1010</v>
      </c>
      <c r="BF184" s="61">
        <v>52</v>
      </c>
      <c r="BG184" s="15">
        <v>1.177</v>
      </c>
      <c r="BH184" s="4">
        <v>2096</v>
      </c>
      <c r="BI184" s="4"/>
      <c r="BJ184" s="3" t="s">
        <v>253</v>
      </c>
      <c r="BK184" s="7"/>
      <c r="BL184"/>
      <c r="BM184"/>
      <c r="BR184"/>
    </row>
    <row r="185" spans="1:70" ht="28.5" x14ac:dyDescent="0.45">
      <c r="A185" s="2" t="s">
        <v>43</v>
      </c>
      <c r="B185" s="54" t="s">
        <v>44</v>
      </c>
      <c r="C185" s="3">
        <v>45246</v>
      </c>
      <c r="D185" s="8">
        <v>2</v>
      </c>
      <c r="E185" s="2" t="s">
        <v>213</v>
      </c>
      <c r="F185" s="4" t="s">
        <v>15</v>
      </c>
      <c r="G185" s="4" t="s">
        <v>15</v>
      </c>
      <c r="H185" s="4" t="s">
        <v>330</v>
      </c>
      <c r="I185" s="7">
        <v>0.16500000000000001</v>
      </c>
      <c r="J185" s="7">
        <v>0.16500000000000001</v>
      </c>
      <c r="K185" s="7">
        <v>3.0000000000000001E-3</v>
      </c>
      <c r="L185" s="7">
        <v>0.16500000000000001</v>
      </c>
      <c r="M185" s="7">
        <v>0.1663</v>
      </c>
      <c r="N185" s="7">
        <v>-0.41</v>
      </c>
      <c r="O185" s="4"/>
      <c r="P185" s="7">
        <v>1.2955000000000001</v>
      </c>
      <c r="T185" s="7">
        <v>57.8</v>
      </c>
      <c r="U185" s="7">
        <v>432</v>
      </c>
      <c r="V185" s="7">
        <v>754.7</v>
      </c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  <c r="AP185" s="4"/>
      <c r="AQ185" s="4"/>
      <c r="AR185" s="4"/>
      <c r="AS185" s="4"/>
      <c r="AT185" s="4"/>
      <c r="AU185" s="4"/>
      <c r="AV185" s="4"/>
      <c r="AW185" s="4"/>
      <c r="AX185" s="4"/>
      <c r="AY185" s="4"/>
      <c r="AZ185" s="4"/>
      <c r="BA185" s="22">
        <v>111.6</v>
      </c>
      <c r="BB185" s="4"/>
      <c r="BC185" s="4"/>
      <c r="BD185" s="22">
        <v>24.5</v>
      </c>
      <c r="BE185" s="14">
        <v>1010</v>
      </c>
      <c r="BF185" s="61">
        <v>52</v>
      </c>
      <c r="BG185" s="15">
        <v>1.175</v>
      </c>
      <c r="BH185" s="4">
        <v>2096</v>
      </c>
      <c r="BI185" s="4"/>
      <c r="BJ185" s="3" t="s">
        <v>254</v>
      </c>
      <c r="BK185" s="7"/>
      <c r="BL185"/>
      <c r="BM185"/>
      <c r="BR185"/>
    </row>
    <row r="186" spans="1:70" ht="28.5" x14ac:dyDescent="0.45">
      <c r="A186" s="2" t="s">
        <v>43</v>
      </c>
      <c r="B186" s="54" t="s">
        <v>44</v>
      </c>
      <c r="C186" s="3">
        <v>45246</v>
      </c>
      <c r="D186" s="8">
        <v>3</v>
      </c>
      <c r="E186" s="2" t="s">
        <v>214</v>
      </c>
      <c r="F186" s="4" t="s">
        <v>15</v>
      </c>
      <c r="G186" s="4" t="s">
        <v>15</v>
      </c>
      <c r="H186" s="4" t="s">
        <v>330</v>
      </c>
      <c r="I186" s="7">
        <v>0.16619999999999999</v>
      </c>
      <c r="J186" s="7">
        <v>0.1648</v>
      </c>
      <c r="K186" s="7">
        <v>2.5000000000000001E-3</v>
      </c>
      <c r="L186" s="7">
        <v>0.16800000000000001</v>
      </c>
      <c r="M186" s="7">
        <v>0.16400000000000001</v>
      </c>
      <c r="N186" s="7">
        <v>-0.5</v>
      </c>
      <c r="O186" s="4"/>
      <c r="P186" s="7">
        <v>1.2955000000000001</v>
      </c>
      <c r="T186" s="7">
        <v>58.8</v>
      </c>
      <c r="U186" s="7">
        <v>446</v>
      </c>
      <c r="V186" s="7">
        <v>755.2</v>
      </c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  <c r="AP186" s="4"/>
      <c r="AQ186" s="4"/>
      <c r="AR186" s="4"/>
      <c r="AS186" s="4"/>
      <c r="AT186" s="4"/>
      <c r="AU186" s="4"/>
      <c r="AV186" s="4"/>
      <c r="AW186" s="4"/>
      <c r="AX186" s="4"/>
      <c r="AY186" s="4"/>
      <c r="AZ186" s="4"/>
      <c r="BA186" s="22">
        <v>111.6</v>
      </c>
      <c r="BB186" s="4"/>
      <c r="BC186" s="4"/>
      <c r="BD186" s="22">
        <v>24.8</v>
      </c>
      <c r="BE186" s="14">
        <v>1010</v>
      </c>
      <c r="BF186" s="61">
        <v>50</v>
      </c>
      <c r="BG186" s="15">
        <v>1.1739999999999999</v>
      </c>
      <c r="BH186" s="4">
        <v>2096</v>
      </c>
      <c r="BI186" s="4"/>
      <c r="BJ186" s="3" t="s">
        <v>256</v>
      </c>
      <c r="BK186" s="7"/>
      <c r="BL186"/>
      <c r="BM186"/>
      <c r="BR186"/>
    </row>
    <row r="187" spans="1:70" ht="28.5" x14ac:dyDescent="0.45">
      <c r="A187" s="2" t="s">
        <v>43</v>
      </c>
      <c r="B187" s="54" t="s">
        <v>44</v>
      </c>
      <c r="C187" s="3">
        <v>45246</v>
      </c>
      <c r="D187" s="8">
        <v>4</v>
      </c>
      <c r="E187" s="2" t="s">
        <v>212</v>
      </c>
      <c r="F187" s="4" t="s">
        <v>15</v>
      </c>
      <c r="G187" s="4" t="s">
        <v>15</v>
      </c>
      <c r="H187" s="4" t="s">
        <v>330</v>
      </c>
      <c r="I187" s="7">
        <v>0.1691</v>
      </c>
      <c r="J187" s="7">
        <v>0.1691</v>
      </c>
      <c r="K187" s="7">
        <v>4.4000000000000003E-3</v>
      </c>
      <c r="L187" s="7">
        <v>0.16900000000000001</v>
      </c>
      <c r="M187" s="7">
        <v>0.16980000000000001</v>
      </c>
      <c r="N187" s="7">
        <v>-0.43</v>
      </c>
      <c r="O187" s="4"/>
      <c r="P187" s="7">
        <v>1.2955000000000001</v>
      </c>
      <c r="T187" s="7">
        <v>58.4</v>
      </c>
      <c r="U187" s="7">
        <v>439</v>
      </c>
      <c r="V187" s="7">
        <v>754.7</v>
      </c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  <c r="AP187" s="4"/>
      <c r="AQ187" s="4"/>
      <c r="AR187" s="4"/>
      <c r="AS187" s="4"/>
      <c r="AT187" s="4"/>
      <c r="AU187" s="4"/>
      <c r="AV187" s="4"/>
      <c r="AW187" s="4"/>
      <c r="AX187" s="4"/>
      <c r="AY187" s="4"/>
      <c r="AZ187" s="4"/>
      <c r="BA187" s="22">
        <v>111.6</v>
      </c>
      <c r="BB187" s="4"/>
      <c r="BC187" s="4"/>
      <c r="BD187" s="22">
        <v>25.1</v>
      </c>
      <c r="BE187" s="14">
        <v>1010</v>
      </c>
      <c r="BF187" s="61">
        <v>51</v>
      </c>
      <c r="BG187" s="15">
        <v>1.173</v>
      </c>
      <c r="BH187" s="4">
        <v>2096</v>
      </c>
      <c r="BI187" s="4"/>
      <c r="BJ187" s="3" t="s">
        <v>255</v>
      </c>
      <c r="BK187" s="7"/>
      <c r="BL187"/>
      <c r="BM187"/>
      <c r="BR187"/>
    </row>
    <row r="188" spans="1:70" ht="28.5" x14ac:dyDescent="0.45">
      <c r="A188" s="2" t="s">
        <v>43</v>
      </c>
      <c r="B188" s="54" t="s">
        <v>44</v>
      </c>
      <c r="C188" s="3">
        <v>45246</v>
      </c>
      <c r="D188" s="8">
        <v>5</v>
      </c>
      <c r="E188" s="2" t="s">
        <v>213</v>
      </c>
      <c r="F188" s="4" t="s">
        <v>15</v>
      </c>
      <c r="G188" s="4" t="s">
        <v>15</v>
      </c>
      <c r="H188" s="4" t="s">
        <v>330</v>
      </c>
      <c r="I188" s="7">
        <v>0.1681</v>
      </c>
      <c r="J188" s="7">
        <v>0.1681</v>
      </c>
      <c r="K188" s="7">
        <v>2E-3</v>
      </c>
      <c r="L188" s="7">
        <v>0.16700000000000001</v>
      </c>
      <c r="M188" s="7">
        <v>0.1653</v>
      </c>
      <c r="N188" s="7">
        <v>-0.5</v>
      </c>
      <c r="O188" s="4"/>
      <c r="P188" s="7">
        <v>1.2955000000000001</v>
      </c>
      <c r="T188" s="7">
        <v>59.3</v>
      </c>
      <c r="U188" s="7">
        <v>456</v>
      </c>
      <c r="V188" s="7">
        <v>755.7</v>
      </c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  <c r="AP188" s="4"/>
      <c r="AQ188" s="4"/>
      <c r="AR188" s="4"/>
      <c r="AS188" s="4"/>
      <c r="AT188" s="4"/>
      <c r="AU188" s="4"/>
      <c r="AV188" s="4"/>
      <c r="AW188" s="4"/>
      <c r="AX188" s="4"/>
      <c r="AY188" s="4"/>
      <c r="AZ188" s="4"/>
      <c r="BA188" s="22">
        <v>111.6</v>
      </c>
      <c r="BB188" s="4"/>
      <c r="BC188" s="4"/>
      <c r="BD188" s="22">
        <v>25.1</v>
      </c>
      <c r="BE188" s="14">
        <v>1010</v>
      </c>
      <c r="BF188" s="61">
        <v>48</v>
      </c>
      <c r="BG188" s="15">
        <v>1.173</v>
      </c>
      <c r="BH188" s="4">
        <v>2096</v>
      </c>
      <c r="BI188" s="4"/>
      <c r="BJ188" s="3" t="s">
        <v>257</v>
      </c>
      <c r="BK188" s="7"/>
      <c r="BL188"/>
      <c r="BM188"/>
      <c r="BR188"/>
    </row>
    <row r="189" spans="1:70" ht="28.5" x14ac:dyDescent="0.45">
      <c r="A189" s="2" t="s">
        <v>43</v>
      </c>
      <c r="B189" s="54" t="s">
        <v>44</v>
      </c>
      <c r="C189" s="3">
        <v>45246</v>
      </c>
      <c r="D189" s="8">
        <v>6</v>
      </c>
      <c r="E189" s="2" t="s">
        <v>214</v>
      </c>
      <c r="F189" s="4" t="s">
        <v>15</v>
      </c>
      <c r="G189" s="4" t="s">
        <v>15</v>
      </c>
      <c r="H189" s="4" t="s">
        <v>330</v>
      </c>
      <c r="I189" s="7">
        <v>0.16550000000000001</v>
      </c>
      <c r="J189" s="7">
        <v>0.1641</v>
      </c>
      <c r="K189" s="7">
        <v>5.1000000000000004E-3</v>
      </c>
      <c r="L189" s="7">
        <v>0.16400000000000001</v>
      </c>
      <c r="M189" s="7">
        <v>0.16600000000000001</v>
      </c>
      <c r="N189" s="7">
        <v>-0.47</v>
      </c>
      <c r="O189" s="4"/>
      <c r="P189" s="7">
        <v>1.2955000000000001</v>
      </c>
      <c r="T189" s="7">
        <v>58.5</v>
      </c>
      <c r="U189" s="7">
        <v>435</v>
      </c>
      <c r="V189" s="7">
        <v>755.3</v>
      </c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  <c r="AP189" s="4"/>
      <c r="AQ189" s="4"/>
      <c r="AR189" s="4"/>
      <c r="AS189" s="4"/>
      <c r="AT189" s="4"/>
      <c r="AU189" s="4"/>
      <c r="AV189" s="4"/>
      <c r="AW189" s="4"/>
      <c r="AX189" s="4"/>
      <c r="AY189" s="4"/>
      <c r="AZ189" s="4"/>
      <c r="BA189" s="22">
        <v>111.6</v>
      </c>
      <c r="BB189" s="4"/>
      <c r="BC189" s="4"/>
      <c r="BD189" s="22">
        <v>25.3</v>
      </c>
      <c r="BE189" s="14">
        <v>1010</v>
      </c>
      <c r="BF189" s="61">
        <v>48</v>
      </c>
      <c r="BG189" s="15">
        <v>1.1719999999999999</v>
      </c>
      <c r="BH189" s="4">
        <v>2096</v>
      </c>
      <c r="BI189" s="4"/>
      <c r="BJ189" s="3" t="s">
        <v>258</v>
      </c>
      <c r="BK189" s="7"/>
      <c r="BL189"/>
      <c r="BM189"/>
      <c r="BR189"/>
    </row>
    <row r="190" spans="1:70" ht="28.5" x14ac:dyDescent="0.45">
      <c r="A190" s="2" t="s">
        <v>43</v>
      </c>
      <c r="B190" s="54" t="s">
        <v>79</v>
      </c>
      <c r="C190" s="3">
        <v>45246</v>
      </c>
      <c r="D190" s="8">
        <v>1</v>
      </c>
      <c r="E190" s="2" t="s">
        <v>215</v>
      </c>
      <c r="F190" s="4" t="s">
        <v>216</v>
      </c>
      <c r="G190" s="4" t="s">
        <v>15</v>
      </c>
      <c r="H190" s="4" t="s">
        <v>223</v>
      </c>
      <c r="I190" s="7">
        <v>0.14849999999999999</v>
      </c>
      <c r="J190" s="7">
        <v>0.14849999999999999</v>
      </c>
      <c r="K190" s="7">
        <v>2.8999999999999998E-3</v>
      </c>
      <c r="L190" s="7">
        <v>0.14599999999999999</v>
      </c>
      <c r="M190" s="7">
        <v>0.1467</v>
      </c>
      <c r="N190" s="7">
        <v>-0.47</v>
      </c>
      <c r="O190" s="4"/>
      <c r="P190" s="7">
        <v>1.2549999999999999</v>
      </c>
      <c r="T190" s="7">
        <v>59.6</v>
      </c>
      <c r="U190" s="7">
        <v>426</v>
      </c>
      <c r="V190" s="7">
        <v>754</v>
      </c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  <c r="AP190" s="4"/>
      <c r="AQ190" s="4"/>
      <c r="AR190" s="4"/>
      <c r="AS190" s="4"/>
      <c r="AT190" s="4"/>
      <c r="AU190" s="4"/>
      <c r="AV190" s="4"/>
      <c r="AW190" s="4"/>
      <c r="AX190" s="4"/>
      <c r="AY190" s="4"/>
      <c r="AZ190" s="4"/>
      <c r="BA190" s="22">
        <v>111.6</v>
      </c>
      <c r="BB190" s="4"/>
      <c r="BC190" s="4"/>
      <c r="BD190" s="22">
        <v>24.3</v>
      </c>
      <c r="BE190" s="14">
        <v>1010</v>
      </c>
      <c r="BF190" s="61">
        <v>52</v>
      </c>
      <c r="BG190" s="15">
        <v>1.177</v>
      </c>
      <c r="BH190" s="4">
        <v>2096</v>
      </c>
      <c r="BI190" s="4"/>
      <c r="BJ190" s="3" t="s">
        <v>259</v>
      </c>
      <c r="BK190" s="7"/>
      <c r="BL190"/>
      <c r="BM190"/>
      <c r="BR190"/>
    </row>
    <row r="191" spans="1:70" ht="28.5" x14ac:dyDescent="0.45">
      <c r="A191" s="2" t="s">
        <v>43</v>
      </c>
      <c r="B191" s="54" t="s">
        <v>79</v>
      </c>
      <c r="C191" s="3">
        <v>45246</v>
      </c>
      <c r="D191" s="8">
        <v>2</v>
      </c>
      <c r="E191" s="2" t="s">
        <v>217</v>
      </c>
      <c r="F191" s="4" t="s">
        <v>216</v>
      </c>
      <c r="G191" s="4" t="s">
        <v>15</v>
      </c>
      <c r="H191" s="4" t="s">
        <v>223</v>
      </c>
      <c r="I191" s="7">
        <v>0.1502</v>
      </c>
      <c r="J191" s="7">
        <v>0.1502</v>
      </c>
      <c r="K191" s="7">
        <v>1.9E-3</v>
      </c>
      <c r="L191" s="7">
        <v>0.14599999999999999</v>
      </c>
      <c r="M191" s="7">
        <v>0.14849999999999999</v>
      </c>
      <c r="N191" s="7">
        <v>-0.44</v>
      </c>
      <c r="O191" s="4"/>
      <c r="P191" s="7">
        <v>1.2549999999999999</v>
      </c>
      <c r="T191" s="7">
        <v>59.3</v>
      </c>
      <c r="U191" s="7">
        <v>415</v>
      </c>
      <c r="V191" s="7">
        <v>754.3</v>
      </c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4"/>
      <c r="AR191" s="4"/>
      <c r="AS191" s="4"/>
      <c r="AT191" s="4"/>
      <c r="AU191" s="4"/>
      <c r="AV191" s="4"/>
      <c r="AW191" s="4"/>
      <c r="AX191" s="4"/>
      <c r="AY191" s="4"/>
      <c r="AZ191" s="4"/>
      <c r="BA191" s="22">
        <v>111.6</v>
      </c>
      <c r="BB191" s="4"/>
      <c r="BC191" s="4"/>
      <c r="BD191" s="22">
        <v>24.5</v>
      </c>
      <c r="BE191" s="14">
        <v>1010</v>
      </c>
      <c r="BF191" s="61">
        <v>52</v>
      </c>
      <c r="BG191" s="15">
        <v>1.175</v>
      </c>
      <c r="BH191" s="4">
        <v>2096</v>
      </c>
      <c r="BI191" s="4"/>
      <c r="BJ191" s="3" t="s">
        <v>248</v>
      </c>
      <c r="BK191" s="7"/>
      <c r="BL191"/>
      <c r="BM191"/>
      <c r="BR191"/>
    </row>
    <row r="192" spans="1:70" ht="28.5" x14ac:dyDescent="0.45">
      <c r="A192" s="2" t="s">
        <v>43</v>
      </c>
      <c r="B192" s="54" t="s">
        <v>79</v>
      </c>
      <c r="C192" s="3">
        <v>45246</v>
      </c>
      <c r="D192" s="8">
        <v>3</v>
      </c>
      <c r="E192" s="2" t="s">
        <v>217</v>
      </c>
      <c r="F192" s="4" t="s">
        <v>216</v>
      </c>
      <c r="G192" s="4" t="s">
        <v>15</v>
      </c>
      <c r="H192" s="4" t="s">
        <v>223</v>
      </c>
      <c r="I192" s="7">
        <v>0.14949999999999999</v>
      </c>
      <c r="J192" s="7">
        <v>0.14949999999999999</v>
      </c>
      <c r="K192" s="7">
        <v>1.1999999999999999E-3</v>
      </c>
      <c r="L192" s="7">
        <v>0.151</v>
      </c>
      <c r="M192" s="7">
        <v>0.14910000000000001</v>
      </c>
      <c r="N192" s="7">
        <v>-0.37</v>
      </c>
      <c r="O192" s="4"/>
      <c r="P192" s="7">
        <v>1.2549999999999999</v>
      </c>
      <c r="T192" s="7">
        <v>59.8</v>
      </c>
      <c r="U192" s="7">
        <v>436</v>
      </c>
      <c r="V192" s="7">
        <v>754.6</v>
      </c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  <c r="AP192" s="4"/>
      <c r="AQ192" s="4"/>
      <c r="AR192" s="4"/>
      <c r="AS192" s="4"/>
      <c r="AT192" s="4"/>
      <c r="AU192" s="4"/>
      <c r="AV192" s="4"/>
      <c r="AW192" s="4"/>
      <c r="AX192" s="4"/>
      <c r="AY192" s="4"/>
      <c r="AZ192" s="4"/>
      <c r="BA192" s="22">
        <v>111.6</v>
      </c>
      <c r="BB192" s="4"/>
      <c r="BC192" s="4"/>
      <c r="BD192" s="22">
        <v>24.8</v>
      </c>
      <c r="BE192" s="14">
        <v>1010</v>
      </c>
      <c r="BF192" s="61">
        <v>50</v>
      </c>
      <c r="BG192" s="15">
        <v>1.1739999999999999</v>
      </c>
      <c r="BH192" s="4">
        <v>2096</v>
      </c>
      <c r="BI192" s="4"/>
      <c r="BJ192" s="3" t="s">
        <v>249</v>
      </c>
      <c r="BK192" s="7"/>
      <c r="BL192"/>
      <c r="BM192"/>
      <c r="BR192"/>
    </row>
    <row r="193" spans="1:70" ht="28.5" x14ac:dyDescent="0.45">
      <c r="A193" s="2" t="s">
        <v>43</v>
      </c>
      <c r="B193" s="54" t="s">
        <v>79</v>
      </c>
      <c r="C193" s="3">
        <v>45246</v>
      </c>
      <c r="D193" s="8">
        <v>4</v>
      </c>
      <c r="E193" s="2" t="s">
        <v>215</v>
      </c>
      <c r="F193" s="4" t="s">
        <v>216</v>
      </c>
      <c r="G193" s="4" t="s">
        <v>15</v>
      </c>
      <c r="H193" s="4" t="s">
        <v>223</v>
      </c>
      <c r="I193" s="7">
        <v>0.14810000000000001</v>
      </c>
      <c r="J193" s="7">
        <v>0.14810000000000001</v>
      </c>
      <c r="K193" s="7">
        <v>5.4000000000000003E-3</v>
      </c>
      <c r="L193" s="7">
        <v>0.151</v>
      </c>
      <c r="M193" s="7">
        <v>0.14860000000000001</v>
      </c>
      <c r="N193" s="7">
        <v>-0.39</v>
      </c>
      <c r="O193" s="4"/>
      <c r="P193" s="7">
        <v>1.2549999999999999</v>
      </c>
      <c r="T193" s="7">
        <v>60.3</v>
      </c>
      <c r="U193" s="7">
        <v>447</v>
      </c>
      <c r="V193" s="7">
        <v>754</v>
      </c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4"/>
      <c r="AP193" s="4"/>
      <c r="AQ193" s="4"/>
      <c r="AR193" s="4"/>
      <c r="AS193" s="4"/>
      <c r="AT193" s="4"/>
      <c r="AU193" s="4"/>
      <c r="AV193" s="4"/>
      <c r="AW193" s="4"/>
      <c r="AX193" s="4"/>
      <c r="AY193" s="4"/>
      <c r="AZ193" s="4"/>
      <c r="BA193" s="22">
        <v>111.6</v>
      </c>
      <c r="BB193" s="4"/>
      <c r="BC193" s="4"/>
      <c r="BD193" s="22">
        <v>25.1</v>
      </c>
      <c r="BE193" s="14">
        <v>1010</v>
      </c>
      <c r="BF193" s="61">
        <v>48</v>
      </c>
      <c r="BG193" s="15">
        <v>1.173</v>
      </c>
      <c r="BH193" s="4">
        <v>2096</v>
      </c>
      <c r="BI193" s="4"/>
      <c r="BJ193" s="3" t="s">
        <v>250</v>
      </c>
      <c r="BK193" s="7"/>
      <c r="BL193"/>
      <c r="BM193"/>
      <c r="BR193"/>
    </row>
    <row r="194" spans="1:70" ht="28.5" x14ac:dyDescent="0.45">
      <c r="A194" s="2" t="s">
        <v>43</v>
      </c>
      <c r="B194" s="54" t="s">
        <v>79</v>
      </c>
      <c r="C194" s="3">
        <v>45246</v>
      </c>
      <c r="D194" s="8">
        <v>5</v>
      </c>
      <c r="E194" s="2" t="s">
        <v>217</v>
      </c>
      <c r="F194" s="4" t="s">
        <v>216</v>
      </c>
      <c r="G194" s="4" t="s">
        <v>15</v>
      </c>
      <c r="H194" s="4" t="s">
        <v>223</v>
      </c>
      <c r="I194" s="7">
        <v>0.1492</v>
      </c>
      <c r="J194" s="7">
        <v>0.1492</v>
      </c>
      <c r="K194" s="7">
        <v>3.2000000000000002E-3</v>
      </c>
      <c r="L194" s="7">
        <v>0.15</v>
      </c>
      <c r="M194" s="7">
        <v>0.14949999999999999</v>
      </c>
      <c r="N194" s="7">
        <v>-0.37</v>
      </c>
      <c r="O194" s="4"/>
      <c r="P194" s="7">
        <v>1.2549999999999999</v>
      </c>
      <c r="T194" s="7">
        <v>60.4</v>
      </c>
      <c r="U194" s="7">
        <v>444</v>
      </c>
      <c r="V194" s="7">
        <v>754.1</v>
      </c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  <c r="AO194" s="4"/>
      <c r="AP194" s="4"/>
      <c r="AQ194" s="4"/>
      <c r="AR194" s="4"/>
      <c r="AS194" s="4"/>
      <c r="AT194" s="4"/>
      <c r="AU194" s="4"/>
      <c r="AV194" s="4"/>
      <c r="AW194" s="4"/>
      <c r="AX194" s="4"/>
      <c r="AY194" s="4"/>
      <c r="AZ194" s="4"/>
      <c r="BA194" s="22">
        <v>111.6</v>
      </c>
      <c r="BB194" s="4"/>
      <c r="BC194" s="4"/>
      <c r="BD194" s="22">
        <v>25.3</v>
      </c>
      <c r="BE194" s="14">
        <v>1010</v>
      </c>
      <c r="BF194" s="61">
        <v>48</v>
      </c>
      <c r="BG194" s="15">
        <v>1.1719999999999999</v>
      </c>
      <c r="BH194" s="4">
        <v>2096</v>
      </c>
      <c r="BI194" s="4"/>
      <c r="BJ194" s="3" t="s">
        <v>251</v>
      </c>
      <c r="BK194" s="7"/>
      <c r="BL194"/>
      <c r="BM194"/>
      <c r="BR194"/>
    </row>
    <row r="195" spans="1:70" ht="28.5" x14ac:dyDescent="0.45">
      <c r="A195" s="2" t="s">
        <v>43</v>
      </c>
      <c r="B195" s="54" t="s">
        <v>79</v>
      </c>
      <c r="C195" s="3">
        <v>45246</v>
      </c>
      <c r="D195" s="8">
        <v>6</v>
      </c>
      <c r="E195" s="2" t="s">
        <v>217</v>
      </c>
      <c r="F195" s="4" t="s">
        <v>216</v>
      </c>
      <c r="G195" s="4" t="s">
        <v>15</v>
      </c>
      <c r="H195" s="4" t="s">
        <v>223</v>
      </c>
      <c r="I195" s="7">
        <v>0.14760000000000001</v>
      </c>
      <c r="J195" s="7">
        <v>0.14760000000000001</v>
      </c>
      <c r="K195" s="7">
        <v>2.3999999999999998E-3</v>
      </c>
      <c r="L195" s="7">
        <v>0.151</v>
      </c>
      <c r="M195" s="7">
        <v>0.1497</v>
      </c>
      <c r="N195" s="7">
        <v>-0.33</v>
      </c>
      <c r="O195" s="4"/>
      <c r="P195" s="7">
        <v>1.2549999999999999</v>
      </c>
      <c r="T195" s="7">
        <v>60.4</v>
      </c>
      <c r="U195" s="7">
        <v>452</v>
      </c>
      <c r="V195" s="7">
        <v>754.1</v>
      </c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  <c r="AO195" s="4"/>
      <c r="AP195" s="4"/>
      <c r="AQ195" s="4"/>
      <c r="AR195" s="4"/>
      <c r="AS195" s="4"/>
      <c r="AT195" s="4"/>
      <c r="AU195" s="4"/>
      <c r="AV195" s="4"/>
      <c r="AW195" s="4"/>
      <c r="AX195" s="4"/>
      <c r="AY195" s="4"/>
      <c r="AZ195" s="4"/>
      <c r="BA195" s="22">
        <v>111.6</v>
      </c>
      <c r="BB195" s="4"/>
      <c r="BC195" s="4"/>
      <c r="BD195" s="22">
        <v>25.6</v>
      </c>
      <c r="BE195" s="14">
        <v>1009</v>
      </c>
      <c r="BF195" s="61">
        <v>50</v>
      </c>
      <c r="BG195" s="15">
        <v>1.17</v>
      </c>
      <c r="BH195" s="4">
        <v>2096</v>
      </c>
      <c r="BI195" s="4"/>
      <c r="BJ195" s="3" t="s">
        <v>252</v>
      </c>
      <c r="BK195" s="7"/>
      <c r="BL195"/>
      <c r="BM195"/>
      <c r="BR195"/>
    </row>
    <row r="196" spans="1:70" ht="28.5" x14ac:dyDescent="0.45">
      <c r="A196" s="2" t="s">
        <v>43</v>
      </c>
      <c r="B196" s="54" t="s">
        <v>99</v>
      </c>
      <c r="C196" s="3">
        <v>45246</v>
      </c>
      <c r="D196" s="8">
        <v>1</v>
      </c>
      <c r="E196" s="2" t="s">
        <v>218</v>
      </c>
      <c r="F196" s="4" t="s">
        <v>15</v>
      </c>
      <c r="G196" s="4" t="s">
        <v>15</v>
      </c>
      <c r="H196" s="4" t="s">
        <v>330</v>
      </c>
      <c r="I196" s="7">
        <v>0.1731</v>
      </c>
      <c r="J196" s="7">
        <v>0.1731</v>
      </c>
      <c r="K196" s="7">
        <v>3.0000000000000001E-3</v>
      </c>
      <c r="L196" s="7">
        <v>0.14799999999999999</v>
      </c>
      <c r="M196" s="7">
        <v>0.17050000000000001</v>
      </c>
      <c r="O196" s="4"/>
      <c r="P196" s="7">
        <v>1.2725</v>
      </c>
      <c r="T196" s="7">
        <v>59.8</v>
      </c>
      <c r="U196" s="7">
        <v>474</v>
      </c>
      <c r="V196" s="7">
        <v>757.2</v>
      </c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  <c r="AO196" s="4"/>
      <c r="AP196" s="4"/>
      <c r="AQ196" s="4"/>
      <c r="AR196" s="4"/>
      <c r="AS196" s="4"/>
      <c r="AT196" s="4"/>
      <c r="AU196" s="4"/>
      <c r="AV196" s="4"/>
      <c r="AW196" s="4"/>
      <c r="AX196" s="4"/>
      <c r="AY196" s="4"/>
      <c r="AZ196" s="4"/>
      <c r="BA196" s="22">
        <v>111.6</v>
      </c>
      <c r="BB196" s="4"/>
      <c r="BC196" s="4"/>
      <c r="BD196" s="22">
        <v>24.3</v>
      </c>
      <c r="BE196" s="14">
        <v>1010</v>
      </c>
      <c r="BF196" s="61">
        <v>52</v>
      </c>
      <c r="BG196" s="15">
        <v>1.177</v>
      </c>
      <c r="BH196" s="4">
        <v>2096</v>
      </c>
      <c r="BI196" s="4"/>
      <c r="BJ196" s="3" t="s">
        <v>264</v>
      </c>
      <c r="BK196" s="7"/>
      <c r="BL196"/>
      <c r="BM196"/>
      <c r="BR196"/>
    </row>
    <row r="197" spans="1:70" ht="28.5" x14ac:dyDescent="0.45">
      <c r="A197" s="2" t="s">
        <v>43</v>
      </c>
      <c r="B197" s="54" t="s">
        <v>99</v>
      </c>
      <c r="C197" s="3">
        <v>45246</v>
      </c>
      <c r="D197" s="8">
        <v>2</v>
      </c>
      <c r="E197" s="2" t="s">
        <v>213</v>
      </c>
      <c r="F197" s="4" t="s">
        <v>15</v>
      </c>
      <c r="G197" s="4" t="s">
        <v>15</v>
      </c>
      <c r="H197" s="4" t="s">
        <v>330</v>
      </c>
      <c r="I197" s="7">
        <v>0.16489999999999999</v>
      </c>
      <c r="J197" s="7">
        <v>0.16400000000000001</v>
      </c>
      <c r="K197" s="7">
        <v>4.7000000000000002E-3</v>
      </c>
      <c r="L197" s="7">
        <v>0.161</v>
      </c>
      <c r="M197" s="7">
        <v>0.15970000000000001</v>
      </c>
      <c r="N197" s="7">
        <v>-0.51</v>
      </c>
      <c r="O197" s="4"/>
      <c r="P197" s="7">
        <v>1.2515000000000001</v>
      </c>
      <c r="T197" s="7">
        <v>56.9</v>
      </c>
      <c r="U197" s="7">
        <v>402</v>
      </c>
      <c r="V197" s="7">
        <v>757.7</v>
      </c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  <c r="AP197" s="4"/>
      <c r="AQ197" s="4"/>
      <c r="AR197" s="4"/>
      <c r="AS197" s="4"/>
      <c r="AT197" s="4"/>
      <c r="AU197" s="4"/>
      <c r="AV197" s="4"/>
      <c r="AW197" s="4"/>
      <c r="AX197" s="4"/>
      <c r="AY197" s="4"/>
      <c r="AZ197" s="4"/>
      <c r="BA197" s="22">
        <v>111.6</v>
      </c>
      <c r="BB197" s="4"/>
      <c r="BC197" s="4"/>
      <c r="BD197" s="22">
        <v>24.5</v>
      </c>
      <c r="BE197" s="14">
        <v>1010</v>
      </c>
      <c r="BF197" s="61">
        <v>52</v>
      </c>
      <c r="BG197" s="15">
        <v>1.175</v>
      </c>
      <c r="BH197" s="4">
        <v>2096</v>
      </c>
      <c r="BI197" s="4"/>
      <c r="BJ197" s="3" t="s">
        <v>265</v>
      </c>
      <c r="BK197" s="7"/>
      <c r="BL197"/>
      <c r="BM197"/>
      <c r="BR197"/>
    </row>
    <row r="198" spans="1:70" ht="28.5" x14ac:dyDescent="0.45">
      <c r="A198" s="2" t="s">
        <v>43</v>
      </c>
      <c r="B198" s="54" t="s">
        <v>99</v>
      </c>
      <c r="C198" s="3">
        <v>45246</v>
      </c>
      <c r="D198" s="8">
        <v>3</v>
      </c>
      <c r="E198" s="2" t="s">
        <v>213</v>
      </c>
      <c r="F198" s="4" t="s">
        <v>15</v>
      </c>
      <c r="G198" s="4" t="s">
        <v>15</v>
      </c>
      <c r="H198" s="4" t="s">
        <v>223</v>
      </c>
      <c r="I198" s="7">
        <v>0.1651</v>
      </c>
      <c r="J198" s="7">
        <v>0.1638</v>
      </c>
      <c r="K198" s="7">
        <v>3.5999999999999999E-3</v>
      </c>
      <c r="L198" s="7">
        <v>0.161</v>
      </c>
      <c r="M198" s="7">
        <v>0.1598</v>
      </c>
      <c r="N198" s="7">
        <v>-0.52</v>
      </c>
      <c r="O198" s="4"/>
      <c r="P198" s="7">
        <v>1.2515000000000001</v>
      </c>
      <c r="T198" s="7">
        <v>59.1</v>
      </c>
      <c r="U198" s="7">
        <v>441</v>
      </c>
      <c r="V198" s="7">
        <v>757.9</v>
      </c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  <c r="AP198" s="4"/>
      <c r="AQ198" s="4"/>
      <c r="AR198" s="4"/>
      <c r="AS198" s="4"/>
      <c r="AT198" s="4"/>
      <c r="AU198" s="4"/>
      <c r="AV198" s="4"/>
      <c r="AW198" s="4"/>
      <c r="AX198" s="4"/>
      <c r="AY198" s="4"/>
      <c r="AZ198" s="4"/>
      <c r="BA198" s="22">
        <v>111.6</v>
      </c>
      <c r="BB198" s="4"/>
      <c r="BC198" s="4"/>
      <c r="BD198" s="22">
        <v>25.1</v>
      </c>
      <c r="BE198" s="14">
        <v>1010</v>
      </c>
      <c r="BF198" s="61">
        <v>51</v>
      </c>
      <c r="BG198" s="15">
        <v>1.173</v>
      </c>
      <c r="BH198" s="4">
        <v>2096</v>
      </c>
      <c r="BI198" s="4"/>
      <c r="BJ198" s="3" t="s">
        <v>266</v>
      </c>
      <c r="BK198" s="7"/>
      <c r="BL198"/>
      <c r="BM198"/>
      <c r="BR198"/>
    </row>
    <row r="199" spans="1:70" ht="28.5" x14ac:dyDescent="0.45">
      <c r="A199" s="2" t="s">
        <v>43</v>
      </c>
      <c r="B199" s="54" t="s">
        <v>99</v>
      </c>
      <c r="C199" s="3">
        <v>45246</v>
      </c>
      <c r="D199" s="8">
        <v>4</v>
      </c>
      <c r="E199" s="2" t="s">
        <v>218</v>
      </c>
      <c r="F199" s="4" t="s">
        <v>15</v>
      </c>
      <c r="G199" s="4" t="s">
        <v>15</v>
      </c>
      <c r="H199" s="4" t="s">
        <v>330</v>
      </c>
      <c r="I199" s="7">
        <v>0.17419999999999999</v>
      </c>
      <c r="J199" s="7">
        <v>0.17419999999999999</v>
      </c>
      <c r="K199" s="7">
        <v>1.5E-3</v>
      </c>
      <c r="L199" s="7"/>
      <c r="M199" s="7">
        <v>0.17130000000000001</v>
      </c>
      <c r="N199" s="7">
        <v>-0.49</v>
      </c>
      <c r="O199" s="4"/>
      <c r="P199" s="7">
        <v>1.2515000000000001</v>
      </c>
      <c r="T199" s="7">
        <v>58.6</v>
      </c>
      <c r="U199" s="7">
        <v>451</v>
      </c>
      <c r="V199" s="7">
        <v>756.8</v>
      </c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  <c r="AN199" s="4"/>
      <c r="AO199" s="4"/>
      <c r="AP199" s="4"/>
      <c r="AQ199" s="4"/>
      <c r="AR199" s="4"/>
      <c r="AS199" s="4"/>
      <c r="AT199" s="4"/>
      <c r="AU199" s="4"/>
      <c r="AV199" s="4"/>
      <c r="AW199" s="4"/>
      <c r="AX199" s="4"/>
      <c r="AY199" s="4"/>
      <c r="AZ199" s="4"/>
      <c r="BA199" s="22">
        <v>111.6</v>
      </c>
      <c r="BB199" s="4"/>
      <c r="BC199" s="4"/>
      <c r="BD199" s="22">
        <v>25.1</v>
      </c>
      <c r="BE199" s="14">
        <v>1010</v>
      </c>
      <c r="BF199" s="61">
        <v>48</v>
      </c>
      <c r="BG199" s="15">
        <v>1.173</v>
      </c>
      <c r="BH199" s="4">
        <v>2096</v>
      </c>
      <c r="BI199" s="4"/>
      <c r="BJ199" s="3" t="s">
        <v>260</v>
      </c>
      <c r="BK199" s="7"/>
      <c r="BL199"/>
      <c r="BM199"/>
      <c r="BR199"/>
    </row>
    <row r="200" spans="1:70" ht="28.5" x14ac:dyDescent="0.45">
      <c r="A200" s="2" t="s">
        <v>43</v>
      </c>
      <c r="B200" s="54" t="s">
        <v>99</v>
      </c>
      <c r="C200" s="3">
        <v>45246</v>
      </c>
      <c r="D200" s="8">
        <v>5</v>
      </c>
      <c r="E200" s="2" t="s">
        <v>213</v>
      </c>
      <c r="F200" s="4" t="s">
        <v>15</v>
      </c>
      <c r="G200" s="4" t="s">
        <v>15</v>
      </c>
      <c r="H200" s="4" t="s">
        <v>330</v>
      </c>
      <c r="I200" s="7">
        <v>0.16400000000000001</v>
      </c>
      <c r="J200" s="7">
        <v>0.16309999999999999</v>
      </c>
      <c r="K200" s="7">
        <v>5.0000000000000001E-3</v>
      </c>
      <c r="L200" s="7">
        <v>0.16</v>
      </c>
      <c r="M200" s="7">
        <v>0.16239999999999999</v>
      </c>
      <c r="N200" s="7">
        <v>-0.52</v>
      </c>
      <c r="O200" s="4"/>
      <c r="P200" s="7">
        <v>1.2515000000000001</v>
      </c>
      <c r="T200" s="7">
        <v>58</v>
      </c>
      <c r="U200" s="7">
        <v>416</v>
      </c>
      <c r="V200" s="7">
        <v>757.3</v>
      </c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  <c r="AM200" s="4"/>
      <c r="AN200" s="4"/>
      <c r="AO200" s="4"/>
      <c r="AP200" s="4"/>
      <c r="AQ200" s="4"/>
      <c r="AR200" s="4"/>
      <c r="AS200" s="4"/>
      <c r="AT200" s="4"/>
      <c r="AU200" s="4"/>
      <c r="AV200" s="4"/>
      <c r="AW200" s="4"/>
      <c r="AX200" s="4"/>
      <c r="AY200" s="4"/>
      <c r="AZ200" s="4"/>
      <c r="BA200" s="22">
        <v>111.6</v>
      </c>
      <c r="BB200" s="4"/>
      <c r="BC200" s="4"/>
      <c r="BD200" s="22">
        <v>25.6</v>
      </c>
      <c r="BE200" s="14">
        <v>1009</v>
      </c>
      <c r="BF200" s="61">
        <v>50</v>
      </c>
      <c r="BG200" s="15">
        <v>1.17</v>
      </c>
      <c r="BH200" s="4">
        <v>2096</v>
      </c>
      <c r="BI200" s="4"/>
      <c r="BJ200" s="3" t="s">
        <v>261</v>
      </c>
      <c r="BK200" s="7"/>
      <c r="BL200"/>
      <c r="BM200"/>
      <c r="BR200"/>
    </row>
    <row r="201" spans="1:70" ht="28.5" x14ac:dyDescent="0.45">
      <c r="A201" s="2" t="s">
        <v>43</v>
      </c>
      <c r="B201" s="54" t="s">
        <v>99</v>
      </c>
      <c r="C201" s="3">
        <v>45246</v>
      </c>
      <c r="D201" s="8">
        <v>6</v>
      </c>
      <c r="E201" s="2" t="s">
        <v>213</v>
      </c>
      <c r="F201" s="4" t="s">
        <v>15</v>
      </c>
      <c r="G201" s="4" t="s">
        <v>15</v>
      </c>
      <c r="H201" s="4" t="s">
        <v>223</v>
      </c>
      <c r="I201" s="7">
        <v>0.16439999999999999</v>
      </c>
      <c r="J201" s="7">
        <v>0.16300000000000001</v>
      </c>
      <c r="K201" s="7">
        <v>5.3E-3</v>
      </c>
      <c r="L201" s="7">
        <v>0.16300000000000001</v>
      </c>
      <c r="M201" s="7">
        <v>0.16309999999999999</v>
      </c>
      <c r="N201" s="7">
        <v>-0.55000000000000004</v>
      </c>
      <c r="O201" s="4"/>
      <c r="P201" s="7">
        <v>1.2515000000000001</v>
      </c>
      <c r="T201" s="7">
        <v>58.6</v>
      </c>
      <c r="U201" s="7">
        <v>434</v>
      </c>
      <c r="V201" s="7">
        <v>757.3</v>
      </c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  <c r="AN201" s="4"/>
      <c r="AO201" s="4"/>
      <c r="AP201" s="4"/>
      <c r="AQ201" s="4"/>
      <c r="AR201" s="4"/>
      <c r="AS201" s="4"/>
      <c r="AT201" s="4"/>
      <c r="AU201" s="4"/>
      <c r="AV201" s="4"/>
      <c r="AW201" s="4"/>
      <c r="AX201" s="4"/>
      <c r="AY201" s="4"/>
      <c r="AZ201" s="4"/>
      <c r="BA201" s="22">
        <v>111.6</v>
      </c>
      <c r="BB201" s="4"/>
      <c r="BC201" s="4"/>
      <c r="BD201" s="22">
        <v>25.6</v>
      </c>
      <c r="BE201" s="14">
        <v>1009</v>
      </c>
      <c r="BF201" s="61">
        <v>50</v>
      </c>
      <c r="BG201" s="15">
        <v>1.17</v>
      </c>
      <c r="BH201" s="4">
        <v>2096</v>
      </c>
      <c r="BI201" s="4"/>
      <c r="BJ201" s="3" t="s">
        <v>262</v>
      </c>
      <c r="BK201" s="7"/>
      <c r="BL201"/>
      <c r="BM201"/>
      <c r="BR201"/>
    </row>
    <row r="202" spans="1:70" ht="28.5" x14ac:dyDescent="0.45">
      <c r="A202" s="2" t="s">
        <v>43</v>
      </c>
      <c r="B202" s="54" t="s">
        <v>99</v>
      </c>
      <c r="C202" s="3">
        <v>45246</v>
      </c>
      <c r="D202" s="8">
        <v>7</v>
      </c>
      <c r="E202" s="2" t="s">
        <v>218</v>
      </c>
      <c r="F202" s="4" t="s">
        <v>15</v>
      </c>
      <c r="G202" s="4" t="s">
        <v>15</v>
      </c>
      <c r="H202" s="4" t="s">
        <v>330</v>
      </c>
      <c r="I202" s="7">
        <v>0.1736</v>
      </c>
      <c r="J202" s="7">
        <v>0.1736</v>
      </c>
      <c r="K202" s="7">
        <v>1.6999999999999999E-3</v>
      </c>
      <c r="L202" s="7">
        <v>0.16500000000000001</v>
      </c>
      <c r="M202" s="7">
        <v>0.17069999999999999</v>
      </c>
      <c r="N202" s="7">
        <v>-0.49</v>
      </c>
      <c r="O202" s="4"/>
      <c r="P202" s="7">
        <v>1.2515000000000001</v>
      </c>
      <c r="T202" s="7">
        <v>58.7</v>
      </c>
      <c r="U202" s="7">
        <v>440</v>
      </c>
      <c r="V202" s="7">
        <v>756.3</v>
      </c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  <c r="AM202" s="4"/>
      <c r="AN202" s="4"/>
      <c r="AO202" s="4"/>
      <c r="AP202" s="4"/>
      <c r="AQ202" s="4"/>
      <c r="AR202" s="4"/>
      <c r="AS202" s="4"/>
      <c r="AT202" s="4"/>
      <c r="AU202" s="4"/>
      <c r="AV202" s="4"/>
      <c r="AW202" s="4"/>
      <c r="AX202" s="4"/>
      <c r="AY202" s="4"/>
      <c r="AZ202" s="4"/>
      <c r="BA202" s="22">
        <v>111.6</v>
      </c>
      <c r="BB202" s="4"/>
      <c r="BC202" s="4"/>
      <c r="BD202" s="22">
        <v>25.6</v>
      </c>
      <c r="BE202" s="14">
        <v>1009</v>
      </c>
      <c r="BF202" s="61">
        <v>50</v>
      </c>
      <c r="BG202" s="15">
        <v>1.17</v>
      </c>
      <c r="BH202" s="4">
        <v>2096</v>
      </c>
      <c r="BI202" s="4"/>
      <c r="BJ202" s="3" t="s">
        <v>263</v>
      </c>
      <c r="BK202" s="7"/>
      <c r="BL202"/>
      <c r="BM202"/>
      <c r="BR202"/>
    </row>
    <row r="203" spans="1:70" ht="28.5" x14ac:dyDescent="0.45">
      <c r="A203" s="2" t="s">
        <v>13</v>
      </c>
      <c r="B203" s="54" t="s">
        <v>219</v>
      </c>
      <c r="C203" s="3">
        <v>45250</v>
      </c>
      <c r="D203" s="8">
        <v>1</v>
      </c>
      <c r="E203" s="2" t="s">
        <v>220</v>
      </c>
      <c r="F203" s="4" t="s">
        <v>15</v>
      </c>
      <c r="G203" s="4" t="s">
        <v>577</v>
      </c>
      <c r="H203" s="4" t="s">
        <v>575</v>
      </c>
      <c r="I203" s="7">
        <v>0.1971</v>
      </c>
      <c r="J203" s="7">
        <v>0.1971</v>
      </c>
      <c r="K203" s="7">
        <v>4.0000000000000001E-3</v>
      </c>
      <c r="L203" s="7">
        <v>0.19700000000000001</v>
      </c>
      <c r="M203" s="7">
        <v>0.19700000000000001</v>
      </c>
      <c r="N203" s="7">
        <v>-0.49</v>
      </c>
      <c r="O203" s="4"/>
      <c r="P203" s="7">
        <v>1.2569999999999999</v>
      </c>
      <c r="T203" s="7">
        <v>57.5</v>
      </c>
      <c r="U203" s="7">
        <v>500</v>
      </c>
      <c r="V203" s="7">
        <v>753.2</v>
      </c>
      <c r="W203" s="4" t="s">
        <v>16</v>
      </c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  <c r="AN203" s="4"/>
      <c r="AO203" s="4"/>
      <c r="AP203" s="4"/>
      <c r="AQ203" s="4"/>
      <c r="AR203" s="4"/>
      <c r="AS203" s="4"/>
      <c r="AT203" s="4"/>
      <c r="AU203" s="4"/>
      <c r="AV203" s="4"/>
      <c r="AW203" s="4"/>
      <c r="AX203" s="4"/>
      <c r="AY203" s="4"/>
      <c r="AZ203" s="4"/>
      <c r="BA203" s="22">
        <v>108</v>
      </c>
      <c r="BB203" s="4"/>
      <c r="BC203" s="4"/>
      <c r="BD203" s="22">
        <v>23.8</v>
      </c>
      <c r="BE203" s="14">
        <v>1009</v>
      </c>
      <c r="BF203" s="61">
        <v>61</v>
      </c>
      <c r="BG203" s="15">
        <v>1.1759999999999999</v>
      </c>
      <c r="BH203" s="4">
        <v>2096</v>
      </c>
      <c r="BI203" s="4"/>
      <c r="BJ203" s="3" t="s">
        <v>226</v>
      </c>
      <c r="BK203" s="7"/>
      <c r="BL203"/>
      <c r="BM203"/>
      <c r="BR203"/>
    </row>
    <row r="204" spans="1:70" ht="28.5" x14ac:dyDescent="0.45">
      <c r="A204" s="2" t="s">
        <v>13</v>
      </c>
      <c r="B204" s="54" t="s">
        <v>219</v>
      </c>
      <c r="C204" s="3">
        <v>45250</v>
      </c>
      <c r="D204" s="8">
        <v>2</v>
      </c>
      <c r="E204" s="2" t="s">
        <v>220</v>
      </c>
      <c r="F204" s="4" t="s">
        <v>89</v>
      </c>
      <c r="G204" s="4" t="s">
        <v>577</v>
      </c>
      <c r="H204" s="4" t="s">
        <v>575</v>
      </c>
      <c r="I204" s="7">
        <v>0.19309999999999999</v>
      </c>
      <c r="J204" s="7">
        <v>0.19309999999999999</v>
      </c>
      <c r="K204" s="7">
        <v>2E-3</v>
      </c>
      <c r="L204" s="7">
        <v>0.19800000000000001</v>
      </c>
      <c r="M204" s="7">
        <v>0.19359999999999999</v>
      </c>
      <c r="N204" s="7">
        <v>-0.49</v>
      </c>
      <c r="O204" s="4"/>
      <c r="P204" s="7">
        <v>1.2569999999999999</v>
      </c>
      <c r="T204" s="7">
        <v>60.9</v>
      </c>
      <c r="U204" s="7">
        <v>584</v>
      </c>
      <c r="V204" s="7">
        <v>754.3</v>
      </c>
      <c r="W204" s="4" t="s">
        <v>16</v>
      </c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  <c r="AM204" s="4"/>
      <c r="AN204" s="4"/>
      <c r="AO204" s="4"/>
      <c r="AP204" s="4"/>
      <c r="AQ204" s="4"/>
      <c r="AR204" s="4"/>
      <c r="AS204" s="4"/>
      <c r="AT204" s="4"/>
      <c r="AU204" s="4"/>
      <c r="AV204" s="4"/>
      <c r="AW204" s="4"/>
      <c r="AX204" s="4"/>
      <c r="AY204" s="4"/>
      <c r="AZ204" s="4"/>
      <c r="BA204" s="22">
        <v>108</v>
      </c>
      <c r="BB204" s="4"/>
      <c r="BC204" s="4"/>
      <c r="BD204" s="22">
        <v>24</v>
      </c>
      <c r="BE204" s="14">
        <v>1009</v>
      </c>
      <c r="BF204" s="61">
        <v>62</v>
      </c>
      <c r="BG204" s="15">
        <v>1.175</v>
      </c>
      <c r="BH204" s="4">
        <v>2096</v>
      </c>
      <c r="BI204" s="4"/>
      <c r="BJ204" s="3" t="s">
        <v>227</v>
      </c>
      <c r="BK204" s="7"/>
      <c r="BL204"/>
      <c r="BM204"/>
      <c r="BR204"/>
    </row>
    <row r="205" spans="1:70" ht="28.5" x14ac:dyDescent="0.45">
      <c r="A205" s="2" t="s">
        <v>13</v>
      </c>
      <c r="B205" s="54" t="s">
        <v>219</v>
      </c>
      <c r="C205" s="3">
        <v>45250</v>
      </c>
      <c r="D205" s="8">
        <v>3</v>
      </c>
      <c r="E205" s="2" t="s">
        <v>221</v>
      </c>
      <c r="F205" s="4" t="s">
        <v>89</v>
      </c>
      <c r="G205" s="4" t="s">
        <v>577</v>
      </c>
      <c r="H205" s="4" t="s">
        <v>575</v>
      </c>
      <c r="I205" s="7">
        <v>0.19719999999999999</v>
      </c>
      <c r="J205" s="7">
        <v>0.19719999999999999</v>
      </c>
      <c r="K205" s="7">
        <v>6.9999999999999999E-4</v>
      </c>
      <c r="L205" s="7">
        <v>0.20100000000000001</v>
      </c>
      <c r="M205" s="7">
        <v>0.1946</v>
      </c>
      <c r="N205" s="7">
        <v>-0.55000000000000004</v>
      </c>
      <c r="O205" s="4"/>
      <c r="P205" s="7">
        <v>1.2569999999999999</v>
      </c>
      <c r="T205" s="7">
        <v>60.4</v>
      </c>
      <c r="U205" s="7">
        <v>573</v>
      </c>
      <c r="V205" s="7">
        <v>754.3</v>
      </c>
      <c r="W205" s="4" t="s">
        <v>16</v>
      </c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  <c r="AO205" s="4"/>
      <c r="AP205" s="4"/>
      <c r="AQ205" s="4"/>
      <c r="AR205" s="4"/>
      <c r="AS205" s="4"/>
      <c r="AT205" s="4"/>
      <c r="AU205" s="4"/>
      <c r="AV205" s="4"/>
      <c r="AW205" s="4"/>
      <c r="AX205" s="4"/>
      <c r="AY205" s="4"/>
      <c r="AZ205" s="4"/>
      <c r="BA205" s="22">
        <v>108</v>
      </c>
      <c r="BB205" s="4"/>
      <c r="BC205" s="4"/>
      <c r="BD205" s="22">
        <v>24.2</v>
      </c>
      <c r="BE205" s="14">
        <v>1009</v>
      </c>
      <c r="BF205" s="61">
        <v>60</v>
      </c>
      <c r="BG205" s="15">
        <v>1.1739999999999999</v>
      </c>
      <c r="BH205" s="4">
        <v>2096</v>
      </c>
      <c r="BI205" s="4"/>
      <c r="BJ205" s="3" t="s">
        <v>228</v>
      </c>
      <c r="BK205" s="7"/>
      <c r="BL205"/>
      <c r="BM205"/>
      <c r="BR205"/>
    </row>
    <row r="206" spans="1:70" ht="28.5" x14ac:dyDescent="0.45">
      <c r="A206" s="2" t="s">
        <v>13</v>
      </c>
      <c r="B206" s="54" t="s">
        <v>219</v>
      </c>
      <c r="C206" s="3">
        <v>45250</v>
      </c>
      <c r="D206" s="8">
        <v>4</v>
      </c>
      <c r="E206" s="2" t="s">
        <v>222</v>
      </c>
      <c r="F206" s="4" t="s">
        <v>89</v>
      </c>
      <c r="G206" s="4" t="s">
        <v>577</v>
      </c>
      <c r="H206" s="4" t="s">
        <v>575</v>
      </c>
      <c r="I206" s="7">
        <v>0.19819999999999999</v>
      </c>
      <c r="J206" s="7">
        <v>0.19819999999999999</v>
      </c>
      <c r="K206" s="7">
        <v>2.5999999999999999E-3</v>
      </c>
      <c r="L206" s="7">
        <v>0.20200000000000001</v>
      </c>
      <c r="M206" s="7">
        <v>0.19409999999999999</v>
      </c>
      <c r="N206" s="7">
        <v>-0.64</v>
      </c>
      <c r="O206" s="4"/>
      <c r="P206" s="7">
        <v>1.2569999999999999</v>
      </c>
      <c r="T206" s="7">
        <v>60.2</v>
      </c>
      <c r="U206" s="7">
        <v>562</v>
      </c>
      <c r="V206" s="7">
        <v>754.1</v>
      </c>
      <c r="W206" s="4" t="s">
        <v>16</v>
      </c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  <c r="AM206" s="4"/>
      <c r="AN206" s="4"/>
      <c r="AO206" s="4"/>
      <c r="AP206" s="4"/>
      <c r="AQ206" s="4"/>
      <c r="AR206" s="4"/>
      <c r="AS206" s="4"/>
      <c r="AT206" s="4"/>
      <c r="AU206" s="4"/>
      <c r="AV206" s="4"/>
      <c r="AW206" s="4"/>
      <c r="AX206" s="4"/>
      <c r="AY206" s="4"/>
      <c r="AZ206" s="4"/>
      <c r="BA206" s="22">
        <v>108</v>
      </c>
      <c r="BB206" s="4"/>
      <c r="BC206" s="4"/>
      <c r="BD206" s="22">
        <v>24.4</v>
      </c>
      <c r="BE206" s="14">
        <v>1009</v>
      </c>
      <c r="BF206" s="61">
        <v>59</v>
      </c>
      <c r="BG206" s="15">
        <v>1.1739999999999999</v>
      </c>
      <c r="BH206" s="4">
        <v>2096</v>
      </c>
      <c r="BI206" s="4"/>
      <c r="BJ206" s="3" t="s">
        <v>229</v>
      </c>
      <c r="BK206" s="7"/>
      <c r="BL206"/>
      <c r="BM206"/>
      <c r="BR206"/>
    </row>
    <row r="207" spans="1:70" ht="28.5" x14ac:dyDescent="0.45">
      <c r="A207" s="2" t="s">
        <v>13</v>
      </c>
      <c r="B207" s="54" t="s">
        <v>219</v>
      </c>
      <c r="C207" s="3">
        <v>45250</v>
      </c>
      <c r="D207" s="8">
        <v>5</v>
      </c>
      <c r="E207" s="2" t="s">
        <v>220</v>
      </c>
      <c r="F207" s="4" t="s">
        <v>15</v>
      </c>
      <c r="G207" s="4" t="s">
        <v>577</v>
      </c>
      <c r="H207" s="4" t="s">
        <v>575</v>
      </c>
      <c r="I207" s="7">
        <v>0.20569999999999999</v>
      </c>
      <c r="J207" s="7">
        <v>0.20569999999999999</v>
      </c>
      <c r="K207" s="7">
        <v>2.3E-3</v>
      </c>
      <c r="L207" s="7">
        <v>0.20399999999999999</v>
      </c>
      <c r="M207" s="7">
        <v>0.19750000000000001</v>
      </c>
      <c r="N207" s="7">
        <v>-0.72</v>
      </c>
      <c r="O207" s="4"/>
      <c r="P207" s="7">
        <v>1.2569999999999999</v>
      </c>
      <c r="T207" s="7">
        <v>59.9</v>
      </c>
      <c r="U207" s="7">
        <v>556</v>
      </c>
      <c r="V207" s="7">
        <v>754.2</v>
      </c>
      <c r="W207" s="4" t="s">
        <v>16</v>
      </c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  <c r="AV207" s="4"/>
      <c r="AW207" s="4"/>
      <c r="AX207" s="4"/>
      <c r="AY207" s="4"/>
      <c r="AZ207" s="4"/>
      <c r="BA207" s="22">
        <v>108</v>
      </c>
      <c r="BB207" s="4"/>
      <c r="BC207" s="4"/>
      <c r="BD207" s="22">
        <v>24.6</v>
      </c>
      <c r="BE207" s="14">
        <v>1009</v>
      </c>
      <c r="BF207" s="61">
        <v>60</v>
      </c>
      <c r="BG207" s="15">
        <v>1.173</v>
      </c>
      <c r="BH207" s="4">
        <v>2096</v>
      </c>
      <c r="BI207" s="4"/>
      <c r="BJ207" s="3" t="s">
        <v>230</v>
      </c>
      <c r="BK207" s="7"/>
      <c r="BL207"/>
      <c r="BM207"/>
      <c r="BR207"/>
    </row>
    <row r="208" spans="1:70" ht="28.5" x14ac:dyDescent="0.45">
      <c r="A208" s="2" t="s">
        <v>13</v>
      </c>
      <c r="B208" s="54" t="s">
        <v>219</v>
      </c>
      <c r="C208" s="3">
        <v>45250</v>
      </c>
      <c r="D208" s="8">
        <v>6</v>
      </c>
      <c r="E208" s="2" t="s">
        <v>220</v>
      </c>
      <c r="F208" s="4" t="s">
        <v>89</v>
      </c>
      <c r="G208" s="4" t="s">
        <v>577</v>
      </c>
      <c r="H208" s="4" t="s">
        <v>575</v>
      </c>
      <c r="I208" s="7">
        <v>0.19750000000000001</v>
      </c>
      <c r="J208" s="7">
        <v>0.19750000000000001</v>
      </c>
      <c r="K208" s="7">
        <v>1.2999999999999999E-3</v>
      </c>
      <c r="L208" s="7">
        <v>0.19900000000000001</v>
      </c>
      <c r="M208" s="7">
        <v>0.191</v>
      </c>
      <c r="N208" s="7">
        <v>-0.69</v>
      </c>
      <c r="O208" s="4"/>
      <c r="P208" s="7">
        <v>1.2569999999999999</v>
      </c>
      <c r="T208" s="7">
        <v>60.6</v>
      </c>
      <c r="U208" s="7">
        <v>561</v>
      </c>
      <c r="V208" s="7">
        <v>754.4</v>
      </c>
      <c r="W208" s="4" t="s">
        <v>16</v>
      </c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  <c r="AV208" s="4"/>
      <c r="AW208" s="4"/>
      <c r="AX208" s="4"/>
      <c r="AY208" s="4"/>
      <c r="AZ208" s="4"/>
      <c r="BA208" s="22">
        <v>108</v>
      </c>
      <c r="BB208" s="4"/>
      <c r="BC208" s="4"/>
      <c r="BD208" s="22">
        <v>24.9</v>
      </c>
      <c r="BE208" s="14">
        <v>1009</v>
      </c>
      <c r="BF208" s="61">
        <v>58</v>
      </c>
      <c r="BG208" s="15">
        <v>1.171</v>
      </c>
      <c r="BH208" s="4">
        <v>2096</v>
      </c>
      <c r="BI208" s="4"/>
      <c r="BJ208" s="3" t="s">
        <v>231</v>
      </c>
      <c r="BK208" s="7"/>
      <c r="BL208"/>
      <c r="BM208"/>
      <c r="BR208"/>
    </row>
    <row r="209" spans="1:70" x14ac:dyDescent="0.45">
      <c r="A209" s="2" t="s">
        <v>13</v>
      </c>
      <c r="B209" s="54" t="s">
        <v>219</v>
      </c>
      <c r="C209" s="3">
        <v>45250</v>
      </c>
      <c r="D209" s="8">
        <v>7</v>
      </c>
      <c r="E209" s="2" t="s">
        <v>221</v>
      </c>
      <c r="F209" s="4" t="s">
        <v>89</v>
      </c>
      <c r="G209" s="4" t="s">
        <v>577</v>
      </c>
      <c r="H209" s="4" t="s">
        <v>575</v>
      </c>
      <c r="I209" s="7">
        <v>0.1996</v>
      </c>
      <c r="J209" s="7">
        <v>0.1996</v>
      </c>
      <c r="K209" s="7">
        <v>8.9999999999999998E-4</v>
      </c>
      <c r="L209" s="7">
        <v>0.20300000000000001</v>
      </c>
      <c r="M209" s="7">
        <v>0.19070000000000001</v>
      </c>
      <c r="N209" s="7">
        <v>-0.76</v>
      </c>
      <c r="O209" s="4"/>
      <c r="P209" s="7">
        <v>1.2569999999999999</v>
      </c>
      <c r="T209" s="7">
        <v>61</v>
      </c>
      <c r="U209" s="7">
        <v>570</v>
      </c>
      <c r="V209" s="7">
        <v>754.5</v>
      </c>
      <c r="W209" s="4" t="s">
        <v>16</v>
      </c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  <c r="AV209" s="4"/>
      <c r="AW209" s="4"/>
      <c r="AX209" s="4"/>
      <c r="AY209" s="4"/>
      <c r="AZ209" s="4"/>
      <c r="BA209" s="22">
        <v>108</v>
      </c>
      <c r="BB209" s="4"/>
      <c r="BC209" s="4"/>
      <c r="BD209" s="22">
        <v>25</v>
      </c>
      <c r="BE209" s="14">
        <v>1009</v>
      </c>
      <c r="BF209" s="61">
        <v>58</v>
      </c>
      <c r="BG209" s="15">
        <v>1.171</v>
      </c>
      <c r="BH209" s="4">
        <v>2096</v>
      </c>
      <c r="BI209" s="4"/>
      <c r="BJ209" s="3"/>
      <c r="BK209" s="7"/>
      <c r="BL209"/>
      <c r="BM209"/>
      <c r="BR209"/>
    </row>
    <row r="210" spans="1:70" ht="28.5" x14ac:dyDescent="0.45">
      <c r="A210" s="2" t="s">
        <v>13</v>
      </c>
      <c r="B210" s="54" t="s">
        <v>219</v>
      </c>
      <c r="C210" s="3">
        <v>45250</v>
      </c>
      <c r="D210" s="8">
        <v>8</v>
      </c>
      <c r="E210" s="2" t="s">
        <v>222</v>
      </c>
      <c r="F210" s="4" t="s">
        <v>89</v>
      </c>
      <c r="G210" s="4" t="s">
        <v>577</v>
      </c>
      <c r="H210" s="4" t="s">
        <v>575</v>
      </c>
      <c r="I210" s="7">
        <v>0.19550000000000001</v>
      </c>
      <c r="J210" s="7">
        <v>0.19550000000000001</v>
      </c>
      <c r="K210" s="7">
        <v>1.9E-3</v>
      </c>
      <c r="L210" s="7">
        <v>0.20100000000000001</v>
      </c>
      <c r="M210" s="7">
        <v>0.19040000000000001</v>
      </c>
      <c r="N210" s="7">
        <v>-0.61</v>
      </c>
      <c r="O210" s="4"/>
      <c r="P210" s="7">
        <v>1.2569999999999999</v>
      </c>
      <c r="T210" s="7">
        <v>61</v>
      </c>
      <c r="U210" s="7">
        <v>570</v>
      </c>
      <c r="V210" s="7">
        <v>754.2</v>
      </c>
      <c r="W210" s="4" t="s">
        <v>16</v>
      </c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  <c r="AV210" s="4"/>
      <c r="AW210" s="4"/>
      <c r="AX210" s="4"/>
      <c r="AY210" s="4"/>
      <c r="AZ210" s="4"/>
      <c r="BA210" s="22">
        <v>108</v>
      </c>
      <c r="BB210" s="4"/>
      <c r="BC210" s="4"/>
      <c r="BD210" s="22">
        <v>25.2</v>
      </c>
      <c r="BE210" s="14">
        <v>1009</v>
      </c>
      <c r="BF210" s="61">
        <v>58</v>
      </c>
      <c r="BG210" s="15">
        <v>1.17</v>
      </c>
      <c r="BH210" s="4">
        <v>2096</v>
      </c>
      <c r="BI210" s="4"/>
      <c r="BJ210" s="3" t="s">
        <v>232</v>
      </c>
      <c r="BK210" s="7"/>
      <c r="BL210"/>
      <c r="BM210"/>
      <c r="BR210"/>
    </row>
    <row r="211" spans="1:70" ht="28.5" x14ac:dyDescent="0.45">
      <c r="A211" s="2" t="s">
        <v>13</v>
      </c>
      <c r="B211" s="54" t="s">
        <v>26</v>
      </c>
      <c r="C211" s="3">
        <v>45250</v>
      </c>
      <c r="D211" s="8">
        <v>1</v>
      </c>
      <c r="E211" s="2" t="s">
        <v>212</v>
      </c>
      <c r="F211" s="4" t="s">
        <v>15</v>
      </c>
      <c r="G211" s="4" t="s">
        <v>577</v>
      </c>
      <c r="H211" s="4" t="s">
        <v>223</v>
      </c>
      <c r="I211" s="7">
        <v>0.1716</v>
      </c>
      <c r="J211" s="7">
        <v>0.1716</v>
      </c>
      <c r="K211" s="7">
        <v>5.1000000000000004E-3</v>
      </c>
      <c r="L211" s="7">
        <v>0.17399999999999999</v>
      </c>
      <c r="M211" s="7">
        <v>0.17330000000000001</v>
      </c>
      <c r="N211" s="7">
        <v>-0.5</v>
      </c>
      <c r="O211" s="4"/>
      <c r="P211" s="7">
        <v>1.2645</v>
      </c>
      <c r="T211" s="7">
        <v>63.7</v>
      </c>
      <c r="U211" s="7">
        <v>594</v>
      </c>
      <c r="V211" s="7">
        <v>757.2</v>
      </c>
      <c r="W211" s="4" t="s">
        <v>224</v>
      </c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  <c r="AV211" s="4"/>
      <c r="AW211" s="4"/>
      <c r="AX211" s="4"/>
      <c r="AY211" s="4"/>
      <c r="AZ211" s="4"/>
      <c r="BA211" s="22">
        <v>117</v>
      </c>
      <c r="BB211" s="4"/>
      <c r="BC211" s="4"/>
      <c r="BD211" s="22">
        <v>24</v>
      </c>
      <c r="BE211" s="14">
        <v>1009</v>
      </c>
      <c r="BF211" s="61">
        <v>62</v>
      </c>
      <c r="BG211" s="15">
        <v>1.175</v>
      </c>
      <c r="BH211" s="4">
        <v>2096</v>
      </c>
      <c r="BI211" s="4"/>
      <c r="BJ211" s="3" t="s">
        <v>233</v>
      </c>
      <c r="BK211" s="7"/>
      <c r="BL211"/>
      <c r="BM211"/>
      <c r="BR211"/>
    </row>
    <row r="212" spans="1:70" ht="28.5" x14ac:dyDescent="0.45">
      <c r="A212" s="2" t="s">
        <v>13</v>
      </c>
      <c r="B212" s="54" t="s">
        <v>26</v>
      </c>
      <c r="C212" s="3">
        <v>45250</v>
      </c>
      <c r="D212" s="8">
        <v>2</v>
      </c>
      <c r="E212" s="2" t="s">
        <v>213</v>
      </c>
      <c r="F212" s="4" t="s">
        <v>15</v>
      </c>
      <c r="G212" s="4" t="s">
        <v>577</v>
      </c>
      <c r="H212" s="4" t="s">
        <v>223</v>
      </c>
      <c r="I212" s="7">
        <v>0.17069999999999999</v>
      </c>
      <c r="J212" s="7">
        <v>0.17069999999999999</v>
      </c>
      <c r="K212" s="7">
        <v>4.7000000000000002E-3</v>
      </c>
      <c r="L212" s="7">
        <v>0.17100000000000001</v>
      </c>
      <c r="N212" s="7">
        <v>-0.59</v>
      </c>
      <c r="O212" s="4"/>
      <c r="P212" s="7">
        <v>1.2645</v>
      </c>
      <c r="W212" s="4" t="s">
        <v>224</v>
      </c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  <c r="AV212" s="4"/>
      <c r="AW212" s="4"/>
      <c r="AX212" s="4"/>
      <c r="AY212" s="4"/>
      <c r="AZ212" s="4"/>
      <c r="BA212" s="22">
        <v>117</v>
      </c>
      <c r="BB212" s="4"/>
      <c r="BC212" s="4"/>
      <c r="BD212" s="22">
        <v>24.1</v>
      </c>
      <c r="BE212" s="14">
        <v>1009</v>
      </c>
      <c r="BF212" s="61">
        <v>61</v>
      </c>
      <c r="BG212" s="15">
        <v>1.175</v>
      </c>
      <c r="BH212" s="4">
        <v>2096</v>
      </c>
      <c r="BI212" s="4" t="s">
        <v>225</v>
      </c>
      <c r="BJ212" s="3" t="s">
        <v>234</v>
      </c>
      <c r="BK212" s="7"/>
      <c r="BL212"/>
      <c r="BM212"/>
      <c r="BR212"/>
    </row>
    <row r="213" spans="1:70" ht="28.5" x14ac:dyDescent="0.45">
      <c r="A213" s="2" t="s">
        <v>13</v>
      </c>
      <c r="B213" s="54" t="s">
        <v>26</v>
      </c>
      <c r="C213" s="3">
        <v>45250</v>
      </c>
      <c r="D213" s="8">
        <v>3</v>
      </c>
      <c r="E213" s="2" t="s">
        <v>214</v>
      </c>
      <c r="F213" s="4" t="s">
        <v>15</v>
      </c>
      <c r="G213" s="4" t="s">
        <v>577</v>
      </c>
      <c r="H213" s="4" t="s">
        <v>223</v>
      </c>
      <c r="I213" s="7">
        <v>0.17349999999999999</v>
      </c>
      <c r="J213" s="7">
        <v>0.17349999999999999</v>
      </c>
      <c r="K213" s="7">
        <v>1.5E-3</v>
      </c>
      <c r="L213" s="7">
        <v>0.17299999999999999</v>
      </c>
      <c r="M213" s="7">
        <v>0.1694</v>
      </c>
      <c r="N213" s="7">
        <v>-0.65</v>
      </c>
      <c r="O213" s="4"/>
      <c r="P213" s="7">
        <v>1.2645</v>
      </c>
      <c r="T213" s="7">
        <v>63</v>
      </c>
      <c r="U213" s="7">
        <v>564</v>
      </c>
      <c r="V213" s="7">
        <v>757.5</v>
      </c>
      <c r="W213" s="4" t="s">
        <v>224</v>
      </c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  <c r="AV213" s="4"/>
      <c r="AW213" s="4"/>
      <c r="AX213" s="4"/>
      <c r="AY213" s="4"/>
      <c r="AZ213" s="4"/>
      <c r="BA213" s="22">
        <v>117</v>
      </c>
      <c r="BB213" s="4"/>
      <c r="BC213" s="4"/>
      <c r="BD213" s="22">
        <v>24.2</v>
      </c>
      <c r="BE213" s="14">
        <v>1009</v>
      </c>
      <c r="BF213" s="61">
        <v>60</v>
      </c>
      <c r="BG213" s="15">
        <v>1.1739999999999999</v>
      </c>
      <c r="BH213" s="4">
        <v>2096</v>
      </c>
      <c r="BI213" s="4"/>
      <c r="BJ213" s="3" t="s">
        <v>235</v>
      </c>
      <c r="BK213" s="7"/>
      <c r="BL213"/>
      <c r="BM213"/>
      <c r="BR213"/>
    </row>
    <row r="214" spans="1:70" ht="28.5" x14ac:dyDescent="0.45">
      <c r="A214" s="2" t="s">
        <v>13</v>
      </c>
      <c r="B214" s="54" t="s">
        <v>26</v>
      </c>
      <c r="C214" s="3">
        <v>45250</v>
      </c>
      <c r="D214" s="8">
        <v>4</v>
      </c>
      <c r="E214" s="2" t="s">
        <v>212</v>
      </c>
      <c r="F214" s="4" t="s">
        <v>15</v>
      </c>
      <c r="G214" s="4" t="s">
        <v>577</v>
      </c>
      <c r="H214" s="4" t="s">
        <v>223</v>
      </c>
      <c r="I214" s="7">
        <v>0.1731</v>
      </c>
      <c r="J214" s="7">
        <v>0.1731</v>
      </c>
      <c r="K214" s="7">
        <v>4.7999999999999996E-3</v>
      </c>
      <c r="L214" s="7">
        <v>0.17499999999999999</v>
      </c>
      <c r="M214" s="7">
        <v>0.1739</v>
      </c>
      <c r="N214" s="7">
        <v>-0.53</v>
      </c>
      <c r="O214" s="4"/>
      <c r="P214" s="7">
        <v>1.2645</v>
      </c>
      <c r="T214" s="7">
        <v>63</v>
      </c>
      <c r="U214" s="7">
        <v>570</v>
      </c>
      <c r="V214" s="7">
        <v>755.8</v>
      </c>
      <c r="W214" s="4" t="s">
        <v>224</v>
      </c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  <c r="AX214" s="4"/>
      <c r="AY214" s="4"/>
      <c r="AZ214" s="4"/>
      <c r="BA214" s="22">
        <v>117</v>
      </c>
      <c r="BB214" s="4"/>
      <c r="BC214" s="4"/>
      <c r="BD214" s="22">
        <v>24.6</v>
      </c>
      <c r="BE214" s="14">
        <v>1009</v>
      </c>
      <c r="BF214" s="61">
        <v>60</v>
      </c>
      <c r="BG214" s="15">
        <v>1.173</v>
      </c>
      <c r="BH214" s="4">
        <v>2096</v>
      </c>
      <c r="BI214" s="4"/>
      <c r="BJ214" s="3" t="s">
        <v>236</v>
      </c>
      <c r="BK214" s="7"/>
      <c r="BL214"/>
      <c r="BM214"/>
      <c r="BR214"/>
    </row>
    <row r="215" spans="1:70" ht="28.5" x14ac:dyDescent="0.45">
      <c r="A215" s="2" t="s">
        <v>13</v>
      </c>
      <c r="B215" s="54" t="s">
        <v>26</v>
      </c>
      <c r="C215" s="3">
        <v>45250</v>
      </c>
      <c r="D215" s="8">
        <v>5</v>
      </c>
      <c r="E215" s="2" t="s">
        <v>213</v>
      </c>
      <c r="F215" s="4" t="s">
        <v>15</v>
      </c>
      <c r="G215" s="4" t="s">
        <v>577</v>
      </c>
      <c r="H215" s="4" t="s">
        <v>223</v>
      </c>
      <c r="I215" s="7">
        <v>0.1754</v>
      </c>
      <c r="J215" s="7">
        <v>0.1754</v>
      </c>
      <c r="K215" s="7">
        <v>3.3999999999999998E-3</v>
      </c>
      <c r="L215" s="7">
        <v>0.17399999999999999</v>
      </c>
      <c r="M215" s="7">
        <v>0.17150000000000001</v>
      </c>
      <c r="N215" s="7">
        <v>-0.61</v>
      </c>
      <c r="O215" s="4"/>
      <c r="P215" s="7">
        <v>1.2645</v>
      </c>
      <c r="T215" s="7">
        <v>63.7</v>
      </c>
      <c r="U215" s="7">
        <v>575</v>
      </c>
      <c r="V215" s="7">
        <v>756.3</v>
      </c>
      <c r="W215" s="4" t="s">
        <v>224</v>
      </c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  <c r="AX215" s="4"/>
      <c r="AY215" s="4"/>
      <c r="AZ215" s="4"/>
      <c r="BA215" s="22">
        <v>117</v>
      </c>
      <c r="BB215" s="4"/>
      <c r="BC215" s="4"/>
      <c r="BD215" s="22">
        <v>24.6</v>
      </c>
      <c r="BE215" s="14">
        <v>1009</v>
      </c>
      <c r="BF215" s="61">
        <v>60</v>
      </c>
      <c r="BG215" s="15">
        <v>1.173</v>
      </c>
      <c r="BH215" s="4">
        <v>2096</v>
      </c>
      <c r="BI215" s="4"/>
      <c r="BJ215" s="3" t="s">
        <v>237</v>
      </c>
      <c r="BK215" s="7"/>
      <c r="BL215"/>
      <c r="BM215"/>
      <c r="BR215"/>
    </row>
    <row r="216" spans="1:70" ht="28.5" x14ac:dyDescent="0.45">
      <c r="A216" s="2" t="s">
        <v>13</v>
      </c>
      <c r="B216" s="54" t="s">
        <v>26</v>
      </c>
      <c r="C216" s="3">
        <v>45250</v>
      </c>
      <c r="D216" s="8">
        <v>6</v>
      </c>
      <c r="E216" s="2" t="s">
        <v>214</v>
      </c>
      <c r="F216" s="4" t="s">
        <v>89</v>
      </c>
      <c r="G216" s="4" t="s">
        <v>577</v>
      </c>
      <c r="H216" s="4" t="s">
        <v>223</v>
      </c>
      <c r="I216" s="7">
        <v>0.17180000000000001</v>
      </c>
      <c r="J216" s="7">
        <v>0.17180000000000001</v>
      </c>
      <c r="K216" s="7">
        <v>4.1999999999999997E-3</v>
      </c>
      <c r="L216" s="7">
        <v>0.17599999999999999</v>
      </c>
      <c r="M216" s="7">
        <v>0.17030000000000001</v>
      </c>
      <c r="N216" s="7">
        <v>-0.72</v>
      </c>
      <c r="O216" s="4"/>
      <c r="P216" s="7">
        <v>1.2645</v>
      </c>
      <c r="T216" s="7">
        <v>63.1</v>
      </c>
      <c r="U216" s="7">
        <v>552</v>
      </c>
      <c r="V216" s="7">
        <v>757.2</v>
      </c>
      <c r="W216" s="4" t="s">
        <v>224</v>
      </c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  <c r="AX216" s="4"/>
      <c r="AY216" s="4"/>
      <c r="AZ216" s="4"/>
      <c r="BA216" s="22">
        <v>117</v>
      </c>
      <c r="BB216" s="4"/>
      <c r="BC216" s="4"/>
      <c r="BD216" s="22">
        <v>24.9</v>
      </c>
      <c r="BE216" s="14">
        <v>1009</v>
      </c>
      <c r="BF216" s="61">
        <v>58</v>
      </c>
      <c r="BG216" s="15">
        <v>1.171</v>
      </c>
      <c r="BH216" s="4">
        <v>2096</v>
      </c>
      <c r="BI216" s="4"/>
      <c r="BJ216" s="3" t="s">
        <v>238</v>
      </c>
      <c r="BK216" s="7"/>
      <c r="BL216"/>
      <c r="BM216"/>
      <c r="BR216"/>
    </row>
    <row r="217" spans="1:70" ht="28.5" x14ac:dyDescent="0.45">
      <c r="A217" s="2" t="s">
        <v>13</v>
      </c>
      <c r="B217" s="54" t="s">
        <v>28</v>
      </c>
      <c r="C217" s="3">
        <v>45250</v>
      </c>
      <c r="D217" s="8">
        <v>1</v>
      </c>
      <c r="E217" s="2" t="s">
        <v>214</v>
      </c>
      <c r="F217" s="4" t="s">
        <v>15</v>
      </c>
      <c r="G217" s="4" t="s">
        <v>577</v>
      </c>
      <c r="H217" s="4" t="s">
        <v>571</v>
      </c>
      <c r="I217" s="7">
        <v>0.158</v>
      </c>
      <c r="J217" s="7">
        <v>0.158</v>
      </c>
      <c r="K217" s="7">
        <v>1.9E-3</v>
      </c>
      <c r="L217" s="7">
        <v>0.16300000000000001</v>
      </c>
      <c r="M217" s="7">
        <v>0.15820000000000001</v>
      </c>
      <c r="N217" s="7">
        <v>-0.55000000000000004</v>
      </c>
      <c r="O217" s="4"/>
      <c r="P217" s="7">
        <v>1.272</v>
      </c>
      <c r="T217" s="7">
        <v>65.099999999999994</v>
      </c>
      <c r="U217" s="7">
        <v>580</v>
      </c>
      <c r="V217" s="7">
        <v>755.8</v>
      </c>
      <c r="W217" s="4" t="s">
        <v>224</v>
      </c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  <c r="AY217" s="4"/>
      <c r="AZ217" s="4"/>
      <c r="BA217" s="22">
        <v>117</v>
      </c>
      <c r="BB217" s="4"/>
      <c r="BC217" s="4"/>
      <c r="BD217" s="22">
        <v>23.8</v>
      </c>
      <c r="BE217" s="14">
        <v>1009</v>
      </c>
      <c r="BF217" s="61">
        <v>61</v>
      </c>
      <c r="BG217" s="15">
        <v>1.1759999999999999</v>
      </c>
      <c r="BH217" s="4">
        <v>2096</v>
      </c>
      <c r="BI217" s="4"/>
      <c r="BJ217" s="3" t="s">
        <v>239</v>
      </c>
      <c r="BK217" s="7"/>
      <c r="BL217"/>
      <c r="BM217"/>
      <c r="BR217"/>
    </row>
    <row r="218" spans="1:70" ht="28.5" x14ac:dyDescent="0.45">
      <c r="A218" s="2" t="s">
        <v>13</v>
      </c>
      <c r="B218" s="54" t="s">
        <v>28</v>
      </c>
      <c r="C218" s="3">
        <v>45250</v>
      </c>
      <c r="D218" s="8">
        <v>2</v>
      </c>
      <c r="E218" s="2" t="s">
        <v>214</v>
      </c>
      <c r="F218" s="4" t="s">
        <v>561</v>
      </c>
      <c r="G218" s="4" t="s">
        <v>577</v>
      </c>
      <c r="H218" s="4" t="s">
        <v>571</v>
      </c>
      <c r="I218" s="7">
        <v>0.1613</v>
      </c>
      <c r="J218" s="7">
        <v>0.1613</v>
      </c>
      <c r="K218" s="7">
        <v>2.8999999999999998E-3</v>
      </c>
      <c r="L218" s="7">
        <v>0.16500000000000001</v>
      </c>
      <c r="M218" s="7">
        <v>0.1608</v>
      </c>
      <c r="N218" s="7">
        <v>-0.62</v>
      </c>
      <c r="O218" s="4"/>
      <c r="P218" s="7">
        <v>1.272</v>
      </c>
      <c r="T218" s="7">
        <v>65.7</v>
      </c>
      <c r="U218" s="7">
        <v>604</v>
      </c>
      <c r="V218" s="7">
        <v>754.8</v>
      </c>
      <c r="W218" s="4" t="s">
        <v>224</v>
      </c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  <c r="AX218" s="4"/>
      <c r="AY218" s="4"/>
      <c r="AZ218" s="4"/>
      <c r="BA218" s="22">
        <v>117</v>
      </c>
      <c r="BB218" s="4"/>
      <c r="BC218" s="4"/>
      <c r="BD218" s="22">
        <v>24</v>
      </c>
      <c r="BE218" s="14">
        <v>1009</v>
      </c>
      <c r="BF218" s="61">
        <v>62</v>
      </c>
      <c r="BG218" s="15">
        <v>1.175</v>
      </c>
      <c r="BH218" s="4">
        <v>2096</v>
      </c>
      <c r="BI218" s="4"/>
      <c r="BJ218" s="3" t="s">
        <v>240</v>
      </c>
      <c r="BK218" s="7"/>
      <c r="BL218"/>
      <c r="BM218"/>
      <c r="BR218"/>
    </row>
    <row r="219" spans="1:70" ht="28.5" x14ac:dyDescent="0.45">
      <c r="A219" s="2" t="s">
        <v>13</v>
      </c>
      <c r="B219" s="54" t="s">
        <v>28</v>
      </c>
      <c r="C219" s="3">
        <v>45250</v>
      </c>
      <c r="D219" s="8">
        <v>3</v>
      </c>
      <c r="E219" s="2" t="s">
        <v>214</v>
      </c>
      <c r="F219" s="4" t="s">
        <v>568</v>
      </c>
      <c r="G219" s="4" t="s">
        <v>577</v>
      </c>
      <c r="H219" s="4" t="s">
        <v>571</v>
      </c>
      <c r="I219" s="7">
        <v>0.15959999999999999</v>
      </c>
      <c r="J219" s="7">
        <v>0.15959999999999999</v>
      </c>
      <c r="K219" s="7">
        <v>2.3E-3</v>
      </c>
      <c r="L219" s="7">
        <v>0.16200000000000001</v>
      </c>
      <c r="M219" s="7">
        <v>0.15920000000000001</v>
      </c>
      <c r="N219" s="7">
        <v>-0.57999999999999996</v>
      </c>
      <c r="O219" s="4"/>
      <c r="P219" s="7">
        <v>1.272</v>
      </c>
      <c r="T219" s="7">
        <v>66.5</v>
      </c>
      <c r="U219" s="7">
        <v>621</v>
      </c>
      <c r="V219" s="7">
        <v>755.5</v>
      </c>
      <c r="W219" s="4" t="s">
        <v>224</v>
      </c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  <c r="AY219" s="4"/>
      <c r="AZ219" s="4"/>
      <c r="BA219" s="22">
        <v>117</v>
      </c>
      <c r="BB219" s="4"/>
      <c r="BC219" s="4"/>
      <c r="BD219" s="22">
        <v>24.1</v>
      </c>
      <c r="BE219" s="14">
        <v>1009</v>
      </c>
      <c r="BF219" s="61">
        <v>61</v>
      </c>
      <c r="BG219" s="15">
        <v>1.175</v>
      </c>
      <c r="BH219" s="4">
        <v>2096</v>
      </c>
      <c r="BI219" s="4"/>
      <c r="BJ219" s="3" t="s">
        <v>241</v>
      </c>
      <c r="BK219" s="7"/>
      <c r="BL219"/>
      <c r="BM219"/>
      <c r="BR219"/>
    </row>
    <row r="220" spans="1:70" ht="28.5" x14ac:dyDescent="0.45">
      <c r="A220" s="2" t="s">
        <v>13</v>
      </c>
      <c r="B220" s="54" t="s">
        <v>28</v>
      </c>
      <c r="C220" s="3">
        <v>45250</v>
      </c>
      <c r="D220" s="8">
        <v>4</v>
      </c>
      <c r="E220" s="2" t="s">
        <v>214</v>
      </c>
      <c r="F220" s="4" t="s">
        <v>89</v>
      </c>
      <c r="G220" s="4" t="s">
        <v>577</v>
      </c>
      <c r="H220" s="4" t="s">
        <v>571</v>
      </c>
      <c r="I220" s="7">
        <v>0.15890000000000001</v>
      </c>
      <c r="J220" s="7">
        <v>0.15890000000000001</v>
      </c>
      <c r="K220" s="7">
        <v>4.3E-3</v>
      </c>
      <c r="L220" s="7">
        <v>0.16300000000000001</v>
      </c>
      <c r="M220" s="7">
        <v>0.15820000000000001</v>
      </c>
      <c r="N220" s="7">
        <v>-0.56999999999999995</v>
      </c>
      <c r="O220" s="4"/>
      <c r="P220" s="7">
        <v>1.272</v>
      </c>
      <c r="T220" s="7">
        <v>65.8</v>
      </c>
      <c r="U220" s="7">
        <v>603</v>
      </c>
      <c r="V220" s="7">
        <v>755.3</v>
      </c>
      <c r="W220" s="4" t="s">
        <v>224</v>
      </c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  <c r="AY220" s="4"/>
      <c r="AZ220" s="4"/>
      <c r="BA220" s="22">
        <v>117</v>
      </c>
      <c r="BB220" s="4"/>
      <c r="BC220" s="4"/>
      <c r="BD220" s="22">
        <v>24.4</v>
      </c>
      <c r="BE220" s="14">
        <v>1009</v>
      </c>
      <c r="BF220" s="61">
        <v>59</v>
      </c>
      <c r="BG220" s="15">
        <v>1.1739999999999999</v>
      </c>
      <c r="BH220" s="4">
        <v>2096</v>
      </c>
      <c r="BI220" s="4"/>
      <c r="BJ220" s="3" t="s">
        <v>242</v>
      </c>
      <c r="BK220" s="7"/>
      <c r="BL220"/>
      <c r="BM220"/>
      <c r="BR220"/>
    </row>
    <row r="221" spans="1:70" ht="28.5" x14ac:dyDescent="0.45">
      <c r="A221" s="2" t="s">
        <v>13</v>
      </c>
      <c r="B221" s="54" t="s">
        <v>28</v>
      </c>
      <c r="C221" s="3">
        <v>45250</v>
      </c>
      <c r="D221" s="8">
        <v>5</v>
      </c>
      <c r="E221" s="2" t="s">
        <v>214</v>
      </c>
      <c r="F221" s="4" t="s">
        <v>15</v>
      </c>
      <c r="G221" s="4" t="s">
        <v>577</v>
      </c>
      <c r="H221" s="4" t="s">
        <v>571</v>
      </c>
      <c r="I221" s="7">
        <v>0.15859999999999999</v>
      </c>
      <c r="J221" s="7">
        <v>0.15859999999999999</v>
      </c>
      <c r="K221" s="7">
        <v>2.8E-3</v>
      </c>
      <c r="L221" s="7">
        <v>0.161</v>
      </c>
      <c r="M221" s="7">
        <v>0.15790000000000001</v>
      </c>
      <c r="N221" s="7">
        <v>-0.57999999999999996</v>
      </c>
      <c r="O221" s="4"/>
      <c r="P221" s="7">
        <v>1.272</v>
      </c>
      <c r="T221" s="7">
        <v>65.8</v>
      </c>
      <c r="U221" s="7">
        <v>594</v>
      </c>
      <c r="V221" s="7">
        <v>755.4</v>
      </c>
      <c r="W221" s="4" t="s">
        <v>224</v>
      </c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  <c r="AT221" s="4"/>
      <c r="AU221" s="4"/>
      <c r="AV221" s="4"/>
      <c r="AW221" s="4"/>
      <c r="AX221" s="4"/>
      <c r="AY221" s="4"/>
      <c r="AZ221" s="4"/>
      <c r="BA221" s="22">
        <v>117</v>
      </c>
      <c r="BB221" s="4"/>
      <c r="BC221" s="4"/>
      <c r="BD221" s="22">
        <v>24.6</v>
      </c>
      <c r="BE221" s="14">
        <v>1009</v>
      </c>
      <c r="BF221" s="61">
        <v>60</v>
      </c>
      <c r="BG221" s="15">
        <v>1.173</v>
      </c>
      <c r="BH221" s="4">
        <v>2096</v>
      </c>
      <c r="BI221" s="4"/>
      <c r="BJ221" s="3" t="s">
        <v>243</v>
      </c>
      <c r="BK221" s="7"/>
      <c r="BL221"/>
      <c r="BM221"/>
      <c r="BR221"/>
    </row>
    <row r="222" spans="1:70" ht="28.5" x14ac:dyDescent="0.45">
      <c r="A222" s="2" t="s">
        <v>13</v>
      </c>
      <c r="B222" s="54" t="s">
        <v>28</v>
      </c>
      <c r="C222" s="3">
        <v>45250</v>
      </c>
      <c r="D222" s="8">
        <v>6</v>
      </c>
      <c r="E222" s="2" t="s">
        <v>214</v>
      </c>
      <c r="F222" s="4" t="s">
        <v>561</v>
      </c>
      <c r="G222" s="4" t="s">
        <v>577</v>
      </c>
      <c r="H222" s="4" t="s">
        <v>571</v>
      </c>
      <c r="I222" s="7">
        <v>0.15959999999999999</v>
      </c>
      <c r="J222" s="7">
        <v>0.15959999999999999</v>
      </c>
      <c r="K222" s="7">
        <v>1.6999999999999999E-3</v>
      </c>
      <c r="L222" s="7">
        <v>0.159</v>
      </c>
      <c r="M222" s="7">
        <v>0.1605</v>
      </c>
      <c r="N222" s="7">
        <v>-0.57999999999999996</v>
      </c>
      <c r="O222" s="4"/>
      <c r="P222" s="7">
        <v>1.272</v>
      </c>
      <c r="T222" s="7">
        <v>66</v>
      </c>
      <c r="U222" s="7">
        <v>592</v>
      </c>
      <c r="V222" s="7">
        <v>754.9</v>
      </c>
      <c r="W222" s="4" t="s">
        <v>224</v>
      </c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  <c r="AT222" s="4"/>
      <c r="AU222" s="4"/>
      <c r="AV222" s="4"/>
      <c r="AW222" s="4"/>
      <c r="AX222" s="4"/>
      <c r="AY222" s="4"/>
      <c r="AZ222" s="4"/>
      <c r="BA222" s="22">
        <v>117</v>
      </c>
      <c r="BB222" s="4"/>
      <c r="BC222" s="4"/>
      <c r="BD222" s="22">
        <v>24.9</v>
      </c>
      <c r="BE222" s="14">
        <v>1009</v>
      </c>
      <c r="BF222" s="61">
        <v>58</v>
      </c>
      <c r="BG222" s="15">
        <v>1.171</v>
      </c>
      <c r="BH222" s="4">
        <v>2096</v>
      </c>
      <c r="BI222" s="4"/>
      <c r="BJ222" s="3" t="s">
        <v>244</v>
      </c>
      <c r="BK222" s="7"/>
      <c r="BL222"/>
      <c r="BM222"/>
      <c r="BR222"/>
    </row>
    <row r="223" spans="1:70" ht="28.5" x14ac:dyDescent="0.45">
      <c r="A223" s="2" t="s">
        <v>13</v>
      </c>
      <c r="B223" s="54" t="s">
        <v>28</v>
      </c>
      <c r="C223" s="3">
        <v>45250</v>
      </c>
      <c r="D223" s="8">
        <v>7</v>
      </c>
      <c r="E223" s="2" t="s">
        <v>214</v>
      </c>
      <c r="F223" s="4" t="s">
        <v>568</v>
      </c>
      <c r="G223" s="4" t="s">
        <v>577</v>
      </c>
      <c r="H223" s="4" t="s">
        <v>571</v>
      </c>
      <c r="I223" s="7">
        <v>0.15570000000000001</v>
      </c>
      <c r="J223" s="7">
        <v>0.15570000000000001</v>
      </c>
      <c r="K223" s="7">
        <v>1.6999999999999999E-3</v>
      </c>
      <c r="L223" s="7">
        <v>0.16</v>
      </c>
      <c r="M223" s="7">
        <v>0.15609999999999999</v>
      </c>
      <c r="N223" s="7">
        <v>-0.56000000000000005</v>
      </c>
      <c r="O223" s="4"/>
      <c r="P223" s="7">
        <v>1.272</v>
      </c>
      <c r="T223" s="7">
        <v>66</v>
      </c>
      <c r="U223" s="7">
        <v>595</v>
      </c>
      <c r="V223" s="7">
        <v>755.1</v>
      </c>
      <c r="W223" s="4" t="s">
        <v>224</v>
      </c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  <c r="AT223" s="4"/>
      <c r="AU223" s="4"/>
      <c r="AV223" s="4"/>
      <c r="AW223" s="4"/>
      <c r="AX223" s="4"/>
      <c r="AY223" s="4"/>
      <c r="AZ223" s="4"/>
      <c r="BA223" s="22">
        <v>117</v>
      </c>
      <c r="BB223" s="4"/>
      <c r="BC223" s="4"/>
      <c r="BD223" s="22">
        <v>25</v>
      </c>
      <c r="BE223" s="14">
        <v>1009</v>
      </c>
      <c r="BF223" s="61">
        <v>58</v>
      </c>
      <c r="BG223" s="15">
        <v>1.171</v>
      </c>
      <c r="BH223" s="4">
        <v>2096</v>
      </c>
      <c r="BI223" s="4"/>
      <c r="BJ223" s="3" t="s">
        <v>245</v>
      </c>
      <c r="BK223" s="7"/>
      <c r="BL223"/>
      <c r="BM223"/>
      <c r="BR223"/>
    </row>
    <row r="224" spans="1:70" ht="28.5" x14ac:dyDescent="0.45">
      <c r="A224" s="2" t="s">
        <v>13</v>
      </c>
      <c r="B224" s="54" t="s">
        <v>28</v>
      </c>
      <c r="C224" s="3">
        <v>45250</v>
      </c>
      <c r="D224" s="8">
        <v>8</v>
      </c>
      <c r="E224" s="2" t="s">
        <v>214</v>
      </c>
      <c r="F224" s="4" t="s">
        <v>89</v>
      </c>
      <c r="G224" s="4" t="s">
        <v>577</v>
      </c>
      <c r="H224" s="4" t="s">
        <v>571</v>
      </c>
      <c r="I224" s="7">
        <v>0.1547</v>
      </c>
      <c r="J224" s="7">
        <v>0.1547</v>
      </c>
      <c r="K224" s="7">
        <v>1.1999999999999999E-3</v>
      </c>
      <c r="L224" s="7">
        <v>0.161</v>
      </c>
      <c r="M224" s="7">
        <v>0.15490000000000001</v>
      </c>
      <c r="N224" s="7">
        <v>-0.53</v>
      </c>
      <c r="O224" s="4"/>
      <c r="P224" s="7">
        <v>1.272</v>
      </c>
      <c r="T224" s="7">
        <v>66.3</v>
      </c>
      <c r="U224" s="7">
        <v>607</v>
      </c>
      <c r="V224" s="7">
        <v>755.1</v>
      </c>
      <c r="W224" s="4" t="s">
        <v>224</v>
      </c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  <c r="AV224" s="4"/>
      <c r="AW224" s="4"/>
      <c r="AX224" s="4"/>
      <c r="AY224" s="4"/>
      <c r="AZ224" s="4"/>
      <c r="BA224" s="22">
        <v>117</v>
      </c>
      <c r="BB224" s="4"/>
      <c r="BC224" s="4"/>
      <c r="BD224" s="22">
        <v>25</v>
      </c>
      <c r="BE224" s="14">
        <v>1009</v>
      </c>
      <c r="BF224" s="61">
        <v>58</v>
      </c>
      <c r="BG224" s="15">
        <v>1.171</v>
      </c>
      <c r="BH224" s="4">
        <v>2096</v>
      </c>
      <c r="BI224" s="4"/>
      <c r="BJ224" s="3" t="s">
        <v>246</v>
      </c>
      <c r="BK224" s="7"/>
      <c r="BL224"/>
      <c r="BM224"/>
      <c r="BR224"/>
    </row>
    <row r="225" spans="1:70" ht="28.5" x14ac:dyDescent="0.45">
      <c r="A225" s="2" t="s">
        <v>13</v>
      </c>
      <c r="B225" s="54" t="s">
        <v>28</v>
      </c>
      <c r="C225" s="3">
        <v>45250</v>
      </c>
      <c r="D225" s="8">
        <v>9</v>
      </c>
      <c r="E225" s="2" t="s">
        <v>214</v>
      </c>
      <c r="F225" s="4" t="s">
        <v>561</v>
      </c>
      <c r="G225" s="4" t="s">
        <v>577</v>
      </c>
      <c r="H225" s="4" t="s">
        <v>571</v>
      </c>
      <c r="I225" s="7">
        <v>0.15909999999999999</v>
      </c>
      <c r="J225" s="7">
        <v>0.15909999999999999</v>
      </c>
      <c r="K225" s="7">
        <v>3.3999999999999998E-3</v>
      </c>
      <c r="L225" s="7">
        <v>0.159</v>
      </c>
      <c r="M225" s="7">
        <v>0.158</v>
      </c>
      <c r="N225" s="7">
        <v>-0.52</v>
      </c>
      <c r="O225" s="4"/>
      <c r="P225" s="7">
        <v>1.272</v>
      </c>
      <c r="T225" s="7">
        <v>66.3</v>
      </c>
      <c r="U225" s="7">
        <v>603</v>
      </c>
      <c r="V225" s="7">
        <v>755.2</v>
      </c>
      <c r="W225" s="4" t="s">
        <v>224</v>
      </c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  <c r="AT225" s="4"/>
      <c r="AU225" s="4"/>
      <c r="AV225" s="4"/>
      <c r="AW225" s="4"/>
      <c r="AX225" s="4"/>
      <c r="AY225" s="4"/>
      <c r="AZ225" s="4"/>
      <c r="BA225" s="22">
        <v>117</v>
      </c>
      <c r="BB225" s="4"/>
      <c r="BC225" s="4"/>
      <c r="BD225" s="22">
        <v>25.2</v>
      </c>
      <c r="BE225" s="14">
        <v>1009</v>
      </c>
      <c r="BF225" s="61">
        <v>58</v>
      </c>
      <c r="BG225" s="15">
        <v>1.17</v>
      </c>
      <c r="BH225" s="4">
        <v>2096</v>
      </c>
      <c r="BI225" s="4"/>
      <c r="BJ225" s="3" t="s">
        <v>247</v>
      </c>
      <c r="BK225" s="7"/>
      <c r="BL225"/>
      <c r="BM225"/>
      <c r="BR225"/>
    </row>
    <row r="226" spans="1:70" ht="28.5" x14ac:dyDescent="0.45">
      <c r="A226" s="2" t="s">
        <v>43</v>
      </c>
      <c r="B226" s="54" t="s">
        <v>44</v>
      </c>
      <c r="C226" s="3">
        <v>45264</v>
      </c>
      <c r="D226" s="8">
        <v>1</v>
      </c>
      <c r="E226" s="2" t="s">
        <v>545</v>
      </c>
      <c r="F226" s="4" t="s">
        <v>329</v>
      </c>
      <c r="G226" s="4" t="s">
        <v>15</v>
      </c>
      <c r="H226" s="4" t="s">
        <v>330</v>
      </c>
      <c r="I226" s="7">
        <v>0.157</v>
      </c>
      <c r="J226" s="7">
        <v>0.157</v>
      </c>
      <c r="K226" s="50">
        <v>1.2999999999999999E-3</v>
      </c>
      <c r="L226" s="7">
        <v>0.16200000000000001</v>
      </c>
      <c r="M226" s="7">
        <v>0.15939999999999999</v>
      </c>
      <c r="N226" s="7">
        <v>-0.33</v>
      </c>
      <c r="O226" s="4"/>
      <c r="P226" s="7">
        <v>1.298</v>
      </c>
      <c r="T226" s="7">
        <v>60.6</v>
      </c>
      <c r="U226" s="7">
        <v>473</v>
      </c>
      <c r="V226" s="7">
        <v>756.1</v>
      </c>
      <c r="W226" s="4" t="s">
        <v>77</v>
      </c>
      <c r="X226" s="4"/>
      <c r="Y226" s="4"/>
      <c r="Z226" s="7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7"/>
      <c r="AO226" s="7"/>
      <c r="AP226" s="7"/>
      <c r="AQ226" s="7"/>
      <c r="AR226" s="7"/>
      <c r="AS226" s="7"/>
      <c r="AT226" s="7"/>
      <c r="AU226" s="7"/>
      <c r="AV226" s="7"/>
      <c r="AW226" s="4"/>
      <c r="AX226" s="2"/>
      <c r="AY226" s="7"/>
      <c r="AZ226" s="4"/>
      <c r="BA226" s="22">
        <v>111.6</v>
      </c>
      <c r="BB226" s="2"/>
      <c r="BC226" s="2"/>
      <c r="BD226" s="40">
        <v>24.5</v>
      </c>
      <c r="BE226" s="42">
        <v>1004</v>
      </c>
      <c r="BF226" s="43">
        <v>64</v>
      </c>
      <c r="BG226" s="44">
        <v>1.167</v>
      </c>
      <c r="BH226" s="2">
        <v>2096</v>
      </c>
      <c r="BI226" s="2"/>
      <c r="BJ226" s="3" t="s">
        <v>339</v>
      </c>
      <c r="BK226"/>
      <c r="BL226"/>
      <c r="BM226" s="7"/>
      <c r="BR226"/>
    </row>
    <row r="227" spans="1:70" ht="28.5" x14ac:dyDescent="0.45">
      <c r="A227" s="2" t="s">
        <v>43</v>
      </c>
      <c r="B227" s="54" t="s">
        <v>44</v>
      </c>
      <c r="C227" s="3">
        <v>45264</v>
      </c>
      <c r="D227" s="8">
        <v>2</v>
      </c>
      <c r="E227" s="2" t="s">
        <v>555</v>
      </c>
      <c r="F227" s="4" t="s">
        <v>329</v>
      </c>
      <c r="G227" s="4" t="s">
        <v>15</v>
      </c>
      <c r="H227" s="4" t="s">
        <v>330</v>
      </c>
      <c r="I227" s="7">
        <v>0.16200000000000001</v>
      </c>
      <c r="J227" s="7">
        <v>0.16200000000000001</v>
      </c>
      <c r="K227" s="50">
        <v>5.0000000000000001E-3</v>
      </c>
      <c r="L227" s="7">
        <v>0.161</v>
      </c>
      <c r="M227" s="7">
        <v>0.1603</v>
      </c>
      <c r="N227" s="7">
        <v>-0.39</v>
      </c>
      <c r="O227" s="4"/>
      <c r="P227" s="7">
        <v>1.298</v>
      </c>
      <c r="T227" s="7">
        <v>60.1</v>
      </c>
      <c r="U227" s="7">
        <v>449</v>
      </c>
      <c r="V227" s="7">
        <v>756.8</v>
      </c>
      <c r="W227" s="4" t="s">
        <v>77</v>
      </c>
      <c r="X227" s="4"/>
      <c r="Y227" s="4"/>
      <c r="Z227" s="7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  <c r="AN227" s="7"/>
      <c r="AO227" s="7"/>
      <c r="AP227" s="7"/>
      <c r="AQ227" s="7"/>
      <c r="AR227" s="7"/>
      <c r="AS227" s="7"/>
      <c r="AT227" s="7"/>
      <c r="AU227" s="7"/>
      <c r="AV227" s="7"/>
      <c r="AW227" s="4"/>
      <c r="AX227" s="2"/>
      <c r="AY227" s="7"/>
      <c r="AZ227" s="4"/>
      <c r="BA227" s="22">
        <v>111.6</v>
      </c>
      <c r="BB227" s="2"/>
      <c r="BC227" s="2"/>
      <c r="BD227" s="40">
        <v>24.5</v>
      </c>
      <c r="BE227" s="42">
        <v>1004</v>
      </c>
      <c r="BF227" s="43">
        <v>64</v>
      </c>
      <c r="BG227" s="44">
        <v>1.167</v>
      </c>
      <c r="BH227" s="2">
        <v>2096</v>
      </c>
      <c r="BI227" s="2"/>
      <c r="BJ227" s="3" t="s">
        <v>340</v>
      </c>
      <c r="BK227"/>
      <c r="BL227"/>
      <c r="BM227" s="7"/>
      <c r="BR227"/>
    </row>
    <row r="228" spans="1:70" ht="28.5" x14ac:dyDescent="0.45">
      <c r="A228" s="2" t="s">
        <v>43</v>
      </c>
      <c r="B228" s="54" t="s">
        <v>44</v>
      </c>
      <c r="C228" s="3">
        <v>45264</v>
      </c>
      <c r="D228" s="8">
        <v>3</v>
      </c>
      <c r="E228" s="2" t="s">
        <v>545</v>
      </c>
      <c r="F228" s="4" t="s">
        <v>329</v>
      </c>
      <c r="G228" s="4" t="s">
        <v>15</v>
      </c>
      <c r="H228" s="4" t="s">
        <v>330</v>
      </c>
      <c r="I228" s="7">
        <v>0.16059999999999999</v>
      </c>
      <c r="J228" s="7">
        <v>0.16059999999999999</v>
      </c>
      <c r="K228" s="50">
        <v>2.5000000000000001E-3</v>
      </c>
      <c r="L228" s="7"/>
      <c r="M228" s="7">
        <v>0.16059999999999999</v>
      </c>
      <c r="N228" s="7">
        <v>-0.44</v>
      </c>
      <c r="O228" s="4"/>
      <c r="P228" s="7">
        <v>1.298</v>
      </c>
      <c r="T228" s="7">
        <v>60.4</v>
      </c>
      <c r="U228" s="7">
        <v>464</v>
      </c>
      <c r="V228" s="7">
        <v>756.7</v>
      </c>
      <c r="W228" s="4" t="s">
        <v>77</v>
      </c>
      <c r="X228" s="4"/>
      <c r="Y228" s="4"/>
      <c r="Z228" s="7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  <c r="AO228" s="7"/>
      <c r="AP228" s="7"/>
      <c r="AQ228" s="7"/>
      <c r="AR228" s="7"/>
      <c r="AS228" s="7"/>
      <c r="AT228" s="7"/>
      <c r="AU228" s="7"/>
      <c r="AV228" s="7"/>
      <c r="AW228" s="4"/>
      <c r="AX228" s="2"/>
      <c r="AY228" s="7"/>
      <c r="AZ228" s="4"/>
      <c r="BA228" s="22">
        <v>111.6</v>
      </c>
      <c r="BB228" s="2"/>
      <c r="BC228" s="2"/>
      <c r="BD228" s="40">
        <v>25</v>
      </c>
      <c r="BE228" s="42">
        <v>1004</v>
      </c>
      <c r="BF228" s="43">
        <v>62</v>
      </c>
      <c r="BG228" s="44">
        <v>1.165</v>
      </c>
      <c r="BH228" s="2">
        <v>2096</v>
      </c>
      <c r="BI228" s="2"/>
      <c r="BJ228" s="3" t="s">
        <v>334</v>
      </c>
      <c r="BK228"/>
      <c r="BL228"/>
      <c r="BM228" s="7"/>
      <c r="BR228"/>
    </row>
    <row r="229" spans="1:70" ht="28.5" x14ac:dyDescent="0.45">
      <c r="A229" s="2" t="s">
        <v>43</v>
      </c>
      <c r="B229" s="54" t="s">
        <v>44</v>
      </c>
      <c r="C229" s="3">
        <v>45264</v>
      </c>
      <c r="D229" s="8">
        <v>4</v>
      </c>
      <c r="E229" s="2" t="s">
        <v>555</v>
      </c>
      <c r="F229" s="4" t="s">
        <v>329</v>
      </c>
      <c r="G229" s="4" t="s">
        <v>15</v>
      </c>
      <c r="H229" s="4" t="s">
        <v>330</v>
      </c>
      <c r="I229" s="7">
        <v>0.1605</v>
      </c>
      <c r="J229" s="7">
        <v>0.1605</v>
      </c>
      <c r="K229" s="50">
        <v>5.8999999999999999E-3</v>
      </c>
      <c r="L229" s="7">
        <v>0.16200000000000001</v>
      </c>
      <c r="M229" s="7">
        <v>0.16270000000000001</v>
      </c>
      <c r="N229" s="7">
        <v>-0.37</v>
      </c>
      <c r="O229" s="4"/>
      <c r="P229" s="7">
        <v>1.298</v>
      </c>
      <c r="T229" s="7">
        <v>60.2</v>
      </c>
      <c r="U229" s="7">
        <v>466</v>
      </c>
      <c r="V229" s="7">
        <v>756.2</v>
      </c>
      <c r="W229" s="4" t="s">
        <v>77</v>
      </c>
      <c r="X229" s="4"/>
      <c r="Y229" s="4"/>
      <c r="Z229" s="7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  <c r="AO229" s="7"/>
      <c r="AP229" s="7"/>
      <c r="AQ229" s="7"/>
      <c r="AR229" s="7"/>
      <c r="AS229" s="7"/>
      <c r="AT229" s="7"/>
      <c r="AU229" s="7"/>
      <c r="AV229" s="7"/>
      <c r="AW229" s="4"/>
      <c r="AX229" s="2"/>
      <c r="AY229" s="7"/>
      <c r="AZ229" s="4"/>
      <c r="BA229" s="22">
        <v>111.6</v>
      </c>
      <c r="BB229" s="2"/>
      <c r="BC229" s="2"/>
      <c r="BD229" s="40">
        <v>25</v>
      </c>
      <c r="BE229" s="42">
        <v>1004</v>
      </c>
      <c r="BF229" s="43">
        <v>62</v>
      </c>
      <c r="BG229" s="44">
        <v>1.165</v>
      </c>
      <c r="BH229" s="2">
        <v>2096</v>
      </c>
      <c r="BI229" s="2"/>
      <c r="BJ229" s="3" t="s">
        <v>335</v>
      </c>
      <c r="BK229"/>
      <c r="BL229"/>
      <c r="BM229" s="7"/>
      <c r="BR229"/>
    </row>
    <row r="230" spans="1:70" ht="28.5" x14ac:dyDescent="0.45">
      <c r="A230" s="2" t="s">
        <v>43</v>
      </c>
      <c r="B230" s="54" t="s">
        <v>44</v>
      </c>
      <c r="C230" s="3">
        <v>45264</v>
      </c>
      <c r="D230" s="8">
        <v>5</v>
      </c>
      <c r="E230" s="2" t="s">
        <v>551</v>
      </c>
      <c r="F230" s="4" t="s">
        <v>329</v>
      </c>
      <c r="G230" s="4" t="s">
        <v>15</v>
      </c>
      <c r="H230" s="4" t="s">
        <v>330</v>
      </c>
      <c r="I230" s="7">
        <v>0.16220000000000001</v>
      </c>
      <c r="J230" s="7">
        <v>0.16220000000000001</v>
      </c>
      <c r="K230" s="50">
        <v>2.5000000000000001E-3</v>
      </c>
      <c r="L230" s="7">
        <v>0.16300000000000001</v>
      </c>
      <c r="M230" s="7">
        <v>0.16270000000000001</v>
      </c>
      <c r="N230" s="7">
        <v>-0.43</v>
      </c>
      <c r="O230" s="4"/>
      <c r="P230" s="7">
        <v>1.298</v>
      </c>
      <c r="T230" s="7">
        <v>59.9</v>
      </c>
      <c r="U230" s="7">
        <v>460</v>
      </c>
      <c r="V230" s="7">
        <v>756.2</v>
      </c>
      <c r="W230" s="4" t="s">
        <v>77</v>
      </c>
      <c r="X230" s="4"/>
      <c r="Y230" s="4"/>
      <c r="Z230" s="7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  <c r="AN230" s="7"/>
      <c r="AO230" s="7"/>
      <c r="AP230" s="7"/>
      <c r="AQ230" s="7"/>
      <c r="AR230" s="7"/>
      <c r="AS230" s="7"/>
      <c r="AT230" s="7"/>
      <c r="AU230" s="7"/>
      <c r="AV230" s="7"/>
      <c r="AW230" s="4"/>
      <c r="AX230" s="2"/>
      <c r="AY230" s="7"/>
      <c r="AZ230" s="4"/>
      <c r="BA230" s="22">
        <v>111.6</v>
      </c>
      <c r="BB230" s="2"/>
      <c r="BC230" s="2"/>
      <c r="BD230" s="40">
        <v>25.3</v>
      </c>
      <c r="BE230" s="42">
        <v>1004</v>
      </c>
      <c r="BF230" s="43">
        <v>61</v>
      </c>
      <c r="BG230" s="44">
        <v>1.163</v>
      </c>
      <c r="BH230" s="2">
        <v>2096</v>
      </c>
      <c r="BI230" s="2"/>
      <c r="BJ230" s="3" t="s">
        <v>336</v>
      </c>
      <c r="BK230"/>
      <c r="BL230"/>
      <c r="BM230" s="7"/>
      <c r="BR230"/>
    </row>
    <row r="231" spans="1:70" ht="28.5" x14ac:dyDescent="0.45">
      <c r="A231" s="2" t="s">
        <v>43</v>
      </c>
      <c r="B231" s="54" t="s">
        <v>44</v>
      </c>
      <c r="C231" s="3">
        <v>45264</v>
      </c>
      <c r="D231" s="8">
        <v>6</v>
      </c>
      <c r="E231" s="2" t="s">
        <v>545</v>
      </c>
      <c r="F231" s="4" t="s">
        <v>329</v>
      </c>
      <c r="G231" s="4" t="s">
        <v>15</v>
      </c>
      <c r="H231" s="4" t="s">
        <v>330</v>
      </c>
      <c r="I231" s="7">
        <v>0.16250000000000001</v>
      </c>
      <c r="J231" s="7">
        <v>0.16250000000000001</v>
      </c>
      <c r="K231" s="50">
        <v>1.9E-3</v>
      </c>
      <c r="L231" s="7">
        <v>0.16300000000000001</v>
      </c>
      <c r="M231" s="7">
        <v>0.16059999999999999</v>
      </c>
      <c r="N231" s="7">
        <v>-0.48</v>
      </c>
      <c r="O231" s="4"/>
      <c r="P231" s="7">
        <v>1.298</v>
      </c>
      <c r="T231" s="7">
        <v>60.8</v>
      </c>
      <c r="U231" s="7">
        <v>477</v>
      </c>
      <c r="V231" s="7">
        <v>756.9</v>
      </c>
      <c r="W231" s="4" t="s">
        <v>77</v>
      </c>
      <c r="X231" s="4"/>
      <c r="Y231" s="4"/>
      <c r="Z231" s="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  <c r="AN231" s="7"/>
      <c r="AO231" s="7"/>
      <c r="AP231" s="7"/>
      <c r="AQ231" s="7"/>
      <c r="AR231" s="7"/>
      <c r="AS231" s="7"/>
      <c r="AT231" s="7"/>
      <c r="AU231" s="7"/>
      <c r="AV231" s="7"/>
      <c r="AW231" s="4"/>
      <c r="AX231" s="2"/>
      <c r="AY231" s="7"/>
      <c r="AZ231" s="4"/>
      <c r="BA231" s="22">
        <v>111.6</v>
      </c>
      <c r="BB231" s="2"/>
      <c r="BC231" s="2"/>
      <c r="BD231" s="40">
        <v>25.6</v>
      </c>
      <c r="BE231" s="42">
        <v>1004</v>
      </c>
      <c r="BF231" s="43">
        <v>61</v>
      </c>
      <c r="BG231" s="44">
        <v>1.1619999999999999</v>
      </c>
      <c r="BH231" s="2">
        <v>2096</v>
      </c>
      <c r="BI231" s="2"/>
      <c r="BJ231" s="3" t="s">
        <v>337</v>
      </c>
      <c r="BK231"/>
      <c r="BL231"/>
      <c r="BM231" s="7"/>
      <c r="BR231"/>
    </row>
    <row r="232" spans="1:70" ht="28.5" x14ac:dyDescent="0.45">
      <c r="A232" s="2" t="s">
        <v>43</v>
      </c>
      <c r="B232" s="54" t="s">
        <v>44</v>
      </c>
      <c r="C232" s="3">
        <v>45264</v>
      </c>
      <c r="D232" s="8">
        <v>7</v>
      </c>
      <c r="E232" s="2" t="s">
        <v>551</v>
      </c>
      <c r="F232" s="4" t="s">
        <v>329</v>
      </c>
      <c r="G232" s="4" t="s">
        <v>15</v>
      </c>
      <c r="H232" s="4" t="s">
        <v>330</v>
      </c>
      <c r="I232" s="7">
        <v>0.1595</v>
      </c>
      <c r="J232" s="7">
        <v>0.1595</v>
      </c>
      <c r="K232" s="50">
        <v>2E-3</v>
      </c>
      <c r="L232" s="7">
        <v>0.16300000000000001</v>
      </c>
      <c r="N232" s="7">
        <v>-0.44</v>
      </c>
      <c r="O232" s="4"/>
      <c r="P232" s="7">
        <v>1.298</v>
      </c>
      <c r="T232" s="7">
        <v>61.1</v>
      </c>
      <c r="U232" s="7">
        <v>488</v>
      </c>
      <c r="V232" s="7">
        <v>756.5</v>
      </c>
      <c r="W232" s="4" t="s">
        <v>77</v>
      </c>
      <c r="X232" s="4"/>
      <c r="Y232" s="4"/>
      <c r="Z232" s="7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  <c r="AO232" s="7"/>
      <c r="AP232" s="7"/>
      <c r="AQ232" s="7"/>
      <c r="AR232" s="7"/>
      <c r="AS232" s="7"/>
      <c r="AT232" s="7"/>
      <c r="AU232" s="7"/>
      <c r="AV232" s="7"/>
      <c r="AW232" s="4"/>
      <c r="AX232" s="2"/>
      <c r="AY232" s="7"/>
      <c r="AZ232" s="4"/>
      <c r="BA232" s="22">
        <v>111.6</v>
      </c>
      <c r="BB232" s="2"/>
      <c r="BC232" s="2"/>
      <c r="BD232" s="40">
        <v>25.6</v>
      </c>
      <c r="BE232" s="42">
        <v>1004</v>
      </c>
      <c r="BF232" s="43">
        <v>61</v>
      </c>
      <c r="BG232" s="44">
        <v>1.1619999999999999</v>
      </c>
      <c r="BH232" s="2">
        <v>2096</v>
      </c>
      <c r="BI232" s="2"/>
      <c r="BJ232" s="3" t="s">
        <v>338</v>
      </c>
      <c r="BK232"/>
      <c r="BL232"/>
      <c r="BM232" s="7"/>
      <c r="BR232"/>
    </row>
    <row r="233" spans="1:70" ht="28.5" x14ac:dyDescent="0.45">
      <c r="A233" s="2" t="s">
        <v>43</v>
      </c>
      <c r="B233" s="54" t="s">
        <v>45</v>
      </c>
      <c r="C233" s="3">
        <v>45264</v>
      </c>
      <c r="D233" s="8">
        <v>1</v>
      </c>
      <c r="E233" s="2" t="s">
        <v>213</v>
      </c>
      <c r="F233" s="4" t="s">
        <v>331</v>
      </c>
      <c r="G233" s="4" t="s">
        <v>578</v>
      </c>
      <c r="H233" s="4" t="s">
        <v>223</v>
      </c>
      <c r="I233" s="7">
        <v>0.15640000000000001</v>
      </c>
      <c r="J233" s="7">
        <v>0.15640000000000001</v>
      </c>
      <c r="K233" s="50">
        <v>2.7000000000000001E-3</v>
      </c>
      <c r="L233" s="7">
        <v>0.157</v>
      </c>
      <c r="M233" s="7">
        <v>0.15570000000000001</v>
      </c>
      <c r="N233" s="7">
        <v>-0.46</v>
      </c>
      <c r="O233" s="4"/>
      <c r="P233" s="7">
        <v>1.2515000000000001</v>
      </c>
      <c r="T233" s="7">
        <v>62.4</v>
      </c>
      <c r="U233" s="7">
        <v>492</v>
      </c>
      <c r="V233" s="7">
        <v>754.3</v>
      </c>
      <c r="W233" s="4" t="s">
        <v>77</v>
      </c>
      <c r="X233" s="4"/>
      <c r="Y233" s="4"/>
      <c r="Z233" s="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  <c r="AN233" s="7"/>
      <c r="AO233" s="7"/>
      <c r="AP233" s="7"/>
      <c r="AQ233" s="7"/>
      <c r="AR233" s="7"/>
      <c r="AS233" s="7"/>
      <c r="AT233" s="7"/>
      <c r="AU233" s="7"/>
      <c r="AV233" s="7"/>
      <c r="AW233" s="4"/>
      <c r="AX233" s="2"/>
      <c r="AY233" s="7"/>
      <c r="AZ233" s="4"/>
      <c r="BA233" s="22">
        <v>113.4</v>
      </c>
      <c r="BB233" s="2"/>
      <c r="BC233" s="2"/>
      <c r="BD233" s="40">
        <v>24.4</v>
      </c>
      <c r="BE233" s="42">
        <v>1004</v>
      </c>
      <c r="BF233" s="43">
        <v>64</v>
      </c>
      <c r="BG233" s="44">
        <v>1.167</v>
      </c>
      <c r="BH233" s="2">
        <v>2096</v>
      </c>
      <c r="BI233" s="2"/>
      <c r="BJ233" s="38" t="s">
        <v>349</v>
      </c>
      <c r="BK233"/>
      <c r="BL233"/>
      <c r="BM233" s="7"/>
      <c r="BR233"/>
    </row>
    <row r="234" spans="1:70" ht="28.5" x14ac:dyDescent="0.45">
      <c r="A234" s="2" t="s">
        <v>43</v>
      </c>
      <c r="B234" s="54" t="s">
        <v>45</v>
      </c>
      <c r="C234" s="3">
        <v>45264</v>
      </c>
      <c r="D234" s="8">
        <v>2</v>
      </c>
      <c r="E234" s="2" t="s">
        <v>213</v>
      </c>
      <c r="F234" s="4" t="s">
        <v>332</v>
      </c>
      <c r="G234" s="4" t="s">
        <v>578</v>
      </c>
      <c r="H234" s="4" t="s">
        <v>223</v>
      </c>
      <c r="I234" s="7">
        <v>0.15670000000000001</v>
      </c>
      <c r="J234" s="7">
        <v>0.15670000000000001</v>
      </c>
      <c r="K234" s="50">
        <v>3.0999999999999999E-3</v>
      </c>
      <c r="L234" s="7">
        <v>0.158</v>
      </c>
      <c r="M234" s="7">
        <v>0.155</v>
      </c>
      <c r="N234" s="7">
        <v>-0.52</v>
      </c>
      <c r="O234" s="4"/>
      <c r="P234" s="7">
        <v>1.2515000000000001</v>
      </c>
      <c r="T234" s="7">
        <v>61.7</v>
      </c>
      <c r="U234" s="7">
        <v>482</v>
      </c>
      <c r="V234" s="7">
        <v>753.8</v>
      </c>
      <c r="W234" s="4" t="s">
        <v>77</v>
      </c>
      <c r="X234" s="4"/>
      <c r="Y234" s="4"/>
      <c r="Z234" s="7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  <c r="AN234" s="7"/>
      <c r="AO234" s="7"/>
      <c r="AP234" s="7"/>
      <c r="AQ234" s="7"/>
      <c r="AR234" s="7"/>
      <c r="AS234" s="7"/>
      <c r="AT234" s="7"/>
      <c r="AU234" s="7"/>
      <c r="AV234" s="7"/>
      <c r="AW234" s="4"/>
      <c r="AX234" s="2"/>
      <c r="AY234" s="7"/>
      <c r="AZ234" s="4"/>
      <c r="BA234" s="22">
        <v>113.4</v>
      </c>
      <c r="BB234" s="2"/>
      <c r="BC234" s="2"/>
      <c r="BD234" s="40">
        <v>24.5</v>
      </c>
      <c r="BE234" s="42">
        <v>1004</v>
      </c>
      <c r="BF234" s="43">
        <v>64</v>
      </c>
      <c r="BG234" s="44">
        <v>1.167</v>
      </c>
      <c r="BH234" s="2">
        <v>2096</v>
      </c>
      <c r="BI234" s="2"/>
      <c r="BJ234" s="3" t="s">
        <v>350</v>
      </c>
      <c r="BK234"/>
      <c r="BL234"/>
      <c r="BM234" s="7"/>
      <c r="BR234"/>
    </row>
    <row r="235" spans="1:70" ht="28.5" x14ac:dyDescent="0.45">
      <c r="A235" s="2" t="s">
        <v>43</v>
      </c>
      <c r="B235" s="54" t="s">
        <v>45</v>
      </c>
      <c r="C235" s="3">
        <v>45264</v>
      </c>
      <c r="D235" s="8">
        <v>3</v>
      </c>
      <c r="E235" s="2" t="s">
        <v>213</v>
      </c>
      <c r="F235" s="4" t="s">
        <v>331</v>
      </c>
      <c r="G235" s="4" t="s">
        <v>578</v>
      </c>
      <c r="H235" s="4" t="s">
        <v>223</v>
      </c>
      <c r="I235" s="7">
        <v>0.1555</v>
      </c>
      <c r="J235" s="7">
        <v>0.1555</v>
      </c>
      <c r="K235" s="50">
        <v>2.8E-3</v>
      </c>
      <c r="L235" s="7">
        <v>0.152</v>
      </c>
      <c r="M235" s="7">
        <v>0.1542</v>
      </c>
      <c r="N235" s="7">
        <v>-0.54</v>
      </c>
      <c r="O235" s="4"/>
      <c r="P235" s="7">
        <v>1.2515000000000001</v>
      </c>
      <c r="T235" s="7">
        <v>61.9</v>
      </c>
      <c r="U235" s="7">
        <v>469</v>
      </c>
      <c r="V235" s="7">
        <v>753.6</v>
      </c>
      <c r="W235" s="4" t="s">
        <v>77</v>
      </c>
      <c r="X235" s="4"/>
      <c r="Y235" s="4"/>
      <c r="Z235" s="7"/>
      <c r="AA235" s="7"/>
      <c r="AB235" s="7"/>
      <c r="AC235" s="7"/>
      <c r="AD235" s="7"/>
      <c r="AE235" s="7"/>
      <c r="AF235" s="7"/>
      <c r="AG235" s="7"/>
      <c r="AH235" s="7"/>
      <c r="AI235" s="7"/>
      <c r="AJ235" s="7"/>
      <c r="AK235" s="7"/>
      <c r="AL235" s="7"/>
      <c r="AM235" s="7"/>
      <c r="AN235" s="7"/>
      <c r="AO235" s="7"/>
      <c r="AP235" s="7"/>
      <c r="AQ235" s="7"/>
      <c r="AR235" s="7"/>
      <c r="AS235" s="7"/>
      <c r="AT235" s="7"/>
      <c r="AU235" s="7"/>
      <c r="AV235" s="7"/>
      <c r="AW235" s="4"/>
      <c r="AX235" s="2"/>
      <c r="AY235" s="7"/>
      <c r="AZ235" s="4"/>
      <c r="BA235" s="22">
        <v>113.4</v>
      </c>
      <c r="BB235" s="2"/>
      <c r="BC235" s="2"/>
      <c r="BD235" s="40">
        <v>24.8</v>
      </c>
      <c r="BE235" s="42">
        <v>1004</v>
      </c>
      <c r="BF235" s="43">
        <v>64</v>
      </c>
      <c r="BG235" s="44">
        <v>1.165</v>
      </c>
      <c r="BH235" s="2">
        <v>2096</v>
      </c>
      <c r="BI235" s="2"/>
      <c r="BJ235" s="3" t="s">
        <v>351</v>
      </c>
      <c r="BK235"/>
      <c r="BL235"/>
      <c r="BM235" s="7"/>
      <c r="BR235"/>
    </row>
    <row r="236" spans="1:70" ht="28.5" x14ac:dyDescent="0.45">
      <c r="A236" s="2" t="s">
        <v>43</v>
      </c>
      <c r="B236" s="54" t="s">
        <v>45</v>
      </c>
      <c r="C236" s="3">
        <v>45264</v>
      </c>
      <c r="D236" s="8">
        <v>4</v>
      </c>
      <c r="E236" s="2" t="s">
        <v>213</v>
      </c>
      <c r="F236" s="4" t="s">
        <v>332</v>
      </c>
      <c r="G236" s="4" t="s">
        <v>578</v>
      </c>
      <c r="H236" s="4" t="s">
        <v>223</v>
      </c>
      <c r="I236" s="7">
        <v>0.15709999999999999</v>
      </c>
      <c r="J236" s="7">
        <v>0.15709999999999999</v>
      </c>
      <c r="K236" s="50">
        <v>1.1000000000000001E-3</v>
      </c>
      <c r="L236" s="7">
        <v>0.155</v>
      </c>
      <c r="M236" s="7">
        <v>0.15640000000000001</v>
      </c>
      <c r="N236" s="7">
        <v>-0.49</v>
      </c>
      <c r="O236" s="4"/>
      <c r="P236" s="7">
        <v>1.2515000000000001</v>
      </c>
      <c r="T236" s="7">
        <v>61.3</v>
      </c>
      <c r="U236" s="7">
        <v>477</v>
      </c>
      <c r="V236" s="7">
        <v>753.4</v>
      </c>
      <c r="W236" s="4" t="s">
        <v>77</v>
      </c>
      <c r="X236" s="4"/>
      <c r="Y236" s="4"/>
      <c r="Z236" s="7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  <c r="AO236" s="7"/>
      <c r="AP236" s="7"/>
      <c r="AQ236" s="7"/>
      <c r="AR236" s="7"/>
      <c r="AS236" s="7"/>
      <c r="AT236" s="7"/>
      <c r="AU236" s="7"/>
      <c r="AV236" s="7"/>
      <c r="AW236" s="4"/>
      <c r="AX236" s="2"/>
      <c r="AY236" s="7"/>
      <c r="AZ236" s="4"/>
      <c r="BA236" s="22">
        <v>113.4</v>
      </c>
      <c r="BB236" s="2"/>
      <c r="BC236" s="2"/>
      <c r="BD236" s="40">
        <v>25</v>
      </c>
      <c r="BE236" s="42">
        <v>1004</v>
      </c>
      <c r="BF236" s="43">
        <v>62</v>
      </c>
      <c r="BG236" s="44">
        <v>1.165</v>
      </c>
      <c r="BH236" s="2">
        <v>2096</v>
      </c>
      <c r="BI236" s="2"/>
      <c r="BJ236" s="3" t="s">
        <v>352</v>
      </c>
      <c r="BK236"/>
      <c r="BL236"/>
      <c r="BM236" s="7"/>
      <c r="BR236"/>
    </row>
    <row r="237" spans="1:70" ht="28.5" x14ac:dyDescent="0.45">
      <c r="A237" s="2" t="s">
        <v>43</v>
      </c>
      <c r="B237" s="54" t="s">
        <v>45</v>
      </c>
      <c r="C237" s="3">
        <v>45264</v>
      </c>
      <c r="D237" s="8">
        <v>5</v>
      </c>
      <c r="E237" s="2" t="s">
        <v>213</v>
      </c>
      <c r="F237" s="4" t="s">
        <v>331</v>
      </c>
      <c r="G237" s="4" t="s">
        <v>578</v>
      </c>
      <c r="H237" s="4" t="s">
        <v>223</v>
      </c>
      <c r="I237" s="7">
        <v>0.15570000000000001</v>
      </c>
      <c r="J237" s="7">
        <v>0.15570000000000001</v>
      </c>
      <c r="K237" s="50">
        <v>3.7000000000000002E-3</v>
      </c>
      <c r="L237" s="7">
        <v>0.159</v>
      </c>
      <c r="M237" s="7">
        <v>0.15659999999999999</v>
      </c>
      <c r="N237" s="7">
        <v>-0.52</v>
      </c>
      <c r="O237" s="4"/>
      <c r="P237" s="7">
        <v>1.2515000000000001</v>
      </c>
      <c r="T237" s="7">
        <v>61.2</v>
      </c>
      <c r="U237" s="7">
        <v>479</v>
      </c>
      <c r="V237" s="7">
        <v>753.4</v>
      </c>
      <c r="W237" s="4" t="s">
        <v>77</v>
      </c>
      <c r="X237" s="4"/>
      <c r="Y237" s="4"/>
      <c r="Z237" s="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  <c r="AN237" s="7"/>
      <c r="AO237" s="7"/>
      <c r="AP237" s="7"/>
      <c r="AQ237" s="7"/>
      <c r="AR237" s="7"/>
      <c r="AS237" s="7"/>
      <c r="AT237" s="7"/>
      <c r="AU237" s="7"/>
      <c r="AV237" s="7"/>
      <c r="AW237" s="4"/>
      <c r="AX237" s="2"/>
      <c r="AY237" s="7"/>
      <c r="AZ237" s="4"/>
      <c r="BA237" s="22">
        <v>113.4</v>
      </c>
      <c r="BB237" s="2"/>
      <c r="BC237" s="2"/>
      <c r="BD237" s="40">
        <v>25</v>
      </c>
      <c r="BE237" s="42">
        <v>1004</v>
      </c>
      <c r="BF237" s="43">
        <v>62</v>
      </c>
      <c r="BG237" s="44">
        <v>1.165</v>
      </c>
      <c r="BH237" s="2">
        <v>2096</v>
      </c>
      <c r="BI237" s="2"/>
      <c r="BJ237" s="3" t="s">
        <v>341</v>
      </c>
      <c r="BK237"/>
      <c r="BL237"/>
      <c r="BM237" s="7"/>
      <c r="BR237"/>
    </row>
    <row r="238" spans="1:70" ht="28.5" x14ac:dyDescent="0.45">
      <c r="A238" s="2" t="s">
        <v>43</v>
      </c>
      <c r="B238" s="54" t="s">
        <v>45</v>
      </c>
      <c r="C238" s="3">
        <v>45264</v>
      </c>
      <c r="D238" s="8">
        <v>6</v>
      </c>
      <c r="E238" s="2" t="s">
        <v>213</v>
      </c>
      <c r="F238" s="4" t="s">
        <v>332</v>
      </c>
      <c r="G238" s="4" t="s">
        <v>578</v>
      </c>
      <c r="H238" s="4" t="s">
        <v>223</v>
      </c>
      <c r="I238" s="7">
        <v>0.15820000000000001</v>
      </c>
      <c r="J238" s="7">
        <v>0.15820000000000001</v>
      </c>
      <c r="K238" s="50">
        <v>3.5000000000000001E-3</v>
      </c>
      <c r="L238" s="7">
        <v>0.158</v>
      </c>
      <c r="M238" s="7">
        <v>0.157</v>
      </c>
      <c r="N238" s="7">
        <v>-0.53</v>
      </c>
      <c r="O238" s="4"/>
      <c r="P238" s="7">
        <v>1.2515000000000001</v>
      </c>
      <c r="T238" s="7">
        <v>61.6</v>
      </c>
      <c r="U238" s="7">
        <v>478</v>
      </c>
      <c r="V238" s="7">
        <v>753.4</v>
      </c>
      <c r="W238" s="4" t="s">
        <v>77</v>
      </c>
      <c r="X238" s="4"/>
      <c r="Y238" s="4"/>
      <c r="Z238" s="7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  <c r="AO238" s="7"/>
      <c r="AP238" s="7"/>
      <c r="AQ238" s="7"/>
      <c r="AR238" s="7"/>
      <c r="AS238" s="7"/>
      <c r="AT238" s="7"/>
      <c r="AU238" s="7"/>
      <c r="AV238" s="7"/>
      <c r="AW238" s="4"/>
      <c r="AX238" s="2"/>
      <c r="AY238" s="7"/>
      <c r="AZ238" s="4"/>
      <c r="BA238" s="22">
        <v>113.4</v>
      </c>
      <c r="BB238" s="2"/>
      <c r="BC238" s="2"/>
      <c r="BD238" s="40">
        <v>25.6</v>
      </c>
      <c r="BE238" s="42">
        <v>1004</v>
      </c>
      <c r="BF238" s="43">
        <v>61</v>
      </c>
      <c r="BG238" s="44">
        <v>1.1619999999999999</v>
      </c>
      <c r="BH238" s="2">
        <v>2096</v>
      </c>
      <c r="BI238" s="2"/>
      <c r="BJ238" s="3" t="s">
        <v>342</v>
      </c>
      <c r="BK238"/>
      <c r="BL238"/>
      <c r="BM238" s="7"/>
      <c r="BR238"/>
    </row>
    <row r="239" spans="1:70" ht="28.5" x14ac:dyDescent="0.45">
      <c r="A239" s="2" t="s">
        <v>43</v>
      </c>
      <c r="B239" s="54" t="s">
        <v>79</v>
      </c>
      <c r="C239" s="3">
        <v>45264</v>
      </c>
      <c r="D239" s="8">
        <v>1</v>
      </c>
      <c r="E239" s="2" t="s">
        <v>213</v>
      </c>
      <c r="F239" s="4" t="s">
        <v>331</v>
      </c>
      <c r="G239" s="4" t="s">
        <v>15</v>
      </c>
      <c r="H239" s="4" t="s">
        <v>223</v>
      </c>
      <c r="I239" s="7">
        <v>0.15629999999999999</v>
      </c>
      <c r="J239" s="7">
        <v>0.15629999999999999</v>
      </c>
      <c r="K239" s="50">
        <v>3.8E-3</v>
      </c>
      <c r="L239" s="7">
        <v>0.152</v>
      </c>
      <c r="M239" s="7">
        <v>0.15140000000000001</v>
      </c>
      <c r="N239" s="7">
        <v>-0.59</v>
      </c>
      <c r="O239" s="4"/>
      <c r="P239" s="7">
        <v>1.2395</v>
      </c>
      <c r="T239" s="7">
        <v>61.8</v>
      </c>
      <c r="U239" s="7">
        <v>464</v>
      </c>
      <c r="V239" s="7">
        <v>753.7</v>
      </c>
      <c r="W239" s="4" t="s">
        <v>48</v>
      </c>
      <c r="X239" s="4"/>
      <c r="Y239" s="4"/>
      <c r="Z239" s="7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  <c r="AL239" s="7"/>
      <c r="AM239" s="7"/>
      <c r="AN239" s="7"/>
      <c r="AO239" s="7"/>
      <c r="AP239" s="7"/>
      <c r="AQ239" s="7"/>
      <c r="AR239" s="7"/>
      <c r="AS239" s="7"/>
      <c r="AT239" s="7"/>
      <c r="AU239" s="7"/>
      <c r="AV239" s="7"/>
      <c r="AW239" s="4"/>
      <c r="AX239" s="2"/>
      <c r="AY239" s="7"/>
      <c r="AZ239" s="4"/>
      <c r="BA239" s="22">
        <v>113.4</v>
      </c>
      <c r="BB239" s="2"/>
      <c r="BC239" s="2"/>
      <c r="BD239" s="40">
        <v>24.4</v>
      </c>
      <c r="BE239" s="42">
        <v>1004</v>
      </c>
      <c r="BF239" s="43">
        <v>64</v>
      </c>
      <c r="BG239" s="44">
        <v>1.167</v>
      </c>
      <c r="BH239" s="2">
        <v>2096</v>
      </c>
      <c r="BI239" s="2"/>
      <c r="BJ239" s="3" t="s">
        <v>343</v>
      </c>
      <c r="BK239"/>
      <c r="BL239"/>
      <c r="BM239" s="7"/>
      <c r="BR239"/>
    </row>
    <row r="240" spans="1:70" ht="28.5" x14ac:dyDescent="0.45">
      <c r="A240" s="2" t="s">
        <v>43</v>
      </c>
      <c r="B240" s="54" t="s">
        <v>79</v>
      </c>
      <c r="C240" s="3">
        <v>45264</v>
      </c>
      <c r="D240" s="8">
        <v>2</v>
      </c>
      <c r="E240" s="2" t="s">
        <v>213</v>
      </c>
      <c r="F240" s="4" t="s">
        <v>331</v>
      </c>
      <c r="G240" s="4" t="s">
        <v>578</v>
      </c>
      <c r="H240" s="4" t="s">
        <v>223</v>
      </c>
      <c r="I240" s="7">
        <v>0.15559999999999999</v>
      </c>
      <c r="J240" s="7">
        <v>0.15559999999999999</v>
      </c>
      <c r="K240" s="50">
        <v>2.8999999999999998E-3</v>
      </c>
      <c r="L240" s="7">
        <v>0.155</v>
      </c>
      <c r="M240" s="7">
        <v>0.15049999999999999</v>
      </c>
      <c r="N240" s="7">
        <v>-0.59</v>
      </c>
      <c r="O240" s="4"/>
      <c r="P240" s="7">
        <v>1.2395</v>
      </c>
      <c r="T240" s="7">
        <v>61.4</v>
      </c>
      <c r="U240" s="7">
        <v>458</v>
      </c>
      <c r="V240" s="7">
        <v>754.2</v>
      </c>
      <c r="W240" s="4" t="s">
        <v>48</v>
      </c>
      <c r="X240" s="4"/>
      <c r="Y240" s="4"/>
      <c r="Z240" s="7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  <c r="AO240" s="7"/>
      <c r="AP240" s="7"/>
      <c r="AQ240" s="7"/>
      <c r="AR240" s="7"/>
      <c r="AS240" s="7"/>
      <c r="AT240" s="7"/>
      <c r="AU240" s="7"/>
      <c r="AV240" s="7"/>
      <c r="AW240" s="4"/>
      <c r="AX240" s="2"/>
      <c r="AY240" s="7"/>
      <c r="AZ240" s="4"/>
      <c r="BA240" s="22">
        <v>113.4</v>
      </c>
      <c r="BB240" s="2"/>
      <c r="BC240" s="2"/>
      <c r="BD240" s="40">
        <v>24.5</v>
      </c>
      <c r="BE240" s="42">
        <v>1004</v>
      </c>
      <c r="BF240" s="43">
        <v>64</v>
      </c>
      <c r="BG240" s="44">
        <v>1.167</v>
      </c>
      <c r="BH240" s="2">
        <v>2096</v>
      </c>
      <c r="BI240" s="2"/>
      <c r="BJ240" s="3" t="s">
        <v>344</v>
      </c>
      <c r="BK240"/>
      <c r="BL240"/>
      <c r="BM240" s="7"/>
      <c r="BR240"/>
    </row>
    <row r="241" spans="1:70" ht="28.5" x14ac:dyDescent="0.45">
      <c r="A241" s="2" t="s">
        <v>43</v>
      </c>
      <c r="B241" s="54" t="s">
        <v>79</v>
      </c>
      <c r="C241" s="3">
        <v>45264</v>
      </c>
      <c r="D241" s="8">
        <v>3</v>
      </c>
      <c r="E241" s="2" t="s">
        <v>213</v>
      </c>
      <c r="F241" s="4" t="s">
        <v>331</v>
      </c>
      <c r="G241" s="4" t="s">
        <v>333</v>
      </c>
      <c r="H241" s="4" t="s">
        <v>223</v>
      </c>
      <c r="I241" s="7">
        <v>0.15640000000000001</v>
      </c>
      <c r="J241" s="7">
        <v>0.15640000000000001</v>
      </c>
      <c r="K241" s="50">
        <v>5.7999999999999996E-3</v>
      </c>
      <c r="L241" s="7">
        <v>0.156</v>
      </c>
      <c r="M241" s="7">
        <v>0.15290000000000001</v>
      </c>
      <c r="N241" s="7">
        <v>-0.57999999999999996</v>
      </c>
      <c r="O241" s="4"/>
      <c r="P241" s="7">
        <v>1.2395</v>
      </c>
      <c r="T241" s="7">
        <v>61.5</v>
      </c>
      <c r="U241" s="7">
        <v>467</v>
      </c>
      <c r="V241" s="7">
        <v>753.6</v>
      </c>
      <c r="W241" s="4" t="s">
        <v>48</v>
      </c>
      <c r="X241" s="4"/>
      <c r="Y241" s="4"/>
      <c r="Z241" s="7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  <c r="AN241" s="7"/>
      <c r="AO241" s="7"/>
      <c r="AP241" s="7"/>
      <c r="AQ241" s="7"/>
      <c r="AR241" s="7"/>
      <c r="AS241" s="7"/>
      <c r="AT241" s="7"/>
      <c r="AU241" s="7"/>
      <c r="AV241" s="7"/>
      <c r="AW241" s="4"/>
      <c r="AX241" s="2"/>
      <c r="AY241" s="7"/>
      <c r="AZ241" s="4"/>
      <c r="BA241" s="22">
        <v>113.4</v>
      </c>
      <c r="BB241" s="2"/>
      <c r="BC241" s="2"/>
      <c r="BD241" s="40">
        <v>24.8</v>
      </c>
      <c r="BE241" s="42">
        <v>1004</v>
      </c>
      <c r="BF241" s="43">
        <v>64</v>
      </c>
      <c r="BG241" s="44">
        <v>1.165</v>
      </c>
      <c r="BH241" s="2">
        <v>2096</v>
      </c>
      <c r="BI241" s="2"/>
      <c r="BJ241" s="3" t="s">
        <v>345</v>
      </c>
      <c r="BK241"/>
      <c r="BL241"/>
      <c r="BM241" s="7"/>
      <c r="BR241"/>
    </row>
    <row r="242" spans="1:70" ht="28.5" x14ac:dyDescent="0.45">
      <c r="A242" s="2" t="s">
        <v>43</v>
      </c>
      <c r="B242" s="54" t="s">
        <v>79</v>
      </c>
      <c r="C242" s="3">
        <v>45264</v>
      </c>
      <c r="D242" s="8">
        <v>4</v>
      </c>
      <c r="E242" s="2" t="s">
        <v>213</v>
      </c>
      <c r="F242" s="4" t="s">
        <v>331</v>
      </c>
      <c r="G242" s="4" t="s">
        <v>15</v>
      </c>
      <c r="H242" s="4" t="s">
        <v>223</v>
      </c>
      <c r="I242" s="7">
        <v>0.15329999999999999</v>
      </c>
      <c r="J242" s="7">
        <v>0.15329999999999999</v>
      </c>
      <c r="K242" s="50">
        <v>2.5000000000000001E-3</v>
      </c>
      <c r="L242" s="7">
        <v>0.154</v>
      </c>
      <c r="M242" s="7">
        <v>0.15160000000000001</v>
      </c>
      <c r="N242" s="7">
        <v>-0.6</v>
      </c>
      <c r="O242" s="4"/>
      <c r="P242" s="7">
        <v>1.2395</v>
      </c>
      <c r="T242" s="7">
        <v>61.6</v>
      </c>
      <c r="U242" s="7">
        <v>469</v>
      </c>
      <c r="V242" s="7">
        <v>753.8</v>
      </c>
      <c r="W242" s="4" t="s">
        <v>48</v>
      </c>
      <c r="X242" s="4"/>
      <c r="Y242" s="4"/>
      <c r="Z242" s="7"/>
      <c r="AA242" s="7"/>
      <c r="AB242" s="7"/>
      <c r="AC242" s="7"/>
      <c r="AD242" s="7"/>
      <c r="AE242" s="7"/>
      <c r="AF242" s="7"/>
      <c r="AG242" s="7"/>
      <c r="AH242" s="7"/>
      <c r="AI242" s="7"/>
      <c r="AJ242" s="7"/>
      <c r="AK242" s="7"/>
      <c r="AL242" s="7"/>
      <c r="AM242" s="7"/>
      <c r="AN242" s="7"/>
      <c r="AO242" s="7"/>
      <c r="AP242" s="7"/>
      <c r="AQ242" s="7"/>
      <c r="AR242" s="7"/>
      <c r="AS242" s="7"/>
      <c r="AT242" s="7"/>
      <c r="AU242" s="7"/>
      <c r="AV242" s="7"/>
      <c r="AW242" s="4"/>
      <c r="AX242" s="2"/>
      <c r="AY242" s="7"/>
      <c r="AZ242" s="4"/>
      <c r="BA242" s="22">
        <v>113.4</v>
      </c>
      <c r="BB242" s="2"/>
      <c r="BC242" s="2"/>
      <c r="BD242" s="40">
        <v>25</v>
      </c>
      <c r="BE242" s="42">
        <v>1004</v>
      </c>
      <c r="BF242" s="43">
        <v>62</v>
      </c>
      <c r="BG242" s="44">
        <v>1.165</v>
      </c>
      <c r="BH242" s="2">
        <v>2096</v>
      </c>
      <c r="BI242" s="2"/>
      <c r="BJ242" s="3" t="s">
        <v>346</v>
      </c>
      <c r="BK242"/>
      <c r="BL242"/>
      <c r="BM242" s="7"/>
      <c r="BR242"/>
    </row>
    <row r="243" spans="1:70" ht="28.5" x14ac:dyDescent="0.45">
      <c r="A243" s="2" t="s">
        <v>43</v>
      </c>
      <c r="B243" s="54" t="s">
        <v>79</v>
      </c>
      <c r="C243" s="3">
        <v>45264</v>
      </c>
      <c r="D243" s="8">
        <v>5</v>
      </c>
      <c r="E243" s="2" t="s">
        <v>213</v>
      </c>
      <c r="F243" s="4" t="s">
        <v>331</v>
      </c>
      <c r="G243" s="4" t="s">
        <v>578</v>
      </c>
      <c r="H243" s="4" t="s">
        <v>223</v>
      </c>
      <c r="I243" s="7">
        <v>0.15260000000000001</v>
      </c>
      <c r="J243" s="7">
        <v>0.15260000000000001</v>
      </c>
      <c r="K243" s="50">
        <v>4.0000000000000001E-3</v>
      </c>
      <c r="L243" s="7">
        <v>0.155</v>
      </c>
      <c r="M243" s="7">
        <v>0.15010000000000001</v>
      </c>
      <c r="N243" s="7">
        <v>-0.64</v>
      </c>
      <c r="O243" s="4"/>
      <c r="P243" s="7">
        <v>1.2395</v>
      </c>
      <c r="T243" s="7">
        <v>61.1</v>
      </c>
      <c r="U243" s="7">
        <v>456</v>
      </c>
      <c r="V243" s="7">
        <v>754</v>
      </c>
      <c r="W243" s="4" t="s">
        <v>48</v>
      </c>
      <c r="X243" s="4"/>
      <c r="Y243" s="4"/>
      <c r="Z243" s="7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  <c r="AN243" s="7"/>
      <c r="AO243" s="7"/>
      <c r="AP243" s="7"/>
      <c r="AQ243" s="7"/>
      <c r="AR243" s="7"/>
      <c r="AS243" s="7"/>
      <c r="AT243" s="7"/>
      <c r="AU243" s="7"/>
      <c r="AV243" s="7"/>
      <c r="AW243" s="4"/>
      <c r="AX243" s="2"/>
      <c r="AY243" s="7"/>
      <c r="AZ243" s="4"/>
      <c r="BA243" s="22">
        <v>113.4</v>
      </c>
      <c r="BB243" s="2"/>
      <c r="BC243" s="2"/>
      <c r="BD243" s="40">
        <v>25</v>
      </c>
      <c r="BE243" s="42">
        <v>1004</v>
      </c>
      <c r="BF243" s="43">
        <v>62</v>
      </c>
      <c r="BG243" s="44">
        <v>1.165</v>
      </c>
      <c r="BH243" s="2">
        <v>2096</v>
      </c>
      <c r="BI243" s="2"/>
      <c r="BJ243" s="3" t="s">
        <v>347</v>
      </c>
      <c r="BK243"/>
      <c r="BL243"/>
      <c r="BM243" s="7"/>
      <c r="BR243"/>
    </row>
    <row r="244" spans="1:70" ht="28.5" x14ac:dyDescent="0.45">
      <c r="A244" s="2" t="s">
        <v>43</v>
      </c>
      <c r="B244" s="54" t="s">
        <v>79</v>
      </c>
      <c r="C244" s="3">
        <v>45264</v>
      </c>
      <c r="D244" s="8">
        <v>6</v>
      </c>
      <c r="E244" s="2" t="s">
        <v>213</v>
      </c>
      <c r="F244" s="4" t="s">
        <v>331</v>
      </c>
      <c r="G244" s="4" t="s">
        <v>333</v>
      </c>
      <c r="H244" s="4" t="s">
        <v>223</v>
      </c>
      <c r="I244" s="7">
        <v>0.1575</v>
      </c>
      <c r="J244" s="7">
        <v>0.1575</v>
      </c>
      <c r="K244" s="50">
        <v>2.8999999999999998E-3</v>
      </c>
      <c r="L244" s="7">
        <v>0.159</v>
      </c>
      <c r="M244" s="7">
        <v>0.15229999999999999</v>
      </c>
      <c r="N244" s="7">
        <v>-0.65</v>
      </c>
      <c r="O244" s="4"/>
      <c r="P244" s="7">
        <v>1.2395</v>
      </c>
      <c r="T244" s="7">
        <v>61</v>
      </c>
      <c r="U244" s="7">
        <v>466</v>
      </c>
      <c r="V244" s="7">
        <v>753.8</v>
      </c>
      <c r="W244" s="4" t="s">
        <v>48</v>
      </c>
      <c r="X244" s="4"/>
      <c r="Y244" s="4"/>
      <c r="Z244" s="7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  <c r="AL244" s="7"/>
      <c r="AM244" s="7"/>
      <c r="AN244" s="7"/>
      <c r="AO244" s="7"/>
      <c r="AP244" s="7"/>
      <c r="AQ244" s="7"/>
      <c r="AR244" s="7"/>
      <c r="AS244" s="7"/>
      <c r="AT244" s="7"/>
      <c r="AU244" s="7"/>
      <c r="AV244" s="7"/>
      <c r="AW244" s="4"/>
      <c r="AX244" s="2"/>
      <c r="AY244" s="7"/>
      <c r="AZ244" s="4"/>
      <c r="BA244" s="22">
        <v>113.4</v>
      </c>
      <c r="BB244" s="2"/>
      <c r="BC244" s="2"/>
      <c r="BD244" s="40">
        <v>25.3</v>
      </c>
      <c r="BE244" s="42">
        <v>1004</v>
      </c>
      <c r="BF244" s="43">
        <v>61</v>
      </c>
      <c r="BG244" s="44">
        <v>1.163</v>
      </c>
      <c r="BH244" s="2">
        <v>2096</v>
      </c>
      <c r="BI244" s="2"/>
      <c r="BJ244" s="3" t="s">
        <v>348</v>
      </c>
      <c r="BK244"/>
      <c r="BL244"/>
      <c r="BM244" s="7"/>
      <c r="BR244"/>
    </row>
    <row r="245" spans="1:70" ht="28.5" x14ac:dyDescent="0.45">
      <c r="A245" s="2" t="s">
        <v>13</v>
      </c>
      <c r="B245" s="54" t="s">
        <v>14</v>
      </c>
      <c r="C245" s="3">
        <v>45267</v>
      </c>
      <c r="D245" s="8">
        <v>1</v>
      </c>
      <c r="E245" s="2" t="s">
        <v>381</v>
      </c>
      <c r="F245" s="39" t="s">
        <v>566</v>
      </c>
      <c r="G245" s="4" t="s">
        <v>578</v>
      </c>
      <c r="H245" s="4" t="s">
        <v>223</v>
      </c>
      <c r="I245" s="7">
        <v>0.1701</v>
      </c>
      <c r="J245" s="7">
        <v>0.1701</v>
      </c>
      <c r="K245" s="50">
        <v>5.4999999999999997E-3</v>
      </c>
      <c r="L245" s="7">
        <v>0.17499999999999999</v>
      </c>
      <c r="M245" s="7">
        <v>0.1736</v>
      </c>
      <c r="N245" s="7">
        <v>-0.45</v>
      </c>
      <c r="O245" s="4"/>
      <c r="P245" s="7">
        <v>1.2084999999999999</v>
      </c>
      <c r="T245" s="7">
        <v>62.9</v>
      </c>
      <c r="U245" s="7">
        <v>567</v>
      </c>
      <c r="V245" s="7">
        <v>755.6</v>
      </c>
      <c r="W245" s="4" t="s">
        <v>77</v>
      </c>
      <c r="X245" s="4"/>
      <c r="Y245" s="4"/>
      <c r="Z245" s="7"/>
      <c r="AA245" s="7"/>
      <c r="AB245" s="7"/>
      <c r="AC245" s="7"/>
      <c r="AD245" s="7"/>
      <c r="AE245" s="7"/>
      <c r="AF245" s="7"/>
      <c r="AG245" s="7"/>
      <c r="AH245" s="7"/>
      <c r="AI245" s="7"/>
      <c r="AJ245" s="7"/>
      <c r="AK245" s="7"/>
      <c r="AL245" s="7"/>
      <c r="AM245" s="7"/>
      <c r="AN245" s="7"/>
      <c r="AO245" s="7"/>
      <c r="AP245" s="7"/>
      <c r="AQ245" s="7"/>
      <c r="AR245" s="7"/>
      <c r="AS245" s="7"/>
      <c r="AT245" s="7"/>
      <c r="AU245" s="7"/>
      <c r="AV245" s="7"/>
      <c r="AW245" s="4"/>
      <c r="AX245" s="2"/>
      <c r="AY245" s="7"/>
      <c r="AZ245" s="4"/>
      <c r="BA245" s="22">
        <v>117</v>
      </c>
      <c r="BB245" s="2"/>
      <c r="BC245" s="2"/>
      <c r="BD245" s="40">
        <v>24.4</v>
      </c>
      <c r="BE245" s="42">
        <v>1006</v>
      </c>
      <c r="BF245" s="43">
        <v>53</v>
      </c>
      <c r="BG245" s="44">
        <v>1.17</v>
      </c>
      <c r="BH245" s="2">
        <v>2096</v>
      </c>
      <c r="BI245" s="2"/>
      <c r="BJ245" s="3" t="s">
        <v>362</v>
      </c>
      <c r="BK245"/>
      <c r="BL245"/>
      <c r="BM245" s="7"/>
      <c r="BR245"/>
    </row>
    <row r="246" spans="1:70" ht="28.5" x14ac:dyDescent="0.45">
      <c r="A246" s="2" t="s">
        <v>13</v>
      </c>
      <c r="B246" s="54" t="s">
        <v>14</v>
      </c>
      <c r="C246" s="3">
        <v>45267</v>
      </c>
      <c r="D246" s="8">
        <v>2</v>
      </c>
      <c r="E246" s="2" t="s">
        <v>554</v>
      </c>
      <c r="F246" s="39" t="s">
        <v>566</v>
      </c>
      <c r="G246" s="4" t="s">
        <v>578</v>
      </c>
      <c r="H246" s="4" t="s">
        <v>223</v>
      </c>
      <c r="I246" s="7">
        <v>0.16889999999999999</v>
      </c>
      <c r="J246" s="7">
        <v>0.16889999999999999</v>
      </c>
      <c r="K246" s="50">
        <v>7.1999999999999998E-3</v>
      </c>
      <c r="L246" s="7">
        <v>0.16800000000000001</v>
      </c>
      <c r="M246" s="7">
        <v>0.16700000000000001</v>
      </c>
      <c r="N246" s="7">
        <v>-0.67</v>
      </c>
      <c r="O246" s="4"/>
      <c r="P246" s="7">
        <v>1.2084999999999999</v>
      </c>
      <c r="T246" s="7">
        <v>63.5</v>
      </c>
      <c r="U246" s="7">
        <v>551</v>
      </c>
      <c r="V246" s="7">
        <v>756.2</v>
      </c>
      <c r="W246" s="4" t="s">
        <v>77</v>
      </c>
      <c r="X246" s="4"/>
      <c r="Y246" s="4"/>
      <c r="Z246" s="7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  <c r="AN246" s="7"/>
      <c r="AO246" s="7"/>
      <c r="AP246" s="7"/>
      <c r="AQ246" s="7"/>
      <c r="AR246" s="7"/>
      <c r="AS246" s="7"/>
      <c r="AT246" s="7"/>
      <c r="AU246" s="7"/>
      <c r="AV246" s="7"/>
      <c r="AW246" s="4"/>
      <c r="AX246" s="2"/>
      <c r="AY246" s="7"/>
      <c r="AZ246" s="4"/>
      <c r="BA246" s="22">
        <v>117</v>
      </c>
      <c r="BB246" s="2"/>
      <c r="BC246" s="2"/>
      <c r="BD246" s="40">
        <v>24.8</v>
      </c>
      <c r="BE246" s="42">
        <v>1005</v>
      </c>
      <c r="BF246" s="43">
        <v>62</v>
      </c>
      <c r="BG246" s="44">
        <v>1.167</v>
      </c>
      <c r="BH246" s="2">
        <v>2096</v>
      </c>
      <c r="BI246" s="2"/>
      <c r="BJ246" s="3" t="s">
        <v>363</v>
      </c>
      <c r="BK246"/>
      <c r="BL246"/>
      <c r="BM246" s="7"/>
      <c r="BR246"/>
    </row>
    <row r="247" spans="1:70" ht="28.5" x14ac:dyDescent="0.45">
      <c r="A247" s="2" t="s">
        <v>13</v>
      </c>
      <c r="B247" s="54" t="s">
        <v>14</v>
      </c>
      <c r="C247" s="3">
        <v>45267</v>
      </c>
      <c r="D247" s="8">
        <v>3</v>
      </c>
      <c r="E247" s="2" t="s">
        <v>545</v>
      </c>
      <c r="F247" s="39" t="s">
        <v>566</v>
      </c>
      <c r="G247" s="4" t="s">
        <v>578</v>
      </c>
      <c r="H247" s="4" t="s">
        <v>223</v>
      </c>
      <c r="I247" s="7">
        <v>0.17419999999999999</v>
      </c>
      <c r="J247" s="7">
        <v>0.17419999999999999</v>
      </c>
      <c r="K247" s="50">
        <v>3.5999999999999999E-3</v>
      </c>
      <c r="L247" s="7"/>
      <c r="M247" s="7">
        <v>0.17100000000000001</v>
      </c>
      <c r="N247" s="7">
        <v>-0.62</v>
      </c>
      <c r="O247" s="4"/>
      <c r="P247" s="7">
        <v>1.2084999999999999</v>
      </c>
      <c r="T247" s="7">
        <v>62.2</v>
      </c>
      <c r="U247" s="7">
        <v>534</v>
      </c>
      <c r="V247" s="7">
        <v>756.2</v>
      </c>
      <c r="W247" s="4" t="s">
        <v>77</v>
      </c>
      <c r="X247" s="4"/>
      <c r="Y247" s="4"/>
      <c r="Z247" s="7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  <c r="AN247" s="7"/>
      <c r="AO247" s="7"/>
      <c r="AP247" s="7"/>
      <c r="AQ247" s="7"/>
      <c r="AR247" s="7"/>
      <c r="AS247" s="7"/>
      <c r="AT247" s="7"/>
      <c r="AU247" s="7"/>
      <c r="AV247" s="7"/>
      <c r="AW247" s="4"/>
      <c r="AX247" s="2"/>
      <c r="AY247" s="7"/>
      <c r="AZ247" s="4"/>
      <c r="BA247" s="22">
        <v>117</v>
      </c>
      <c r="BB247" s="2"/>
      <c r="BC247" s="2"/>
      <c r="BD247" s="40">
        <v>25.1</v>
      </c>
      <c r="BE247" s="42">
        <v>1005</v>
      </c>
      <c r="BF247" s="43">
        <v>51</v>
      </c>
      <c r="BG247" s="44">
        <v>1.167</v>
      </c>
      <c r="BH247" s="2">
        <v>2096</v>
      </c>
      <c r="BI247" s="2"/>
      <c r="BJ247" s="3" t="s">
        <v>364</v>
      </c>
      <c r="BK247"/>
      <c r="BL247"/>
      <c r="BM247" s="7"/>
      <c r="BR247"/>
    </row>
    <row r="248" spans="1:70" ht="28.5" x14ac:dyDescent="0.45">
      <c r="A248" s="2" t="s">
        <v>13</v>
      </c>
      <c r="B248" s="54" t="s">
        <v>14</v>
      </c>
      <c r="C248" s="3">
        <v>45267</v>
      </c>
      <c r="D248" s="8">
        <v>4</v>
      </c>
      <c r="E248" s="2" t="s">
        <v>381</v>
      </c>
      <c r="F248" s="39" t="s">
        <v>566</v>
      </c>
      <c r="G248" s="4" t="s">
        <v>578</v>
      </c>
      <c r="H248" s="4" t="s">
        <v>223</v>
      </c>
      <c r="I248" s="7">
        <v>0.17050000000000001</v>
      </c>
      <c r="J248" s="7">
        <v>0.17050000000000001</v>
      </c>
      <c r="K248" s="50">
        <v>1.8E-3</v>
      </c>
      <c r="L248" s="7">
        <v>0.17399999999999999</v>
      </c>
      <c r="M248" s="7">
        <v>0.17219999999999999</v>
      </c>
      <c r="N248" s="7">
        <v>-0.52</v>
      </c>
      <c r="O248" s="4"/>
      <c r="P248" s="7">
        <v>1.2084999999999999</v>
      </c>
      <c r="T248" s="7">
        <v>63</v>
      </c>
      <c r="U248" s="7">
        <v>560</v>
      </c>
      <c r="V248" s="7">
        <v>756.1</v>
      </c>
      <c r="W248" s="4" t="s">
        <v>77</v>
      </c>
      <c r="X248" s="4"/>
      <c r="Y248" s="4"/>
      <c r="Z248" s="7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  <c r="AN248" s="7"/>
      <c r="AO248" s="7"/>
      <c r="AP248" s="7"/>
      <c r="AQ248" s="7"/>
      <c r="AR248" s="7"/>
      <c r="AS248" s="7"/>
      <c r="AT248" s="7"/>
      <c r="AU248" s="7"/>
      <c r="AV248" s="7"/>
      <c r="AW248" s="4"/>
      <c r="AX248" s="2"/>
      <c r="AY248" s="7"/>
      <c r="AZ248" s="4"/>
      <c r="BA248" s="22">
        <v>117</v>
      </c>
      <c r="BB248" s="2"/>
      <c r="BC248" s="2"/>
      <c r="BD248" s="40">
        <v>25.9</v>
      </c>
      <c r="BE248" s="42">
        <v>1005</v>
      </c>
      <c r="BF248" s="43">
        <v>56</v>
      </c>
      <c r="BG248" s="44">
        <v>1.1619999999999999</v>
      </c>
      <c r="BH248" s="2">
        <v>2096</v>
      </c>
      <c r="BI248" s="2"/>
      <c r="BJ248" s="3" t="s">
        <v>365</v>
      </c>
      <c r="BK248"/>
      <c r="BL248"/>
      <c r="BM248" s="7"/>
      <c r="BR248"/>
    </row>
    <row r="249" spans="1:70" ht="28.5" x14ac:dyDescent="0.45">
      <c r="A249" s="2" t="s">
        <v>13</v>
      </c>
      <c r="B249" s="54" t="s">
        <v>14</v>
      </c>
      <c r="C249" s="3">
        <v>45267</v>
      </c>
      <c r="D249" s="8">
        <v>5</v>
      </c>
      <c r="E249" s="2" t="s">
        <v>554</v>
      </c>
      <c r="F249" s="39" t="s">
        <v>566</v>
      </c>
      <c r="G249" s="4" t="s">
        <v>578</v>
      </c>
      <c r="H249" s="4" t="s">
        <v>223</v>
      </c>
      <c r="I249" s="7">
        <v>0.16739999999999999</v>
      </c>
      <c r="J249" s="7">
        <v>0.16739999999999999</v>
      </c>
      <c r="K249" s="50">
        <v>5.5999999999999999E-3</v>
      </c>
      <c r="L249" s="7">
        <v>0.17199999999999999</v>
      </c>
      <c r="M249" s="7">
        <v>0.1663</v>
      </c>
      <c r="N249" s="7">
        <v>-0.69</v>
      </c>
      <c r="O249" s="4"/>
      <c r="P249" s="7">
        <v>1.2084999999999999</v>
      </c>
      <c r="T249" s="7">
        <v>63.7</v>
      </c>
      <c r="U249" s="7">
        <v>581</v>
      </c>
      <c r="V249" s="7">
        <v>756.6</v>
      </c>
      <c r="W249" s="4" t="s">
        <v>77</v>
      </c>
      <c r="X249" s="4"/>
      <c r="Y249" s="4"/>
      <c r="Z249" s="7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  <c r="AN249" s="7"/>
      <c r="AO249" s="7"/>
      <c r="AP249" s="7"/>
      <c r="AQ249" s="7"/>
      <c r="AR249" s="7"/>
      <c r="AS249" s="7"/>
      <c r="AT249" s="7"/>
      <c r="AU249" s="7"/>
      <c r="AV249" s="7"/>
      <c r="AW249" s="4"/>
      <c r="AX249" s="2"/>
      <c r="AY249" s="7"/>
      <c r="AZ249" s="4"/>
      <c r="BA249" s="22">
        <v>117</v>
      </c>
      <c r="BB249" s="2"/>
      <c r="BC249" s="2"/>
      <c r="BD249" s="40">
        <v>25.9</v>
      </c>
      <c r="BE249" s="42">
        <v>1005</v>
      </c>
      <c r="BF249" s="43">
        <v>56</v>
      </c>
      <c r="BG249" s="44">
        <v>1.1619999999999999</v>
      </c>
      <c r="BH249" s="2">
        <v>2096</v>
      </c>
      <c r="BI249" s="2"/>
      <c r="BJ249" s="3" t="s">
        <v>366</v>
      </c>
      <c r="BK249"/>
      <c r="BL249"/>
      <c r="BM249" s="7"/>
      <c r="BR249"/>
    </row>
    <row r="250" spans="1:70" ht="28.5" x14ac:dyDescent="0.45">
      <c r="A250" s="2" t="s">
        <v>13</v>
      </c>
      <c r="B250" s="54" t="s">
        <v>14</v>
      </c>
      <c r="C250" s="3">
        <v>45267</v>
      </c>
      <c r="D250" s="8">
        <v>6</v>
      </c>
      <c r="E250" s="2" t="s">
        <v>545</v>
      </c>
      <c r="F250" s="39" t="s">
        <v>566</v>
      </c>
      <c r="G250" s="4" t="s">
        <v>578</v>
      </c>
      <c r="H250" s="4" t="s">
        <v>223</v>
      </c>
      <c r="I250" s="7">
        <v>0.17069999999999999</v>
      </c>
      <c r="J250" s="7">
        <v>0.17069999999999999</v>
      </c>
      <c r="K250" s="50">
        <v>2.2000000000000001E-3</v>
      </c>
      <c r="L250" s="7">
        <v>0.17399999999999999</v>
      </c>
      <c r="M250" s="7">
        <v>0.1699</v>
      </c>
      <c r="N250" s="7">
        <v>-0.62</v>
      </c>
      <c r="O250" s="4"/>
      <c r="P250" s="7">
        <v>1.2084999999999999</v>
      </c>
      <c r="T250" s="7">
        <v>63.7</v>
      </c>
      <c r="U250" s="7">
        <v>558</v>
      </c>
      <c r="V250" s="7">
        <v>756.5</v>
      </c>
      <c r="W250" s="4" t="s">
        <v>77</v>
      </c>
      <c r="X250" s="4"/>
      <c r="Y250" s="4"/>
      <c r="Z250" s="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  <c r="AN250" s="7"/>
      <c r="AO250" s="7"/>
      <c r="AP250" s="7"/>
      <c r="AQ250" s="7"/>
      <c r="AR250" s="7"/>
      <c r="AS250" s="7"/>
      <c r="AT250" s="7"/>
      <c r="AU250" s="7"/>
      <c r="AV250" s="7"/>
      <c r="AW250" s="4"/>
      <c r="AX250" s="2"/>
      <c r="AY250" s="7"/>
      <c r="AZ250" s="4"/>
      <c r="BA250" s="22">
        <v>117</v>
      </c>
      <c r="BB250" s="2"/>
      <c r="BC250" s="2"/>
      <c r="BD250" s="40">
        <v>26.4</v>
      </c>
      <c r="BE250" s="42">
        <v>1005</v>
      </c>
      <c r="BF250" s="43">
        <v>48</v>
      </c>
      <c r="BG250" s="44">
        <v>1.1619999999999999</v>
      </c>
      <c r="BH250" s="2">
        <v>2096</v>
      </c>
      <c r="BI250" s="2"/>
      <c r="BJ250" s="3" t="s">
        <v>355</v>
      </c>
      <c r="BK250"/>
      <c r="BL250"/>
      <c r="BM250" s="7"/>
      <c r="BR250"/>
    </row>
    <row r="251" spans="1:70" ht="28.5" x14ac:dyDescent="0.45">
      <c r="A251" s="2" t="s">
        <v>43</v>
      </c>
      <c r="B251" s="54" t="s">
        <v>44</v>
      </c>
      <c r="C251" s="3">
        <v>45267</v>
      </c>
      <c r="D251" s="8">
        <v>1</v>
      </c>
      <c r="E251" s="2" t="s">
        <v>353</v>
      </c>
      <c r="F251" s="4" t="s">
        <v>329</v>
      </c>
      <c r="G251" s="4" t="s">
        <v>15</v>
      </c>
      <c r="H251" s="4" t="s">
        <v>330</v>
      </c>
      <c r="I251" s="7">
        <v>0.16600000000000001</v>
      </c>
      <c r="J251" s="7">
        <v>0.16600000000000001</v>
      </c>
      <c r="K251" s="50">
        <v>1.6999999999999999E-3</v>
      </c>
      <c r="L251" s="7">
        <v>0.16</v>
      </c>
      <c r="M251" s="7">
        <v>0.16489999999999999</v>
      </c>
      <c r="N251" s="7">
        <v>-0.39</v>
      </c>
      <c r="O251" s="4"/>
      <c r="P251" s="7">
        <v>1.2905</v>
      </c>
      <c r="T251" s="7">
        <v>60.8</v>
      </c>
      <c r="U251" s="7">
        <v>475</v>
      </c>
      <c r="V251" s="7">
        <v>755.5</v>
      </c>
      <c r="W251" s="4" t="s">
        <v>77</v>
      </c>
      <c r="X251" s="4"/>
      <c r="Y251" s="4"/>
      <c r="Z251" s="7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  <c r="AN251" s="7"/>
      <c r="AO251" s="7"/>
      <c r="AP251" s="7"/>
      <c r="AQ251" s="7"/>
      <c r="AR251" s="7"/>
      <c r="AS251" s="7"/>
      <c r="AT251" s="7"/>
      <c r="AU251" s="7"/>
      <c r="AV251" s="7"/>
      <c r="AW251" s="4"/>
      <c r="AX251" s="2"/>
      <c r="AY251" s="7"/>
      <c r="AZ251" s="4"/>
      <c r="BA251" s="22">
        <v>111.6</v>
      </c>
      <c r="BB251" s="2"/>
      <c r="BC251" s="2"/>
      <c r="BD251" s="40">
        <v>24.4</v>
      </c>
      <c r="BE251" s="42">
        <v>1006</v>
      </c>
      <c r="BF251" s="43">
        <v>53</v>
      </c>
      <c r="BG251" s="44">
        <v>1.171</v>
      </c>
      <c r="BH251" s="2">
        <v>2096</v>
      </c>
      <c r="BI251" s="2"/>
      <c r="BJ251" s="3" t="s">
        <v>356</v>
      </c>
      <c r="BK251"/>
      <c r="BL251"/>
      <c r="BM251" s="7"/>
      <c r="BR251"/>
    </row>
    <row r="252" spans="1:70" ht="28.5" x14ac:dyDescent="0.45">
      <c r="A252" s="2" t="s">
        <v>43</v>
      </c>
      <c r="B252" s="54" t="s">
        <v>44</v>
      </c>
      <c r="C252" s="3">
        <v>45267</v>
      </c>
      <c r="D252" s="8">
        <v>2</v>
      </c>
      <c r="E252" s="2" t="s">
        <v>551</v>
      </c>
      <c r="F252" s="4" t="s">
        <v>329</v>
      </c>
      <c r="G252" s="4" t="s">
        <v>15</v>
      </c>
      <c r="H252" s="4" t="s">
        <v>330</v>
      </c>
      <c r="I252" s="7">
        <v>0.16</v>
      </c>
      <c r="J252" s="7">
        <v>0.16</v>
      </c>
      <c r="K252" s="50">
        <v>1.5E-3</v>
      </c>
      <c r="L252" s="7">
        <v>0.159</v>
      </c>
      <c r="M252" s="7">
        <v>0.16139999999999999</v>
      </c>
      <c r="N252" s="7">
        <v>-0.43</v>
      </c>
      <c r="O252" s="4"/>
      <c r="P252" s="7">
        <v>1.2905</v>
      </c>
      <c r="T252" s="7">
        <v>61.2</v>
      </c>
      <c r="U252" s="7">
        <v>487</v>
      </c>
      <c r="V252" s="7">
        <v>755.3</v>
      </c>
      <c r="W252" s="4" t="s">
        <v>77</v>
      </c>
      <c r="X252" s="4"/>
      <c r="Y252" s="4"/>
      <c r="Z252" s="7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  <c r="AN252" s="7"/>
      <c r="AO252" s="7"/>
      <c r="AP252" s="7"/>
      <c r="AQ252" s="7"/>
      <c r="AR252" s="7"/>
      <c r="AS252" s="7"/>
      <c r="AT252" s="7"/>
      <c r="AU252" s="7"/>
      <c r="AV252" s="7"/>
      <c r="AW252" s="4"/>
      <c r="AX252" s="2"/>
      <c r="AY252" s="7"/>
      <c r="AZ252" s="4"/>
      <c r="BA252" s="22">
        <v>111.6</v>
      </c>
      <c r="BB252" s="2"/>
      <c r="BC252" s="2"/>
      <c r="BD252" s="40">
        <v>24.4</v>
      </c>
      <c r="BE252" s="42">
        <v>1006</v>
      </c>
      <c r="BF252" s="43">
        <v>53</v>
      </c>
      <c r="BG252" s="44">
        <v>1.17</v>
      </c>
      <c r="BH252" s="2">
        <v>2096</v>
      </c>
      <c r="BI252" s="2"/>
      <c r="BJ252" s="3" t="s">
        <v>357</v>
      </c>
      <c r="BK252"/>
      <c r="BL252"/>
      <c r="BM252" s="7"/>
      <c r="BR252"/>
    </row>
    <row r="253" spans="1:70" ht="28.5" x14ac:dyDescent="0.45">
      <c r="A253" s="2" t="s">
        <v>43</v>
      </c>
      <c r="B253" s="54" t="s">
        <v>44</v>
      </c>
      <c r="C253" s="3">
        <v>45267</v>
      </c>
      <c r="D253" s="8">
        <v>3</v>
      </c>
      <c r="E253" s="2" t="s">
        <v>552</v>
      </c>
      <c r="F253" s="4" t="s">
        <v>329</v>
      </c>
      <c r="G253" s="4" t="s">
        <v>15</v>
      </c>
      <c r="H253" s="4" t="s">
        <v>330</v>
      </c>
      <c r="I253" s="7">
        <v>0.1636</v>
      </c>
      <c r="J253" s="7">
        <v>0.1636</v>
      </c>
      <c r="K253" s="50">
        <v>8.9999999999999998E-4</v>
      </c>
      <c r="L253" s="7">
        <v>0.16300000000000001</v>
      </c>
      <c r="M253" s="7">
        <v>0.16200000000000001</v>
      </c>
      <c r="N253" s="7">
        <v>-0.45</v>
      </c>
      <c r="O253" s="4"/>
      <c r="P253" s="7">
        <v>1.2905</v>
      </c>
      <c r="T253" s="7">
        <v>61.8</v>
      </c>
      <c r="U253" s="7">
        <v>497</v>
      </c>
      <c r="V253" s="7">
        <v>756</v>
      </c>
      <c r="W253" s="4" t="s">
        <v>77</v>
      </c>
      <c r="X253" s="4"/>
      <c r="Y253" s="4"/>
      <c r="Z253" s="7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  <c r="AM253" s="7"/>
      <c r="AN253" s="7"/>
      <c r="AO253" s="7"/>
      <c r="AP253" s="7"/>
      <c r="AQ253" s="7"/>
      <c r="AR253" s="7"/>
      <c r="AS253" s="7"/>
      <c r="AT253" s="7"/>
      <c r="AU253" s="7"/>
      <c r="AV253" s="7"/>
      <c r="AW253" s="4"/>
      <c r="AX253" s="2"/>
      <c r="AY253" s="7"/>
      <c r="AZ253" s="4"/>
      <c r="BA253" s="22">
        <v>111.6</v>
      </c>
      <c r="BB253" s="2"/>
      <c r="BC253" s="2"/>
      <c r="BD253" s="40">
        <v>25.1</v>
      </c>
      <c r="BE253" s="42">
        <v>1005</v>
      </c>
      <c r="BF253" s="43">
        <v>51</v>
      </c>
      <c r="BG253" s="44">
        <v>1.167</v>
      </c>
      <c r="BH253" s="2">
        <v>2096</v>
      </c>
      <c r="BI253" s="2"/>
      <c r="BJ253" s="3" t="s">
        <v>358</v>
      </c>
      <c r="BK253"/>
      <c r="BL253"/>
      <c r="BM253" s="7"/>
      <c r="BR253"/>
    </row>
    <row r="254" spans="1:70" ht="28.5" x14ac:dyDescent="0.45">
      <c r="A254" s="2" t="s">
        <v>43</v>
      </c>
      <c r="B254" s="54" t="s">
        <v>44</v>
      </c>
      <c r="C254" s="3">
        <v>45267</v>
      </c>
      <c r="D254" s="8">
        <v>4</v>
      </c>
      <c r="E254" s="2" t="s">
        <v>353</v>
      </c>
      <c r="F254" s="4" t="s">
        <v>329</v>
      </c>
      <c r="G254" s="4" t="s">
        <v>15</v>
      </c>
      <c r="H254" s="4" t="s">
        <v>330</v>
      </c>
      <c r="I254" s="7">
        <v>0.1696</v>
      </c>
      <c r="J254" s="7">
        <v>0.1696</v>
      </c>
      <c r="K254" s="50">
        <v>1.4E-3</v>
      </c>
      <c r="L254" s="7">
        <v>0.16500000000000001</v>
      </c>
      <c r="M254" s="7">
        <v>0.16719999999999999</v>
      </c>
      <c r="N254" s="7">
        <v>-0.56000000000000005</v>
      </c>
      <c r="O254" s="4"/>
      <c r="P254" s="7">
        <v>1.2905</v>
      </c>
      <c r="T254" s="7">
        <v>61.4</v>
      </c>
      <c r="U254" s="7">
        <v>492</v>
      </c>
      <c r="V254" s="7">
        <v>756.1</v>
      </c>
      <c r="W254" s="4" t="s">
        <v>77</v>
      </c>
      <c r="X254" s="4"/>
      <c r="Y254" s="4"/>
      <c r="Z254" s="7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  <c r="AN254" s="7"/>
      <c r="AO254" s="7"/>
      <c r="AP254" s="7"/>
      <c r="AQ254" s="7"/>
      <c r="AR254" s="7"/>
      <c r="AS254" s="7"/>
      <c r="AT254" s="7"/>
      <c r="AU254" s="7"/>
      <c r="AV254" s="7"/>
      <c r="AW254" s="4"/>
      <c r="AX254" s="2"/>
      <c r="AY254" s="7"/>
      <c r="AZ254" s="4"/>
      <c r="BA254" s="22">
        <v>111.6</v>
      </c>
      <c r="BB254" s="2"/>
      <c r="BC254" s="2"/>
      <c r="BD254" s="40">
        <v>25.7</v>
      </c>
      <c r="BE254" s="42">
        <v>1005</v>
      </c>
      <c r="BF254" s="43">
        <v>61</v>
      </c>
      <c r="BG254" s="44">
        <v>1.163</v>
      </c>
      <c r="BH254" s="2">
        <v>2096</v>
      </c>
      <c r="BI254" s="2"/>
      <c r="BJ254" s="3" t="s">
        <v>359</v>
      </c>
      <c r="BK254"/>
      <c r="BL254"/>
      <c r="BM254" s="7"/>
      <c r="BR254"/>
    </row>
    <row r="255" spans="1:70" ht="28.5" x14ac:dyDescent="0.45">
      <c r="A255" s="2" t="s">
        <v>43</v>
      </c>
      <c r="B255" s="54" t="s">
        <v>44</v>
      </c>
      <c r="C255" s="3">
        <v>45267</v>
      </c>
      <c r="D255" s="8">
        <v>5</v>
      </c>
      <c r="E255" s="2" t="s">
        <v>551</v>
      </c>
      <c r="F255" s="4" t="s">
        <v>329</v>
      </c>
      <c r="G255" s="4" t="s">
        <v>15</v>
      </c>
      <c r="H255" s="4" t="s">
        <v>330</v>
      </c>
      <c r="I255" s="7">
        <v>0.1605</v>
      </c>
      <c r="J255" s="7">
        <v>0.1605</v>
      </c>
      <c r="K255" s="50">
        <v>2E-3</v>
      </c>
      <c r="L255" s="7"/>
      <c r="M255" s="7">
        <v>0.16109999999999999</v>
      </c>
      <c r="N255" s="7">
        <v>-0.52</v>
      </c>
      <c r="O255" s="4"/>
      <c r="P255" s="7">
        <v>1.2905</v>
      </c>
      <c r="T255" s="7">
        <v>62.3</v>
      </c>
      <c r="U255" s="7">
        <v>506</v>
      </c>
      <c r="V255" s="7">
        <v>756</v>
      </c>
      <c r="W255" s="4" t="s">
        <v>77</v>
      </c>
      <c r="X255" s="4"/>
      <c r="Y255" s="4"/>
      <c r="Z255" s="7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  <c r="AN255" s="7"/>
      <c r="AO255" s="7"/>
      <c r="AP255" s="7"/>
      <c r="AQ255" s="7"/>
      <c r="AR255" s="7"/>
      <c r="AS255" s="7"/>
      <c r="AT255" s="7"/>
      <c r="AU255" s="7"/>
      <c r="AV255" s="7"/>
      <c r="AW255" s="4"/>
      <c r="AX255" s="2"/>
      <c r="AY255" s="7"/>
      <c r="AZ255" s="4"/>
      <c r="BA255" s="22">
        <v>111.6</v>
      </c>
      <c r="BB255" s="2"/>
      <c r="BC255" s="2"/>
      <c r="BD255" s="40">
        <v>25.9</v>
      </c>
      <c r="BE255" s="42">
        <v>1005</v>
      </c>
      <c r="BF255" s="43">
        <v>56</v>
      </c>
      <c r="BG255" s="44">
        <v>1.1619999999999999</v>
      </c>
      <c r="BH255" s="2">
        <v>2096</v>
      </c>
      <c r="BI255" s="2"/>
      <c r="BJ255" s="3" t="s">
        <v>360</v>
      </c>
      <c r="BK255"/>
      <c r="BL255"/>
      <c r="BM255" s="7"/>
      <c r="BR255"/>
    </row>
    <row r="256" spans="1:70" ht="28.5" x14ac:dyDescent="0.45">
      <c r="A256" s="2" t="s">
        <v>43</v>
      </c>
      <c r="B256" s="54" t="s">
        <v>44</v>
      </c>
      <c r="C256" s="3">
        <v>45267</v>
      </c>
      <c r="D256" s="8">
        <v>6</v>
      </c>
      <c r="E256" s="2" t="s">
        <v>552</v>
      </c>
      <c r="F256" s="4" t="s">
        <v>329</v>
      </c>
      <c r="G256" s="4" t="s">
        <v>15</v>
      </c>
      <c r="H256" s="4" t="s">
        <v>330</v>
      </c>
      <c r="I256" s="7">
        <v>0.16189999999999999</v>
      </c>
      <c r="J256" s="7">
        <v>0.16189999999999999</v>
      </c>
      <c r="K256" s="50">
        <v>2.7000000000000001E-3</v>
      </c>
      <c r="L256" s="7"/>
      <c r="M256" s="7">
        <v>0.16139999999999999</v>
      </c>
      <c r="N256" s="7">
        <v>-0.45</v>
      </c>
      <c r="O256" s="4"/>
      <c r="P256" s="7">
        <v>1.2905</v>
      </c>
      <c r="T256" s="7">
        <v>63</v>
      </c>
      <c r="U256" s="7">
        <v>527</v>
      </c>
      <c r="V256" s="7">
        <v>756.5</v>
      </c>
      <c r="W256" s="4" t="s">
        <v>77</v>
      </c>
      <c r="X256" s="4"/>
      <c r="Y256" s="4"/>
      <c r="Z256" s="7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  <c r="AN256" s="7"/>
      <c r="AO256" s="7"/>
      <c r="AP256" s="7"/>
      <c r="AQ256" s="7"/>
      <c r="AR256" s="7"/>
      <c r="AS256" s="7"/>
      <c r="AT256" s="7"/>
      <c r="AU256" s="7"/>
      <c r="AV256" s="7"/>
      <c r="AW256" s="4"/>
      <c r="AX256" s="2"/>
      <c r="AY256" s="7"/>
      <c r="AZ256" s="4"/>
      <c r="BA256" s="22">
        <v>111.6</v>
      </c>
      <c r="BB256" s="2"/>
      <c r="BC256" s="2"/>
      <c r="BD256" s="40">
        <v>26.4</v>
      </c>
      <c r="BE256" s="42">
        <v>1005</v>
      </c>
      <c r="BF256" s="43">
        <v>48</v>
      </c>
      <c r="BG256" s="44">
        <v>1.1619999999999999</v>
      </c>
      <c r="BH256" s="2">
        <v>2096</v>
      </c>
      <c r="BI256" s="2"/>
      <c r="BJ256" s="3" t="s">
        <v>361</v>
      </c>
      <c r="BK256"/>
      <c r="BL256"/>
      <c r="BM256" s="7"/>
      <c r="BR256"/>
    </row>
    <row r="257" spans="1:70" ht="28.5" x14ac:dyDescent="0.45">
      <c r="A257" s="2" t="s">
        <v>43</v>
      </c>
      <c r="B257" s="54" t="s">
        <v>99</v>
      </c>
      <c r="C257" s="3">
        <v>45267</v>
      </c>
      <c r="D257" s="8">
        <v>1</v>
      </c>
      <c r="E257" s="2" t="s">
        <v>353</v>
      </c>
      <c r="F257" s="4" t="s">
        <v>332</v>
      </c>
      <c r="G257" s="4" t="s">
        <v>15</v>
      </c>
      <c r="H257" s="4" t="s">
        <v>330</v>
      </c>
      <c r="I257" s="7">
        <v>0.18</v>
      </c>
      <c r="J257" s="7">
        <v>0.18</v>
      </c>
      <c r="K257" s="50">
        <v>6.0000000000000001E-3</v>
      </c>
      <c r="L257" s="7">
        <v>0.17299999999999999</v>
      </c>
      <c r="M257" s="7">
        <v>0.17480000000000001</v>
      </c>
      <c r="N257" s="7">
        <v>-0.6</v>
      </c>
      <c r="O257" s="4"/>
      <c r="P257" s="7">
        <v>1.2655000000000001</v>
      </c>
      <c r="T257" s="7">
        <v>59.4</v>
      </c>
      <c r="U257" s="7">
        <v>480</v>
      </c>
      <c r="V257" s="7">
        <v>755.4</v>
      </c>
      <c r="W257" s="4" t="s">
        <v>48</v>
      </c>
      <c r="X257" s="4"/>
      <c r="Y257" s="4"/>
      <c r="Z257" s="7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  <c r="AN257" s="7"/>
      <c r="AO257" s="7"/>
      <c r="AP257" s="7"/>
      <c r="AQ257" s="7"/>
      <c r="AR257" s="7"/>
      <c r="AS257" s="7"/>
      <c r="AT257" s="7"/>
      <c r="AU257" s="7"/>
      <c r="AV257" s="7"/>
      <c r="AW257" s="4"/>
      <c r="AX257" s="2"/>
      <c r="AY257" s="7"/>
      <c r="AZ257" s="4"/>
      <c r="BA257" s="22">
        <v>111.6</v>
      </c>
      <c r="BB257" s="2"/>
      <c r="BC257" s="2"/>
      <c r="BD257" s="40">
        <v>24.4</v>
      </c>
      <c r="BE257" s="42">
        <v>1006</v>
      </c>
      <c r="BF257" s="43">
        <v>53</v>
      </c>
      <c r="BG257" s="44">
        <v>1.171</v>
      </c>
      <c r="BH257" s="2">
        <v>2096</v>
      </c>
      <c r="BI257" s="2"/>
      <c r="BJ257" s="3" t="s">
        <v>375</v>
      </c>
      <c r="BK257"/>
      <c r="BL257"/>
      <c r="BM257" s="7"/>
      <c r="BR257"/>
    </row>
    <row r="258" spans="1:70" ht="28.5" x14ac:dyDescent="0.45">
      <c r="A258" s="2" t="s">
        <v>43</v>
      </c>
      <c r="B258" s="54" t="s">
        <v>99</v>
      </c>
      <c r="C258" s="3">
        <v>45267</v>
      </c>
      <c r="D258" s="8">
        <v>2</v>
      </c>
      <c r="E258" s="2" t="s">
        <v>213</v>
      </c>
      <c r="F258" s="4" t="s">
        <v>332</v>
      </c>
      <c r="G258" s="4" t="s">
        <v>15</v>
      </c>
      <c r="H258" s="4" t="s">
        <v>330</v>
      </c>
      <c r="I258" s="7">
        <v>0.17219999999999999</v>
      </c>
      <c r="J258" s="7">
        <v>0.17219999999999999</v>
      </c>
      <c r="K258" s="50">
        <v>2.7000000000000001E-3</v>
      </c>
      <c r="L258" s="7">
        <v>0.17100000000000001</v>
      </c>
      <c r="M258" s="7">
        <v>0.16839999999999999</v>
      </c>
      <c r="N258" s="7">
        <v>-0.68</v>
      </c>
      <c r="O258" s="4"/>
      <c r="P258" s="7">
        <v>1.2655000000000001</v>
      </c>
      <c r="T258" s="7">
        <v>57.9</v>
      </c>
      <c r="U258" s="7">
        <v>434</v>
      </c>
      <c r="V258" s="7">
        <v>757.7</v>
      </c>
      <c r="W258" s="4" t="s">
        <v>48</v>
      </c>
      <c r="X258" s="4"/>
      <c r="Y258" s="4"/>
      <c r="Z258" s="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  <c r="AN258" s="7"/>
      <c r="AO258" s="7"/>
      <c r="AP258" s="7"/>
      <c r="AQ258" s="7"/>
      <c r="AR258" s="7"/>
      <c r="AS258" s="7"/>
      <c r="AT258" s="7"/>
      <c r="AU258" s="7"/>
      <c r="AV258" s="7"/>
      <c r="AW258" s="4"/>
      <c r="AX258" s="2"/>
      <c r="AY258" s="7"/>
      <c r="AZ258" s="4"/>
      <c r="BA258" s="22">
        <v>111.6</v>
      </c>
      <c r="BB258" s="2"/>
      <c r="BC258" s="2"/>
      <c r="BD258" s="40">
        <v>24.8</v>
      </c>
      <c r="BE258" s="42">
        <v>1005</v>
      </c>
      <c r="BF258" s="43">
        <v>62</v>
      </c>
      <c r="BG258" s="44">
        <v>1.167</v>
      </c>
      <c r="BH258" s="2">
        <v>2096</v>
      </c>
      <c r="BI258" s="2"/>
      <c r="BJ258" s="3" t="s">
        <v>376</v>
      </c>
      <c r="BK258"/>
      <c r="BL258"/>
      <c r="BM258" s="7"/>
      <c r="BR258"/>
    </row>
    <row r="259" spans="1:70" ht="28.5" x14ac:dyDescent="0.45">
      <c r="A259" s="2" t="s">
        <v>43</v>
      </c>
      <c r="B259" s="54" t="s">
        <v>99</v>
      </c>
      <c r="C259" s="3">
        <v>45267</v>
      </c>
      <c r="D259" s="8">
        <v>3</v>
      </c>
      <c r="E259" s="2" t="s">
        <v>550</v>
      </c>
      <c r="F259" s="4" t="s">
        <v>332</v>
      </c>
      <c r="G259" s="4" t="s">
        <v>15</v>
      </c>
      <c r="H259" s="4" t="s">
        <v>330</v>
      </c>
      <c r="I259" s="7"/>
      <c r="K259" s="50"/>
      <c r="L259" s="7">
        <v>0.16800000000000001</v>
      </c>
      <c r="M259" s="7">
        <v>0.16789999999999999</v>
      </c>
      <c r="O259" s="4"/>
      <c r="P259" s="7">
        <v>1.2655000000000001</v>
      </c>
      <c r="T259" s="7">
        <v>59.1</v>
      </c>
      <c r="U259" s="7">
        <v>456</v>
      </c>
      <c r="V259" s="7">
        <v>757</v>
      </c>
      <c r="W259" s="4" t="s">
        <v>48</v>
      </c>
      <c r="X259" s="4"/>
      <c r="Y259" s="4"/>
      <c r="Z259" s="7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  <c r="AN259" s="7"/>
      <c r="AO259" s="7"/>
      <c r="AP259" s="7"/>
      <c r="AQ259" s="7"/>
      <c r="AR259" s="7"/>
      <c r="AS259" s="7"/>
      <c r="AT259" s="7"/>
      <c r="AU259" s="7"/>
      <c r="AV259" s="7"/>
      <c r="AW259" s="4"/>
      <c r="AX259" s="2"/>
      <c r="AY259" s="7"/>
      <c r="AZ259" s="4"/>
      <c r="BA259" s="22">
        <v>111.6</v>
      </c>
      <c r="BB259" s="2"/>
      <c r="BC259" s="2"/>
      <c r="BD259" s="40">
        <v>25.1</v>
      </c>
      <c r="BE259" s="42">
        <v>1005</v>
      </c>
      <c r="BF259" s="43">
        <v>51</v>
      </c>
      <c r="BG259" s="44">
        <v>1.167</v>
      </c>
      <c r="BH259" s="2">
        <v>2096</v>
      </c>
      <c r="BI259" s="2"/>
      <c r="BJ259" s="3" t="s">
        <v>377</v>
      </c>
      <c r="BK259"/>
      <c r="BL259"/>
      <c r="BM259" s="7"/>
      <c r="BR259"/>
    </row>
    <row r="260" spans="1:70" ht="28.5" x14ac:dyDescent="0.45">
      <c r="A260" s="2" t="s">
        <v>43</v>
      </c>
      <c r="B260" s="54" t="s">
        <v>99</v>
      </c>
      <c r="C260" s="3">
        <v>45267</v>
      </c>
      <c r="D260" s="8">
        <v>4</v>
      </c>
      <c r="E260" s="2" t="s">
        <v>353</v>
      </c>
      <c r="F260" s="4" t="s">
        <v>332</v>
      </c>
      <c r="G260" s="4" t="s">
        <v>15</v>
      </c>
      <c r="H260" s="4" t="s">
        <v>330</v>
      </c>
      <c r="I260" s="7">
        <v>0.18160000000000001</v>
      </c>
      <c r="J260" s="7">
        <v>0.18160000000000001</v>
      </c>
      <c r="K260" s="50">
        <v>2.3E-3</v>
      </c>
      <c r="L260" s="7"/>
      <c r="M260" s="7">
        <v>0.17519999999999999</v>
      </c>
      <c r="N260" s="7">
        <v>-0.61</v>
      </c>
      <c r="O260" s="4"/>
      <c r="P260" s="7">
        <v>1.2655000000000001</v>
      </c>
      <c r="T260" s="7">
        <v>59.7</v>
      </c>
      <c r="U260" s="7">
        <v>472</v>
      </c>
      <c r="V260" s="7">
        <v>755.7</v>
      </c>
      <c r="W260" s="4" t="s">
        <v>48</v>
      </c>
      <c r="X260" s="4"/>
      <c r="Y260" s="4"/>
      <c r="Z260" s="7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  <c r="AN260" s="7"/>
      <c r="AO260" s="7"/>
      <c r="AP260" s="7"/>
      <c r="AQ260" s="7"/>
      <c r="AR260" s="7"/>
      <c r="AS260" s="7"/>
      <c r="AT260" s="7"/>
      <c r="AU260" s="7"/>
      <c r="AV260" s="7"/>
      <c r="AW260" s="4"/>
      <c r="AX260" s="2"/>
      <c r="AY260" s="7"/>
      <c r="AZ260" s="4"/>
      <c r="BA260" s="22">
        <v>111.6</v>
      </c>
      <c r="BB260" s="2"/>
      <c r="BC260" s="2"/>
      <c r="BD260" s="40">
        <v>25.7</v>
      </c>
      <c r="BE260" s="42">
        <v>1005</v>
      </c>
      <c r="BF260" s="43">
        <v>61</v>
      </c>
      <c r="BG260" s="44">
        <v>1.163</v>
      </c>
      <c r="BH260" s="2">
        <v>2096</v>
      </c>
      <c r="BI260" s="2"/>
      <c r="BJ260" s="3" t="s">
        <v>367</v>
      </c>
      <c r="BK260"/>
      <c r="BL260"/>
      <c r="BM260" s="7"/>
      <c r="BR260"/>
    </row>
    <row r="261" spans="1:70" ht="28.5" x14ac:dyDescent="0.45">
      <c r="A261" s="2" t="s">
        <v>43</v>
      </c>
      <c r="B261" s="54" t="s">
        <v>99</v>
      </c>
      <c r="C261" s="3">
        <v>45267</v>
      </c>
      <c r="D261" s="8">
        <v>5</v>
      </c>
      <c r="E261" s="2" t="s">
        <v>550</v>
      </c>
      <c r="F261" s="4" t="s">
        <v>332</v>
      </c>
      <c r="G261" s="4" t="s">
        <v>15</v>
      </c>
      <c r="H261" s="4" t="s">
        <v>330</v>
      </c>
      <c r="I261" s="7">
        <v>0.17480000000000001</v>
      </c>
      <c r="J261" s="7">
        <v>0.17480000000000001</v>
      </c>
      <c r="K261" s="50">
        <v>3.2000000000000002E-3</v>
      </c>
      <c r="L261" s="7"/>
      <c r="M261" s="7">
        <v>0.1668</v>
      </c>
      <c r="N261" s="7">
        <v>-0.66</v>
      </c>
      <c r="O261" s="4"/>
      <c r="P261" s="7">
        <v>1.2655000000000001</v>
      </c>
      <c r="T261" s="7">
        <v>59.3</v>
      </c>
      <c r="U261" s="7">
        <v>454</v>
      </c>
      <c r="V261" s="7">
        <v>757.2</v>
      </c>
      <c r="W261" s="4" t="s">
        <v>48</v>
      </c>
      <c r="X261" s="4"/>
      <c r="Y261" s="4"/>
      <c r="Z261" s="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  <c r="AN261" s="7"/>
      <c r="AO261" s="7"/>
      <c r="AP261" s="7"/>
      <c r="AQ261" s="7"/>
      <c r="AR261" s="7"/>
      <c r="AS261" s="7"/>
      <c r="AT261" s="7"/>
      <c r="AU261" s="7"/>
      <c r="AV261" s="7"/>
      <c r="AW261" s="4"/>
      <c r="AX261" s="2"/>
      <c r="AY261" s="7"/>
      <c r="AZ261" s="4"/>
      <c r="BA261" s="22">
        <v>111.6</v>
      </c>
      <c r="BB261" s="2"/>
      <c r="BC261" s="2"/>
      <c r="BD261" s="40">
        <v>25.9</v>
      </c>
      <c r="BE261" s="42">
        <v>1005</v>
      </c>
      <c r="BF261" s="43">
        <v>56</v>
      </c>
      <c r="BG261" s="44">
        <v>1.1619999999999999</v>
      </c>
      <c r="BH261" s="2">
        <v>2096</v>
      </c>
      <c r="BI261" s="2"/>
      <c r="BJ261" s="3" t="s">
        <v>368</v>
      </c>
      <c r="BK261"/>
      <c r="BL261"/>
      <c r="BM261" s="7"/>
      <c r="BR261"/>
    </row>
    <row r="262" spans="1:70" ht="28.5" x14ac:dyDescent="0.45">
      <c r="A262" s="2" t="s">
        <v>13</v>
      </c>
      <c r="B262" s="54" t="s">
        <v>28</v>
      </c>
      <c r="C262" s="3">
        <v>45267</v>
      </c>
      <c r="D262" s="8">
        <v>1</v>
      </c>
      <c r="E262" s="2" t="s">
        <v>353</v>
      </c>
      <c r="F262" s="4" t="s">
        <v>354</v>
      </c>
      <c r="G262" s="4" t="s">
        <v>578</v>
      </c>
      <c r="H262" s="4" t="s">
        <v>223</v>
      </c>
      <c r="I262" s="7">
        <v>0.1673</v>
      </c>
      <c r="J262" s="7">
        <v>0.1673</v>
      </c>
      <c r="K262" s="50">
        <v>4.1999999999999997E-3</v>
      </c>
      <c r="L262" s="7">
        <v>0.16700000000000001</v>
      </c>
      <c r="M262" s="7">
        <v>0.16689999999999999</v>
      </c>
      <c r="N262" s="7">
        <v>-0.44</v>
      </c>
      <c r="O262" s="4"/>
      <c r="P262" s="7">
        <v>1.258</v>
      </c>
      <c r="T262" s="7">
        <v>63.4</v>
      </c>
      <c r="U262" s="7">
        <v>553</v>
      </c>
      <c r="V262" s="7">
        <v>754</v>
      </c>
      <c r="W262" s="4" t="s">
        <v>224</v>
      </c>
      <c r="X262" s="4"/>
      <c r="Y262" s="4"/>
      <c r="Z262" s="7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  <c r="AN262" s="7"/>
      <c r="AO262" s="7"/>
      <c r="AP262" s="7"/>
      <c r="AQ262" s="7"/>
      <c r="AR262" s="7"/>
      <c r="AS262" s="7"/>
      <c r="AT262" s="7"/>
      <c r="AU262" s="7"/>
      <c r="AV262" s="7"/>
      <c r="AW262" s="4"/>
      <c r="AX262" s="2"/>
      <c r="AY262" s="7"/>
      <c r="AZ262" s="4"/>
      <c r="BA262" s="22">
        <v>117</v>
      </c>
      <c r="BB262" s="2"/>
      <c r="BC262" s="2"/>
      <c r="BD262" s="40">
        <v>24.4</v>
      </c>
      <c r="BE262" s="42">
        <v>1006</v>
      </c>
      <c r="BF262" s="43">
        <v>53</v>
      </c>
      <c r="BG262" s="44">
        <v>1.171</v>
      </c>
      <c r="BH262" s="2">
        <v>2096</v>
      </c>
      <c r="BI262" s="2"/>
      <c r="BJ262" s="3" t="s">
        <v>369</v>
      </c>
      <c r="BK262"/>
      <c r="BL262"/>
      <c r="BM262" s="7"/>
      <c r="BR262"/>
    </row>
    <row r="263" spans="1:70" ht="28.5" x14ac:dyDescent="0.45">
      <c r="A263" s="2" t="s">
        <v>13</v>
      </c>
      <c r="B263" s="54" t="s">
        <v>28</v>
      </c>
      <c r="C263" s="3">
        <v>45267</v>
      </c>
      <c r="D263" s="8">
        <v>2</v>
      </c>
      <c r="E263" s="2" t="s">
        <v>551</v>
      </c>
      <c r="F263" s="4" t="s">
        <v>354</v>
      </c>
      <c r="G263" s="4" t="s">
        <v>578</v>
      </c>
      <c r="H263" s="4" t="s">
        <v>223</v>
      </c>
      <c r="I263" s="7">
        <v>0.16109999999999999</v>
      </c>
      <c r="J263" s="7">
        <v>0.16109999999999999</v>
      </c>
      <c r="K263" s="50">
        <v>2.2000000000000001E-3</v>
      </c>
      <c r="L263" s="7">
        <v>0.16500000000000001</v>
      </c>
      <c r="M263" s="7">
        <v>0.16320000000000001</v>
      </c>
      <c r="N263" s="7">
        <v>-0.47</v>
      </c>
      <c r="O263" s="4"/>
      <c r="P263" s="7">
        <v>1.258</v>
      </c>
      <c r="T263" s="7">
        <v>64.099999999999994</v>
      </c>
      <c r="U263" s="7">
        <v>566</v>
      </c>
      <c r="V263" s="7">
        <v>753.9</v>
      </c>
      <c r="W263" s="4" t="s">
        <v>224</v>
      </c>
      <c r="X263" s="4"/>
      <c r="Y263" s="4"/>
      <c r="Z263" s="7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  <c r="AN263" s="7"/>
      <c r="AO263" s="7"/>
      <c r="AP263" s="7"/>
      <c r="AQ263" s="7"/>
      <c r="AR263" s="7"/>
      <c r="AS263" s="7"/>
      <c r="AT263" s="7"/>
      <c r="AU263" s="7"/>
      <c r="AV263" s="7"/>
      <c r="AW263" s="4"/>
      <c r="AX263" s="2"/>
      <c r="AY263" s="7"/>
      <c r="AZ263" s="4"/>
      <c r="BA263" s="22">
        <v>117</v>
      </c>
      <c r="BB263" s="2"/>
      <c r="BC263" s="2"/>
      <c r="BD263" s="40">
        <v>24.4</v>
      </c>
      <c r="BE263" s="42">
        <v>1006</v>
      </c>
      <c r="BF263" s="43">
        <v>53</v>
      </c>
      <c r="BG263" s="44">
        <v>1.17</v>
      </c>
      <c r="BH263" s="2">
        <v>2096</v>
      </c>
      <c r="BI263" s="2"/>
      <c r="BJ263" s="3" t="s">
        <v>370</v>
      </c>
      <c r="BK263"/>
      <c r="BL263"/>
      <c r="BM263" s="7"/>
      <c r="BR263"/>
    </row>
    <row r="264" spans="1:70" ht="28.5" x14ac:dyDescent="0.45">
      <c r="A264" s="2" t="s">
        <v>13</v>
      </c>
      <c r="B264" s="54" t="s">
        <v>28</v>
      </c>
      <c r="C264" s="3">
        <v>45267</v>
      </c>
      <c r="D264" s="8">
        <v>3</v>
      </c>
      <c r="E264" s="2" t="s">
        <v>550</v>
      </c>
      <c r="F264" s="4" t="s">
        <v>354</v>
      </c>
      <c r="G264" s="4" t="s">
        <v>578</v>
      </c>
      <c r="H264" s="4" t="s">
        <v>223</v>
      </c>
      <c r="I264" s="7">
        <v>0.1696</v>
      </c>
      <c r="J264" s="7">
        <v>0.1696</v>
      </c>
      <c r="K264" s="50">
        <v>3.7000000000000002E-3</v>
      </c>
      <c r="L264" s="7">
        <v>0.16800000000000001</v>
      </c>
      <c r="M264" s="7">
        <v>0.16719999999999999</v>
      </c>
      <c r="N264" s="7">
        <v>-0.53</v>
      </c>
      <c r="O264" s="4"/>
      <c r="P264" s="7">
        <v>1.258</v>
      </c>
      <c r="T264" s="7">
        <v>63.8</v>
      </c>
      <c r="U264" s="7">
        <v>559</v>
      </c>
      <c r="V264" s="7">
        <v>755.2</v>
      </c>
      <c r="W264" s="4" t="s">
        <v>224</v>
      </c>
      <c r="X264" s="4"/>
      <c r="Y264" s="4"/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  <c r="AN264" s="7"/>
      <c r="AO264" s="7"/>
      <c r="AP264" s="7"/>
      <c r="AQ264" s="7"/>
      <c r="AR264" s="7"/>
      <c r="AS264" s="7"/>
      <c r="AT264" s="7"/>
      <c r="AU264" s="7"/>
      <c r="AV264" s="7"/>
      <c r="AW264" s="4"/>
      <c r="AX264" s="2"/>
      <c r="AY264" s="7"/>
      <c r="AZ264" s="4"/>
      <c r="BA264" s="22">
        <v>117</v>
      </c>
      <c r="BB264" s="2"/>
      <c r="BC264" s="2"/>
      <c r="BD264" s="40">
        <v>25.1</v>
      </c>
      <c r="BE264" s="42">
        <v>1005</v>
      </c>
      <c r="BF264" s="43">
        <v>51</v>
      </c>
      <c r="BG264" s="44">
        <v>1.167</v>
      </c>
      <c r="BH264" s="2">
        <v>2096</v>
      </c>
      <c r="BI264" s="2"/>
      <c r="BJ264" s="3" t="s">
        <v>371</v>
      </c>
      <c r="BK264"/>
      <c r="BL264"/>
      <c r="BM264" s="7"/>
      <c r="BR264"/>
    </row>
    <row r="265" spans="1:70" ht="28.5" x14ac:dyDescent="0.45">
      <c r="A265" s="2" t="s">
        <v>13</v>
      </c>
      <c r="B265" s="54" t="s">
        <v>28</v>
      </c>
      <c r="C265" s="3">
        <v>45267</v>
      </c>
      <c r="D265" s="8">
        <v>4</v>
      </c>
      <c r="E265" s="2" t="s">
        <v>353</v>
      </c>
      <c r="F265" s="4" t="s">
        <v>354</v>
      </c>
      <c r="G265" s="4" t="s">
        <v>578</v>
      </c>
      <c r="H265" s="4" t="s">
        <v>223</v>
      </c>
      <c r="I265" s="7">
        <v>0.16789999999999999</v>
      </c>
      <c r="J265" s="7">
        <v>0.16789999999999999</v>
      </c>
      <c r="K265" s="50">
        <v>3.5999999999999999E-3</v>
      </c>
      <c r="L265" s="7"/>
      <c r="M265" s="7">
        <v>0.16839999999999999</v>
      </c>
      <c r="N265" s="7">
        <v>-0.49</v>
      </c>
      <c r="O265" s="4"/>
      <c r="P265" s="7">
        <v>1.258</v>
      </c>
      <c r="T265" s="7">
        <v>63.5</v>
      </c>
      <c r="U265" s="7">
        <v>570</v>
      </c>
      <c r="V265" s="7">
        <v>754.1</v>
      </c>
      <c r="W265" s="4" t="s">
        <v>224</v>
      </c>
      <c r="X265" s="4"/>
      <c r="Y265" s="4"/>
      <c r="Z265" s="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  <c r="AN265" s="7"/>
      <c r="AO265" s="7"/>
      <c r="AP265" s="7"/>
      <c r="AQ265" s="7"/>
      <c r="AR265" s="7"/>
      <c r="AS265" s="7"/>
      <c r="AT265" s="7"/>
      <c r="AU265" s="7"/>
      <c r="AV265" s="7"/>
      <c r="AW265" s="4"/>
      <c r="AX265" s="2"/>
      <c r="AY265" s="7"/>
      <c r="AZ265" s="4"/>
      <c r="BA265" s="22">
        <v>117</v>
      </c>
      <c r="BB265" s="2"/>
      <c r="BC265" s="2"/>
      <c r="BD265" s="40">
        <v>25.7</v>
      </c>
      <c r="BE265" s="42">
        <v>1005</v>
      </c>
      <c r="BF265" s="43">
        <v>61</v>
      </c>
      <c r="BG265" s="44">
        <v>1.163</v>
      </c>
      <c r="BH265" s="2">
        <v>2096</v>
      </c>
      <c r="BI265" s="2"/>
      <c r="BJ265" s="3" t="s">
        <v>372</v>
      </c>
      <c r="BK265"/>
      <c r="BL265"/>
      <c r="BM265" s="7"/>
      <c r="BR265"/>
    </row>
    <row r="266" spans="1:70" ht="28.5" x14ac:dyDescent="0.45">
      <c r="A266" s="2" t="s">
        <v>13</v>
      </c>
      <c r="B266" s="54" t="s">
        <v>28</v>
      </c>
      <c r="C266" s="3">
        <v>45267</v>
      </c>
      <c r="D266" s="8">
        <v>5</v>
      </c>
      <c r="E266" s="2" t="s">
        <v>551</v>
      </c>
      <c r="F266" s="4" t="s">
        <v>354</v>
      </c>
      <c r="G266" s="4" t="s">
        <v>578</v>
      </c>
      <c r="H266" s="4" t="s">
        <v>223</v>
      </c>
      <c r="I266" s="7">
        <v>0.16170000000000001</v>
      </c>
      <c r="J266" s="7">
        <v>0.16170000000000001</v>
      </c>
      <c r="K266" s="50">
        <v>2.5999999999999999E-3</v>
      </c>
      <c r="L266" s="7"/>
      <c r="M266" s="7">
        <v>0.1633</v>
      </c>
      <c r="N266" s="7">
        <v>-0.53</v>
      </c>
      <c r="O266" s="4"/>
      <c r="P266" s="7">
        <v>1.258</v>
      </c>
      <c r="T266" s="7">
        <v>64.099999999999994</v>
      </c>
      <c r="U266" s="7">
        <v>572</v>
      </c>
      <c r="V266" s="7">
        <v>754.5</v>
      </c>
      <c r="W266" s="4" t="s">
        <v>224</v>
      </c>
      <c r="X266" s="4"/>
      <c r="Y266" s="4"/>
      <c r="Z266" s="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  <c r="AN266" s="7"/>
      <c r="AO266" s="7"/>
      <c r="AP266" s="7"/>
      <c r="AQ266" s="7"/>
      <c r="AR266" s="7"/>
      <c r="AS266" s="7"/>
      <c r="AT266" s="7"/>
      <c r="AU266" s="7"/>
      <c r="AV266" s="7"/>
      <c r="AW266" s="4"/>
      <c r="AX266" s="2"/>
      <c r="AY266" s="7"/>
      <c r="AZ266" s="4"/>
      <c r="BA266" s="22">
        <v>117</v>
      </c>
      <c r="BB266" s="2"/>
      <c r="BC266" s="2"/>
      <c r="BD266" s="40">
        <v>25.9</v>
      </c>
      <c r="BE266" s="42">
        <v>1005</v>
      </c>
      <c r="BF266" s="43">
        <v>56</v>
      </c>
      <c r="BG266" s="44">
        <v>1.1619999999999999</v>
      </c>
      <c r="BH266" s="2">
        <v>2096</v>
      </c>
      <c r="BI266" s="2"/>
      <c r="BJ266" s="3" t="s">
        <v>373</v>
      </c>
      <c r="BK266"/>
      <c r="BL266"/>
      <c r="BM266" s="7"/>
      <c r="BR266"/>
    </row>
    <row r="267" spans="1:70" ht="28.5" x14ac:dyDescent="0.45">
      <c r="A267" s="2" t="s">
        <v>13</v>
      </c>
      <c r="B267" s="54" t="s">
        <v>28</v>
      </c>
      <c r="C267" s="3">
        <v>45267</v>
      </c>
      <c r="D267" s="8">
        <v>6</v>
      </c>
      <c r="E267" s="2" t="s">
        <v>550</v>
      </c>
      <c r="F267" s="4" t="s">
        <v>354</v>
      </c>
      <c r="G267" s="4" t="s">
        <v>578</v>
      </c>
      <c r="H267" s="4" t="s">
        <v>223</v>
      </c>
      <c r="I267" s="7">
        <v>0.16789999999999999</v>
      </c>
      <c r="J267" s="7">
        <v>0.16789999999999999</v>
      </c>
      <c r="K267" s="50">
        <v>2E-3</v>
      </c>
      <c r="L267" s="7"/>
      <c r="M267" s="7">
        <v>0.16819999999999999</v>
      </c>
      <c r="N267" s="7">
        <v>-0.57999999999999996</v>
      </c>
      <c r="O267" s="4"/>
      <c r="P267" s="7">
        <v>1.258</v>
      </c>
      <c r="T267" s="7">
        <v>62.9</v>
      </c>
      <c r="U267" s="7">
        <v>557</v>
      </c>
      <c r="V267" s="7">
        <v>754.3</v>
      </c>
      <c r="W267" s="4" t="s">
        <v>224</v>
      </c>
      <c r="X267" s="4"/>
      <c r="Y267" s="4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  <c r="AN267" s="7"/>
      <c r="AO267" s="7"/>
      <c r="AP267" s="7"/>
      <c r="AQ267" s="7"/>
      <c r="AR267" s="7"/>
      <c r="AS267" s="7"/>
      <c r="AT267" s="7"/>
      <c r="AU267" s="7"/>
      <c r="AV267" s="7"/>
      <c r="AW267" s="4"/>
      <c r="AX267" s="2"/>
      <c r="AY267" s="7"/>
      <c r="AZ267" s="4"/>
      <c r="BA267" s="22">
        <v>117</v>
      </c>
      <c r="BB267" s="2"/>
      <c r="BC267" s="2"/>
      <c r="BD267" s="40">
        <v>26.4</v>
      </c>
      <c r="BE267" s="42">
        <v>1005</v>
      </c>
      <c r="BF267" s="43">
        <v>48</v>
      </c>
      <c r="BG267" s="44">
        <v>1.1619999999999999</v>
      </c>
      <c r="BH267" s="2">
        <v>2096</v>
      </c>
      <c r="BI267" s="2"/>
      <c r="BJ267" s="3" t="s">
        <v>374</v>
      </c>
      <c r="BK267"/>
      <c r="BL267"/>
      <c r="BM267" s="7"/>
      <c r="BR267"/>
    </row>
    <row r="268" spans="1:70" ht="28.5" x14ac:dyDescent="0.45">
      <c r="A268" s="2" t="s">
        <v>13</v>
      </c>
      <c r="B268" s="54" t="s">
        <v>14</v>
      </c>
      <c r="C268" s="3">
        <v>45274</v>
      </c>
      <c r="D268" s="8">
        <v>1</v>
      </c>
      <c r="E268" s="57" t="s">
        <v>381</v>
      </c>
      <c r="F268" s="4" t="s">
        <v>587</v>
      </c>
      <c r="G268" s="4" t="s">
        <v>577</v>
      </c>
      <c r="H268" s="4" t="s">
        <v>223</v>
      </c>
      <c r="I268" s="7">
        <v>0.1661</v>
      </c>
      <c r="J268" s="7">
        <v>0.1661</v>
      </c>
      <c r="K268" s="50">
        <v>2.5999999999999999E-3</v>
      </c>
      <c r="L268" s="7">
        <v>0.17299999999999999</v>
      </c>
      <c r="M268" s="7">
        <v>0.16769999999999999</v>
      </c>
      <c r="N268" s="7">
        <v>-0.35</v>
      </c>
      <c r="O268" s="4"/>
      <c r="P268" s="7">
        <v>1.2805</v>
      </c>
      <c r="T268" s="7">
        <v>67</v>
      </c>
      <c r="U268" s="7">
        <v>674</v>
      </c>
      <c r="V268" s="7">
        <v>758.9</v>
      </c>
      <c r="W268" s="4" t="s">
        <v>224</v>
      </c>
      <c r="X268" s="4"/>
      <c r="Y268" s="4"/>
      <c r="Z268" s="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  <c r="AN268" s="7"/>
      <c r="AO268" s="7"/>
      <c r="AP268" s="7"/>
      <c r="AQ268" s="7"/>
      <c r="AR268" s="7"/>
      <c r="AS268" s="7"/>
      <c r="AT268" s="7"/>
      <c r="AU268" s="7"/>
      <c r="AV268" s="7"/>
      <c r="AW268" s="4"/>
      <c r="AX268" s="2"/>
      <c r="AY268" s="7"/>
      <c r="AZ268" s="4"/>
      <c r="BA268" s="4">
        <v>120.6</v>
      </c>
      <c r="BB268" s="2"/>
      <c r="BC268" s="2"/>
      <c r="BD268" s="10">
        <v>23.8</v>
      </c>
      <c r="BE268" s="42">
        <v>1003</v>
      </c>
      <c r="BF268" s="43">
        <v>50</v>
      </c>
      <c r="BG268" s="44">
        <v>1.17</v>
      </c>
      <c r="BH268" s="57">
        <v>2096</v>
      </c>
      <c r="BI268" s="2"/>
      <c r="BJ268" s="3" t="s">
        <v>594</v>
      </c>
      <c r="BK268"/>
      <c r="BL268"/>
      <c r="BM268"/>
      <c r="BR268"/>
    </row>
    <row r="269" spans="1:70" ht="28.5" x14ac:dyDescent="0.45">
      <c r="A269" s="2" t="s">
        <v>13</v>
      </c>
      <c r="B269" s="54" t="s">
        <v>14</v>
      </c>
      <c r="C269" s="3">
        <v>45274</v>
      </c>
      <c r="D269" s="8">
        <v>2</v>
      </c>
      <c r="E269" s="2" t="s">
        <v>554</v>
      </c>
      <c r="F269" s="4" t="s">
        <v>354</v>
      </c>
      <c r="G269" s="4" t="s">
        <v>578</v>
      </c>
      <c r="H269" s="4" t="s">
        <v>223</v>
      </c>
      <c r="I269" s="7">
        <v>0.16289999999999999</v>
      </c>
      <c r="J269" s="7">
        <v>0.16289999999999999</v>
      </c>
      <c r="K269" s="50">
        <v>1E-3</v>
      </c>
      <c r="L269" s="7">
        <v>0.16700000000000001</v>
      </c>
      <c r="M269" s="7">
        <v>0.1633</v>
      </c>
      <c r="N269" s="7">
        <v>-0.45</v>
      </c>
      <c r="O269" s="4"/>
      <c r="P269" s="7">
        <v>1.2805</v>
      </c>
      <c r="T269" s="7">
        <v>66.599999999999994</v>
      </c>
      <c r="U269" s="7">
        <v>644</v>
      </c>
      <c r="V269" s="7">
        <v>758.3</v>
      </c>
      <c r="W269" s="4" t="s">
        <v>224</v>
      </c>
      <c r="X269" s="4"/>
      <c r="Y269" s="4"/>
      <c r="Z269" s="7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  <c r="AN269" s="7"/>
      <c r="AO269" s="7"/>
      <c r="AP269" s="7"/>
      <c r="AQ269" s="7"/>
      <c r="AR269" s="7"/>
      <c r="AS269" s="7"/>
      <c r="AT269" s="7"/>
      <c r="AU269" s="7"/>
      <c r="AV269" s="7"/>
      <c r="AW269" s="4"/>
      <c r="AX269" s="2"/>
      <c r="AY269" s="7"/>
      <c r="AZ269" s="4"/>
      <c r="BA269" s="4">
        <v>120.6</v>
      </c>
      <c r="BB269" s="2"/>
      <c r="BC269" s="2"/>
      <c r="BD269" s="10">
        <v>24.3</v>
      </c>
      <c r="BE269" s="42">
        <v>1003</v>
      </c>
      <c r="BF269" s="43">
        <v>49</v>
      </c>
      <c r="BG269" s="44">
        <v>1.169</v>
      </c>
      <c r="BH269" s="57">
        <v>2096</v>
      </c>
      <c r="BI269" s="2"/>
      <c r="BJ269" s="3" t="s">
        <v>595</v>
      </c>
      <c r="BK269"/>
      <c r="BL269"/>
      <c r="BM269"/>
      <c r="BR269"/>
    </row>
    <row r="270" spans="1:70" ht="28.5" x14ac:dyDescent="0.45">
      <c r="A270" s="2" t="s">
        <v>13</v>
      </c>
      <c r="B270" s="54" t="s">
        <v>14</v>
      </c>
      <c r="C270" s="3">
        <v>45274</v>
      </c>
      <c r="D270" s="8">
        <v>3</v>
      </c>
      <c r="E270" s="2" t="s">
        <v>554</v>
      </c>
      <c r="F270" s="39" t="s">
        <v>566</v>
      </c>
      <c r="G270" s="4" t="s">
        <v>578</v>
      </c>
      <c r="H270" s="4" t="s">
        <v>223</v>
      </c>
      <c r="I270" s="7">
        <v>0.16600000000000001</v>
      </c>
      <c r="J270" s="7">
        <v>0.16600000000000001</v>
      </c>
      <c r="K270" s="50">
        <v>5.0000000000000001E-3</v>
      </c>
      <c r="L270" s="7">
        <v>0.16500000000000001</v>
      </c>
      <c r="M270" s="7">
        <v>0.1673</v>
      </c>
      <c r="N270" s="7">
        <v>-0.45</v>
      </c>
      <c r="O270" s="4"/>
      <c r="P270" s="7">
        <v>1.2805</v>
      </c>
      <c r="T270" s="7">
        <v>66</v>
      </c>
      <c r="U270" s="7">
        <v>621</v>
      </c>
      <c r="V270" s="7">
        <v>757.6</v>
      </c>
      <c r="W270" s="4" t="s">
        <v>224</v>
      </c>
      <c r="X270" s="4"/>
      <c r="Y270" s="4"/>
      <c r="Z270" s="7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  <c r="AN270" s="7"/>
      <c r="AO270" s="7"/>
      <c r="AP270" s="7"/>
      <c r="AQ270" s="7"/>
      <c r="AR270" s="7"/>
      <c r="AS270" s="7"/>
      <c r="AT270" s="7"/>
      <c r="AU270" s="7"/>
      <c r="AV270" s="7"/>
      <c r="AW270" s="4"/>
      <c r="AX270" s="2"/>
      <c r="AY270" s="7"/>
      <c r="AZ270" s="4"/>
      <c r="BA270" s="4">
        <v>120.6</v>
      </c>
      <c r="BB270" s="2"/>
      <c r="BC270" s="2"/>
      <c r="BD270" s="10">
        <v>24.6</v>
      </c>
      <c r="BE270" s="42">
        <v>1003</v>
      </c>
      <c r="BF270" s="43">
        <v>49</v>
      </c>
      <c r="BG270" s="44">
        <v>1.167</v>
      </c>
      <c r="BH270" s="57">
        <v>2096</v>
      </c>
      <c r="BI270" s="2"/>
      <c r="BJ270" s="3" t="s">
        <v>588</v>
      </c>
      <c r="BK270"/>
      <c r="BL270"/>
      <c r="BM270"/>
      <c r="BR270"/>
    </row>
    <row r="271" spans="1:70" ht="28.5" x14ac:dyDescent="0.45">
      <c r="A271" s="2" t="s">
        <v>13</v>
      </c>
      <c r="B271" s="54" t="s">
        <v>14</v>
      </c>
      <c r="C271" s="3">
        <v>45274</v>
      </c>
      <c r="D271" s="8">
        <v>4</v>
      </c>
      <c r="E271" s="2" t="s">
        <v>554</v>
      </c>
      <c r="F271" s="39" t="s">
        <v>567</v>
      </c>
      <c r="G271" s="4" t="s">
        <v>578</v>
      </c>
      <c r="H271" s="4" t="s">
        <v>223</v>
      </c>
      <c r="I271" s="7">
        <v>0.1709</v>
      </c>
      <c r="J271" s="7">
        <v>0.1709</v>
      </c>
      <c r="K271" s="50">
        <v>3.7000000000000002E-3</v>
      </c>
      <c r="L271" s="7">
        <v>0.16700000000000001</v>
      </c>
      <c r="M271" s="7">
        <v>0.1699</v>
      </c>
      <c r="N271" s="7">
        <v>-0.51</v>
      </c>
      <c r="O271" s="4"/>
      <c r="P271" s="7">
        <v>1.2805</v>
      </c>
      <c r="T271" s="7">
        <v>66.099999999999994</v>
      </c>
      <c r="U271" s="7">
        <v>618</v>
      </c>
      <c r="V271" s="7">
        <v>757.9</v>
      </c>
      <c r="W271" s="4" t="s">
        <v>224</v>
      </c>
      <c r="X271" s="4"/>
      <c r="Y271" s="4"/>
      <c r="Z271" s="7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  <c r="AN271" s="7"/>
      <c r="AO271" s="7"/>
      <c r="AP271" s="7"/>
      <c r="AQ271" s="7"/>
      <c r="AR271" s="7"/>
      <c r="AS271" s="7"/>
      <c r="AT271" s="7"/>
      <c r="AU271" s="7"/>
      <c r="AV271" s="7"/>
      <c r="AW271" s="4"/>
      <c r="AX271" s="2"/>
      <c r="AY271" s="7"/>
      <c r="AZ271" s="4"/>
      <c r="BA271" s="4">
        <v>120.6</v>
      </c>
      <c r="BB271" s="2"/>
      <c r="BC271" s="2"/>
      <c r="BD271" s="10">
        <v>25.1</v>
      </c>
      <c r="BE271" s="42">
        <v>1004</v>
      </c>
      <c r="BF271" s="43">
        <v>47</v>
      </c>
      <c r="BG271" s="44">
        <v>1.1659999999999999</v>
      </c>
      <c r="BH271" s="57">
        <v>2096</v>
      </c>
      <c r="BI271" s="2"/>
      <c r="BJ271" s="3" t="s">
        <v>589</v>
      </c>
      <c r="BK271"/>
      <c r="BL271"/>
      <c r="BM271"/>
      <c r="BR271"/>
    </row>
    <row r="272" spans="1:70" ht="28.5" x14ac:dyDescent="0.45">
      <c r="A272" s="2" t="s">
        <v>13</v>
      </c>
      <c r="B272" s="54" t="s">
        <v>14</v>
      </c>
      <c r="C272" s="3">
        <v>45274</v>
      </c>
      <c r="D272" s="8">
        <v>5</v>
      </c>
      <c r="E272" s="57" t="s">
        <v>381</v>
      </c>
      <c r="F272" s="4" t="s">
        <v>587</v>
      </c>
      <c r="G272" s="4" t="s">
        <v>577</v>
      </c>
      <c r="H272" s="4" t="s">
        <v>223</v>
      </c>
      <c r="I272" s="7">
        <v>0.16800000000000001</v>
      </c>
      <c r="J272" s="7">
        <v>0.16800000000000001</v>
      </c>
      <c r="K272" s="50">
        <v>5.0000000000000001E-3</v>
      </c>
      <c r="L272" s="7">
        <v>0.17</v>
      </c>
      <c r="M272" s="7">
        <v>0.17119999999999999</v>
      </c>
      <c r="N272" s="7">
        <v>-0.35</v>
      </c>
      <c r="O272" s="4"/>
      <c r="P272" s="7">
        <v>1.2805</v>
      </c>
      <c r="T272" s="7">
        <v>65.3</v>
      </c>
      <c r="U272" s="7">
        <v>615</v>
      </c>
      <c r="V272" s="7">
        <v>758</v>
      </c>
      <c r="W272" s="4" t="s">
        <v>224</v>
      </c>
      <c r="X272" s="4"/>
      <c r="Y272" s="4"/>
      <c r="Z272" s="7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  <c r="AN272" s="7"/>
      <c r="AO272" s="7"/>
      <c r="AP272" s="7"/>
      <c r="AQ272" s="7"/>
      <c r="AR272" s="7"/>
      <c r="AS272" s="7"/>
      <c r="AT272" s="7"/>
      <c r="AU272" s="7"/>
      <c r="AV272" s="7"/>
      <c r="AW272" s="4"/>
      <c r="AX272" s="2"/>
      <c r="AY272" s="7"/>
      <c r="AZ272" s="4"/>
      <c r="BA272" s="4">
        <v>120.6</v>
      </c>
      <c r="BB272" s="2"/>
      <c r="BC272" s="2"/>
      <c r="BD272" s="10">
        <v>25.5</v>
      </c>
      <c r="BE272" s="42">
        <v>1003</v>
      </c>
      <c r="BF272" s="43">
        <v>47</v>
      </c>
      <c r="BG272" s="44">
        <v>1.1639999999999999</v>
      </c>
      <c r="BH272" s="57">
        <v>2096</v>
      </c>
      <c r="BI272" s="2"/>
      <c r="BJ272" s="3" t="s">
        <v>590</v>
      </c>
      <c r="BK272"/>
      <c r="BL272"/>
      <c r="BM272"/>
      <c r="BR272"/>
    </row>
    <row r="273" spans="1:70" ht="28.5" x14ac:dyDescent="0.45">
      <c r="A273" s="2" t="s">
        <v>13</v>
      </c>
      <c r="B273" s="54" t="s">
        <v>14</v>
      </c>
      <c r="C273" s="3">
        <v>45274</v>
      </c>
      <c r="D273" s="8">
        <v>6</v>
      </c>
      <c r="E273" s="2" t="s">
        <v>554</v>
      </c>
      <c r="F273" s="4" t="s">
        <v>354</v>
      </c>
      <c r="G273" s="4" t="s">
        <v>578</v>
      </c>
      <c r="H273" s="4" t="s">
        <v>223</v>
      </c>
      <c r="I273" s="7">
        <v>0.1641</v>
      </c>
      <c r="J273" s="7">
        <v>0.1641</v>
      </c>
      <c r="K273" s="50">
        <v>3.7000000000000002E-3</v>
      </c>
      <c r="L273" s="7">
        <v>0.16500000000000001</v>
      </c>
      <c r="M273" s="7">
        <v>0.1653</v>
      </c>
      <c r="N273" s="7">
        <v>-0.43</v>
      </c>
      <c r="O273" s="4"/>
      <c r="P273" s="7">
        <v>1.2805</v>
      </c>
      <c r="T273" s="7">
        <v>67.2</v>
      </c>
      <c r="U273" s="7">
        <v>648</v>
      </c>
      <c r="V273" s="7">
        <v>758.3</v>
      </c>
      <c r="W273" s="4" t="s">
        <v>224</v>
      </c>
      <c r="X273" s="4"/>
      <c r="Y273" s="4"/>
      <c r="Z273" s="7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  <c r="AN273" s="7"/>
      <c r="AO273" s="7"/>
      <c r="AP273" s="7"/>
      <c r="AQ273" s="7"/>
      <c r="AR273" s="7"/>
      <c r="AS273" s="7"/>
      <c r="AT273" s="7"/>
      <c r="AU273" s="7"/>
      <c r="AV273" s="7"/>
      <c r="AW273" s="4"/>
      <c r="AX273" s="2"/>
      <c r="AY273" s="7"/>
      <c r="AZ273" s="4"/>
      <c r="BA273" s="4">
        <v>120.6</v>
      </c>
      <c r="BB273" s="2"/>
      <c r="BC273" s="2"/>
      <c r="BD273" s="10">
        <v>26.1</v>
      </c>
      <c r="BE273" s="42">
        <v>1004</v>
      </c>
      <c r="BF273" s="43">
        <v>46</v>
      </c>
      <c r="BG273" s="44">
        <v>1.1619999999999999</v>
      </c>
      <c r="BH273" s="57">
        <v>2096</v>
      </c>
      <c r="BI273" s="2"/>
      <c r="BJ273" s="3" t="s">
        <v>591</v>
      </c>
      <c r="BK273"/>
      <c r="BL273"/>
      <c r="BM273"/>
      <c r="BR273"/>
    </row>
    <row r="274" spans="1:70" ht="28.5" x14ac:dyDescent="0.45">
      <c r="A274" s="2" t="s">
        <v>13</v>
      </c>
      <c r="B274" s="54" t="s">
        <v>14</v>
      </c>
      <c r="C274" s="3">
        <v>45274</v>
      </c>
      <c r="D274" s="8">
        <v>7</v>
      </c>
      <c r="E274" s="2" t="s">
        <v>554</v>
      </c>
      <c r="F274" s="39" t="s">
        <v>566</v>
      </c>
      <c r="G274" s="4" t="s">
        <v>578</v>
      </c>
      <c r="H274" s="4" t="s">
        <v>223</v>
      </c>
      <c r="I274" s="7">
        <v>0.16800000000000001</v>
      </c>
      <c r="J274" s="7">
        <v>0.16800000000000001</v>
      </c>
      <c r="K274" s="50">
        <v>2.2000000000000001E-3</v>
      </c>
      <c r="L274" s="7">
        <v>0.17</v>
      </c>
      <c r="M274" s="7">
        <v>0.17</v>
      </c>
      <c r="N274" s="7">
        <v>-0.42</v>
      </c>
      <c r="O274" s="4"/>
      <c r="P274" s="7">
        <v>1.2805</v>
      </c>
      <c r="T274" s="7">
        <v>66.7</v>
      </c>
      <c r="U274" s="7">
        <v>650</v>
      </c>
      <c r="V274" s="7">
        <v>758.9</v>
      </c>
      <c r="W274" s="4" t="s">
        <v>224</v>
      </c>
      <c r="X274" s="4"/>
      <c r="Y274" s="4"/>
      <c r="Z274" s="7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  <c r="AN274" s="7"/>
      <c r="AO274" s="7"/>
      <c r="AP274" s="7"/>
      <c r="AQ274" s="7"/>
      <c r="AR274" s="7"/>
      <c r="AS274" s="7"/>
      <c r="AT274" s="7"/>
      <c r="AU274" s="7"/>
      <c r="AV274" s="7"/>
      <c r="AW274" s="4"/>
      <c r="AX274" s="2"/>
      <c r="AY274" s="7"/>
      <c r="AZ274" s="4"/>
      <c r="BA274" s="4">
        <v>120.6</v>
      </c>
      <c r="BB274" s="2"/>
      <c r="BC274" s="2"/>
      <c r="BD274" s="10">
        <v>26.1</v>
      </c>
      <c r="BE274" s="42">
        <v>1004</v>
      </c>
      <c r="BF274" s="43">
        <v>46</v>
      </c>
      <c r="BG274" s="44">
        <v>1.1619999999999999</v>
      </c>
      <c r="BH274" s="57">
        <v>2096</v>
      </c>
      <c r="BI274" s="2"/>
      <c r="BJ274" s="3" t="s">
        <v>592</v>
      </c>
      <c r="BK274"/>
      <c r="BL274"/>
      <c r="BM274"/>
      <c r="BR274"/>
    </row>
    <row r="275" spans="1:70" ht="28.5" x14ac:dyDescent="0.45">
      <c r="A275" s="2" t="s">
        <v>13</v>
      </c>
      <c r="B275" s="54" t="s">
        <v>14</v>
      </c>
      <c r="C275" s="3">
        <v>45274</v>
      </c>
      <c r="D275" s="8">
        <v>8</v>
      </c>
      <c r="E275" s="2" t="s">
        <v>554</v>
      </c>
      <c r="F275" s="39" t="s">
        <v>567</v>
      </c>
      <c r="G275" s="4" t="s">
        <v>578</v>
      </c>
      <c r="H275" s="4" t="s">
        <v>223</v>
      </c>
      <c r="I275" s="7">
        <v>0.17130000000000001</v>
      </c>
      <c r="J275" s="7">
        <v>0.17130000000000001</v>
      </c>
      <c r="K275" s="50">
        <v>4.4000000000000003E-3</v>
      </c>
      <c r="L275" s="7">
        <v>0.17100000000000001</v>
      </c>
      <c r="M275" s="7">
        <v>0.17119999999999999</v>
      </c>
      <c r="N275" s="7">
        <v>-0.47</v>
      </c>
      <c r="O275" s="4"/>
      <c r="P275" s="7">
        <v>1.2805</v>
      </c>
      <c r="T275" s="7">
        <v>66.7</v>
      </c>
      <c r="U275" s="7">
        <v>649</v>
      </c>
      <c r="V275" s="7">
        <v>759</v>
      </c>
      <c r="W275" s="4" t="s">
        <v>224</v>
      </c>
      <c r="X275" s="4"/>
      <c r="Y275" s="4"/>
      <c r="Z275" s="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  <c r="AN275" s="7"/>
      <c r="AO275" s="7"/>
      <c r="AP275" s="7"/>
      <c r="AQ275" s="7"/>
      <c r="AR275" s="7"/>
      <c r="AS275" s="7"/>
      <c r="AT275" s="7"/>
      <c r="AU275" s="7"/>
      <c r="AV275" s="7"/>
      <c r="AW275" s="4"/>
      <c r="AX275" s="2"/>
      <c r="AY275" s="7"/>
      <c r="AZ275" s="4"/>
      <c r="BA275" s="4">
        <v>120.6</v>
      </c>
      <c r="BB275" s="2"/>
      <c r="BC275" s="2"/>
      <c r="BD275" s="10">
        <v>26.1</v>
      </c>
      <c r="BE275" s="42">
        <v>1004</v>
      </c>
      <c r="BF275" s="43">
        <v>46</v>
      </c>
      <c r="BG275" s="44">
        <v>1.1619999999999999</v>
      </c>
      <c r="BH275" s="57">
        <v>2096</v>
      </c>
      <c r="BI275" s="2"/>
      <c r="BJ275" s="3" t="s">
        <v>593</v>
      </c>
      <c r="BK275"/>
      <c r="BL275"/>
      <c r="BM275"/>
      <c r="BR275"/>
    </row>
    <row r="276" spans="1:70" ht="28.5" x14ac:dyDescent="0.45">
      <c r="A276" s="2" t="s">
        <v>13</v>
      </c>
      <c r="B276" s="54" t="s">
        <v>17</v>
      </c>
      <c r="C276" s="3">
        <v>45274</v>
      </c>
      <c r="D276" s="8">
        <v>1</v>
      </c>
      <c r="E276" s="2" t="s">
        <v>381</v>
      </c>
      <c r="F276" s="4" t="s">
        <v>15</v>
      </c>
      <c r="G276" s="4" t="s">
        <v>577</v>
      </c>
      <c r="H276" s="4" t="s">
        <v>378</v>
      </c>
      <c r="I276" s="7">
        <v>0.19209999999999999</v>
      </c>
      <c r="J276" s="7">
        <v>0.19209999999999999</v>
      </c>
      <c r="K276" s="50">
        <v>2.7000000000000001E-3</v>
      </c>
      <c r="L276" s="7">
        <v>0.186</v>
      </c>
      <c r="M276" s="7">
        <v>0.19040000000000001</v>
      </c>
      <c r="N276" s="7">
        <v>-0.39</v>
      </c>
      <c r="O276" s="4"/>
      <c r="P276" s="7">
        <v>1.2735000000000001</v>
      </c>
      <c r="T276" s="7">
        <v>62.8</v>
      </c>
      <c r="U276" s="7">
        <v>623</v>
      </c>
      <c r="V276" s="7">
        <v>757</v>
      </c>
      <c r="W276" s="4" t="s">
        <v>224</v>
      </c>
      <c r="X276" s="4"/>
      <c r="Y276" s="4"/>
      <c r="Z276" s="7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  <c r="AN276" s="7"/>
      <c r="AO276" s="7"/>
      <c r="AP276" s="7"/>
      <c r="AQ276" s="7"/>
      <c r="AR276" s="7"/>
      <c r="AS276" s="7"/>
      <c r="AT276" s="7"/>
      <c r="AU276" s="7"/>
      <c r="AV276" s="7"/>
      <c r="AW276" s="4"/>
      <c r="AX276" s="2"/>
      <c r="AY276" s="7"/>
      <c r="AZ276" s="4"/>
      <c r="BA276" s="4">
        <v>117</v>
      </c>
      <c r="BB276" s="2"/>
      <c r="BC276" s="2"/>
      <c r="BD276" s="2">
        <v>24.2</v>
      </c>
      <c r="BE276" s="42">
        <v>1003</v>
      </c>
      <c r="BF276" s="43">
        <v>49</v>
      </c>
      <c r="BG276" s="44">
        <v>1.169</v>
      </c>
      <c r="BH276" s="2">
        <v>2096</v>
      </c>
      <c r="BI276" s="2"/>
      <c r="BJ276" s="3" t="s">
        <v>412</v>
      </c>
      <c r="BK276"/>
      <c r="BL276"/>
      <c r="BM276"/>
      <c r="BR276"/>
    </row>
    <row r="277" spans="1:70" ht="28.5" x14ac:dyDescent="0.45">
      <c r="A277" s="2" t="s">
        <v>13</v>
      </c>
      <c r="B277" s="54" t="s">
        <v>17</v>
      </c>
      <c r="C277" s="3">
        <v>45274</v>
      </c>
      <c r="D277" s="8">
        <v>2</v>
      </c>
      <c r="E277" s="2" t="s">
        <v>549</v>
      </c>
      <c r="F277" s="4" t="s">
        <v>15</v>
      </c>
      <c r="G277" s="4" t="s">
        <v>577</v>
      </c>
      <c r="H277" s="4" t="s">
        <v>378</v>
      </c>
      <c r="I277" s="7">
        <v>0.19450000000000001</v>
      </c>
      <c r="J277" s="7">
        <v>0.19450000000000001</v>
      </c>
      <c r="K277" s="50">
        <v>3.7000000000000002E-3</v>
      </c>
      <c r="L277" s="7">
        <v>0.188</v>
      </c>
      <c r="M277" s="7">
        <v>0.19339999999999999</v>
      </c>
      <c r="O277" s="4"/>
      <c r="P277" s="7">
        <v>1.2735000000000001</v>
      </c>
      <c r="T277" s="7">
        <v>63.6</v>
      </c>
      <c r="U277" s="7">
        <v>645</v>
      </c>
      <c r="V277" s="7">
        <v>757.6</v>
      </c>
      <c r="W277" s="4" t="s">
        <v>224</v>
      </c>
      <c r="X277" s="4"/>
      <c r="Y277" s="4"/>
      <c r="Z277" s="7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  <c r="AN277" s="7"/>
      <c r="AO277" s="7"/>
      <c r="AP277" s="7"/>
      <c r="AQ277" s="7"/>
      <c r="AR277" s="7"/>
      <c r="AS277" s="7"/>
      <c r="AT277" s="7"/>
      <c r="AU277" s="7"/>
      <c r="AV277" s="7"/>
      <c r="AW277" s="4"/>
      <c r="AX277" s="2"/>
      <c r="AY277" s="7"/>
      <c r="AZ277" s="4"/>
      <c r="BA277" s="4">
        <v>117</v>
      </c>
      <c r="BB277" s="2"/>
      <c r="BC277" s="2"/>
      <c r="BD277" s="2">
        <v>24.3</v>
      </c>
      <c r="BE277" s="42">
        <v>1003</v>
      </c>
      <c r="BF277" s="43">
        <v>49</v>
      </c>
      <c r="BG277" s="44">
        <v>1.169</v>
      </c>
      <c r="BH277" s="2">
        <v>2096</v>
      </c>
      <c r="BI277" s="2"/>
      <c r="BJ277" s="3" t="s">
        <v>413</v>
      </c>
      <c r="BK277"/>
      <c r="BL277"/>
      <c r="BM277"/>
      <c r="BR277"/>
    </row>
    <row r="278" spans="1:70" ht="28.5" x14ac:dyDescent="0.45">
      <c r="A278" s="2" t="s">
        <v>13</v>
      </c>
      <c r="B278" s="54" t="s">
        <v>17</v>
      </c>
      <c r="C278" s="3">
        <v>45274</v>
      </c>
      <c r="D278" s="8">
        <v>3</v>
      </c>
      <c r="E278" s="2" t="s">
        <v>549</v>
      </c>
      <c r="F278" s="39" t="s">
        <v>566</v>
      </c>
      <c r="G278" s="4" t="s">
        <v>578</v>
      </c>
      <c r="H278" s="4" t="s">
        <v>378</v>
      </c>
      <c r="I278" s="7">
        <v>0.19370000000000001</v>
      </c>
      <c r="J278" s="7">
        <v>0.19370000000000001</v>
      </c>
      <c r="K278" s="50">
        <v>3.8999999999999998E-3</v>
      </c>
      <c r="L278" s="7">
        <v>0.184</v>
      </c>
      <c r="M278" s="7">
        <v>0.18959999999999999</v>
      </c>
      <c r="N278" s="7">
        <v>-0.48</v>
      </c>
      <c r="O278" s="4"/>
      <c r="P278" s="7">
        <v>1.2735000000000001</v>
      </c>
      <c r="T278" s="7">
        <v>63.6</v>
      </c>
      <c r="U278" s="7">
        <v>622</v>
      </c>
      <c r="V278" s="7">
        <v>757.3</v>
      </c>
      <c r="W278" s="4" t="s">
        <v>224</v>
      </c>
      <c r="X278" s="4"/>
      <c r="Y278" s="4"/>
      <c r="Z278" s="7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  <c r="AN278" s="7"/>
      <c r="AO278" s="7"/>
      <c r="AP278" s="7"/>
      <c r="AQ278" s="7"/>
      <c r="AR278" s="7"/>
      <c r="AS278" s="7"/>
      <c r="AT278" s="7"/>
      <c r="AU278" s="7"/>
      <c r="AV278" s="7"/>
      <c r="AW278" s="4"/>
      <c r="AX278" s="2"/>
      <c r="AY278" s="7"/>
      <c r="AZ278" s="4"/>
      <c r="BA278" s="4">
        <v>117</v>
      </c>
      <c r="BB278" s="2"/>
      <c r="BC278" s="2"/>
      <c r="BD278" s="2">
        <v>24.6</v>
      </c>
      <c r="BE278" s="42">
        <v>1003</v>
      </c>
      <c r="BF278" s="43">
        <v>49</v>
      </c>
      <c r="BG278" s="44">
        <v>1.167</v>
      </c>
      <c r="BH278" s="2">
        <v>2096</v>
      </c>
      <c r="BI278" s="2"/>
      <c r="BJ278" s="3" t="s">
        <v>414</v>
      </c>
      <c r="BK278"/>
      <c r="BL278"/>
      <c r="BM278"/>
      <c r="BR278"/>
    </row>
    <row r="279" spans="1:70" ht="28.5" x14ac:dyDescent="0.45">
      <c r="A279" s="2" t="s">
        <v>13</v>
      </c>
      <c r="B279" s="54" t="s">
        <v>17</v>
      </c>
      <c r="C279" s="3">
        <v>45274</v>
      </c>
      <c r="D279" s="8">
        <v>4</v>
      </c>
      <c r="E279" s="2" t="s">
        <v>549</v>
      </c>
      <c r="F279" s="39" t="s">
        <v>567</v>
      </c>
      <c r="G279" s="4" t="s">
        <v>578</v>
      </c>
      <c r="H279" s="4" t="s">
        <v>378</v>
      </c>
      <c r="I279" s="7">
        <v>0.18920000000000001</v>
      </c>
      <c r="J279" s="7">
        <v>0.18920000000000001</v>
      </c>
      <c r="K279" s="50">
        <v>2.8999999999999998E-3</v>
      </c>
      <c r="L279" s="7">
        <v>0.183</v>
      </c>
      <c r="M279" s="7">
        <v>0.1865</v>
      </c>
      <c r="N279" s="7">
        <v>-0.42</v>
      </c>
      <c r="O279" s="4"/>
      <c r="P279" s="7">
        <v>1.2735000000000001</v>
      </c>
      <c r="T279" s="7">
        <v>63.7</v>
      </c>
      <c r="U279" s="7">
        <v>629</v>
      </c>
      <c r="V279" s="7">
        <v>758</v>
      </c>
      <c r="W279" s="4" t="s">
        <v>224</v>
      </c>
      <c r="X279" s="4"/>
      <c r="Y279" s="4"/>
      <c r="Z279" s="7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  <c r="AN279" s="7"/>
      <c r="AO279" s="7"/>
      <c r="AP279" s="7"/>
      <c r="AQ279" s="7"/>
      <c r="AR279" s="7"/>
      <c r="AS279" s="7"/>
      <c r="AT279" s="7"/>
      <c r="AU279" s="7"/>
      <c r="AV279" s="7"/>
      <c r="AW279" s="4"/>
      <c r="AX279" s="2"/>
      <c r="AY279" s="7"/>
      <c r="AZ279" s="4"/>
      <c r="BA279" s="4">
        <v>117</v>
      </c>
      <c r="BB279" s="2"/>
      <c r="BC279" s="2"/>
      <c r="BD279" s="2">
        <v>25.5</v>
      </c>
      <c r="BE279" s="42">
        <v>1003</v>
      </c>
      <c r="BF279" s="43">
        <v>47</v>
      </c>
      <c r="BG279" s="44">
        <v>1.1639999999999999</v>
      </c>
      <c r="BH279" s="2">
        <v>2096</v>
      </c>
      <c r="BI279" s="2"/>
      <c r="BJ279" s="3" t="s">
        <v>415</v>
      </c>
      <c r="BK279"/>
      <c r="BL279"/>
      <c r="BM279"/>
      <c r="BR279"/>
    </row>
    <row r="280" spans="1:70" ht="28.5" x14ac:dyDescent="0.45">
      <c r="A280" s="2" t="s">
        <v>13</v>
      </c>
      <c r="B280" s="54" t="s">
        <v>17</v>
      </c>
      <c r="C280" s="3">
        <v>45274</v>
      </c>
      <c r="D280" s="8">
        <v>5</v>
      </c>
      <c r="E280" s="2" t="s">
        <v>550</v>
      </c>
      <c r="F280" s="39" t="s">
        <v>567</v>
      </c>
      <c r="G280" s="4" t="s">
        <v>578</v>
      </c>
      <c r="H280" s="4" t="s">
        <v>378</v>
      </c>
      <c r="I280" s="7">
        <v>0.19009999999999999</v>
      </c>
      <c r="J280" s="7">
        <v>0.19009999999999999</v>
      </c>
      <c r="K280" s="50">
        <v>1.5E-3</v>
      </c>
      <c r="L280" s="7">
        <v>0.18099999999999999</v>
      </c>
      <c r="M280" s="7">
        <v>0.18509999999999999</v>
      </c>
      <c r="N280" s="7">
        <v>-0.45</v>
      </c>
      <c r="O280" s="4"/>
      <c r="P280" s="7">
        <v>1.2735000000000001</v>
      </c>
      <c r="T280" s="7">
        <v>63.4</v>
      </c>
      <c r="U280" s="7">
        <v>609</v>
      </c>
      <c r="V280" s="7">
        <v>758.1</v>
      </c>
      <c r="W280" s="4" t="s">
        <v>224</v>
      </c>
      <c r="X280" s="4"/>
      <c r="Y280" s="4"/>
      <c r="Z280" s="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  <c r="AN280" s="7"/>
      <c r="AO280" s="7"/>
      <c r="AP280" s="7"/>
      <c r="AQ280" s="7"/>
      <c r="AR280" s="7"/>
      <c r="AS280" s="7"/>
      <c r="AT280" s="7"/>
      <c r="AU280" s="7"/>
      <c r="AV280" s="7"/>
      <c r="AW280" s="4"/>
      <c r="AX280" s="2"/>
      <c r="AY280" s="7"/>
      <c r="AZ280" s="4"/>
      <c r="BA280" s="4">
        <v>117</v>
      </c>
      <c r="BB280" s="2"/>
      <c r="BC280" s="2"/>
      <c r="BD280" s="2">
        <v>25.5</v>
      </c>
      <c r="BE280" s="42">
        <v>1003</v>
      </c>
      <c r="BF280" s="43">
        <v>47</v>
      </c>
      <c r="BG280" s="44">
        <v>1.1639999999999999</v>
      </c>
      <c r="BH280" s="2">
        <v>2096</v>
      </c>
      <c r="BI280" s="2"/>
      <c r="BJ280" s="3" t="s">
        <v>416</v>
      </c>
      <c r="BK280"/>
      <c r="BL280"/>
      <c r="BM280"/>
      <c r="BR280"/>
    </row>
    <row r="281" spans="1:70" ht="28.5" x14ac:dyDescent="0.45">
      <c r="A281" s="2" t="s">
        <v>13</v>
      </c>
      <c r="B281" s="54" t="s">
        <v>17</v>
      </c>
      <c r="C281" s="3">
        <v>45274</v>
      </c>
      <c r="D281" s="8">
        <v>6</v>
      </c>
      <c r="E281" s="2" t="s">
        <v>381</v>
      </c>
      <c r="F281" s="4" t="s">
        <v>15</v>
      </c>
      <c r="G281" s="4" t="s">
        <v>577</v>
      </c>
      <c r="H281" s="4" t="s">
        <v>378</v>
      </c>
      <c r="I281" s="7">
        <v>0.19270000000000001</v>
      </c>
      <c r="J281" s="7">
        <v>0.19270000000000001</v>
      </c>
      <c r="K281" s="50">
        <v>3.7000000000000002E-3</v>
      </c>
      <c r="L281" s="7">
        <v>0.183</v>
      </c>
      <c r="M281" s="7">
        <v>0.18840000000000001</v>
      </c>
      <c r="N281" s="7">
        <v>-0.43</v>
      </c>
      <c r="O281" s="4"/>
      <c r="P281" s="7">
        <v>1.2735000000000001</v>
      </c>
      <c r="T281" s="7">
        <v>63.8</v>
      </c>
      <c r="U281" s="7">
        <v>625</v>
      </c>
      <c r="V281" s="7">
        <v>757.3</v>
      </c>
      <c r="W281" s="4" t="s">
        <v>224</v>
      </c>
      <c r="X281" s="4"/>
      <c r="Y281" s="4"/>
      <c r="Z281" s="7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  <c r="AN281" s="7"/>
      <c r="AO281" s="7"/>
      <c r="AP281" s="7"/>
      <c r="AQ281" s="7"/>
      <c r="AR281" s="7"/>
      <c r="AS281" s="7"/>
      <c r="AT281" s="7"/>
      <c r="AU281" s="7"/>
      <c r="AV281" s="7"/>
      <c r="AW281" s="4"/>
      <c r="AX281" s="2"/>
      <c r="AY281" s="7"/>
      <c r="AZ281" s="4"/>
      <c r="BA281" s="4">
        <v>117</v>
      </c>
      <c r="BB281" s="2"/>
      <c r="BC281" s="2"/>
      <c r="BD281" s="2">
        <v>26.1</v>
      </c>
      <c r="BE281" s="42">
        <v>1004</v>
      </c>
      <c r="BF281" s="43">
        <v>46</v>
      </c>
      <c r="BG281" s="44">
        <v>1.1619999999999999</v>
      </c>
      <c r="BH281" s="2">
        <v>2096</v>
      </c>
      <c r="BI281" s="2"/>
      <c r="BJ281" s="3" t="s">
        <v>405</v>
      </c>
      <c r="BK281"/>
      <c r="BL281"/>
      <c r="BM281"/>
      <c r="BR281"/>
    </row>
    <row r="282" spans="1:70" x14ac:dyDescent="0.45">
      <c r="A282" s="2" t="s">
        <v>13</v>
      </c>
      <c r="B282" s="54" t="s">
        <v>17</v>
      </c>
      <c r="C282" s="3">
        <v>45274</v>
      </c>
      <c r="D282" s="8">
        <v>7</v>
      </c>
      <c r="E282" s="2" t="s">
        <v>549</v>
      </c>
      <c r="F282" s="39" t="s">
        <v>566</v>
      </c>
      <c r="G282" s="4" t="s">
        <v>578</v>
      </c>
      <c r="H282" s="4" t="s">
        <v>378</v>
      </c>
      <c r="I282" s="7">
        <v>0.1958</v>
      </c>
      <c r="J282" s="7">
        <v>0.1958</v>
      </c>
      <c r="K282" s="50">
        <v>3.0999999999999999E-3</v>
      </c>
      <c r="L282" s="7">
        <v>0.184</v>
      </c>
      <c r="M282" s="7">
        <v>0.19040000000000001</v>
      </c>
      <c r="N282" s="7">
        <v>-0.47</v>
      </c>
      <c r="O282" s="4"/>
      <c r="P282" s="7">
        <v>1.2735000000000001</v>
      </c>
      <c r="T282" s="7">
        <v>62.4</v>
      </c>
      <c r="U282" s="7">
        <v>590</v>
      </c>
      <c r="V282" s="7">
        <v>757.6</v>
      </c>
      <c r="W282" s="4" t="s">
        <v>224</v>
      </c>
      <c r="X282" s="4"/>
      <c r="Y282" s="4"/>
      <c r="Z282" s="7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  <c r="AN282" s="7"/>
      <c r="AO282" s="7"/>
      <c r="AP282" s="7"/>
      <c r="AQ282" s="7"/>
      <c r="AR282" s="7"/>
      <c r="AS282" s="7"/>
      <c r="AT282" s="7"/>
      <c r="AU282" s="7"/>
      <c r="AV282" s="7"/>
      <c r="AW282" s="4"/>
      <c r="AX282" s="2"/>
      <c r="AY282" s="7"/>
      <c r="AZ282" s="4"/>
      <c r="BA282" s="4">
        <v>117</v>
      </c>
      <c r="BB282" s="2"/>
      <c r="BC282" s="2"/>
      <c r="BD282" s="2">
        <v>26.2</v>
      </c>
      <c r="BE282" s="42">
        <v>1004</v>
      </c>
      <c r="BF282" s="43">
        <v>46</v>
      </c>
      <c r="BG282" s="44">
        <v>1.161</v>
      </c>
      <c r="BH282" s="2">
        <v>2096</v>
      </c>
      <c r="BI282" s="2"/>
      <c r="BJ282" s="3"/>
      <c r="BK282"/>
      <c r="BL282"/>
      <c r="BM282"/>
      <c r="BR282"/>
    </row>
    <row r="283" spans="1:70" ht="28.5" x14ac:dyDescent="0.45">
      <c r="A283" s="2" t="s">
        <v>13</v>
      </c>
      <c r="B283" s="54" t="s">
        <v>17</v>
      </c>
      <c r="C283" s="3">
        <v>45274</v>
      </c>
      <c r="D283" s="8">
        <v>8</v>
      </c>
      <c r="E283" s="2" t="s">
        <v>549</v>
      </c>
      <c r="F283" s="39" t="s">
        <v>567</v>
      </c>
      <c r="G283" s="4" t="s">
        <v>578</v>
      </c>
      <c r="H283" s="4" t="s">
        <v>378</v>
      </c>
      <c r="I283" s="7">
        <v>0.18790000000000001</v>
      </c>
      <c r="J283" s="7">
        <v>0.18790000000000001</v>
      </c>
      <c r="K283" s="50">
        <v>1.6999999999999999E-3</v>
      </c>
      <c r="L283" s="7">
        <v>0.182</v>
      </c>
      <c r="M283" s="7">
        <v>0.18440000000000001</v>
      </c>
      <c r="N283" s="7">
        <v>-0.51</v>
      </c>
      <c r="O283" s="4"/>
      <c r="P283" s="7">
        <v>1.2735000000000001</v>
      </c>
      <c r="T283" s="7">
        <v>63.3</v>
      </c>
      <c r="U283" s="7">
        <v>604</v>
      </c>
      <c r="V283" s="7">
        <v>758.2</v>
      </c>
      <c r="W283" s="4" t="s">
        <v>224</v>
      </c>
      <c r="X283" s="4"/>
      <c r="Y283" s="4"/>
      <c r="Z283" s="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  <c r="AN283" s="7"/>
      <c r="AO283" s="7"/>
      <c r="AP283" s="7"/>
      <c r="AQ283" s="7"/>
      <c r="AR283" s="7"/>
      <c r="AS283" s="7"/>
      <c r="AT283" s="7"/>
      <c r="AU283" s="7"/>
      <c r="AV283" s="7"/>
      <c r="AW283" s="4"/>
      <c r="AX283" s="2"/>
      <c r="AY283" s="7"/>
      <c r="AZ283" s="4"/>
      <c r="BA283" s="4">
        <v>117</v>
      </c>
      <c r="BB283" s="2"/>
      <c r="BC283" s="2"/>
      <c r="BD283" s="2">
        <v>26.2</v>
      </c>
      <c r="BE283" s="42">
        <v>1004</v>
      </c>
      <c r="BF283" s="43">
        <v>46</v>
      </c>
      <c r="BG283" s="44">
        <v>1.161</v>
      </c>
      <c r="BH283" s="2">
        <v>2096</v>
      </c>
      <c r="BI283" s="2"/>
      <c r="BJ283" s="3" t="s">
        <v>406</v>
      </c>
      <c r="BK283"/>
      <c r="BL283"/>
      <c r="BM283"/>
      <c r="BR283"/>
    </row>
    <row r="284" spans="1:70" ht="28.5" x14ac:dyDescent="0.45">
      <c r="A284" s="2" t="s">
        <v>13</v>
      </c>
      <c r="B284" s="54" t="s">
        <v>17</v>
      </c>
      <c r="C284" s="3">
        <v>45274</v>
      </c>
      <c r="D284" s="8">
        <v>9</v>
      </c>
      <c r="E284" s="2" t="s">
        <v>550</v>
      </c>
      <c r="F284" s="39" t="s">
        <v>567</v>
      </c>
      <c r="G284" s="4" t="s">
        <v>578</v>
      </c>
      <c r="H284" s="4" t="s">
        <v>378</v>
      </c>
      <c r="I284" s="7">
        <v>0.188</v>
      </c>
      <c r="J284" s="7">
        <v>0.188</v>
      </c>
      <c r="K284" s="50">
        <v>3.0999999999999999E-3</v>
      </c>
      <c r="L284" s="7"/>
      <c r="M284" s="7">
        <v>0.18440000000000001</v>
      </c>
      <c r="N284" s="7">
        <v>-0.5</v>
      </c>
      <c r="O284" s="4"/>
      <c r="P284" s="7">
        <v>1.2735000000000001</v>
      </c>
      <c r="T284" s="7">
        <v>64</v>
      </c>
      <c r="U284" s="7">
        <v>608</v>
      </c>
      <c r="V284" s="7">
        <v>757.5</v>
      </c>
      <c r="W284" s="4" t="s">
        <v>224</v>
      </c>
      <c r="X284" s="4"/>
      <c r="Y284" s="4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  <c r="AN284" s="7"/>
      <c r="AO284" s="7"/>
      <c r="AP284" s="7"/>
      <c r="AQ284" s="7"/>
      <c r="AR284" s="7"/>
      <c r="AS284" s="7"/>
      <c r="AT284" s="7"/>
      <c r="AU284" s="7"/>
      <c r="AV284" s="7"/>
      <c r="AW284" s="4"/>
      <c r="AX284" s="2"/>
      <c r="AY284" s="7"/>
      <c r="AZ284" s="4"/>
      <c r="BA284" s="4">
        <v>117</v>
      </c>
      <c r="BB284" s="2"/>
      <c r="BC284" s="2"/>
      <c r="BD284" s="2">
        <v>26.3</v>
      </c>
      <c r="BE284" s="42">
        <v>1004</v>
      </c>
      <c r="BF284" s="43">
        <v>46</v>
      </c>
      <c r="BG284" s="44">
        <v>1.161</v>
      </c>
      <c r="BH284" s="2">
        <v>2096</v>
      </c>
      <c r="BI284" s="2"/>
      <c r="BJ284" s="3" t="s">
        <v>407</v>
      </c>
      <c r="BK284"/>
      <c r="BL284"/>
      <c r="BM284"/>
      <c r="BR284"/>
    </row>
    <row r="285" spans="1:70" ht="42.75" x14ac:dyDescent="0.45">
      <c r="A285" s="2" t="s">
        <v>379</v>
      </c>
      <c r="B285" s="54" t="s">
        <v>380</v>
      </c>
      <c r="C285" s="3">
        <v>45274</v>
      </c>
      <c r="D285" s="8">
        <v>2</v>
      </c>
      <c r="E285" s="2" t="s">
        <v>381</v>
      </c>
      <c r="F285" s="4" t="s">
        <v>570</v>
      </c>
      <c r="G285" s="4" t="s">
        <v>578</v>
      </c>
      <c r="H285" s="4" t="s">
        <v>330</v>
      </c>
      <c r="I285" s="7"/>
      <c r="K285" s="50"/>
      <c r="L285" s="7"/>
      <c r="M285" s="7">
        <v>0.18140000000000001</v>
      </c>
      <c r="O285" s="4"/>
      <c r="T285" s="7">
        <v>63.9</v>
      </c>
      <c r="U285" s="7">
        <v>623</v>
      </c>
      <c r="V285" s="7">
        <v>253</v>
      </c>
      <c r="W285" s="4" t="s">
        <v>576</v>
      </c>
      <c r="X285" s="4"/>
      <c r="Y285" s="4"/>
      <c r="Z285" s="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  <c r="AN285" s="7"/>
      <c r="AO285" s="7"/>
      <c r="AP285" s="7"/>
      <c r="AQ285" s="7"/>
      <c r="AR285" s="7"/>
      <c r="AS285" s="7"/>
      <c r="AT285" s="7"/>
      <c r="AU285" s="7"/>
      <c r="AV285" s="7"/>
      <c r="AW285" s="4"/>
      <c r="AX285" s="2"/>
      <c r="AY285" s="7"/>
      <c r="AZ285" s="4"/>
      <c r="BA285" s="4">
        <v>111.6</v>
      </c>
      <c r="BB285" s="2"/>
      <c r="BC285" s="2"/>
      <c r="BD285" s="2">
        <v>24.2</v>
      </c>
      <c r="BE285" s="42">
        <v>1003</v>
      </c>
      <c r="BF285" s="43">
        <v>49</v>
      </c>
      <c r="BG285" s="44">
        <v>1.169</v>
      </c>
      <c r="BH285" s="2">
        <v>2096</v>
      </c>
      <c r="BI285" s="2" t="s">
        <v>382</v>
      </c>
      <c r="BJ285" s="3" t="s">
        <v>408</v>
      </c>
      <c r="BK285"/>
      <c r="BL285"/>
      <c r="BM285"/>
      <c r="BR285"/>
    </row>
    <row r="286" spans="1:70" ht="42.75" x14ac:dyDescent="0.45">
      <c r="A286" s="2" t="s">
        <v>379</v>
      </c>
      <c r="B286" s="54" t="s">
        <v>380</v>
      </c>
      <c r="C286" s="3">
        <v>45274</v>
      </c>
      <c r="D286" s="8">
        <v>3</v>
      </c>
      <c r="E286" s="2" t="s">
        <v>381</v>
      </c>
      <c r="F286" s="4" t="s">
        <v>15</v>
      </c>
      <c r="G286" s="4" t="s">
        <v>577</v>
      </c>
      <c r="H286" s="4" t="s">
        <v>330</v>
      </c>
      <c r="I286" s="7"/>
      <c r="K286" s="50"/>
      <c r="L286" s="7"/>
      <c r="M286" s="7">
        <v>0.1948</v>
      </c>
      <c r="O286" s="4"/>
      <c r="T286" s="7">
        <v>62.4</v>
      </c>
      <c r="U286" s="7">
        <v>617</v>
      </c>
      <c r="V286" s="7">
        <v>252.4</v>
      </c>
      <c r="W286" s="4" t="s">
        <v>576</v>
      </c>
      <c r="X286" s="4"/>
      <c r="Y286" s="4"/>
      <c r="Z286" s="7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  <c r="AN286" s="7"/>
      <c r="AO286" s="7"/>
      <c r="AP286" s="7"/>
      <c r="AQ286" s="7"/>
      <c r="AR286" s="7"/>
      <c r="AS286" s="7"/>
      <c r="AT286" s="7"/>
      <c r="AU286" s="7"/>
      <c r="AV286" s="7"/>
      <c r="AW286" s="4"/>
      <c r="AX286" s="2"/>
      <c r="AY286" s="7"/>
      <c r="AZ286" s="4"/>
      <c r="BA286" s="4">
        <v>111.6</v>
      </c>
      <c r="BB286" s="2"/>
      <c r="BC286" s="2"/>
      <c r="BD286" s="2">
        <v>24.6</v>
      </c>
      <c r="BE286" s="42">
        <v>1003</v>
      </c>
      <c r="BF286" s="43">
        <v>49</v>
      </c>
      <c r="BG286" s="44">
        <v>1.167</v>
      </c>
      <c r="BH286" s="2">
        <v>2096</v>
      </c>
      <c r="BI286" s="2" t="s">
        <v>382</v>
      </c>
      <c r="BJ286" s="3" t="s">
        <v>409</v>
      </c>
      <c r="BK286"/>
      <c r="BL286"/>
      <c r="BM286"/>
      <c r="BR286"/>
    </row>
    <row r="287" spans="1:70" ht="42.75" x14ac:dyDescent="0.45">
      <c r="A287" s="2" t="s">
        <v>379</v>
      </c>
      <c r="B287" s="54" t="s">
        <v>380</v>
      </c>
      <c r="C287" s="3">
        <v>45274</v>
      </c>
      <c r="D287" s="8">
        <v>4</v>
      </c>
      <c r="E287" s="2" t="s">
        <v>381</v>
      </c>
      <c r="F287" s="4" t="s">
        <v>570</v>
      </c>
      <c r="G287" s="4" t="s">
        <v>578</v>
      </c>
      <c r="H287" s="4" t="s">
        <v>330</v>
      </c>
      <c r="I287" s="7"/>
      <c r="K287" s="50"/>
      <c r="L287" s="7"/>
      <c r="M287" s="7">
        <v>0.18640000000000001</v>
      </c>
      <c r="O287" s="4"/>
      <c r="T287" s="7">
        <v>63.7</v>
      </c>
      <c r="U287" s="7">
        <v>616</v>
      </c>
      <c r="V287" s="7">
        <v>252.6</v>
      </c>
      <c r="W287" s="4" t="s">
        <v>576</v>
      </c>
      <c r="X287" s="4"/>
      <c r="Y287" s="4"/>
      <c r="Z287" s="7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  <c r="AN287" s="7"/>
      <c r="AO287" s="7"/>
      <c r="AP287" s="7"/>
      <c r="AQ287" s="7"/>
      <c r="AR287" s="7"/>
      <c r="AS287" s="7"/>
      <c r="AT287" s="7"/>
      <c r="AU287" s="7"/>
      <c r="AV287" s="7"/>
      <c r="AW287" s="4"/>
      <c r="AX287" s="2"/>
      <c r="AY287" s="7"/>
      <c r="AZ287" s="4"/>
      <c r="BA287" s="4">
        <v>111.6</v>
      </c>
      <c r="BB287" s="2"/>
      <c r="BC287" s="2"/>
      <c r="BD287" s="2">
        <v>25.1</v>
      </c>
      <c r="BE287" s="42">
        <v>1004</v>
      </c>
      <c r="BF287" s="43">
        <v>47</v>
      </c>
      <c r="BG287" s="44">
        <v>1.1659999999999999</v>
      </c>
      <c r="BH287" s="2">
        <v>2096</v>
      </c>
      <c r="BI287" s="2" t="s">
        <v>382</v>
      </c>
      <c r="BJ287" s="3" t="s">
        <v>410</v>
      </c>
      <c r="BK287"/>
      <c r="BL287"/>
      <c r="BM287"/>
      <c r="BR287"/>
    </row>
    <row r="288" spans="1:70" ht="42.75" x14ac:dyDescent="0.45">
      <c r="A288" s="2" t="s">
        <v>379</v>
      </c>
      <c r="B288" s="54" t="s">
        <v>380</v>
      </c>
      <c r="C288" s="3">
        <v>45274</v>
      </c>
      <c r="D288" s="8">
        <v>5</v>
      </c>
      <c r="E288" s="2" t="s">
        <v>381</v>
      </c>
      <c r="F288" s="4" t="s">
        <v>15</v>
      </c>
      <c r="G288" s="4" t="s">
        <v>577</v>
      </c>
      <c r="H288" s="4" t="s">
        <v>330</v>
      </c>
      <c r="I288" s="7"/>
      <c r="K288" s="50"/>
      <c r="L288" s="7"/>
      <c r="M288" s="7">
        <v>0.1943</v>
      </c>
      <c r="O288" s="4"/>
      <c r="T288" s="7">
        <v>62.6</v>
      </c>
      <c r="U288" s="7">
        <v>551</v>
      </c>
      <c r="V288" s="7">
        <v>253.1</v>
      </c>
      <c r="W288" s="4" t="s">
        <v>576</v>
      </c>
      <c r="X288" s="4"/>
      <c r="Y288" s="4"/>
      <c r="Z288" s="7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  <c r="AN288" s="7"/>
      <c r="AO288" s="7"/>
      <c r="AP288" s="7"/>
      <c r="AQ288" s="7"/>
      <c r="AR288" s="7"/>
      <c r="AS288" s="7"/>
      <c r="AT288" s="7"/>
      <c r="AU288" s="7"/>
      <c r="AV288" s="7"/>
      <c r="AW288" s="4"/>
      <c r="AX288" s="2"/>
      <c r="AY288" s="7"/>
      <c r="AZ288" s="4"/>
      <c r="BA288" s="4">
        <v>111.6</v>
      </c>
      <c r="BB288" s="2"/>
      <c r="BC288" s="2"/>
      <c r="BD288" s="2">
        <v>25.1</v>
      </c>
      <c r="BE288" s="42">
        <v>1004</v>
      </c>
      <c r="BF288" s="43">
        <v>47</v>
      </c>
      <c r="BG288" s="44">
        <v>1.1659999999999999</v>
      </c>
      <c r="BH288" s="2">
        <v>2096</v>
      </c>
      <c r="BI288" s="2" t="s">
        <v>382</v>
      </c>
      <c r="BJ288" s="3" t="s">
        <v>411</v>
      </c>
      <c r="BK288"/>
      <c r="BL288"/>
      <c r="BM288"/>
      <c r="BR288"/>
    </row>
    <row r="289" spans="1:70" ht="28.5" x14ac:dyDescent="0.45">
      <c r="A289" s="2" t="s">
        <v>43</v>
      </c>
      <c r="B289" s="54" t="s">
        <v>44</v>
      </c>
      <c r="C289" s="3">
        <v>45278</v>
      </c>
      <c r="D289" s="8">
        <v>1</v>
      </c>
      <c r="E289" s="2" t="s">
        <v>353</v>
      </c>
      <c r="F289" s="4" t="s">
        <v>15</v>
      </c>
      <c r="G289" s="4" t="s">
        <v>15</v>
      </c>
      <c r="H289" s="4" t="s">
        <v>330</v>
      </c>
      <c r="I289" s="7">
        <v>0.1694</v>
      </c>
      <c r="J289" s="7">
        <v>0.1694</v>
      </c>
      <c r="K289" s="50">
        <v>8.0000000000000004E-4</v>
      </c>
      <c r="L289" s="7">
        <v>0.16700000000000001</v>
      </c>
      <c r="M289" s="7">
        <v>0.16980000000000001</v>
      </c>
      <c r="N289" s="7">
        <v>-0.36</v>
      </c>
      <c r="O289" s="4"/>
      <c r="P289" s="7">
        <v>1.276</v>
      </c>
      <c r="T289" s="7">
        <v>61.2</v>
      </c>
      <c r="U289" s="7">
        <v>497</v>
      </c>
      <c r="V289" s="7">
        <v>755.8</v>
      </c>
      <c r="W289" s="4" t="s">
        <v>77</v>
      </c>
      <c r="X289" s="4"/>
      <c r="Y289" s="4"/>
      <c r="Z289" s="7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  <c r="AN289" s="7"/>
      <c r="AO289" s="7"/>
      <c r="AP289" s="7"/>
      <c r="AQ289" s="7"/>
      <c r="AR289" s="7"/>
      <c r="AS289" s="7"/>
      <c r="AT289" s="7"/>
      <c r="AU289" s="7"/>
      <c r="AV289" s="7"/>
      <c r="AW289" s="4"/>
      <c r="AX289" s="2"/>
      <c r="AY289" s="7"/>
      <c r="AZ289" s="4"/>
      <c r="BA289" s="4">
        <v>113.4</v>
      </c>
      <c r="BB289" s="2"/>
      <c r="BC289" s="2"/>
      <c r="BD289" s="2">
        <v>25.4</v>
      </c>
      <c r="BE289" s="42">
        <v>1013</v>
      </c>
      <c r="BF289" s="43">
        <v>58</v>
      </c>
      <c r="BG289" s="44">
        <v>1.1739999999999999</v>
      </c>
      <c r="BH289" s="2">
        <v>2096</v>
      </c>
      <c r="BI289" s="2"/>
      <c r="BJ289" s="3" t="s">
        <v>390</v>
      </c>
      <c r="BK289"/>
      <c r="BL289"/>
      <c r="BM289"/>
      <c r="BR289"/>
    </row>
    <row r="290" spans="1:70" ht="28.5" x14ac:dyDescent="0.45">
      <c r="A290" s="2" t="s">
        <v>43</v>
      </c>
      <c r="B290" s="54" t="s">
        <v>44</v>
      </c>
      <c r="C290" s="3">
        <v>45278</v>
      </c>
      <c r="D290" s="8">
        <v>2</v>
      </c>
      <c r="E290" s="2" t="s">
        <v>551</v>
      </c>
      <c r="F290" s="39" t="s">
        <v>329</v>
      </c>
      <c r="G290" s="4" t="s">
        <v>578</v>
      </c>
      <c r="H290" s="4" t="s">
        <v>330</v>
      </c>
      <c r="I290" s="7">
        <v>0.16170000000000001</v>
      </c>
      <c r="J290" s="7">
        <v>0.16170000000000001</v>
      </c>
      <c r="K290" s="50">
        <v>1.6999999999999999E-3</v>
      </c>
      <c r="L290" s="7">
        <v>0.159</v>
      </c>
      <c r="M290" s="7">
        <v>0.1593</v>
      </c>
      <c r="N290" s="7">
        <v>-0.4</v>
      </c>
      <c r="O290" s="4"/>
      <c r="P290" s="7">
        <v>1.276</v>
      </c>
      <c r="T290" s="7">
        <v>62.8</v>
      </c>
      <c r="U290" s="7">
        <v>507</v>
      </c>
      <c r="V290" s="7">
        <v>756.3</v>
      </c>
      <c r="W290" s="4" t="s">
        <v>77</v>
      </c>
      <c r="X290" s="4"/>
      <c r="Y290" s="4"/>
      <c r="Z290" s="7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  <c r="AN290" s="7"/>
      <c r="AO290" s="7"/>
      <c r="AP290" s="7"/>
      <c r="AQ290" s="7"/>
      <c r="AR290" s="7"/>
      <c r="AS290" s="7"/>
      <c r="AT290" s="7"/>
      <c r="AU290" s="7"/>
      <c r="AV290" s="7"/>
      <c r="AW290" s="4"/>
      <c r="AX290" s="2"/>
      <c r="AY290" s="7"/>
      <c r="AZ290" s="4"/>
      <c r="BA290" s="4">
        <v>113.4</v>
      </c>
      <c r="BB290" s="2"/>
      <c r="BC290" s="2"/>
      <c r="BD290" s="2">
        <v>25.4</v>
      </c>
      <c r="BE290" s="42">
        <v>1013</v>
      </c>
      <c r="BF290" s="43">
        <v>58</v>
      </c>
      <c r="BG290" s="44">
        <v>1.1739999999999999</v>
      </c>
      <c r="BH290" s="2">
        <v>2096</v>
      </c>
      <c r="BI290" s="2"/>
      <c r="BJ290" s="3" t="s">
        <v>391</v>
      </c>
      <c r="BK290"/>
      <c r="BL290"/>
      <c r="BM290"/>
      <c r="BR290"/>
    </row>
    <row r="291" spans="1:70" ht="28.5" x14ac:dyDescent="0.45">
      <c r="A291" s="2" t="s">
        <v>43</v>
      </c>
      <c r="B291" s="54" t="s">
        <v>44</v>
      </c>
      <c r="C291" s="3">
        <v>45278</v>
      </c>
      <c r="D291" s="8">
        <v>3</v>
      </c>
      <c r="E291" s="2" t="s">
        <v>551</v>
      </c>
      <c r="F291" s="39" t="s">
        <v>354</v>
      </c>
      <c r="G291" s="4" t="s">
        <v>578</v>
      </c>
      <c r="H291" s="4" t="s">
        <v>330</v>
      </c>
      <c r="I291" s="7">
        <v>0.16070000000000001</v>
      </c>
      <c r="J291" s="7">
        <v>0.16070000000000001</v>
      </c>
      <c r="K291" s="50">
        <v>5.1000000000000004E-3</v>
      </c>
      <c r="L291" s="7">
        <v>0.16200000000000001</v>
      </c>
      <c r="M291" s="7">
        <v>0.15939999999999999</v>
      </c>
      <c r="N291" s="7">
        <v>-0.47</v>
      </c>
      <c r="O291" s="4"/>
      <c r="P291" s="7">
        <v>1.276</v>
      </c>
      <c r="T291" s="7">
        <v>62.7</v>
      </c>
      <c r="U291" s="7">
        <v>509</v>
      </c>
      <c r="V291" s="7">
        <v>756.2</v>
      </c>
      <c r="W291" s="4" t="s">
        <v>77</v>
      </c>
      <c r="X291" s="4"/>
      <c r="Y291" s="4"/>
      <c r="Z291" s="7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  <c r="AN291" s="7"/>
      <c r="AO291" s="7"/>
      <c r="AP291" s="7"/>
      <c r="AQ291" s="7"/>
      <c r="AR291" s="7"/>
      <c r="AS291" s="7"/>
      <c r="AT291" s="7"/>
      <c r="AU291" s="7"/>
      <c r="AV291" s="7"/>
      <c r="AW291" s="4"/>
      <c r="AX291" s="2"/>
      <c r="AY291" s="7"/>
      <c r="AZ291" s="4"/>
      <c r="BA291" s="4">
        <v>113.4</v>
      </c>
      <c r="BB291" s="2"/>
      <c r="BC291" s="2"/>
      <c r="BD291" s="2">
        <v>25.5</v>
      </c>
      <c r="BE291" s="42">
        <v>1013</v>
      </c>
      <c r="BF291" s="43">
        <v>58</v>
      </c>
      <c r="BG291" s="44">
        <v>1.173</v>
      </c>
      <c r="BH291" s="2">
        <v>2096</v>
      </c>
      <c r="BI291" s="2"/>
      <c r="BJ291" s="3" t="s">
        <v>392</v>
      </c>
      <c r="BK291"/>
      <c r="BL291"/>
      <c r="BM291"/>
      <c r="BR291"/>
    </row>
    <row r="292" spans="1:70" ht="28.5" x14ac:dyDescent="0.45">
      <c r="A292" s="2" t="s">
        <v>43</v>
      </c>
      <c r="B292" s="54" t="s">
        <v>44</v>
      </c>
      <c r="C292" s="3">
        <v>45278</v>
      </c>
      <c r="D292" s="8">
        <v>4</v>
      </c>
      <c r="E292" s="2" t="s">
        <v>353</v>
      </c>
      <c r="F292" s="4" t="s">
        <v>15</v>
      </c>
      <c r="G292" s="4" t="s">
        <v>15</v>
      </c>
      <c r="H292" s="4" t="s">
        <v>330</v>
      </c>
      <c r="I292" s="7">
        <v>0.16900000000000001</v>
      </c>
      <c r="J292" s="7">
        <v>0.16900000000000001</v>
      </c>
      <c r="K292" s="50">
        <v>2.0999999999999999E-3</v>
      </c>
      <c r="L292" s="7">
        <v>0.16700000000000001</v>
      </c>
      <c r="M292" s="7">
        <v>0.1681</v>
      </c>
      <c r="N292" s="7">
        <v>-0.46</v>
      </c>
      <c r="O292" s="4"/>
      <c r="P292" s="7">
        <v>1.276</v>
      </c>
      <c r="T292" s="7">
        <v>61.9</v>
      </c>
      <c r="U292" s="7">
        <v>513</v>
      </c>
      <c r="V292" s="7">
        <v>756</v>
      </c>
      <c r="W292" s="4" t="s">
        <v>77</v>
      </c>
      <c r="X292" s="4"/>
      <c r="Y292" s="4"/>
      <c r="Z292" s="7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  <c r="AN292" s="7"/>
      <c r="AO292" s="7"/>
      <c r="AP292" s="7"/>
      <c r="AQ292" s="7"/>
      <c r="AR292" s="7"/>
      <c r="AS292" s="7"/>
      <c r="AT292" s="7"/>
      <c r="AU292" s="7"/>
      <c r="AV292" s="7"/>
      <c r="AW292" s="4"/>
      <c r="AX292" s="2"/>
      <c r="AY292" s="7"/>
      <c r="AZ292" s="4"/>
      <c r="BA292" s="4">
        <v>113.4</v>
      </c>
      <c r="BB292" s="2"/>
      <c r="BC292" s="2"/>
      <c r="BD292" s="2">
        <v>25.8</v>
      </c>
      <c r="BE292" s="42">
        <v>1013</v>
      </c>
      <c r="BF292" s="43">
        <v>58</v>
      </c>
      <c r="BG292" s="44">
        <v>1.1719999999999999</v>
      </c>
      <c r="BH292" s="2">
        <v>2096</v>
      </c>
      <c r="BI292" s="2"/>
      <c r="BJ292" s="3" t="s">
        <v>393</v>
      </c>
      <c r="BK292"/>
      <c r="BL292"/>
      <c r="BM292"/>
      <c r="BR292"/>
    </row>
    <row r="293" spans="1:70" ht="28.5" x14ac:dyDescent="0.45">
      <c r="A293" s="2" t="s">
        <v>43</v>
      </c>
      <c r="B293" s="54" t="s">
        <v>44</v>
      </c>
      <c r="C293" s="3">
        <v>45278</v>
      </c>
      <c r="D293" s="8">
        <v>5</v>
      </c>
      <c r="E293" s="2" t="s">
        <v>551</v>
      </c>
      <c r="F293" s="39" t="s">
        <v>329</v>
      </c>
      <c r="G293" s="4" t="s">
        <v>578</v>
      </c>
      <c r="H293" s="4" t="s">
        <v>330</v>
      </c>
      <c r="I293" s="7">
        <v>0.16</v>
      </c>
      <c r="J293" s="7">
        <v>0.16</v>
      </c>
      <c r="K293" s="50">
        <v>4.1999999999999997E-3</v>
      </c>
      <c r="L293" s="7">
        <v>0.159</v>
      </c>
      <c r="M293" s="7">
        <v>0.1598</v>
      </c>
      <c r="N293" s="7">
        <v>-0.43</v>
      </c>
      <c r="O293" s="4"/>
      <c r="P293" s="7">
        <v>1.276</v>
      </c>
      <c r="T293" s="7">
        <v>62.5</v>
      </c>
      <c r="U293" s="7">
        <v>506</v>
      </c>
      <c r="V293" s="7">
        <v>755.8</v>
      </c>
      <c r="W293" s="4" t="s">
        <v>77</v>
      </c>
      <c r="X293" s="4"/>
      <c r="Y293" s="4"/>
      <c r="Z293" s="7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  <c r="AN293" s="7"/>
      <c r="AO293" s="7"/>
      <c r="AP293" s="7"/>
      <c r="AQ293" s="7"/>
      <c r="AR293" s="7"/>
      <c r="AS293" s="7"/>
      <c r="AT293" s="7"/>
      <c r="AU293" s="7"/>
      <c r="AV293" s="7"/>
      <c r="AW293" s="4"/>
      <c r="AX293" s="2"/>
      <c r="AY293" s="7"/>
      <c r="AZ293" s="4"/>
      <c r="BA293" s="4">
        <v>113.4</v>
      </c>
      <c r="BB293" s="2"/>
      <c r="BC293" s="2"/>
      <c r="BD293" s="2">
        <v>25.8</v>
      </c>
      <c r="BE293" s="42">
        <v>1013</v>
      </c>
      <c r="BF293" s="43">
        <v>58</v>
      </c>
      <c r="BG293" s="44">
        <v>1.1719999999999999</v>
      </c>
      <c r="BH293" s="2">
        <v>2096</v>
      </c>
      <c r="BI293" s="2"/>
      <c r="BJ293" s="3" t="s">
        <v>394</v>
      </c>
      <c r="BK293"/>
      <c r="BL293"/>
      <c r="BM293"/>
      <c r="BR293"/>
    </row>
    <row r="294" spans="1:70" ht="28.5" x14ac:dyDescent="0.45">
      <c r="A294" s="2" t="s">
        <v>43</v>
      </c>
      <c r="B294" s="54" t="s">
        <v>44</v>
      </c>
      <c r="C294" s="3">
        <v>45278</v>
      </c>
      <c r="D294" s="8">
        <v>6</v>
      </c>
      <c r="E294" s="2" t="s">
        <v>551</v>
      </c>
      <c r="F294" s="39" t="s">
        <v>354</v>
      </c>
      <c r="G294" s="4" t="s">
        <v>578</v>
      </c>
      <c r="H294" s="4" t="s">
        <v>330</v>
      </c>
      <c r="I294" s="7">
        <v>0.16070000000000001</v>
      </c>
      <c r="J294" s="7">
        <v>0.16070000000000001</v>
      </c>
      <c r="K294" s="50">
        <v>4.1000000000000003E-3</v>
      </c>
      <c r="L294" s="7">
        <v>0.16300000000000001</v>
      </c>
      <c r="M294" s="7">
        <v>0.1593</v>
      </c>
      <c r="N294" s="7">
        <v>-0.49</v>
      </c>
      <c r="O294" s="4"/>
      <c r="P294" s="7">
        <v>1.276</v>
      </c>
      <c r="T294" s="7">
        <v>63.2</v>
      </c>
      <c r="U294" s="7">
        <v>520</v>
      </c>
      <c r="V294" s="7">
        <v>755.9</v>
      </c>
      <c r="W294" s="4" t="s">
        <v>77</v>
      </c>
      <c r="X294" s="4"/>
      <c r="Y294" s="4"/>
      <c r="Z294" s="7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  <c r="AN294" s="7"/>
      <c r="AO294" s="7"/>
      <c r="AP294" s="7"/>
      <c r="AQ294" s="7"/>
      <c r="AR294" s="7"/>
      <c r="AS294" s="7"/>
      <c r="AT294" s="7"/>
      <c r="AU294" s="7"/>
      <c r="AV294" s="7"/>
      <c r="AW294" s="4"/>
      <c r="AX294" s="2"/>
      <c r="AY294" s="7"/>
      <c r="AZ294" s="4"/>
      <c r="BA294" s="4">
        <v>113.4</v>
      </c>
      <c r="BB294" s="2"/>
      <c r="BC294" s="2"/>
      <c r="BD294" s="2">
        <v>25.8</v>
      </c>
      <c r="BE294" s="42">
        <v>1013</v>
      </c>
      <c r="BF294" s="43">
        <v>58</v>
      </c>
      <c r="BG294" s="44">
        <v>1.1719999999999999</v>
      </c>
      <c r="BH294" s="2">
        <v>2096</v>
      </c>
      <c r="BI294" s="2"/>
      <c r="BJ294" s="3" t="s">
        <v>395</v>
      </c>
      <c r="BK294"/>
      <c r="BL294"/>
      <c r="BM294"/>
      <c r="BR294"/>
    </row>
    <row r="295" spans="1:70" ht="28.5" x14ac:dyDescent="0.45">
      <c r="A295" s="2" t="s">
        <v>43</v>
      </c>
      <c r="B295" s="54" t="s">
        <v>99</v>
      </c>
      <c r="C295" s="3">
        <v>45278</v>
      </c>
      <c r="D295" s="8">
        <v>1</v>
      </c>
      <c r="E295" s="2" t="s">
        <v>550</v>
      </c>
      <c r="F295" s="4" t="s">
        <v>15</v>
      </c>
      <c r="G295" s="4" t="s">
        <v>15</v>
      </c>
      <c r="H295" s="4" t="s">
        <v>330</v>
      </c>
      <c r="I295" s="7">
        <v>0.16919999999999999</v>
      </c>
      <c r="J295" s="7">
        <v>0.16919999999999999</v>
      </c>
      <c r="K295" s="50">
        <v>3.3999999999999998E-3</v>
      </c>
      <c r="L295" s="7">
        <v>0.16600000000000001</v>
      </c>
      <c r="M295" s="7">
        <v>0.16789999999999999</v>
      </c>
      <c r="N295" s="7">
        <v>-0.47</v>
      </c>
      <c r="O295" s="4"/>
      <c r="P295" s="7">
        <v>1.266</v>
      </c>
      <c r="T295" s="7">
        <v>59</v>
      </c>
      <c r="U295" s="7">
        <v>448</v>
      </c>
      <c r="V295" s="7">
        <v>754.2</v>
      </c>
      <c r="W295" s="4" t="s">
        <v>48</v>
      </c>
      <c r="X295" s="4"/>
      <c r="Y295" s="4"/>
      <c r="Z295" s="7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  <c r="AN295" s="7"/>
      <c r="AO295" s="7"/>
      <c r="AP295" s="7"/>
      <c r="AQ295" s="7"/>
      <c r="AR295" s="7"/>
      <c r="AS295" s="7"/>
      <c r="AT295" s="7"/>
      <c r="AU295" s="7"/>
      <c r="AV295" s="7"/>
      <c r="AW295" s="4"/>
      <c r="AX295" s="2"/>
      <c r="AY295" s="7"/>
      <c r="AZ295" s="4"/>
      <c r="BA295" s="4"/>
      <c r="BB295" s="2"/>
      <c r="BC295" s="2"/>
      <c r="BD295" s="2"/>
      <c r="BE295" s="42"/>
      <c r="BF295" s="43"/>
      <c r="BG295" s="44"/>
      <c r="BH295" s="2"/>
      <c r="BI295" s="2"/>
      <c r="BJ295" s="3" t="s">
        <v>396</v>
      </c>
      <c r="BK295"/>
      <c r="BL295"/>
      <c r="BM295"/>
      <c r="BR295"/>
    </row>
    <row r="296" spans="1:70" ht="28.5" x14ac:dyDescent="0.45">
      <c r="A296" s="2" t="s">
        <v>43</v>
      </c>
      <c r="B296" s="54" t="s">
        <v>99</v>
      </c>
      <c r="C296" s="3">
        <v>45278</v>
      </c>
      <c r="D296" s="8">
        <v>2</v>
      </c>
      <c r="E296" s="2" t="s">
        <v>551</v>
      </c>
      <c r="F296" s="4" t="s">
        <v>15</v>
      </c>
      <c r="G296" s="4" t="s">
        <v>15</v>
      </c>
      <c r="H296" s="4" t="s">
        <v>330</v>
      </c>
      <c r="I296" s="7">
        <v>0.1704</v>
      </c>
      <c r="J296" s="7">
        <v>0.1704</v>
      </c>
      <c r="K296" s="50">
        <v>4.3E-3</v>
      </c>
      <c r="L296" s="7">
        <v>0.17</v>
      </c>
      <c r="M296" s="7">
        <v>0.16919999999999999</v>
      </c>
      <c r="N296" s="7">
        <v>-0.49</v>
      </c>
      <c r="O296" s="4"/>
      <c r="P296" s="7">
        <v>1.266</v>
      </c>
      <c r="T296" s="7">
        <v>58.4</v>
      </c>
      <c r="U296" s="7">
        <v>449</v>
      </c>
      <c r="V296" s="7">
        <v>755.1</v>
      </c>
      <c r="W296" s="4" t="s">
        <v>48</v>
      </c>
      <c r="X296" s="4"/>
      <c r="Y296" s="4"/>
      <c r="Z296" s="7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  <c r="AN296" s="7"/>
      <c r="AO296" s="7"/>
      <c r="AP296" s="7"/>
      <c r="AQ296" s="7"/>
      <c r="AR296" s="7"/>
      <c r="AS296" s="7"/>
      <c r="AT296" s="7"/>
      <c r="AU296" s="7"/>
      <c r="AV296" s="7"/>
      <c r="AW296" s="4"/>
      <c r="AX296" s="2"/>
      <c r="AY296" s="7"/>
      <c r="AZ296" s="4"/>
      <c r="BA296" s="4"/>
      <c r="BB296" s="2"/>
      <c r="BC296" s="2"/>
      <c r="BD296" s="2"/>
      <c r="BE296" s="42"/>
      <c r="BF296" s="43"/>
      <c r="BG296" s="44"/>
      <c r="BH296" s="2"/>
      <c r="BI296" s="2"/>
      <c r="BJ296" s="3" t="s">
        <v>384</v>
      </c>
      <c r="BK296"/>
      <c r="BL296"/>
      <c r="BM296"/>
      <c r="BR296"/>
    </row>
    <row r="297" spans="1:70" ht="28.5" x14ac:dyDescent="0.45">
      <c r="A297" s="2" t="s">
        <v>43</v>
      </c>
      <c r="B297" s="54" t="s">
        <v>99</v>
      </c>
      <c r="C297" s="3">
        <v>45278</v>
      </c>
      <c r="D297" s="8">
        <v>3</v>
      </c>
      <c r="E297" s="2" t="s">
        <v>552</v>
      </c>
      <c r="F297" s="4" t="s">
        <v>15</v>
      </c>
      <c r="G297" s="4" t="s">
        <v>15</v>
      </c>
      <c r="H297" s="4" t="s">
        <v>330</v>
      </c>
      <c r="I297" s="7">
        <v>0.16889999999999999</v>
      </c>
      <c r="J297" s="7">
        <v>0.17019999999999999</v>
      </c>
      <c r="K297" s="50">
        <v>2E-3</v>
      </c>
      <c r="L297" s="7">
        <v>0.16300000000000001</v>
      </c>
      <c r="M297" s="7">
        <v>0.1668</v>
      </c>
      <c r="N297" s="7">
        <v>-0.44</v>
      </c>
      <c r="O297" s="4"/>
      <c r="P297" s="7">
        <v>1.266</v>
      </c>
      <c r="T297" s="7">
        <v>58.8</v>
      </c>
      <c r="U297" s="7">
        <v>444</v>
      </c>
      <c r="V297" s="7">
        <v>754.2</v>
      </c>
      <c r="W297" s="4" t="s">
        <v>48</v>
      </c>
      <c r="X297" s="4"/>
      <c r="Y297" s="4"/>
      <c r="Z297" s="7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  <c r="AN297" s="7"/>
      <c r="AO297" s="7"/>
      <c r="AP297" s="7"/>
      <c r="AQ297" s="7"/>
      <c r="AR297" s="7"/>
      <c r="AS297" s="7"/>
      <c r="AT297" s="7"/>
      <c r="AU297" s="7"/>
      <c r="AV297" s="7"/>
      <c r="AW297" s="4"/>
      <c r="AX297" s="2"/>
      <c r="AY297" s="7"/>
      <c r="AZ297" s="4"/>
      <c r="BA297" s="4"/>
      <c r="BB297" s="2"/>
      <c r="BC297" s="2"/>
      <c r="BD297" s="2"/>
      <c r="BE297" s="42"/>
      <c r="BF297" s="43"/>
      <c r="BG297" s="44"/>
      <c r="BH297" s="2"/>
      <c r="BI297" s="2"/>
      <c r="BJ297" s="3" t="s">
        <v>385</v>
      </c>
      <c r="BK297"/>
      <c r="BL297"/>
      <c r="BM297"/>
      <c r="BR297"/>
    </row>
    <row r="298" spans="1:70" ht="28.5" x14ac:dyDescent="0.45">
      <c r="A298" s="2" t="s">
        <v>43</v>
      </c>
      <c r="B298" s="54" t="s">
        <v>99</v>
      </c>
      <c r="C298" s="3">
        <v>45278</v>
      </c>
      <c r="D298" s="8">
        <v>4</v>
      </c>
      <c r="E298" s="2" t="s">
        <v>550</v>
      </c>
      <c r="F298" s="4" t="s">
        <v>15</v>
      </c>
      <c r="G298" s="4" t="s">
        <v>15</v>
      </c>
      <c r="H298" s="4" t="s">
        <v>330</v>
      </c>
      <c r="I298" s="7">
        <v>0.17100000000000001</v>
      </c>
      <c r="J298" s="7">
        <v>0.17100000000000001</v>
      </c>
      <c r="K298" s="50">
        <v>3.0999999999999999E-3</v>
      </c>
      <c r="L298" s="7">
        <v>0.16700000000000001</v>
      </c>
      <c r="M298" s="7">
        <v>0.1676</v>
      </c>
      <c r="N298" s="7">
        <v>-0.48</v>
      </c>
      <c r="O298" s="4"/>
      <c r="P298" s="7">
        <v>1.266</v>
      </c>
      <c r="T298" s="7">
        <v>58.7</v>
      </c>
      <c r="U298" s="7">
        <v>443</v>
      </c>
      <c r="V298" s="7">
        <v>754.3</v>
      </c>
      <c r="W298" s="4" t="s">
        <v>48</v>
      </c>
      <c r="X298" s="4"/>
      <c r="Y298" s="4"/>
      <c r="Z298" s="7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  <c r="AN298" s="7"/>
      <c r="AO298" s="7"/>
      <c r="AP298" s="7"/>
      <c r="AQ298" s="7"/>
      <c r="AR298" s="7"/>
      <c r="AS298" s="7"/>
      <c r="AT298" s="7"/>
      <c r="AU298" s="7"/>
      <c r="AV298" s="7"/>
      <c r="AW298" s="4"/>
      <c r="AX298" s="2"/>
      <c r="AY298" s="7"/>
      <c r="AZ298" s="4"/>
      <c r="BA298" s="4"/>
      <c r="BB298" s="2"/>
      <c r="BC298" s="2"/>
      <c r="BD298" s="2"/>
      <c r="BE298" s="42"/>
      <c r="BF298" s="43"/>
      <c r="BG298" s="44"/>
      <c r="BH298" s="2"/>
      <c r="BI298" s="2"/>
      <c r="BJ298" s="3" t="s">
        <v>386</v>
      </c>
      <c r="BK298"/>
      <c r="BL298"/>
      <c r="BM298"/>
      <c r="BR298"/>
    </row>
    <row r="299" spans="1:70" ht="28.5" x14ac:dyDescent="0.45">
      <c r="A299" s="2" t="s">
        <v>43</v>
      </c>
      <c r="B299" s="54" t="s">
        <v>99</v>
      </c>
      <c r="C299" s="3">
        <v>45278</v>
      </c>
      <c r="D299" s="8">
        <v>5</v>
      </c>
      <c r="E299" s="2" t="s">
        <v>551</v>
      </c>
      <c r="F299" s="4" t="s">
        <v>15</v>
      </c>
      <c r="G299" s="4" t="s">
        <v>15</v>
      </c>
      <c r="H299" s="4" t="s">
        <v>330</v>
      </c>
      <c r="I299" s="7">
        <v>0.17430000000000001</v>
      </c>
      <c r="J299" s="7">
        <v>0.17430000000000001</v>
      </c>
      <c r="K299" s="50">
        <v>3.3999999999999998E-3</v>
      </c>
      <c r="L299" s="7"/>
      <c r="M299" s="7">
        <v>0.17100000000000001</v>
      </c>
      <c r="N299" s="7">
        <v>-0.46</v>
      </c>
      <c r="O299" s="4"/>
      <c r="P299" s="7">
        <v>1.266</v>
      </c>
      <c r="T299" s="7">
        <v>59</v>
      </c>
      <c r="U299" s="7">
        <v>449</v>
      </c>
      <c r="V299" s="7">
        <v>755</v>
      </c>
      <c r="W299" s="4" t="s">
        <v>48</v>
      </c>
      <c r="X299" s="4"/>
      <c r="Y299" s="4"/>
      <c r="Z299" s="7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  <c r="AN299" s="7"/>
      <c r="AO299" s="7"/>
      <c r="AP299" s="7"/>
      <c r="AQ299" s="7"/>
      <c r="AR299" s="7"/>
      <c r="AS299" s="7"/>
      <c r="AT299" s="7"/>
      <c r="AU299" s="7"/>
      <c r="AV299" s="7"/>
      <c r="AW299" s="4"/>
      <c r="AX299" s="2"/>
      <c r="AY299" s="7"/>
      <c r="AZ299" s="4"/>
      <c r="BA299" s="4"/>
      <c r="BB299" s="2"/>
      <c r="BC299" s="2"/>
      <c r="BD299" s="2"/>
      <c r="BE299" s="42"/>
      <c r="BF299" s="43"/>
      <c r="BG299" s="44"/>
      <c r="BH299" s="2"/>
      <c r="BI299" s="2"/>
      <c r="BJ299" s="3" t="s">
        <v>387</v>
      </c>
      <c r="BK299"/>
      <c r="BL299"/>
      <c r="BM299"/>
      <c r="BR299"/>
    </row>
    <row r="300" spans="1:70" ht="28.5" x14ac:dyDescent="0.45">
      <c r="A300" s="2" t="s">
        <v>43</v>
      </c>
      <c r="B300" s="54" t="s">
        <v>99</v>
      </c>
      <c r="C300" s="3">
        <v>45278</v>
      </c>
      <c r="D300" s="8">
        <v>6</v>
      </c>
      <c r="E300" s="2" t="s">
        <v>552</v>
      </c>
      <c r="F300" s="4" t="s">
        <v>15</v>
      </c>
      <c r="G300" s="4" t="s">
        <v>15</v>
      </c>
      <c r="H300" s="4" t="s">
        <v>330</v>
      </c>
      <c r="I300" s="7">
        <v>0.17030000000000001</v>
      </c>
      <c r="J300" s="7">
        <v>0.17150000000000001</v>
      </c>
      <c r="K300" s="50">
        <v>3.3999999999999998E-3</v>
      </c>
      <c r="L300" s="7">
        <v>0.16500000000000001</v>
      </c>
      <c r="M300" s="7">
        <v>0.16950000000000001</v>
      </c>
      <c r="N300" s="7">
        <v>-0.4</v>
      </c>
      <c r="O300" s="4"/>
      <c r="P300" s="7">
        <v>1.266</v>
      </c>
      <c r="T300" s="7">
        <v>59.3</v>
      </c>
      <c r="U300" s="7">
        <v>453</v>
      </c>
      <c r="V300" s="7">
        <v>754.9</v>
      </c>
      <c r="W300" s="4" t="s">
        <v>48</v>
      </c>
      <c r="X300" s="4"/>
      <c r="Y300" s="4"/>
      <c r="Z300" s="7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  <c r="AN300" s="7"/>
      <c r="AO300" s="7"/>
      <c r="AP300" s="7"/>
      <c r="AQ300" s="7"/>
      <c r="AR300" s="7"/>
      <c r="AS300" s="7"/>
      <c r="AT300" s="7"/>
      <c r="AU300" s="7"/>
      <c r="AV300" s="7"/>
      <c r="AW300" s="4"/>
      <c r="AX300" s="2"/>
      <c r="AY300" s="7"/>
      <c r="AZ300" s="4"/>
      <c r="BA300" s="4"/>
      <c r="BB300" s="2"/>
      <c r="BC300" s="2"/>
      <c r="BD300" s="2"/>
      <c r="BE300" s="42"/>
      <c r="BF300" s="43"/>
      <c r="BG300" s="44"/>
      <c r="BH300" s="2"/>
      <c r="BI300" s="2"/>
      <c r="BJ300" s="3" t="s">
        <v>388</v>
      </c>
      <c r="BK300"/>
      <c r="BL300"/>
      <c r="BM300"/>
      <c r="BR300"/>
    </row>
    <row r="301" spans="1:70" ht="28.5" x14ac:dyDescent="0.45">
      <c r="A301" s="2" t="s">
        <v>43</v>
      </c>
      <c r="B301" s="54" t="s">
        <v>99</v>
      </c>
      <c r="C301" s="3">
        <v>45278</v>
      </c>
      <c r="D301" s="8">
        <v>7</v>
      </c>
      <c r="E301" s="2" t="s">
        <v>552</v>
      </c>
      <c r="F301" s="4" t="s">
        <v>15</v>
      </c>
      <c r="G301" s="4" t="s">
        <v>15</v>
      </c>
      <c r="H301" s="4" t="s">
        <v>330</v>
      </c>
      <c r="I301" s="7">
        <v>0.17080000000000001</v>
      </c>
      <c r="J301" s="7">
        <v>0.17199999999999999</v>
      </c>
      <c r="K301" s="50">
        <v>1.4E-3</v>
      </c>
      <c r="L301" s="7">
        <v>0.16700000000000001</v>
      </c>
      <c r="M301" s="7">
        <v>0.16850000000000001</v>
      </c>
      <c r="N301" s="7">
        <v>-0.4</v>
      </c>
      <c r="O301" s="4"/>
      <c r="P301" s="7">
        <v>1.266</v>
      </c>
      <c r="T301" s="7">
        <v>59</v>
      </c>
      <c r="U301" s="7">
        <v>453</v>
      </c>
      <c r="V301" s="7">
        <v>754.7</v>
      </c>
      <c r="W301" s="4" t="s">
        <v>48</v>
      </c>
      <c r="X301" s="4"/>
      <c r="Y301" s="4"/>
      <c r="Z301" s="7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  <c r="AN301" s="7"/>
      <c r="AO301" s="7"/>
      <c r="AP301" s="7"/>
      <c r="AQ301" s="7"/>
      <c r="AR301" s="7"/>
      <c r="AS301" s="7"/>
      <c r="AT301" s="7"/>
      <c r="AU301" s="7"/>
      <c r="AV301" s="7"/>
      <c r="AW301" s="4"/>
      <c r="AX301" s="2"/>
      <c r="AY301" s="7"/>
      <c r="AZ301" s="4"/>
      <c r="BA301" s="4"/>
      <c r="BB301" s="2"/>
      <c r="BC301" s="2"/>
      <c r="BD301" s="2"/>
      <c r="BE301" s="42"/>
      <c r="BF301" s="43"/>
      <c r="BG301" s="44"/>
      <c r="BH301" s="2"/>
      <c r="BI301" s="2"/>
      <c r="BJ301" s="3" t="s">
        <v>389</v>
      </c>
      <c r="BK301"/>
      <c r="BL301"/>
      <c r="BM301"/>
      <c r="BR301"/>
    </row>
    <row r="302" spans="1:70" ht="28.5" x14ac:dyDescent="0.45">
      <c r="A302" s="2" t="s">
        <v>13</v>
      </c>
      <c r="B302" s="54" t="s">
        <v>28</v>
      </c>
      <c r="C302" s="3">
        <v>45278</v>
      </c>
      <c r="D302" s="8">
        <v>1</v>
      </c>
      <c r="E302" s="2" t="s">
        <v>353</v>
      </c>
      <c r="F302" s="4" t="s">
        <v>15</v>
      </c>
      <c r="G302" s="4" t="s">
        <v>577</v>
      </c>
      <c r="H302" s="4" t="s">
        <v>571</v>
      </c>
      <c r="I302" s="7">
        <v>0.1676</v>
      </c>
      <c r="J302" s="7">
        <v>0.1676</v>
      </c>
      <c r="K302" s="50">
        <v>4.0000000000000001E-3</v>
      </c>
      <c r="L302" s="7">
        <v>0.16500000000000001</v>
      </c>
      <c r="M302" s="7">
        <v>0.16239999999999999</v>
      </c>
      <c r="N302" s="7">
        <v>-0.56999999999999995</v>
      </c>
      <c r="O302" s="4"/>
      <c r="P302" s="7">
        <v>1.2275</v>
      </c>
      <c r="T302" s="7">
        <v>65.7</v>
      </c>
      <c r="U302" s="7">
        <v>606</v>
      </c>
      <c r="V302" s="7">
        <v>755.2</v>
      </c>
      <c r="W302" s="4" t="s">
        <v>224</v>
      </c>
      <c r="X302" s="4"/>
      <c r="Y302" s="4"/>
      <c r="Z302" s="7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  <c r="AN302" s="7"/>
      <c r="AO302" s="7"/>
      <c r="AP302" s="7"/>
      <c r="AQ302" s="7"/>
      <c r="AR302" s="7"/>
      <c r="AS302" s="7"/>
      <c r="AT302" s="7"/>
      <c r="AU302" s="7"/>
      <c r="AV302" s="7"/>
      <c r="AW302" s="4"/>
      <c r="AX302" s="2"/>
      <c r="AY302" s="7"/>
      <c r="AZ302" s="4"/>
      <c r="BA302" s="4">
        <v>120.6</v>
      </c>
      <c r="BB302" s="2"/>
      <c r="BC302" s="2"/>
      <c r="BD302" s="2">
        <v>25.4</v>
      </c>
      <c r="BE302" s="42">
        <v>1013</v>
      </c>
      <c r="BF302" s="43">
        <v>58</v>
      </c>
      <c r="BG302" s="44">
        <v>1.1739999999999999</v>
      </c>
      <c r="BH302" s="2">
        <v>2096</v>
      </c>
      <c r="BI302" s="2"/>
      <c r="BJ302" s="3" t="s">
        <v>403</v>
      </c>
      <c r="BK302"/>
      <c r="BL302"/>
      <c r="BM302"/>
      <c r="BO302" s="7"/>
      <c r="BR302"/>
    </row>
    <row r="303" spans="1:70" x14ac:dyDescent="0.45">
      <c r="A303" s="2" t="s">
        <v>13</v>
      </c>
      <c r="B303" s="54" t="s">
        <v>28</v>
      </c>
      <c r="C303" s="3">
        <v>45278</v>
      </c>
      <c r="D303" s="8">
        <v>2</v>
      </c>
      <c r="E303" s="2" t="s">
        <v>551</v>
      </c>
      <c r="F303" s="39" t="s">
        <v>354</v>
      </c>
      <c r="G303" s="4" t="s">
        <v>578</v>
      </c>
      <c r="H303" s="4" t="s">
        <v>571</v>
      </c>
      <c r="I303" s="7">
        <v>0.1694</v>
      </c>
      <c r="J303" s="7">
        <v>0.1694</v>
      </c>
      <c r="K303" s="50">
        <v>3.8999999999999998E-3</v>
      </c>
      <c r="L303" s="7">
        <v>0.16600000000000001</v>
      </c>
      <c r="M303" s="7">
        <v>0.16070000000000001</v>
      </c>
      <c r="N303" s="7">
        <v>-0.68</v>
      </c>
      <c r="O303" s="4"/>
      <c r="P303" s="7">
        <v>1.2275</v>
      </c>
      <c r="T303" s="7">
        <v>65</v>
      </c>
      <c r="U303" s="7">
        <v>579</v>
      </c>
      <c r="V303" s="7">
        <v>754.4</v>
      </c>
      <c r="W303" s="4" t="s">
        <v>224</v>
      </c>
      <c r="X303" s="4"/>
      <c r="Y303" s="4"/>
      <c r="Z303" s="7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  <c r="AN303" s="7"/>
      <c r="AO303" s="7"/>
      <c r="AP303" s="7"/>
      <c r="AQ303" s="7"/>
      <c r="AR303" s="7"/>
      <c r="AS303" s="7"/>
      <c r="AT303" s="7"/>
      <c r="AU303" s="7"/>
      <c r="AV303" s="7"/>
      <c r="AW303" s="4"/>
      <c r="AX303" s="2"/>
      <c r="AY303" s="7"/>
      <c r="AZ303" s="4"/>
      <c r="BA303" s="4">
        <v>120.6</v>
      </c>
      <c r="BB303" s="2"/>
      <c r="BC303" s="2"/>
      <c r="BD303" s="2">
        <v>25.5</v>
      </c>
      <c r="BE303" s="42">
        <v>1013</v>
      </c>
      <c r="BF303" s="43">
        <v>58</v>
      </c>
      <c r="BG303" s="44">
        <v>1.173</v>
      </c>
      <c r="BH303" s="2">
        <v>2096</v>
      </c>
      <c r="BI303" s="2"/>
      <c r="BJ303" s="3" t="s">
        <v>404</v>
      </c>
      <c r="BK303"/>
      <c r="BL303"/>
      <c r="BM303"/>
      <c r="BO303" s="7"/>
      <c r="BR303"/>
    </row>
    <row r="304" spans="1:70" ht="28.5" x14ac:dyDescent="0.45">
      <c r="A304" s="2" t="s">
        <v>13</v>
      </c>
      <c r="B304" s="54" t="s">
        <v>28</v>
      </c>
      <c r="C304" s="3">
        <v>45278</v>
      </c>
      <c r="D304" s="8">
        <v>3</v>
      </c>
      <c r="E304" s="2" t="s">
        <v>551</v>
      </c>
      <c r="F304" s="39" t="s">
        <v>560</v>
      </c>
      <c r="G304" s="4" t="s">
        <v>578</v>
      </c>
      <c r="H304" s="4" t="s">
        <v>571</v>
      </c>
      <c r="I304" s="7">
        <v>0.1721</v>
      </c>
      <c r="J304" s="7">
        <v>0.1721</v>
      </c>
      <c r="K304" s="50">
        <v>2.3E-3</v>
      </c>
      <c r="L304" s="7">
        <v>0.16600000000000001</v>
      </c>
      <c r="M304" s="7">
        <v>0.16339999999999999</v>
      </c>
      <c r="N304" s="7">
        <v>-0.69</v>
      </c>
      <c r="O304" s="4"/>
      <c r="P304" s="7">
        <v>1.2275</v>
      </c>
      <c r="T304" s="7">
        <v>65.3</v>
      </c>
      <c r="U304" s="7">
        <v>587</v>
      </c>
      <c r="V304" s="7">
        <v>755.4</v>
      </c>
      <c r="W304" s="4" t="s">
        <v>224</v>
      </c>
      <c r="X304" s="4"/>
      <c r="Y304" s="4"/>
      <c r="Z304" s="7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  <c r="AN304" s="7"/>
      <c r="AO304" s="7"/>
      <c r="AP304" s="7"/>
      <c r="AQ304" s="7"/>
      <c r="AR304" s="7"/>
      <c r="AS304" s="7"/>
      <c r="AT304" s="7"/>
      <c r="AU304" s="7"/>
      <c r="AV304" s="7"/>
      <c r="AW304" s="4"/>
      <c r="AX304" s="2"/>
      <c r="AY304" s="7"/>
      <c r="AZ304" s="4"/>
      <c r="BA304" s="4">
        <v>120.6</v>
      </c>
      <c r="BB304" s="2"/>
      <c r="BC304" s="2"/>
      <c r="BD304" s="2">
        <v>25.5</v>
      </c>
      <c r="BE304" s="42">
        <v>1013</v>
      </c>
      <c r="BF304" s="43">
        <v>58</v>
      </c>
      <c r="BG304" s="44">
        <v>1.173</v>
      </c>
      <c r="BH304" s="2">
        <v>2096</v>
      </c>
      <c r="BI304" s="2"/>
      <c r="BJ304" s="3" t="s">
        <v>397</v>
      </c>
      <c r="BK304"/>
      <c r="BL304"/>
      <c r="BM304"/>
      <c r="BO304" s="7"/>
      <c r="BR304"/>
    </row>
    <row r="305" spans="1:70" ht="28.5" x14ac:dyDescent="0.45">
      <c r="A305" s="2" t="s">
        <v>13</v>
      </c>
      <c r="B305" s="54" t="s">
        <v>28</v>
      </c>
      <c r="C305" s="3">
        <v>45278</v>
      </c>
      <c r="D305" s="8">
        <v>4</v>
      </c>
      <c r="E305" s="2" t="s">
        <v>551</v>
      </c>
      <c r="F305" s="39" t="s">
        <v>569</v>
      </c>
      <c r="G305" s="4" t="s">
        <v>578</v>
      </c>
      <c r="H305" s="4" t="s">
        <v>571</v>
      </c>
      <c r="I305" s="7">
        <v>0.17180000000000001</v>
      </c>
      <c r="J305" s="7">
        <v>0.17180000000000001</v>
      </c>
      <c r="K305" s="50">
        <v>2.7000000000000001E-3</v>
      </c>
      <c r="L305" s="7">
        <v>0.16500000000000001</v>
      </c>
      <c r="M305" s="7">
        <v>0.15870000000000001</v>
      </c>
      <c r="N305" s="7">
        <v>-0.73</v>
      </c>
      <c r="O305" s="4"/>
      <c r="P305" s="7">
        <v>1.2275</v>
      </c>
      <c r="T305" s="7">
        <v>65.8</v>
      </c>
      <c r="U305" s="7">
        <v>593</v>
      </c>
      <c r="V305" s="7">
        <v>756.2</v>
      </c>
      <c r="W305" s="4" t="s">
        <v>224</v>
      </c>
      <c r="X305" s="4"/>
      <c r="Y305" s="4"/>
      <c r="Z305" s="7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  <c r="AN305" s="7"/>
      <c r="AO305" s="7"/>
      <c r="AP305" s="7"/>
      <c r="AQ305" s="7"/>
      <c r="AR305" s="7"/>
      <c r="AS305" s="7"/>
      <c r="AT305" s="7"/>
      <c r="AU305" s="7"/>
      <c r="AV305" s="7"/>
      <c r="AW305" s="4"/>
      <c r="AX305" s="2"/>
      <c r="AY305" s="7"/>
      <c r="AZ305" s="4"/>
      <c r="BA305" s="4">
        <v>120.6</v>
      </c>
      <c r="BB305" s="2"/>
      <c r="BC305" s="2"/>
      <c r="BD305" s="2">
        <v>25.8</v>
      </c>
      <c r="BE305" s="42">
        <v>1013</v>
      </c>
      <c r="BF305" s="43">
        <v>58</v>
      </c>
      <c r="BG305" s="44">
        <v>1.1719999999999999</v>
      </c>
      <c r="BH305" s="2">
        <v>2096</v>
      </c>
      <c r="BI305" s="2"/>
      <c r="BJ305" s="3" t="s">
        <v>398</v>
      </c>
      <c r="BK305"/>
      <c r="BL305"/>
      <c r="BM305"/>
      <c r="BO305" s="7"/>
      <c r="BR305"/>
    </row>
    <row r="306" spans="1:70" ht="28.5" x14ac:dyDescent="0.45">
      <c r="A306" s="2" t="s">
        <v>13</v>
      </c>
      <c r="B306" s="54" t="s">
        <v>28</v>
      </c>
      <c r="C306" s="3">
        <v>45278</v>
      </c>
      <c r="D306" s="8">
        <v>5</v>
      </c>
      <c r="E306" s="2" t="s">
        <v>353</v>
      </c>
      <c r="F306" s="4" t="s">
        <v>15</v>
      </c>
      <c r="G306" s="4" t="s">
        <v>577</v>
      </c>
      <c r="H306" s="4" t="s">
        <v>571</v>
      </c>
      <c r="I306" s="7">
        <v>0.16819999999999999</v>
      </c>
      <c r="J306" s="7">
        <v>0.16819999999999999</v>
      </c>
      <c r="K306" s="50">
        <v>3.8E-3</v>
      </c>
      <c r="L306" s="7">
        <v>0.16200000000000001</v>
      </c>
      <c r="M306" s="7">
        <v>0.16109999999999999</v>
      </c>
      <c r="N306" s="7">
        <v>-0.67</v>
      </c>
      <c r="O306" s="4"/>
      <c r="P306" s="7">
        <v>1.2275</v>
      </c>
      <c r="T306" s="7">
        <v>65.8</v>
      </c>
      <c r="U306" s="7">
        <v>591</v>
      </c>
      <c r="V306" s="7">
        <v>755.1</v>
      </c>
      <c r="W306" s="4" t="s">
        <v>224</v>
      </c>
      <c r="X306" s="4"/>
      <c r="Y306" s="4"/>
      <c r="Z306" s="7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  <c r="AN306" s="7"/>
      <c r="AO306" s="7"/>
      <c r="AP306" s="7"/>
      <c r="AQ306" s="7"/>
      <c r="AR306" s="7"/>
      <c r="AS306" s="7"/>
      <c r="AT306" s="7"/>
      <c r="AU306" s="7"/>
      <c r="AV306" s="7"/>
      <c r="AW306" s="4"/>
      <c r="AX306" s="2"/>
      <c r="AY306" s="7"/>
      <c r="AZ306" s="4"/>
      <c r="BA306" s="4">
        <v>120.6</v>
      </c>
      <c r="BB306" s="2"/>
      <c r="BC306" s="2"/>
      <c r="BD306" s="2">
        <v>25.8</v>
      </c>
      <c r="BE306" s="42">
        <v>1013</v>
      </c>
      <c r="BF306" s="43">
        <v>58</v>
      </c>
      <c r="BG306" s="44">
        <v>1.1719999999999999</v>
      </c>
      <c r="BH306" s="2">
        <v>2096</v>
      </c>
      <c r="BI306" s="2"/>
      <c r="BJ306" s="3" t="s">
        <v>399</v>
      </c>
      <c r="BK306"/>
      <c r="BL306"/>
      <c r="BM306"/>
      <c r="BO306" s="7"/>
      <c r="BR306"/>
    </row>
    <row r="307" spans="1:70" ht="28.5" x14ac:dyDescent="0.45">
      <c r="A307" s="2" t="s">
        <v>13</v>
      </c>
      <c r="B307" s="54" t="s">
        <v>28</v>
      </c>
      <c r="C307" s="3">
        <v>45278</v>
      </c>
      <c r="D307" s="8">
        <v>6</v>
      </c>
      <c r="E307" s="2" t="s">
        <v>551</v>
      </c>
      <c r="F307" s="39" t="s">
        <v>354</v>
      </c>
      <c r="G307" s="4" t="s">
        <v>578</v>
      </c>
      <c r="H307" s="4" t="s">
        <v>571</v>
      </c>
      <c r="I307" s="7">
        <v>0.16789999999999999</v>
      </c>
      <c r="J307" s="7">
        <v>0.16789999999999999</v>
      </c>
      <c r="K307" s="50">
        <v>2.3999999999999998E-3</v>
      </c>
      <c r="L307" s="7">
        <v>0.16200000000000001</v>
      </c>
      <c r="M307" s="7">
        <v>0.15820000000000001</v>
      </c>
      <c r="N307" s="7">
        <v>-0.67</v>
      </c>
      <c r="O307" s="4"/>
      <c r="P307" s="7">
        <v>1.2275</v>
      </c>
      <c r="T307" s="7">
        <v>65.3</v>
      </c>
      <c r="U307" s="7">
        <v>575</v>
      </c>
      <c r="V307" s="7">
        <v>755.5</v>
      </c>
      <c r="W307" s="4" t="s">
        <v>224</v>
      </c>
      <c r="X307" s="4"/>
      <c r="Y307" s="4"/>
      <c r="Z307" s="7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7"/>
      <c r="AN307" s="7"/>
      <c r="AO307" s="7"/>
      <c r="AP307" s="7"/>
      <c r="AQ307" s="7"/>
      <c r="AR307" s="7"/>
      <c r="AS307" s="7"/>
      <c r="AT307" s="7"/>
      <c r="AU307" s="7"/>
      <c r="AV307" s="7"/>
      <c r="AW307" s="4"/>
      <c r="AX307" s="2"/>
      <c r="AY307" s="7"/>
      <c r="AZ307" s="4"/>
      <c r="BA307" s="4">
        <v>120.6</v>
      </c>
      <c r="BB307" s="2"/>
      <c r="BC307" s="2"/>
      <c r="BD307" s="2">
        <v>26</v>
      </c>
      <c r="BE307" s="42">
        <v>1013</v>
      </c>
      <c r="BF307" s="43">
        <v>58</v>
      </c>
      <c r="BG307" s="44">
        <v>1.1719999999999999</v>
      </c>
      <c r="BH307" s="2">
        <v>2096</v>
      </c>
      <c r="BI307" s="2"/>
      <c r="BJ307" s="3" t="s">
        <v>400</v>
      </c>
      <c r="BK307"/>
      <c r="BL307"/>
      <c r="BM307"/>
      <c r="BO307" s="7"/>
      <c r="BR307"/>
    </row>
    <row r="308" spans="1:70" ht="28.5" x14ac:dyDescent="0.45">
      <c r="A308" s="2" t="s">
        <v>13</v>
      </c>
      <c r="B308" s="54" t="s">
        <v>28</v>
      </c>
      <c r="C308" s="3">
        <v>45278</v>
      </c>
      <c r="D308" s="8">
        <v>7</v>
      </c>
      <c r="E308" s="2" t="s">
        <v>551</v>
      </c>
      <c r="F308" s="39" t="s">
        <v>560</v>
      </c>
      <c r="G308" s="4" t="s">
        <v>578</v>
      </c>
      <c r="H308" s="4" t="s">
        <v>571</v>
      </c>
      <c r="I308" s="7">
        <v>0.1686</v>
      </c>
      <c r="J308" s="7">
        <v>0.1686</v>
      </c>
      <c r="K308" s="50">
        <v>2.7000000000000001E-3</v>
      </c>
      <c r="L308" s="7">
        <v>0.16300000000000001</v>
      </c>
      <c r="M308" s="7">
        <v>0.161</v>
      </c>
      <c r="N308" s="7">
        <v>-0.67</v>
      </c>
      <c r="O308" s="4"/>
      <c r="P308" s="7">
        <v>1.2275</v>
      </c>
      <c r="T308" s="7">
        <v>65.8</v>
      </c>
      <c r="U308" s="7">
        <v>598</v>
      </c>
      <c r="V308" s="7">
        <v>755.5</v>
      </c>
      <c r="W308" s="4" t="s">
        <v>224</v>
      </c>
      <c r="X308" s="4"/>
      <c r="Y308" s="4"/>
      <c r="Z308" s="7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  <c r="AN308" s="7"/>
      <c r="AO308" s="7"/>
      <c r="AP308" s="7"/>
      <c r="AQ308" s="7"/>
      <c r="AR308" s="7"/>
      <c r="AS308" s="7"/>
      <c r="AT308" s="7"/>
      <c r="AU308" s="7"/>
      <c r="AV308" s="7"/>
      <c r="AW308" s="4"/>
      <c r="AX308" s="2"/>
      <c r="AY308" s="7"/>
      <c r="AZ308" s="4"/>
      <c r="BA308" s="4">
        <v>120.6</v>
      </c>
      <c r="BB308" s="2"/>
      <c r="BC308" s="2"/>
      <c r="BD308" s="2">
        <v>26</v>
      </c>
      <c r="BE308" s="42">
        <v>1013</v>
      </c>
      <c r="BF308" s="43">
        <v>58</v>
      </c>
      <c r="BG308" s="44">
        <v>1.1719999999999999</v>
      </c>
      <c r="BH308" s="2">
        <v>2096</v>
      </c>
      <c r="BI308" s="2"/>
      <c r="BJ308" s="3" t="s">
        <v>401</v>
      </c>
      <c r="BK308"/>
      <c r="BL308"/>
      <c r="BM308"/>
      <c r="BO308" s="7"/>
      <c r="BR308"/>
    </row>
    <row r="309" spans="1:70" ht="28.5" x14ac:dyDescent="0.45">
      <c r="A309" s="2" t="s">
        <v>13</v>
      </c>
      <c r="B309" s="54" t="s">
        <v>28</v>
      </c>
      <c r="C309" s="3">
        <v>45278</v>
      </c>
      <c r="D309" s="8">
        <v>8</v>
      </c>
      <c r="E309" s="2" t="s">
        <v>551</v>
      </c>
      <c r="F309" s="39" t="s">
        <v>569</v>
      </c>
      <c r="G309" s="4" t="s">
        <v>578</v>
      </c>
      <c r="H309" s="4" t="s">
        <v>571</v>
      </c>
      <c r="I309" s="7">
        <v>0.16719999999999999</v>
      </c>
      <c r="J309" s="7">
        <v>0.16719999999999999</v>
      </c>
      <c r="K309" s="50">
        <v>1.5E-3</v>
      </c>
      <c r="L309" s="7">
        <v>0.16400000000000001</v>
      </c>
      <c r="M309" s="7">
        <v>0.15920000000000001</v>
      </c>
      <c r="N309" s="7">
        <v>-0.65</v>
      </c>
      <c r="O309" s="4"/>
      <c r="P309" s="7">
        <v>1.2275</v>
      </c>
      <c r="T309" s="7">
        <v>66.7</v>
      </c>
      <c r="U309" s="7">
        <v>618</v>
      </c>
      <c r="V309" s="7">
        <v>755.4</v>
      </c>
      <c r="W309" s="4" t="s">
        <v>224</v>
      </c>
      <c r="X309" s="4"/>
      <c r="Y309" s="4"/>
      <c r="Z309" s="7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  <c r="AM309" s="7"/>
      <c r="AN309" s="7"/>
      <c r="AO309" s="7"/>
      <c r="AP309" s="7"/>
      <c r="AQ309" s="7"/>
      <c r="AR309" s="7"/>
      <c r="AS309" s="7"/>
      <c r="AT309" s="7"/>
      <c r="AU309" s="7"/>
      <c r="AV309" s="7"/>
      <c r="AW309" s="4"/>
      <c r="AX309" s="2"/>
      <c r="AY309" s="7"/>
      <c r="AZ309" s="4"/>
      <c r="BA309" s="4">
        <v>120.6</v>
      </c>
      <c r="BB309" s="2"/>
      <c r="BC309" s="2"/>
      <c r="BD309" s="2">
        <v>26.2</v>
      </c>
      <c r="BE309" s="42">
        <v>1014</v>
      </c>
      <c r="BF309" s="43">
        <v>58</v>
      </c>
      <c r="BG309" s="44">
        <v>1.171</v>
      </c>
      <c r="BH309" s="2">
        <v>2096</v>
      </c>
      <c r="BI309" s="2"/>
      <c r="BJ309" s="3" t="s">
        <v>402</v>
      </c>
      <c r="BK309"/>
      <c r="BL309"/>
      <c r="BM309"/>
      <c r="BO309" s="7"/>
      <c r="BR309"/>
    </row>
    <row r="310" spans="1:70" ht="28.5" x14ac:dyDescent="0.45">
      <c r="A310" s="2" t="s">
        <v>43</v>
      </c>
      <c r="B310" s="54" t="s">
        <v>383</v>
      </c>
      <c r="C310" s="3">
        <v>45281</v>
      </c>
      <c r="D310" s="8">
        <v>1</v>
      </c>
      <c r="E310" s="2" t="s">
        <v>448</v>
      </c>
      <c r="F310" s="4" t="s">
        <v>15</v>
      </c>
      <c r="G310" s="4" t="s">
        <v>15</v>
      </c>
      <c r="H310" s="4" t="s">
        <v>330</v>
      </c>
      <c r="I310" s="7">
        <v>0.1842</v>
      </c>
      <c r="J310" s="7">
        <v>0.18559999999999999</v>
      </c>
      <c r="K310" s="50">
        <v>2.0999999999999999E-3</v>
      </c>
      <c r="L310" s="7">
        <v>0.18</v>
      </c>
      <c r="M310" s="7">
        <v>0.17960000000000001</v>
      </c>
      <c r="N310" s="7">
        <v>-0.27</v>
      </c>
      <c r="O310" s="4"/>
      <c r="P310" s="7">
        <v>1.21</v>
      </c>
      <c r="T310" s="7">
        <v>59.7</v>
      </c>
      <c r="U310" s="7">
        <v>503</v>
      </c>
      <c r="V310" s="7">
        <v>754.8</v>
      </c>
      <c r="W310" s="4"/>
      <c r="X310" s="4"/>
      <c r="Y310" s="4"/>
      <c r="Z310" s="7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7"/>
      <c r="AN310" s="7"/>
      <c r="AO310" s="7"/>
      <c r="AP310" s="7"/>
      <c r="AQ310" s="7"/>
      <c r="AR310" s="7"/>
      <c r="AS310" s="7"/>
      <c r="AT310" s="7"/>
      <c r="AU310" s="7"/>
      <c r="AV310" s="7"/>
      <c r="AW310" s="4"/>
      <c r="AX310" s="2"/>
      <c r="AY310" s="7"/>
      <c r="AZ310" s="4"/>
      <c r="BA310" s="4">
        <v>108</v>
      </c>
      <c r="BB310" s="2"/>
      <c r="BC310" s="2"/>
      <c r="BD310" s="10">
        <v>27.1</v>
      </c>
      <c r="BE310" s="42">
        <v>1018.2</v>
      </c>
      <c r="BF310" s="43">
        <v>53.6</v>
      </c>
      <c r="BG310" s="44"/>
      <c r="BH310" s="2">
        <v>2096</v>
      </c>
      <c r="BI310" s="2"/>
      <c r="BJ310" s="3" t="s">
        <v>426</v>
      </c>
      <c r="BK310"/>
      <c r="BL310"/>
      <c r="BM310"/>
      <c r="BO310" s="7"/>
      <c r="BR310"/>
    </row>
    <row r="311" spans="1:70" ht="28.5" x14ac:dyDescent="0.45">
      <c r="A311" s="2" t="s">
        <v>43</v>
      </c>
      <c r="B311" s="54" t="s">
        <v>383</v>
      </c>
      <c r="C311" s="3">
        <v>45281</v>
      </c>
      <c r="D311" s="8">
        <v>2</v>
      </c>
      <c r="E311" s="2" t="s">
        <v>449</v>
      </c>
      <c r="F311" s="4" t="s">
        <v>15</v>
      </c>
      <c r="G311" s="4" t="s">
        <v>15</v>
      </c>
      <c r="H311" s="4" t="s">
        <v>330</v>
      </c>
      <c r="I311" s="7">
        <v>0.19700000000000001</v>
      </c>
      <c r="J311" s="7">
        <v>0.19700000000000001</v>
      </c>
      <c r="K311" s="50">
        <v>4.5999999999999999E-3</v>
      </c>
      <c r="L311" s="7">
        <v>0.191</v>
      </c>
      <c r="M311" s="7">
        <v>0.17780000000000001</v>
      </c>
      <c r="N311" s="7">
        <v>-0.92</v>
      </c>
      <c r="O311" s="4"/>
      <c r="P311" s="7">
        <v>1.21</v>
      </c>
      <c r="T311" s="7">
        <v>59.5</v>
      </c>
      <c r="U311" s="7">
        <v>494</v>
      </c>
      <c r="V311" s="7">
        <v>754.2</v>
      </c>
      <c r="W311" s="4"/>
      <c r="X311" s="4"/>
      <c r="Y311" s="4"/>
      <c r="Z311" s="7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  <c r="AN311" s="7"/>
      <c r="AO311" s="7"/>
      <c r="AP311" s="7"/>
      <c r="AQ311" s="7"/>
      <c r="AR311" s="7"/>
      <c r="AS311" s="7"/>
      <c r="AT311" s="7"/>
      <c r="AU311" s="7"/>
      <c r="AV311" s="7"/>
      <c r="AW311" s="4"/>
      <c r="AX311" s="2"/>
      <c r="AY311" s="7"/>
      <c r="AZ311" s="4"/>
      <c r="BA311" s="4">
        <v>111.6</v>
      </c>
      <c r="BB311" s="2"/>
      <c r="BC311" s="2"/>
      <c r="BD311" s="10">
        <v>27.1</v>
      </c>
      <c r="BE311" s="42">
        <v>1018.2</v>
      </c>
      <c r="BF311" s="43">
        <v>53.6</v>
      </c>
      <c r="BG311" s="44"/>
      <c r="BH311" s="2">
        <v>2096</v>
      </c>
      <c r="BI311" s="2"/>
      <c r="BJ311" s="3" t="s">
        <v>432</v>
      </c>
      <c r="BK311"/>
      <c r="BL311"/>
      <c r="BM311"/>
      <c r="BO311" s="7"/>
      <c r="BR311"/>
    </row>
    <row r="312" spans="1:70" ht="28.5" x14ac:dyDescent="0.45">
      <c r="A312" s="2" t="s">
        <v>43</v>
      </c>
      <c r="B312" s="54" t="s">
        <v>383</v>
      </c>
      <c r="C312" s="3">
        <v>45281</v>
      </c>
      <c r="D312" s="8">
        <v>3</v>
      </c>
      <c r="E312" s="2" t="s">
        <v>448</v>
      </c>
      <c r="F312" s="4" t="s">
        <v>329</v>
      </c>
      <c r="G312" s="4" t="s">
        <v>15</v>
      </c>
      <c r="H312" s="4" t="s">
        <v>330</v>
      </c>
      <c r="I312" s="7">
        <v>0.1852</v>
      </c>
      <c r="J312" s="7">
        <v>0.1852</v>
      </c>
      <c r="K312" s="50">
        <v>2.9999999999999997E-4</v>
      </c>
      <c r="L312" s="7"/>
      <c r="M312" s="7">
        <v>0.17730000000000001</v>
      </c>
      <c r="N312" s="7">
        <v>-0.34</v>
      </c>
      <c r="O312" s="4"/>
      <c r="P312" s="7">
        <v>1.21</v>
      </c>
      <c r="T312" s="7">
        <v>59.7</v>
      </c>
      <c r="U312" s="7">
        <v>484</v>
      </c>
      <c r="V312" s="7">
        <v>754.6</v>
      </c>
      <c r="W312" s="4"/>
      <c r="X312" s="4"/>
      <c r="Y312" s="4"/>
      <c r="Z312" s="7"/>
      <c r="AA312" s="7"/>
      <c r="AB312" s="7"/>
      <c r="AC312" s="7"/>
      <c r="AD312" s="7"/>
      <c r="AE312" s="7"/>
      <c r="AF312" s="7"/>
      <c r="AG312" s="7"/>
      <c r="AH312" s="7"/>
      <c r="AI312" s="7"/>
      <c r="AJ312" s="7"/>
      <c r="AK312" s="7"/>
      <c r="AL312" s="7"/>
      <c r="AM312" s="7"/>
      <c r="AN312" s="7"/>
      <c r="AO312" s="7"/>
      <c r="AP312" s="7"/>
      <c r="AQ312" s="7"/>
      <c r="AR312" s="7"/>
      <c r="AS312" s="7"/>
      <c r="AT312" s="7"/>
      <c r="AU312" s="7"/>
      <c r="AV312" s="7"/>
      <c r="AW312" s="4"/>
      <c r="AX312" s="2"/>
      <c r="AY312" s="7"/>
      <c r="AZ312" s="4"/>
      <c r="BA312" s="4"/>
      <c r="BB312" s="2"/>
      <c r="BC312" s="2"/>
      <c r="BD312" s="2"/>
      <c r="BE312" s="42"/>
      <c r="BF312" s="43"/>
      <c r="BG312" s="44"/>
      <c r="BH312" s="2">
        <v>2096</v>
      </c>
      <c r="BI312" s="2"/>
      <c r="BJ312" s="3" t="s">
        <v>420</v>
      </c>
      <c r="BK312"/>
      <c r="BL312"/>
      <c r="BM312"/>
      <c r="BO312" s="7"/>
      <c r="BR312"/>
    </row>
    <row r="313" spans="1:70" ht="28.5" x14ac:dyDescent="0.45">
      <c r="A313" s="2" t="s">
        <v>43</v>
      </c>
      <c r="B313" s="54" t="s">
        <v>383</v>
      </c>
      <c r="C313" s="3">
        <v>45281</v>
      </c>
      <c r="D313" s="8">
        <v>4</v>
      </c>
      <c r="E313" s="2" t="s">
        <v>448</v>
      </c>
      <c r="F313" s="4" t="s">
        <v>15</v>
      </c>
      <c r="G313" s="4" t="s">
        <v>15</v>
      </c>
      <c r="H313" s="4" t="s">
        <v>330</v>
      </c>
      <c r="I313" s="7">
        <v>0.18540000000000001</v>
      </c>
      <c r="J313" s="7">
        <v>0.18540000000000001</v>
      </c>
      <c r="K313" s="50">
        <v>2.8E-3</v>
      </c>
      <c r="L313" s="7">
        <v>0.17799999999999999</v>
      </c>
      <c r="M313" s="7">
        <v>0.18240000000000001</v>
      </c>
      <c r="N313" s="7">
        <v>-0.24</v>
      </c>
      <c r="O313" s="4"/>
      <c r="P313" s="7">
        <v>1.21</v>
      </c>
      <c r="T313" s="7">
        <v>59.6</v>
      </c>
      <c r="U313" s="7">
        <v>491</v>
      </c>
      <c r="V313" s="7">
        <v>754.7</v>
      </c>
      <c r="W313" s="4"/>
      <c r="X313" s="4"/>
      <c r="Y313" s="4"/>
      <c r="Z313" s="7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  <c r="AL313" s="7"/>
      <c r="AM313" s="7"/>
      <c r="AN313" s="7"/>
      <c r="AO313" s="7"/>
      <c r="AP313" s="7"/>
      <c r="AQ313" s="7"/>
      <c r="AR313" s="7"/>
      <c r="AS313" s="7"/>
      <c r="AT313" s="7"/>
      <c r="AU313" s="7"/>
      <c r="AV313" s="7"/>
      <c r="AW313" s="4"/>
      <c r="AX313" s="2"/>
      <c r="AY313" s="7"/>
      <c r="AZ313" s="4"/>
      <c r="BA313" s="4">
        <v>117</v>
      </c>
      <c r="BB313" s="2"/>
      <c r="BC313" s="2"/>
      <c r="BD313" s="2">
        <v>26.4</v>
      </c>
      <c r="BE313" s="42">
        <v>1018</v>
      </c>
      <c r="BF313" s="43">
        <v>55</v>
      </c>
      <c r="BG313" s="44">
        <v>1.1759999999999999</v>
      </c>
      <c r="BH313" s="2">
        <v>2096</v>
      </c>
      <c r="BI313" s="2"/>
      <c r="BJ313" s="3" t="s">
        <v>424</v>
      </c>
      <c r="BK313"/>
      <c r="BL313"/>
      <c r="BM313"/>
      <c r="BO313" s="7"/>
      <c r="BR313"/>
    </row>
    <row r="314" spans="1:70" ht="28.5" x14ac:dyDescent="0.45">
      <c r="A314" s="2" t="s">
        <v>43</v>
      </c>
      <c r="B314" s="54" t="s">
        <v>383</v>
      </c>
      <c r="C314" s="3">
        <v>45281</v>
      </c>
      <c r="D314" s="8">
        <v>5</v>
      </c>
      <c r="E314" s="2" t="s">
        <v>449</v>
      </c>
      <c r="F314" s="4" t="s">
        <v>15</v>
      </c>
      <c r="G314" s="4" t="s">
        <v>15</v>
      </c>
      <c r="H314" s="4" t="s">
        <v>330</v>
      </c>
      <c r="I314" s="7">
        <v>0.19950000000000001</v>
      </c>
      <c r="J314" s="7">
        <v>0.18809999999999999</v>
      </c>
      <c r="K314" s="50">
        <v>4.5999999999999999E-3</v>
      </c>
      <c r="L314" s="7">
        <v>0.19</v>
      </c>
      <c r="N314" s="7">
        <v>-0.78</v>
      </c>
      <c r="O314" s="4"/>
      <c r="P314" s="7">
        <v>1.21</v>
      </c>
      <c r="W314" s="4"/>
      <c r="X314" s="4"/>
      <c r="Y314" s="4"/>
      <c r="Z314" s="7"/>
      <c r="AA314" s="7"/>
      <c r="AB314" s="7"/>
      <c r="AC314" s="7"/>
      <c r="AD314" s="7"/>
      <c r="AE314" s="7"/>
      <c r="AF314" s="7"/>
      <c r="AG314" s="7"/>
      <c r="AH314" s="7"/>
      <c r="AI314" s="7"/>
      <c r="AJ314" s="7"/>
      <c r="AK314" s="7"/>
      <c r="AL314" s="7"/>
      <c r="AM314" s="7"/>
      <c r="AN314" s="7"/>
      <c r="AO314" s="7"/>
      <c r="AP314" s="7"/>
      <c r="AQ314" s="7"/>
      <c r="AR314" s="7"/>
      <c r="AS314" s="7"/>
      <c r="AT314" s="7"/>
      <c r="AU314" s="7"/>
      <c r="AV314" s="7"/>
      <c r="AW314" s="4"/>
      <c r="AX314" s="2"/>
      <c r="AY314" s="7"/>
      <c r="AZ314" s="4"/>
      <c r="BA314" s="23">
        <v>108</v>
      </c>
      <c r="BB314" s="2"/>
      <c r="BC314" s="2"/>
      <c r="BD314" s="10">
        <v>27.5</v>
      </c>
      <c r="BE314" s="42">
        <v>1018.2</v>
      </c>
      <c r="BF314" s="43">
        <v>52.3</v>
      </c>
      <c r="BG314" s="44"/>
      <c r="BH314" s="56">
        <v>2096</v>
      </c>
      <c r="BI314" s="2"/>
      <c r="BJ314" s="3" t="s">
        <v>441</v>
      </c>
      <c r="BK314"/>
      <c r="BL314"/>
      <c r="BM314"/>
      <c r="BO314" s="7"/>
      <c r="BR314"/>
    </row>
    <row r="315" spans="1:70" ht="28.5" x14ac:dyDescent="0.45">
      <c r="A315" s="2" t="s">
        <v>43</v>
      </c>
      <c r="B315" s="54" t="s">
        <v>383</v>
      </c>
      <c r="C315" s="3">
        <v>45281</v>
      </c>
      <c r="D315" s="8">
        <v>6</v>
      </c>
      <c r="E315" s="2" t="s">
        <v>448</v>
      </c>
      <c r="F315" s="4" t="s">
        <v>329</v>
      </c>
      <c r="G315" s="4" t="s">
        <v>15</v>
      </c>
      <c r="H315" s="4" t="s">
        <v>330</v>
      </c>
      <c r="I315" s="7">
        <v>0.18429999999999999</v>
      </c>
      <c r="J315" s="7">
        <v>0.18429999999999999</v>
      </c>
      <c r="K315" s="50">
        <v>5.3E-3</v>
      </c>
      <c r="L315" s="7"/>
      <c r="N315" s="7">
        <v>-0.27</v>
      </c>
      <c r="O315" s="4"/>
      <c r="P315" s="7">
        <v>1.21</v>
      </c>
      <c r="W315" s="4"/>
      <c r="X315" s="4"/>
      <c r="Y315" s="4"/>
      <c r="Z315" s="7"/>
      <c r="AA315" s="7"/>
      <c r="AB315" s="7"/>
      <c r="AC315" s="7"/>
      <c r="AD315" s="7"/>
      <c r="AE315" s="7"/>
      <c r="AF315" s="7"/>
      <c r="AG315" s="7"/>
      <c r="AH315" s="7"/>
      <c r="AI315" s="7"/>
      <c r="AJ315" s="7"/>
      <c r="AK315" s="7"/>
      <c r="AL315" s="7"/>
      <c r="AM315" s="7"/>
      <c r="AN315" s="7"/>
      <c r="AO315" s="7"/>
      <c r="AP315" s="7"/>
      <c r="AQ315" s="7"/>
      <c r="AR315" s="7"/>
      <c r="AS315" s="7"/>
      <c r="AT315" s="7"/>
      <c r="AU315" s="7"/>
      <c r="AV315" s="7"/>
      <c r="AW315" s="4"/>
      <c r="AX315" s="2"/>
      <c r="AY315" s="7"/>
      <c r="AZ315" s="4"/>
      <c r="BA315" s="23"/>
      <c r="BB315" s="2"/>
      <c r="BC315" s="2"/>
      <c r="BD315" s="10">
        <v>27.5</v>
      </c>
      <c r="BE315" s="42">
        <v>1018.2</v>
      </c>
      <c r="BF315" s="43">
        <v>52.3</v>
      </c>
      <c r="BG315" s="44"/>
      <c r="BH315" s="56">
        <v>2096</v>
      </c>
      <c r="BI315" s="2"/>
      <c r="BJ315" s="3" t="s">
        <v>434</v>
      </c>
      <c r="BK315"/>
      <c r="BL315"/>
      <c r="BM315"/>
      <c r="BO315" s="7"/>
      <c r="BR315"/>
    </row>
    <row r="316" spans="1:70" ht="28.5" x14ac:dyDescent="0.45">
      <c r="A316" s="2" t="s">
        <v>43</v>
      </c>
      <c r="B316" s="54" t="s">
        <v>383</v>
      </c>
      <c r="C316" s="3">
        <v>45281</v>
      </c>
      <c r="D316" s="8">
        <v>7</v>
      </c>
      <c r="E316" s="2" t="s">
        <v>450</v>
      </c>
      <c r="F316" s="4" t="s">
        <v>329</v>
      </c>
      <c r="G316" s="4" t="s">
        <v>15</v>
      </c>
      <c r="H316" s="4" t="s">
        <v>330</v>
      </c>
      <c r="I316" s="7">
        <v>0.17530000000000001</v>
      </c>
      <c r="J316" s="7">
        <v>0.1779</v>
      </c>
      <c r="K316" s="50">
        <v>1.5E-3</v>
      </c>
      <c r="L316" s="7">
        <v>0.17199999999999999</v>
      </c>
      <c r="N316" s="7">
        <v>-0.15</v>
      </c>
      <c r="O316" s="4"/>
      <c r="P316" s="7">
        <v>1.21</v>
      </c>
      <c r="W316" s="4"/>
      <c r="X316" s="4"/>
      <c r="Y316" s="4"/>
      <c r="Z316" s="7"/>
      <c r="AA316" s="7"/>
      <c r="AB316" s="7"/>
      <c r="AC316" s="7"/>
      <c r="AD316" s="7"/>
      <c r="AE316" s="7"/>
      <c r="AF316" s="7"/>
      <c r="AG316" s="7"/>
      <c r="AH316" s="7"/>
      <c r="AI316" s="7"/>
      <c r="AJ316" s="7"/>
      <c r="AK316" s="7"/>
      <c r="AL316" s="7"/>
      <c r="AM316" s="7"/>
      <c r="AN316" s="7"/>
      <c r="AO316" s="7"/>
      <c r="AP316" s="7"/>
      <c r="AQ316" s="7"/>
      <c r="AR316" s="7"/>
      <c r="AS316" s="7"/>
      <c r="AT316" s="7"/>
      <c r="AU316" s="7"/>
      <c r="AV316" s="7"/>
      <c r="AW316" s="4"/>
      <c r="AX316" s="2"/>
      <c r="AY316" s="7"/>
      <c r="AZ316" s="4"/>
      <c r="BA316" s="4">
        <v>111.6</v>
      </c>
      <c r="BB316" s="2"/>
      <c r="BC316" s="2"/>
      <c r="BD316" s="2">
        <v>27.1</v>
      </c>
      <c r="BE316" s="42">
        <v>1018</v>
      </c>
      <c r="BF316" s="43">
        <v>54</v>
      </c>
      <c r="BG316" s="44">
        <v>1.173</v>
      </c>
      <c r="BH316" s="2">
        <v>2096</v>
      </c>
      <c r="BI316" s="2"/>
      <c r="BJ316" s="3" t="s">
        <v>438</v>
      </c>
      <c r="BK316"/>
      <c r="BL316"/>
      <c r="BM316"/>
      <c r="BO316" s="7"/>
      <c r="BR316"/>
    </row>
    <row r="317" spans="1:70" ht="28.5" x14ac:dyDescent="0.45">
      <c r="A317" s="2" t="s">
        <v>43</v>
      </c>
      <c r="B317" s="54" t="s">
        <v>99</v>
      </c>
      <c r="C317" s="3">
        <v>45281</v>
      </c>
      <c r="D317" s="8">
        <v>1</v>
      </c>
      <c r="E317" s="2" t="s">
        <v>551</v>
      </c>
      <c r="F317" s="4" t="s">
        <v>332</v>
      </c>
      <c r="G317" s="4" t="s">
        <v>15</v>
      </c>
      <c r="H317" s="4" t="s">
        <v>330</v>
      </c>
      <c r="I317" s="7">
        <v>0.1671</v>
      </c>
      <c r="J317" s="7">
        <v>0.1671</v>
      </c>
      <c r="K317" s="50">
        <v>2.0999999999999999E-3</v>
      </c>
      <c r="L317" s="7">
        <v>0.16400000000000001</v>
      </c>
      <c r="N317" s="7">
        <v>-0.31</v>
      </c>
      <c r="O317" s="4"/>
      <c r="P317" s="7">
        <v>1.2655000000000001</v>
      </c>
      <c r="W317" s="4"/>
      <c r="X317" s="4"/>
      <c r="Y317" s="4"/>
      <c r="Z317" s="7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  <c r="AL317" s="7"/>
      <c r="AM317" s="7"/>
      <c r="AN317" s="7"/>
      <c r="AO317" s="7"/>
      <c r="AP317" s="7"/>
      <c r="AQ317" s="7"/>
      <c r="AR317" s="7"/>
      <c r="AS317" s="7"/>
      <c r="AT317" s="7"/>
      <c r="AU317" s="7"/>
      <c r="AV317" s="7"/>
      <c r="AW317" s="4"/>
      <c r="AX317" s="2"/>
      <c r="AY317" s="7"/>
      <c r="AZ317" s="4"/>
      <c r="BA317" s="4">
        <v>117</v>
      </c>
      <c r="BB317" s="2"/>
      <c r="BC317" s="2"/>
      <c r="BD317" s="2">
        <v>27.1</v>
      </c>
      <c r="BE317" s="42">
        <v>1018</v>
      </c>
      <c r="BF317" s="43">
        <v>54</v>
      </c>
      <c r="BG317" s="44">
        <v>1.173</v>
      </c>
      <c r="BH317" s="2">
        <v>2096</v>
      </c>
      <c r="BI317" s="2"/>
      <c r="BJ317" s="3" t="s">
        <v>427</v>
      </c>
      <c r="BK317"/>
      <c r="BL317"/>
      <c r="BM317"/>
      <c r="BO317" s="7"/>
      <c r="BR317"/>
    </row>
    <row r="318" spans="1:70" ht="28.5" x14ac:dyDescent="0.45">
      <c r="A318" s="2" t="s">
        <v>43</v>
      </c>
      <c r="B318" s="54" t="s">
        <v>99</v>
      </c>
      <c r="C318" s="3">
        <v>45281</v>
      </c>
      <c r="D318" s="8">
        <v>2</v>
      </c>
      <c r="E318" s="2" t="s">
        <v>553</v>
      </c>
      <c r="F318" s="4" t="s">
        <v>332</v>
      </c>
      <c r="G318" s="4" t="s">
        <v>15</v>
      </c>
      <c r="H318" s="4" t="s">
        <v>330</v>
      </c>
      <c r="I318" s="7">
        <v>0.16209999999999999</v>
      </c>
      <c r="J318" s="7">
        <v>0.16209999999999999</v>
      </c>
      <c r="K318" s="50">
        <v>2.5999999999999999E-3</v>
      </c>
      <c r="L318" s="7">
        <v>0.16500000000000001</v>
      </c>
      <c r="M318" s="7">
        <v>0.16420000000000001</v>
      </c>
      <c r="N318" s="7">
        <v>-0.32</v>
      </c>
      <c r="O318" s="4"/>
      <c r="P318" s="7">
        <v>1.2655000000000001</v>
      </c>
      <c r="T318" s="7">
        <v>60.2</v>
      </c>
      <c r="U318" s="7">
        <v>476</v>
      </c>
      <c r="V318" s="7">
        <v>755</v>
      </c>
      <c r="W318" s="4"/>
      <c r="X318" s="4"/>
      <c r="Y318" s="4"/>
      <c r="Z318" s="7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  <c r="AL318" s="7"/>
      <c r="AM318" s="7"/>
      <c r="AN318" s="7"/>
      <c r="AO318" s="7"/>
      <c r="AP318" s="7"/>
      <c r="AQ318" s="7"/>
      <c r="AR318" s="7"/>
      <c r="AS318" s="7"/>
      <c r="AT318" s="7"/>
      <c r="AU318" s="7"/>
      <c r="AV318" s="7"/>
      <c r="AW318" s="4"/>
      <c r="AX318" s="2"/>
      <c r="AY318" s="7"/>
      <c r="AZ318" s="4"/>
      <c r="BA318" s="4">
        <v>108</v>
      </c>
      <c r="BB318" s="2"/>
      <c r="BC318" s="2"/>
      <c r="BD318" s="10">
        <v>28</v>
      </c>
      <c r="BE318" s="42">
        <v>1018</v>
      </c>
      <c r="BF318" s="43">
        <v>50.8</v>
      </c>
      <c r="BG318" s="44"/>
      <c r="BH318" s="56">
        <v>2096</v>
      </c>
      <c r="BI318" s="2"/>
      <c r="BJ318" s="3" t="s">
        <v>417</v>
      </c>
      <c r="BK318"/>
      <c r="BL318"/>
      <c r="BM318"/>
      <c r="BO318" s="7"/>
      <c r="BR318"/>
    </row>
    <row r="319" spans="1:70" ht="28.5" x14ac:dyDescent="0.45">
      <c r="A319" s="2" t="s">
        <v>43</v>
      </c>
      <c r="B319" s="54" t="s">
        <v>99</v>
      </c>
      <c r="C319" s="3">
        <v>45281</v>
      </c>
      <c r="D319" s="8">
        <v>3</v>
      </c>
      <c r="E319" s="2" t="s">
        <v>554</v>
      </c>
      <c r="F319" s="4" t="s">
        <v>332</v>
      </c>
      <c r="G319" s="4" t="s">
        <v>15</v>
      </c>
      <c r="H319" s="4" t="s">
        <v>330</v>
      </c>
      <c r="I319" s="7">
        <v>0.16170000000000001</v>
      </c>
      <c r="J319" s="7">
        <v>0.16170000000000001</v>
      </c>
      <c r="K319" s="50">
        <v>1.9E-3</v>
      </c>
      <c r="L319" s="7">
        <v>0.161</v>
      </c>
      <c r="M319" s="7">
        <v>0.16389999999999999</v>
      </c>
      <c r="N319" s="7">
        <v>-0.22</v>
      </c>
      <c r="O319" s="4"/>
      <c r="P319" s="7">
        <v>1.2655000000000001</v>
      </c>
      <c r="T319" s="7">
        <v>59.5</v>
      </c>
      <c r="U319" s="7">
        <v>457</v>
      </c>
      <c r="V319" s="7">
        <v>755.1</v>
      </c>
      <c r="W319" s="4"/>
      <c r="X319" s="4"/>
      <c r="Y319" s="4"/>
      <c r="Z319" s="7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  <c r="AM319" s="7"/>
      <c r="AN319" s="7"/>
      <c r="AO319" s="7"/>
      <c r="AP319" s="7"/>
      <c r="AQ319" s="7"/>
      <c r="AR319" s="7"/>
      <c r="AS319" s="7"/>
      <c r="AT319" s="7"/>
      <c r="AU319" s="7"/>
      <c r="AV319" s="7"/>
      <c r="AW319" s="4"/>
      <c r="AX319" s="2"/>
      <c r="AY319" s="7"/>
      <c r="AZ319" s="4"/>
      <c r="BA319" s="4">
        <v>111.6</v>
      </c>
      <c r="BB319" s="2"/>
      <c r="BC319" s="2"/>
      <c r="BD319" s="10">
        <v>28</v>
      </c>
      <c r="BE319" s="42">
        <v>1018</v>
      </c>
      <c r="BF319" s="43">
        <v>50.8</v>
      </c>
      <c r="BG319" s="44"/>
      <c r="BH319" s="56">
        <v>2096</v>
      </c>
      <c r="BI319" s="2"/>
      <c r="BJ319" s="3" t="s">
        <v>421</v>
      </c>
      <c r="BK319"/>
      <c r="BL319"/>
      <c r="BM319"/>
      <c r="BO319" s="7"/>
      <c r="BR319"/>
    </row>
    <row r="320" spans="1:70" ht="28.5" x14ac:dyDescent="0.45">
      <c r="A320" s="2" t="s">
        <v>43</v>
      </c>
      <c r="B320" s="54" t="s">
        <v>99</v>
      </c>
      <c r="C320" s="3">
        <v>45281</v>
      </c>
      <c r="D320" s="8">
        <v>4</v>
      </c>
      <c r="E320" s="2" t="s">
        <v>551</v>
      </c>
      <c r="F320" s="4" t="s">
        <v>332</v>
      </c>
      <c r="G320" s="4" t="s">
        <v>15</v>
      </c>
      <c r="H320" s="4" t="s">
        <v>330</v>
      </c>
      <c r="I320" s="7">
        <v>0.16600000000000001</v>
      </c>
      <c r="J320" s="7">
        <v>0.16600000000000001</v>
      </c>
      <c r="K320" s="50">
        <v>2.2000000000000001E-3</v>
      </c>
      <c r="L320" s="7">
        <v>0.16400000000000001</v>
      </c>
      <c r="M320" s="7">
        <v>0.16589999999999999</v>
      </c>
      <c r="N320" s="7">
        <v>-0.33</v>
      </c>
      <c r="O320" s="4"/>
      <c r="P320" s="7">
        <v>1.2655000000000001</v>
      </c>
      <c r="T320" s="7">
        <v>60.4</v>
      </c>
      <c r="U320" s="7">
        <v>476</v>
      </c>
      <c r="V320" s="7">
        <v>755.2</v>
      </c>
      <c r="W320" s="4"/>
      <c r="X320" s="4"/>
      <c r="Y320" s="4"/>
      <c r="Z320" s="7"/>
      <c r="AA320" s="7"/>
      <c r="AB320" s="7"/>
      <c r="AC320" s="7"/>
      <c r="AD320" s="7"/>
      <c r="AE320" s="7"/>
      <c r="AF320" s="7"/>
      <c r="AG320" s="7"/>
      <c r="AH320" s="7"/>
      <c r="AI320" s="7"/>
      <c r="AJ320" s="7"/>
      <c r="AK320" s="7"/>
      <c r="AL320" s="7"/>
      <c r="AM320" s="7"/>
      <c r="AN320" s="7"/>
      <c r="AO320" s="7"/>
      <c r="AP320" s="7"/>
      <c r="AQ320" s="7"/>
      <c r="AR320" s="7"/>
      <c r="AS320" s="7"/>
      <c r="AT320" s="7"/>
      <c r="AU320" s="7"/>
      <c r="AV320" s="7"/>
      <c r="AW320" s="4"/>
      <c r="AX320" s="2"/>
      <c r="AY320" s="7"/>
      <c r="AZ320" s="4"/>
      <c r="BA320" s="4"/>
      <c r="BB320" s="2"/>
      <c r="BC320" s="2"/>
      <c r="BD320" s="2">
        <v>27.5</v>
      </c>
      <c r="BE320" s="42">
        <v>1018</v>
      </c>
      <c r="BF320" s="43">
        <v>52</v>
      </c>
      <c r="BG320" s="44">
        <v>1.171</v>
      </c>
      <c r="BH320" s="2">
        <v>2096</v>
      </c>
      <c r="BI320" s="2"/>
      <c r="BJ320" s="3" t="s">
        <v>425</v>
      </c>
      <c r="BK320"/>
      <c r="BL320"/>
      <c r="BM320"/>
      <c r="BO320" s="7"/>
      <c r="BR320"/>
    </row>
    <row r="321" spans="1:70" ht="28.5" x14ac:dyDescent="0.45">
      <c r="A321" s="2" t="s">
        <v>43</v>
      </c>
      <c r="B321" s="54" t="s">
        <v>99</v>
      </c>
      <c r="C321" s="3">
        <v>45281</v>
      </c>
      <c r="D321" s="8">
        <v>5</v>
      </c>
      <c r="E321" s="2" t="s">
        <v>553</v>
      </c>
      <c r="F321" s="4" t="s">
        <v>332</v>
      </c>
      <c r="G321" s="4" t="s">
        <v>15</v>
      </c>
      <c r="H321" s="4" t="s">
        <v>330</v>
      </c>
      <c r="I321" s="7">
        <v>0.1643</v>
      </c>
      <c r="J321" s="7">
        <v>0.1643</v>
      </c>
      <c r="K321" s="50">
        <v>2.3E-3</v>
      </c>
      <c r="L321" s="7">
        <v>0.16</v>
      </c>
      <c r="M321" s="7">
        <v>0.16619999999999999</v>
      </c>
      <c r="N321" s="7">
        <v>-0.31</v>
      </c>
      <c r="O321" s="4"/>
      <c r="P321" s="7">
        <v>1.2655000000000001</v>
      </c>
      <c r="T321" s="7">
        <v>60.5</v>
      </c>
      <c r="U321" s="7">
        <v>467</v>
      </c>
      <c r="V321" s="7">
        <v>755.7</v>
      </c>
      <c r="W321" s="4"/>
      <c r="X321" s="4"/>
      <c r="Y321" s="4"/>
      <c r="Z321" s="7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  <c r="AN321" s="7"/>
      <c r="AO321" s="7"/>
      <c r="AP321" s="7"/>
      <c r="AQ321" s="7"/>
      <c r="AR321" s="7"/>
      <c r="AS321" s="7"/>
      <c r="AT321" s="7"/>
      <c r="AU321" s="7"/>
      <c r="AV321" s="7"/>
      <c r="AW321" s="4"/>
      <c r="AX321" s="2"/>
      <c r="AY321" s="7"/>
      <c r="AZ321" s="4"/>
      <c r="BA321" s="4">
        <v>117</v>
      </c>
      <c r="BB321" s="2"/>
      <c r="BC321" s="2"/>
      <c r="BD321" s="2">
        <v>27.5</v>
      </c>
      <c r="BE321" s="42">
        <v>1018</v>
      </c>
      <c r="BF321" s="43">
        <v>52</v>
      </c>
      <c r="BG321" s="44">
        <v>1.171</v>
      </c>
      <c r="BH321" s="56">
        <v>2096</v>
      </c>
      <c r="BI321" s="2"/>
      <c r="BJ321" s="3" t="s">
        <v>429</v>
      </c>
      <c r="BK321"/>
      <c r="BL321"/>
      <c r="BM321"/>
      <c r="BO321" s="7"/>
      <c r="BR321"/>
    </row>
    <row r="322" spans="1:70" ht="28.5" x14ac:dyDescent="0.45">
      <c r="A322" s="2" t="s">
        <v>43</v>
      </c>
      <c r="B322" s="54" t="s">
        <v>99</v>
      </c>
      <c r="C322" s="3">
        <v>45281</v>
      </c>
      <c r="D322" s="8">
        <v>6</v>
      </c>
      <c r="E322" s="2" t="s">
        <v>554</v>
      </c>
      <c r="F322" s="4" t="s">
        <v>332</v>
      </c>
      <c r="G322" s="4" t="s">
        <v>15</v>
      </c>
      <c r="H322" s="4" t="s">
        <v>330</v>
      </c>
      <c r="I322" s="7">
        <v>0.1605</v>
      </c>
      <c r="J322" s="7">
        <v>0.1605</v>
      </c>
      <c r="K322" s="50">
        <v>2.7000000000000001E-3</v>
      </c>
      <c r="L322" s="7">
        <v>0.161</v>
      </c>
      <c r="M322" s="7">
        <v>0.16239999999999999</v>
      </c>
      <c r="N322" s="7">
        <v>-0.28999999999999998</v>
      </c>
      <c r="O322" s="4"/>
      <c r="P322" s="7">
        <v>1.2655000000000001</v>
      </c>
      <c r="T322" s="7">
        <v>59.7</v>
      </c>
      <c r="U322" s="7">
        <v>453</v>
      </c>
      <c r="V322" s="7">
        <v>755.6</v>
      </c>
      <c r="W322" s="4"/>
      <c r="X322" s="4"/>
      <c r="Y322" s="4"/>
      <c r="Z322" s="7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7"/>
      <c r="AN322" s="7"/>
      <c r="AO322" s="7"/>
      <c r="AP322" s="7"/>
      <c r="AQ322" s="7"/>
      <c r="AR322" s="7"/>
      <c r="AS322" s="7"/>
      <c r="AT322" s="7"/>
      <c r="AU322" s="7"/>
      <c r="AV322" s="7"/>
      <c r="AW322" s="4"/>
      <c r="AX322" s="2"/>
      <c r="AY322" s="7"/>
      <c r="AZ322" s="4"/>
      <c r="BA322" s="55">
        <v>108</v>
      </c>
      <c r="BB322" s="2"/>
      <c r="BC322" s="2"/>
      <c r="BD322" s="10">
        <v>28.6</v>
      </c>
      <c r="BE322" s="42">
        <v>1017.4</v>
      </c>
      <c r="BF322" s="43">
        <v>48.4</v>
      </c>
      <c r="BG322" s="44"/>
      <c r="BH322" s="42">
        <v>2096</v>
      </c>
      <c r="BI322" s="2"/>
      <c r="BJ322" s="3" t="s">
        <v>435</v>
      </c>
      <c r="BK322"/>
      <c r="BL322"/>
      <c r="BM322"/>
      <c r="BO322" s="7"/>
      <c r="BR322"/>
    </row>
    <row r="323" spans="1:70" ht="28.5" x14ac:dyDescent="0.45">
      <c r="A323" s="2" t="s">
        <v>43</v>
      </c>
      <c r="B323" s="54" t="s">
        <v>46</v>
      </c>
      <c r="C323" s="3">
        <v>45281</v>
      </c>
      <c r="D323" s="8">
        <v>1</v>
      </c>
      <c r="E323" s="2" t="s">
        <v>22</v>
      </c>
      <c r="F323" s="4" t="s">
        <v>15</v>
      </c>
      <c r="G323" s="4" t="s">
        <v>15</v>
      </c>
      <c r="H323" s="4" t="s">
        <v>330</v>
      </c>
      <c r="I323" s="7">
        <v>0.17460000000000001</v>
      </c>
      <c r="J323" s="7">
        <v>0.17460000000000001</v>
      </c>
      <c r="K323" s="50">
        <v>2.7000000000000001E-3</v>
      </c>
      <c r="L323" s="7">
        <v>0.17</v>
      </c>
      <c r="M323" s="7">
        <v>0.17169999999999999</v>
      </c>
      <c r="N323" s="7">
        <v>-0.47</v>
      </c>
      <c r="O323" s="4"/>
      <c r="P323" s="7">
        <v>1.2255</v>
      </c>
      <c r="T323" s="7">
        <v>57.6</v>
      </c>
      <c r="U323" s="7">
        <v>445</v>
      </c>
      <c r="V323" s="7">
        <v>756.2</v>
      </c>
      <c r="W323" s="4"/>
      <c r="X323" s="4"/>
      <c r="Y323" s="4"/>
      <c r="Z323" s="7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  <c r="AN323" s="7"/>
      <c r="AO323" s="7"/>
      <c r="AP323" s="7"/>
      <c r="AQ323" s="7"/>
      <c r="AR323" s="7"/>
      <c r="AS323" s="7"/>
      <c r="AT323" s="7"/>
      <c r="AU323" s="7"/>
      <c r="AV323" s="7"/>
      <c r="AW323" s="4"/>
      <c r="AX323" s="2"/>
      <c r="AY323" s="7"/>
      <c r="AZ323" s="4"/>
      <c r="BA323" s="4">
        <v>111.6</v>
      </c>
      <c r="BB323" s="2"/>
      <c r="BC323" s="2"/>
      <c r="BD323" s="10">
        <v>28.6</v>
      </c>
      <c r="BE323" s="42">
        <v>1017.4</v>
      </c>
      <c r="BF323" s="43">
        <v>48.4</v>
      </c>
      <c r="BG323" s="44"/>
      <c r="BH323" s="57">
        <v>2096</v>
      </c>
      <c r="BI323" s="2"/>
      <c r="BJ323" s="3" t="s">
        <v>428</v>
      </c>
      <c r="BK323"/>
      <c r="BL323"/>
      <c r="BM323"/>
      <c r="BO323" s="7"/>
      <c r="BR323"/>
    </row>
    <row r="324" spans="1:70" ht="28.5" x14ac:dyDescent="0.45">
      <c r="A324" s="2" t="s">
        <v>43</v>
      </c>
      <c r="B324" s="54" t="s">
        <v>46</v>
      </c>
      <c r="C324" s="3">
        <v>45281</v>
      </c>
      <c r="D324" s="8">
        <v>2</v>
      </c>
      <c r="E324" s="2" t="s">
        <v>213</v>
      </c>
      <c r="F324" s="4" t="s">
        <v>15</v>
      </c>
      <c r="G324" s="4" t="s">
        <v>15</v>
      </c>
      <c r="H324" s="4" t="s">
        <v>330</v>
      </c>
      <c r="I324" s="7">
        <v>0.17269999999999999</v>
      </c>
      <c r="J324" s="7">
        <v>0.17269999999999999</v>
      </c>
      <c r="K324" s="50">
        <v>3.5000000000000001E-3</v>
      </c>
      <c r="L324" s="7">
        <v>0.16400000000000001</v>
      </c>
      <c r="M324" s="7">
        <v>0.1653</v>
      </c>
      <c r="N324" s="7">
        <v>-0.65</v>
      </c>
      <c r="O324" s="4"/>
      <c r="P324" s="7">
        <v>1.2255</v>
      </c>
      <c r="T324" s="7">
        <v>57.8</v>
      </c>
      <c r="U324" s="7">
        <v>423</v>
      </c>
      <c r="V324" s="7">
        <v>756.7</v>
      </c>
      <c r="W324" s="4"/>
      <c r="X324" s="4"/>
      <c r="Y324" s="4"/>
      <c r="Z324" s="7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  <c r="AN324" s="7"/>
      <c r="AO324" s="7"/>
      <c r="AP324" s="7"/>
      <c r="AQ324" s="7"/>
      <c r="AR324" s="7"/>
      <c r="AS324" s="7"/>
      <c r="AT324" s="7"/>
      <c r="AU324" s="7"/>
      <c r="AV324" s="7"/>
      <c r="AW324" s="4"/>
      <c r="AX324" s="2"/>
      <c r="AY324" s="7"/>
      <c r="AZ324" s="4"/>
      <c r="BA324" s="4">
        <v>111.6</v>
      </c>
      <c r="BB324" s="2"/>
      <c r="BC324" s="2"/>
      <c r="BD324" s="2">
        <v>27.5</v>
      </c>
      <c r="BE324" s="42">
        <v>1018</v>
      </c>
      <c r="BF324" s="43">
        <v>52</v>
      </c>
      <c r="BG324" s="44">
        <v>1.171</v>
      </c>
      <c r="BH324" s="56">
        <v>2096</v>
      </c>
      <c r="BI324" s="2"/>
      <c r="BJ324" s="3" t="s">
        <v>419</v>
      </c>
      <c r="BK324"/>
      <c r="BL324"/>
      <c r="BM324"/>
      <c r="BO324" s="7"/>
      <c r="BR324"/>
    </row>
    <row r="325" spans="1:70" ht="28.5" x14ac:dyDescent="0.45">
      <c r="A325" s="2" t="s">
        <v>43</v>
      </c>
      <c r="B325" s="54" t="s">
        <v>46</v>
      </c>
      <c r="C325" s="3">
        <v>45281</v>
      </c>
      <c r="D325" s="8">
        <v>3</v>
      </c>
      <c r="E325" s="2" t="s">
        <v>214</v>
      </c>
      <c r="F325" s="4" t="s">
        <v>15</v>
      </c>
      <c r="G325" s="4" t="s">
        <v>15</v>
      </c>
      <c r="H325" s="4" t="s">
        <v>330</v>
      </c>
      <c r="I325" s="7">
        <v>0.17319999999999999</v>
      </c>
      <c r="J325" s="7">
        <v>0.17319999999999999</v>
      </c>
      <c r="K325" s="50">
        <v>2.8999999999999998E-3</v>
      </c>
      <c r="L325" s="7">
        <v>0.16700000000000001</v>
      </c>
      <c r="M325" s="7">
        <v>0.17199999999999999</v>
      </c>
      <c r="N325" s="7">
        <v>-0.49</v>
      </c>
      <c r="O325" s="4"/>
      <c r="P325" s="7">
        <v>1.2255</v>
      </c>
      <c r="T325" s="7">
        <v>57.7</v>
      </c>
      <c r="U325" s="7">
        <v>439</v>
      </c>
      <c r="V325" s="7">
        <v>756.9</v>
      </c>
      <c r="W325" s="4"/>
      <c r="X325" s="4"/>
      <c r="Y325" s="4"/>
      <c r="Z325" s="7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  <c r="AL325" s="7"/>
      <c r="AM325" s="7"/>
      <c r="AN325" s="7"/>
      <c r="AO325" s="7"/>
      <c r="AP325" s="7"/>
      <c r="AQ325" s="7"/>
      <c r="AR325" s="7"/>
      <c r="AS325" s="7"/>
      <c r="AT325" s="7"/>
      <c r="AU325" s="7"/>
      <c r="AV325" s="7"/>
      <c r="AW325" s="4"/>
      <c r="AX325" s="2"/>
      <c r="AY325" s="7"/>
      <c r="AZ325" s="4"/>
      <c r="BA325" s="4">
        <v>117</v>
      </c>
      <c r="BB325" s="2"/>
      <c r="BC325" s="2"/>
      <c r="BD325" s="2">
        <v>27.5</v>
      </c>
      <c r="BE325" s="42">
        <v>1018</v>
      </c>
      <c r="BF325" s="43">
        <v>52</v>
      </c>
      <c r="BG325" s="44">
        <v>1.171</v>
      </c>
      <c r="BH325" s="56">
        <v>2096</v>
      </c>
      <c r="BI325" s="2"/>
      <c r="BJ325" s="3" t="s">
        <v>422</v>
      </c>
      <c r="BK325"/>
      <c r="BL325"/>
      <c r="BM325"/>
      <c r="BO325" s="7"/>
      <c r="BR325"/>
    </row>
    <row r="326" spans="1:70" ht="28.5" x14ac:dyDescent="0.45">
      <c r="A326" s="2" t="s">
        <v>43</v>
      </c>
      <c r="B326" s="54" t="s">
        <v>46</v>
      </c>
      <c r="C326" s="3">
        <v>45281</v>
      </c>
      <c r="D326" s="8">
        <v>4</v>
      </c>
      <c r="E326" s="2" t="s">
        <v>22</v>
      </c>
      <c r="F326" s="4" t="s">
        <v>15</v>
      </c>
      <c r="G326" s="4" t="s">
        <v>15</v>
      </c>
      <c r="H326" s="4" t="s">
        <v>330</v>
      </c>
      <c r="I326" s="7">
        <v>0.17649999999999999</v>
      </c>
      <c r="J326" s="7">
        <v>0.17649999999999999</v>
      </c>
      <c r="K326" s="50">
        <v>3.7000000000000002E-3</v>
      </c>
      <c r="L326" s="7">
        <v>0.17</v>
      </c>
      <c r="M326" s="7">
        <v>0.17430000000000001</v>
      </c>
      <c r="N326" s="7">
        <v>-0.47</v>
      </c>
      <c r="O326" s="4"/>
      <c r="P326" s="7">
        <v>1.2255</v>
      </c>
      <c r="T326" s="7">
        <v>58.2</v>
      </c>
      <c r="U326" s="7">
        <v>454</v>
      </c>
      <c r="V326" s="7">
        <v>755.8</v>
      </c>
      <c r="W326" s="4"/>
      <c r="X326" s="4"/>
      <c r="Y326" s="4"/>
      <c r="Z326" s="7"/>
      <c r="AA326" s="7"/>
      <c r="AB326" s="7"/>
      <c r="AC326" s="7"/>
      <c r="AD326" s="7"/>
      <c r="AE326" s="7"/>
      <c r="AF326" s="7"/>
      <c r="AG326" s="7"/>
      <c r="AH326" s="7"/>
      <c r="AI326" s="7"/>
      <c r="AJ326" s="7"/>
      <c r="AK326" s="7"/>
      <c r="AL326" s="7"/>
      <c r="AM326" s="7"/>
      <c r="AN326" s="7"/>
      <c r="AO326" s="7"/>
      <c r="AP326" s="7"/>
      <c r="AQ326" s="7"/>
      <c r="AR326" s="7"/>
      <c r="AS326" s="7"/>
      <c r="AT326" s="7"/>
      <c r="AU326" s="7"/>
      <c r="AV326" s="7"/>
      <c r="AW326" s="4"/>
      <c r="AX326" s="2"/>
      <c r="AY326" s="7"/>
      <c r="AZ326" s="4"/>
      <c r="BA326" s="4"/>
      <c r="BB326" s="2"/>
      <c r="BC326" s="2"/>
      <c r="BD326" s="2"/>
      <c r="BE326" s="42"/>
      <c r="BF326" s="43"/>
      <c r="BG326" s="44"/>
      <c r="BH326" s="57">
        <v>2096</v>
      </c>
      <c r="BI326" s="2"/>
      <c r="BJ326" s="3" t="s">
        <v>439</v>
      </c>
      <c r="BK326"/>
      <c r="BL326"/>
      <c r="BM326"/>
      <c r="BO326" s="7"/>
      <c r="BR326"/>
    </row>
    <row r="327" spans="1:70" ht="28.5" x14ac:dyDescent="0.45">
      <c r="A327" s="2" t="s">
        <v>43</v>
      </c>
      <c r="B327" s="54" t="s">
        <v>46</v>
      </c>
      <c r="C327" s="3">
        <v>45281</v>
      </c>
      <c r="D327" s="8">
        <v>5</v>
      </c>
      <c r="E327" s="2" t="s">
        <v>213</v>
      </c>
      <c r="F327" s="4" t="s">
        <v>15</v>
      </c>
      <c r="G327" s="4" t="s">
        <v>15</v>
      </c>
      <c r="H327" s="4" t="s">
        <v>330</v>
      </c>
      <c r="I327" s="7">
        <v>0.17860000000000001</v>
      </c>
      <c r="J327" s="7">
        <v>0.17860000000000001</v>
      </c>
      <c r="K327" s="50">
        <v>4.0000000000000001E-3</v>
      </c>
      <c r="L327" s="7">
        <v>0.16600000000000001</v>
      </c>
      <c r="N327" s="7">
        <v>-0.61</v>
      </c>
      <c r="O327" s="4"/>
      <c r="P327" s="7">
        <v>1.2255</v>
      </c>
      <c r="W327" s="4"/>
      <c r="X327" s="4"/>
      <c r="Y327" s="4"/>
      <c r="Z327" s="7"/>
      <c r="AA327" s="7"/>
      <c r="AB327" s="7"/>
      <c r="AC327" s="7"/>
      <c r="AD327" s="7"/>
      <c r="AE327" s="7"/>
      <c r="AF327" s="7"/>
      <c r="AG327" s="7"/>
      <c r="AH327" s="7"/>
      <c r="AI327" s="7"/>
      <c r="AJ327" s="7"/>
      <c r="AK327" s="7"/>
      <c r="AL327" s="7"/>
      <c r="AM327" s="7"/>
      <c r="AN327" s="7"/>
      <c r="AO327" s="7"/>
      <c r="AP327" s="7"/>
      <c r="AQ327" s="7"/>
      <c r="AR327" s="7"/>
      <c r="AS327" s="7"/>
      <c r="AT327" s="7"/>
      <c r="AU327" s="7"/>
      <c r="AV327" s="7"/>
      <c r="AW327" s="4"/>
      <c r="AX327" s="2"/>
      <c r="AY327" s="7"/>
      <c r="AZ327" s="4"/>
      <c r="BA327" s="4"/>
      <c r="BB327" s="2"/>
      <c r="BC327" s="2"/>
      <c r="BD327" s="2"/>
      <c r="BE327" s="42"/>
      <c r="BF327" s="43"/>
      <c r="BG327" s="44"/>
      <c r="BH327" s="42">
        <v>2096</v>
      </c>
      <c r="BI327" s="2"/>
      <c r="BJ327" s="3" t="s">
        <v>430</v>
      </c>
      <c r="BK327"/>
      <c r="BL327"/>
      <c r="BM327"/>
      <c r="BO327" s="7"/>
      <c r="BR327"/>
    </row>
    <row r="328" spans="1:70" ht="28.5" x14ac:dyDescent="0.45">
      <c r="A328" s="2" t="s">
        <v>43</v>
      </c>
      <c r="B328" s="54" t="s">
        <v>46</v>
      </c>
      <c r="C328" s="3">
        <v>45281</v>
      </c>
      <c r="D328" s="8">
        <v>6</v>
      </c>
      <c r="E328" s="2" t="s">
        <v>214</v>
      </c>
      <c r="F328" s="4" t="s">
        <v>15</v>
      </c>
      <c r="G328" s="4" t="s">
        <v>15</v>
      </c>
      <c r="H328" s="4" t="s">
        <v>330</v>
      </c>
      <c r="I328" s="7">
        <v>0.1794</v>
      </c>
      <c r="J328" s="7">
        <v>0.1794</v>
      </c>
      <c r="K328" s="50">
        <v>5.7999999999999996E-3</v>
      </c>
      <c r="L328" s="7">
        <v>0.17</v>
      </c>
      <c r="N328" s="7">
        <v>-0.59</v>
      </c>
      <c r="O328" s="4"/>
      <c r="P328" s="7">
        <v>1.2255</v>
      </c>
      <c r="W328" s="4"/>
      <c r="X328" s="4"/>
      <c r="Y328" s="4"/>
      <c r="Z328" s="7"/>
      <c r="AA328" s="7"/>
      <c r="AB328" s="7"/>
      <c r="AC328" s="7"/>
      <c r="AD328" s="7"/>
      <c r="AE328" s="7"/>
      <c r="AF328" s="7"/>
      <c r="AG328" s="7"/>
      <c r="AH328" s="7"/>
      <c r="AI328" s="7"/>
      <c r="AJ328" s="7"/>
      <c r="AK328" s="7"/>
      <c r="AL328" s="7"/>
      <c r="AM328" s="7"/>
      <c r="AN328" s="7"/>
      <c r="AO328" s="7"/>
      <c r="AP328" s="7"/>
      <c r="AQ328" s="7"/>
      <c r="AR328" s="7"/>
      <c r="AS328" s="7"/>
      <c r="AT328" s="7"/>
      <c r="AU328" s="7"/>
      <c r="AV328" s="7"/>
      <c r="AW328" s="4"/>
      <c r="AX328" s="2"/>
      <c r="AY328" s="7"/>
      <c r="AZ328" s="4"/>
      <c r="BA328" s="4">
        <v>111.6</v>
      </c>
      <c r="BB328" s="2"/>
      <c r="BC328" s="2"/>
      <c r="BD328" s="2">
        <v>28.7</v>
      </c>
      <c r="BE328" s="42">
        <v>1017</v>
      </c>
      <c r="BF328" s="43">
        <v>48</v>
      </c>
      <c r="BG328" s="44">
        <v>1.1659999999999999</v>
      </c>
      <c r="BH328" s="56">
        <v>2096</v>
      </c>
      <c r="BI328" s="2"/>
      <c r="BJ328" s="3" t="s">
        <v>436</v>
      </c>
      <c r="BK328"/>
      <c r="BL328"/>
      <c r="BM328"/>
      <c r="BO328" s="7"/>
      <c r="BR328"/>
    </row>
    <row r="329" spans="1:70" ht="28.5" x14ac:dyDescent="0.45">
      <c r="A329" s="2" t="s">
        <v>13</v>
      </c>
      <c r="B329" s="54" t="s">
        <v>28</v>
      </c>
      <c r="C329" s="3">
        <v>45281</v>
      </c>
      <c r="D329" s="8">
        <v>1</v>
      </c>
      <c r="E329" s="2" t="s">
        <v>22</v>
      </c>
      <c r="F329" s="4" t="s">
        <v>15</v>
      </c>
      <c r="G329" s="4" t="s">
        <v>577</v>
      </c>
      <c r="H329" s="4" t="s">
        <v>571</v>
      </c>
      <c r="I329" s="7">
        <v>0.16220000000000001</v>
      </c>
      <c r="J329" s="7">
        <v>0.16220000000000001</v>
      </c>
      <c r="K329" s="50">
        <v>2.8E-3</v>
      </c>
      <c r="L329" s="7">
        <v>0.158</v>
      </c>
      <c r="M329" s="7">
        <v>0.16189999999999999</v>
      </c>
      <c r="N329" s="7">
        <v>-0.36</v>
      </c>
      <c r="O329" s="4"/>
      <c r="P329" s="7">
        <v>1.2404999999999999</v>
      </c>
      <c r="T329" s="7">
        <v>61.9</v>
      </c>
      <c r="U329" s="7">
        <v>507</v>
      </c>
      <c r="V329" s="7">
        <v>753.9</v>
      </c>
      <c r="W329" s="4"/>
      <c r="X329" s="4"/>
      <c r="Y329" s="4"/>
      <c r="Z329" s="7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  <c r="AL329" s="7"/>
      <c r="AM329" s="7"/>
      <c r="AN329" s="7"/>
      <c r="AO329" s="7"/>
      <c r="AP329" s="7"/>
      <c r="AQ329" s="7"/>
      <c r="AR329" s="7"/>
      <c r="AS329" s="7"/>
      <c r="AT329" s="7"/>
      <c r="AU329" s="7"/>
      <c r="AV329" s="7"/>
      <c r="AW329" s="4"/>
      <c r="AX329" s="2"/>
      <c r="AY329" s="7"/>
      <c r="AZ329" s="4"/>
      <c r="BA329" s="4">
        <v>117</v>
      </c>
      <c r="BB329" s="2"/>
      <c r="BC329" s="2"/>
      <c r="BD329" s="2">
        <v>28.7</v>
      </c>
      <c r="BE329" s="42">
        <v>1017</v>
      </c>
      <c r="BF329" s="43">
        <v>48</v>
      </c>
      <c r="BG329" s="44">
        <v>1.1659999999999999</v>
      </c>
      <c r="BH329" s="42">
        <v>2096</v>
      </c>
      <c r="BI329" s="2"/>
      <c r="BJ329" s="3" t="s">
        <v>431</v>
      </c>
      <c r="BK329"/>
      <c r="BL329"/>
      <c r="BM329"/>
      <c r="BO329" s="7"/>
      <c r="BR329"/>
    </row>
    <row r="330" spans="1:70" ht="28.5" x14ac:dyDescent="0.45">
      <c r="A330" s="2" t="s">
        <v>13</v>
      </c>
      <c r="B330" s="54" t="s">
        <v>28</v>
      </c>
      <c r="C330" s="3">
        <v>45281</v>
      </c>
      <c r="D330" s="8">
        <v>2</v>
      </c>
      <c r="E330" s="2" t="s">
        <v>451</v>
      </c>
      <c r="F330" s="4" t="s">
        <v>15</v>
      </c>
      <c r="G330" s="4" t="s">
        <v>577</v>
      </c>
      <c r="H330" s="4" t="s">
        <v>571</v>
      </c>
      <c r="I330" s="7">
        <v>0.1555</v>
      </c>
      <c r="J330" s="7">
        <v>0.1555</v>
      </c>
      <c r="K330" s="50">
        <v>1.6999999999999999E-3</v>
      </c>
      <c r="L330" s="7">
        <v>0.155</v>
      </c>
      <c r="M330" s="7">
        <v>0.15609999999999999</v>
      </c>
      <c r="N330" s="7">
        <v>-0.32</v>
      </c>
      <c r="O330" s="4"/>
      <c r="P330" s="7">
        <v>1.2404999999999999</v>
      </c>
      <c r="T330" s="7">
        <v>63.2</v>
      </c>
      <c r="U330" s="7">
        <v>520</v>
      </c>
      <c r="V330" s="7">
        <v>754.1</v>
      </c>
      <c r="W330" s="4"/>
      <c r="X330" s="4"/>
      <c r="Y330" s="4"/>
      <c r="Z330" s="7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  <c r="AM330" s="7"/>
      <c r="AN330" s="7"/>
      <c r="AO330" s="7"/>
      <c r="AP330" s="7"/>
      <c r="AQ330" s="7"/>
      <c r="AR330" s="7"/>
      <c r="AS330" s="7"/>
      <c r="AT330" s="7"/>
      <c r="AU330" s="7"/>
      <c r="AV330" s="7"/>
      <c r="AW330" s="4"/>
      <c r="AX330" s="2"/>
      <c r="AY330" s="7"/>
      <c r="AZ330" s="4"/>
      <c r="BA330" s="4"/>
      <c r="BB330" s="2"/>
      <c r="BC330" s="2"/>
      <c r="BD330" s="2"/>
      <c r="BE330" s="42"/>
      <c r="BF330" s="43"/>
      <c r="BG330" s="44"/>
      <c r="BH330" s="42">
        <v>2096</v>
      </c>
      <c r="BI330" s="2"/>
      <c r="BJ330" s="3" t="s">
        <v>418</v>
      </c>
      <c r="BK330"/>
      <c r="BL330"/>
      <c r="BM330"/>
      <c r="BO330" s="7"/>
      <c r="BR330"/>
    </row>
    <row r="331" spans="1:70" ht="28.5" x14ac:dyDescent="0.45">
      <c r="A331" s="2" t="s">
        <v>13</v>
      </c>
      <c r="B331" s="54" t="s">
        <v>28</v>
      </c>
      <c r="C331" s="3">
        <v>45281</v>
      </c>
      <c r="D331" s="8">
        <v>3</v>
      </c>
      <c r="E331" s="2" t="s">
        <v>551</v>
      </c>
      <c r="F331" s="4" t="s">
        <v>354</v>
      </c>
      <c r="G331" s="4" t="s">
        <v>578</v>
      </c>
      <c r="H331" s="4" t="s">
        <v>223</v>
      </c>
      <c r="I331" s="7">
        <v>0.16</v>
      </c>
      <c r="J331" s="7">
        <v>0.16</v>
      </c>
      <c r="K331" s="50">
        <v>2.5000000000000001E-3</v>
      </c>
      <c r="L331" s="7">
        <v>0.157</v>
      </c>
      <c r="M331" s="7">
        <v>0.16039999999999999</v>
      </c>
      <c r="N331" s="7">
        <v>-0.33</v>
      </c>
      <c r="O331" s="4"/>
      <c r="P331" s="7">
        <v>1.2404999999999999</v>
      </c>
      <c r="T331" s="7">
        <v>62.1</v>
      </c>
      <c r="U331" s="7">
        <v>517</v>
      </c>
      <c r="V331" s="7">
        <v>753.9</v>
      </c>
      <c r="W331" s="4"/>
      <c r="X331" s="4"/>
      <c r="Y331" s="4"/>
      <c r="Z331" s="7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  <c r="AM331" s="7"/>
      <c r="AN331" s="7"/>
      <c r="AO331" s="7"/>
      <c r="AP331" s="7"/>
      <c r="AQ331" s="7"/>
      <c r="AR331" s="7"/>
      <c r="AS331" s="7"/>
      <c r="AT331" s="7"/>
      <c r="AU331" s="7"/>
      <c r="AV331" s="7"/>
      <c r="AW331" s="4"/>
      <c r="AX331" s="2"/>
      <c r="AY331" s="7"/>
      <c r="AZ331" s="4"/>
      <c r="BA331" s="4"/>
      <c r="BB331" s="2"/>
      <c r="BC331" s="2"/>
      <c r="BD331" s="2"/>
      <c r="BE331" s="42"/>
      <c r="BF331" s="43"/>
      <c r="BG331" s="44"/>
      <c r="BH331" s="56">
        <v>2096</v>
      </c>
      <c r="BI331" s="2"/>
      <c r="BJ331" s="3" t="s">
        <v>423</v>
      </c>
      <c r="BK331"/>
      <c r="BL331"/>
      <c r="BM331"/>
      <c r="BO331" s="7"/>
      <c r="BR331"/>
    </row>
    <row r="332" spans="1:70" ht="28.5" x14ac:dyDescent="0.45">
      <c r="A332" s="2" t="s">
        <v>13</v>
      </c>
      <c r="B332" s="54" t="s">
        <v>28</v>
      </c>
      <c r="C332" s="3">
        <v>45281</v>
      </c>
      <c r="D332" s="8">
        <v>4</v>
      </c>
      <c r="E332" s="2" t="s">
        <v>22</v>
      </c>
      <c r="F332" s="4" t="s">
        <v>15</v>
      </c>
      <c r="G332" s="4" t="s">
        <v>577</v>
      </c>
      <c r="H332" s="4" t="s">
        <v>571</v>
      </c>
      <c r="I332" s="7">
        <v>0.16170000000000001</v>
      </c>
      <c r="J332" s="7">
        <v>0.16170000000000001</v>
      </c>
      <c r="K332" s="50">
        <v>1.5E-3</v>
      </c>
      <c r="L332" s="7">
        <v>0.161</v>
      </c>
      <c r="M332" s="7">
        <v>0.16250000000000001</v>
      </c>
      <c r="N332" s="7">
        <v>-0.31</v>
      </c>
      <c r="O332" s="4"/>
      <c r="P332" s="7">
        <v>1.2404999999999999</v>
      </c>
      <c r="T332" s="7">
        <v>63.2</v>
      </c>
      <c r="U332" s="7">
        <v>543</v>
      </c>
      <c r="V332" s="7">
        <v>754.1</v>
      </c>
      <c r="W332" s="4"/>
      <c r="X332" s="4"/>
      <c r="Y332" s="4"/>
      <c r="Z332" s="7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7"/>
      <c r="AN332" s="7"/>
      <c r="AO332" s="7"/>
      <c r="AP332" s="7"/>
      <c r="AQ332" s="7"/>
      <c r="AR332" s="7"/>
      <c r="AS332" s="7"/>
      <c r="AT332" s="7"/>
      <c r="AU332" s="7"/>
      <c r="AV332" s="7"/>
      <c r="AW332" s="4"/>
      <c r="AX332" s="2"/>
      <c r="AY332" s="7"/>
      <c r="AZ332" s="4"/>
      <c r="BA332" s="4">
        <v>111.6</v>
      </c>
      <c r="BB332" s="2"/>
      <c r="BC332" s="2"/>
      <c r="BD332" s="2">
        <v>28.7</v>
      </c>
      <c r="BE332" s="42">
        <v>1017</v>
      </c>
      <c r="BF332" s="43">
        <v>48</v>
      </c>
      <c r="BG332" s="44">
        <v>1.1659999999999999</v>
      </c>
      <c r="BH332" s="42">
        <v>2096</v>
      </c>
      <c r="BI332" s="2"/>
      <c r="BJ332" s="3" t="s">
        <v>440</v>
      </c>
      <c r="BK332"/>
      <c r="BL332"/>
      <c r="BM332"/>
      <c r="BO332" s="7"/>
      <c r="BR332"/>
    </row>
    <row r="333" spans="1:70" ht="28.5" x14ac:dyDescent="0.45">
      <c r="A333" s="2" t="s">
        <v>13</v>
      </c>
      <c r="B333" s="54" t="s">
        <v>28</v>
      </c>
      <c r="C333" s="3">
        <v>45281</v>
      </c>
      <c r="D333" s="8">
        <v>5</v>
      </c>
      <c r="E333" s="2" t="s">
        <v>451</v>
      </c>
      <c r="F333" s="4" t="s">
        <v>15</v>
      </c>
      <c r="G333" s="4" t="s">
        <v>577</v>
      </c>
      <c r="H333" s="4" t="s">
        <v>571</v>
      </c>
      <c r="I333" s="7">
        <v>0.15790000000000001</v>
      </c>
      <c r="J333" s="7">
        <v>0.15790000000000001</v>
      </c>
      <c r="K333" s="50">
        <v>3.0000000000000001E-3</v>
      </c>
      <c r="L333" s="7">
        <v>0.156</v>
      </c>
      <c r="M333" s="7">
        <v>0.1603</v>
      </c>
      <c r="N333" s="7">
        <v>-0.3</v>
      </c>
      <c r="O333" s="4"/>
      <c r="P333" s="7">
        <v>1.2404999999999999</v>
      </c>
      <c r="T333" s="7">
        <v>62.1</v>
      </c>
      <c r="U333" s="7">
        <v>512</v>
      </c>
      <c r="V333" s="7">
        <v>754.2</v>
      </c>
      <c r="W333" s="4"/>
      <c r="X333" s="4"/>
      <c r="Y333" s="4"/>
      <c r="Z333" s="7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  <c r="AN333" s="7"/>
      <c r="AO333" s="7"/>
      <c r="AP333" s="7"/>
      <c r="AQ333" s="7"/>
      <c r="AR333" s="7"/>
      <c r="AS333" s="7"/>
      <c r="AT333" s="7"/>
      <c r="AU333" s="7"/>
      <c r="AV333" s="7"/>
      <c r="AW333" s="4"/>
      <c r="AX333" s="2"/>
      <c r="AY333" s="7"/>
      <c r="AZ333" s="4"/>
      <c r="BA333" s="4">
        <v>117</v>
      </c>
      <c r="BB333" s="2"/>
      <c r="BC333" s="2"/>
      <c r="BD333" s="2">
        <v>28.7</v>
      </c>
      <c r="BE333" s="42">
        <v>1017</v>
      </c>
      <c r="BF333" s="43">
        <v>48</v>
      </c>
      <c r="BG333" s="44">
        <v>1.1659999999999999</v>
      </c>
      <c r="BH333" s="42">
        <v>2096</v>
      </c>
      <c r="BI333" s="2"/>
      <c r="BJ333" s="3" t="s">
        <v>433</v>
      </c>
      <c r="BK333"/>
      <c r="BL333"/>
      <c r="BM333"/>
      <c r="BO333" s="7"/>
      <c r="BR333"/>
    </row>
    <row r="334" spans="1:70" ht="28.5" x14ac:dyDescent="0.45">
      <c r="A334" s="2" t="s">
        <v>13</v>
      </c>
      <c r="B334" s="54" t="s">
        <v>28</v>
      </c>
      <c r="C334" s="3">
        <v>45281</v>
      </c>
      <c r="D334" s="8">
        <v>6</v>
      </c>
      <c r="E334" s="2" t="s">
        <v>551</v>
      </c>
      <c r="F334" s="4" t="s">
        <v>354</v>
      </c>
      <c r="G334" s="4" t="s">
        <v>578</v>
      </c>
      <c r="H334" s="4" t="s">
        <v>223</v>
      </c>
      <c r="I334" s="7">
        <v>0.1608</v>
      </c>
      <c r="J334" s="7">
        <v>0.1608</v>
      </c>
      <c r="K334" s="50">
        <v>2.8999999999999998E-3</v>
      </c>
      <c r="L334" s="7">
        <v>0.157</v>
      </c>
      <c r="M334" s="7">
        <v>0.16059999999999999</v>
      </c>
      <c r="N334" s="7">
        <v>-0.32</v>
      </c>
      <c r="O334" s="4"/>
      <c r="P334" s="7">
        <v>1.2404999999999999</v>
      </c>
      <c r="T334" s="7">
        <v>62.3</v>
      </c>
      <c r="U334" s="7">
        <v>519</v>
      </c>
      <c r="V334" s="7">
        <v>754.3</v>
      </c>
      <c r="W334" s="4"/>
      <c r="X334" s="4"/>
      <c r="Y334" s="4"/>
      <c r="Z334" s="7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  <c r="AN334" s="7"/>
      <c r="AO334" s="7"/>
      <c r="AP334" s="7"/>
      <c r="AQ334" s="7"/>
      <c r="AR334" s="7"/>
      <c r="AS334" s="7"/>
      <c r="AT334" s="7"/>
      <c r="AU334" s="7"/>
      <c r="AV334" s="7"/>
      <c r="AW334" s="4"/>
      <c r="AX334" s="2"/>
      <c r="AY334" s="7"/>
      <c r="AZ334" s="4"/>
      <c r="BA334" s="4"/>
      <c r="BB334" s="2"/>
      <c r="BC334" s="2"/>
      <c r="BD334" s="2"/>
      <c r="BE334" s="42"/>
      <c r="BF334" s="43"/>
      <c r="BG334" s="44"/>
      <c r="BH334" s="56"/>
      <c r="BI334" s="2"/>
      <c r="BJ334" s="3" t="s">
        <v>437</v>
      </c>
      <c r="BK334"/>
      <c r="BL334"/>
      <c r="BM334"/>
      <c r="BO334" s="7"/>
      <c r="BR334"/>
    </row>
    <row r="335" spans="1:70" ht="28.5" x14ac:dyDescent="0.45">
      <c r="A335" s="2" t="s">
        <v>43</v>
      </c>
      <c r="B335" s="54" t="s">
        <v>99</v>
      </c>
      <c r="C335" s="3">
        <v>45302</v>
      </c>
      <c r="D335" s="8">
        <v>1</v>
      </c>
      <c r="E335" s="2" t="s">
        <v>22</v>
      </c>
      <c r="F335" s="4" t="s">
        <v>15</v>
      </c>
      <c r="G335" s="4" t="s">
        <v>15</v>
      </c>
      <c r="H335" s="4" t="s">
        <v>330</v>
      </c>
      <c r="I335" s="7">
        <v>0.18010000000000001</v>
      </c>
      <c r="J335" s="7">
        <v>0.18010000000000001</v>
      </c>
      <c r="K335" s="50">
        <v>2.0999999999999999E-3</v>
      </c>
      <c r="L335" s="7"/>
      <c r="M335" s="7">
        <v>0.17780000000000001</v>
      </c>
      <c r="N335" s="7">
        <v>-0.45</v>
      </c>
      <c r="O335" s="4"/>
      <c r="P335" s="7">
        <v>1.2324999999999999</v>
      </c>
      <c r="T335" s="7">
        <v>59.7</v>
      </c>
      <c r="U335" s="7">
        <v>464</v>
      </c>
      <c r="V335" s="7">
        <v>756.7</v>
      </c>
      <c r="W335" s="4"/>
      <c r="X335" s="4"/>
      <c r="Y335" s="4"/>
      <c r="Z335" s="7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  <c r="AN335" s="7"/>
      <c r="AO335" s="7"/>
      <c r="AP335" s="7"/>
      <c r="AQ335" s="7"/>
      <c r="AR335" s="7"/>
      <c r="AS335" s="7"/>
      <c r="AT335" s="7"/>
      <c r="AU335" s="7"/>
      <c r="AV335" s="7"/>
      <c r="AW335" s="4"/>
      <c r="AX335" s="2"/>
      <c r="AY335" s="7"/>
      <c r="AZ335" s="4"/>
      <c r="BA335" s="4">
        <v>111.6</v>
      </c>
      <c r="BB335" s="2"/>
      <c r="BC335" s="2"/>
      <c r="BD335" s="41">
        <v>26.8</v>
      </c>
      <c r="BE335" s="42">
        <v>1020</v>
      </c>
      <c r="BF335" s="43">
        <v>58</v>
      </c>
      <c r="BG335" s="44"/>
      <c r="BH335" s="42">
        <v>2096</v>
      </c>
      <c r="BI335" s="2" t="s">
        <v>446</v>
      </c>
      <c r="BJ335" s="3" t="s">
        <v>464</v>
      </c>
      <c r="BK335"/>
      <c r="BL335"/>
      <c r="BM335"/>
      <c r="BO335" s="7"/>
      <c r="BR335"/>
    </row>
    <row r="336" spans="1:70" ht="28.5" x14ac:dyDescent="0.45">
      <c r="A336" s="2" t="s">
        <v>43</v>
      </c>
      <c r="B336" s="54" t="s">
        <v>99</v>
      </c>
      <c r="C336" s="3">
        <v>45302</v>
      </c>
      <c r="D336" s="8">
        <v>2</v>
      </c>
      <c r="E336" s="2" t="s">
        <v>553</v>
      </c>
      <c r="F336" s="4" t="s">
        <v>332</v>
      </c>
      <c r="G336" s="4" t="s">
        <v>578</v>
      </c>
      <c r="H336" s="4" t="s">
        <v>330</v>
      </c>
      <c r="I336" s="7">
        <v>0.1694</v>
      </c>
      <c r="J336" s="7">
        <v>0.1694</v>
      </c>
      <c r="K336" s="50">
        <v>4.1999999999999997E-3</v>
      </c>
      <c r="L336" s="7"/>
      <c r="M336" s="7">
        <v>0.16389999999999999</v>
      </c>
      <c r="N336" s="7">
        <v>-0.53</v>
      </c>
      <c r="O336" s="4"/>
      <c r="P336" s="7">
        <v>1.2324999999999999</v>
      </c>
      <c r="T336" s="7">
        <v>59.3</v>
      </c>
      <c r="U336" s="7">
        <v>479</v>
      </c>
      <c r="V336" s="7">
        <v>757.1</v>
      </c>
      <c r="W336" s="4"/>
      <c r="X336" s="4"/>
      <c r="Y336" s="4"/>
      <c r="Z336" s="7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  <c r="AN336" s="7"/>
      <c r="AO336" s="7"/>
      <c r="AP336" s="7"/>
      <c r="AQ336" s="7"/>
      <c r="AR336" s="7"/>
      <c r="AS336" s="7"/>
      <c r="AT336" s="7"/>
      <c r="AU336" s="7"/>
      <c r="AV336" s="7"/>
      <c r="AW336" s="4"/>
      <c r="AX336" s="2"/>
      <c r="AY336" s="7"/>
      <c r="AZ336" s="4"/>
      <c r="BA336" s="4">
        <v>111.6</v>
      </c>
      <c r="BB336" s="2"/>
      <c r="BC336" s="2"/>
      <c r="BD336" s="41">
        <v>27.2</v>
      </c>
      <c r="BE336" s="42">
        <v>1020</v>
      </c>
      <c r="BF336" s="43">
        <v>55</v>
      </c>
      <c r="BG336" s="44"/>
      <c r="BH336" s="42">
        <v>2096</v>
      </c>
      <c r="BI336" s="2" t="s">
        <v>447</v>
      </c>
      <c r="BJ336" s="3" t="s">
        <v>463</v>
      </c>
      <c r="BK336"/>
      <c r="BL336"/>
      <c r="BM336"/>
      <c r="BO336" s="7"/>
      <c r="BR336"/>
    </row>
    <row r="337" spans="1:70" ht="28.5" x14ac:dyDescent="0.45">
      <c r="A337" s="2" t="s">
        <v>43</v>
      </c>
      <c r="B337" s="54" t="s">
        <v>99</v>
      </c>
      <c r="C337" s="3">
        <v>45302</v>
      </c>
      <c r="D337" s="8">
        <v>3</v>
      </c>
      <c r="E337" s="2" t="s">
        <v>22</v>
      </c>
      <c r="F337" s="4" t="s">
        <v>15</v>
      </c>
      <c r="G337" s="4" t="s">
        <v>15</v>
      </c>
      <c r="H337" s="4" t="s">
        <v>330</v>
      </c>
      <c r="I337" s="7">
        <v>0.18179999999999999</v>
      </c>
      <c r="J337" s="7">
        <v>0.18179999999999999</v>
      </c>
      <c r="K337" s="50">
        <v>3.0000000000000001E-3</v>
      </c>
      <c r="L337" s="7"/>
      <c r="M337" s="7">
        <v>0.17449999999999999</v>
      </c>
      <c r="N337" s="7">
        <v>-0.52</v>
      </c>
      <c r="O337" s="4"/>
      <c r="P337" s="7">
        <v>1.2324999999999999</v>
      </c>
      <c r="T337" s="7">
        <v>55.8</v>
      </c>
      <c r="U337" s="7">
        <v>484</v>
      </c>
      <c r="V337" s="7">
        <v>755.5</v>
      </c>
      <c r="W337" s="4"/>
      <c r="X337" s="4"/>
      <c r="Y337" s="4"/>
      <c r="Z337" s="7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7"/>
      <c r="AN337" s="7"/>
      <c r="AO337" s="7"/>
      <c r="AP337" s="7"/>
      <c r="AQ337" s="7"/>
      <c r="AR337" s="7"/>
      <c r="AS337" s="7"/>
      <c r="AT337" s="7"/>
      <c r="AU337" s="7"/>
      <c r="AV337" s="7"/>
      <c r="AW337" s="4"/>
      <c r="AX337" s="2"/>
      <c r="AY337" s="7"/>
      <c r="AZ337" s="4"/>
      <c r="BA337" s="4">
        <v>111.6</v>
      </c>
      <c r="BB337" s="2"/>
      <c r="BC337" s="2"/>
      <c r="BD337" s="41">
        <v>27.5</v>
      </c>
      <c r="BE337" s="42">
        <v>1021</v>
      </c>
      <c r="BF337" s="43">
        <v>54</v>
      </c>
      <c r="BG337" s="44"/>
      <c r="BH337" s="42">
        <v>2096</v>
      </c>
      <c r="BI337" s="2"/>
      <c r="BJ337" s="3" t="s">
        <v>462</v>
      </c>
      <c r="BK337"/>
      <c r="BL337"/>
      <c r="BM337"/>
      <c r="BO337" s="7"/>
      <c r="BR337"/>
    </row>
    <row r="338" spans="1:70" ht="28.5" x14ac:dyDescent="0.45">
      <c r="A338" s="2" t="s">
        <v>43</v>
      </c>
      <c r="B338" s="54" t="s">
        <v>99</v>
      </c>
      <c r="C338" s="3">
        <v>45302</v>
      </c>
      <c r="D338" s="8">
        <v>4</v>
      </c>
      <c r="E338" s="2" t="s">
        <v>553</v>
      </c>
      <c r="F338" s="4" t="s">
        <v>332</v>
      </c>
      <c r="G338" s="4" t="s">
        <v>578</v>
      </c>
      <c r="H338" s="4" t="s">
        <v>330</v>
      </c>
      <c r="I338" s="7">
        <v>0.1714</v>
      </c>
      <c r="J338" s="7">
        <v>0.1714</v>
      </c>
      <c r="K338" s="50">
        <v>3.8999999999999998E-3</v>
      </c>
      <c r="L338" s="7"/>
      <c r="M338" s="7">
        <v>0.16980000000000001</v>
      </c>
      <c r="N338" s="7">
        <v>-0.5</v>
      </c>
      <c r="O338" s="4"/>
      <c r="P338" s="7">
        <v>1.2324999999999999</v>
      </c>
      <c r="T338" s="7">
        <v>59.5</v>
      </c>
      <c r="U338" s="7">
        <v>460</v>
      </c>
      <c r="V338" s="7">
        <v>756.3</v>
      </c>
      <c r="W338" s="4"/>
      <c r="X338" s="4"/>
      <c r="Y338" s="4"/>
      <c r="Z338" s="7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  <c r="AN338" s="7"/>
      <c r="AO338" s="7"/>
      <c r="AP338" s="7"/>
      <c r="AQ338" s="7"/>
      <c r="AR338" s="7"/>
      <c r="AS338" s="7"/>
      <c r="AT338" s="7"/>
      <c r="AU338" s="7"/>
      <c r="AV338" s="7"/>
      <c r="AW338" s="4"/>
      <c r="AX338" s="2"/>
      <c r="AY338" s="7"/>
      <c r="AZ338" s="4"/>
      <c r="BA338" s="4">
        <v>111.6</v>
      </c>
      <c r="BB338" s="2"/>
      <c r="BC338" s="2"/>
      <c r="BD338" s="41">
        <v>27.9</v>
      </c>
      <c r="BE338" s="42">
        <v>1019.9</v>
      </c>
      <c r="BF338" s="43">
        <v>52.8</v>
      </c>
      <c r="BG338" s="44"/>
      <c r="BH338" s="42">
        <v>2096</v>
      </c>
      <c r="BI338" s="2" t="s">
        <v>446</v>
      </c>
      <c r="BJ338" s="3" t="s">
        <v>461</v>
      </c>
      <c r="BK338"/>
      <c r="BL338"/>
      <c r="BM338"/>
      <c r="BO338" s="7"/>
      <c r="BR338"/>
    </row>
    <row r="339" spans="1:70" ht="28.5" x14ac:dyDescent="0.45">
      <c r="A339" s="2" t="s">
        <v>43</v>
      </c>
      <c r="B339" s="54" t="s">
        <v>99</v>
      </c>
      <c r="C339" s="3">
        <v>45302</v>
      </c>
      <c r="D339" s="8">
        <v>5</v>
      </c>
      <c r="E339" s="2" t="s">
        <v>22</v>
      </c>
      <c r="F339" s="4" t="s">
        <v>15</v>
      </c>
      <c r="G339" s="4" t="s">
        <v>15</v>
      </c>
      <c r="H339" s="4" t="s">
        <v>330</v>
      </c>
      <c r="I339" s="7">
        <v>0.18099999999999999</v>
      </c>
      <c r="J339" s="7">
        <v>0.18099999999999999</v>
      </c>
      <c r="K339" s="50">
        <v>5.9999999999999995E-4</v>
      </c>
      <c r="L339" s="7"/>
      <c r="M339" s="7">
        <v>0.17499999999999999</v>
      </c>
      <c r="N339" s="7">
        <v>-0.5</v>
      </c>
      <c r="O339" s="4"/>
      <c r="P339" s="7">
        <v>1.2324999999999999</v>
      </c>
      <c r="T339" s="7">
        <v>59.2</v>
      </c>
      <c r="U339" s="7">
        <v>475</v>
      </c>
      <c r="V339" s="7">
        <v>755.5</v>
      </c>
      <c r="W339" s="4"/>
      <c r="X339" s="4"/>
      <c r="Y339" s="4"/>
      <c r="Z339" s="7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  <c r="AN339" s="7"/>
      <c r="AO339" s="7"/>
      <c r="AP339" s="7"/>
      <c r="AQ339" s="7"/>
      <c r="AR339" s="7"/>
      <c r="AS339" s="7"/>
      <c r="AT339" s="7"/>
      <c r="AU339" s="7"/>
      <c r="AV339" s="7"/>
      <c r="AW339" s="4"/>
      <c r="AX339" s="2"/>
      <c r="AY339" s="7"/>
      <c r="AZ339" s="4"/>
      <c r="BA339" s="4">
        <v>111.6</v>
      </c>
      <c r="BB339" s="2"/>
      <c r="BC339" s="2"/>
      <c r="BD339" s="41">
        <v>27.8</v>
      </c>
      <c r="BE339" s="42">
        <v>1019.3</v>
      </c>
      <c r="BF339" s="43">
        <v>52.8</v>
      </c>
      <c r="BG339" s="44"/>
      <c r="BH339" s="42">
        <v>2096</v>
      </c>
      <c r="BI339" s="2"/>
      <c r="BJ339" s="3" t="s">
        <v>460</v>
      </c>
      <c r="BK339"/>
      <c r="BL339"/>
      <c r="BM339"/>
      <c r="BO339" s="7"/>
      <c r="BR339"/>
    </row>
    <row r="340" spans="1:70" ht="28.5" x14ac:dyDescent="0.45">
      <c r="A340" s="2" t="s">
        <v>43</v>
      </c>
      <c r="B340" s="54" t="s">
        <v>99</v>
      </c>
      <c r="C340" s="3">
        <v>45302</v>
      </c>
      <c r="D340" s="8">
        <v>6</v>
      </c>
      <c r="E340" s="2" t="s">
        <v>553</v>
      </c>
      <c r="F340" s="4" t="s">
        <v>332</v>
      </c>
      <c r="G340" s="4" t="s">
        <v>578</v>
      </c>
      <c r="H340" s="4" t="s">
        <v>330</v>
      </c>
      <c r="I340" s="7">
        <v>0.1673</v>
      </c>
      <c r="J340" s="7">
        <v>0.1673</v>
      </c>
      <c r="K340" s="50">
        <v>2.5000000000000001E-3</v>
      </c>
      <c r="L340" s="7"/>
      <c r="M340" s="7">
        <v>0.16980000000000001</v>
      </c>
      <c r="N340" s="7">
        <v>-0.32</v>
      </c>
      <c r="O340" s="4"/>
      <c r="P340" s="7">
        <v>1.2324999999999999</v>
      </c>
      <c r="T340" s="7">
        <v>59.2</v>
      </c>
      <c r="U340" s="7">
        <v>455</v>
      </c>
      <c r="V340" s="7">
        <v>756.6</v>
      </c>
      <c r="W340" s="4"/>
      <c r="X340" s="4"/>
      <c r="Y340" s="4"/>
      <c r="Z340" s="7"/>
      <c r="AA340" s="7"/>
      <c r="AB340" s="7"/>
      <c r="AC340" s="7"/>
      <c r="AD340" s="7"/>
      <c r="AE340" s="7"/>
      <c r="AF340" s="7"/>
      <c r="AG340" s="7"/>
      <c r="AH340" s="7"/>
      <c r="AI340" s="7"/>
      <c r="AJ340" s="7"/>
      <c r="AK340" s="7"/>
      <c r="AL340" s="7"/>
      <c r="AM340" s="7"/>
      <c r="AN340" s="7"/>
      <c r="AO340" s="7"/>
      <c r="AP340" s="7"/>
      <c r="AQ340" s="7"/>
      <c r="AR340" s="7"/>
      <c r="AS340" s="7"/>
      <c r="AT340" s="7"/>
      <c r="AU340" s="7"/>
      <c r="AV340" s="7"/>
      <c r="AW340" s="4"/>
      <c r="AX340" s="2"/>
      <c r="AY340" s="7"/>
      <c r="AZ340" s="4"/>
      <c r="BA340" s="4">
        <v>111.6</v>
      </c>
      <c r="BB340" s="2"/>
      <c r="BC340" s="2"/>
      <c r="BD340" s="41">
        <v>28.1</v>
      </c>
      <c r="BE340" s="42">
        <v>1019.5</v>
      </c>
      <c r="BF340" s="43">
        <v>51.5</v>
      </c>
      <c r="BG340" s="44"/>
      <c r="BH340" s="42">
        <v>2096</v>
      </c>
      <c r="BI340" s="2" t="s">
        <v>446</v>
      </c>
      <c r="BJ340" s="3" t="s">
        <v>459</v>
      </c>
      <c r="BK340"/>
      <c r="BL340"/>
      <c r="BM340"/>
      <c r="BO340" s="7"/>
      <c r="BR340"/>
    </row>
    <row r="341" spans="1:70" ht="28.5" x14ac:dyDescent="0.45">
      <c r="A341" s="2" t="s">
        <v>43</v>
      </c>
      <c r="B341" s="54" t="s">
        <v>46</v>
      </c>
      <c r="C341" s="3">
        <v>45302</v>
      </c>
      <c r="D341" s="8">
        <v>1</v>
      </c>
      <c r="E341" s="2" t="s">
        <v>22</v>
      </c>
      <c r="F341" s="4" t="s">
        <v>15</v>
      </c>
      <c r="G341" s="4" t="s">
        <v>15</v>
      </c>
      <c r="H341" s="4" t="s">
        <v>330</v>
      </c>
      <c r="I341" s="7">
        <v>0.1774</v>
      </c>
      <c r="J341" s="7">
        <v>0.1774</v>
      </c>
      <c r="K341" s="50">
        <v>2.8E-3</v>
      </c>
      <c r="L341" s="7">
        <v>0.16600000000000001</v>
      </c>
      <c r="M341" s="7">
        <v>0.1757</v>
      </c>
      <c r="N341" s="7">
        <v>-0.36</v>
      </c>
      <c r="O341" s="4"/>
      <c r="P341" s="7">
        <v>1.2144999999999999</v>
      </c>
      <c r="R341" s="7">
        <f>AVERAGE(M341,M343,M345)</f>
        <v>0.1777</v>
      </c>
      <c r="T341" s="7">
        <v>59.2</v>
      </c>
      <c r="U341" s="7">
        <v>489</v>
      </c>
      <c r="V341" s="7">
        <v>755.9</v>
      </c>
      <c r="W341" s="4"/>
      <c r="X341" s="4"/>
      <c r="Y341" s="4"/>
      <c r="Z341" s="7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  <c r="AL341" s="7"/>
      <c r="AM341" s="7"/>
      <c r="AN341" s="7"/>
      <c r="AO341" s="7"/>
      <c r="AP341" s="7"/>
      <c r="AQ341" s="7"/>
      <c r="AR341" s="7"/>
      <c r="AS341" s="7"/>
      <c r="AT341" s="7"/>
      <c r="AU341" s="7"/>
      <c r="AV341" s="7"/>
      <c r="AW341" s="4"/>
      <c r="AX341" s="2"/>
      <c r="AY341" s="7"/>
      <c r="AZ341" s="4"/>
      <c r="BA341" s="4">
        <v>111.6</v>
      </c>
      <c r="BB341" s="2"/>
      <c r="BC341" s="2"/>
      <c r="BD341" s="10">
        <v>26.8</v>
      </c>
      <c r="BE341" s="42">
        <v>1020</v>
      </c>
      <c r="BF341" s="43">
        <v>58</v>
      </c>
      <c r="BG341" s="44"/>
      <c r="BH341" s="42">
        <v>2096</v>
      </c>
      <c r="BI341" s="2"/>
      <c r="BJ341" s="3" t="s">
        <v>470</v>
      </c>
      <c r="BK341"/>
      <c r="BL341"/>
      <c r="BM341"/>
      <c r="BO341" s="7"/>
      <c r="BR341"/>
    </row>
    <row r="342" spans="1:70" ht="28.5" x14ac:dyDescent="0.45">
      <c r="A342" s="2" t="s">
        <v>43</v>
      </c>
      <c r="B342" s="54" t="s">
        <v>46</v>
      </c>
      <c r="C342" s="3">
        <v>45302</v>
      </c>
      <c r="D342" s="8">
        <v>2</v>
      </c>
      <c r="E342" s="2" t="s">
        <v>213</v>
      </c>
      <c r="F342" s="4" t="s">
        <v>15</v>
      </c>
      <c r="G342" s="4" t="s">
        <v>15</v>
      </c>
      <c r="H342" s="4" t="s">
        <v>330</v>
      </c>
      <c r="I342" s="7">
        <v>0.17879999999999999</v>
      </c>
      <c r="J342" s="7">
        <v>0.17879999999999999</v>
      </c>
      <c r="K342" s="50">
        <v>2.7000000000000001E-3</v>
      </c>
      <c r="L342" s="7">
        <v>0.17100000000000001</v>
      </c>
      <c r="M342" s="7">
        <v>0.1741</v>
      </c>
      <c r="N342" s="7">
        <v>-0.5</v>
      </c>
      <c r="O342" s="4"/>
      <c r="P342" s="7">
        <v>1.2144999999999999</v>
      </c>
      <c r="R342" s="7">
        <f>AVERAGE(M342,M344,M346)</f>
        <v>0.17430000000000001</v>
      </c>
      <c r="T342" s="7">
        <v>57.8</v>
      </c>
      <c r="U342" s="7">
        <v>452</v>
      </c>
      <c r="V342" s="7">
        <v>756.2</v>
      </c>
      <c r="W342" s="4"/>
      <c r="X342" s="4"/>
      <c r="Y342" s="4"/>
      <c r="Z342" s="7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  <c r="AN342" s="7"/>
      <c r="AO342" s="7"/>
      <c r="AP342" s="7"/>
      <c r="AQ342" s="7"/>
      <c r="AR342" s="7"/>
      <c r="AS342" s="7"/>
      <c r="AT342" s="7"/>
      <c r="AU342" s="7"/>
      <c r="AV342" s="7"/>
      <c r="AW342" s="4"/>
      <c r="AX342" s="2"/>
      <c r="AY342" s="7"/>
      <c r="AZ342" s="4"/>
      <c r="BA342" s="4">
        <v>111.6</v>
      </c>
      <c r="BB342" s="2"/>
      <c r="BC342" s="2"/>
      <c r="BD342" s="10">
        <v>27</v>
      </c>
      <c r="BE342" s="42">
        <v>1020</v>
      </c>
      <c r="BF342" s="43">
        <v>56</v>
      </c>
      <c r="BG342" s="44"/>
      <c r="BH342" s="42">
        <v>2096</v>
      </c>
      <c r="BI342" s="2" t="s">
        <v>447</v>
      </c>
      <c r="BJ342" s="3" t="s">
        <v>469</v>
      </c>
      <c r="BK342"/>
      <c r="BL342"/>
      <c r="BM342"/>
      <c r="BO342" s="7"/>
      <c r="BR342"/>
    </row>
    <row r="343" spans="1:70" ht="28.5" x14ac:dyDescent="0.45">
      <c r="A343" s="2" t="s">
        <v>43</v>
      </c>
      <c r="B343" s="54" t="s">
        <v>46</v>
      </c>
      <c r="C343" s="3">
        <v>45302</v>
      </c>
      <c r="D343" s="8">
        <v>3</v>
      </c>
      <c r="E343" s="2" t="s">
        <v>22</v>
      </c>
      <c r="F343" s="4" t="s">
        <v>15</v>
      </c>
      <c r="G343" s="4" t="s">
        <v>15</v>
      </c>
      <c r="H343" s="4" t="s">
        <v>330</v>
      </c>
      <c r="I343" s="7">
        <v>0.17680000000000001</v>
      </c>
      <c r="J343" s="7">
        <v>0.17680000000000001</v>
      </c>
      <c r="K343" s="50">
        <v>2.7000000000000001E-3</v>
      </c>
      <c r="L343" s="7">
        <v>0.16200000000000001</v>
      </c>
      <c r="M343" s="7">
        <v>0.17519999999999999</v>
      </c>
      <c r="N343" s="7">
        <v>-0.28000000000000003</v>
      </c>
      <c r="O343" s="4"/>
      <c r="P343" s="7">
        <v>1.2144999999999999</v>
      </c>
      <c r="T343" s="7">
        <v>58.7</v>
      </c>
      <c r="U343" s="7">
        <v>484</v>
      </c>
      <c r="V343" s="7">
        <v>755.9</v>
      </c>
      <c r="W343" s="4"/>
      <c r="X343" s="4"/>
      <c r="Y343" s="4"/>
      <c r="Z343" s="7"/>
      <c r="AA343" s="7"/>
      <c r="AB343" s="7"/>
      <c r="AC343" s="7"/>
      <c r="AD343" s="7"/>
      <c r="AE343" s="7"/>
      <c r="AF343" s="7"/>
      <c r="AG343" s="7"/>
      <c r="AH343" s="7"/>
      <c r="AI343" s="7"/>
      <c r="AJ343" s="7"/>
      <c r="AK343" s="7"/>
      <c r="AL343" s="7"/>
      <c r="AM343" s="7"/>
      <c r="AN343" s="7"/>
      <c r="AO343" s="7"/>
      <c r="AP343" s="7"/>
      <c r="AQ343" s="7"/>
      <c r="AR343" s="7"/>
      <c r="AS343" s="7"/>
      <c r="AT343" s="7"/>
      <c r="AU343" s="7"/>
      <c r="AV343" s="7"/>
      <c r="AW343" s="4"/>
      <c r="AX343" s="2"/>
      <c r="AY343" s="7"/>
      <c r="AZ343" s="4"/>
      <c r="BA343" s="4">
        <v>111.6</v>
      </c>
      <c r="BB343" s="2"/>
      <c r="BC343" s="2"/>
      <c r="BD343" s="10">
        <v>27.5</v>
      </c>
      <c r="BE343" s="42">
        <v>1020</v>
      </c>
      <c r="BF343" s="43">
        <v>55</v>
      </c>
      <c r="BG343" s="44"/>
      <c r="BH343" s="42">
        <v>2096</v>
      </c>
      <c r="BI343" s="2" t="s">
        <v>447</v>
      </c>
      <c r="BJ343" s="3" t="s">
        <v>468</v>
      </c>
      <c r="BK343"/>
      <c r="BL343"/>
      <c r="BM343"/>
      <c r="BO343" s="7"/>
      <c r="BR343"/>
    </row>
    <row r="344" spans="1:70" ht="28.5" x14ac:dyDescent="0.45">
      <c r="A344" s="2" t="s">
        <v>43</v>
      </c>
      <c r="B344" s="54" t="s">
        <v>46</v>
      </c>
      <c r="C344" s="3">
        <v>45302</v>
      </c>
      <c r="D344" s="8">
        <v>4</v>
      </c>
      <c r="E344" s="2" t="s">
        <v>213</v>
      </c>
      <c r="F344" s="4" t="s">
        <v>15</v>
      </c>
      <c r="G344" s="4" t="s">
        <v>15</v>
      </c>
      <c r="H344" s="4" t="s">
        <v>330</v>
      </c>
      <c r="I344" s="7">
        <v>0.17829999999999999</v>
      </c>
      <c r="J344" s="7">
        <v>0.17829999999999999</v>
      </c>
      <c r="K344" s="50">
        <v>8.9999999999999998E-4</v>
      </c>
      <c r="L344" s="7">
        <v>0.16600000000000001</v>
      </c>
      <c r="M344" s="7">
        <v>0.1754</v>
      </c>
      <c r="N344" s="7">
        <v>-0.49</v>
      </c>
      <c r="O344" s="4"/>
      <c r="P344" s="7">
        <v>1.2144999999999999</v>
      </c>
      <c r="T344" s="7">
        <v>58.4</v>
      </c>
      <c r="U344" s="7">
        <v>465</v>
      </c>
      <c r="V344" s="7">
        <v>756.6</v>
      </c>
      <c r="W344" s="4"/>
      <c r="X344" s="4"/>
      <c r="Y344" s="4"/>
      <c r="Z344" s="7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  <c r="AN344" s="7"/>
      <c r="AO344" s="7"/>
      <c r="AP344" s="7"/>
      <c r="AQ344" s="7"/>
      <c r="AR344" s="7"/>
      <c r="AS344" s="7"/>
      <c r="AT344" s="7"/>
      <c r="AU344" s="7"/>
      <c r="AV344" s="7"/>
      <c r="AW344" s="4"/>
      <c r="AX344" s="2"/>
      <c r="AY344" s="7"/>
      <c r="AZ344" s="4"/>
      <c r="BA344" s="4">
        <v>111.6</v>
      </c>
      <c r="BB344" s="2"/>
      <c r="BC344" s="2"/>
      <c r="BD344" s="10">
        <v>27.7</v>
      </c>
      <c r="BE344" s="42">
        <v>1020</v>
      </c>
      <c r="BF344" s="43">
        <v>54</v>
      </c>
      <c r="BG344" s="44"/>
      <c r="BH344" s="42">
        <v>2096</v>
      </c>
      <c r="BI344" s="2"/>
      <c r="BJ344" s="3" t="s">
        <v>467</v>
      </c>
      <c r="BK344"/>
      <c r="BL344"/>
      <c r="BM344"/>
      <c r="BO344" s="7"/>
      <c r="BR344"/>
    </row>
    <row r="345" spans="1:70" ht="28.5" x14ac:dyDescent="0.45">
      <c r="A345" s="2" t="s">
        <v>43</v>
      </c>
      <c r="B345" s="54" t="s">
        <v>46</v>
      </c>
      <c r="C345" s="3">
        <v>45302</v>
      </c>
      <c r="D345" s="8">
        <v>5</v>
      </c>
      <c r="E345" s="2" t="s">
        <v>22</v>
      </c>
      <c r="F345" s="4" t="s">
        <v>15</v>
      </c>
      <c r="G345" s="4" t="s">
        <v>15</v>
      </c>
      <c r="H345" s="4" t="s">
        <v>330</v>
      </c>
      <c r="I345" s="7">
        <v>0.17660000000000001</v>
      </c>
      <c r="J345" s="7">
        <v>0.17660000000000001</v>
      </c>
      <c r="K345" s="50">
        <v>4.1999999999999997E-3</v>
      </c>
      <c r="L345" s="7">
        <v>0.161</v>
      </c>
      <c r="M345" s="7">
        <v>0.1822</v>
      </c>
      <c r="N345" s="7">
        <v>-0.2</v>
      </c>
      <c r="O345" s="4"/>
      <c r="P345" s="7">
        <v>1.2144999999999999</v>
      </c>
      <c r="T345" s="7">
        <v>58.4</v>
      </c>
      <c r="U345" s="7">
        <v>477</v>
      </c>
      <c r="V345" s="7">
        <v>756.4</v>
      </c>
      <c r="W345" s="4"/>
      <c r="X345" s="4"/>
      <c r="Y345" s="4"/>
      <c r="Z345" s="7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  <c r="AN345" s="7"/>
      <c r="AO345" s="7"/>
      <c r="AP345" s="7"/>
      <c r="AQ345" s="7"/>
      <c r="AR345" s="7"/>
      <c r="AS345" s="7"/>
      <c r="AT345" s="7"/>
      <c r="AU345" s="7"/>
      <c r="AV345" s="7"/>
      <c r="AW345" s="4"/>
      <c r="AX345" s="2"/>
      <c r="AY345" s="7"/>
      <c r="AZ345" s="4"/>
      <c r="BA345" s="4">
        <v>111.6</v>
      </c>
      <c r="BB345" s="2"/>
      <c r="BC345" s="2"/>
      <c r="BD345" s="10">
        <v>27.9</v>
      </c>
      <c r="BE345" s="42">
        <v>1020</v>
      </c>
      <c r="BF345" s="43">
        <v>52</v>
      </c>
      <c r="BG345" s="44"/>
      <c r="BH345" s="42">
        <v>2096</v>
      </c>
      <c r="BI345" s="2" t="s">
        <v>446</v>
      </c>
      <c r="BJ345" s="3" t="s">
        <v>466</v>
      </c>
      <c r="BK345"/>
      <c r="BL345"/>
      <c r="BM345"/>
      <c r="BO345" s="7"/>
      <c r="BR345"/>
    </row>
    <row r="346" spans="1:70" ht="28.5" x14ac:dyDescent="0.45">
      <c r="A346" s="2" t="s">
        <v>43</v>
      </c>
      <c r="B346" s="54" t="s">
        <v>46</v>
      </c>
      <c r="C346" s="3">
        <v>45302</v>
      </c>
      <c r="D346" s="8">
        <v>6</v>
      </c>
      <c r="E346" s="2" t="s">
        <v>213</v>
      </c>
      <c r="F346" s="4" t="s">
        <v>15</v>
      </c>
      <c r="G346" s="4" t="s">
        <v>15</v>
      </c>
      <c r="H346" s="4" t="s">
        <v>330</v>
      </c>
      <c r="I346" s="7">
        <v>0.17449999999999999</v>
      </c>
      <c r="J346" s="7">
        <v>0.17449999999999999</v>
      </c>
      <c r="K346" s="50">
        <v>1.1000000000000001E-3</v>
      </c>
      <c r="L346" s="7">
        <v>0.16</v>
      </c>
      <c r="M346" s="7">
        <v>0.1734</v>
      </c>
      <c r="N346" s="7">
        <v>-0.34</v>
      </c>
      <c r="O346" s="4"/>
      <c r="P346" s="7">
        <v>1.2144999999999999</v>
      </c>
      <c r="T346" s="7">
        <v>58.9</v>
      </c>
      <c r="U346" s="7">
        <v>470</v>
      </c>
      <c r="V346" s="7">
        <v>757.1</v>
      </c>
      <c r="W346" s="4"/>
      <c r="X346" s="4"/>
      <c r="Y346" s="4"/>
      <c r="Z346" s="7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  <c r="AL346" s="7"/>
      <c r="AM346" s="7"/>
      <c r="AN346" s="7"/>
      <c r="AO346" s="7"/>
      <c r="AP346" s="7"/>
      <c r="AQ346" s="7"/>
      <c r="AR346" s="7"/>
      <c r="AS346" s="7"/>
      <c r="AT346" s="7"/>
      <c r="AU346" s="7"/>
      <c r="AV346" s="7"/>
      <c r="AW346" s="4"/>
      <c r="AX346" s="2"/>
      <c r="AY346" s="7"/>
      <c r="AZ346" s="4"/>
      <c r="BA346" s="4">
        <v>111.6</v>
      </c>
      <c r="BB346" s="2"/>
      <c r="BC346" s="2"/>
      <c r="BD346" s="10">
        <v>28.1</v>
      </c>
      <c r="BE346" s="42">
        <v>1020</v>
      </c>
      <c r="BF346" s="43">
        <v>52</v>
      </c>
      <c r="BG346" s="44"/>
      <c r="BH346" s="42">
        <v>2096</v>
      </c>
      <c r="BI346" s="2" t="s">
        <v>447</v>
      </c>
      <c r="BJ346" s="3" t="s">
        <v>465</v>
      </c>
      <c r="BK346"/>
      <c r="BL346"/>
      <c r="BM346"/>
      <c r="BO346" s="7"/>
      <c r="BR346"/>
    </row>
    <row r="347" spans="1:70" ht="28.5" x14ac:dyDescent="0.45">
      <c r="A347" s="2" t="s">
        <v>43</v>
      </c>
      <c r="B347" s="54" t="s">
        <v>210</v>
      </c>
      <c r="C347" s="3">
        <v>45309</v>
      </c>
      <c r="D347" s="8">
        <v>1</v>
      </c>
      <c r="E347" s="2" t="s">
        <v>22</v>
      </c>
      <c r="F347" s="4" t="s">
        <v>15</v>
      </c>
      <c r="G347" s="4" t="s">
        <v>15</v>
      </c>
      <c r="H347" s="4" t="s">
        <v>330</v>
      </c>
      <c r="I347" s="7">
        <v>0.17749999999999999</v>
      </c>
      <c r="J347" s="7">
        <v>0.17749999999999999</v>
      </c>
      <c r="K347" s="50">
        <v>2.8999999999999998E-3</v>
      </c>
      <c r="L347" s="7">
        <v>0.17299999999999999</v>
      </c>
      <c r="M347" s="7">
        <v>0.17680000000000001</v>
      </c>
      <c r="N347" s="7">
        <v>-0.28999999999999998</v>
      </c>
      <c r="O347" s="4"/>
      <c r="P347" s="7">
        <v>1.2264999999999999</v>
      </c>
      <c r="T347" s="7">
        <v>57.4</v>
      </c>
      <c r="U347" s="7">
        <v>446</v>
      </c>
      <c r="V347" s="7">
        <v>755.9</v>
      </c>
      <c r="W347" s="4"/>
      <c r="X347" s="4"/>
      <c r="Y347" s="4"/>
      <c r="Z347" s="7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  <c r="AL347" s="7"/>
      <c r="AM347" s="7"/>
      <c r="AN347" s="7"/>
      <c r="AO347" s="7"/>
      <c r="AP347" s="7"/>
      <c r="AQ347" s="7"/>
      <c r="AR347" s="7"/>
      <c r="AS347" s="7"/>
      <c r="AT347" s="7"/>
      <c r="AU347" s="7"/>
      <c r="AV347" s="7"/>
      <c r="AW347" s="4"/>
      <c r="AX347" s="2"/>
      <c r="AY347" s="7"/>
      <c r="AZ347" s="4"/>
      <c r="BA347" s="4">
        <v>111.6</v>
      </c>
      <c r="BB347" s="2"/>
      <c r="BC347" s="2"/>
      <c r="BD347" s="10">
        <v>28</v>
      </c>
      <c r="BE347" s="42">
        <v>1015</v>
      </c>
      <c r="BF347" s="43">
        <v>59</v>
      </c>
      <c r="BG347" s="44">
        <v>1.1639999999999999</v>
      </c>
      <c r="BH347" s="42">
        <v>2096</v>
      </c>
      <c r="BI347" s="2"/>
      <c r="BJ347" s="3" t="s">
        <v>472</v>
      </c>
      <c r="BK347"/>
      <c r="BL347"/>
      <c r="BM347"/>
      <c r="BO347" s="7"/>
      <c r="BR347"/>
    </row>
    <row r="348" spans="1:70" ht="28.5" x14ac:dyDescent="0.45">
      <c r="A348" s="2" t="s">
        <v>43</v>
      </c>
      <c r="B348" s="54" t="s">
        <v>210</v>
      </c>
      <c r="C348" s="3">
        <v>45309</v>
      </c>
      <c r="D348" s="8">
        <v>2</v>
      </c>
      <c r="E348" s="2" t="s">
        <v>214</v>
      </c>
      <c r="F348" s="4" t="s">
        <v>15</v>
      </c>
      <c r="G348" s="4" t="s">
        <v>15</v>
      </c>
      <c r="H348" s="4" t="s">
        <v>330</v>
      </c>
      <c r="I348" s="7">
        <v>0.1646</v>
      </c>
      <c r="J348" s="7">
        <v>0.1628</v>
      </c>
      <c r="K348" s="50">
        <v>3.5999999999999999E-3</v>
      </c>
      <c r="L348" s="7">
        <v>0.16300000000000001</v>
      </c>
      <c r="M348" s="7">
        <v>0.1666</v>
      </c>
      <c r="N348" s="7">
        <v>-0.33</v>
      </c>
      <c r="O348" s="4"/>
      <c r="P348" s="7">
        <v>1.2264999999999999</v>
      </c>
      <c r="T348" s="7">
        <v>57</v>
      </c>
      <c r="U348" s="7">
        <v>411</v>
      </c>
      <c r="V348" s="7">
        <v>755.8</v>
      </c>
      <c r="W348" s="4"/>
      <c r="X348" s="4"/>
      <c r="Y348" s="4"/>
      <c r="Z348" s="7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  <c r="AL348" s="7"/>
      <c r="AM348" s="7"/>
      <c r="AN348" s="7"/>
      <c r="AO348" s="7"/>
      <c r="AP348" s="7"/>
      <c r="AQ348" s="7"/>
      <c r="AR348" s="7"/>
      <c r="AS348" s="7"/>
      <c r="AT348" s="7"/>
      <c r="AU348" s="7"/>
      <c r="AV348" s="7"/>
      <c r="AW348" s="4"/>
      <c r="AX348" s="2"/>
      <c r="AY348" s="7"/>
      <c r="AZ348" s="4"/>
      <c r="BA348" s="4">
        <v>111.6</v>
      </c>
      <c r="BB348" s="2"/>
      <c r="BC348" s="2"/>
      <c r="BD348" s="10">
        <v>28</v>
      </c>
      <c r="BE348" s="42">
        <v>1015</v>
      </c>
      <c r="BF348" s="43">
        <v>59</v>
      </c>
      <c r="BG348" s="44">
        <v>1.1639999999999999</v>
      </c>
      <c r="BH348" s="42">
        <v>2096</v>
      </c>
      <c r="BI348" s="2" t="s">
        <v>445</v>
      </c>
      <c r="BJ348" s="38" t="s">
        <v>471</v>
      </c>
      <c r="BK348"/>
      <c r="BL348"/>
      <c r="BM348"/>
      <c r="BO348" s="7"/>
      <c r="BR348"/>
    </row>
    <row r="349" spans="1:70" ht="28.5" x14ac:dyDescent="0.45">
      <c r="A349" s="2" t="s">
        <v>43</v>
      </c>
      <c r="B349" s="54" t="s">
        <v>210</v>
      </c>
      <c r="C349" s="3">
        <v>45309</v>
      </c>
      <c r="D349" s="8">
        <v>3</v>
      </c>
      <c r="E349" s="2" t="s">
        <v>549</v>
      </c>
      <c r="F349" s="4" t="s">
        <v>15</v>
      </c>
      <c r="G349" s="4" t="s">
        <v>15</v>
      </c>
      <c r="H349" s="4" t="s">
        <v>330</v>
      </c>
      <c r="I349" s="7">
        <v>0.16450000000000001</v>
      </c>
      <c r="J349" s="7">
        <v>0.16189999999999999</v>
      </c>
      <c r="K349" s="50">
        <v>3.3E-3</v>
      </c>
      <c r="L349" s="7">
        <v>0.16300000000000001</v>
      </c>
      <c r="M349" s="7">
        <v>0.16270000000000001</v>
      </c>
      <c r="N349" s="7">
        <v>-0.41</v>
      </c>
      <c r="O349" s="4"/>
      <c r="P349" s="7">
        <v>1.2264999999999999</v>
      </c>
      <c r="T349" s="7">
        <v>57.2</v>
      </c>
      <c r="U349" s="7">
        <v>414</v>
      </c>
      <c r="V349" s="7">
        <v>755.8</v>
      </c>
      <c r="W349" s="4"/>
      <c r="X349" s="4"/>
      <c r="Y349" s="4"/>
      <c r="Z349" s="7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  <c r="AL349" s="7"/>
      <c r="AM349" s="7"/>
      <c r="AN349" s="7"/>
      <c r="AO349" s="7"/>
      <c r="AP349" s="7"/>
      <c r="AQ349" s="7"/>
      <c r="AR349" s="7"/>
      <c r="AS349" s="7"/>
      <c r="AT349" s="7"/>
      <c r="AU349" s="7"/>
      <c r="AV349" s="7"/>
      <c r="AW349" s="4"/>
      <c r="AX349" s="2"/>
      <c r="AY349" s="7"/>
      <c r="AZ349" s="4"/>
      <c r="BA349" s="4">
        <v>111.6</v>
      </c>
      <c r="BB349" s="2"/>
      <c r="BC349" s="2"/>
      <c r="BD349" s="10">
        <v>28</v>
      </c>
      <c r="BE349" s="42">
        <v>1015</v>
      </c>
      <c r="BF349" s="43">
        <v>59</v>
      </c>
      <c r="BG349" s="44">
        <v>1.1639999999999999</v>
      </c>
      <c r="BH349" s="42">
        <v>2096</v>
      </c>
      <c r="BI349" s="2" t="s">
        <v>445</v>
      </c>
      <c r="BJ349" s="3" t="s">
        <v>476</v>
      </c>
      <c r="BK349"/>
      <c r="BL349"/>
      <c r="BM349"/>
      <c r="BO349" s="7"/>
      <c r="BR349"/>
    </row>
    <row r="350" spans="1:70" ht="28.5" x14ac:dyDescent="0.45">
      <c r="A350" s="2" t="s">
        <v>43</v>
      </c>
      <c r="B350" s="54" t="s">
        <v>210</v>
      </c>
      <c r="C350" s="3">
        <v>45309</v>
      </c>
      <c r="D350" s="8">
        <v>4</v>
      </c>
      <c r="E350" s="2" t="s">
        <v>22</v>
      </c>
      <c r="F350" s="4" t="s">
        <v>15</v>
      </c>
      <c r="G350" s="4" t="s">
        <v>15</v>
      </c>
      <c r="H350" s="4" t="s">
        <v>330</v>
      </c>
      <c r="I350" s="7">
        <v>0.17510000000000001</v>
      </c>
      <c r="J350" s="7">
        <v>0.17510000000000001</v>
      </c>
      <c r="K350" s="50">
        <v>1.8E-3</v>
      </c>
      <c r="L350" s="7">
        <v>0.17199999999999999</v>
      </c>
      <c r="M350" s="7">
        <v>0.1731</v>
      </c>
      <c r="N350" s="7">
        <v>-0.26</v>
      </c>
      <c r="O350" s="4"/>
      <c r="P350" s="7">
        <v>1.2264999999999999</v>
      </c>
      <c r="T350" s="7">
        <v>57.5</v>
      </c>
      <c r="U350" s="7">
        <v>440</v>
      </c>
      <c r="V350" s="7">
        <v>755.7</v>
      </c>
      <c r="W350" s="4"/>
      <c r="X350" s="4"/>
      <c r="Y350" s="4"/>
      <c r="Z350" s="7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  <c r="AN350" s="7"/>
      <c r="AO350" s="7"/>
      <c r="AP350" s="7"/>
      <c r="AQ350" s="7"/>
      <c r="AR350" s="7"/>
      <c r="AS350" s="7"/>
      <c r="AT350" s="7"/>
      <c r="AU350" s="7"/>
      <c r="AV350" s="7"/>
      <c r="AW350" s="4"/>
      <c r="AX350" s="2"/>
      <c r="AY350" s="7"/>
      <c r="AZ350" s="4"/>
      <c r="BA350" s="4">
        <v>111.6</v>
      </c>
      <c r="BB350" s="2"/>
      <c r="BC350" s="2"/>
      <c r="BD350" s="10">
        <v>28</v>
      </c>
      <c r="BE350" s="42">
        <v>1015</v>
      </c>
      <c r="BF350" s="43">
        <v>59</v>
      </c>
      <c r="BG350" s="44">
        <v>1.1639999999999999</v>
      </c>
      <c r="BH350" s="42">
        <v>2096</v>
      </c>
      <c r="BI350" s="2" t="s">
        <v>445</v>
      </c>
      <c r="BJ350" s="3" t="s">
        <v>475</v>
      </c>
      <c r="BK350"/>
      <c r="BL350"/>
      <c r="BM350"/>
      <c r="BO350" s="7"/>
      <c r="BR350"/>
    </row>
    <row r="351" spans="1:70" ht="28.5" x14ac:dyDescent="0.45">
      <c r="A351" s="2" t="s">
        <v>43</v>
      </c>
      <c r="B351" s="54" t="s">
        <v>210</v>
      </c>
      <c r="C351" s="3">
        <v>45309</v>
      </c>
      <c r="D351" s="8">
        <v>5</v>
      </c>
      <c r="E351" s="2" t="s">
        <v>214</v>
      </c>
      <c r="F351" s="4" t="s">
        <v>15</v>
      </c>
      <c r="G351" s="4" t="s">
        <v>15</v>
      </c>
      <c r="H351" s="4" t="s">
        <v>330</v>
      </c>
      <c r="I351" s="7">
        <v>0.16300000000000001</v>
      </c>
      <c r="J351" s="7">
        <v>0.16120000000000001</v>
      </c>
      <c r="K351" s="50">
        <v>2.8E-3</v>
      </c>
      <c r="L351" s="7">
        <v>0.16400000000000001</v>
      </c>
      <c r="M351" s="7">
        <v>0.16450000000000001</v>
      </c>
      <c r="N351" s="7">
        <v>-0.4</v>
      </c>
      <c r="O351" s="4"/>
      <c r="P351" s="7">
        <v>1.2264999999999999</v>
      </c>
      <c r="T351" s="7">
        <v>57.1</v>
      </c>
      <c r="U351" s="7">
        <v>410</v>
      </c>
      <c r="V351" s="7">
        <v>755.9</v>
      </c>
      <c r="W351" s="4"/>
      <c r="X351" s="4"/>
      <c r="Y351" s="4"/>
      <c r="Z351" s="7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  <c r="AL351" s="7"/>
      <c r="AM351" s="7"/>
      <c r="AN351" s="7"/>
      <c r="AO351" s="7"/>
      <c r="AP351" s="7"/>
      <c r="AQ351" s="7"/>
      <c r="AR351" s="7"/>
      <c r="AS351" s="7"/>
      <c r="AT351" s="7"/>
      <c r="AU351" s="7"/>
      <c r="AV351" s="7"/>
      <c r="AW351" s="4"/>
      <c r="AX351" s="2"/>
      <c r="AY351" s="7"/>
      <c r="AZ351" s="4"/>
      <c r="BA351" s="4">
        <v>111.6</v>
      </c>
      <c r="BB351" s="2"/>
      <c r="BC351" s="2"/>
      <c r="BD351" s="10">
        <v>28</v>
      </c>
      <c r="BE351" s="42">
        <v>1015</v>
      </c>
      <c r="BF351" s="43">
        <v>59</v>
      </c>
      <c r="BG351" s="44">
        <v>1.1639999999999999</v>
      </c>
      <c r="BH351" s="42">
        <v>2096</v>
      </c>
      <c r="BI351" s="2" t="s">
        <v>446</v>
      </c>
      <c r="BJ351" s="3" t="s">
        <v>474</v>
      </c>
      <c r="BK351"/>
      <c r="BL351"/>
      <c r="BM351"/>
      <c r="BO351" s="7"/>
      <c r="BR351"/>
    </row>
    <row r="352" spans="1:70" ht="28.5" x14ac:dyDescent="0.45">
      <c r="A352" s="2" t="s">
        <v>43</v>
      </c>
      <c r="B352" s="54" t="s">
        <v>210</v>
      </c>
      <c r="C352" s="3">
        <v>45309</v>
      </c>
      <c r="D352" s="8">
        <v>6</v>
      </c>
      <c r="E352" s="2" t="s">
        <v>549</v>
      </c>
      <c r="F352" s="4" t="s">
        <v>15</v>
      </c>
      <c r="G352" s="4" t="s">
        <v>15</v>
      </c>
      <c r="H352" s="4" t="s">
        <v>330</v>
      </c>
      <c r="I352" s="7">
        <v>0.16689999999999999</v>
      </c>
      <c r="J352" s="7">
        <v>0.1643</v>
      </c>
      <c r="K352" s="50">
        <v>2.8999999999999998E-3</v>
      </c>
      <c r="L352" s="7">
        <v>0.16700000000000001</v>
      </c>
      <c r="M352" s="7">
        <v>0.16470000000000001</v>
      </c>
      <c r="N352" s="7">
        <v>-0.4</v>
      </c>
      <c r="O352" s="4"/>
      <c r="P352" s="7">
        <v>1.2264999999999999</v>
      </c>
      <c r="T352" s="7">
        <v>56.8</v>
      </c>
      <c r="U352" s="7">
        <v>411</v>
      </c>
      <c r="V352" s="7">
        <v>756.1</v>
      </c>
      <c r="W352" s="4"/>
      <c r="X352" s="4"/>
      <c r="Y352" s="4"/>
      <c r="Z352" s="7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  <c r="AN352" s="7"/>
      <c r="AO352" s="7"/>
      <c r="AP352" s="7"/>
      <c r="AQ352" s="7"/>
      <c r="AR352" s="7"/>
      <c r="AS352" s="7"/>
      <c r="AT352" s="7"/>
      <c r="AU352" s="7"/>
      <c r="AV352" s="7"/>
      <c r="AW352" s="4"/>
      <c r="AX352" s="2"/>
      <c r="AY352" s="7"/>
      <c r="AZ352" s="4"/>
      <c r="BA352" s="4">
        <v>111.6</v>
      </c>
      <c r="BB352" s="2"/>
      <c r="BC352" s="2"/>
      <c r="BD352" s="10">
        <v>28</v>
      </c>
      <c r="BE352" s="42">
        <v>1015</v>
      </c>
      <c r="BF352" s="43">
        <v>59</v>
      </c>
      <c r="BG352" s="44">
        <v>1.1639999999999999</v>
      </c>
      <c r="BH352" s="42">
        <v>2096</v>
      </c>
      <c r="BI352" s="2" t="s">
        <v>445</v>
      </c>
      <c r="BJ352" s="3" t="s">
        <v>473</v>
      </c>
      <c r="BK352"/>
      <c r="BL352"/>
      <c r="BM352"/>
      <c r="BO352" s="7"/>
      <c r="BR352"/>
    </row>
    <row r="353" spans="1:70" ht="28.5" x14ac:dyDescent="0.45">
      <c r="A353" s="2" t="s">
        <v>13</v>
      </c>
      <c r="B353" s="54" t="s">
        <v>14</v>
      </c>
      <c r="C353" s="3">
        <v>45313</v>
      </c>
      <c r="D353" s="8">
        <v>1</v>
      </c>
      <c r="E353" s="2" t="s">
        <v>554</v>
      </c>
      <c r="F353" s="4" t="s">
        <v>89</v>
      </c>
      <c r="G353" s="4" t="s">
        <v>578</v>
      </c>
      <c r="H353" s="4" t="s">
        <v>571</v>
      </c>
      <c r="I353" s="7">
        <v>0.16020000000000001</v>
      </c>
      <c r="J353" s="7">
        <v>0.16020000000000001</v>
      </c>
      <c r="K353" s="50">
        <v>2.0999999999999999E-3</v>
      </c>
      <c r="L353" s="7"/>
      <c r="M353" s="7">
        <v>0.1633</v>
      </c>
      <c r="N353" s="7">
        <v>-0.24</v>
      </c>
      <c r="O353" s="4"/>
      <c r="P353" s="7">
        <v>1.2569999999999999</v>
      </c>
      <c r="T353" s="7">
        <v>62</v>
      </c>
      <c r="U353" s="7">
        <v>503</v>
      </c>
      <c r="V353" s="7">
        <v>755.9</v>
      </c>
      <c r="W353" s="4"/>
      <c r="X353" s="4"/>
      <c r="Y353" s="4"/>
      <c r="Z353" s="7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  <c r="AN353" s="7"/>
      <c r="AO353" s="7"/>
      <c r="AP353" s="7"/>
      <c r="AQ353" s="7"/>
      <c r="AR353" s="7"/>
      <c r="AS353" s="7"/>
      <c r="AT353" s="7"/>
      <c r="AU353" s="7"/>
      <c r="AV353" s="7"/>
      <c r="AW353" s="4"/>
      <c r="AX353" s="2"/>
      <c r="AY353" s="7">
        <v>87.1</v>
      </c>
      <c r="AZ353" s="4"/>
      <c r="BA353" s="4">
        <v>117</v>
      </c>
      <c r="BB353" s="2"/>
      <c r="BC353" s="2"/>
      <c r="BD353" s="2">
        <v>28.8</v>
      </c>
      <c r="BE353" s="42">
        <v>1000</v>
      </c>
      <c r="BF353" s="43">
        <v>59</v>
      </c>
      <c r="BG353" s="44">
        <v>1.1439999999999999</v>
      </c>
      <c r="BH353" s="42">
        <v>2096</v>
      </c>
      <c r="BI353" s="2"/>
      <c r="BJ353" s="3" t="s">
        <v>486</v>
      </c>
      <c r="BK353"/>
      <c r="BL353"/>
      <c r="BM353"/>
      <c r="BO353" s="7"/>
      <c r="BR353"/>
    </row>
    <row r="354" spans="1:70" ht="28.5" x14ac:dyDescent="0.45">
      <c r="A354" s="2" t="s">
        <v>13</v>
      </c>
      <c r="B354" s="54" t="s">
        <v>14</v>
      </c>
      <c r="C354" s="3">
        <v>45313</v>
      </c>
      <c r="D354" s="8">
        <v>2</v>
      </c>
      <c r="E354" s="2" t="s">
        <v>554</v>
      </c>
      <c r="F354" s="4" t="s">
        <v>89</v>
      </c>
      <c r="G354" s="4" t="s">
        <v>578</v>
      </c>
      <c r="H354" s="4" t="s">
        <v>571</v>
      </c>
      <c r="I354" s="48"/>
      <c r="J354" s="48"/>
      <c r="K354" s="51"/>
      <c r="L354" s="7"/>
      <c r="M354" s="7">
        <v>0.15909999999999999</v>
      </c>
      <c r="O354" s="4"/>
      <c r="P354" s="7">
        <v>1.2569999999999999</v>
      </c>
      <c r="T354" s="7">
        <v>62.5</v>
      </c>
      <c r="U354" s="7">
        <v>506</v>
      </c>
      <c r="V354" s="7">
        <v>754.4</v>
      </c>
      <c r="W354" s="4"/>
      <c r="X354" s="4"/>
      <c r="Y354" s="4"/>
      <c r="Z354" s="7"/>
      <c r="AA354" s="7"/>
      <c r="AB354" s="7"/>
      <c r="AC354" s="7"/>
      <c r="AD354" s="7"/>
      <c r="AE354" s="7"/>
      <c r="AF354" s="7"/>
      <c r="AG354" s="7"/>
      <c r="AH354" s="7"/>
      <c r="AI354" s="7"/>
      <c r="AJ354" s="7"/>
      <c r="AK354" s="7"/>
      <c r="AL354" s="7"/>
      <c r="AM354" s="7"/>
      <c r="AN354" s="7"/>
      <c r="AO354" s="7"/>
      <c r="AP354" s="7"/>
      <c r="AQ354" s="7"/>
      <c r="AR354" s="7"/>
      <c r="AS354" s="7"/>
      <c r="AT354" s="7"/>
      <c r="AU354" s="7"/>
      <c r="AV354" s="7"/>
      <c r="AW354" s="4"/>
      <c r="AX354" s="2"/>
      <c r="AY354" s="7">
        <v>87</v>
      </c>
      <c r="AZ354" s="4"/>
      <c r="BA354" s="4">
        <v>117</v>
      </c>
      <c r="BB354" s="2"/>
      <c r="BC354" s="2"/>
      <c r="BD354" s="2">
        <v>28.8</v>
      </c>
      <c r="BE354" s="42">
        <v>1000</v>
      </c>
      <c r="BF354" s="43">
        <v>59</v>
      </c>
      <c r="BG354" s="44">
        <v>1.1439999999999999</v>
      </c>
      <c r="BH354" s="42">
        <v>2096</v>
      </c>
      <c r="BI354" s="2"/>
      <c r="BJ354" s="3" t="s">
        <v>485</v>
      </c>
      <c r="BK354"/>
      <c r="BL354"/>
      <c r="BM354"/>
      <c r="BO354" s="7"/>
      <c r="BR354"/>
    </row>
    <row r="355" spans="1:70" ht="28.5" x14ac:dyDescent="0.45">
      <c r="A355" s="2" t="s">
        <v>13</v>
      </c>
      <c r="B355" s="54" t="s">
        <v>14</v>
      </c>
      <c r="C355" s="3">
        <v>45313</v>
      </c>
      <c r="D355" s="8">
        <v>3</v>
      </c>
      <c r="E355" s="2" t="s">
        <v>554</v>
      </c>
      <c r="F355" s="52" t="s">
        <v>565</v>
      </c>
      <c r="G355" s="4" t="s">
        <v>578</v>
      </c>
      <c r="H355" s="4" t="s">
        <v>571</v>
      </c>
      <c r="I355" s="7">
        <v>0.1704</v>
      </c>
      <c r="J355" s="7">
        <v>0.1704</v>
      </c>
      <c r="K355" s="50">
        <v>2.8E-3</v>
      </c>
      <c r="L355" s="7"/>
      <c r="M355" s="7">
        <v>0.1613</v>
      </c>
      <c r="N355" s="7">
        <v>-0.89</v>
      </c>
      <c r="O355" s="4"/>
      <c r="P355" s="7">
        <v>1.2190000000000001</v>
      </c>
      <c r="T355" s="7">
        <v>62.9</v>
      </c>
      <c r="U355" s="7">
        <v>522</v>
      </c>
      <c r="V355" s="7">
        <v>755.7</v>
      </c>
      <c r="W355" s="4"/>
      <c r="X355" s="4"/>
      <c r="Y355" s="4"/>
      <c r="Z355" s="7"/>
      <c r="AA355" s="7"/>
      <c r="AB355" s="7"/>
      <c r="AC355" s="7"/>
      <c r="AD355" s="7"/>
      <c r="AE355" s="7"/>
      <c r="AF355" s="7"/>
      <c r="AG355" s="7"/>
      <c r="AH355" s="7"/>
      <c r="AI355" s="7"/>
      <c r="AJ355" s="7"/>
      <c r="AK355" s="7"/>
      <c r="AL355" s="7"/>
      <c r="AM355" s="7"/>
      <c r="AN355" s="7"/>
      <c r="AO355" s="7"/>
      <c r="AP355" s="7"/>
      <c r="AQ355" s="7"/>
      <c r="AR355" s="7"/>
      <c r="AS355" s="7"/>
      <c r="AT355" s="7"/>
      <c r="AU355" s="7"/>
      <c r="AV355" s="7"/>
      <c r="AW355" s="4"/>
      <c r="AX355" s="2"/>
      <c r="AY355" s="7">
        <v>86.8</v>
      </c>
      <c r="AZ355" s="4"/>
      <c r="BA355" s="4">
        <v>117</v>
      </c>
      <c r="BB355" s="2"/>
      <c r="BC355" s="2"/>
      <c r="BD355" s="2">
        <v>28.8</v>
      </c>
      <c r="BE355" s="42">
        <v>1000</v>
      </c>
      <c r="BF355" s="43">
        <v>59</v>
      </c>
      <c r="BG355" s="44">
        <v>1.1439999999999999</v>
      </c>
      <c r="BH355" s="42">
        <v>2096</v>
      </c>
      <c r="BI355" s="2"/>
      <c r="BJ355" s="3" t="s">
        <v>484</v>
      </c>
      <c r="BK355"/>
      <c r="BL355"/>
      <c r="BM355"/>
      <c r="BO355" s="7"/>
      <c r="BR355"/>
    </row>
    <row r="356" spans="1:70" ht="28.5" x14ac:dyDescent="0.45">
      <c r="A356" s="2" t="s">
        <v>13</v>
      </c>
      <c r="B356" s="54" t="s">
        <v>14</v>
      </c>
      <c r="C356" s="3">
        <v>45313</v>
      </c>
      <c r="D356" s="8">
        <v>4</v>
      </c>
      <c r="E356" s="2" t="s">
        <v>554</v>
      </c>
      <c r="F356" s="4" t="s">
        <v>89</v>
      </c>
      <c r="G356" s="4" t="s">
        <v>578</v>
      </c>
      <c r="H356" s="4" t="s">
        <v>571</v>
      </c>
      <c r="I356" s="7">
        <v>0.16889999999999999</v>
      </c>
      <c r="J356" s="7">
        <v>0.16889999999999999</v>
      </c>
      <c r="K356" s="50">
        <v>5.5999999999999999E-3</v>
      </c>
      <c r="L356" s="7"/>
      <c r="M356" s="7">
        <v>0.16120000000000001</v>
      </c>
      <c r="N356" s="7">
        <v>-0.84</v>
      </c>
      <c r="O356" s="4"/>
      <c r="P356" s="7">
        <v>1.2190000000000001</v>
      </c>
      <c r="T356" s="7">
        <v>63</v>
      </c>
      <c r="U356" s="7">
        <v>512</v>
      </c>
      <c r="V356" s="7">
        <v>755.8</v>
      </c>
      <c r="W356" s="4"/>
      <c r="X356" s="4"/>
      <c r="Y356" s="4"/>
      <c r="Z356" s="7"/>
      <c r="AA356" s="7"/>
      <c r="AB356" s="7"/>
      <c r="AC356" s="7"/>
      <c r="AD356" s="7"/>
      <c r="AE356" s="7"/>
      <c r="AF356" s="7"/>
      <c r="AG356" s="7"/>
      <c r="AH356" s="7"/>
      <c r="AI356" s="7"/>
      <c r="AJ356" s="7"/>
      <c r="AK356" s="7"/>
      <c r="AL356" s="7"/>
      <c r="AM356" s="7"/>
      <c r="AN356" s="7"/>
      <c r="AO356" s="7"/>
      <c r="AP356" s="7"/>
      <c r="AQ356" s="7"/>
      <c r="AR356" s="7"/>
      <c r="AS356" s="7"/>
      <c r="AT356" s="7"/>
      <c r="AU356" s="7"/>
      <c r="AV356" s="7"/>
      <c r="AW356" s="4"/>
      <c r="AX356" s="2"/>
      <c r="AY356" s="7">
        <v>86.4</v>
      </c>
      <c r="AZ356" s="4"/>
      <c r="BA356" s="4">
        <v>117</v>
      </c>
      <c r="BB356" s="2"/>
      <c r="BC356" s="2"/>
      <c r="BD356" s="2">
        <v>29</v>
      </c>
      <c r="BE356" s="42">
        <v>999</v>
      </c>
      <c r="BF356" s="43">
        <v>58</v>
      </c>
      <c r="BG356" s="44">
        <v>1.1419999999999999</v>
      </c>
      <c r="BH356" s="42">
        <v>2096</v>
      </c>
      <c r="BI356" s="2"/>
      <c r="BJ356" s="3" t="s">
        <v>452</v>
      </c>
      <c r="BK356"/>
      <c r="BL356"/>
      <c r="BM356"/>
      <c r="BO356" s="7"/>
      <c r="BR356"/>
    </row>
    <row r="357" spans="1:70" ht="28.5" x14ac:dyDescent="0.45">
      <c r="A357" s="2" t="s">
        <v>13</v>
      </c>
      <c r="B357" s="54" t="s">
        <v>14</v>
      </c>
      <c r="C357" s="3">
        <v>45313</v>
      </c>
      <c r="D357" s="8">
        <v>5</v>
      </c>
      <c r="E357" s="2" t="s">
        <v>554</v>
      </c>
      <c r="F357" s="52" t="s">
        <v>565</v>
      </c>
      <c r="G357" s="4" t="s">
        <v>578</v>
      </c>
      <c r="H357" s="4" t="s">
        <v>571</v>
      </c>
      <c r="I357" s="7">
        <v>0.16900000000000001</v>
      </c>
      <c r="J357" s="7">
        <v>0.16900000000000001</v>
      </c>
      <c r="K357" s="50">
        <v>4.8999999999999998E-3</v>
      </c>
      <c r="L357" s="7"/>
      <c r="M357" s="7">
        <v>0.16020000000000001</v>
      </c>
      <c r="N357" s="7">
        <v>-0.85</v>
      </c>
      <c r="O357" s="4"/>
      <c r="P357" s="7">
        <v>1.2190000000000001</v>
      </c>
      <c r="T357" s="7">
        <v>63</v>
      </c>
      <c r="U357" s="7">
        <v>518</v>
      </c>
      <c r="V357" s="7">
        <v>755.8</v>
      </c>
      <c r="W357" s="4"/>
      <c r="X357" s="4"/>
      <c r="Y357" s="4"/>
      <c r="Z357" s="7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  <c r="AL357" s="7"/>
      <c r="AM357" s="7"/>
      <c r="AN357" s="7"/>
      <c r="AO357" s="7"/>
      <c r="AP357" s="7"/>
      <c r="AQ357" s="7"/>
      <c r="AR357" s="7"/>
      <c r="AS357" s="7"/>
      <c r="AT357" s="7"/>
      <c r="AU357" s="7"/>
      <c r="AV357" s="7"/>
      <c r="AW357" s="4"/>
      <c r="AX357" s="2"/>
      <c r="AY357" s="7">
        <v>86.5</v>
      </c>
      <c r="AZ357" s="4"/>
      <c r="BA357" s="4">
        <v>117</v>
      </c>
      <c r="BB357" s="2"/>
      <c r="BC357" s="2"/>
      <c r="BD357" s="2">
        <v>29</v>
      </c>
      <c r="BE357" s="42">
        <v>999</v>
      </c>
      <c r="BF357" s="43">
        <v>58</v>
      </c>
      <c r="BG357" s="44">
        <v>1.1419999999999999</v>
      </c>
      <c r="BH357" s="42">
        <v>2096</v>
      </c>
      <c r="BI357" s="2"/>
      <c r="BJ357" s="3" t="s">
        <v>453</v>
      </c>
      <c r="BK357"/>
      <c r="BL357"/>
      <c r="BM357"/>
      <c r="BO357" s="7"/>
      <c r="BR357"/>
    </row>
    <row r="358" spans="1:70" ht="28.5" x14ac:dyDescent="0.45">
      <c r="A358" s="2" t="s">
        <v>13</v>
      </c>
      <c r="B358" s="54" t="s">
        <v>442</v>
      </c>
      <c r="C358" s="3">
        <v>45313</v>
      </c>
      <c r="D358" s="8">
        <v>1</v>
      </c>
      <c r="E358" s="2" t="s">
        <v>220</v>
      </c>
      <c r="F358" s="4" t="s">
        <v>15</v>
      </c>
      <c r="G358" s="4" t="s">
        <v>577</v>
      </c>
      <c r="H358" s="4" t="s">
        <v>575</v>
      </c>
      <c r="I358" s="7">
        <v>0.1855</v>
      </c>
      <c r="J358" s="7">
        <v>0.1855</v>
      </c>
      <c r="K358" s="50">
        <v>6.4999999999999997E-3</v>
      </c>
      <c r="L358" s="7"/>
      <c r="M358" s="7">
        <v>0.1847</v>
      </c>
      <c r="N358" s="7">
        <v>-0.54</v>
      </c>
      <c r="O358" s="4"/>
      <c r="P358" s="7">
        <v>1.2344999999999999</v>
      </c>
      <c r="T358" s="7">
        <v>60.1</v>
      </c>
      <c r="U358" s="7">
        <v>506</v>
      </c>
      <c r="V358" s="7">
        <v>753.3</v>
      </c>
      <c r="W358" s="4"/>
      <c r="X358" s="4"/>
      <c r="Y358" s="4"/>
      <c r="Z358" s="7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  <c r="AL358" s="7"/>
      <c r="AM358" s="7"/>
      <c r="AN358" s="7"/>
      <c r="AO358" s="7"/>
      <c r="AP358" s="7"/>
      <c r="AQ358" s="7"/>
      <c r="AR358" s="7"/>
      <c r="AS358" s="7"/>
      <c r="AT358" s="7"/>
      <c r="AU358" s="7"/>
      <c r="AV358" s="7"/>
      <c r="AW358" s="4"/>
      <c r="AX358" s="2"/>
      <c r="AY358" s="7">
        <v>85.2</v>
      </c>
      <c r="AZ358" s="4"/>
      <c r="BA358" s="4">
        <v>109.7</v>
      </c>
      <c r="BB358" s="2"/>
      <c r="BC358" s="2"/>
      <c r="BD358" s="2">
        <v>29.8</v>
      </c>
      <c r="BE358" s="42">
        <v>998</v>
      </c>
      <c r="BF358" s="43">
        <v>58</v>
      </c>
      <c r="BG358" s="44">
        <v>1.137</v>
      </c>
      <c r="BH358" s="42">
        <v>2096</v>
      </c>
      <c r="BI358" s="2"/>
      <c r="BJ358" s="3" t="s">
        <v>454</v>
      </c>
      <c r="BK358"/>
      <c r="BL358"/>
      <c r="BM358"/>
      <c r="BO358" s="7"/>
      <c r="BR358"/>
    </row>
    <row r="359" spans="1:70" ht="28.5" x14ac:dyDescent="0.45">
      <c r="A359" s="2" t="s">
        <v>13</v>
      </c>
      <c r="B359" s="54" t="s">
        <v>442</v>
      </c>
      <c r="C359" s="3">
        <v>45313</v>
      </c>
      <c r="D359" s="8">
        <v>2</v>
      </c>
      <c r="E359" s="2" t="s">
        <v>220</v>
      </c>
      <c r="F359" s="4" t="s">
        <v>89</v>
      </c>
      <c r="G359" s="4" t="s">
        <v>578</v>
      </c>
      <c r="H359" s="4" t="s">
        <v>575</v>
      </c>
      <c r="I359" s="7">
        <v>0.18379999999999999</v>
      </c>
      <c r="J359" s="7">
        <v>0.18379999999999999</v>
      </c>
      <c r="K359" s="50">
        <v>6.4999999999999997E-3</v>
      </c>
      <c r="L359" s="7"/>
      <c r="M359" s="7">
        <v>0.1827</v>
      </c>
      <c r="N359" s="7">
        <v>-0.46</v>
      </c>
      <c r="O359" s="4"/>
      <c r="P359" s="7">
        <v>1.2344999999999999</v>
      </c>
      <c r="T359" s="7">
        <v>59.4</v>
      </c>
      <c r="U359" s="7">
        <v>490</v>
      </c>
      <c r="V359" s="7">
        <v>752.8</v>
      </c>
      <c r="W359" s="4"/>
      <c r="X359" s="4"/>
      <c r="Y359" s="4"/>
      <c r="Z359" s="7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  <c r="AL359" s="7"/>
      <c r="AM359" s="7"/>
      <c r="AN359" s="7"/>
      <c r="AO359" s="7"/>
      <c r="AP359" s="7"/>
      <c r="AQ359" s="7"/>
      <c r="AR359" s="7"/>
      <c r="AS359" s="7"/>
      <c r="AT359" s="7"/>
      <c r="AU359" s="7"/>
      <c r="AV359" s="7"/>
      <c r="AW359" s="4"/>
      <c r="AX359" s="2"/>
      <c r="AY359" s="7">
        <v>85.1</v>
      </c>
      <c r="AZ359" s="4"/>
      <c r="BA359" s="4">
        <v>109.7</v>
      </c>
      <c r="BB359" s="2"/>
      <c r="BC359" s="2"/>
      <c r="BD359" s="2">
        <v>30.3</v>
      </c>
      <c r="BE359" s="42">
        <v>998</v>
      </c>
      <c r="BF359" s="43">
        <v>56</v>
      </c>
      <c r="BG359" s="44">
        <v>1.135</v>
      </c>
      <c r="BH359" s="42">
        <v>2096</v>
      </c>
      <c r="BI359" s="2"/>
      <c r="BJ359" s="3" t="s">
        <v>455</v>
      </c>
      <c r="BK359"/>
      <c r="BL359"/>
      <c r="BM359"/>
      <c r="BO359" s="7"/>
      <c r="BR359"/>
    </row>
    <row r="360" spans="1:70" ht="28.5" x14ac:dyDescent="0.45">
      <c r="A360" s="2" t="s">
        <v>13</v>
      </c>
      <c r="B360" s="54" t="s">
        <v>442</v>
      </c>
      <c r="C360" s="3">
        <v>45313</v>
      </c>
      <c r="D360" s="8">
        <v>3</v>
      </c>
      <c r="E360" s="2" t="s">
        <v>443</v>
      </c>
      <c r="F360" s="4" t="s">
        <v>89</v>
      </c>
      <c r="G360" s="4" t="s">
        <v>578</v>
      </c>
      <c r="H360" s="4" t="s">
        <v>575</v>
      </c>
      <c r="I360" s="7">
        <v>0.191</v>
      </c>
      <c r="J360" s="7">
        <v>0.191</v>
      </c>
      <c r="K360" s="50">
        <v>3.0999999999999999E-3</v>
      </c>
      <c r="L360" s="7"/>
      <c r="M360" s="7">
        <v>0.1855</v>
      </c>
      <c r="N360" s="7">
        <v>-0.53</v>
      </c>
      <c r="O360" s="4"/>
      <c r="P360" s="7">
        <v>1.2344999999999999</v>
      </c>
      <c r="T360" s="7">
        <v>60</v>
      </c>
      <c r="U360" s="7">
        <v>504</v>
      </c>
      <c r="V360" s="7">
        <v>753.1</v>
      </c>
      <c r="W360" s="4"/>
      <c r="X360" s="4"/>
      <c r="Y360" s="4"/>
      <c r="Z360" s="7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  <c r="AN360" s="7"/>
      <c r="AO360" s="7"/>
      <c r="AP360" s="7"/>
      <c r="AQ360" s="7"/>
      <c r="AR360" s="7"/>
      <c r="AS360" s="7"/>
      <c r="AT360" s="7"/>
      <c r="AU360" s="7"/>
      <c r="AV360" s="7"/>
      <c r="AW360" s="4"/>
      <c r="AX360" s="2"/>
      <c r="AY360" s="7">
        <v>85</v>
      </c>
      <c r="AZ360" s="4"/>
      <c r="BA360" s="4">
        <v>109.7</v>
      </c>
      <c r="BB360" s="2"/>
      <c r="BC360" s="2"/>
      <c r="BD360" s="2">
        <v>30.3</v>
      </c>
      <c r="BE360" s="42">
        <v>998</v>
      </c>
      <c r="BF360" s="43">
        <v>56</v>
      </c>
      <c r="BG360" s="44">
        <v>1.135</v>
      </c>
      <c r="BH360" s="42">
        <v>2096</v>
      </c>
      <c r="BI360" s="2"/>
      <c r="BJ360" s="3" t="s">
        <v>456</v>
      </c>
      <c r="BK360"/>
      <c r="BL360"/>
      <c r="BM360"/>
      <c r="BO360" s="7"/>
      <c r="BR360"/>
    </row>
    <row r="361" spans="1:70" ht="28.5" x14ac:dyDescent="0.45">
      <c r="A361" s="2" t="s">
        <v>13</v>
      </c>
      <c r="B361" s="54" t="s">
        <v>442</v>
      </c>
      <c r="C361" s="3">
        <v>45313</v>
      </c>
      <c r="D361" s="8">
        <v>4</v>
      </c>
      <c r="E361" s="2" t="s">
        <v>220</v>
      </c>
      <c r="F361" s="4" t="s">
        <v>89</v>
      </c>
      <c r="G361" s="4" t="s">
        <v>578</v>
      </c>
      <c r="H361" s="4" t="s">
        <v>575</v>
      </c>
      <c r="I361" s="7">
        <v>0.18820000000000001</v>
      </c>
      <c r="J361" s="7">
        <v>0.18820000000000001</v>
      </c>
      <c r="K361" s="50">
        <v>3.0000000000000001E-3</v>
      </c>
      <c r="L361" s="7"/>
      <c r="M361" s="7">
        <v>0.18229999999999999</v>
      </c>
      <c r="N361" s="7">
        <v>-0.57999999999999996</v>
      </c>
      <c r="O361" s="4"/>
      <c r="P361" s="7">
        <v>1.2344999999999999</v>
      </c>
      <c r="T361" s="7">
        <v>60.9</v>
      </c>
      <c r="U361" s="7">
        <v>529</v>
      </c>
      <c r="V361" s="7">
        <v>753.5</v>
      </c>
      <c r="W361" s="4"/>
      <c r="X361" s="4"/>
      <c r="Y361" s="4"/>
      <c r="Z361" s="7"/>
      <c r="AA361" s="7"/>
      <c r="AB361" s="7"/>
      <c r="AC361" s="7"/>
      <c r="AD361" s="7"/>
      <c r="AE361" s="7"/>
      <c r="AF361" s="7"/>
      <c r="AG361" s="7"/>
      <c r="AH361" s="7"/>
      <c r="AI361" s="7"/>
      <c r="AJ361" s="7"/>
      <c r="AK361" s="7"/>
      <c r="AL361" s="7"/>
      <c r="AM361" s="7"/>
      <c r="AN361" s="7"/>
      <c r="AO361" s="7"/>
      <c r="AP361" s="7"/>
      <c r="AQ361" s="7"/>
      <c r="AR361" s="7"/>
      <c r="AS361" s="7"/>
      <c r="AT361" s="7"/>
      <c r="AU361" s="7"/>
      <c r="AV361" s="7"/>
      <c r="AW361" s="4"/>
      <c r="AX361" s="2"/>
      <c r="AY361" s="7">
        <v>85</v>
      </c>
      <c r="AZ361" s="4"/>
      <c r="BA361" s="4">
        <v>109.7</v>
      </c>
      <c r="BB361" s="2"/>
      <c r="BC361" s="2"/>
      <c r="BD361" s="2">
        <v>30.3</v>
      </c>
      <c r="BE361" s="42">
        <v>998</v>
      </c>
      <c r="BF361" s="43">
        <v>56</v>
      </c>
      <c r="BG361" s="44">
        <v>1.135</v>
      </c>
      <c r="BH361" s="42">
        <v>2096</v>
      </c>
      <c r="BI361" s="2"/>
      <c r="BJ361" s="3" t="s">
        <v>457</v>
      </c>
      <c r="BK361"/>
      <c r="BL361"/>
      <c r="BM361"/>
      <c r="BO361" s="7"/>
      <c r="BR361"/>
    </row>
    <row r="362" spans="1:70" ht="28.5" x14ac:dyDescent="0.45">
      <c r="A362" s="2" t="s">
        <v>13</v>
      </c>
      <c r="B362" s="54" t="s">
        <v>442</v>
      </c>
      <c r="C362" s="3">
        <v>45313</v>
      </c>
      <c r="D362" s="8">
        <v>5</v>
      </c>
      <c r="E362" s="2" t="s">
        <v>443</v>
      </c>
      <c r="F362" s="4" t="s">
        <v>89</v>
      </c>
      <c r="G362" s="4" t="s">
        <v>578</v>
      </c>
      <c r="H362" s="4" t="s">
        <v>575</v>
      </c>
      <c r="I362" s="7">
        <v>0.186</v>
      </c>
      <c r="J362" s="7">
        <v>0.186</v>
      </c>
      <c r="K362" s="50">
        <v>3.3999999999999998E-3</v>
      </c>
      <c r="L362" s="7"/>
      <c r="M362" s="7">
        <v>0.18459999999999999</v>
      </c>
      <c r="N362" s="7">
        <v>-0.43</v>
      </c>
      <c r="O362" s="4"/>
      <c r="P362" s="7">
        <v>1.2344999999999999</v>
      </c>
      <c r="T362" s="7">
        <v>61.1</v>
      </c>
      <c r="U362" s="7">
        <v>534</v>
      </c>
      <c r="V362" s="7">
        <v>753.5</v>
      </c>
      <c r="W362" s="4"/>
      <c r="X362" s="4"/>
      <c r="Y362" s="4"/>
      <c r="Z362" s="7"/>
      <c r="AA362" s="7"/>
      <c r="AB362" s="7"/>
      <c r="AC362" s="7"/>
      <c r="AD362" s="7"/>
      <c r="AE362" s="7"/>
      <c r="AF362" s="7"/>
      <c r="AG362" s="7"/>
      <c r="AH362" s="7"/>
      <c r="AI362" s="7"/>
      <c r="AJ362" s="7"/>
      <c r="AK362" s="7"/>
      <c r="AL362" s="7"/>
      <c r="AM362" s="7"/>
      <c r="AN362" s="7"/>
      <c r="AO362" s="7"/>
      <c r="AP362" s="7"/>
      <c r="AQ362" s="7"/>
      <c r="AR362" s="7"/>
      <c r="AS362" s="7"/>
      <c r="AT362" s="7"/>
      <c r="AU362" s="7"/>
      <c r="AV362" s="7"/>
      <c r="AW362" s="4"/>
      <c r="AX362" s="2"/>
      <c r="AY362" s="7">
        <v>84.9</v>
      </c>
      <c r="AZ362" s="4"/>
      <c r="BA362" s="4">
        <v>109.7</v>
      </c>
      <c r="BB362" s="2"/>
      <c r="BC362" s="2"/>
      <c r="BD362" s="2">
        <v>30.3</v>
      </c>
      <c r="BE362" s="42">
        <v>998</v>
      </c>
      <c r="BF362" s="43">
        <v>56</v>
      </c>
      <c r="BG362" s="44">
        <v>1.135</v>
      </c>
      <c r="BH362" s="42">
        <v>2096</v>
      </c>
      <c r="BI362" s="2"/>
      <c r="BJ362" s="3" t="s">
        <v>458</v>
      </c>
      <c r="BK362"/>
      <c r="BL362"/>
      <c r="BM362"/>
      <c r="BO362" s="7"/>
      <c r="BR362"/>
    </row>
    <row r="363" spans="1:70" ht="28.5" x14ac:dyDescent="0.45">
      <c r="A363" s="2" t="s">
        <v>13</v>
      </c>
      <c r="B363" s="54" t="s">
        <v>442</v>
      </c>
      <c r="C363" s="3">
        <v>45313</v>
      </c>
      <c r="D363" s="8">
        <v>6</v>
      </c>
      <c r="E363" s="2" t="s">
        <v>220</v>
      </c>
      <c r="F363" s="4" t="s">
        <v>89</v>
      </c>
      <c r="G363" s="4" t="s">
        <v>578</v>
      </c>
      <c r="H363" s="4" t="s">
        <v>575</v>
      </c>
      <c r="I363" s="7">
        <v>0.185</v>
      </c>
      <c r="J363" s="7">
        <v>0.185</v>
      </c>
      <c r="K363" s="50">
        <v>3.3E-3</v>
      </c>
      <c r="L363" s="7"/>
      <c r="M363" s="7">
        <v>0.1827</v>
      </c>
      <c r="N363" s="7">
        <v>-0.5</v>
      </c>
      <c r="O363" s="4"/>
      <c r="P363" s="7">
        <v>1.2344999999999999</v>
      </c>
      <c r="T363" s="7">
        <v>60.7</v>
      </c>
      <c r="U363" s="7">
        <v>518</v>
      </c>
      <c r="V363" s="7">
        <v>753.4</v>
      </c>
      <c r="W363" s="4"/>
      <c r="X363" s="4"/>
      <c r="Y363" s="4"/>
      <c r="Z363" s="7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  <c r="AN363" s="7"/>
      <c r="AO363" s="7"/>
      <c r="AP363" s="7"/>
      <c r="AQ363" s="7"/>
      <c r="AR363" s="7"/>
      <c r="AS363" s="7"/>
      <c r="AT363" s="7"/>
      <c r="AU363" s="7"/>
      <c r="AV363" s="7"/>
      <c r="AW363" s="4"/>
      <c r="AX363" s="2"/>
      <c r="AY363" s="7">
        <v>84.7</v>
      </c>
      <c r="AZ363" s="4"/>
      <c r="BA363" s="4">
        <v>109.7</v>
      </c>
      <c r="BB363" s="2"/>
      <c r="BC363" s="2"/>
      <c r="BD363" s="2">
        <v>30.3</v>
      </c>
      <c r="BE363" s="42">
        <v>998</v>
      </c>
      <c r="BF363" s="43">
        <v>56</v>
      </c>
      <c r="BG363" s="44">
        <v>1.135</v>
      </c>
      <c r="BH363" s="42">
        <v>2096</v>
      </c>
      <c r="BI363" s="2"/>
      <c r="BJ363" s="3" t="s">
        <v>488</v>
      </c>
      <c r="BK363"/>
      <c r="BL363"/>
      <c r="BM363"/>
      <c r="BO363" s="7"/>
      <c r="BR363"/>
    </row>
    <row r="364" spans="1:70" ht="28.5" x14ac:dyDescent="0.45">
      <c r="A364" s="2" t="s">
        <v>13</v>
      </c>
      <c r="B364" s="54" t="s">
        <v>442</v>
      </c>
      <c r="C364" s="3">
        <v>45313</v>
      </c>
      <c r="D364" s="8">
        <v>7</v>
      </c>
      <c r="E364" s="2" t="s">
        <v>220</v>
      </c>
      <c r="F364" s="4" t="s">
        <v>15</v>
      </c>
      <c r="G364" s="4" t="s">
        <v>577</v>
      </c>
      <c r="H364" s="4" t="s">
        <v>575</v>
      </c>
      <c r="I364" s="7">
        <v>0.1915</v>
      </c>
      <c r="J364" s="7">
        <v>0.1915</v>
      </c>
      <c r="K364" s="50">
        <v>4.1999999999999997E-3</v>
      </c>
      <c r="L364" s="7"/>
      <c r="M364" s="7">
        <v>0.1865</v>
      </c>
      <c r="N364" s="7">
        <v>-0.49</v>
      </c>
      <c r="O364" s="4"/>
      <c r="P364" s="7">
        <v>1.2344999999999999</v>
      </c>
      <c r="T364" s="7">
        <v>60.1</v>
      </c>
      <c r="U364" s="7">
        <v>509</v>
      </c>
      <c r="V364" s="7">
        <v>753.3</v>
      </c>
      <c r="W364" s="4"/>
      <c r="X364" s="4"/>
      <c r="Y364" s="4"/>
      <c r="Z364" s="7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  <c r="AM364" s="7"/>
      <c r="AN364" s="7"/>
      <c r="AO364" s="7"/>
      <c r="AP364" s="7"/>
      <c r="AQ364" s="7"/>
      <c r="AR364" s="7"/>
      <c r="AS364" s="7"/>
      <c r="AT364" s="7"/>
      <c r="AU364" s="7"/>
      <c r="AV364" s="7"/>
      <c r="AW364" s="4"/>
      <c r="AX364" s="2"/>
      <c r="AY364" s="7">
        <v>84.4</v>
      </c>
      <c r="AZ364" s="4"/>
      <c r="BA364" s="4">
        <v>109.7</v>
      </c>
      <c r="BB364" s="2"/>
      <c r="BC364" s="2"/>
      <c r="BD364" s="2">
        <v>31.1</v>
      </c>
      <c r="BE364" s="42">
        <v>998</v>
      </c>
      <c r="BF364" s="43">
        <v>56</v>
      </c>
      <c r="BG364" s="44">
        <v>1.131</v>
      </c>
      <c r="BH364" s="42">
        <v>2096</v>
      </c>
      <c r="BI364" s="2"/>
      <c r="BJ364" s="3" t="s">
        <v>487</v>
      </c>
      <c r="BK364"/>
      <c r="BL364"/>
      <c r="BM364" s="7"/>
      <c r="BR364"/>
    </row>
    <row r="365" spans="1:70" ht="28.5" x14ac:dyDescent="0.45">
      <c r="A365" s="2" t="s">
        <v>13</v>
      </c>
      <c r="B365" s="54" t="s">
        <v>25</v>
      </c>
      <c r="C365" s="3">
        <v>45313</v>
      </c>
      <c r="D365" s="8">
        <v>1</v>
      </c>
      <c r="E365" s="2" t="s">
        <v>22</v>
      </c>
      <c r="F365" s="4" t="s">
        <v>15</v>
      </c>
      <c r="G365" s="4" t="s">
        <v>15</v>
      </c>
      <c r="H365" s="4" t="s">
        <v>223</v>
      </c>
      <c r="I365" s="7">
        <v>0.15110000000000001</v>
      </c>
      <c r="J365" s="7">
        <v>0.15110000000000001</v>
      </c>
      <c r="K365" s="50">
        <v>3.3999999999999998E-3</v>
      </c>
      <c r="L365" s="7"/>
      <c r="M365" s="7">
        <v>0.1542</v>
      </c>
      <c r="N365" s="7">
        <v>-0.33</v>
      </c>
      <c r="O365" s="4"/>
      <c r="P365" s="7">
        <v>1.2909999999999999</v>
      </c>
      <c r="T365" s="7">
        <v>61.9</v>
      </c>
      <c r="U365" s="7">
        <v>473</v>
      </c>
      <c r="V365" s="7">
        <v>756.5</v>
      </c>
      <c r="W365" s="4"/>
      <c r="X365" s="4"/>
      <c r="Y365" s="4"/>
      <c r="Z365" s="7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  <c r="AN365" s="7"/>
      <c r="AO365" s="7"/>
      <c r="AP365" s="7"/>
      <c r="AQ365" s="7"/>
      <c r="AR365" s="7"/>
      <c r="AS365" s="7"/>
      <c r="AT365" s="7"/>
      <c r="AU365" s="7"/>
      <c r="AV365" s="7"/>
      <c r="AW365" s="4"/>
      <c r="AX365" s="2"/>
      <c r="AY365" s="7">
        <v>81</v>
      </c>
      <c r="AZ365" s="4"/>
      <c r="BA365" s="4">
        <v>117</v>
      </c>
      <c r="BB365" s="2"/>
      <c r="BC365" s="2"/>
      <c r="BD365" s="2">
        <v>28.8</v>
      </c>
      <c r="BE365" s="42">
        <v>1000</v>
      </c>
      <c r="BF365" s="43">
        <v>59</v>
      </c>
      <c r="BG365" s="44">
        <v>1.1439999999999999</v>
      </c>
      <c r="BH365" s="42">
        <v>2096</v>
      </c>
      <c r="BI365" s="2"/>
      <c r="BJ365" s="3" t="s">
        <v>479</v>
      </c>
      <c r="BK365"/>
      <c r="BL365"/>
      <c r="BM365" s="7"/>
      <c r="BR365"/>
    </row>
    <row r="366" spans="1:70" ht="28.5" x14ac:dyDescent="0.45">
      <c r="A366" s="2" t="s">
        <v>13</v>
      </c>
      <c r="B366" s="54" t="s">
        <v>25</v>
      </c>
      <c r="C366" s="3">
        <v>45313</v>
      </c>
      <c r="D366" s="8">
        <v>2</v>
      </c>
      <c r="E366" s="2" t="s">
        <v>444</v>
      </c>
      <c r="F366" s="4" t="s">
        <v>15</v>
      </c>
      <c r="G366" s="4" t="s">
        <v>15</v>
      </c>
      <c r="H366" s="4" t="s">
        <v>223</v>
      </c>
      <c r="I366" s="7">
        <v>0.15229999999999999</v>
      </c>
      <c r="J366" s="7">
        <v>0.15229999999999999</v>
      </c>
      <c r="K366" s="50">
        <v>2.3E-3</v>
      </c>
      <c r="L366" s="7"/>
      <c r="M366" s="7">
        <v>0.15240000000000001</v>
      </c>
      <c r="N366" s="7">
        <v>-0.33</v>
      </c>
      <c r="O366" s="4"/>
      <c r="P366" s="7">
        <v>1.2909999999999999</v>
      </c>
      <c r="T366" s="7">
        <v>61.4</v>
      </c>
      <c r="U366" s="7">
        <v>459</v>
      </c>
      <c r="V366" s="7">
        <v>757.1</v>
      </c>
      <c r="W366" s="4"/>
      <c r="X366" s="4"/>
      <c r="Y366" s="4"/>
      <c r="Z366" s="7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  <c r="AN366" s="7"/>
      <c r="AO366" s="7"/>
      <c r="AP366" s="7"/>
      <c r="AQ366" s="7"/>
      <c r="AR366" s="7"/>
      <c r="AS366" s="7"/>
      <c r="AT366" s="7"/>
      <c r="AU366" s="7"/>
      <c r="AV366" s="7"/>
      <c r="AW366" s="4"/>
      <c r="AX366" s="2"/>
      <c r="AY366" s="7">
        <v>81.099999999999994</v>
      </c>
      <c r="AZ366" s="4"/>
      <c r="BA366" s="4">
        <v>117</v>
      </c>
      <c r="BB366" s="2"/>
      <c r="BC366" s="2"/>
      <c r="BD366" s="2">
        <v>29</v>
      </c>
      <c r="BE366" s="42">
        <v>999</v>
      </c>
      <c r="BF366" s="43">
        <v>58</v>
      </c>
      <c r="BG366" s="44">
        <v>1.1419999999999999</v>
      </c>
      <c r="BH366" s="42">
        <v>2096</v>
      </c>
      <c r="BI366" s="2"/>
      <c r="BJ366" s="3" t="s">
        <v>478</v>
      </c>
      <c r="BK366"/>
      <c r="BL366"/>
      <c r="BM366" s="7"/>
      <c r="BR366"/>
    </row>
    <row r="367" spans="1:70" ht="28.5" x14ac:dyDescent="0.45">
      <c r="A367" s="2" t="s">
        <v>13</v>
      </c>
      <c r="B367" s="54" t="s">
        <v>25</v>
      </c>
      <c r="C367" s="3">
        <v>45313</v>
      </c>
      <c r="D367" s="8">
        <v>3</v>
      </c>
      <c r="E367" s="2" t="s">
        <v>214</v>
      </c>
      <c r="F367" s="4" t="s">
        <v>15</v>
      </c>
      <c r="G367" s="4" t="s">
        <v>15</v>
      </c>
      <c r="H367" s="4" t="s">
        <v>223</v>
      </c>
      <c r="I367" s="7">
        <v>0.1525</v>
      </c>
      <c r="J367" s="7">
        <v>0.151</v>
      </c>
      <c r="K367" s="50">
        <v>4.8999999999999998E-3</v>
      </c>
      <c r="L367" s="7"/>
      <c r="M367" s="7">
        <v>0.15040000000000001</v>
      </c>
      <c r="N367" s="7">
        <v>-0.45</v>
      </c>
      <c r="O367" s="4"/>
      <c r="P367" s="7">
        <v>1.2909999999999999</v>
      </c>
      <c r="T367" s="7">
        <v>61.8</v>
      </c>
      <c r="U367" s="7">
        <v>472</v>
      </c>
      <c r="V367" s="7">
        <v>757.5</v>
      </c>
      <c r="W367" s="4"/>
      <c r="X367" s="4"/>
      <c r="Y367" s="4"/>
      <c r="Z367" s="7"/>
      <c r="AA367" s="7"/>
      <c r="AB367" s="7"/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  <c r="AN367" s="7"/>
      <c r="AO367" s="7"/>
      <c r="AP367" s="7"/>
      <c r="AQ367" s="7"/>
      <c r="AR367" s="7"/>
      <c r="AS367" s="7"/>
      <c r="AT367" s="7"/>
      <c r="AU367" s="7"/>
      <c r="AV367" s="7"/>
      <c r="AW367" s="4"/>
      <c r="AX367" s="2"/>
      <c r="AY367" s="7">
        <v>81.2</v>
      </c>
      <c r="AZ367" s="4"/>
      <c r="BA367" s="4">
        <v>117</v>
      </c>
      <c r="BB367" s="2"/>
      <c r="BC367" s="2"/>
      <c r="BD367" s="2">
        <v>29</v>
      </c>
      <c r="BE367" s="42">
        <v>999</v>
      </c>
      <c r="BF367" s="43">
        <v>58</v>
      </c>
      <c r="BG367" s="44">
        <v>1.1419999999999999</v>
      </c>
      <c r="BH367" s="42">
        <v>2096</v>
      </c>
      <c r="BI367" s="2"/>
      <c r="BJ367" s="3" t="s">
        <v>477</v>
      </c>
      <c r="BK367"/>
      <c r="BL367"/>
      <c r="BM367" s="7"/>
      <c r="BR367"/>
    </row>
    <row r="368" spans="1:70" ht="28.5" x14ac:dyDescent="0.45">
      <c r="A368" s="2" t="s">
        <v>13</v>
      </c>
      <c r="B368" s="54" t="s">
        <v>25</v>
      </c>
      <c r="C368" s="3">
        <v>45313</v>
      </c>
      <c r="D368" s="8">
        <v>4</v>
      </c>
      <c r="E368" s="2" t="s">
        <v>22</v>
      </c>
      <c r="F368" s="4" t="s">
        <v>15</v>
      </c>
      <c r="G368" s="4" t="s">
        <v>15</v>
      </c>
      <c r="H368" s="4" t="s">
        <v>223</v>
      </c>
      <c r="I368" s="7">
        <v>0.15429999999999999</v>
      </c>
      <c r="J368" s="7">
        <v>0.15429999999999999</v>
      </c>
      <c r="K368" s="50">
        <v>2.5999999999999999E-3</v>
      </c>
      <c r="L368" s="7"/>
      <c r="M368" s="7">
        <v>0.15459999999999999</v>
      </c>
      <c r="N368" s="7">
        <v>-0.34</v>
      </c>
      <c r="O368" s="4"/>
      <c r="P368" s="7">
        <v>1.2909999999999999</v>
      </c>
      <c r="T368" s="7">
        <v>62.5</v>
      </c>
      <c r="U368" s="7">
        <v>494</v>
      </c>
      <c r="V368" s="7">
        <v>757.5</v>
      </c>
      <c r="W368" s="4"/>
      <c r="X368" s="4"/>
      <c r="Y368" s="4"/>
      <c r="Z368" s="7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  <c r="AN368" s="7"/>
      <c r="AO368" s="7"/>
      <c r="AP368" s="7"/>
      <c r="AQ368" s="7"/>
      <c r="AR368" s="7"/>
      <c r="AS368" s="7"/>
      <c r="AT368" s="7"/>
      <c r="AU368" s="7"/>
      <c r="AV368" s="7"/>
      <c r="AW368" s="4"/>
      <c r="AX368" s="2"/>
      <c r="AY368" s="7">
        <v>81.099999999999994</v>
      </c>
      <c r="AZ368" s="4"/>
      <c r="BA368" s="4">
        <v>117</v>
      </c>
      <c r="BB368" s="2"/>
      <c r="BC368" s="2"/>
      <c r="BD368" s="2">
        <v>29</v>
      </c>
      <c r="BE368" s="42">
        <v>999</v>
      </c>
      <c r="BF368" s="43">
        <v>58</v>
      </c>
      <c r="BG368" s="44">
        <v>1.1419999999999999</v>
      </c>
      <c r="BH368" s="42">
        <v>2096</v>
      </c>
      <c r="BI368" s="2"/>
      <c r="BJ368" s="3" t="s">
        <v>483</v>
      </c>
      <c r="BK368"/>
      <c r="BL368"/>
      <c r="BM368" s="7"/>
      <c r="BR368"/>
    </row>
    <row r="369" spans="1:70" ht="28.5" x14ac:dyDescent="0.45">
      <c r="A369" s="2" t="s">
        <v>13</v>
      </c>
      <c r="B369" s="54" t="s">
        <v>25</v>
      </c>
      <c r="C369" s="3">
        <v>45313</v>
      </c>
      <c r="D369" s="8">
        <v>5</v>
      </c>
      <c r="E369" s="2" t="s">
        <v>444</v>
      </c>
      <c r="F369" s="4" t="s">
        <v>15</v>
      </c>
      <c r="G369" s="4" t="s">
        <v>15</v>
      </c>
      <c r="H369" s="4" t="s">
        <v>223</v>
      </c>
      <c r="I369" s="7">
        <v>0.15129999999999999</v>
      </c>
      <c r="J369" s="7">
        <v>0.15129999999999999</v>
      </c>
      <c r="K369" s="50">
        <v>5.1999999999999998E-3</v>
      </c>
      <c r="L369" s="7"/>
      <c r="M369" s="7">
        <v>0.1517</v>
      </c>
      <c r="N369" s="7">
        <v>-0.34</v>
      </c>
      <c r="O369" s="4"/>
      <c r="P369" s="7">
        <v>1.2909999999999999</v>
      </c>
      <c r="T369" s="7">
        <v>63.4</v>
      </c>
      <c r="U369" s="7">
        <v>505</v>
      </c>
      <c r="V369" s="7">
        <v>757.5</v>
      </c>
      <c r="W369" s="4"/>
      <c r="X369" s="4"/>
      <c r="Y369" s="4"/>
      <c r="Z369" s="7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  <c r="AN369" s="7"/>
      <c r="AO369" s="7"/>
      <c r="AP369" s="7"/>
      <c r="AQ369" s="7"/>
      <c r="AR369" s="7"/>
      <c r="AS369" s="7"/>
      <c r="AT369" s="7"/>
      <c r="AU369" s="7"/>
      <c r="AV369" s="7"/>
      <c r="AW369" s="4"/>
      <c r="AX369" s="2"/>
      <c r="AY369" s="7">
        <v>81.2</v>
      </c>
      <c r="AZ369" s="4"/>
      <c r="BA369" s="4">
        <v>117</v>
      </c>
      <c r="BB369" s="2"/>
      <c r="BC369" s="2"/>
      <c r="BD369" s="2">
        <v>29</v>
      </c>
      <c r="BE369" s="42">
        <v>999</v>
      </c>
      <c r="BF369" s="43">
        <v>58</v>
      </c>
      <c r="BG369" s="44">
        <v>1.1419999999999999</v>
      </c>
      <c r="BH369" s="42">
        <v>2096</v>
      </c>
      <c r="BI369" s="2"/>
      <c r="BJ369" s="38" t="s">
        <v>482</v>
      </c>
      <c r="BK369"/>
      <c r="BL369"/>
      <c r="BM369" s="7"/>
      <c r="BR369"/>
    </row>
    <row r="370" spans="1:70" ht="15" customHeight="1" x14ac:dyDescent="0.45">
      <c r="A370" s="2" t="s">
        <v>13</v>
      </c>
      <c r="B370" s="54" t="s">
        <v>25</v>
      </c>
      <c r="C370" s="3">
        <v>45313</v>
      </c>
      <c r="D370" s="8">
        <v>6</v>
      </c>
      <c r="E370" s="2" t="s">
        <v>214</v>
      </c>
      <c r="F370" s="4" t="s">
        <v>15</v>
      </c>
      <c r="G370" s="4" t="s">
        <v>15</v>
      </c>
      <c r="H370" s="4" t="s">
        <v>223</v>
      </c>
      <c r="I370" s="7">
        <v>0.15310000000000001</v>
      </c>
      <c r="J370" s="7">
        <v>0.15160000000000001</v>
      </c>
      <c r="K370" s="50">
        <v>1.9E-3</v>
      </c>
      <c r="L370" s="7"/>
      <c r="M370" s="7">
        <v>0.15340000000000001</v>
      </c>
      <c r="N370" s="7">
        <v>-0.37</v>
      </c>
      <c r="O370" s="4"/>
      <c r="P370" s="7">
        <v>1.2909999999999999</v>
      </c>
      <c r="T370" s="7">
        <v>62.6</v>
      </c>
      <c r="U370" s="7">
        <v>493</v>
      </c>
      <c r="V370" s="7">
        <v>757.4</v>
      </c>
      <c r="W370" s="4"/>
      <c r="X370" s="4"/>
      <c r="Y370" s="4"/>
      <c r="Z370" s="7"/>
      <c r="AA370" s="7"/>
      <c r="AB370" s="7"/>
      <c r="AC370" s="7"/>
      <c r="AD370" s="7"/>
      <c r="AE370" s="7"/>
      <c r="AF370" s="7"/>
      <c r="AG370" s="7"/>
      <c r="AH370" s="7"/>
      <c r="AI370" s="7"/>
      <c r="AJ370" s="7"/>
      <c r="AK370" s="7"/>
      <c r="AL370" s="7"/>
      <c r="AM370" s="7"/>
      <c r="AN370" s="7"/>
      <c r="AO370" s="7"/>
      <c r="AP370" s="7"/>
      <c r="AQ370" s="7"/>
      <c r="AR370" s="7"/>
      <c r="AS370" s="7"/>
      <c r="AT370" s="7"/>
      <c r="AU370" s="7"/>
      <c r="AV370" s="7"/>
      <c r="AW370" s="4"/>
      <c r="AX370" s="2"/>
      <c r="AY370" s="7">
        <v>81</v>
      </c>
      <c r="AZ370" s="4"/>
      <c r="BA370" s="4">
        <v>117</v>
      </c>
      <c r="BB370" s="2"/>
      <c r="BC370" s="2"/>
      <c r="BD370" s="2">
        <v>29.8</v>
      </c>
      <c r="BE370" s="42">
        <v>998</v>
      </c>
      <c r="BF370" s="43">
        <v>58</v>
      </c>
      <c r="BG370" s="44">
        <v>1.137</v>
      </c>
      <c r="BH370" s="42">
        <v>2096</v>
      </c>
      <c r="BI370" s="2"/>
      <c r="BJ370" s="3" t="s">
        <v>481</v>
      </c>
      <c r="BK370"/>
      <c r="BL370"/>
      <c r="BM370"/>
      <c r="BR370"/>
    </row>
    <row r="371" spans="1:70" ht="15" customHeight="1" x14ac:dyDescent="0.45">
      <c r="A371" s="2" t="s">
        <v>13</v>
      </c>
      <c r="B371" s="54" t="s">
        <v>25</v>
      </c>
      <c r="C371" s="3">
        <v>45313</v>
      </c>
      <c r="D371" s="8">
        <v>7</v>
      </c>
      <c r="E371" s="2" t="s">
        <v>548</v>
      </c>
      <c r="F371" s="4" t="s">
        <v>15</v>
      </c>
      <c r="G371" s="4" t="s">
        <v>15</v>
      </c>
      <c r="H371" s="4" t="s">
        <v>223</v>
      </c>
      <c r="I371" s="7">
        <v>0.15154999999999999</v>
      </c>
      <c r="J371" s="7">
        <v>0.15090000000000001</v>
      </c>
      <c r="K371" s="50">
        <v>6.1999999999999998E-3</v>
      </c>
      <c r="L371" s="7"/>
      <c r="M371" s="7">
        <v>0.15290000000000001</v>
      </c>
      <c r="N371" s="7">
        <v>-0.37</v>
      </c>
      <c r="O371" s="4"/>
      <c r="P371" s="7">
        <v>1.2909999999999999</v>
      </c>
      <c r="T371" s="7">
        <v>62.4</v>
      </c>
      <c r="U371" s="7">
        <v>492</v>
      </c>
      <c r="V371" s="7">
        <v>756.8</v>
      </c>
      <c r="W371" s="4"/>
      <c r="X371" s="4"/>
      <c r="Y371" s="4"/>
      <c r="Z371" s="7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  <c r="AM371" s="7"/>
      <c r="AN371" s="7"/>
      <c r="AO371" s="7"/>
      <c r="AP371" s="7"/>
      <c r="AQ371" s="7"/>
      <c r="AR371" s="7"/>
      <c r="AS371" s="7"/>
      <c r="AT371" s="7"/>
      <c r="AU371" s="7"/>
      <c r="AV371" s="7"/>
      <c r="AW371" s="4"/>
      <c r="AX371" s="2"/>
      <c r="AY371" s="7"/>
      <c r="AZ371" s="4"/>
      <c r="BA371" s="4">
        <v>117</v>
      </c>
      <c r="BB371" s="2"/>
      <c r="BC371" s="2"/>
      <c r="BD371" s="2">
        <v>29.8</v>
      </c>
      <c r="BE371" s="42">
        <v>998</v>
      </c>
      <c r="BF371" s="43">
        <v>58</v>
      </c>
      <c r="BG371" s="44">
        <v>1.137</v>
      </c>
      <c r="BH371" s="42">
        <v>2096</v>
      </c>
      <c r="BI371" s="2"/>
      <c r="BJ371" s="3" t="s">
        <v>480</v>
      </c>
      <c r="BK371"/>
      <c r="BL371"/>
      <c r="BM371"/>
      <c r="BR371"/>
    </row>
    <row r="372" spans="1:70" ht="15" customHeight="1" x14ac:dyDescent="0.45">
      <c r="A372" s="2" t="s">
        <v>13</v>
      </c>
      <c r="B372" s="54" t="s">
        <v>24</v>
      </c>
      <c r="C372" s="3">
        <v>45316</v>
      </c>
      <c r="D372" s="8">
        <v>1</v>
      </c>
      <c r="E372" s="2" t="s">
        <v>22</v>
      </c>
      <c r="F372" s="4" t="s">
        <v>15</v>
      </c>
      <c r="G372" s="4" t="s">
        <v>15</v>
      </c>
      <c r="H372" s="4" t="s">
        <v>223</v>
      </c>
      <c r="I372" s="7">
        <v>0.17680000000000001</v>
      </c>
      <c r="J372" s="7">
        <v>0.17680000000000001</v>
      </c>
      <c r="K372" s="50">
        <v>3.0000000000000001E-3</v>
      </c>
      <c r="L372" s="7">
        <v>0.17799999999999999</v>
      </c>
      <c r="M372" s="7">
        <v>0.18110000000000001</v>
      </c>
      <c r="N372" s="7">
        <v>-0.2</v>
      </c>
      <c r="O372" s="4"/>
      <c r="P372" s="7">
        <v>1.244</v>
      </c>
      <c r="T372" s="7">
        <v>60.4</v>
      </c>
      <c r="U372" s="7">
        <v>515</v>
      </c>
      <c r="V372" s="7">
        <v>756.6</v>
      </c>
      <c r="W372" s="4"/>
      <c r="X372" s="4"/>
      <c r="Y372" s="4"/>
      <c r="Z372" s="7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  <c r="AN372" s="7"/>
      <c r="AO372" s="7"/>
      <c r="AP372" s="7"/>
      <c r="AQ372" s="7"/>
      <c r="AR372" s="7"/>
      <c r="AS372" s="7"/>
      <c r="AT372" s="7"/>
      <c r="AU372" s="7"/>
      <c r="AV372" s="7"/>
      <c r="AW372" s="4"/>
      <c r="AX372" s="2"/>
      <c r="AY372" s="7"/>
      <c r="AZ372" s="4"/>
      <c r="BA372" s="4">
        <v>117</v>
      </c>
      <c r="BB372" s="2"/>
      <c r="BC372" s="2"/>
      <c r="BD372" s="2">
        <v>25.7</v>
      </c>
      <c r="BE372" s="42">
        <v>1006</v>
      </c>
      <c r="BF372" s="43">
        <v>49</v>
      </c>
      <c r="BG372" s="44">
        <v>1.1659999999999999</v>
      </c>
      <c r="BH372" s="42">
        <v>2096</v>
      </c>
      <c r="BI372" s="2"/>
      <c r="BJ372" s="3" t="s">
        <v>493</v>
      </c>
      <c r="BK372"/>
      <c r="BL372"/>
      <c r="BM372"/>
      <c r="BR372"/>
    </row>
    <row r="373" spans="1:70" ht="15" customHeight="1" x14ac:dyDescent="0.45">
      <c r="A373" s="2" t="s">
        <v>13</v>
      </c>
      <c r="B373" s="54" t="s">
        <v>24</v>
      </c>
      <c r="C373" s="3">
        <v>45316</v>
      </c>
      <c r="D373" s="8">
        <v>2</v>
      </c>
      <c r="E373" s="2" t="s">
        <v>213</v>
      </c>
      <c r="F373" s="4" t="s">
        <v>15</v>
      </c>
      <c r="G373" s="4" t="s">
        <v>15</v>
      </c>
      <c r="H373" s="4" t="s">
        <v>223</v>
      </c>
      <c r="I373" s="7">
        <v>0.17319999999999999</v>
      </c>
      <c r="J373" s="7">
        <v>0.1721</v>
      </c>
      <c r="K373" s="50">
        <v>4.3E-3</v>
      </c>
      <c r="L373" s="7">
        <v>0.17799999999999999</v>
      </c>
      <c r="M373" s="7">
        <v>0.17499999999999999</v>
      </c>
      <c r="N373" s="7">
        <v>-0.28000000000000003</v>
      </c>
      <c r="O373" s="4"/>
      <c r="P373" s="7">
        <v>1.244</v>
      </c>
      <c r="T373" s="7">
        <v>64</v>
      </c>
      <c r="U373" s="7">
        <v>527</v>
      </c>
      <c r="V373" s="7">
        <v>758.4</v>
      </c>
      <c r="W373" s="4"/>
      <c r="X373" s="4"/>
      <c r="Y373" s="4"/>
      <c r="Z373" s="7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  <c r="AN373" s="7"/>
      <c r="AO373" s="7"/>
      <c r="AP373" s="7"/>
      <c r="AQ373" s="7"/>
      <c r="AR373" s="7"/>
      <c r="AS373" s="7"/>
      <c r="AT373" s="7"/>
      <c r="AU373" s="7"/>
      <c r="AV373" s="7"/>
      <c r="AW373" s="4"/>
      <c r="AX373" s="2"/>
      <c r="AY373" s="7"/>
      <c r="AZ373" s="4"/>
      <c r="BA373" s="4">
        <v>117</v>
      </c>
      <c r="BB373" s="2"/>
      <c r="BC373" s="2"/>
      <c r="BD373" s="2">
        <v>25.7</v>
      </c>
      <c r="BE373" s="42">
        <v>1006</v>
      </c>
      <c r="BF373" s="43">
        <v>49</v>
      </c>
      <c r="BG373" s="44">
        <v>1.1659999999999999</v>
      </c>
      <c r="BH373" s="42">
        <v>2096</v>
      </c>
      <c r="BI373" s="2"/>
      <c r="BJ373" s="3" t="s">
        <v>494</v>
      </c>
      <c r="BK373"/>
      <c r="BL373"/>
      <c r="BM373"/>
      <c r="BR373"/>
    </row>
    <row r="374" spans="1:70" ht="15" customHeight="1" x14ac:dyDescent="0.45">
      <c r="A374" s="2" t="s">
        <v>13</v>
      </c>
      <c r="B374" s="54" t="s">
        <v>24</v>
      </c>
      <c r="C374" s="3">
        <v>45316</v>
      </c>
      <c r="D374" s="8">
        <v>3</v>
      </c>
      <c r="E374" s="2" t="s">
        <v>214</v>
      </c>
      <c r="F374" s="4" t="s">
        <v>15</v>
      </c>
      <c r="G374" s="4" t="s">
        <v>15</v>
      </c>
      <c r="H374" s="4" t="s">
        <v>223</v>
      </c>
      <c r="I374" s="7">
        <v>0.17369999999999999</v>
      </c>
      <c r="J374" s="7">
        <v>0.17369999999999999</v>
      </c>
      <c r="K374" s="50">
        <v>2.5000000000000001E-3</v>
      </c>
      <c r="L374" s="7">
        <v>0.17899999999999999</v>
      </c>
      <c r="M374" s="7">
        <v>0.1729</v>
      </c>
      <c r="N374" s="7">
        <v>-0.32</v>
      </c>
      <c r="O374" s="4"/>
      <c r="P374" s="7">
        <v>1.244</v>
      </c>
      <c r="T374" s="7">
        <v>61.5</v>
      </c>
      <c r="U374" s="7">
        <v>539</v>
      </c>
      <c r="V374" s="7">
        <v>758.4</v>
      </c>
      <c r="W374" s="4"/>
      <c r="X374" s="4"/>
      <c r="Y374" s="4"/>
      <c r="Z374" s="7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  <c r="AL374" s="7"/>
      <c r="AM374" s="7"/>
      <c r="AN374" s="7"/>
      <c r="AO374" s="7"/>
      <c r="AP374" s="7"/>
      <c r="AQ374" s="7"/>
      <c r="AR374" s="7"/>
      <c r="AS374" s="7"/>
      <c r="AT374" s="7"/>
      <c r="AU374" s="7"/>
      <c r="AV374" s="7"/>
      <c r="AW374" s="4"/>
      <c r="AX374" s="2"/>
      <c r="AY374" s="7"/>
      <c r="AZ374" s="4"/>
      <c r="BA374" s="4">
        <v>117</v>
      </c>
      <c r="BB374" s="2"/>
      <c r="BC374" s="2"/>
      <c r="BD374" s="2">
        <v>25.7</v>
      </c>
      <c r="BE374" s="42">
        <v>1006</v>
      </c>
      <c r="BF374" s="43">
        <v>49</v>
      </c>
      <c r="BG374" s="44">
        <v>1.1659999999999999</v>
      </c>
      <c r="BH374" s="42">
        <v>2096</v>
      </c>
      <c r="BI374" s="2"/>
      <c r="BJ374" s="3" t="s">
        <v>489</v>
      </c>
      <c r="BK374"/>
      <c r="BL374"/>
      <c r="BM374"/>
      <c r="BR374"/>
    </row>
    <row r="375" spans="1:70" ht="15" customHeight="1" x14ac:dyDescent="0.45">
      <c r="A375" s="2" t="s">
        <v>13</v>
      </c>
      <c r="B375" s="54" t="s">
        <v>24</v>
      </c>
      <c r="C375" s="3">
        <v>45316</v>
      </c>
      <c r="D375" s="8">
        <v>4</v>
      </c>
      <c r="E375" s="2" t="s">
        <v>22</v>
      </c>
      <c r="F375" s="4" t="s">
        <v>15</v>
      </c>
      <c r="G375" s="4" t="s">
        <v>15</v>
      </c>
      <c r="H375" s="4" t="s">
        <v>223</v>
      </c>
      <c r="I375" s="7">
        <v>0.17419999999999999</v>
      </c>
      <c r="J375" s="7">
        <v>0.17419999999999999</v>
      </c>
      <c r="K375" s="50">
        <v>4.0000000000000001E-3</v>
      </c>
      <c r="L375" s="7">
        <v>0.17799999999999999</v>
      </c>
      <c r="M375" s="7">
        <v>0.1777</v>
      </c>
      <c r="N375" s="7">
        <v>-0.2</v>
      </c>
      <c r="O375" s="4"/>
      <c r="P375" s="7">
        <v>1.244</v>
      </c>
      <c r="T375" s="7">
        <v>61.3</v>
      </c>
      <c r="U375" s="7">
        <v>538</v>
      </c>
      <c r="V375" s="7">
        <v>756.8</v>
      </c>
      <c r="W375" s="4"/>
      <c r="X375" s="4"/>
      <c r="Y375" s="4"/>
      <c r="Z375" s="7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  <c r="AN375" s="7"/>
      <c r="AO375" s="7"/>
      <c r="AP375" s="7"/>
      <c r="AQ375" s="7"/>
      <c r="AR375" s="7"/>
      <c r="AS375" s="7"/>
      <c r="AT375" s="7"/>
      <c r="AU375" s="7"/>
      <c r="AV375" s="7"/>
      <c r="AW375" s="4"/>
      <c r="AX375" s="2"/>
      <c r="AY375" s="7"/>
      <c r="AZ375" s="4"/>
      <c r="BA375" s="4">
        <v>117</v>
      </c>
      <c r="BB375" s="2"/>
      <c r="BC375" s="2"/>
      <c r="BD375" s="2">
        <v>25.7</v>
      </c>
      <c r="BE375" s="42">
        <v>1006</v>
      </c>
      <c r="BF375" s="43">
        <v>49</v>
      </c>
      <c r="BG375" s="44">
        <v>1.1659999999999999</v>
      </c>
      <c r="BH375" s="42">
        <v>2096</v>
      </c>
      <c r="BI375" s="2"/>
      <c r="BJ375" s="3" t="s">
        <v>491</v>
      </c>
      <c r="BK375"/>
      <c r="BL375"/>
      <c r="BM375"/>
      <c r="BR375"/>
    </row>
    <row r="376" spans="1:70" ht="15" customHeight="1" x14ac:dyDescent="0.45">
      <c r="A376" s="2" t="s">
        <v>13</v>
      </c>
      <c r="B376" s="54" t="s">
        <v>24</v>
      </c>
      <c r="C376" s="3">
        <v>45316</v>
      </c>
      <c r="D376" s="8">
        <v>5</v>
      </c>
      <c r="E376" s="2" t="s">
        <v>213</v>
      </c>
      <c r="F376" s="4" t="s">
        <v>15</v>
      </c>
      <c r="G376" s="4" t="s">
        <v>15</v>
      </c>
      <c r="H376" s="4" t="s">
        <v>223</v>
      </c>
      <c r="I376" s="7">
        <v>0.17319999999999999</v>
      </c>
      <c r="J376" s="7">
        <v>0.1721</v>
      </c>
      <c r="K376" s="50">
        <v>2.0999999999999999E-3</v>
      </c>
      <c r="L376" s="7">
        <v>0.17899999999999999</v>
      </c>
      <c r="M376" s="7">
        <v>0.17519999999999999</v>
      </c>
      <c r="N376" s="7">
        <v>-0.23</v>
      </c>
      <c r="O376" s="4"/>
      <c r="P376" s="7">
        <v>1.244</v>
      </c>
      <c r="T376" s="7">
        <v>61.3</v>
      </c>
      <c r="U376" s="7">
        <v>540</v>
      </c>
      <c r="V376" s="7">
        <v>757.8</v>
      </c>
      <c r="W376" s="4"/>
      <c r="X376" s="4"/>
      <c r="Y376" s="4"/>
      <c r="Z376" s="7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  <c r="AN376" s="7"/>
      <c r="AO376" s="7"/>
      <c r="AP376" s="7"/>
      <c r="AQ376" s="7"/>
      <c r="AR376" s="7"/>
      <c r="AS376" s="7"/>
      <c r="AT376" s="7"/>
      <c r="AU376" s="7"/>
      <c r="AV376" s="7"/>
      <c r="AW376" s="4"/>
      <c r="AX376" s="2"/>
      <c r="AY376" s="7"/>
      <c r="AZ376" s="4"/>
      <c r="BA376" s="4">
        <v>117</v>
      </c>
      <c r="BB376" s="2"/>
      <c r="BC376" s="2"/>
      <c r="BD376" s="2">
        <v>26.4</v>
      </c>
      <c r="BE376" s="42">
        <v>1006</v>
      </c>
      <c r="BF376" s="43">
        <v>47</v>
      </c>
      <c r="BG376" s="44">
        <v>1.1619999999999999</v>
      </c>
      <c r="BH376" s="42">
        <v>2096</v>
      </c>
      <c r="BI376" s="2"/>
      <c r="BJ376" s="3" t="s">
        <v>490</v>
      </c>
      <c r="BK376"/>
      <c r="BL376"/>
      <c r="BM376"/>
      <c r="BR376"/>
    </row>
    <row r="377" spans="1:70" ht="15" customHeight="1" x14ac:dyDescent="0.45">
      <c r="A377" s="2" t="s">
        <v>13</v>
      </c>
      <c r="B377" s="54" t="s">
        <v>24</v>
      </c>
      <c r="C377" s="3">
        <v>45316</v>
      </c>
      <c r="D377" s="8">
        <v>6</v>
      </c>
      <c r="E377" s="2" t="s">
        <v>214</v>
      </c>
      <c r="F377" s="4" t="s">
        <v>15</v>
      </c>
      <c r="G377" s="4" t="s">
        <v>15</v>
      </c>
      <c r="H377" s="4" t="s">
        <v>223</v>
      </c>
      <c r="I377" s="7">
        <v>0.17199999999999999</v>
      </c>
      <c r="J377" s="7">
        <v>0.17199999999999999</v>
      </c>
      <c r="K377" s="50">
        <v>2.3999999999999998E-3</v>
      </c>
      <c r="L377" s="7">
        <v>0.17699999999999999</v>
      </c>
      <c r="M377" s="7">
        <v>0.17449999999999999</v>
      </c>
      <c r="N377" s="7">
        <v>-0.2</v>
      </c>
      <c r="O377" s="4"/>
      <c r="P377" s="7">
        <v>1.244</v>
      </c>
      <c r="W377" s="4"/>
      <c r="X377" s="4"/>
      <c r="Y377" s="4"/>
      <c r="Z377" s="7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  <c r="AM377" s="7"/>
      <c r="AN377" s="7"/>
      <c r="AO377" s="7"/>
      <c r="AP377" s="7"/>
      <c r="AQ377" s="7"/>
      <c r="AR377" s="7"/>
      <c r="AS377" s="7"/>
      <c r="AT377" s="7"/>
      <c r="AU377" s="7"/>
      <c r="AV377" s="7"/>
      <c r="AW377" s="4"/>
      <c r="AX377" s="2"/>
      <c r="AY377" s="7"/>
      <c r="AZ377" s="4"/>
      <c r="BA377" s="4">
        <v>117</v>
      </c>
      <c r="BB377" s="2"/>
      <c r="BC377" s="2"/>
      <c r="BD377" s="2">
        <v>26.4</v>
      </c>
      <c r="BE377" s="42">
        <v>1006</v>
      </c>
      <c r="BF377" s="43">
        <v>47</v>
      </c>
      <c r="BG377" s="44">
        <v>1.1619999999999999</v>
      </c>
      <c r="BH377" s="42">
        <v>2096</v>
      </c>
      <c r="BI377" s="2"/>
      <c r="BJ377" s="3" t="s">
        <v>492</v>
      </c>
      <c r="BK377"/>
      <c r="BL377"/>
      <c r="BM377"/>
      <c r="BR377"/>
    </row>
    <row r="378" spans="1:70" ht="15" customHeight="1" x14ac:dyDescent="0.45">
      <c r="A378" s="2" t="s">
        <v>13</v>
      </c>
      <c r="B378" s="54" t="s">
        <v>24</v>
      </c>
      <c r="C378" s="3">
        <v>45323</v>
      </c>
      <c r="D378" s="8">
        <v>1</v>
      </c>
      <c r="E378" s="2" t="s">
        <v>213</v>
      </c>
      <c r="F378" s="4" t="s">
        <v>15</v>
      </c>
      <c r="G378" s="4" t="s">
        <v>577</v>
      </c>
      <c r="H378" s="4" t="s">
        <v>223</v>
      </c>
      <c r="I378" s="7">
        <v>0.1779</v>
      </c>
      <c r="J378" s="7">
        <v>0.1779</v>
      </c>
      <c r="K378" s="50">
        <v>1.8E-3</v>
      </c>
      <c r="L378" s="7"/>
      <c r="M378" s="7">
        <v>0.17469999999999999</v>
      </c>
      <c r="N378" s="7">
        <v>-0.34</v>
      </c>
      <c r="O378" s="4"/>
      <c r="P378" s="7">
        <v>1.268</v>
      </c>
      <c r="T378" s="7">
        <v>62.8</v>
      </c>
      <c r="U378" s="7">
        <v>548</v>
      </c>
      <c r="V378" s="7">
        <v>757</v>
      </c>
      <c r="W378" s="4"/>
      <c r="X378" s="4"/>
      <c r="Y378" s="4"/>
      <c r="Z378" s="7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  <c r="AN378" s="7"/>
      <c r="AO378" s="7"/>
      <c r="AP378" s="7"/>
      <c r="AQ378" s="7"/>
      <c r="AR378" s="7"/>
      <c r="AS378" s="7"/>
      <c r="AT378" s="7"/>
      <c r="AU378" s="7"/>
      <c r="AV378" s="7"/>
      <c r="AW378" s="4"/>
      <c r="AX378" s="2"/>
      <c r="AY378" s="7"/>
      <c r="AZ378" s="4"/>
      <c r="BA378" s="4">
        <v>117</v>
      </c>
      <c r="BB378" s="2"/>
      <c r="BC378" s="2"/>
      <c r="BD378" s="2">
        <v>27.7</v>
      </c>
      <c r="BE378" s="42">
        <v>996</v>
      </c>
      <c r="BF378" s="43">
        <v>55</v>
      </c>
      <c r="BG378" s="44">
        <v>1.145</v>
      </c>
      <c r="BH378" s="42">
        <v>2096</v>
      </c>
      <c r="BI378" s="2"/>
      <c r="BJ378" s="3"/>
      <c r="BK378"/>
      <c r="BL378"/>
      <c r="BM378"/>
      <c r="BR378"/>
    </row>
    <row r="379" spans="1:70" ht="15" customHeight="1" x14ac:dyDescent="0.45">
      <c r="A379" s="2" t="s">
        <v>13</v>
      </c>
      <c r="B379" s="54" t="s">
        <v>24</v>
      </c>
      <c r="C379" s="3">
        <v>45323</v>
      </c>
      <c r="D379" s="8">
        <v>2</v>
      </c>
      <c r="E379" s="2" t="s">
        <v>549</v>
      </c>
      <c r="F379" s="4" t="s">
        <v>15</v>
      </c>
      <c r="G379" s="4" t="s">
        <v>577</v>
      </c>
      <c r="H379" s="4" t="s">
        <v>223</v>
      </c>
      <c r="I379" s="7">
        <v>0.17979999999999999</v>
      </c>
      <c r="J379" s="7">
        <v>0.17979999999999999</v>
      </c>
      <c r="K379" s="50">
        <v>2.3999999999999998E-3</v>
      </c>
      <c r="L379" s="7"/>
      <c r="M379" s="7">
        <v>0.17510000000000001</v>
      </c>
      <c r="N379" s="7">
        <v>-0.4</v>
      </c>
      <c r="O379" s="4"/>
      <c r="P379" s="7">
        <v>1.268</v>
      </c>
      <c r="T379" s="7">
        <v>62.2</v>
      </c>
      <c r="U379" s="7">
        <v>534</v>
      </c>
      <c r="V379" s="7">
        <v>756.9</v>
      </c>
      <c r="W379" s="4"/>
      <c r="X379" s="4"/>
      <c r="Y379" s="4"/>
      <c r="Z379" s="7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  <c r="AL379" s="7"/>
      <c r="AM379" s="7"/>
      <c r="AN379" s="7"/>
      <c r="AO379" s="7"/>
      <c r="AP379" s="7"/>
      <c r="AQ379" s="7"/>
      <c r="AR379" s="7"/>
      <c r="AS379" s="7"/>
      <c r="AT379" s="7"/>
      <c r="AU379" s="7"/>
      <c r="AV379" s="7"/>
      <c r="AW379" s="4"/>
      <c r="AX379" s="2"/>
      <c r="AY379" s="7"/>
      <c r="AZ379" s="4"/>
      <c r="BA379" s="4">
        <v>117</v>
      </c>
      <c r="BB379" s="2"/>
      <c r="BC379" s="2"/>
      <c r="BD379" s="2">
        <v>27.7</v>
      </c>
      <c r="BE379" s="42">
        <v>996</v>
      </c>
      <c r="BF379" s="43">
        <v>55</v>
      </c>
      <c r="BG379" s="44">
        <v>1.145</v>
      </c>
      <c r="BH379" s="42">
        <v>2096</v>
      </c>
      <c r="BI379" s="2"/>
      <c r="BJ379" s="3"/>
      <c r="BK379"/>
      <c r="BL379"/>
      <c r="BM379"/>
      <c r="BR379"/>
    </row>
    <row r="380" spans="1:70" ht="15" customHeight="1" x14ac:dyDescent="0.45">
      <c r="A380" s="2" t="s">
        <v>13</v>
      </c>
      <c r="B380" s="54" t="s">
        <v>24</v>
      </c>
      <c r="C380" s="3">
        <v>45323</v>
      </c>
      <c r="D380" s="8">
        <v>3</v>
      </c>
      <c r="E380" s="2" t="s">
        <v>213</v>
      </c>
      <c r="F380" s="4" t="s">
        <v>15</v>
      </c>
      <c r="G380" s="4" t="s">
        <v>577</v>
      </c>
      <c r="H380" s="4" t="s">
        <v>223</v>
      </c>
      <c r="I380" s="7">
        <v>0.18060000000000001</v>
      </c>
      <c r="J380" s="7">
        <v>0.18060000000000001</v>
      </c>
      <c r="K380" s="50">
        <v>3.8999999999999998E-3</v>
      </c>
      <c r="L380" s="7"/>
      <c r="M380" s="7">
        <v>0.17610000000000001</v>
      </c>
      <c r="N380" s="7">
        <v>-0.34</v>
      </c>
      <c r="O380" s="4"/>
      <c r="P380" s="7">
        <v>1.268</v>
      </c>
      <c r="T380" s="7">
        <v>63.4</v>
      </c>
      <c r="U380" s="7">
        <v>564</v>
      </c>
      <c r="V380" s="7">
        <v>757</v>
      </c>
      <c r="W380" s="4"/>
      <c r="X380" s="4"/>
      <c r="Y380" s="4"/>
      <c r="Z380" s="7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  <c r="AN380" s="7"/>
      <c r="AO380" s="7"/>
      <c r="AP380" s="7"/>
      <c r="AQ380" s="7"/>
      <c r="AR380" s="7"/>
      <c r="AS380" s="7"/>
      <c r="AT380" s="7"/>
      <c r="AU380" s="7"/>
      <c r="AV380" s="7"/>
      <c r="AW380" s="4"/>
      <c r="AX380" s="2"/>
      <c r="AY380" s="7"/>
      <c r="AZ380" s="4"/>
      <c r="BA380" s="4">
        <v>117</v>
      </c>
      <c r="BB380" s="2"/>
      <c r="BC380" s="2"/>
      <c r="BD380" s="2">
        <v>28</v>
      </c>
      <c r="BE380" s="42">
        <v>995</v>
      </c>
      <c r="BF380" s="43">
        <v>53</v>
      </c>
      <c r="BG380" s="44">
        <v>1.143</v>
      </c>
      <c r="BH380" s="42">
        <v>2096</v>
      </c>
      <c r="BI380" s="2"/>
      <c r="BJ380" s="3"/>
      <c r="BK380"/>
      <c r="BL380"/>
      <c r="BM380"/>
      <c r="BR380"/>
    </row>
    <row r="381" spans="1:70" ht="15" customHeight="1" x14ac:dyDescent="0.45">
      <c r="A381" s="2" t="s">
        <v>13</v>
      </c>
      <c r="B381" s="54" t="s">
        <v>24</v>
      </c>
      <c r="C381" s="3">
        <v>45323</v>
      </c>
      <c r="D381" s="8">
        <v>4</v>
      </c>
      <c r="E381" s="2" t="s">
        <v>549</v>
      </c>
      <c r="F381" s="4" t="s">
        <v>15</v>
      </c>
      <c r="G381" s="4" t="s">
        <v>577</v>
      </c>
      <c r="H381" s="4" t="s">
        <v>223</v>
      </c>
      <c r="I381" s="7">
        <v>0.1799</v>
      </c>
      <c r="J381" s="7">
        <v>0.1799</v>
      </c>
      <c r="K381" s="50">
        <v>2.3999999999999998E-3</v>
      </c>
      <c r="L381" s="7"/>
      <c r="M381" s="7">
        <v>0.17560000000000001</v>
      </c>
      <c r="N381" s="7">
        <v>-0.38</v>
      </c>
      <c r="O381" s="4"/>
      <c r="P381" s="7">
        <v>1.268</v>
      </c>
      <c r="T381" s="7">
        <v>63.8</v>
      </c>
      <c r="U381" s="7">
        <v>555</v>
      </c>
      <c r="V381" s="7">
        <v>756</v>
      </c>
      <c r="W381" s="4"/>
      <c r="X381" s="4"/>
      <c r="Y381" s="4"/>
      <c r="Z381" s="7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  <c r="AN381" s="7"/>
      <c r="AO381" s="7"/>
      <c r="AP381" s="7"/>
      <c r="AQ381" s="7"/>
      <c r="AR381" s="7"/>
      <c r="AS381" s="7"/>
      <c r="AT381" s="7"/>
      <c r="AU381" s="7"/>
      <c r="AV381" s="7"/>
      <c r="AW381" s="4"/>
      <c r="AX381" s="2"/>
      <c r="AY381" s="7"/>
      <c r="AZ381" s="4"/>
      <c r="BA381" s="4">
        <v>117</v>
      </c>
      <c r="BB381" s="2"/>
      <c r="BC381" s="2"/>
      <c r="BD381" s="2">
        <v>28.2</v>
      </c>
      <c r="BE381" s="42">
        <v>995</v>
      </c>
      <c r="BF381" s="43">
        <v>53</v>
      </c>
      <c r="BG381" s="44">
        <v>1.1419999999999999</v>
      </c>
      <c r="BH381" s="42">
        <v>2096</v>
      </c>
      <c r="BI381" s="2"/>
      <c r="BJ381" s="3"/>
      <c r="BK381"/>
      <c r="BL381"/>
      <c r="BM381"/>
      <c r="BR381"/>
    </row>
    <row r="382" spans="1:70" ht="15" customHeight="1" x14ac:dyDescent="0.45">
      <c r="A382" s="2" t="s">
        <v>13</v>
      </c>
      <c r="B382" s="54" t="s">
        <v>24</v>
      </c>
      <c r="C382" s="3">
        <v>45323</v>
      </c>
      <c r="D382" s="8">
        <v>5</v>
      </c>
      <c r="E382" s="2" t="s">
        <v>213</v>
      </c>
      <c r="F382" s="4" t="s">
        <v>354</v>
      </c>
      <c r="G382" s="4" t="s">
        <v>578</v>
      </c>
      <c r="H382" s="4" t="s">
        <v>223</v>
      </c>
      <c r="I382" s="7">
        <v>0.1681</v>
      </c>
      <c r="J382" s="7">
        <v>0.1681</v>
      </c>
      <c r="K382" s="50">
        <v>2.5999999999999999E-3</v>
      </c>
      <c r="L382" s="7"/>
      <c r="M382" s="7">
        <v>0.1653</v>
      </c>
      <c r="N382" s="7">
        <v>-0.33</v>
      </c>
      <c r="O382" s="4"/>
      <c r="P382" s="7">
        <v>1.268</v>
      </c>
      <c r="T382" s="7">
        <v>64.3</v>
      </c>
      <c r="U382" s="7">
        <v>560</v>
      </c>
      <c r="V382" s="7">
        <v>758.1</v>
      </c>
      <c r="W382" s="4"/>
      <c r="X382" s="4"/>
      <c r="Y382" s="4"/>
      <c r="Z382" s="7"/>
      <c r="AA382" s="7"/>
      <c r="AB382" s="7"/>
      <c r="AC382" s="7"/>
      <c r="AD382" s="7"/>
      <c r="AE382" s="7"/>
      <c r="AF382" s="7"/>
      <c r="AG382" s="7"/>
      <c r="AH382" s="7"/>
      <c r="AI382" s="7"/>
      <c r="AJ382" s="7"/>
      <c r="AK382" s="7"/>
      <c r="AL382" s="7"/>
      <c r="AM382" s="7"/>
      <c r="AN382" s="7"/>
      <c r="AO382" s="7"/>
      <c r="AP382" s="7"/>
      <c r="AQ382" s="7"/>
      <c r="AR382" s="7"/>
      <c r="AS382" s="7"/>
      <c r="AT382" s="7"/>
      <c r="AU382" s="7"/>
      <c r="AV382" s="7"/>
      <c r="AW382" s="4"/>
      <c r="AX382" s="2"/>
      <c r="AY382" s="7"/>
      <c r="AZ382" s="4"/>
      <c r="BA382" s="4">
        <v>117</v>
      </c>
      <c r="BB382" s="2"/>
      <c r="BC382" s="2"/>
      <c r="BD382" s="2">
        <v>28.2</v>
      </c>
      <c r="BE382" s="42">
        <v>995</v>
      </c>
      <c r="BF382" s="43">
        <v>53</v>
      </c>
      <c r="BG382" s="44">
        <v>1.1419999999999999</v>
      </c>
      <c r="BH382" s="42">
        <v>2096</v>
      </c>
      <c r="BI382" s="2"/>
      <c r="BJ382" s="3"/>
      <c r="BK382"/>
      <c r="BL382"/>
      <c r="BM382"/>
      <c r="BR382"/>
    </row>
    <row r="383" spans="1:70" ht="15" customHeight="1" x14ac:dyDescent="0.45">
      <c r="A383" s="2" t="s">
        <v>13</v>
      </c>
      <c r="B383" s="54" t="s">
        <v>24</v>
      </c>
      <c r="C383" s="3">
        <v>45323</v>
      </c>
      <c r="D383" s="8">
        <v>6</v>
      </c>
      <c r="E383" s="2" t="s">
        <v>213</v>
      </c>
      <c r="F383" s="4" t="s">
        <v>354</v>
      </c>
      <c r="G383" s="4" t="s">
        <v>578</v>
      </c>
      <c r="H383" s="4" t="s">
        <v>378</v>
      </c>
      <c r="I383" s="7">
        <v>0.1676</v>
      </c>
      <c r="J383" s="7">
        <v>0.1676</v>
      </c>
      <c r="K383" s="50">
        <v>4.3E-3</v>
      </c>
      <c r="L383" s="7"/>
      <c r="M383" s="7">
        <v>0.16450000000000001</v>
      </c>
      <c r="N383" s="7">
        <v>-0.39</v>
      </c>
      <c r="O383" s="4"/>
      <c r="P383" s="7">
        <v>1.268</v>
      </c>
      <c r="T383" s="7">
        <v>64</v>
      </c>
      <c r="U383" s="7">
        <v>563</v>
      </c>
      <c r="V383" s="7">
        <v>757.3</v>
      </c>
      <c r="W383" s="4"/>
      <c r="X383" s="4"/>
      <c r="Y383" s="4"/>
      <c r="Z383" s="7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7"/>
      <c r="AN383" s="7"/>
      <c r="AO383" s="7"/>
      <c r="AP383" s="7"/>
      <c r="AQ383" s="7"/>
      <c r="AR383" s="7"/>
      <c r="AS383" s="7"/>
      <c r="AT383" s="7"/>
      <c r="AU383" s="7"/>
      <c r="AV383" s="7"/>
      <c r="AW383" s="4"/>
      <c r="AX383" s="2"/>
      <c r="AY383" s="7"/>
      <c r="AZ383" s="4"/>
      <c r="BA383" s="4">
        <v>117</v>
      </c>
      <c r="BB383" s="2"/>
      <c r="BC383" s="2"/>
      <c r="BD383" s="2">
        <v>28.7</v>
      </c>
      <c r="BE383" s="42">
        <v>995</v>
      </c>
      <c r="BF383" s="43">
        <v>49</v>
      </c>
      <c r="BG383" s="44">
        <v>1.1399999999999999</v>
      </c>
      <c r="BH383" s="42">
        <v>2096</v>
      </c>
      <c r="BI383" s="2"/>
      <c r="BJ383" s="3"/>
      <c r="BK383"/>
      <c r="BL383"/>
      <c r="BM383"/>
      <c r="BR383"/>
    </row>
    <row r="384" spans="1:70" ht="15" customHeight="1" x14ac:dyDescent="0.45">
      <c r="A384" s="2" t="s">
        <v>13</v>
      </c>
      <c r="B384" s="54" t="s">
        <v>24</v>
      </c>
      <c r="C384" s="3">
        <v>45323</v>
      </c>
      <c r="D384" s="8">
        <v>7</v>
      </c>
      <c r="E384" s="2" t="s">
        <v>213</v>
      </c>
      <c r="F384" s="4" t="s">
        <v>354</v>
      </c>
      <c r="G384" s="4" t="s">
        <v>578</v>
      </c>
      <c r="H384" s="4" t="s">
        <v>223</v>
      </c>
      <c r="I384" s="7">
        <v>0.16739999999999999</v>
      </c>
      <c r="J384" s="7">
        <v>0.16739999999999999</v>
      </c>
      <c r="K384" s="50">
        <v>1E-3</v>
      </c>
      <c r="L384" s="7"/>
      <c r="M384" s="7">
        <v>0.16470000000000001</v>
      </c>
      <c r="N384" s="7">
        <v>-0.37</v>
      </c>
      <c r="O384" s="4"/>
      <c r="P384" s="7">
        <v>1.268</v>
      </c>
      <c r="T384" s="7">
        <v>63.7</v>
      </c>
      <c r="U384" s="7">
        <v>558</v>
      </c>
      <c r="V384" s="7">
        <v>756.9</v>
      </c>
      <c r="W384" s="4"/>
      <c r="X384" s="4"/>
      <c r="Y384" s="4"/>
      <c r="Z384" s="7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  <c r="AN384" s="7"/>
      <c r="AO384" s="7"/>
      <c r="AP384" s="7"/>
      <c r="AQ384" s="7"/>
      <c r="AR384" s="7"/>
      <c r="AS384" s="7"/>
      <c r="AT384" s="7"/>
      <c r="AU384" s="7"/>
      <c r="AV384" s="7"/>
      <c r="AW384" s="4"/>
      <c r="AX384" s="2"/>
      <c r="AY384" s="7"/>
      <c r="AZ384" s="4"/>
      <c r="BA384" s="4">
        <v>117</v>
      </c>
      <c r="BB384" s="2"/>
      <c r="BC384" s="2"/>
      <c r="BD384" s="2">
        <v>28.7</v>
      </c>
      <c r="BE384" s="42">
        <v>995</v>
      </c>
      <c r="BF384" s="43">
        <v>49</v>
      </c>
      <c r="BG384" s="44">
        <v>1.1399999999999999</v>
      </c>
      <c r="BH384" s="42">
        <v>2096</v>
      </c>
      <c r="BI384" s="2"/>
      <c r="BJ384" s="3"/>
      <c r="BK384"/>
      <c r="BL384"/>
      <c r="BM384"/>
      <c r="BR384"/>
    </row>
    <row r="385" spans="1:70" ht="15" customHeight="1" x14ac:dyDescent="0.45">
      <c r="A385" s="2" t="s">
        <v>13</v>
      </c>
      <c r="B385" s="54" t="s">
        <v>24</v>
      </c>
      <c r="C385" s="3">
        <v>45323</v>
      </c>
      <c r="D385" s="8">
        <v>8</v>
      </c>
      <c r="E385" s="2" t="s">
        <v>213</v>
      </c>
      <c r="F385" s="4" t="s">
        <v>354</v>
      </c>
      <c r="G385" s="4" t="s">
        <v>578</v>
      </c>
      <c r="H385" s="4" t="s">
        <v>378</v>
      </c>
      <c r="I385" s="7">
        <v>0.16900000000000001</v>
      </c>
      <c r="J385" s="7">
        <v>0.16900000000000001</v>
      </c>
      <c r="K385" s="50">
        <v>2.5000000000000001E-3</v>
      </c>
      <c r="L385" s="7"/>
      <c r="M385" s="7">
        <v>0.1651</v>
      </c>
      <c r="N385" s="7">
        <v>-0.43</v>
      </c>
      <c r="O385" s="4"/>
      <c r="P385" s="7">
        <v>1.268</v>
      </c>
      <c r="T385" s="7">
        <v>63.8</v>
      </c>
      <c r="U385" s="7">
        <v>548</v>
      </c>
      <c r="V385" s="7">
        <v>757.9</v>
      </c>
      <c r="W385" s="4"/>
      <c r="X385" s="4"/>
      <c r="Y385" s="4"/>
      <c r="Z385" s="7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7"/>
      <c r="AN385" s="7"/>
      <c r="AO385" s="7"/>
      <c r="AP385" s="7"/>
      <c r="AQ385" s="7"/>
      <c r="AR385" s="7"/>
      <c r="AS385" s="7"/>
      <c r="AT385" s="7"/>
      <c r="AU385" s="7"/>
      <c r="AV385" s="7"/>
      <c r="AW385" s="4"/>
      <c r="AX385" s="2"/>
      <c r="AY385" s="7"/>
      <c r="AZ385" s="4"/>
      <c r="BA385" s="4">
        <v>117</v>
      </c>
      <c r="BB385" s="2"/>
      <c r="BC385" s="2"/>
      <c r="BD385" s="2">
        <v>28.9</v>
      </c>
      <c r="BE385" s="42">
        <v>995</v>
      </c>
      <c r="BF385" s="43">
        <v>49</v>
      </c>
      <c r="BG385" s="44">
        <v>1.139</v>
      </c>
      <c r="BH385" s="42">
        <v>2096</v>
      </c>
      <c r="BI385" s="2"/>
      <c r="BJ385" s="3"/>
      <c r="BK385"/>
      <c r="BL385"/>
      <c r="BM385"/>
      <c r="BR385"/>
    </row>
    <row r="386" spans="1:70" ht="15" customHeight="1" x14ac:dyDescent="0.45">
      <c r="A386" s="2" t="s">
        <v>43</v>
      </c>
      <c r="B386" s="54" t="s">
        <v>210</v>
      </c>
      <c r="C386" s="3">
        <v>45323</v>
      </c>
      <c r="D386" s="8">
        <v>1</v>
      </c>
      <c r="E386" s="2" t="s">
        <v>545</v>
      </c>
      <c r="F386" s="4" t="s">
        <v>15</v>
      </c>
      <c r="G386" s="4" t="s">
        <v>15</v>
      </c>
      <c r="H386" s="4" t="s">
        <v>330</v>
      </c>
      <c r="I386" s="7">
        <v>0.17599999999999999</v>
      </c>
      <c r="J386" s="7">
        <v>0.17599999999999999</v>
      </c>
      <c r="K386" s="50">
        <v>2.8999999999999998E-3</v>
      </c>
      <c r="L386" s="7"/>
      <c r="M386" s="7">
        <v>0.17019999999999999</v>
      </c>
      <c r="N386" s="7">
        <v>-0.5</v>
      </c>
      <c r="O386" s="4"/>
      <c r="P386" s="7">
        <v>1.2544999999999999</v>
      </c>
      <c r="T386" s="7">
        <v>57.6</v>
      </c>
      <c r="U386" s="7">
        <v>410</v>
      </c>
      <c r="V386" s="7">
        <v>755.6</v>
      </c>
      <c r="W386" s="4"/>
      <c r="X386" s="4"/>
      <c r="Y386" s="4"/>
      <c r="Z386" s="7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  <c r="AN386" s="7"/>
      <c r="AO386" s="7"/>
      <c r="AP386" s="7"/>
      <c r="AQ386" s="7"/>
      <c r="AR386" s="7"/>
      <c r="AS386" s="7"/>
      <c r="AT386" s="7"/>
      <c r="AU386" s="7"/>
      <c r="AV386" s="7"/>
      <c r="AW386" s="4"/>
      <c r="AX386" s="2"/>
      <c r="AY386" s="7"/>
      <c r="AZ386" s="4"/>
      <c r="BA386" s="4">
        <v>111.6</v>
      </c>
      <c r="BB386" s="2"/>
      <c r="BC386" s="2"/>
      <c r="BD386" s="2">
        <v>27.7</v>
      </c>
      <c r="BE386" s="42">
        <v>996</v>
      </c>
      <c r="BF386" s="43">
        <v>55</v>
      </c>
      <c r="BG386" s="44">
        <v>1.145</v>
      </c>
      <c r="BH386" s="42">
        <v>2096</v>
      </c>
      <c r="BI386" s="2"/>
      <c r="BJ386" s="3"/>
      <c r="BK386"/>
      <c r="BL386"/>
      <c r="BM386"/>
      <c r="BR386"/>
    </row>
    <row r="387" spans="1:70" ht="15" customHeight="1" x14ac:dyDescent="0.45">
      <c r="A387" s="2" t="s">
        <v>43</v>
      </c>
      <c r="B387" s="54" t="s">
        <v>210</v>
      </c>
      <c r="C387" s="3">
        <v>45323</v>
      </c>
      <c r="D387" s="8">
        <v>2</v>
      </c>
      <c r="E387" s="2" t="s">
        <v>545</v>
      </c>
      <c r="F387" s="4" t="s">
        <v>15</v>
      </c>
      <c r="G387" s="4" t="s">
        <v>15</v>
      </c>
      <c r="H387" s="4" t="s">
        <v>330</v>
      </c>
      <c r="I387" s="7">
        <v>0.17199999999999999</v>
      </c>
      <c r="J387" s="7">
        <v>0.17199999999999999</v>
      </c>
      <c r="K387" s="50">
        <v>4.4999999999999997E-3</v>
      </c>
      <c r="L387" s="7"/>
      <c r="M387" s="7">
        <v>0.1716</v>
      </c>
      <c r="N387" s="7">
        <v>-0.46</v>
      </c>
      <c r="O387" s="4"/>
      <c r="P387" s="7">
        <v>1.2544999999999999</v>
      </c>
      <c r="T387" s="7">
        <v>56.9</v>
      </c>
      <c r="U387" s="7">
        <v>417</v>
      </c>
      <c r="V387" s="7">
        <v>755.3</v>
      </c>
      <c r="W387" s="4"/>
      <c r="X387" s="4"/>
      <c r="Y387" s="4"/>
      <c r="Z387" s="7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  <c r="AN387" s="7"/>
      <c r="AO387" s="7"/>
      <c r="AP387" s="7"/>
      <c r="AQ387" s="7"/>
      <c r="AR387" s="7"/>
      <c r="AS387" s="7"/>
      <c r="AT387" s="7"/>
      <c r="AU387" s="7"/>
      <c r="AV387" s="7"/>
      <c r="AW387" s="4"/>
      <c r="AX387" s="2"/>
      <c r="AY387" s="7"/>
      <c r="AZ387" s="4"/>
      <c r="BA387" s="4">
        <v>111.6</v>
      </c>
      <c r="BB387" s="2"/>
      <c r="BC387" s="2"/>
      <c r="BD387" s="2">
        <v>27.7</v>
      </c>
      <c r="BE387" s="42">
        <v>996</v>
      </c>
      <c r="BF387" s="43">
        <v>55</v>
      </c>
      <c r="BG387" s="44">
        <v>1.145</v>
      </c>
      <c r="BH387" s="42">
        <v>2096</v>
      </c>
      <c r="BI387" s="2"/>
      <c r="BJ387" s="3"/>
      <c r="BK387"/>
      <c r="BL387"/>
      <c r="BM387"/>
      <c r="BR387"/>
    </row>
    <row r="388" spans="1:70" ht="15" customHeight="1" x14ac:dyDescent="0.45">
      <c r="A388" s="2" t="s">
        <v>43</v>
      </c>
      <c r="B388" s="54" t="s">
        <v>210</v>
      </c>
      <c r="C388" s="3">
        <v>45323</v>
      </c>
      <c r="D388" s="8">
        <v>3</v>
      </c>
      <c r="E388" s="2" t="s">
        <v>214</v>
      </c>
      <c r="F388" s="4" t="s">
        <v>15</v>
      </c>
      <c r="G388" s="4" t="s">
        <v>15</v>
      </c>
      <c r="H388" s="4" t="s">
        <v>330</v>
      </c>
      <c r="I388" s="7">
        <v>0.17979999999999999</v>
      </c>
      <c r="J388" s="7">
        <v>0.17979999999999999</v>
      </c>
      <c r="K388" s="50">
        <v>4.1000000000000003E-3</v>
      </c>
      <c r="L388" s="7"/>
      <c r="M388" s="7">
        <v>0.17580000000000001</v>
      </c>
      <c r="N388" s="7">
        <v>-0.44</v>
      </c>
      <c r="O388" s="4"/>
      <c r="P388" s="7">
        <v>1.2544999999999999</v>
      </c>
      <c r="T388" s="7">
        <v>57</v>
      </c>
      <c r="U388" s="7">
        <v>416</v>
      </c>
      <c r="V388" s="7">
        <v>754.9</v>
      </c>
      <c r="W388" s="4"/>
      <c r="X388" s="4"/>
      <c r="Y388" s="4"/>
      <c r="Z388" s="7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  <c r="AN388" s="7"/>
      <c r="AO388" s="7"/>
      <c r="AP388" s="7"/>
      <c r="AQ388" s="7"/>
      <c r="AR388" s="7"/>
      <c r="AS388" s="7"/>
      <c r="AT388" s="7"/>
      <c r="AU388" s="7"/>
      <c r="AV388" s="7"/>
      <c r="AW388" s="4"/>
      <c r="AX388" s="2"/>
      <c r="AY388" s="7"/>
      <c r="AZ388" s="4"/>
      <c r="BA388" s="4">
        <v>111.6</v>
      </c>
      <c r="BB388" s="2"/>
      <c r="BC388" s="2"/>
      <c r="BD388" s="2">
        <v>28</v>
      </c>
      <c r="BE388" s="42">
        <v>995</v>
      </c>
      <c r="BF388" s="43">
        <v>53</v>
      </c>
      <c r="BG388" s="44">
        <v>1.143</v>
      </c>
      <c r="BH388" s="42">
        <v>2096</v>
      </c>
      <c r="BI388" s="2"/>
      <c r="BJ388" s="3"/>
      <c r="BK388"/>
      <c r="BL388"/>
      <c r="BM388"/>
      <c r="BR388"/>
    </row>
    <row r="389" spans="1:70" ht="15" customHeight="1" x14ac:dyDescent="0.45">
      <c r="A389" s="2" t="s">
        <v>43</v>
      </c>
      <c r="B389" s="54" t="s">
        <v>210</v>
      </c>
      <c r="C389" s="3">
        <v>45323</v>
      </c>
      <c r="D389" s="8">
        <v>4</v>
      </c>
      <c r="E389" s="2" t="s">
        <v>214</v>
      </c>
      <c r="F389" s="4" t="s">
        <v>15</v>
      </c>
      <c r="G389" s="4" t="s">
        <v>15</v>
      </c>
      <c r="H389" s="4" t="s">
        <v>330</v>
      </c>
      <c r="I389" s="7">
        <v>0.18049999999999999</v>
      </c>
      <c r="J389" s="7">
        <v>0.18049999999999999</v>
      </c>
      <c r="K389" s="50">
        <v>4.0000000000000001E-3</v>
      </c>
      <c r="L389" s="7"/>
      <c r="M389" s="7">
        <v>0.17319999999999999</v>
      </c>
      <c r="N389" s="7">
        <v>-0.53</v>
      </c>
      <c r="O389" s="4"/>
      <c r="P389" s="7">
        <v>1.2544999999999999</v>
      </c>
      <c r="T389" s="7">
        <v>57.5</v>
      </c>
      <c r="U389" s="7">
        <v>426</v>
      </c>
      <c r="V389" s="7">
        <v>755.5</v>
      </c>
      <c r="W389" s="4"/>
      <c r="X389" s="4"/>
      <c r="Y389" s="4"/>
      <c r="Z389" s="7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  <c r="AN389" s="7"/>
      <c r="AO389" s="7"/>
      <c r="AP389" s="7"/>
      <c r="AQ389" s="7"/>
      <c r="AR389" s="7"/>
      <c r="AS389" s="7"/>
      <c r="AT389" s="7"/>
      <c r="AU389" s="7"/>
      <c r="AV389" s="7"/>
      <c r="AW389" s="4"/>
      <c r="AX389" s="2"/>
      <c r="AY389" s="7"/>
      <c r="AZ389" s="4"/>
      <c r="BA389" s="4">
        <v>111.6</v>
      </c>
      <c r="BB389" s="2"/>
      <c r="BC389" s="2"/>
      <c r="BD389" s="2">
        <v>28.2</v>
      </c>
      <c r="BE389" s="42">
        <v>995</v>
      </c>
      <c r="BF389" s="43">
        <v>53</v>
      </c>
      <c r="BG389" s="44">
        <v>1.1419999999999999</v>
      </c>
      <c r="BH389" s="42">
        <v>2096</v>
      </c>
      <c r="BI389" s="2"/>
      <c r="BJ389" s="3"/>
      <c r="BK389"/>
      <c r="BL389"/>
      <c r="BM389"/>
      <c r="BR389"/>
    </row>
    <row r="390" spans="1:70" ht="15" customHeight="1" x14ac:dyDescent="0.45">
      <c r="A390" s="2" t="s">
        <v>43</v>
      </c>
      <c r="B390" s="54" t="s">
        <v>210</v>
      </c>
      <c r="C390" s="3">
        <v>45323</v>
      </c>
      <c r="D390" s="8">
        <v>5</v>
      </c>
      <c r="E390" s="2" t="s">
        <v>545</v>
      </c>
      <c r="F390" s="4" t="s">
        <v>557</v>
      </c>
      <c r="G390" s="4" t="s">
        <v>578</v>
      </c>
      <c r="H390" s="4" t="s">
        <v>330</v>
      </c>
      <c r="I390" s="7">
        <v>0.1807</v>
      </c>
      <c r="J390" s="7">
        <v>0.1807</v>
      </c>
      <c r="K390" s="50">
        <v>2E-3</v>
      </c>
      <c r="L390" s="7"/>
      <c r="M390" s="7">
        <v>0.17169999999999999</v>
      </c>
      <c r="N390" s="7">
        <v>-0.52</v>
      </c>
      <c r="O390" s="4"/>
      <c r="P390" s="7">
        <v>1.2544999999999999</v>
      </c>
      <c r="T390" s="7">
        <v>57.2</v>
      </c>
      <c r="U390" s="7">
        <v>411</v>
      </c>
      <c r="V390" s="7">
        <v>754.2</v>
      </c>
      <c r="W390" s="4"/>
      <c r="X390" s="4"/>
      <c r="Y390" s="4"/>
      <c r="Z390" s="7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  <c r="AN390" s="7"/>
      <c r="AO390" s="7"/>
      <c r="AP390" s="7"/>
      <c r="AQ390" s="7"/>
      <c r="AR390" s="7"/>
      <c r="AS390" s="7"/>
      <c r="AT390" s="7"/>
      <c r="AU390" s="7"/>
      <c r="AV390" s="7"/>
      <c r="AW390" s="4"/>
      <c r="AX390" s="2"/>
      <c r="AY390" s="7"/>
      <c r="AZ390" s="4"/>
      <c r="BA390" s="4">
        <v>111.6</v>
      </c>
      <c r="BB390" s="2"/>
      <c r="BC390" s="2"/>
      <c r="BD390" s="2">
        <v>28.2</v>
      </c>
      <c r="BE390" s="42">
        <v>995</v>
      </c>
      <c r="BF390" s="43">
        <v>53</v>
      </c>
      <c r="BG390" s="44">
        <v>1.1419999999999999</v>
      </c>
      <c r="BH390" s="42">
        <v>2096</v>
      </c>
      <c r="BI390" s="2"/>
      <c r="BJ390" s="3"/>
      <c r="BK390"/>
      <c r="BL390"/>
      <c r="BM390"/>
      <c r="BR390"/>
    </row>
    <row r="391" spans="1:70" ht="15" customHeight="1" x14ac:dyDescent="0.45">
      <c r="A391" s="2" t="s">
        <v>43</v>
      </c>
      <c r="B391" s="54" t="s">
        <v>210</v>
      </c>
      <c r="C391" s="3">
        <v>45323</v>
      </c>
      <c r="D391" s="8">
        <v>6</v>
      </c>
      <c r="E391" s="2" t="s">
        <v>545</v>
      </c>
      <c r="F391" s="4" t="s">
        <v>557</v>
      </c>
      <c r="G391" s="4" t="s">
        <v>578</v>
      </c>
      <c r="H391" s="4" t="s">
        <v>223</v>
      </c>
      <c r="I391" s="7">
        <v>0.17510000000000001</v>
      </c>
      <c r="J391" s="7">
        <v>0.17510000000000001</v>
      </c>
      <c r="K391" s="50">
        <v>7.4999999999999997E-3</v>
      </c>
      <c r="L391" s="7"/>
      <c r="M391" s="7">
        <v>0.17219999999999999</v>
      </c>
      <c r="N391" s="7">
        <v>-0.43</v>
      </c>
      <c r="O391" s="4"/>
      <c r="P391" s="7">
        <v>1.2544999999999999</v>
      </c>
      <c r="T391" s="7">
        <v>57.9</v>
      </c>
      <c r="U391" s="7">
        <v>437</v>
      </c>
      <c r="V391" s="7">
        <v>755</v>
      </c>
      <c r="W391" s="4"/>
      <c r="X391" s="4"/>
      <c r="Y391" s="4"/>
      <c r="Z391" s="7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  <c r="AN391" s="7"/>
      <c r="AO391" s="7"/>
      <c r="AP391" s="7"/>
      <c r="AQ391" s="7"/>
      <c r="AR391" s="7"/>
      <c r="AS391" s="7"/>
      <c r="AT391" s="7"/>
      <c r="AU391" s="7"/>
      <c r="AV391" s="7"/>
      <c r="AW391" s="4"/>
      <c r="AX391" s="2"/>
      <c r="AY391" s="7"/>
      <c r="AZ391" s="4"/>
      <c r="BA391" s="4">
        <v>111.6</v>
      </c>
      <c r="BB391" s="2"/>
      <c r="BC391" s="2"/>
      <c r="BD391" s="2">
        <v>28.7</v>
      </c>
      <c r="BE391" s="42">
        <v>995</v>
      </c>
      <c r="BF391" s="43">
        <v>49</v>
      </c>
      <c r="BG391" s="44">
        <v>1.1399999999999999</v>
      </c>
      <c r="BH391" s="42">
        <v>2096</v>
      </c>
      <c r="BI391" s="2"/>
      <c r="BJ391" s="3"/>
      <c r="BK391"/>
      <c r="BL391"/>
      <c r="BM391"/>
      <c r="BR391"/>
    </row>
    <row r="392" spans="1:70" ht="15" customHeight="1" x14ac:dyDescent="0.45">
      <c r="A392" s="2" t="s">
        <v>43</v>
      </c>
      <c r="B392" s="54" t="s">
        <v>210</v>
      </c>
      <c r="C392" s="3">
        <v>45323</v>
      </c>
      <c r="D392" s="8">
        <v>7</v>
      </c>
      <c r="E392" s="2" t="s">
        <v>545</v>
      </c>
      <c r="F392" s="4" t="s">
        <v>557</v>
      </c>
      <c r="G392" s="4" t="s">
        <v>578</v>
      </c>
      <c r="H392" s="4" t="s">
        <v>330</v>
      </c>
      <c r="I392" s="7">
        <v>0.17380000000000001</v>
      </c>
      <c r="J392" s="7">
        <v>0.17380000000000001</v>
      </c>
      <c r="K392" s="50">
        <v>6.1999999999999998E-3</v>
      </c>
      <c r="L392" s="7"/>
      <c r="M392" s="7">
        <v>0.16950000000000001</v>
      </c>
      <c r="N392" s="7">
        <v>-0.5</v>
      </c>
      <c r="O392" s="4"/>
      <c r="P392" s="7">
        <v>1.2544999999999999</v>
      </c>
      <c r="T392" s="7">
        <v>58.1</v>
      </c>
      <c r="U392" s="7">
        <v>424</v>
      </c>
      <c r="V392" s="7">
        <v>755.4</v>
      </c>
      <c r="W392" s="4"/>
      <c r="X392" s="4"/>
      <c r="Y392" s="4"/>
      <c r="Z392" s="7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  <c r="AN392" s="7"/>
      <c r="AO392" s="7"/>
      <c r="AP392" s="7"/>
      <c r="AQ392" s="7"/>
      <c r="AR392" s="7"/>
      <c r="AS392" s="7"/>
      <c r="AT392" s="7"/>
      <c r="AU392" s="7"/>
      <c r="AV392" s="7"/>
      <c r="AW392" s="4"/>
      <c r="AX392" s="2"/>
      <c r="AY392" s="7"/>
      <c r="AZ392" s="4"/>
      <c r="BA392" s="4">
        <v>111.6</v>
      </c>
      <c r="BB392" s="2"/>
      <c r="BC392" s="2"/>
      <c r="BD392" s="2">
        <v>28.9</v>
      </c>
      <c r="BE392" s="42">
        <v>995</v>
      </c>
      <c r="BF392" s="43">
        <v>49</v>
      </c>
      <c r="BG392" s="44">
        <v>1.139</v>
      </c>
      <c r="BH392" s="42">
        <v>2096</v>
      </c>
      <c r="BI392" s="2"/>
      <c r="BJ392" s="3"/>
      <c r="BK392"/>
      <c r="BL392"/>
      <c r="BM392"/>
      <c r="BR392"/>
    </row>
    <row r="393" spans="1:70" ht="15" customHeight="1" x14ac:dyDescent="0.45">
      <c r="A393" s="2" t="s">
        <v>43</v>
      </c>
      <c r="B393" s="54" t="s">
        <v>210</v>
      </c>
      <c r="C393" s="3">
        <v>45323</v>
      </c>
      <c r="D393" s="8">
        <v>8</v>
      </c>
      <c r="E393" s="2" t="s">
        <v>545</v>
      </c>
      <c r="F393" s="4" t="s">
        <v>557</v>
      </c>
      <c r="G393" s="4" t="s">
        <v>578</v>
      </c>
      <c r="H393" s="4" t="s">
        <v>223</v>
      </c>
      <c r="I393" s="7">
        <v>0.17780000000000001</v>
      </c>
      <c r="J393" s="7">
        <v>0.17780000000000001</v>
      </c>
      <c r="K393" s="50">
        <v>5.4999999999999997E-3</v>
      </c>
      <c r="L393" s="7"/>
      <c r="M393" s="7">
        <v>0.17180000000000001</v>
      </c>
      <c r="N393" s="7">
        <v>-0.47</v>
      </c>
      <c r="O393" s="4"/>
      <c r="P393" s="7">
        <v>1.2544999999999999</v>
      </c>
      <c r="T393" s="7">
        <v>58.5</v>
      </c>
      <c r="U393" s="7">
        <v>442</v>
      </c>
      <c r="V393" s="7">
        <v>755</v>
      </c>
      <c r="W393" s="4"/>
      <c r="X393" s="4"/>
      <c r="Y393" s="4"/>
      <c r="Z393" s="7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  <c r="AN393" s="7"/>
      <c r="AO393" s="7"/>
      <c r="AP393" s="7"/>
      <c r="AQ393" s="7"/>
      <c r="AR393" s="7"/>
      <c r="AS393" s="7"/>
      <c r="AT393" s="7"/>
      <c r="AU393" s="7"/>
      <c r="AV393" s="7"/>
      <c r="AW393" s="4"/>
      <c r="AX393" s="2"/>
      <c r="AY393" s="7"/>
      <c r="AZ393" s="4"/>
      <c r="BA393" s="4">
        <v>111.6</v>
      </c>
      <c r="BB393" s="2"/>
      <c r="BC393" s="2"/>
      <c r="BD393" s="2">
        <v>28.9</v>
      </c>
      <c r="BE393" s="42">
        <v>995</v>
      </c>
      <c r="BF393" s="43">
        <v>49</v>
      </c>
      <c r="BG393" s="44">
        <v>1.139</v>
      </c>
      <c r="BH393" s="42">
        <v>2096</v>
      </c>
      <c r="BI393" s="2"/>
      <c r="BJ393" s="3"/>
      <c r="BK393"/>
      <c r="BL393"/>
      <c r="BM393"/>
      <c r="BR393"/>
    </row>
    <row r="394" spans="1:70" ht="15" customHeight="1" x14ac:dyDescent="0.45">
      <c r="A394" s="2" t="s">
        <v>13</v>
      </c>
      <c r="B394" s="54" t="s">
        <v>24</v>
      </c>
      <c r="C394" s="3">
        <v>45327</v>
      </c>
      <c r="D394" s="8">
        <v>1</v>
      </c>
      <c r="E394" s="2" t="s">
        <v>213</v>
      </c>
      <c r="F394" s="4" t="s">
        <v>354</v>
      </c>
      <c r="G394" s="4" t="s">
        <v>578</v>
      </c>
      <c r="H394" s="4" t="s">
        <v>223</v>
      </c>
      <c r="I394" s="7">
        <v>0.17580000000000001</v>
      </c>
      <c r="J394" s="7">
        <v>0.17580000000000001</v>
      </c>
      <c r="K394" s="50">
        <v>3.5999999999999999E-3</v>
      </c>
      <c r="L394" s="7"/>
      <c r="M394" s="7">
        <v>0.16689999999999999</v>
      </c>
      <c r="N394" s="7">
        <v>-0.56000000000000005</v>
      </c>
      <c r="O394" s="4"/>
      <c r="P394" s="7">
        <v>1.2130000000000001</v>
      </c>
      <c r="T394" s="7">
        <v>64.400000000000006</v>
      </c>
      <c r="U394" s="7">
        <v>572</v>
      </c>
      <c r="V394" s="7">
        <v>759.1</v>
      </c>
      <c r="W394" s="4"/>
      <c r="X394" s="4"/>
      <c r="Y394" s="4"/>
      <c r="Z394" s="7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  <c r="AN394" s="7"/>
      <c r="AO394" s="7"/>
      <c r="AP394" s="7"/>
      <c r="AQ394" s="7"/>
      <c r="AR394" s="7"/>
      <c r="AS394" s="7"/>
      <c r="AT394" s="7"/>
      <c r="AU394" s="7"/>
      <c r="AV394" s="7"/>
      <c r="AW394" s="4"/>
      <c r="AX394" s="2"/>
      <c r="AY394" s="7"/>
      <c r="AZ394" s="4"/>
      <c r="BA394" s="4">
        <v>117</v>
      </c>
      <c r="BB394" s="2"/>
      <c r="BC394" s="2"/>
      <c r="BD394" s="2">
        <v>24.8</v>
      </c>
      <c r="BE394" s="42">
        <v>1016</v>
      </c>
      <c r="BF394" s="43">
        <v>52</v>
      </c>
      <c r="BG394" s="44">
        <v>1.181</v>
      </c>
      <c r="BH394" s="42">
        <v>2096</v>
      </c>
      <c r="BI394" s="2"/>
      <c r="BJ394" s="3"/>
      <c r="BK394"/>
      <c r="BL394"/>
      <c r="BM394"/>
      <c r="BR394"/>
    </row>
    <row r="395" spans="1:70" ht="15" customHeight="1" x14ac:dyDescent="0.45">
      <c r="A395" s="2" t="s">
        <v>13</v>
      </c>
      <c r="B395" s="54" t="s">
        <v>24</v>
      </c>
      <c r="C395" s="3">
        <v>45327</v>
      </c>
      <c r="D395" s="8">
        <v>2</v>
      </c>
      <c r="E395" s="2" t="s">
        <v>213</v>
      </c>
      <c r="F395" s="4" t="s">
        <v>354</v>
      </c>
      <c r="G395" s="4" t="s">
        <v>578</v>
      </c>
      <c r="H395" s="4" t="s">
        <v>572</v>
      </c>
      <c r="I395" s="7">
        <v>0.17510000000000001</v>
      </c>
      <c r="J395" s="7">
        <v>0.17510000000000001</v>
      </c>
      <c r="K395" s="50">
        <v>3.0000000000000001E-3</v>
      </c>
      <c r="L395" s="7"/>
      <c r="M395" s="7">
        <v>0.16689999999999999</v>
      </c>
      <c r="N395" s="7">
        <v>-0.55000000000000004</v>
      </c>
      <c r="O395" s="4"/>
      <c r="P395" s="7">
        <v>1.2130000000000001</v>
      </c>
      <c r="T395" s="7">
        <v>63.6</v>
      </c>
      <c r="U395" s="7">
        <v>555</v>
      </c>
      <c r="V395" s="7">
        <v>758.6</v>
      </c>
      <c r="W395" s="4"/>
      <c r="X395" s="4"/>
      <c r="Y395" s="4"/>
      <c r="Z395" s="7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  <c r="AL395" s="7"/>
      <c r="AM395" s="7"/>
      <c r="AN395" s="7"/>
      <c r="AO395" s="7"/>
      <c r="AP395" s="7"/>
      <c r="AQ395" s="7"/>
      <c r="AR395" s="7"/>
      <c r="AS395" s="7"/>
      <c r="AT395" s="7"/>
      <c r="AU395" s="7"/>
      <c r="AV395" s="7"/>
      <c r="AW395" s="4"/>
      <c r="AX395" s="2"/>
      <c r="AY395" s="7"/>
      <c r="AZ395" s="4"/>
      <c r="BA395" s="4">
        <v>117</v>
      </c>
      <c r="BB395" s="2"/>
      <c r="BC395" s="2"/>
      <c r="BD395" s="2">
        <v>24.8</v>
      </c>
      <c r="BE395" s="42">
        <v>1016</v>
      </c>
      <c r="BF395" s="43">
        <v>52</v>
      </c>
      <c r="BG395" s="44">
        <v>1.181</v>
      </c>
      <c r="BH395" s="42">
        <v>2096</v>
      </c>
      <c r="BI395" s="2"/>
      <c r="BJ395" s="3"/>
      <c r="BK395"/>
      <c r="BL395"/>
      <c r="BM395"/>
      <c r="BR395"/>
    </row>
    <row r="396" spans="1:70" ht="15" customHeight="1" x14ac:dyDescent="0.45">
      <c r="A396" s="2" t="s">
        <v>13</v>
      </c>
      <c r="B396" s="54" t="s">
        <v>24</v>
      </c>
      <c r="C396" s="3">
        <v>45327</v>
      </c>
      <c r="D396" s="8">
        <v>3</v>
      </c>
      <c r="E396" s="2" t="s">
        <v>213</v>
      </c>
      <c r="F396" s="39" t="s">
        <v>566</v>
      </c>
      <c r="G396" s="4" t="s">
        <v>578</v>
      </c>
      <c r="H396" s="4" t="s">
        <v>223</v>
      </c>
      <c r="I396" s="7">
        <v>0.17499999999999999</v>
      </c>
      <c r="J396" s="7">
        <v>0.17499999999999999</v>
      </c>
      <c r="K396" s="50">
        <v>5.9999999999999995E-4</v>
      </c>
      <c r="L396" s="7"/>
      <c r="M396" s="7">
        <v>0.1671</v>
      </c>
      <c r="N396" s="7">
        <v>-0.56999999999999995</v>
      </c>
      <c r="O396" s="4"/>
      <c r="P396" s="7">
        <v>1.2130000000000001</v>
      </c>
      <c r="T396" s="7">
        <v>64.3</v>
      </c>
      <c r="U396" s="7">
        <v>579</v>
      </c>
      <c r="V396" s="7">
        <v>759.2</v>
      </c>
      <c r="W396" s="4"/>
      <c r="X396" s="4"/>
      <c r="Y396" s="4"/>
      <c r="Z396" s="7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  <c r="AN396" s="7"/>
      <c r="AO396" s="7"/>
      <c r="AP396" s="7"/>
      <c r="AQ396" s="7"/>
      <c r="AR396" s="7"/>
      <c r="AS396" s="7"/>
      <c r="AT396" s="7"/>
      <c r="AU396" s="7"/>
      <c r="AV396" s="7"/>
      <c r="AW396" s="4"/>
      <c r="AX396" s="2"/>
      <c r="AY396" s="7"/>
      <c r="AZ396" s="4"/>
      <c r="BA396" s="4">
        <v>117</v>
      </c>
      <c r="BB396" s="2"/>
      <c r="BC396" s="2"/>
      <c r="BD396" s="2">
        <v>25.2</v>
      </c>
      <c r="BE396" s="42">
        <v>1016</v>
      </c>
      <c r="BF396" s="43">
        <v>51</v>
      </c>
      <c r="BG396" s="44">
        <v>1.179</v>
      </c>
      <c r="BH396" s="42">
        <v>2096</v>
      </c>
      <c r="BI396" s="2"/>
      <c r="BJ396" s="3"/>
      <c r="BK396"/>
      <c r="BL396"/>
      <c r="BM396"/>
      <c r="BR396"/>
    </row>
    <row r="397" spans="1:70" ht="15" customHeight="1" x14ac:dyDescent="0.45">
      <c r="A397" s="2" t="s">
        <v>13</v>
      </c>
      <c r="B397" s="54" t="s">
        <v>24</v>
      </c>
      <c r="C397" s="3">
        <v>45327</v>
      </c>
      <c r="D397" s="8">
        <v>4</v>
      </c>
      <c r="E397" s="2" t="s">
        <v>213</v>
      </c>
      <c r="F397" s="4" t="s">
        <v>354</v>
      </c>
      <c r="G397" s="4" t="s">
        <v>578</v>
      </c>
      <c r="H397" s="4" t="s">
        <v>223</v>
      </c>
      <c r="I397" s="7">
        <v>0.17430000000000001</v>
      </c>
      <c r="J397" s="7">
        <v>0.17430000000000001</v>
      </c>
      <c r="K397" s="50">
        <v>2.8E-3</v>
      </c>
      <c r="L397" s="7"/>
      <c r="M397" s="7">
        <v>0.16830000000000001</v>
      </c>
      <c r="N397" s="7">
        <v>-0.51</v>
      </c>
      <c r="O397" s="4"/>
      <c r="P397" s="7">
        <v>1.2130000000000001</v>
      </c>
      <c r="T397" s="7">
        <v>63.9</v>
      </c>
      <c r="U397" s="7">
        <v>576</v>
      </c>
      <c r="V397" s="7">
        <v>757.9</v>
      </c>
      <c r="W397" s="4"/>
      <c r="X397" s="4"/>
      <c r="Y397" s="4"/>
      <c r="Z397" s="7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7"/>
      <c r="AN397" s="7"/>
      <c r="AO397" s="7"/>
      <c r="AP397" s="7"/>
      <c r="AQ397" s="7"/>
      <c r="AR397" s="7"/>
      <c r="AS397" s="7"/>
      <c r="AT397" s="7"/>
      <c r="AU397" s="7"/>
      <c r="AV397" s="7"/>
      <c r="AW397" s="4"/>
      <c r="AX397" s="2"/>
      <c r="AY397" s="7"/>
      <c r="AZ397" s="4"/>
      <c r="BA397" s="4">
        <v>117</v>
      </c>
      <c r="BB397" s="2"/>
      <c r="BC397" s="2"/>
      <c r="BD397" s="2">
        <v>25.6</v>
      </c>
      <c r="BE397" s="42">
        <v>1016</v>
      </c>
      <c r="BF397" s="43">
        <v>51</v>
      </c>
      <c r="BG397" s="44">
        <v>1.177</v>
      </c>
      <c r="BH397" s="42">
        <v>2096</v>
      </c>
      <c r="BI397" s="2"/>
      <c r="BJ397" s="3"/>
      <c r="BK397"/>
      <c r="BL397"/>
      <c r="BM397"/>
      <c r="BR397"/>
    </row>
    <row r="398" spans="1:70" ht="15" customHeight="1" x14ac:dyDescent="0.45">
      <c r="A398" s="2" t="s">
        <v>13</v>
      </c>
      <c r="B398" s="54" t="s">
        <v>24</v>
      </c>
      <c r="C398" s="3">
        <v>45327</v>
      </c>
      <c r="D398" s="8">
        <v>5</v>
      </c>
      <c r="E398" s="2" t="s">
        <v>213</v>
      </c>
      <c r="F398" s="4" t="s">
        <v>354</v>
      </c>
      <c r="G398" s="4" t="s">
        <v>578</v>
      </c>
      <c r="H398" s="4" t="s">
        <v>572</v>
      </c>
      <c r="I398" s="7">
        <v>0.17460000000000001</v>
      </c>
      <c r="J398" s="7">
        <v>0.17460000000000001</v>
      </c>
      <c r="K398" s="50">
        <v>2E-3</v>
      </c>
      <c r="L398" s="7"/>
      <c r="M398" s="7">
        <v>0.1701</v>
      </c>
      <c r="N398" s="7">
        <v>-0.51</v>
      </c>
      <c r="O398" s="4"/>
      <c r="P398" s="7">
        <v>1.2130000000000001</v>
      </c>
      <c r="T398" s="7">
        <v>64.5</v>
      </c>
      <c r="U398" s="7">
        <v>579</v>
      </c>
      <c r="V398" s="7">
        <v>758.7</v>
      </c>
      <c r="W398" s="4"/>
      <c r="X398" s="4"/>
      <c r="Y398" s="4"/>
      <c r="Z398" s="7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  <c r="AN398" s="7"/>
      <c r="AO398" s="7"/>
      <c r="AP398" s="7"/>
      <c r="AQ398" s="7"/>
      <c r="AR398" s="7"/>
      <c r="AS398" s="7"/>
      <c r="AT398" s="7"/>
      <c r="AU398" s="7"/>
      <c r="AV398" s="7"/>
      <c r="AW398" s="4"/>
      <c r="AX398" s="2"/>
      <c r="AY398" s="7"/>
      <c r="AZ398" s="4"/>
      <c r="BA398" s="4">
        <v>117</v>
      </c>
      <c r="BB398" s="2"/>
      <c r="BC398" s="2"/>
      <c r="BD398" s="2">
        <v>26</v>
      </c>
      <c r="BE398" s="42">
        <v>1016</v>
      </c>
      <c r="BF398" s="43">
        <v>51</v>
      </c>
      <c r="BG398" s="44">
        <v>1.175</v>
      </c>
      <c r="BH398" s="42">
        <v>2096</v>
      </c>
      <c r="BI398" s="2"/>
      <c r="BJ398" s="3"/>
      <c r="BK398"/>
      <c r="BL398"/>
      <c r="BM398"/>
      <c r="BR398"/>
    </row>
    <row r="399" spans="1:70" ht="15" customHeight="1" x14ac:dyDescent="0.45">
      <c r="A399" s="2" t="s">
        <v>13</v>
      </c>
      <c r="B399" s="54" t="s">
        <v>24</v>
      </c>
      <c r="C399" s="3">
        <v>45327</v>
      </c>
      <c r="D399" s="8">
        <v>6</v>
      </c>
      <c r="E399" s="2" t="s">
        <v>213</v>
      </c>
      <c r="F399" s="39" t="s">
        <v>566</v>
      </c>
      <c r="G399" s="4" t="s">
        <v>578</v>
      </c>
      <c r="H399" s="4" t="s">
        <v>223</v>
      </c>
      <c r="I399" s="7">
        <v>0.17419999999999999</v>
      </c>
      <c r="J399" s="7">
        <v>0.17419999999999999</v>
      </c>
      <c r="K399" s="50">
        <v>2.3999999999999998E-3</v>
      </c>
      <c r="L399" s="7"/>
      <c r="M399" s="7">
        <v>0.16719999999999999</v>
      </c>
      <c r="N399" s="7">
        <v>-0.54</v>
      </c>
      <c r="O399" s="4"/>
      <c r="P399" s="7">
        <v>1.2130000000000001</v>
      </c>
      <c r="T399" s="7">
        <v>63.9</v>
      </c>
      <c r="U399" s="7">
        <v>584</v>
      </c>
      <c r="V399" s="7">
        <v>758.5</v>
      </c>
      <c r="W399" s="4"/>
      <c r="X399" s="4"/>
      <c r="Y399" s="4"/>
      <c r="Z399" s="7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7"/>
      <c r="AN399" s="7"/>
      <c r="AO399" s="7"/>
      <c r="AP399" s="7"/>
      <c r="AQ399" s="7"/>
      <c r="AR399" s="7"/>
      <c r="AS399" s="7"/>
      <c r="AT399" s="7"/>
      <c r="AU399" s="7"/>
      <c r="AV399" s="7"/>
      <c r="AW399" s="4"/>
      <c r="AX399" s="2"/>
      <c r="AY399" s="7"/>
      <c r="AZ399" s="4"/>
      <c r="BA399" s="4">
        <v>117</v>
      </c>
      <c r="BB399" s="2"/>
      <c r="BC399" s="2"/>
      <c r="BD399" s="2">
        <v>26.2</v>
      </c>
      <c r="BE399" s="42">
        <v>1016</v>
      </c>
      <c r="BF399" s="43">
        <v>51</v>
      </c>
      <c r="BG399" s="44">
        <v>1.175</v>
      </c>
      <c r="BH399" s="42">
        <v>2096</v>
      </c>
      <c r="BI399" s="2"/>
      <c r="BJ399" s="3"/>
      <c r="BK399"/>
      <c r="BL399"/>
      <c r="BM399"/>
      <c r="BR399"/>
    </row>
    <row r="400" spans="1:70" ht="15" customHeight="1" x14ac:dyDescent="0.45">
      <c r="A400" s="2" t="s">
        <v>43</v>
      </c>
      <c r="B400" s="54" t="s">
        <v>99</v>
      </c>
      <c r="C400" s="3">
        <v>45330</v>
      </c>
      <c r="D400" s="8">
        <v>1</v>
      </c>
      <c r="E400" s="2" t="s">
        <v>353</v>
      </c>
      <c r="F400" s="4" t="s">
        <v>15</v>
      </c>
      <c r="G400" s="4" t="s">
        <v>15</v>
      </c>
      <c r="H400" s="4" t="s">
        <v>330</v>
      </c>
      <c r="I400" s="7">
        <v>0.1754</v>
      </c>
      <c r="J400" s="7">
        <v>0.1754</v>
      </c>
      <c r="K400" s="50">
        <v>6.7000000000000002E-3</v>
      </c>
      <c r="L400" s="7">
        <v>0.16700000000000001</v>
      </c>
      <c r="M400" s="7">
        <v>0.1704</v>
      </c>
      <c r="N400" s="7">
        <v>-0.46</v>
      </c>
      <c r="O400" s="4"/>
      <c r="P400" s="7">
        <v>1.2090000000000001</v>
      </c>
      <c r="T400" s="7">
        <v>60.9</v>
      </c>
      <c r="U400" s="7">
        <v>513</v>
      </c>
      <c r="V400" s="7">
        <v>756.7</v>
      </c>
      <c r="W400" s="4"/>
      <c r="X400" s="4"/>
      <c r="Y400" s="4"/>
      <c r="Z400" s="7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  <c r="AN400" s="7"/>
      <c r="AO400" s="7"/>
      <c r="AP400" s="7"/>
      <c r="AQ400" s="7"/>
      <c r="AR400" s="7"/>
      <c r="AS400" s="7"/>
      <c r="AT400" s="7"/>
      <c r="AU400" s="7"/>
      <c r="AV400" s="7"/>
      <c r="AW400" s="4"/>
      <c r="AX400" s="2"/>
      <c r="AY400" s="7"/>
      <c r="AZ400" s="4"/>
      <c r="BA400" s="4">
        <v>113.4</v>
      </c>
      <c r="BB400" s="2"/>
      <c r="BC400" s="2"/>
      <c r="BD400" s="10">
        <v>24</v>
      </c>
      <c r="BE400" s="42">
        <v>1012.8</v>
      </c>
      <c r="BF400" s="43">
        <v>51.7</v>
      </c>
      <c r="BG400" s="44"/>
      <c r="BH400" s="42">
        <v>2096</v>
      </c>
      <c r="BI400" s="2"/>
      <c r="BJ400" s="3" t="s">
        <v>528</v>
      </c>
      <c r="BK400"/>
      <c r="BL400"/>
      <c r="BM400"/>
      <c r="BR400"/>
    </row>
    <row r="401" spans="1:70" ht="15" customHeight="1" x14ac:dyDescent="0.45">
      <c r="A401" s="2" t="s">
        <v>43</v>
      </c>
      <c r="B401" s="54" t="s">
        <v>99</v>
      </c>
      <c r="C401" s="3">
        <v>45330</v>
      </c>
      <c r="D401" s="8">
        <v>2</v>
      </c>
      <c r="E401" s="2" t="s">
        <v>553</v>
      </c>
      <c r="F401" s="4" t="s">
        <v>558</v>
      </c>
      <c r="G401" s="4" t="s">
        <v>578</v>
      </c>
      <c r="H401" s="4" t="s">
        <v>330</v>
      </c>
      <c r="I401" s="7">
        <v>0.17213000000000001</v>
      </c>
      <c r="J401" s="7">
        <v>0.17213000000000001</v>
      </c>
      <c r="K401" s="50">
        <v>2E-3</v>
      </c>
      <c r="L401" s="7">
        <v>0.16400000000000001</v>
      </c>
      <c r="M401" s="7">
        <v>0.1668</v>
      </c>
      <c r="N401" s="7">
        <v>-0.57999999999999996</v>
      </c>
      <c r="O401" s="4"/>
      <c r="P401" s="7">
        <v>1.2090000000000001</v>
      </c>
      <c r="T401" s="7">
        <v>61.5</v>
      </c>
      <c r="U401" s="7">
        <v>506</v>
      </c>
      <c r="V401" s="7">
        <v>757.8</v>
      </c>
      <c r="W401" s="4"/>
      <c r="X401" s="4"/>
      <c r="Y401" s="4"/>
      <c r="Z401" s="7"/>
      <c r="AA401" s="7"/>
      <c r="AB401" s="7"/>
      <c r="AC401" s="7"/>
      <c r="AD401" s="7"/>
      <c r="AE401" s="7"/>
      <c r="AF401" s="7"/>
      <c r="AG401" s="7"/>
      <c r="AH401" s="7"/>
      <c r="AI401" s="7"/>
      <c r="AJ401" s="7"/>
      <c r="AK401" s="7"/>
      <c r="AL401" s="7"/>
      <c r="AM401" s="7"/>
      <c r="AN401" s="7"/>
      <c r="AO401" s="7"/>
      <c r="AP401" s="7"/>
      <c r="AQ401" s="7"/>
      <c r="AR401" s="7"/>
      <c r="AS401" s="7"/>
      <c r="AT401" s="7"/>
      <c r="AU401" s="7"/>
      <c r="AV401" s="7"/>
      <c r="AW401" s="4"/>
      <c r="AX401" s="2"/>
      <c r="AY401" s="7"/>
      <c r="AZ401" s="4"/>
      <c r="BA401" s="4">
        <v>113.4</v>
      </c>
      <c r="BB401" s="2"/>
      <c r="BC401" s="2"/>
      <c r="BD401" s="10">
        <v>24</v>
      </c>
      <c r="BE401" s="42">
        <v>1012.8</v>
      </c>
      <c r="BF401" s="43">
        <v>51.7</v>
      </c>
      <c r="BG401" s="44"/>
      <c r="BH401" s="42">
        <v>2096</v>
      </c>
      <c r="BI401" s="2"/>
      <c r="BJ401" s="3" t="s">
        <v>527</v>
      </c>
      <c r="BK401"/>
      <c r="BL401"/>
      <c r="BM401"/>
      <c r="BR401"/>
    </row>
    <row r="402" spans="1:70" ht="15" customHeight="1" x14ac:dyDescent="0.45">
      <c r="A402" s="2" t="s">
        <v>43</v>
      </c>
      <c r="B402" s="54" t="s">
        <v>99</v>
      </c>
      <c r="C402" s="3">
        <v>45330</v>
      </c>
      <c r="D402" s="8">
        <v>3</v>
      </c>
      <c r="E402" s="2" t="s">
        <v>553</v>
      </c>
      <c r="F402" s="4" t="s">
        <v>558</v>
      </c>
      <c r="G402" s="4" t="s">
        <v>578</v>
      </c>
      <c r="H402" s="4" t="s">
        <v>330</v>
      </c>
      <c r="I402" s="7">
        <v>0.1739</v>
      </c>
      <c r="J402" s="7">
        <v>0.1739</v>
      </c>
      <c r="K402" s="50">
        <v>4.1000000000000003E-3</v>
      </c>
      <c r="L402" s="7">
        <v>0.16500000000000001</v>
      </c>
      <c r="M402" s="7">
        <v>0.16550000000000001</v>
      </c>
      <c r="N402" s="7">
        <v>-0.55000000000000004</v>
      </c>
      <c r="O402" s="4"/>
      <c r="P402" s="7">
        <v>1.2090000000000001</v>
      </c>
      <c r="T402" s="7">
        <v>61.1</v>
      </c>
      <c r="U402" s="7">
        <v>505</v>
      </c>
      <c r="V402" s="7">
        <v>757.4</v>
      </c>
      <c r="W402" s="4"/>
      <c r="X402" s="4"/>
      <c r="Y402" s="4"/>
      <c r="Z402" s="7"/>
      <c r="AA402" s="7"/>
      <c r="AB402" s="7"/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  <c r="AN402" s="7"/>
      <c r="AO402" s="7"/>
      <c r="AP402" s="7"/>
      <c r="AQ402" s="7"/>
      <c r="AR402" s="7"/>
      <c r="AS402" s="7"/>
      <c r="AT402" s="7"/>
      <c r="AU402" s="7"/>
      <c r="AV402" s="7"/>
      <c r="AW402" s="4"/>
      <c r="AX402" s="2"/>
      <c r="AY402" s="7"/>
      <c r="AZ402" s="4"/>
      <c r="BA402" s="4">
        <v>113.4</v>
      </c>
      <c r="BB402" s="2"/>
      <c r="BC402" s="2"/>
      <c r="BD402" s="10">
        <v>24</v>
      </c>
      <c r="BE402" s="42">
        <v>1012.3</v>
      </c>
      <c r="BF402" s="43">
        <v>50.9</v>
      </c>
      <c r="BG402" s="44"/>
      <c r="BH402" s="42">
        <v>2096</v>
      </c>
      <c r="BI402" s="2" t="s">
        <v>500</v>
      </c>
      <c r="BJ402" s="3" t="s">
        <v>526</v>
      </c>
      <c r="BK402"/>
      <c r="BL402"/>
      <c r="BM402"/>
      <c r="BR402"/>
    </row>
    <row r="403" spans="1:70" ht="15" customHeight="1" x14ac:dyDescent="0.45">
      <c r="A403" s="2" t="s">
        <v>43</v>
      </c>
      <c r="B403" s="54" t="s">
        <v>99</v>
      </c>
      <c r="C403" s="3">
        <v>45330</v>
      </c>
      <c r="D403" s="8">
        <v>4</v>
      </c>
      <c r="E403" s="2" t="s">
        <v>353</v>
      </c>
      <c r="F403" s="4" t="s">
        <v>15</v>
      </c>
      <c r="G403" s="4" t="s">
        <v>15</v>
      </c>
      <c r="H403" s="4" t="s">
        <v>330</v>
      </c>
      <c r="I403" s="7">
        <v>0.18110000000000001</v>
      </c>
      <c r="J403" s="7">
        <v>0.18110000000000001</v>
      </c>
      <c r="K403" s="50">
        <v>4.3E-3</v>
      </c>
      <c r="L403" s="7">
        <v>0.17299999999999999</v>
      </c>
      <c r="M403" s="7">
        <v>0.1736</v>
      </c>
      <c r="N403" s="7">
        <v>-0.56000000000000005</v>
      </c>
      <c r="O403" s="4"/>
      <c r="P403" s="7">
        <v>1.2090000000000001</v>
      </c>
      <c r="T403" s="7">
        <v>61.4</v>
      </c>
      <c r="U403" s="7">
        <v>519</v>
      </c>
      <c r="V403" s="7">
        <v>756.5</v>
      </c>
      <c r="W403" s="4"/>
      <c r="X403" s="4"/>
      <c r="Y403" s="4"/>
      <c r="Z403" s="7"/>
      <c r="AA403" s="7"/>
      <c r="AB403" s="7"/>
      <c r="AC403" s="7"/>
      <c r="AD403" s="7"/>
      <c r="AE403" s="7"/>
      <c r="AF403" s="7"/>
      <c r="AG403" s="7"/>
      <c r="AH403" s="7"/>
      <c r="AI403" s="7"/>
      <c r="AJ403" s="7"/>
      <c r="AK403" s="7"/>
      <c r="AL403" s="7"/>
      <c r="AM403" s="7"/>
      <c r="AN403" s="7"/>
      <c r="AO403" s="7"/>
      <c r="AP403" s="7"/>
      <c r="AQ403" s="7"/>
      <c r="AR403" s="7"/>
      <c r="AS403" s="7"/>
      <c r="AT403" s="7"/>
      <c r="AU403" s="7"/>
      <c r="AV403" s="7"/>
      <c r="AW403" s="4"/>
      <c r="AX403" s="2"/>
      <c r="AY403" s="7"/>
      <c r="AZ403" s="4"/>
      <c r="BA403" s="4">
        <v>113.4</v>
      </c>
      <c r="BB403" s="2"/>
      <c r="BC403" s="2"/>
      <c r="BD403" s="10">
        <v>24.1</v>
      </c>
      <c r="BE403" s="42">
        <v>1012</v>
      </c>
      <c r="BF403" s="43">
        <v>50.2</v>
      </c>
      <c r="BG403" s="44"/>
      <c r="BH403" s="42">
        <v>2096</v>
      </c>
      <c r="BI403" s="2" t="s">
        <v>501</v>
      </c>
      <c r="BJ403" s="3" t="s">
        <v>540</v>
      </c>
      <c r="BK403"/>
      <c r="BL403"/>
      <c r="BM403"/>
      <c r="BR403"/>
    </row>
    <row r="404" spans="1:70" ht="15" customHeight="1" x14ac:dyDescent="0.45">
      <c r="A404" s="2" t="s">
        <v>43</v>
      </c>
      <c r="B404" s="54" t="s">
        <v>99</v>
      </c>
      <c r="C404" s="3">
        <v>45330</v>
      </c>
      <c r="D404" s="8">
        <v>5</v>
      </c>
      <c r="E404" s="2" t="s">
        <v>553</v>
      </c>
      <c r="F404" s="4" t="s">
        <v>558</v>
      </c>
      <c r="G404" s="4" t="s">
        <v>578</v>
      </c>
      <c r="H404" s="4" t="s">
        <v>330</v>
      </c>
      <c r="I404" s="7">
        <v>0.17380000000000001</v>
      </c>
      <c r="J404" s="7">
        <v>0.17380000000000001</v>
      </c>
      <c r="K404" s="50">
        <v>3.8999999999999998E-3</v>
      </c>
      <c r="L404" s="7">
        <v>0.16300000000000001</v>
      </c>
      <c r="M404" s="7">
        <v>0.1663</v>
      </c>
      <c r="N404" s="7">
        <v>-0.77</v>
      </c>
      <c r="O404" s="4"/>
      <c r="P404" s="7">
        <v>1.2090000000000001</v>
      </c>
      <c r="T404" s="7">
        <v>62.3</v>
      </c>
      <c r="U404" s="7">
        <v>508</v>
      </c>
      <c r="V404" s="7">
        <v>757.3</v>
      </c>
      <c r="W404" s="4"/>
      <c r="X404" s="4"/>
      <c r="Y404" s="4"/>
      <c r="Z404" s="7"/>
      <c r="AA404" s="7"/>
      <c r="AB404" s="7"/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  <c r="AN404" s="7"/>
      <c r="AO404" s="7"/>
      <c r="AP404" s="7"/>
      <c r="AQ404" s="7"/>
      <c r="AR404" s="7"/>
      <c r="AS404" s="7"/>
      <c r="AT404" s="7"/>
      <c r="AU404" s="7"/>
      <c r="AV404" s="7"/>
      <c r="AW404" s="4"/>
      <c r="AX404" s="2"/>
      <c r="AY404" s="7"/>
      <c r="AZ404" s="4"/>
      <c r="BA404" s="4">
        <v>113.4</v>
      </c>
      <c r="BB404" s="2"/>
      <c r="BC404" s="2"/>
      <c r="BD404" s="10">
        <v>27.2</v>
      </c>
      <c r="BE404" s="42">
        <v>1011.3</v>
      </c>
      <c r="BF404" s="43">
        <v>58.9</v>
      </c>
      <c r="BG404" s="44"/>
      <c r="BH404" s="42">
        <v>2096</v>
      </c>
      <c r="BI404" s="2"/>
      <c r="BJ404" s="3" t="s">
        <v>539</v>
      </c>
      <c r="BK404"/>
      <c r="BL404"/>
      <c r="BM404"/>
      <c r="BR404"/>
    </row>
    <row r="405" spans="1:70" ht="15" customHeight="1" x14ac:dyDescent="0.45">
      <c r="A405" s="2" t="s">
        <v>13</v>
      </c>
      <c r="B405" s="54" t="s">
        <v>26</v>
      </c>
      <c r="C405" s="3">
        <v>45330</v>
      </c>
      <c r="D405" s="8">
        <v>1</v>
      </c>
      <c r="E405" s="2" t="s">
        <v>353</v>
      </c>
      <c r="F405" s="4" t="s">
        <v>15</v>
      </c>
      <c r="G405" s="4" t="s">
        <v>577</v>
      </c>
      <c r="H405" s="4" t="s">
        <v>223</v>
      </c>
      <c r="I405" s="7">
        <v>0.1731</v>
      </c>
      <c r="J405" s="7">
        <v>0.1731</v>
      </c>
      <c r="K405" s="50">
        <v>2.3E-3</v>
      </c>
      <c r="L405" s="7">
        <v>0.17399999999999999</v>
      </c>
      <c r="M405" s="7">
        <v>0.1734</v>
      </c>
      <c r="N405" s="7">
        <v>-0.39</v>
      </c>
      <c r="O405" s="4"/>
      <c r="P405" s="7">
        <v>1.2255</v>
      </c>
      <c r="T405" s="7">
        <v>64</v>
      </c>
      <c r="U405" s="7">
        <v>609</v>
      </c>
      <c r="V405" s="7">
        <v>758.4</v>
      </c>
      <c r="W405" s="4"/>
      <c r="X405" s="4"/>
      <c r="Y405" s="4"/>
      <c r="Z405" s="7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7"/>
      <c r="AN405" s="7"/>
      <c r="AO405" s="7"/>
      <c r="AP405" s="7"/>
      <c r="AQ405" s="7"/>
      <c r="AR405" s="7"/>
      <c r="AS405" s="7"/>
      <c r="AT405" s="7"/>
      <c r="AU405" s="7"/>
      <c r="AV405" s="7"/>
      <c r="AW405" s="4"/>
      <c r="AX405" s="2"/>
      <c r="AY405" s="7"/>
      <c r="AZ405" s="4"/>
      <c r="BA405" s="4">
        <v>113.4</v>
      </c>
      <c r="BB405" s="2"/>
      <c r="BC405" s="2"/>
      <c r="BD405" s="10">
        <v>24</v>
      </c>
      <c r="BE405" s="42">
        <v>1012.8</v>
      </c>
      <c r="BF405" s="43">
        <v>51.7</v>
      </c>
      <c r="BG405" s="44"/>
      <c r="BH405" s="42">
        <v>2096</v>
      </c>
      <c r="BI405" s="2" t="s">
        <v>502</v>
      </c>
      <c r="BJ405" s="3" t="s">
        <v>533</v>
      </c>
      <c r="BK405"/>
      <c r="BL405"/>
      <c r="BM405"/>
      <c r="BR405"/>
    </row>
    <row r="406" spans="1:70" ht="15" customHeight="1" x14ac:dyDescent="0.45">
      <c r="A406" s="2" t="s">
        <v>13</v>
      </c>
      <c r="B406" s="54" t="s">
        <v>26</v>
      </c>
      <c r="C406" s="3">
        <v>45330</v>
      </c>
      <c r="D406" s="8">
        <v>2</v>
      </c>
      <c r="E406" s="2" t="s">
        <v>213</v>
      </c>
      <c r="F406" s="4" t="s">
        <v>354</v>
      </c>
      <c r="G406" s="4" t="s">
        <v>578</v>
      </c>
      <c r="H406" s="4" t="s">
        <v>223</v>
      </c>
      <c r="I406" s="7">
        <v>0.16600000000000001</v>
      </c>
      <c r="J406" s="7">
        <v>0.16339999999999999</v>
      </c>
      <c r="K406" s="50">
        <v>4.0000000000000001E-3</v>
      </c>
      <c r="L406" s="7"/>
      <c r="M406" s="7">
        <v>0.1671</v>
      </c>
      <c r="N406" s="7">
        <v>-0.49</v>
      </c>
      <c r="O406" s="4"/>
      <c r="P406" s="7">
        <v>1.2255</v>
      </c>
      <c r="T406" s="7">
        <v>65.099999999999994</v>
      </c>
      <c r="U406" s="7">
        <v>629</v>
      </c>
      <c r="V406" s="7">
        <v>759.4</v>
      </c>
      <c r="W406" s="4"/>
      <c r="X406" s="4"/>
      <c r="Y406" s="4"/>
      <c r="Z406" s="7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  <c r="AN406" s="7"/>
      <c r="AO406" s="7"/>
      <c r="AP406" s="7"/>
      <c r="AQ406" s="7"/>
      <c r="AR406" s="7"/>
      <c r="AS406" s="7"/>
      <c r="AT406" s="7"/>
      <c r="AU406" s="7"/>
      <c r="AV406" s="7"/>
      <c r="AW406" s="4"/>
      <c r="AX406" s="2"/>
      <c r="AY406" s="7"/>
      <c r="AZ406" s="4"/>
      <c r="BA406" s="4">
        <v>113.4</v>
      </c>
      <c r="BB406" s="2"/>
      <c r="BC406" s="2"/>
      <c r="BD406" s="10">
        <v>24</v>
      </c>
      <c r="BE406" s="42">
        <v>1012.8</v>
      </c>
      <c r="BF406" s="43">
        <v>51.7</v>
      </c>
      <c r="BG406" s="44"/>
      <c r="BH406" s="42">
        <v>2096</v>
      </c>
      <c r="BI406" s="2"/>
      <c r="BJ406" s="3" t="s">
        <v>532</v>
      </c>
      <c r="BK406"/>
      <c r="BL406"/>
      <c r="BM406"/>
      <c r="BR406"/>
    </row>
    <row r="407" spans="1:70" ht="15" customHeight="1" x14ac:dyDescent="0.45">
      <c r="A407" s="2" t="s">
        <v>13</v>
      </c>
      <c r="B407" s="54" t="s">
        <v>26</v>
      </c>
      <c r="C407" s="3">
        <v>45330</v>
      </c>
      <c r="D407" s="8">
        <v>3</v>
      </c>
      <c r="E407" s="2" t="s">
        <v>214</v>
      </c>
      <c r="F407" s="4" t="s">
        <v>354</v>
      </c>
      <c r="G407" s="4" t="s">
        <v>578</v>
      </c>
      <c r="H407" s="4" t="s">
        <v>223</v>
      </c>
      <c r="I407" s="7">
        <v>0.1686</v>
      </c>
      <c r="J407" s="7">
        <v>0.1633</v>
      </c>
      <c r="K407" s="50">
        <v>4.0000000000000001E-3</v>
      </c>
      <c r="L407" s="7">
        <v>0.17100000000000001</v>
      </c>
      <c r="M407" s="7">
        <v>0.16650000000000001</v>
      </c>
      <c r="N407" s="7">
        <v>-0.54</v>
      </c>
      <c r="O407" s="4"/>
      <c r="P407" s="7">
        <v>1.2255</v>
      </c>
      <c r="T407" s="7">
        <v>65.3</v>
      </c>
      <c r="U407" s="7">
        <v>621</v>
      </c>
      <c r="V407" s="7">
        <v>758.2</v>
      </c>
      <c r="W407" s="4"/>
      <c r="X407" s="4"/>
      <c r="Y407" s="4"/>
      <c r="Z407" s="7"/>
      <c r="AA407" s="7"/>
      <c r="AB407" s="7"/>
      <c r="AC407" s="7"/>
      <c r="AD407" s="7"/>
      <c r="AE407" s="7"/>
      <c r="AF407" s="7"/>
      <c r="AG407" s="7"/>
      <c r="AH407" s="7"/>
      <c r="AI407" s="7"/>
      <c r="AJ407" s="7"/>
      <c r="AK407" s="7"/>
      <c r="AL407" s="7"/>
      <c r="AM407" s="7"/>
      <c r="AN407" s="7"/>
      <c r="AO407" s="7"/>
      <c r="AP407" s="7"/>
      <c r="AQ407" s="7"/>
      <c r="AR407" s="7"/>
      <c r="AS407" s="7"/>
      <c r="AT407" s="7"/>
      <c r="AU407" s="7"/>
      <c r="AV407" s="7"/>
      <c r="AW407" s="4"/>
      <c r="AX407" s="2"/>
      <c r="AY407" s="7"/>
      <c r="AZ407" s="4"/>
      <c r="BA407" s="4">
        <v>113.4</v>
      </c>
      <c r="BB407" s="2"/>
      <c r="BC407" s="2"/>
      <c r="BD407" s="10">
        <v>24</v>
      </c>
      <c r="BE407" s="42">
        <v>1012.3</v>
      </c>
      <c r="BF407" s="43">
        <v>50.9</v>
      </c>
      <c r="BG407" s="44"/>
      <c r="BH407" s="42">
        <v>2096</v>
      </c>
      <c r="BI407" s="2" t="s">
        <v>503</v>
      </c>
      <c r="BJ407" s="3" t="s">
        <v>531</v>
      </c>
      <c r="BK407"/>
      <c r="BL407"/>
      <c r="BM407"/>
      <c r="BR407"/>
    </row>
    <row r="408" spans="1:70" ht="15" customHeight="1" x14ac:dyDescent="0.45">
      <c r="A408" s="2" t="s">
        <v>13</v>
      </c>
      <c r="B408" s="54" t="s">
        <v>26</v>
      </c>
      <c r="C408" s="3">
        <v>45330</v>
      </c>
      <c r="D408" s="8">
        <v>4</v>
      </c>
      <c r="E408" s="2" t="s">
        <v>353</v>
      </c>
      <c r="F408" s="4" t="s">
        <v>15</v>
      </c>
      <c r="G408" s="4" t="s">
        <v>577</v>
      </c>
      <c r="H408" s="4" t="s">
        <v>223</v>
      </c>
      <c r="I408" s="7">
        <v>0.17469999999999999</v>
      </c>
      <c r="J408" s="7">
        <v>0.17469999999999999</v>
      </c>
      <c r="K408" s="50">
        <v>4.1999999999999997E-3</v>
      </c>
      <c r="L408" s="7">
        <v>0.17599999999999999</v>
      </c>
      <c r="M408" s="7">
        <v>0.17519999999999999</v>
      </c>
      <c r="N408" s="7">
        <v>-0.37</v>
      </c>
      <c r="O408" s="4"/>
      <c r="P408" s="7">
        <v>1.2255</v>
      </c>
      <c r="T408" s="7">
        <v>64.8</v>
      </c>
      <c r="U408" s="7">
        <v>634</v>
      </c>
      <c r="V408" s="7">
        <v>757.8</v>
      </c>
      <c r="W408" s="4"/>
      <c r="X408" s="4"/>
      <c r="Y408" s="4"/>
      <c r="Z408" s="7"/>
      <c r="AA408" s="7"/>
      <c r="AB408" s="7"/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7"/>
      <c r="AN408" s="7"/>
      <c r="AO408" s="7"/>
      <c r="AP408" s="7"/>
      <c r="AQ408" s="7"/>
      <c r="AR408" s="7"/>
      <c r="AS408" s="7"/>
      <c r="AT408" s="7"/>
      <c r="AU408" s="7"/>
      <c r="AV408" s="7"/>
      <c r="AW408" s="4"/>
      <c r="AX408" s="2"/>
      <c r="AY408" s="7"/>
      <c r="AZ408" s="4"/>
      <c r="BA408" s="4">
        <v>113.4</v>
      </c>
      <c r="BB408" s="2"/>
      <c r="BC408" s="2"/>
      <c r="BD408" s="10">
        <v>24.1</v>
      </c>
      <c r="BE408" s="42">
        <v>1012</v>
      </c>
      <c r="BF408" s="43">
        <v>50.2</v>
      </c>
      <c r="BG408" s="44"/>
      <c r="BH408" s="42">
        <v>2096</v>
      </c>
      <c r="BI408" s="2" t="s">
        <v>504</v>
      </c>
      <c r="BJ408" s="3" t="s">
        <v>530</v>
      </c>
      <c r="BK408"/>
      <c r="BL408"/>
      <c r="BM408"/>
      <c r="BR408"/>
    </row>
    <row r="409" spans="1:70" ht="15" customHeight="1" x14ac:dyDescent="0.45">
      <c r="A409" s="2" t="s">
        <v>13</v>
      </c>
      <c r="B409" s="54" t="s">
        <v>26</v>
      </c>
      <c r="C409" s="3">
        <v>45330</v>
      </c>
      <c r="D409" s="8">
        <v>5</v>
      </c>
      <c r="E409" s="2" t="s">
        <v>213</v>
      </c>
      <c r="F409" s="4" t="s">
        <v>354</v>
      </c>
      <c r="G409" s="4" t="s">
        <v>578</v>
      </c>
      <c r="H409" s="4" t="s">
        <v>223</v>
      </c>
      <c r="I409" s="7">
        <v>0.1681</v>
      </c>
      <c r="J409" s="7">
        <v>0.16550000000000001</v>
      </c>
      <c r="K409" s="50">
        <v>4.0000000000000001E-3</v>
      </c>
      <c r="L409" s="7">
        <v>0.17199999999999999</v>
      </c>
      <c r="M409" s="7">
        <v>0.16650000000000001</v>
      </c>
      <c r="N409" s="7">
        <v>-0.53</v>
      </c>
      <c r="O409" s="4"/>
      <c r="P409" s="7">
        <v>1.2255</v>
      </c>
      <c r="T409" s="7">
        <v>65.900000000000006</v>
      </c>
      <c r="U409" s="7">
        <v>636</v>
      </c>
      <c r="V409" s="7">
        <v>758.4</v>
      </c>
      <c r="W409" s="4"/>
      <c r="X409" s="4"/>
      <c r="Y409" s="4"/>
      <c r="Z409" s="7"/>
      <c r="AA409" s="7"/>
      <c r="AB409" s="7"/>
      <c r="AC409" s="7"/>
      <c r="AD409" s="7"/>
      <c r="AE409" s="7"/>
      <c r="AF409" s="7"/>
      <c r="AG409" s="7"/>
      <c r="AH409" s="7"/>
      <c r="AI409" s="7"/>
      <c r="AJ409" s="7"/>
      <c r="AK409" s="7"/>
      <c r="AL409" s="7"/>
      <c r="AM409" s="7"/>
      <c r="AN409" s="7"/>
      <c r="AO409" s="7"/>
      <c r="AP409" s="7"/>
      <c r="AQ409" s="7"/>
      <c r="AR409" s="7"/>
      <c r="AS409" s="7"/>
      <c r="AT409" s="7"/>
      <c r="AU409" s="7"/>
      <c r="AV409" s="7"/>
      <c r="AW409" s="4"/>
      <c r="AX409" s="2"/>
      <c r="AY409" s="7"/>
      <c r="AZ409" s="4"/>
      <c r="BA409" s="4">
        <v>113.4</v>
      </c>
      <c r="BB409" s="2"/>
      <c r="BC409" s="2"/>
      <c r="BD409" s="10">
        <v>27.2</v>
      </c>
      <c r="BE409" s="42">
        <v>1011.3</v>
      </c>
      <c r="BF409" s="43">
        <v>58.9</v>
      </c>
      <c r="BG409" s="44"/>
      <c r="BH409" s="42">
        <v>2096</v>
      </c>
      <c r="BI409" s="2" t="s">
        <v>505</v>
      </c>
      <c r="BJ409" s="3" t="s">
        <v>529</v>
      </c>
      <c r="BK409"/>
      <c r="BL409"/>
      <c r="BM409"/>
      <c r="BR409"/>
    </row>
    <row r="410" spans="1:70" ht="15" customHeight="1" x14ac:dyDescent="0.45">
      <c r="A410" s="2" t="s">
        <v>13</v>
      </c>
      <c r="B410" s="54" t="s">
        <v>26</v>
      </c>
      <c r="C410" s="3">
        <v>45330</v>
      </c>
      <c r="D410" s="8">
        <v>6</v>
      </c>
      <c r="E410" s="2" t="s">
        <v>214</v>
      </c>
      <c r="F410" s="4" t="s">
        <v>354</v>
      </c>
      <c r="G410" s="4" t="s">
        <v>578</v>
      </c>
      <c r="H410" s="4" t="s">
        <v>223</v>
      </c>
      <c r="I410" s="7">
        <v>0.17199999999999999</v>
      </c>
      <c r="J410" s="7">
        <v>0.16669999999999999</v>
      </c>
      <c r="K410" s="50">
        <v>4.5999999999999999E-3</v>
      </c>
      <c r="L410" s="7">
        <v>0.17399999999999999</v>
      </c>
      <c r="M410" s="7">
        <v>0.1638</v>
      </c>
      <c r="N410" s="7">
        <v>-0.75</v>
      </c>
      <c r="O410" s="4"/>
      <c r="P410" s="7">
        <v>1.2255</v>
      </c>
      <c r="T410" s="7">
        <v>67</v>
      </c>
      <c r="U410" s="7">
        <v>653</v>
      </c>
      <c r="V410" s="7">
        <v>758.2</v>
      </c>
      <c r="W410" s="4"/>
      <c r="X410" s="4"/>
      <c r="Y410" s="4"/>
      <c r="Z410" s="7"/>
      <c r="AA410" s="7"/>
      <c r="AB410" s="7"/>
      <c r="AC410" s="7"/>
      <c r="AD410" s="7"/>
      <c r="AE410" s="7"/>
      <c r="AF410" s="7"/>
      <c r="AG410" s="7"/>
      <c r="AH410" s="7"/>
      <c r="AI410" s="7"/>
      <c r="AJ410" s="7"/>
      <c r="AK410" s="7"/>
      <c r="AL410" s="7"/>
      <c r="AM410" s="7"/>
      <c r="AN410" s="7"/>
      <c r="AO410" s="7"/>
      <c r="AP410" s="7"/>
      <c r="AQ410" s="7"/>
      <c r="AR410" s="7"/>
      <c r="AS410" s="7"/>
      <c r="AT410" s="7"/>
      <c r="AU410" s="7"/>
      <c r="AV410" s="7"/>
      <c r="AW410" s="4"/>
      <c r="AX410" s="2"/>
      <c r="AY410" s="7"/>
      <c r="AZ410" s="4"/>
      <c r="BA410" s="4">
        <v>113.4</v>
      </c>
      <c r="BB410" s="2"/>
      <c r="BC410" s="2"/>
      <c r="BD410" s="10">
        <v>24</v>
      </c>
      <c r="BE410" s="42">
        <v>1012.8</v>
      </c>
      <c r="BF410" s="43">
        <v>51.7</v>
      </c>
      <c r="BG410" s="44"/>
      <c r="BH410" s="42">
        <v>2096</v>
      </c>
      <c r="BI410" s="2" t="s">
        <v>506</v>
      </c>
      <c r="BJ410" s="3"/>
      <c r="BK410"/>
      <c r="BL410"/>
      <c r="BM410"/>
      <c r="BR410"/>
    </row>
    <row r="411" spans="1:70" ht="15" customHeight="1" x14ac:dyDescent="0.45">
      <c r="A411" s="2" t="s">
        <v>43</v>
      </c>
      <c r="B411" s="54" t="s">
        <v>210</v>
      </c>
      <c r="C411" s="3">
        <v>45330</v>
      </c>
      <c r="D411" s="8">
        <v>1</v>
      </c>
      <c r="E411" s="2" t="s">
        <v>353</v>
      </c>
      <c r="F411" s="4" t="s">
        <v>15</v>
      </c>
      <c r="G411" s="4" t="s">
        <v>15</v>
      </c>
      <c r="H411" s="4" t="s">
        <v>330</v>
      </c>
      <c r="I411" s="7">
        <v>0.18379999999999999</v>
      </c>
      <c r="J411" s="7">
        <v>0.18379999999999999</v>
      </c>
      <c r="K411" s="50">
        <v>3.5999999999999999E-3</v>
      </c>
      <c r="L411" s="7">
        <v>0.183</v>
      </c>
      <c r="M411" s="7">
        <v>0.1812</v>
      </c>
      <c r="N411" s="7">
        <v>-0.28999999999999998</v>
      </c>
      <c r="O411" s="4"/>
      <c r="P411" s="7">
        <v>1.2144999999999999</v>
      </c>
      <c r="T411" s="7">
        <v>59.9</v>
      </c>
      <c r="U411" s="7">
        <v>523</v>
      </c>
      <c r="V411" s="7">
        <v>756.6</v>
      </c>
      <c r="W411" s="4"/>
      <c r="X411" s="4"/>
      <c r="Y411" s="4"/>
      <c r="Z411" s="7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7"/>
      <c r="AL411" s="7"/>
      <c r="AM411" s="7"/>
      <c r="AN411" s="7"/>
      <c r="AO411" s="7"/>
      <c r="AP411" s="7"/>
      <c r="AQ411" s="7"/>
      <c r="AR411" s="7"/>
      <c r="AS411" s="7"/>
      <c r="AT411" s="7"/>
      <c r="AU411" s="7"/>
      <c r="AV411" s="7"/>
      <c r="AW411" s="4"/>
      <c r="AX411" s="2"/>
      <c r="AY411" s="7"/>
      <c r="AZ411" s="4"/>
      <c r="BA411" s="4">
        <v>113.4</v>
      </c>
      <c r="BB411" s="2"/>
      <c r="BC411" s="2"/>
      <c r="BD411" s="10">
        <v>24</v>
      </c>
      <c r="BE411" s="42">
        <v>1012.8</v>
      </c>
      <c r="BF411" s="43">
        <v>51.7</v>
      </c>
      <c r="BG411" s="44"/>
      <c r="BH411" s="42">
        <v>2096</v>
      </c>
      <c r="BI411" s="2" t="s">
        <v>507</v>
      </c>
      <c r="BJ411" s="3" t="s">
        <v>522</v>
      </c>
      <c r="BK411"/>
      <c r="BL411"/>
      <c r="BM411"/>
      <c r="BR411"/>
    </row>
    <row r="412" spans="1:70" ht="15" customHeight="1" x14ac:dyDescent="0.45">
      <c r="A412" s="2" t="s">
        <v>43</v>
      </c>
      <c r="B412" s="54" t="s">
        <v>210</v>
      </c>
      <c r="C412" s="3">
        <v>45330</v>
      </c>
      <c r="D412" s="8">
        <v>2</v>
      </c>
      <c r="E412" s="2" t="s">
        <v>545</v>
      </c>
      <c r="F412" s="4" t="s">
        <v>557</v>
      </c>
      <c r="G412" s="4" t="s">
        <v>578</v>
      </c>
      <c r="H412" s="4" t="s">
        <v>330</v>
      </c>
      <c r="I412" s="7">
        <v>0.17549999999999999</v>
      </c>
      <c r="J412" s="7">
        <v>0.17549999999999999</v>
      </c>
      <c r="K412" s="50">
        <v>3.5999999999999999E-3</v>
      </c>
      <c r="L412" s="7">
        <v>0.17649999999999999</v>
      </c>
      <c r="M412" s="7">
        <v>0.17349999999999999</v>
      </c>
      <c r="N412" s="7">
        <v>-0.4</v>
      </c>
      <c r="O412" s="4"/>
      <c r="P412" s="7">
        <v>1.2144999999999999</v>
      </c>
      <c r="T412" s="7">
        <v>58.9</v>
      </c>
      <c r="U412" s="7">
        <v>485</v>
      </c>
      <c r="V412" s="7">
        <v>755.8</v>
      </c>
      <c r="W412" s="4"/>
      <c r="X412" s="4"/>
      <c r="Y412" s="4"/>
      <c r="Z412" s="7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7"/>
      <c r="AL412" s="7"/>
      <c r="AM412" s="7"/>
      <c r="AN412" s="7"/>
      <c r="AO412" s="7"/>
      <c r="AP412" s="7"/>
      <c r="AQ412" s="7"/>
      <c r="AR412" s="7"/>
      <c r="AS412" s="7"/>
      <c r="AT412" s="7"/>
      <c r="AU412" s="7"/>
      <c r="AV412" s="7"/>
      <c r="AW412" s="4"/>
      <c r="AX412" s="2"/>
      <c r="AY412" s="7"/>
      <c r="AZ412" s="4"/>
      <c r="BA412" s="4">
        <v>113.4</v>
      </c>
      <c r="BB412" s="2"/>
      <c r="BC412" s="2"/>
      <c r="BD412" s="10">
        <v>24</v>
      </c>
      <c r="BE412" s="42">
        <v>1012.3</v>
      </c>
      <c r="BF412" s="43">
        <v>50.9</v>
      </c>
      <c r="BG412" s="44"/>
      <c r="BH412" s="42">
        <v>2096</v>
      </c>
      <c r="BI412" s="2" t="s">
        <v>508</v>
      </c>
      <c r="BJ412" s="3" t="s">
        <v>521</v>
      </c>
      <c r="BK412"/>
      <c r="BL412"/>
      <c r="BM412"/>
      <c r="BR412"/>
    </row>
    <row r="413" spans="1:70" ht="15" customHeight="1" x14ac:dyDescent="0.45">
      <c r="A413" s="2" t="s">
        <v>43</v>
      </c>
      <c r="B413" s="54" t="s">
        <v>210</v>
      </c>
      <c r="C413" s="3">
        <v>45330</v>
      </c>
      <c r="D413" s="8">
        <v>3</v>
      </c>
      <c r="E413" s="2" t="s">
        <v>545</v>
      </c>
      <c r="F413" s="4" t="s">
        <v>509</v>
      </c>
      <c r="G413" s="4" t="s">
        <v>578</v>
      </c>
      <c r="H413" s="4" t="s">
        <v>330</v>
      </c>
      <c r="I413" s="7">
        <v>0.17230000000000001</v>
      </c>
      <c r="J413" s="7">
        <v>0.17230000000000001</v>
      </c>
      <c r="K413" s="50">
        <v>1.8E-3</v>
      </c>
      <c r="L413" s="7">
        <v>0.17399999999999999</v>
      </c>
      <c r="M413" s="7">
        <v>0.17119999999999999</v>
      </c>
      <c r="N413" s="7">
        <v>-0.37</v>
      </c>
      <c r="O413" s="4"/>
      <c r="P413" s="7">
        <v>1.2144999999999999</v>
      </c>
      <c r="T413" s="7">
        <v>58.7</v>
      </c>
      <c r="U413" s="7">
        <v>473</v>
      </c>
      <c r="V413" s="7">
        <v>756.1</v>
      </c>
      <c r="W413" s="4"/>
      <c r="X413" s="4"/>
      <c r="Y413" s="4"/>
      <c r="Z413" s="7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7"/>
      <c r="AL413" s="7"/>
      <c r="AM413" s="7"/>
      <c r="AN413" s="7"/>
      <c r="AO413" s="7"/>
      <c r="AP413" s="7"/>
      <c r="AQ413" s="7"/>
      <c r="AR413" s="7"/>
      <c r="AS413" s="7"/>
      <c r="AT413" s="7"/>
      <c r="AU413" s="7"/>
      <c r="AV413" s="7"/>
      <c r="AW413" s="4"/>
      <c r="AX413" s="2"/>
      <c r="AY413" s="7"/>
      <c r="AZ413" s="4"/>
      <c r="BA413" s="4">
        <v>113.4</v>
      </c>
      <c r="BB413" s="2"/>
      <c r="BC413" s="2"/>
      <c r="BD413" s="10">
        <v>24.1</v>
      </c>
      <c r="BE413" s="71">
        <v>1012</v>
      </c>
      <c r="BF413" s="72">
        <v>50.2</v>
      </c>
      <c r="BG413" s="73"/>
      <c r="BH413" s="71">
        <v>2096</v>
      </c>
      <c r="BI413" s="2" t="s">
        <v>510</v>
      </c>
      <c r="BJ413" s="3" t="s">
        <v>520</v>
      </c>
      <c r="BK413"/>
      <c r="BL413"/>
      <c r="BM413"/>
      <c r="BR413"/>
    </row>
    <row r="414" spans="1:70" ht="15" customHeight="1" x14ac:dyDescent="0.45">
      <c r="A414" s="2" t="s">
        <v>43</v>
      </c>
      <c r="B414" s="54" t="s">
        <v>210</v>
      </c>
      <c r="C414" s="3">
        <v>45330</v>
      </c>
      <c r="D414" s="8">
        <v>4</v>
      </c>
      <c r="E414" s="56" t="s">
        <v>353</v>
      </c>
      <c r="F414" s="4" t="s">
        <v>15</v>
      </c>
      <c r="G414" s="4" t="s">
        <v>15</v>
      </c>
      <c r="H414" s="4" t="s">
        <v>330</v>
      </c>
      <c r="I414" s="7">
        <v>0.18</v>
      </c>
      <c r="J414" s="7">
        <v>0.18</v>
      </c>
      <c r="K414" s="50">
        <v>2.8E-3</v>
      </c>
      <c r="L414" s="7">
        <v>0.182</v>
      </c>
      <c r="M414" s="7">
        <v>0.17879999999999999</v>
      </c>
      <c r="N414" s="7">
        <v>-0.32</v>
      </c>
      <c r="O414" s="4"/>
      <c r="P414" s="7">
        <v>1.2144999999999999</v>
      </c>
      <c r="T414" s="7">
        <v>58.5</v>
      </c>
      <c r="U414" s="7">
        <v>503</v>
      </c>
      <c r="V414" s="7">
        <v>756.5</v>
      </c>
      <c r="W414" s="4"/>
      <c r="X414" s="4"/>
      <c r="Y414" s="4"/>
      <c r="Z414" s="7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  <c r="AM414" s="7"/>
      <c r="AN414" s="7"/>
      <c r="AO414" s="7"/>
      <c r="AP414" s="7"/>
      <c r="AQ414" s="7"/>
      <c r="AR414" s="7"/>
      <c r="AS414" s="7"/>
      <c r="AT414" s="7"/>
      <c r="AU414" s="7"/>
      <c r="AV414" s="7"/>
      <c r="AW414" s="4"/>
      <c r="AX414" s="2"/>
      <c r="AY414" s="7"/>
      <c r="AZ414" s="4"/>
      <c r="BA414" s="4">
        <v>113.4</v>
      </c>
      <c r="BB414" s="2"/>
      <c r="BC414" s="2"/>
      <c r="BD414" s="10">
        <v>27.2</v>
      </c>
      <c r="BE414" s="42">
        <v>1011.3</v>
      </c>
      <c r="BF414" s="43">
        <v>58.9</v>
      </c>
      <c r="BG414" s="44"/>
      <c r="BH414" s="71">
        <v>2096</v>
      </c>
      <c r="BI414" s="2" t="s">
        <v>511</v>
      </c>
      <c r="BJ414" s="3" t="s">
        <v>525</v>
      </c>
      <c r="BK414"/>
      <c r="BL414"/>
      <c r="BM414"/>
      <c r="BR414"/>
    </row>
    <row r="415" spans="1:70" ht="15" customHeight="1" x14ac:dyDescent="0.45">
      <c r="A415" s="2" t="s">
        <v>43</v>
      </c>
      <c r="B415" s="54" t="s">
        <v>210</v>
      </c>
      <c r="C415" s="3">
        <v>45330</v>
      </c>
      <c r="D415" s="8">
        <v>5</v>
      </c>
      <c r="E415" s="2" t="s">
        <v>545</v>
      </c>
      <c r="F415" s="4" t="s">
        <v>557</v>
      </c>
      <c r="G415" s="4" t="s">
        <v>578</v>
      </c>
      <c r="H415" s="4" t="s">
        <v>330</v>
      </c>
      <c r="I415" s="7">
        <v>0.17449999999999999</v>
      </c>
      <c r="J415" s="7">
        <v>0.17449999999999999</v>
      </c>
      <c r="K415" s="50">
        <v>3.7000000000000002E-3</v>
      </c>
      <c r="L415" s="7">
        <v>0.17699999999999999</v>
      </c>
      <c r="M415" s="7">
        <v>0.17169999999999999</v>
      </c>
      <c r="N415" s="7">
        <v>-0.48</v>
      </c>
      <c r="O415" s="4"/>
      <c r="P415" s="7">
        <v>1.2144999999999999</v>
      </c>
      <c r="T415" s="7">
        <v>60.7</v>
      </c>
      <c r="U415" s="7">
        <v>510</v>
      </c>
      <c r="V415" s="7">
        <v>755.8</v>
      </c>
      <c r="W415" s="4"/>
      <c r="X415" s="4"/>
      <c r="Y415" s="4"/>
      <c r="Z415" s="7"/>
      <c r="AA415" s="7"/>
      <c r="AB415" s="7"/>
      <c r="AC415" s="7"/>
      <c r="AD415" s="7"/>
      <c r="AE415" s="7"/>
      <c r="AF415" s="7"/>
      <c r="AG415" s="7"/>
      <c r="AH415" s="7"/>
      <c r="AI415" s="7"/>
      <c r="AJ415" s="7"/>
      <c r="AK415" s="7"/>
      <c r="AL415" s="7"/>
      <c r="AM415" s="7"/>
      <c r="AN415" s="7"/>
      <c r="AO415" s="7"/>
      <c r="AP415" s="7"/>
      <c r="AQ415" s="7"/>
      <c r="AR415" s="7"/>
      <c r="AS415" s="7"/>
      <c r="AT415" s="7"/>
      <c r="AU415" s="7"/>
      <c r="AV415" s="7"/>
      <c r="AW415" s="4"/>
      <c r="AX415" s="2"/>
      <c r="AY415" s="7"/>
      <c r="AZ415" s="4"/>
      <c r="BA415" s="4">
        <v>113.4</v>
      </c>
      <c r="BB415" s="2"/>
      <c r="BC415" s="2"/>
      <c r="BD415" s="10">
        <v>27.2</v>
      </c>
      <c r="BE415" s="42">
        <v>1011.3</v>
      </c>
      <c r="BF415" s="43">
        <v>58.9</v>
      </c>
      <c r="BG415" s="44"/>
      <c r="BH415" s="71">
        <v>2096</v>
      </c>
      <c r="BI415" s="2" t="s">
        <v>512</v>
      </c>
      <c r="BJ415" s="3" t="s">
        <v>524</v>
      </c>
      <c r="BK415"/>
      <c r="BL415"/>
      <c r="BM415"/>
      <c r="BR415"/>
    </row>
    <row r="416" spans="1:70" ht="15" customHeight="1" x14ac:dyDescent="0.45">
      <c r="A416" s="2" t="s">
        <v>43</v>
      </c>
      <c r="B416" s="54" t="s">
        <v>210</v>
      </c>
      <c r="C416" s="3">
        <v>45330</v>
      </c>
      <c r="D416" s="8">
        <v>6</v>
      </c>
      <c r="E416" s="2" t="s">
        <v>545</v>
      </c>
      <c r="F416" s="4" t="s">
        <v>509</v>
      </c>
      <c r="G416" s="4" t="s">
        <v>578</v>
      </c>
      <c r="H416" s="4" t="s">
        <v>330</v>
      </c>
      <c r="I416" s="7">
        <v>0.1759</v>
      </c>
      <c r="J416" s="7">
        <v>0.1759</v>
      </c>
      <c r="K416" s="50">
        <v>4.4000000000000003E-3</v>
      </c>
      <c r="L416" s="7">
        <v>0.17599999999999999</v>
      </c>
      <c r="M416" s="7">
        <v>0.17330000000000001</v>
      </c>
      <c r="N416" s="7">
        <v>-0.48</v>
      </c>
      <c r="O416" s="4"/>
      <c r="P416" s="7">
        <v>1.2144999999999999</v>
      </c>
      <c r="T416" s="7">
        <v>61</v>
      </c>
      <c r="U416" s="7">
        <v>521</v>
      </c>
      <c r="V416" s="7">
        <v>755.5</v>
      </c>
      <c r="W416" s="4"/>
      <c r="X416" s="4"/>
      <c r="Y416" s="4"/>
      <c r="Z416" s="7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  <c r="AM416" s="7"/>
      <c r="AN416" s="7"/>
      <c r="AO416" s="7"/>
      <c r="AP416" s="7"/>
      <c r="AQ416" s="7"/>
      <c r="AR416" s="7"/>
      <c r="AS416" s="7"/>
      <c r="AT416" s="7"/>
      <c r="AU416" s="7"/>
      <c r="AV416" s="7"/>
      <c r="AW416" s="4"/>
      <c r="AX416" s="2"/>
      <c r="AY416" s="7"/>
      <c r="AZ416" s="4"/>
      <c r="BA416" s="4">
        <v>120.6</v>
      </c>
      <c r="BB416" s="2"/>
      <c r="BC416" s="2"/>
      <c r="BD416" s="10">
        <v>24</v>
      </c>
      <c r="BE416" s="42">
        <v>1012.8</v>
      </c>
      <c r="BF416" s="43">
        <v>51.7</v>
      </c>
      <c r="BG416" s="44"/>
      <c r="BH416" s="71">
        <v>2096</v>
      </c>
      <c r="BI416" s="2" t="s">
        <v>513</v>
      </c>
      <c r="BJ416" s="3" t="s">
        <v>523</v>
      </c>
      <c r="BK416"/>
      <c r="BL416"/>
      <c r="BM416"/>
      <c r="BR416"/>
    </row>
    <row r="417" spans="1:70" ht="15" customHeight="1" x14ac:dyDescent="0.45">
      <c r="A417" s="2" t="s">
        <v>43</v>
      </c>
      <c r="B417" s="54" t="s">
        <v>46</v>
      </c>
      <c r="C417" s="3">
        <v>45330</v>
      </c>
      <c r="D417" s="8">
        <v>1</v>
      </c>
      <c r="E417" s="2" t="s">
        <v>213</v>
      </c>
      <c r="F417" s="4" t="s">
        <v>557</v>
      </c>
      <c r="G417" s="4" t="s">
        <v>578</v>
      </c>
      <c r="H417" s="4" t="s">
        <v>330</v>
      </c>
      <c r="I417" s="7">
        <v>0.1757</v>
      </c>
      <c r="J417" s="7">
        <v>0.1757</v>
      </c>
      <c r="K417" s="50">
        <v>6.1000000000000004E-3</v>
      </c>
      <c r="L417" s="7"/>
      <c r="M417" s="7">
        <v>0.17480000000000001</v>
      </c>
      <c r="N417" s="7">
        <v>-0.48</v>
      </c>
      <c r="O417" s="4"/>
      <c r="P417" s="7">
        <v>1.2450000000000001</v>
      </c>
      <c r="T417" s="7">
        <v>59.8</v>
      </c>
      <c r="U417" s="7">
        <v>480</v>
      </c>
      <c r="V417" s="7">
        <v>757.3</v>
      </c>
      <c r="W417" s="4"/>
      <c r="X417" s="4"/>
      <c r="Y417" s="4"/>
      <c r="Z417" s="7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  <c r="AM417" s="7"/>
      <c r="AN417" s="7"/>
      <c r="AO417" s="7"/>
      <c r="AP417" s="7"/>
      <c r="AQ417" s="7"/>
      <c r="AR417" s="7"/>
      <c r="AS417" s="7"/>
      <c r="AT417" s="7"/>
      <c r="AU417" s="7"/>
      <c r="AV417" s="7"/>
      <c r="AW417" s="4"/>
      <c r="AX417" s="2"/>
      <c r="AY417" s="7"/>
      <c r="AZ417" s="4"/>
      <c r="BA417" s="4">
        <v>120.6</v>
      </c>
      <c r="BB417" s="2"/>
      <c r="BC417" s="2"/>
      <c r="BD417" s="10">
        <v>24</v>
      </c>
      <c r="BE417" s="42">
        <v>1012.8</v>
      </c>
      <c r="BF417" s="43">
        <v>51.7</v>
      </c>
      <c r="BG417" s="44"/>
      <c r="BH417" s="71">
        <v>2096</v>
      </c>
      <c r="BI417" s="2" t="s">
        <v>514</v>
      </c>
      <c r="BJ417" s="3" t="s">
        <v>538</v>
      </c>
      <c r="BK417"/>
      <c r="BL417"/>
      <c r="BM417"/>
      <c r="BR417"/>
    </row>
    <row r="418" spans="1:70" ht="15" customHeight="1" x14ac:dyDescent="0.45">
      <c r="A418" s="2" t="s">
        <v>43</v>
      </c>
      <c r="B418" s="54" t="s">
        <v>46</v>
      </c>
      <c r="C418" s="3">
        <v>45330</v>
      </c>
      <c r="D418" s="8">
        <v>2</v>
      </c>
      <c r="E418" s="56" t="s">
        <v>213</v>
      </c>
      <c r="F418" s="4" t="s">
        <v>557</v>
      </c>
      <c r="G418" s="4" t="s">
        <v>578</v>
      </c>
      <c r="H418" s="4" t="s">
        <v>330</v>
      </c>
      <c r="I418" s="7">
        <v>0.1764</v>
      </c>
      <c r="J418" s="7">
        <v>0.1764</v>
      </c>
      <c r="K418" s="50">
        <v>1.1000000000000001E-3</v>
      </c>
      <c r="L418" s="7">
        <v>0.17499999999999999</v>
      </c>
      <c r="M418" s="7">
        <v>0.17430000000000001</v>
      </c>
      <c r="N418" s="7">
        <v>-0.41</v>
      </c>
      <c r="O418" s="4"/>
      <c r="P418" s="7">
        <v>1.2450000000000001</v>
      </c>
      <c r="T418" s="7">
        <v>59.3</v>
      </c>
      <c r="U418" s="7">
        <v>481</v>
      </c>
      <c r="V418" s="7">
        <v>756.2</v>
      </c>
      <c r="W418" s="4"/>
      <c r="X418" s="4"/>
      <c r="Y418" s="4"/>
      <c r="Z418" s="7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  <c r="AN418" s="7"/>
      <c r="AO418" s="7"/>
      <c r="AP418" s="7"/>
      <c r="AQ418" s="7"/>
      <c r="AR418" s="7"/>
      <c r="AS418" s="7"/>
      <c r="AT418" s="7"/>
      <c r="AU418" s="7"/>
      <c r="AV418" s="7"/>
      <c r="AW418" s="4"/>
      <c r="AX418" s="2"/>
      <c r="AY418" s="7"/>
      <c r="AZ418" s="4"/>
      <c r="BA418" s="4">
        <v>120.6</v>
      </c>
      <c r="BB418" s="2"/>
      <c r="BC418" s="2"/>
      <c r="BD418" s="10">
        <v>24</v>
      </c>
      <c r="BE418" s="42">
        <v>1012.3</v>
      </c>
      <c r="BF418" s="43">
        <v>50.9</v>
      </c>
      <c r="BG418" s="44"/>
      <c r="BH418" s="71">
        <v>2096</v>
      </c>
      <c r="BI418" s="2" t="s">
        <v>515</v>
      </c>
      <c r="BJ418" s="3" t="s">
        <v>537</v>
      </c>
      <c r="BK418"/>
      <c r="BL418"/>
      <c r="BM418"/>
      <c r="BR418"/>
    </row>
    <row r="419" spans="1:70" ht="15" customHeight="1" x14ac:dyDescent="0.45">
      <c r="A419" s="2" t="s">
        <v>43</v>
      </c>
      <c r="B419" s="54" t="s">
        <v>46</v>
      </c>
      <c r="C419" s="3">
        <v>45330</v>
      </c>
      <c r="D419" s="8">
        <v>3</v>
      </c>
      <c r="E419" s="2" t="s">
        <v>549</v>
      </c>
      <c r="F419" s="4" t="s">
        <v>557</v>
      </c>
      <c r="G419" s="4" t="s">
        <v>578</v>
      </c>
      <c r="H419" s="4" t="s">
        <v>330</v>
      </c>
      <c r="I419" s="7">
        <v>0.1777</v>
      </c>
      <c r="J419" s="7">
        <v>0.1777</v>
      </c>
      <c r="K419" s="50">
        <v>2.2000000000000001E-3</v>
      </c>
      <c r="L419" s="7">
        <v>0.17299999999999999</v>
      </c>
      <c r="M419" s="7">
        <v>0.17349999999999999</v>
      </c>
      <c r="N419" s="7">
        <v>-0.39</v>
      </c>
      <c r="O419" s="4"/>
      <c r="P419" s="7">
        <v>1.2450000000000001</v>
      </c>
      <c r="T419" s="7">
        <v>59.5</v>
      </c>
      <c r="U419" s="7">
        <v>482</v>
      </c>
      <c r="V419" s="7">
        <v>756.4</v>
      </c>
      <c r="W419" s="4"/>
      <c r="X419" s="4"/>
      <c r="Y419" s="4"/>
      <c r="Z419" s="7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  <c r="AM419" s="7"/>
      <c r="AN419" s="7"/>
      <c r="AO419" s="7"/>
      <c r="AP419" s="7"/>
      <c r="AQ419" s="7"/>
      <c r="AR419" s="7"/>
      <c r="AS419" s="7"/>
      <c r="AT419" s="7"/>
      <c r="AU419" s="7"/>
      <c r="AV419" s="7"/>
      <c r="AW419" s="4"/>
      <c r="AX419" s="2"/>
      <c r="AY419" s="7"/>
      <c r="AZ419" s="4"/>
      <c r="BA419" s="4">
        <v>120.6</v>
      </c>
      <c r="BB419" s="2"/>
      <c r="BC419" s="2"/>
      <c r="BD419" s="10">
        <v>24.1</v>
      </c>
      <c r="BE419" s="42">
        <v>1012</v>
      </c>
      <c r="BF419" s="43">
        <v>50.2</v>
      </c>
      <c r="BG419" s="44"/>
      <c r="BH419" s="71">
        <v>2096</v>
      </c>
      <c r="BI419" s="2" t="s">
        <v>516</v>
      </c>
      <c r="BJ419" s="3" t="s">
        <v>536</v>
      </c>
      <c r="BK419"/>
      <c r="BL419"/>
      <c r="BM419"/>
      <c r="BR419"/>
    </row>
    <row r="420" spans="1:70" ht="15" customHeight="1" x14ac:dyDescent="0.45">
      <c r="A420" s="2" t="s">
        <v>43</v>
      </c>
      <c r="B420" s="54" t="s">
        <v>46</v>
      </c>
      <c r="C420" s="3">
        <v>45330</v>
      </c>
      <c r="D420" s="8">
        <v>4</v>
      </c>
      <c r="E420" s="2" t="s">
        <v>549</v>
      </c>
      <c r="F420" s="4" t="s">
        <v>557</v>
      </c>
      <c r="G420" s="4" t="s">
        <v>578</v>
      </c>
      <c r="H420" s="4" t="s">
        <v>330</v>
      </c>
      <c r="I420" s="7">
        <v>0.18060000000000001</v>
      </c>
      <c r="J420" s="7">
        <v>0.18060000000000001</v>
      </c>
      <c r="K420" s="50">
        <v>3.0999999999999999E-3</v>
      </c>
      <c r="L420" s="7">
        <v>0.17499999999999999</v>
      </c>
      <c r="M420" s="7">
        <v>0.1757</v>
      </c>
      <c r="N420" s="7">
        <v>-0.44</v>
      </c>
      <c r="O420" s="4"/>
      <c r="P420" s="7">
        <v>1.2450000000000001</v>
      </c>
      <c r="T420" s="7">
        <v>60.6</v>
      </c>
      <c r="U420" s="7">
        <v>504</v>
      </c>
      <c r="V420" s="7">
        <v>756.8</v>
      </c>
      <c r="W420" s="4"/>
      <c r="X420" s="4"/>
      <c r="Y420" s="4"/>
      <c r="Z420" s="7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  <c r="AN420" s="7"/>
      <c r="AO420" s="7"/>
      <c r="AP420" s="7"/>
      <c r="AQ420" s="7"/>
      <c r="AR420" s="7"/>
      <c r="AS420" s="7"/>
      <c r="AT420" s="7"/>
      <c r="AU420" s="7"/>
      <c r="AV420" s="7"/>
      <c r="AW420" s="4"/>
      <c r="AX420" s="2"/>
      <c r="AY420" s="7"/>
      <c r="AZ420" s="4"/>
      <c r="BA420" s="4">
        <v>120.6</v>
      </c>
      <c r="BB420" s="2"/>
      <c r="BC420" s="2"/>
      <c r="BD420" s="10">
        <v>27.2</v>
      </c>
      <c r="BE420" s="42">
        <v>1011.3</v>
      </c>
      <c r="BF420" s="43">
        <v>58.9</v>
      </c>
      <c r="BG420" s="44"/>
      <c r="BH420" s="71">
        <v>2096</v>
      </c>
      <c r="BI420" s="2" t="s">
        <v>517</v>
      </c>
      <c r="BJ420" s="3" t="s">
        <v>535</v>
      </c>
      <c r="BK420"/>
      <c r="BL420"/>
      <c r="BM420"/>
      <c r="BR420"/>
    </row>
    <row r="421" spans="1:70" ht="15" customHeight="1" x14ac:dyDescent="0.45">
      <c r="A421" s="2" t="s">
        <v>43</v>
      </c>
      <c r="B421" s="54" t="s">
        <v>46</v>
      </c>
      <c r="C421" s="3">
        <v>45330</v>
      </c>
      <c r="D421" s="8">
        <v>5</v>
      </c>
      <c r="E421" s="2" t="s">
        <v>549</v>
      </c>
      <c r="F421" s="4" t="s">
        <v>557</v>
      </c>
      <c r="G421" s="4" t="s">
        <v>578</v>
      </c>
      <c r="H421" s="4" t="s">
        <v>518</v>
      </c>
      <c r="I421" s="7">
        <v>0.17330000000000001</v>
      </c>
      <c r="J421" s="7">
        <v>0.17330000000000001</v>
      </c>
      <c r="K421" s="50">
        <v>2.2000000000000001E-3</v>
      </c>
      <c r="L421" s="7">
        <v>0.17100000000000001</v>
      </c>
      <c r="M421" s="7">
        <v>0.16900000000000001</v>
      </c>
      <c r="N421" s="7">
        <v>-0.56999999999999995</v>
      </c>
      <c r="O421" s="4"/>
      <c r="P421" s="7">
        <v>1.2450000000000001</v>
      </c>
      <c r="T421" s="7">
        <v>61.1</v>
      </c>
      <c r="U421" s="7">
        <v>499</v>
      </c>
      <c r="V421" s="7">
        <v>757.1</v>
      </c>
      <c r="W421" s="4"/>
      <c r="X421" s="4"/>
      <c r="Y421" s="4"/>
      <c r="Z421" s="7"/>
      <c r="AA421" s="7"/>
      <c r="AB421" s="7"/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7"/>
      <c r="AN421" s="7"/>
      <c r="AO421" s="7"/>
      <c r="AP421" s="7"/>
      <c r="AQ421" s="7"/>
      <c r="AR421" s="7"/>
      <c r="AS421" s="7"/>
      <c r="AT421" s="7"/>
      <c r="AU421" s="7"/>
      <c r="AV421" s="7"/>
      <c r="AW421" s="4"/>
      <c r="AX421" s="2"/>
      <c r="AY421" s="7"/>
      <c r="AZ421" s="4"/>
      <c r="BA421" s="4">
        <v>120.6</v>
      </c>
      <c r="BB421" s="2"/>
      <c r="BC421" s="2"/>
      <c r="BD421" s="10">
        <v>27.2</v>
      </c>
      <c r="BE421" s="42">
        <v>1011.3</v>
      </c>
      <c r="BF421" s="43">
        <v>58.9</v>
      </c>
      <c r="BG421" s="44"/>
      <c r="BH421" s="71">
        <v>2096</v>
      </c>
      <c r="BI421" s="2" t="s">
        <v>519</v>
      </c>
      <c r="BJ421" s="3" t="s">
        <v>534</v>
      </c>
      <c r="BK421"/>
      <c r="BL421"/>
      <c r="BM421"/>
      <c r="BR421"/>
    </row>
    <row r="422" spans="1:70" ht="28.5" x14ac:dyDescent="0.45">
      <c r="A422" s="2" t="s">
        <v>13</v>
      </c>
      <c r="B422" s="54" t="s">
        <v>17</v>
      </c>
      <c r="C422" s="3">
        <v>45379</v>
      </c>
      <c r="D422" s="8">
        <v>1</v>
      </c>
      <c r="E422" s="2" t="s">
        <v>550</v>
      </c>
      <c r="F422" s="4" t="s">
        <v>564</v>
      </c>
      <c r="G422" s="4" t="s">
        <v>578</v>
      </c>
      <c r="H422" s="4" t="s">
        <v>378</v>
      </c>
      <c r="I422" s="7">
        <v>0.17080000000000001</v>
      </c>
      <c r="J422" s="7">
        <v>0.17080000000000001</v>
      </c>
      <c r="K422" s="50">
        <v>2.7000000000000001E-3</v>
      </c>
      <c r="L422" s="7"/>
      <c r="M422" s="74">
        <v>0.17130000000000001</v>
      </c>
      <c r="N422" s="7">
        <v>-0.43</v>
      </c>
      <c r="O422" s="4"/>
      <c r="P422" s="7">
        <v>1.2809999999999999</v>
      </c>
      <c r="W422" s="4"/>
      <c r="X422" s="4"/>
      <c r="Y422" s="4"/>
      <c r="Z422" s="7"/>
      <c r="AA422" s="7"/>
      <c r="AB422" s="7"/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7"/>
      <c r="AN422" s="7"/>
      <c r="AO422" s="7"/>
      <c r="AP422" s="7"/>
      <c r="AQ422" s="7"/>
      <c r="AR422" s="7"/>
      <c r="AS422" s="7"/>
      <c r="AT422" s="7"/>
      <c r="AU422" s="7"/>
      <c r="AV422" s="7"/>
      <c r="AW422" s="4"/>
      <c r="AX422" s="2"/>
      <c r="AY422" s="7"/>
      <c r="AZ422" s="4"/>
      <c r="BA422" s="4"/>
      <c r="BB422" s="2"/>
      <c r="BC422" s="2"/>
      <c r="BD422" s="2"/>
      <c r="BE422" s="65"/>
      <c r="BF422" s="66"/>
      <c r="BG422" s="67"/>
      <c r="BH422" s="2"/>
      <c r="BI422" s="2"/>
      <c r="BJ422" s="3" t="s">
        <v>614</v>
      </c>
    </row>
    <row r="423" spans="1:70" ht="28.5" x14ac:dyDescent="0.45">
      <c r="A423" s="2" t="s">
        <v>13</v>
      </c>
      <c r="B423" s="54" t="s">
        <v>17</v>
      </c>
      <c r="C423" s="3">
        <v>45379</v>
      </c>
      <c r="D423" s="8">
        <v>2</v>
      </c>
      <c r="E423" s="2" t="s">
        <v>550</v>
      </c>
      <c r="F423" s="4" t="s">
        <v>564</v>
      </c>
      <c r="G423" s="4" t="s">
        <v>602</v>
      </c>
      <c r="H423" s="4" t="s">
        <v>378</v>
      </c>
      <c r="I423" s="7">
        <v>0.16880000000000001</v>
      </c>
      <c r="J423" s="7">
        <v>0.16880000000000001</v>
      </c>
      <c r="K423" s="50">
        <v>1.5E-3</v>
      </c>
      <c r="L423" s="7"/>
      <c r="M423" s="74">
        <v>0.17050000000000001</v>
      </c>
      <c r="N423" s="7">
        <v>-0.46</v>
      </c>
      <c r="O423" s="4"/>
      <c r="P423" s="7">
        <v>1.2809999999999999</v>
      </c>
      <c r="W423" s="4"/>
      <c r="X423" s="4"/>
      <c r="Y423" s="4"/>
      <c r="Z423" s="7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  <c r="AM423" s="7"/>
      <c r="AN423" s="7"/>
      <c r="AO423" s="7"/>
      <c r="AP423" s="7"/>
      <c r="AQ423" s="7"/>
      <c r="AR423" s="7"/>
      <c r="AS423" s="7"/>
      <c r="AT423" s="7"/>
      <c r="AU423" s="7"/>
      <c r="AV423" s="7"/>
      <c r="AW423" s="4"/>
      <c r="AX423" s="2"/>
      <c r="AY423" s="7"/>
      <c r="AZ423" s="4"/>
      <c r="BA423" s="4"/>
      <c r="BB423" s="2"/>
      <c r="BC423" s="2"/>
      <c r="BD423" s="2"/>
      <c r="BE423" s="65"/>
      <c r="BF423" s="66"/>
      <c r="BG423" s="67"/>
      <c r="BH423" s="2"/>
      <c r="BI423" s="2"/>
      <c r="BJ423" s="38" t="s">
        <v>605</v>
      </c>
    </row>
    <row r="424" spans="1:70" ht="28.5" x14ac:dyDescent="0.45">
      <c r="A424" s="2" t="s">
        <v>13</v>
      </c>
      <c r="B424" s="54" t="s">
        <v>17</v>
      </c>
      <c r="C424" s="3">
        <v>45379</v>
      </c>
      <c r="D424" s="8">
        <v>3</v>
      </c>
      <c r="E424" s="2" t="s">
        <v>550</v>
      </c>
      <c r="F424" s="4" t="s">
        <v>564</v>
      </c>
      <c r="G424" s="4" t="s">
        <v>578</v>
      </c>
      <c r="H424" s="4" t="s">
        <v>378</v>
      </c>
      <c r="I424" s="7">
        <v>0.16819999999999999</v>
      </c>
      <c r="J424" s="7">
        <v>0.16819999999999999</v>
      </c>
      <c r="K424" s="50">
        <v>2.2000000000000001E-3</v>
      </c>
      <c r="L424" s="7"/>
      <c r="M424" s="74">
        <v>0.16919999999999999</v>
      </c>
      <c r="N424" s="7">
        <v>-0.41</v>
      </c>
      <c r="O424" s="4"/>
      <c r="P424" s="7">
        <v>1.2809999999999999</v>
      </c>
      <c r="W424" s="4"/>
      <c r="X424" s="4"/>
      <c r="Y424" s="4"/>
      <c r="Z424" s="7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7"/>
      <c r="AN424" s="7"/>
      <c r="AO424" s="7"/>
      <c r="AP424" s="7"/>
      <c r="AQ424" s="7"/>
      <c r="AR424" s="7"/>
      <c r="AS424" s="7"/>
      <c r="AT424" s="7"/>
      <c r="AU424" s="7"/>
      <c r="AV424" s="7"/>
      <c r="AW424" s="4"/>
      <c r="AX424" s="2"/>
      <c r="AY424" s="7"/>
      <c r="AZ424" s="4"/>
      <c r="BA424" s="4"/>
      <c r="BB424" s="2"/>
      <c r="BC424" s="2"/>
      <c r="BD424" s="2"/>
      <c r="BE424" s="65"/>
      <c r="BF424" s="66"/>
      <c r="BG424" s="67"/>
      <c r="BH424" s="2"/>
      <c r="BI424" s="2"/>
      <c r="BJ424" s="3" t="s">
        <v>606</v>
      </c>
    </row>
    <row r="425" spans="1:70" ht="28.5" x14ac:dyDescent="0.45">
      <c r="A425" s="2" t="s">
        <v>13</v>
      </c>
      <c r="B425" s="54" t="s">
        <v>17</v>
      </c>
      <c r="C425" s="3">
        <v>45379</v>
      </c>
      <c r="D425" s="8">
        <v>4</v>
      </c>
      <c r="E425" s="2" t="s">
        <v>550</v>
      </c>
      <c r="F425" s="4" t="s">
        <v>564</v>
      </c>
      <c r="G425" s="4" t="s">
        <v>602</v>
      </c>
      <c r="H425" s="4" t="s">
        <v>378</v>
      </c>
      <c r="I425" s="7">
        <v>0.1676</v>
      </c>
      <c r="J425" s="7">
        <v>0.1676</v>
      </c>
      <c r="K425" s="50">
        <v>2.3999999999999998E-3</v>
      </c>
      <c r="L425" s="7"/>
      <c r="M425" s="74">
        <v>0.1671</v>
      </c>
      <c r="N425" s="7">
        <v>-0.45</v>
      </c>
      <c r="O425" s="4"/>
      <c r="P425" s="7">
        <v>1.2809999999999999</v>
      </c>
      <c r="W425" s="4"/>
      <c r="X425" s="4"/>
      <c r="Y425" s="4"/>
      <c r="Z425" s="7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  <c r="AM425" s="7"/>
      <c r="AN425" s="7"/>
      <c r="AO425" s="7"/>
      <c r="AP425" s="7"/>
      <c r="AQ425" s="7"/>
      <c r="AR425" s="7"/>
      <c r="AS425" s="7"/>
      <c r="AT425" s="7"/>
      <c r="AU425" s="7"/>
      <c r="AV425" s="7"/>
      <c r="AW425" s="4"/>
      <c r="AX425" s="2"/>
      <c r="AY425" s="7"/>
      <c r="AZ425" s="4"/>
      <c r="BA425" s="4"/>
      <c r="BB425" s="2"/>
      <c r="BC425" s="2"/>
      <c r="BD425" s="2"/>
      <c r="BE425" s="65"/>
      <c r="BF425" s="66"/>
      <c r="BG425" s="67"/>
      <c r="BH425" s="2"/>
      <c r="BI425" s="2"/>
      <c r="BJ425" s="3" t="s">
        <v>607</v>
      </c>
    </row>
    <row r="426" spans="1:70" ht="28.5" x14ac:dyDescent="0.45">
      <c r="A426" s="2" t="s">
        <v>13</v>
      </c>
      <c r="B426" s="54" t="s">
        <v>17</v>
      </c>
      <c r="C426" s="3">
        <v>45379</v>
      </c>
      <c r="D426" s="8">
        <v>5</v>
      </c>
      <c r="E426" s="2" t="s">
        <v>550</v>
      </c>
      <c r="F426" s="4" t="s">
        <v>564</v>
      </c>
      <c r="G426" s="4" t="s">
        <v>603</v>
      </c>
      <c r="H426" s="4" t="s">
        <v>378</v>
      </c>
      <c r="I426" s="7">
        <v>0.16700000000000001</v>
      </c>
      <c r="J426" s="7">
        <v>0.16700000000000001</v>
      </c>
      <c r="K426" s="50">
        <v>2.0999999999999999E-3</v>
      </c>
      <c r="L426" s="7"/>
      <c r="M426" s="74">
        <v>0.16889999999999999</v>
      </c>
      <c r="N426" s="7">
        <v>-0.43</v>
      </c>
      <c r="O426" s="4"/>
      <c r="P426" s="7">
        <v>1.2809999999999999</v>
      </c>
      <c r="W426" s="4"/>
      <c r="X426" s="4"/>
      <c r="Y426" s="4"/>
      <c r="Z426" s="7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7"/>
      <c r="AN426" s="7"/>
      <c r="AO426" s="7"/>
      <c r="AP426" s="7"/>
      <c r="AQ426" s="7"/>
      <c r="AR426" s="7"/>
      <c r="AS426" s="7"/>
      <c r="AT426" s="7"/>
      <c r="AU426" s="7"/>
      <c r="AV426" s="7"/>
      <c r="AW426" s="4"/>
      <c r="AX426" s="2"/>
      <c r="AY426" s="7"/>
      <c r="AZ426" s="4"/>
      <c r="BA426" s="4"/>
      <c r="BB426" s="2"/>
      <c r="BC426" s="2"/>
      <c r="BD426" s="2"/>
      <c r="BE426" s="65"/>
      <c r="BF426" s="66"/>
      <c r="BG426" s="67"/>
      <c r="BH426" s="2"/>
      <c r="BI426" s="2"/>
      <c r="BJ426" s="3" t="s">
        <v>608</v>
      </c>
    </row>
    <row r="427" spans="1:70" ht="28.5" x14ac:dyDescent="0.45">
      <c r="A427" s="2" t="s">
        <v>13</v>
      </c>
      <c r="B427" s="54" t="s">
        <v>219</v>
      </c>
      <c r="C427" s="3">
        <v>45379</v>
      </c>
      <c r="D427" s="8">
        <v>1</v>
      </c>
      <c r="E427" s="2" t="s">
        <v>598</v>
      </c>
      <c r="F427" s="4" t="s">
        <v>354</v>
      </c>
      <c r="G427" s="4" t="s">
        <v>578</v>
      </c>
      <c r="H427" s="4" t="s">
        <v>575</v>
      </c>
      <c r="I427" s="7">
        <v>0.19359999999999999</v>
      </c>
      <c r="J427" s="7">
        <v>0.19359999999999999</v>
      </c>
      <c r="K427" s="50">
        <v>3.8E-3</v>
      </c>
      <c r="L427" s="74">
        <v>0.191</v>
      </c>
      <c r="M427" s="74">
        <v>0.19320000000000001</v>
      </c>
      <c r="N427" s="7">
        <v>-0.44</v>
      </c>
      <c r="O427" s="4"/>
      <c r="P427" s="7">
        <v>1.3065</v>
      </c>
      <c r="W427" s="4"/>
      <c r="X427" s="4"/>
      <c r="Y427" s="4"/>
      <c r="Z427" s="7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  <c r="AM427" s="7"/>
      <c r="AN427" s="7"/>
      <c r="AO427" s="7"/>
      <c r="AP427" s="7"/>
      <c r="AQ427" s="7"/>
      <c r="AR427" s="7"/>
      <c r="AS427" s="7"/>
      <c r="AT427" s="7"/>
      <c r="AU427" s="7"/>
      <c r="AV427" s="7"/>
      <c r="AW427" s="4"/>
      <c r="AX427" s="2"/>
      <c r="AY427" s="7"/>
      <c r="AZ427" s="4"/>
      <c r="BA427" s="4"/>
      <c r="BB427" s="2"/>
      <c r="BC427" s="2"/>
      <c r="BD427" s="2"/>
      <c r="BE427" s="65"/>
      <c r="BF427" s="66"/>
      <c r="BG427" s="67"/>
      <c r="BH427" s="2"/>
      <c r="BI427" s="2"/>
      <c r="BJ427" s="3" t="s">
        <v>604</v>
      </c>
    </row>
    <row r="428" spans="1:70" ht="28.5" x14ac:dyDescent="0.45">
      <c r="A428" s="2" t="s">
        <v>13</v>
      </c>
      <c r="B428" s="54" t="s">
        <v>219</v>
      </c>
      <c r="C428" s="3">
        <v>45379</v>
      </c>
      <c r="D428" s="8">
        <v>2</v>
      </c>
      <c r="E428" s="2" t="s">
        <v>448</v>
      </c>
      <c r="F428" s="4" t="s">
        <v>354</v>
      </c>
      <c r="G428" s="4" t="s">
        <v>578</v>
      </c>
      <c r="H428" s="4" t="s">
        <v>575</v>
      </c>
      <c r="I428" s="7">
        <v>0.17957999999999999</v>
      </c>
      <c r="J428" s="7">
        <v>0.18920000000000001</v>
      </c>
      <c r="K428" s="50">
        <v>5.0000000000000001E-3</v>
      </c>
      <c r="L428" s="74">
        <v>0.17849999999999999</v>
      </c>
      <c r="M428" s="74">
        <v>0.19009999999999999</v>
      </c>
      <c r="N428" s="7">
        <v>-0.02</v>
      </c>
      <c r="O428" s="4"/>
      <c r="P428" s="7">
        <v>1.3065</v>
      </c>
      <c r="W428" s="4"/>
      <c r="X428" s="4"/>
      <c r="Y428" s="4"/>
      <c r="Z428" s="7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7"/>
      <c r="AN428" s="7"/>
      <c r="AO428" s="7"/>
      <c r="AP428" s="7"/>
      <c r="AQ428" s="7"/>
      <c r="AR428" s="7"/>
      <c r="AS428" s="7"/>
      <c r="AT428" s="7"/>
      <c r="AU428" s="7"/>
      <c r="AV428" s="7"/>
      <c r="AW428" s="4"/>
      <c r="AX428" s="2"/>
      <c r="AY428" s="7"/>
      <c r="AZ428" s="4"/>
      <c r="BA428" s="4"/>
      <c r="BB428" s="2"/>
      <c r="BC428" s="2"/>
      <c r="BD428" s="2"/>
      <c r="BE428" s="65"/>
      <c r="BF428" s="66"/>
      <c r="BG428" s="67"/>
      <c r="BH428" s="2"/>
      <c r="BI428" s="2"/>
      <c r="BJ428" s="3" t="s">
        <v>609</v>
      </c>
    </row>
    <row r="429" spans="1:70" ht="28.5" x14ac:dyDescent="0.45">
      <c r="A429" s="2" t="s">
        <v>13</v>
      </c>
      <c r="B429" s="54" t="s">
        <v>219</v>
      </c>
      <c r="C429" s="3">
        <v>45379</v>
      </c>
      <c r="D429" s="8">
        <v>3</v>
      </c>
      <c r="E429" s="2" t="s">
        <v>599</v>
      </c>
      <c r="F429" s="4" t="s">
        <v>354</v>
      </c>
      <c r="G429" s="4" t="s">
        <v>578</v>
      </c>
      <c r="H429" s="4" t="s">
        <v>575</v>
      </c>
      <c r="I429" s="7">
        <v>0.17510000000000001</v>
      </c>
      <c r="J429" s="7">
        <v>0.188</v>
      </c>
      <c r="K429" s="50">
        <v>2.3E-3</v>
      </c>
      <c r="L429" s="74">
        <v>0.17299999999999999</v>
      </c>
      <c r="M429" s="74">
        <v>0.18870000000000001</v>
      </c>
      <c r="N429" s="7">
        <v>0.16</v>
      </c>
      <c r="O429" s="4"/>
      <c r="P429" s="7">
        <v>1.3065</v>
      </c>
      <c r="W429" s="4"/>
      <c r="X429" s="4"/>
      <c r="Y429" s="4"/>
      <c r="Z429" s="7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  <c r="AM429" s="7"/>
      <c r="AN429" s="7"/>
      <c r="AO429" s="7"/>
      <c r="AP429" s="7"/>
      <c r="AQ429" s="7"/>
      <c r="AR429" s="7"/>
      <c r="AS429" s="7"/>
      <c r="AT429" s="7"/>
      <c r="AU429" s="7"/>
      <c r="AV429" s="7"/>
      <c r="AW429" s="4"/>
      <c r="AX429" s="2"/>
      <c r="AY429" s="7"/>
      <c r="AZ429" s="4"/>
      <c r="BA429" s="4"/>
      <c r="BB429" s="2"/>
      <c r="BC429" s="2"/>
      <c r="BD429" s="2"/>
      <c r="BE429" s="65"/>
      <c r="BF429" s="66"/>
      <c r="BG429" s="67"/>
      <c r="BH429" s="2"/>
      <c r="BI429" s="2"/>
      <c r="BJ429" s="3" t="s">
        <v>610</v>
      </c>
    </row>
    <row r="430" spans="1:70" ht="28.5" x14ac:dyDescent="0.45">
      <c r="A430" s="2" t="s">
        <v>13</v>
      </c>
      <c r="B430" s="54" t="s">
        <v>219</v>
      </c>
      <c r="C430" s="3">
        <v>45379</v>
      </c>
      <c r="D430" s="8">
        <v>4</v>
      </c>
      <c r="E430" s="2" t="s">
        <v>598</v>
      </c>
      <c r="F430" s="4" t="s">
        <v>354</v>
      </c>
      <c r="G430" s="4" t="s">
        <v>578</v>
      </c>
      <c r="H430" s="4" t="s">
        <v>575</v>
      </c>
      <c r="I430" s="7">
        <v>0.19370000000000001</v>
      </c>
      <c r="J430" s="7">
        <v>0.19370000000000001</v>
      </c>
      <c r="K430" s="50">
        <v>1.8E-3</v>
      </c>
      <c r="L430" s="74">
        <v>0.1875</v>
      </c>
      <c r="M430" s="74">
        <v>0.19109999999999999</v>
      </c>
      <c r="N430" s="7">
        <v>-0.53</v>
      </c>
      <c r="O430" s="4"/>
      <c r="P430" s="7">
        <v>1.3065</v>
      </c>
      <c r="W430" s="4"/>
      <c r="X430" s="4"/>
      <c r="Y430" s="4"/>
      <c r="Z430" s="7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  <c r="AM430" s="7"/>
      <c r="AN430" s="7"/>
      <c r="AO430" s="7"/>
      <c r="AP430" s="7"/>
      <c r="AQ430" s="7"/>
      <c r="AR430" s="7"/>
      <c r="AS430" s="7"/>
      <c r="AT430" s="7"/>
      <c r="AU430" s="7"/>
      <c r="AV430" s="7"/>
      <c r="AW430" s="4"/>
      <c r="AX430" s="2"/>
      <c r="AY430" s="7"/>
      <c r="AZ430" s="4"/>
      <c r="BA430" s="4"/>
      <c r="BB430" s="2"/>
      <c r="BC430" s="2"/>
      <c r="BD430" s="2"/>
      <c r="BE430" s="65"/>
      <c r="BF430" s="66"/>
      <c r="BG430" s="67"/>
      <c r="BH430" s="2"/>
      <c r="BI430" s="2"/>
      <c r="BJ430" s="3" t="s">
        <v>611</v>
      </c>
    </row>
    <row r="431" spans="1:70" ht="28.5" x14ac:dyDescent="0.45">
      <c r="A431" s="2" t="s">
        <v>13</v>
      </c>
      <c r="B431" s="54" t="s">
        <v>219</v>
      </c>
      <c r="C431" s="3">
        <v>45379</v>
      </c>
      <c r="D431" s="8">
        <v>5</v>
      </c>
      <c r="E431" s="2" t="s">
        <v>448</v>
      </c>
      <c r="F431" s="4" t="s">
        <v>354</v>
      </c>
      <c r="G431" s="4" t="s">
        <v>578</v>
      </c>
      <c r="H431" s="4" t="s">
        <v>575</v>
      </c>
      <c r="I431" s="7">
        <v>0.18129999999999999</v>
      </c>
      <c r="J431" s="7">
        <v>0.19089999999999999</v>
      </c>
      <c r="K431" s="50">
        <v>4.4999999999999997E-3</v>
      </c>
      <c r="L431" s="74">
        <v>0.18149999999999999</v>
      </c>
      <c r="M431" s="74">
        <v>0.18870000000000001</v>
      </c>
      <c r="N431" s="7">
        <v>0.01</v>
      </c>
      <c r="O431" s="4"/>
      <c r="P431" s="7">
        <v>1.3065</v>
      </c>
      <c r="W431" s="4"/>
      <c r="X431" s="4"/>
      <c r="Y431" s="4"/>
      <c r="Z431" s="7"/>
      <c r="AA431" s="7"/>
      <c r="AB431" s="7"/>
      <c r="AC431" s="7"/>
      <c r="AD431" s="7"/>
      <c r="AE431" s="7"/>
      <c r="AF431" s="7"/>
      <c r="AG431" s="7"/>
      <c r="AH431" s="7"/>
      <c r="AI431" s="7"/>
      <c r="AJ431" s="7"/>
      <c r="AK431" s="7"/>
      <c r="AL431" s="7"/>
      <c r="AM431" s="7"/>
      <c r="AN431" s="7"/>
      <c r="AO431" s="7"/>
      <c r="AP431" s="7"/>
      <c r="AQ431" s="7"/>
      <c r="AR431" s="7"/>
      <c r="AS431" s="7"/>
      <c r="AT431" s="7"/>
      <c r="AU431" s="7"/>
      <c r="AV431" s="7"/>
      <c r="AW431" s="4"/>
      <c r="AX431" s="2"/>
      <c r="AY431" s="7"/>
      <c r="AZ431" s="4"/>
      <c r="BA431" s="4"/>
      <c r="BB431" s="2"/>
      <c r="BC431" s="2"/>
      <c r="BD431" s="2"/>
      <c r="BE431" s="65"/>
      <c r="BF431" s="66"/>
      <c r="BG431" s="67"/>
      <c r="BH431" s="2"/>
      <c r="BI431" s="2"/>
      <c r="BJ431" s="3" t="s">
        <v>612</v>
      </c>
    </row>
    <row r="432" spans="1:70" ht="28.5" x14ac:dyDescent="0.45">
      <c r="A432" s="2" t="s">
        <v>13</v>
      </c>
      <c r="B432" s="54" t="s">
        <v>219</v>
      </c>
      <c r="C432" s="3">
        <v>45379</v>
      </c>
      <c r="D432" s="8">
        <v>6</v>
      </c>
      <c r="E432" s="2" t="s">
        <v>599</v>
      </c>
      <c r="F432" s="4" t="s">
        <v>354</v>
      </c>
      <c r="G432" s="4" t="s">
        <v>578</v>
      </c>
      <c r="H432" s="4" t="s">
        <v>575</v>
      </c>
      <c r="I432" s="7">
        <v>0.1726</v>
      </c>
      <c r="J432" s="7">
        <v>0.1855</v>
      </c>
      <c r="K432" s="50">
        <v>4.5999999999999999E-3</v>
      </c>
      <c r="L432" s="74">
        <v>0.17199999999999999</v>
      </c>
      <c r="M432" s="74">
        <v>0.18629999999999999</v>
      </c>
      <c r="N432" s="7">
        <v>0.16</v>
      </c>
      <c r="O432" s="4"/>
      <c r="P432" s="7">
        <v>1.3065</v>
      </c>
      <c r="W432" s="4"/>
      <c r="X432" s="4"/>
      <c r="Y432" s="4"/>
      <c r="Z432" s="7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  <c r="AL432" s="7"/>
      <c r="AM432" s="7"/>
      <c r="AN432" s="7"/>
      <c r="AO432" s="7"/>
      <c r="AP432" s="7"/>
      <c r="AQ432" s="7"/>
      <c r="AR432" s="7"/>
      <c r="AS432" s="7"/>
      <c r="AT432" s="7"/>
      <c r="AU432" s="7"/>
      <c r="AV432" s="7"/>
      <c r="AW432" s="4"/>
      <c r="AX432" s="2"/>
      <c r="AY432" s="7"/>
      <c r="AZ432" s="4"/>
      <c r="BA432" s="4"/>
      <c r="BB432" s="2"/>
      <c r="BC432" s="2"/>
      <c r="BD432" s="2"/>
      <c r="BE432" s="65"/>
      <c r="BF432" s="66"/>
      <c r="BG432" s="67"/>
      <c r="BH432" s="2"/>
      <c r="BI432" s="2"/>
      <c r="BJ432" s="3" t="s">
        <v>613</v>
      </c>
    </row>
    <row r="433" spans="1:62" ht="28.5" x14ac:dyDescent="0.45">
      <c r="A433" s="2" t="s">
        <v>13</v>
      </c>
      <c r="B433" s="54" t="s">
        <v>25</v>
      </c>
      <c r="C433" s="3">
        <v>45379</v>
      </c>
      <c r="D433" s="8">
        <v>1</v>
      </c>
      <c r="E433" s="2" t="s">
        <v>545</v>
      </c>
      <c r="F433" s="4" t="s">
        <v>354</v>
      </c>
      <c r="G433" s="4" t="s">
        <v>578</v>
      </c>
      <c r="H433" s="4" t="s">
        <v>223</v>
      </c>
      <c r="I433" s="7">
        <v>0.14879999999999999</v>
      </c>
      <c r="J433" s="7">
        <v>0.14879999999999999</v>
      </c>
      <c r="K433" s="50">
        <v>2.5999999999999999E-3</v>
      </c>
      <c r="L433" s="74">
        <v>0.161</v>
      </c>
      <c r="M433" s="74">
        <v>0.15440000000000001</v>
      </c>
      <c r="N433" s="7">
        <v>-0.51</v>
      </c>
      <c r="O433" s="4"/>
      <c r="P433" s="7">
        <v>1.2310000000000001</v>
      </c>
      <c r="W433" s="4"/>
      <c r="X433" s="4"/>
      <c r="Y433" s="4"/>
      <c r="Z433" s="7"/>
      <c r="AA433" s="7"/>
      <c r="AB433" s="7"/>
      <c r="AC433" s="7"/>
      <c r="AD433" s="7"/>
      <c r="AE433" s="7"/>
      <c r="AF433" s="7"/>
      <c r="AG433" s="7"/>
      <c r="AH433" s="7"/>
      <c r="AI433" s="7"/>
      <c r="AJ433" s="7"/>
      <c r="AK433" s="7"/>
      <c r="AL433" s="7"/>
      <c r="AM433" s="7"/>
      <c r="AN433" s="7"/>
      <c r="AO433" s="7"/>
      <c r="AP433" s="7"/>
      <c r="AQ433" s="7"/>
      <c r="AR433" s="7"/>
      <c r="AS433" s="7"/>
      <c r="AT433" s="7"/>
      <c r="AU433" s="7"/>
      <c r="AV433" s="7"/>
      <c r="AW433" s="4"/>
      <c r="AX433" s="2"/>
      <c r="AY433" s="7"/>
      <c r="AZ433" s="4"/>
      <c r="BA433" s="4"/>
      <c r="BB433" s="2"/>
      <c r="BC433" s="2"/>
      <c r="BD433" s="2"/>
      <c r="BE433" s="65"/>
      <c r="BF433" s="66"/>
      <c r="BG433" s="67"/>
      <c r="BH433" s="2"/>
      <c r="BI433" s="2"/>
      <c r="BJ433" s="3" t="s">
        <v>621</v>
      </c>
    </row>
    <row r="434" spans="1:62" ht="28.5" x14ac:dyDescent="0.45">
      <c r="A434" s="2" t="s">
        <v>13</v>
      </c>
      <c r="B434" s="54" t="s">
        <v>25</v>
      </c>
      <c r="C434" s="3">
        <v>45379</v>
      </c>
      <c r="D434" s="8">
        <v>2</v>
      </c>
      <c r="E434" s="2" t="s">
        <v>214</v>
      </c>
      <c r="F434" s="4" t="s">
        <v>354</v>
      </c>
      <c r="G434" s="4" t="s">
        <v>578</v>
      </c>
      <c r="H434" s="4" t="s">
        <v>223</v>
      </c>
      <c r="I434" s="7">
        <v>0.1484</v>
      </c>
      <c r="J434" s="7">
        <v>0.14749999999999999</v>
      </c>
      <c r="K434" s="50">
        <v>3.0000000000000001E-3</v>
      </c>
      <c r="L434" s="74">
        <v>0.1585</v>
      </c>
      <c r="M434" s="74">
        <v>0.1492</v>
      </c>
      <c r="N434" s="7">
        <v>-0.56000000000000005</v>
      </c>
      <c r="O434" s="4"/>
      <c r="P434" s="7">
        <v>1.2310000000000001</v>
      </c>
      <c r="W434" s="4"/>
      <c r="X434" s="4"/>
      <c r="Y434" s="4"/>
      <c r="Z434" s="7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  <c r="AL434" s="7"/>
      <c r="AM434" s="7"/>
      <c r="AN434" s="7"/>
      <c r="AO434" s="7"/>
      <c r="AP434" s="7"/>
      <c r="AQ434" s="7"/>
      <c r="AR434" s="7"/>
      <c r="AS434" s="7"/>
      <c r="AT434" s="7"/>
      <c r="AU434" s="7"/>
      <c r="AV434" s="7"/>
      <c r="AW434" s="4"/>
      <c r="AX434" s="2"/>
      <c r="AY434" s="7"/>
      <c r="AZ434" s="4"/>
      <c r="BA434" s="4"/>
      <c r="BB434" s="2"/>
      <c r="BC434" s="2"/>
      <c r="BD434" s="2"/>
      <c r="BE434" s="65"/>
      <c r="BF434" s="66"/>
      <c r="BG434" s="67"/>
      <c r="BH434" s="2"/>
      <c r="BI434" s="2"/>
      <c r="BJ434" s="3" t="s">
        <v>622</v>
      </c>
    </row>
    <row r="435" spans="1:62" ht="28.5" x14ac:dyDescent="0.45">
      <c r="A435" s="2" t="s">
        <v>13</v>
      </c>
      <c r="B435" s="54" t="s">
        <v>25</v>
      </c>
      <c r="C435" s="3">
        <v>45379</v>
      </c>
      <c r="D435" s="8">
        <v>3</v>
      </c>
      <c r="E435" s="2" t="s">
        <v>600</v>
      </c>
      <c r="F435" s="4" t="s">
        <v>354</v>
      </c>
      <c r="G435" s="4" t="s">
        <v>578</v>
      </c>
      <c r="H435" s="4" t="s">
        <v>223</v>
      </c>
      <c r="I435" s="7">
        <v>0.1459</v>
      </c>
      <c r="J435" s="7">
        <v>0.14799999999999999</v>
      </c>
      <c r="K435" s="50">
        <v>4.5999999999999999E-3</v>
      </c>
      <c r="L435" s="74">
        <v>0.153</v>
      </c>
      <c r="M435" s="74">
        <v>0.1497</v>
      </c>
      <c r="N435" s="7">
        <v>-0.41</v>
      </c>
      <c r="O435" s="4"/>
      <c r="P435" s="7">
        <v>1.2310000000000001</v>
      </c>
      <c r="W435" s="4"/>
      <c r="X435" s="4"/>
      <c r="Y435" s="4"/>
      <c r="Z435" s="7"/>
      <c r="AA435" s="7"/>
      <c r="AB435" s="7"/>
      <c r="AC435" s="7"/>
      <c r="AD435" s="7"/>
      <c r="AE435" s="7"/>
      <c r="AF435" s="7"/>
      <c r="AG435" s="7"/>
      <c r="AH435" s="7"/>
      <c r="AI435" s="7"/>
      <c r="AJ435" s="7"/>
      <c r="AK435" s="7"/>
      <c r="AL435" s="7"/>
      <c r="AM435" s="7"/>
      <c r="AN435" s="7"/>
      <c r="AO435" s="7"/>
      <c r="AP435" s="7"/>
      <c r="AQ435" s="7"/>
      <c r="AR435" s="7"/>
      <c r="AS435" s="7"/>
      <c r="AT435" s="7"/>
      <c r="AU435" s="7"/>
      <c r="AV435" s="7"/>
      <c r="AW435" s="4"/>
      <c r="AX435" s="2"/>
      <c r="AY435" s="7"/>
      <c r="AZ435" s="4"/>
      <c r="BA435" s="4"/>
      <c r="BB435" s="2"/>
      <c r="BC435" s="2"/>
      <c r="BD435" s="2"/>
      <c r="BE435" s="65"/>
      <c r="BF435" s="66"/>
      <c r="BG435" s="67"/>
      <c r="BH435" s="2"/>
      <c r="BI435" s="2"/>
      <c r="BJ435" s="3" t="s">
        <v>623</v>
      </c>
    </row>
    <row r="436" spans="1:62" ht="28.5" x14ac:dyDescent="0.45">
      <c r="A436" s="2" t="s">
        <v>13</v>
      </c>
      <c r="B436" s="54" t="s">
        <v>25</v>
      </c>
      <c r="C436" s="3">
        <v>45379</v>
      </c>
      <c r="D436" s="8">
        <v>4</v>
      </c>
      <c r="E436" s="2" t="s">
        <v>545</v>
      </c>
      <c r="F436" s="4" t="s">
        <v>354</v>
      </c>
      <c r="G436" s="4" t="s">
        <v>578</v>
      </c>
      <c r="H436" s="4" t="s">
        <v>223</v>
      </c>
      <c r="I436" s="48"/>
      <c r="J436" s="48"/>
      <c r="K436" s="51"/>
      <c r="L436" s="74">
        <v>0.1575</v>
      </c>
      <c r="M436" s="74">
        <v>0.1507</v>
      </c>
      <c r="N436" s="48"/>
      <c r="O436" s="4"/>
      <c r="P436" s="7">
        <v>1.2310000000000001</v>
      </c>
      <c r="W436" s="4"/>
      <c r="X436" s="4"/>
      <c r="Y436" s="4"/>
      <c r="Z436" s="7"/>
      <c r="AA436" s="7"/>
      <c r="AB436" s="7"/>
      <c r="AC436" s="7"/>
      <c r="AD436" s="7"/>
      <c r="AE436" s="7"/>
      <c r="AF436" s="7"/>
      <c r="AG436" s="7"/>
      <c r="AH436" s="7"/>
      <c r="AI436" s="7"/>
      <c r="AJ436" s="7"/>
      <c r="AK436" s="7"/>
      <c r="AL436" s="7"/>
      <c r="AM436" s="7"/>
      <c r="AN436" s="7"/>
      <c r="AO436" s="7"/>
      <c r="AP436" s="7"/>
      <c r="AQ436" s="7"/>
      <c r="AR436" s="7"/>
      <c r="AS436" s="7"/>
      <c r="AT436" s="7"/>
      <c r="AU436" s="7"/>
      <c r="AV436" s="7"/>
      <c r="AW436" s="4"/>
      <c r="AX436" s="2"/>
      <c r="AY436" s="7"/>
      <c r="AZ436" s="4"/>
      <c r="BA436" s="4"/>
      <c r="BB436" s="2"/>
      <c r="BC436" s="2"/>
      <c r="BD436" s="2"/>
      <c r="BE436" s="65"/>
      <c r="BF436" s="66"/>
      <c r="BG436" s="67"/>
      <c r="BH436" s="2"/>
      <c r="BI436" s="2"/>
      <c r="BJ436" s="3" t="s">
        <v>624</v>
      </c>
    </row>
    <row r="437" spans="1:62" ht="28.5" x14ac:dyDescent="0.45">
      <c r="A437" s="2" t="s">
        <v>13</v>
      </c>
      <c r="B437" s="54" t="s">
        <v>25</v>
      </c>
      <c r="C437" s="3">
        <v>45379</v>
      </c>
      <c r="D437" s="8">
        <v>5</v>
      </c>
      <c r="E437" s="2" t="s">
        <v>214</v>
      </c>
      <c r="F437" s="4" t="s">
        <v>354</v>
      </c>
      <c r="G437" s="4" t="s">
        <v>578</v>
      </c>
      <c r="H437" s="4" t="s">
        <v>223</v>
      </c>
      <c r="I437" s="7">
        <v>0.14940000000000001</v>
      </c>
      <c r="J437" s="7">
        <v>0.14849999999999999</v>
      </c>
      <c r="K437" s="50">
        <v>2.5000000000000001E-3</v>
      </c>
      <c r="L437" s="74">
        <v>0.1565</v>
      </c>
      <c r="M437" s="74">
        <v>0.15029999999999999</v>
      </c>
      <c r="N437" s="7">
        <v>-0.55000000000000004</v>
      </c>
      <c r="O437" s="4"/>
      <c r="P437" s="7">
        <v>1.2310000000000001</v>
      </c>
      <c r="W437" s="4"/>
      <c r="X437" s="4"/>
      <c r="Y437" s="4"/>
      <c r="Z437" s="7"/>
      <c r="AA437" s="7"/>
      <c r="AB437" s="7"/>
      <c r="AC437" s="7"/>
      <c r="AD437" s="7"/>
      <c r="AE437" s="7"/>
      <c r="AF437" s="7"/>
      <c r="AG437" s="7"/>
      <c r="AH437" s="7"/>
      <c r="AI437" s="7"/>
      <c r="AJ437" s="7"/>
      <c r="AK437" s="7"/>
      <c r="AL437" s="7"/>
      <c r="AM437" s="7"/>
      <c r="AN437" s="7"/>
      <c r="AO437" s="7"/>
      <c r="AP437" s="7"/>
      <c r="AQ437" s="7"/>
      <c r="AR437" s="7"/>
      <c r="AS437" s="7"/>
      <c r="AT437" s="7"/>
      <c r="AU437" s="7"/>
      <c r="AV437" s="7"/>
      <c r="AW437" s="4"/>
      <c r="AX437" s="2"/>
      <c r="AY437" s="7"/>
      <c r="AZ437" s="4"/>
      <c r="BA437" s="4"/>
      <c r="BB437" s="2"/>
      <c r="BC437" s="2"/>
      <c r="BD437" s="2"/>
      <c r="BE437" s="65"/>
      <c r="BF437" s="66"/>
      <c r="BG437" s="67"/>
      <c r="BH437" s="2"/>
      <c r="BI437" s="2"/>
      <c r="BJ437" s="3" t="s">
        <v>625</v>
      </c>
    </row>
    <row r="438" spans="1:62" ht="28.5" x14ac:dyDescent="0.45">
      <c r="A438" s="2" t="s">
        <v>13</v>
      </c>
      <c r="B438" s="54" t="s">
        <v>25</v>
      </c>
      <c r="C438" s="3">
        <v>45379</v>
      </c>
      <c r="D438" s="8">
        <v>6</v>
      </c>
      <c r="E438" s="2" t="s">
        <v>600</v>
      </c>
      <c r="F438" s="4" t="s">
        <v>354</v>
      </c>
      <c r="G438" s="4" t="s">
        <v>578</v>
      </c>
      <c r="H438" s="4" t="s">
        <v>223</v>
      </c>
      <c r="I438" s="7">
        <v>0.1482</v>
      </c>
      <c r="J438" s="7">
        <v>0.15029999999999999</v>
      </c>
      <c r="K438" s="50">
        <v>2.2000000000000001E-3</v>
      </c>
      <c r="L438" s="74">
        <v>0.155</v>
      </c>
      <c r="M438" s="74">
        <v>0.15029999999999999</v>
      </c>
      <c r="N438" s="7">
        <v>-0.39</v>
      </c>
      <c r="O438" s="4"/>
      <c r="P438" s="7">
        <v>1.2310000000000001</v>
      </c>
      <c r="W438" s="4"/>
      <c r="X438" s="4"/>
      <c r="Y438" s="4"/>
      <c r="Z438" s="7"/>
      <c r="AA438" s="7"/>
      <c r="AB438" s="7"/>
      <c r="AC438" s="7"/>
      <c r="AD438" s="7"/>
      <c r="AE438" s="7"/>
      <c r="AF438" s="7"/>
      <c r="AG438" s="7"/>
      <c r="AH438" s="7"/>
      <c r="AI438" s="7"/>
      <c r="AJ438" s="7"/>
      <c r="AK438" s="7"/>
      <c r="AL438" s="7"/>
      <c r="AM438" s="7"/>
      <c r="AN438" s="7"/>
      <c r="AO438" s="7"/>
      <c r="AP438" s="7"/>
      <c r="AQ438" s="7"/>
      <c r="AR438" s="7"/>
      <c r="AS438" s="7"/>
      <c r="AT438" s="7"/>
      <c r="AU438" s="7"/>
      <c r="AV438" s="7"/>
      <c r="AW438" s="4"/>
      <c r="AX438" s="2"/>
      <c r="AY438" s="7"/>
      <c r="AZ438" s="4"/>
      <c r="BA438" s="4"/>
      <c r="BB438" s="2"/>
      <c r="BC438" s="2"/>
      <c r="BD438" s="2"/>
      <c r="BE438" s="65"/>
      <c r="BF438" s="66"/>
      <c r="BG438" s="67"/>
      <c r="BH438" s="2"/>
      <c r="BI438" s="2"/>
      <c r="BJ438" s="3" t="s">
        <v>626</v>
      </c>
    </row>
    <row r="439" spans="1:62" ht="28.5" x14ac:dyDescent="0.45">
      <c r="A439" s="2" t="s">
        <v>13</v>
      </c>
      <c r="B439" s="54" t="s">
        <v>25</v>
      </c>
      <c r="C439" s="3">
        <v>45379</v>
      </c>
      <c r="D439" s="8">
        <v>7</v>
      </c>
      <c r="E439" s="2" t="s">
        <v>550</v>
      </c>
      <c r="F439" s="4" t="s">
        <v>354</v>
      </c>
      <c r="G439" s="4" t="s">
        <v>578</v>
      </c>
      <c r="H439" s="4" t="s">
        <v>223</v>
      </c>
      <c r="I439" s="7">
        <v>0.14929999999999999</v>
      </c>
      <c r="J439" s="7">
        <v>0.14910000000000001</v>
      </c>
      <c r="K439" s="50">
        <v>2.8999999999999998E-3</v>
      </c>
      <c r="L439" s="74">
        <v>0.1525</v>
      </c>
      <c r="M439" s="74">
        <v>0.152</v>
      </c>
      <c r="N439" s="7">
        <v>-0.52</v>
      </c>
      <c r="O439" s="4"/>
      <c r="P439" s="7">
        <v>1.2310000000000001</v>
      </c>
      <c r="W439" s="4"/>
      <c r="X439" s="4"/>
      <c r="Y439" s="4"/>
      <c r="Z439" s="7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  <c r="AL439" s="7"/>
      <c r="AM439" s="7"/>
      <c r="AN439" s="7"/>
      <c r="AO439" s="7"/>
      <c r="AP439" s="7"/>
      <c r="AQ439" s="7"/>
      <c r="AR439" s="7"/>
      <c r="AS439" s="7"/>
      <c r="AT439" s="7"/>
      <c r="AU439" s="7"/>
      <c r="AV439" s="7"/>
      <c r="AW439" s="4"/>
      <c r="AX439" s="2"/>
      <c r="AY439" s="7"/>
      <c r="AZ439" s="4"/>
      <c r="BA439" s="4"/>
      <c r="BB439" s="2"/>
      <c r="BC439" s="2"/>
      <c r="BD439" s="2"/>
      <c r="BE439" s="65"/>
      <c r="BF439" s="66"/>
      <c r="BG439" s="67"/>
      <c r="BH439" s="2"/>
      <c r="BI439" s="2"/>
      <c r="BJ439" s="3" t="s">
        <v>627</v>
      </c>
    </row>
    <row r="440" spans="1:62" ht="28.5" x14ac:dyDescent="0.45">
      <c r="A440" s="2" t="s">
        <v>13</v>
      </c>
      <c r="B440" s="54" t="s">
        <v>25</v>
      </c>
      <c r="C440" s="3">
        <v>45379</v>
      </c>
      <c r="D440" s="8">
        <v>8</v>
      </c>
      <c r="E440" s="2" t="s">
        <v>550</v>
      </c>
      <c r="F440" s="4" t="s">
        <v>354</v>
      </c>
      <c r="G440" s="4" t="s">
        <v>578</v>
      </c>
      <c r="H440" s="4" t="s">
        <v>572</v>
      </c>
      <c r="I440" s="7">
        <v>0.15160000000000001</v>
      </c>
      <c r="J440" s="7">
        <v>0.15160000000000001</v>
      </c>
      <c r="K440" s="50">
        <v>1.6000000000000001E-3</v>
      </c>
      <c r="L440" s="74">
        <v>0.1595</v>
      </c>
      <c r="M440" s="74">
        <v>0.15140000000000001</v>
      </c>
      <c r="N440" s="7">
        <v>-0.57999999999999996</v>
      </c>
      <c r="O440" s="4"/>
      <c r="P440" s="7">
        <v>1.2310000000000001</v>
      </c>
      <c r="W440" s="4"/>
      <c r="X440" s="4"/>
      <c r="Y440" s="4"/>
      <c r="Z440" s="7"/>
      <c r="AA440" s="7"/>
      <c r="AB440" s="7"/>
      <c r="AC440" s="7"/>
      <c r="AD440" s="7"/>
      <c r="AE440" s="7"/>
      <c r="AF440" s="7"/>
      <c r="AG440" s="7"/>
      <c r="AH440" s="7"/>
      <c r="AI440" s="7"/>
      <c r="AJ440" s="7"/>
      <c r="AK440" s="7"/>
      <c r="AL440" s="7"/>
      <c r="AM440" s="7"/>
      <c r="AN440" s="7"/>
      <c r="AO440" s="7"/>
      <c r="AP440" s="7"/>
      <c r="AQ440" s="7"/>
      <c r="AR440" s="7"/>
      <c r="AS440" s="7"/>
      <c r="AT440" s="7"/>
      <c r="AU440" s="7"/>
      <c r="AV440" s="7"/>
      <c r="AW440" s="4"/>
      <c r="AX440" s="2"/>
      <c r="AY440" s="7"/>
      <c r="AZ440" s="4"/>
      <c r="BA440" s="4"/>
      <c r="BB440" s="2"/>
      <c r="BC440" s="2"/>
      <c r="BD440" s="2"/>
      <c r="BE440" s="65"/>
      <c r="BF440" s="66"/>
      <c r="BG440" s="67"/>
      <c r="BH440" s="2"/>
      <c r="BI440" s="2"/>
      <c r="BJ440" s="3" t="s">
        <v>628</v>
      </c>
    </row>
    <row r="441" spans="1:62" ht="28.5" x14ac:dyDescent="0.45">
      <c r="A441" s="2" t="s">
        <v>43</v>
      </c>
      <c r="B441" s="54" t="s">
        <v>46</v>
      </c>
      <c r="C441" s="3">
        <v>45379</v>
      </c>
      <c r="D441" s="8">
        <v>1</v>
      </c>
      <c r="E441" s="2" t="s">
        <v>549</v>
      </c>
      <c r="F441" s="4" t="s">
        <v>216</v>
      </c>
      <c r="G441" s="4" t="s">
        <v>603</v>
      </c>
      <c r="H441" s="4" t="s">
        <v>572</v>
      </c>
      <c r="I441" s="7">
        <v>0.16769999999999999</v>
      </c>
      <c r="J441" s="7">
        <v>0.16769999999999999</v>
      </c>
      <c r="K441" s="50">
        <v>4.1000000000000003E-3</v>
      </c>
      <c r="L441" s="7"/>
      <c r="M441" s="74">
        <v>0.1661</v>
      </c>
      <c r="N441" s="7">
        <v>-0.5</v>
      </c>
      <c r="O441" s="4"/>
      <c r="P441" s="7">
        <v>1.2845</v>
      </c>
      <c r="W441" s="4"/>
      <c r="X441" s="4"/>
      <c r="Y441" s="4"/>
      <c r="Z441" s="7"/>
      <c r="AA441" s="7"/>
      <c r="AB441" s="7"/>
      <c r="AC441" s="7"/>
      <c r="AD441" s="7"/>
      <c r="AE441" s="7"/>
      <c r="AF441" s="7"/>
      <c r="AG441" s="7"/>
      <c r="AH441" s="7"/>
      <c r="AI441" s="7"/>
      <c r="AJ441" s="7"/>
      <c r="AK441" s="7"/>
      <c r="AL441" s="7"/>
      <c r="AM441" s="7"/>
      <c r="AN441" s="7"/>
      <c r="AO441" s="7"/>
      <c r="AP441" s="7"/>
      <c r="AQ441" s="7"/>
      <c r="AR441" s="7"/>
      <c r="AS441" s="7"/>
      <c r="AT441" s="7"/>
      <c r="AU441" s="7"/>
      <c r="AV441" s="7"/>
      <c r="AW441" s="4"/>
      <c r="AX441" s="2"/>
      <c r="AY441" s="7"/>
      <c r="AZ441" s="4"/>
      <c r="BA441" s="4"/>
      <c r="BB441" s="2"/>
      <c r="BC441" s="2"/>
      <c r="BD441" s="2"/>
      <c r="BE441" s="65"/>
      <c r="BF441" s="66"/>
      <c r="BG441" s="67"/>
      <c r="BH441" s="2"/>
      <c r="BI441" s="2"/>
      <c r="BJ441" s="3" t="s">
        <v>629</v>
      </c>
    </row>
    <row r="442" spans="1:62" ht="28.5" x14ac:dyDescent="0.45">
      <c r="A442" s="2" t="s">
        <v>43</v>
      </c>
      <c r="B442" s="54" t="s">
        <v>46</v>
      </c>
      <c r="C442" s="3">
        <v>45379</v>
      </c>
      <c r="D442" s="8">
        <v>2</v>
      </c>
      <c r="E442" s="2" t="s">
        <v>550</v>
      </c>
      <c r="F442" s="4" t="s">
        <v>216</v>
      </c>
      <c r="G442" s="4" t="s">
        <v>603</v>
      </c>
      <c r="H442" s="4" t="s">
        <v>572</v>
      </c>
      <c r="I442" s="7">
        <v>0.1681</v>
      </c>
      <c r="J442" s="7">
        <v>0.1681</v>
      </c>
      <c r="K442" s="50">
        <v>2.5999999999999999E-3</v>
      </c>
      <c r="L442" s="7"/>
      <c r="M442" s="74">
        <v>0.1661</v>
      </c>
      <c r="N442" s="7">
        <v>-0.43</v>
      </c>
      <c r="O442" s="4"/>
      <c r="P442" s="7">
        <v>1.2845</v>
      </c>
      <c r="W442" s="4"/>
      <c r="X442" s="4"/>
      <c r="Y442" s="4"/>
      <c r="Z442" s="7"/>
      <c r="AA442" s="7"/>
      <c r="AB442" s="7"/>
      <c r="AC442" s="7"/>
      <c r="AD442" s="7"/>
      <c r="AE442" s="7"/>
      <c r="AF442" s="7"/>
      <c r="AG442" s="7"/>
      <c r="AH442" s="7"/>
      <c r="AI442" s="7"/>
      <c r="AJ442" s="7"/>
      <c r="AK442" s="7"/>
      <c r="AL442" s="7"/>
      <c r="AM442" s="7"/>
      <c r="AN442" s="7"/>
      <c r="AO442" s="7"/>
      <c r="AP442" s="7"/>
      <c r="AQ442" s="7"/>
      <c r="AR442" s="7"/>
      <c r="AS442" s="7"/>
      <c r="AT442" s="7"/>
      <c r="AU442" s="7"/>
      <c r="AV442" s="7"/>
      <c r="AW442" s="4"/>
      <c r="AX442" s="2"/>
      <c r="AY442" s="7"/>
      <c r="AZ442" s="4"/>
      <c r="BA442" s="4"/>
      <c r="BB442" s="2"/>
      <c r="BC442" s="2"/>
      <c r="BD442" s="2"/>
      <c r="BE442" s="65"/>
      <c r="BF442" s="66"/>
      <c r="BG442" s="67"/>
      <c r="BH442" s="2"/>
      <c r="BI442" s="2"/>
      <c r="BJ442" s="3" t="s">
        <v>615</v>
      </c>
    </row>
    <row r="443" spans="1:62" ht="28.5" x14ac:dyDescent="0.45">
      <c r="A443" s="2" t="s">
        <v>43</v>
      </c>
      <c r="B443" s="54" t="s">
        <v>46</v>
      </c>
      <c r="C443" s="3">
        <v>45379</v>
      </c>
      <c r="D443" s="8">
        <v>3</v>
      </c>
      <c r="E443" s="2" t="s">
        <v>549</v>
      </c>
      <c r="F443" s="4" t="s">
        <v>216</v>
      </c>
      <c r="G443" s="4" t="s">
        <v>602</v>
      </c>
      <c r="H443" s="4" t="s">
        <v>572</v>
      </c>
      <c r="I443" s="7">
        <v>0.16489999999999999</v>
      </c>
      <c r="J443" s="7">
        <v>0.16489999999999999</v>
      </c>
      <c r="K443" s="50">
        <v>3.7000000000000002E-3</v>
      </c>
      <c r="L443" s="7"/>
      <c r="M443" s="74">
        <v>0.16539999999999999</v>
      </c>
      <c r="N443" s="7">
        <v>-0.39</v>
      </c>
      <c r="O443" s="4"/>
      <c r="P443" s="7">
        <v>1.2845</v>
      </c>
      <c r="W443" s="4"/>
      <c r="X443" s="4"/>
      <c r="Y443" s="4"/>
      <c r="Z443" s="7"/>
      <c r="AA443" s="7"/>
      <c r="AB443" s="7"/>
      <c r="AC443" s="7"/>
      <c r="AD443" s="7"/>
      <c r="AE443" s="7"/>
      <c r="AF443" s="7"/>
      <c r="AG443" s="7"/>
      <c r="AH443" s="7"/>
      <c r="AI443" s="7"/>
      <c r="AJ443" s="7"/>
      <c r="AK443" s="7"/>
      <c r="AL443" s="7"/>
      <c r="AM443" s="7"/>
      <c r="AN443" s="7"/>
      <c r="AO443" s="7"/>
      <c r="AP443" s="7"/>
      <c r="AQ443" s="7"/>
      <c r="AR443" s="7"/>
      <c r="AS443" s="7"/>
      <c r="AT443" s="7"/>
      <c r="AU443" s="7"/>
      <c r="AV443" s="7"/>
      <c r="AW443" s="4"/>
      <c r="AX443" s="2"/>
      <c r="AY443" s="7"/>
      <c r="AZ443" s="4"/>
      <c r="BA443" s="4"/>
      <c r="BB443" s="2"/>
      <c r="BC443" s="2"/>
      <c r="BD443" s="2"/>
      <c r="BE443" s="65"/>
      <c r="BF443" s="66"/>
      <c r="BG443" s="67"/>
      <c r="BH443" s="2"/>
      <c r="BI443" s="2"/>
      <c r="BJ443" s="3" t="s">
        <v>616</v>
      </c>
    </row>
    <row r="444" spans="1:62" ht="28.5" x14ac:dyDescent="0.45">
      <c r="A444" s="2" t="s">
        <v>43</v>
      </c>
      <c r="B444" s="54" t="s">
        <v>46</v>
      </c>
      <c r="C444" s="3">
        <v>45379</v>
      </c>
      <c r="D444" s="8">
        <v>4</v>
      </c>
      <c r="E444" s="2" t="s">
        <v>549</v>
      </c>
      <c r="F444" s="4" t="s">
        <v>216</v>
      </c>
      <c r="G444" s="4" t="s">
        <v>603</v>
      </c>
      <c r="H444" s="4" t="s">
        <v>572</v>
      </c>
      <c r="I444" s="7">
        <v>0.16930000000000001</v>
      </c>
      <c r="J444" s="7">
        <v>0.16930000000000001</v>
      </c>
      <c r="K444" s="50">
        <v>4.4999999999999997E-3</v>
      </c>
      <c r="L444" s="7"/>
      <c r="M444" s="74">
        <v>0.16489999999999999</v>
      </c>
      <c r="N444" s="7">
        <v>-0.39</v>
      </c>
      <c r="O444" s="4"/>
      <c r="P444" s="7">
        <v>1.2845</v>
      </c>
      <c r="W444" s="4"/>
      <c r="X444" s="4"/>
      <c r="Y444" s="4"/>
      <c r="Z444" s="7"/>
      <c r="AA444" s="7"/>
      <c r="AB444" s="7"/>
      <c r="AC444" s="7"/>
      <c r="AD444" s="7"/>
      <c r="AE444" s="7"/>
      <c r="AF444" s="7"/>
      <c r="AG444" s="7"/>
      <c r="AH444" s="7"/>
      <c r="AI444" s="7"/>
      <c r="AJ444" s="7"/>
      <c r="AK444" s="7"/>
      <c r="AL444" s="7"/>
      <c r="AM444" s="7"/>
      <c r="AN444" s="7"/>
      <c r="AO444" s="7"/>
      <c r="AP444" s="7"/>
      <c r="AQ444" s="7"/>
      <c r="AR444" s="7"/>
      <c r="AS444" s="7"/>
      <c r="AT444" s="7"/>
      <c r="AU444" s="7"/>
      <c r="AV444" s="7"/>
      <c r="AW444" s="4"/>
      <c r="AX444" s="2"/>
      <c r="AY444" s="7"/>
      <c r="AZ444" s="4"/>
      <c r="BA444" s="4"/>
      <c r="BB444" s="2"/>
      <c r="BC444" s="2"/>
      <c r="BD444" s="2"/>
      <c r="BE444" s="65"/>
      <c r="BF444" s="66"/>
      <c r="BG444" s="67"/>
      <c r="BH444" s="2"/>
      <c r="BI444" s="2"/>
      <c r="BJ444" s="3" t="s">
        <v>617</v>
      </c>
    </row>
    <row r="445" spans="1:62" ht="28.5" x14ac:dyDescent="0.45">
      <c r="A445" s="2" t="s">
        <v>43</v>
      </c>
      <c r="B445" s="54" t="s">
        <v>46</v>
      </c>
      <c r="C445" s="3">
        <v>45379</v>
      </c>
      <c r="D445" s="8">
        <v>5</v>
      </c>
      <c r="E445" s="2" t="s">
        <v>550</v>
      </c>
      <c r="F445" s="4" t="s">
        <v>216</v>
      </c>
      <c r="G445" s="4" t="s">
        <v>603</v>
      </c>
      <c r="H445" s="4" t="s">
        <v>572</v>
      </c>
      <c r="I445" s="7">
        <v>0.1686</v>
      </c>
      <c r="J445" s="7">
        <v>0.1686</v>
      </c>
      <c r="K445" s="50">
        <v>3.0000000000000001E-3</v>
      </c>
      <c r="L445" s="7"/>
      <c r="M445" s="74">
        <v>0.16739999999999999</v>
      </c>
      <c r="N445" s="7">
        <v>-0.43</v>
      </c>
      <c r="O445" s="4"/>
      <c r="P445" s="7">
        <v>1.2845</v>
      </c>
      <c r="W445" s="4"/>
      <c r="X445" s="4"/>
      <c r="Y445" s="4"/>
      <c r="Z445" s="7"/>
      <c r="AA445" s="7"/>
      <c r="AB445" s="7"/>
      <c r="AC445" s="7"/>
      <c r="AD445" s="7"/>
      <c r="AE445" s="7"/>
      <c r="AF445" s="7"/>
      <c r="AG445" s="7"/>
      <c r="AH445" s="7"/>
      <c r="AI445" s="7"/>
      <c r="AJ445" s="7"/>
      <c r="AK445" s="7"/>
      <c r="AL445" s="7"/>
      <c r="AM445" s="7"/>
      <c r="AN445" s="7"/>
      <c r="AO445" s="7"/>
      <c r="AP445" s="7"/>
      <c r="AQ445" s="7"/>
      <c r="AR445" s="7"/>
      <c r="AS445" s="7"/>
      <c r="AT445" s="7"/>
      <c r="AU445" s="7"/>
      <c r="AV445" s="7"/>
      <c r="AW445" s="4"/>
      <c r="AX445" s="2"/>
      <c r="AY445" s="7"/>
      <c r="AZ445" s="4"/>
      <c r="BA445" s="4"/>
      <c r="BB445" s="2"/>
      <c r="BC445" s="2"/>
      <c r="BD445" s="2"/>
      <c r="BE445" s="65"/>
      <c r="BF445" s="66"/>
      <c r="BG445" s="67"/>
      <c r="BH445" s="2"/>
      <c r="BI445" s="2"/>
      <c r="BJ445" s="3" t="s">
        <v>618</v>
      </c>
    </row>
    <row r="446" spans="1:62" ht="28.5" x14ac:dyDescent="0.45">
      <c r="A446" s="2" t="s">
        <v>43</v>
      </c>
      <c r="B446" s="54" t="s">
        <v>46</v>
      </c>
      <c r="C446" s="3">
        <v>45379</v>
      </c>
      <c r="D446" s="8">
        <v>6</v>
      </c>
      <c r="E446" s="2" t="s">
        <v>549</v>
      </c>
      <c r="F446" s="4" t="s">
        <v>216</v>
      </c>
      <c r="G446" s="4" t="s">
        <v>602</v>
      </c>
      <c r="H446" s="4" t="s">
        <v>572</v>
      </c>
      <c r="I446" s="7">
        <v>0.16450000000000001</v>
      </c>
      <c r="J446" s="7">
        <v>0.16450000000000001</v>
      </c>
      <c r="K446" s="50">
        <v>2.5999999999999999E-3</v>
      </c>
      <c r="L446" s="7"/>
      <c r="M446" s="74">
        <v>0.16350000000000001</v>
      </c>
      <c r="N446" s="7">
        <v>-0.46</v>
      </c>
      <c r="O446" s="4"/>
      <c r="P446" s="7">
        <v>1.2845</v>
      </c>
      <c r="W446" s="4"/>
      <c r="X446" s="4"/>
      <c r="Y446" s="4"/>
      <c r="Z446" s="7"/>
      <c r="AA446" s="7"/>
      <c r="AB446" s="7"/>
      <c r="AC446" s="7"/>
      <c r="AD446" s="7"/>
      <c r="AE446" s="7"/>
      <c r="AF446" s="7"/>
      <c r="AG446" s="7"/>
      <c r="AH446" s="7"/>
      <c r="AI446" s="7"/>
      <c r="AJ446" s="7"/>
      <c r="AK446" s="7"/>
      <c r="AL446" s="7"/>
      <c r="AM446" s="7"/>
      <c r="AN446" s="7"/>
      <c r="AO446" s="7"/>
      <c r="AP446" s="7"/>
      <c r="AQ446" s="7"/>
      <c r="AR446" s="7"/>
      <c r="AS446" s="7"/>
      <c r="AT446" s="7"/>
      <c r="AU446" s="7"/>
      <c r="AV446" s="7"/>
      <c r="AW446" s="4"/>
      <c r="AX446" s="2"/>
      <c r="AY446" s="7"/>
      <c r="AZ446" s="4"/>
      <c r="BA446" s="4"/>
      <c r="BB446" s="2"/>
      <c r="BC446" s="2"/>
      <c r="BD446" s="2"/>
      <c r="BE446" s="65"/>
      <c r="BF446" s="66"/>
      <c r="BG446" s="67"/>
      <c r="BH446" s="2"/>
      <c r="BI446" s="2"/>
      <c r="BJ446" s="3" t="s">
        <v>619</v>
      </c>
    </row>
    <row r="447" spans="1:62" ht="28.5" x14ac:dyDescent="0.45">
      <c r="A447" s="2" t="s">
        <v>43</v>
      </c>
      <c r="B447" s="54" t="s">
        <v>46</v>
      </c>
      <c r="C447" s="3">
        <v>45379</v>
      </c>
      <c r="D447" s="8">
        <v>7</v>
      </c>
      <c r="E447" s="2" t="s">
        <v>601</v>
      </c>
      <c r="F447" s="4" t="s">
        <v>216</v>
      </c>
      <c r="G447" s="4" t="s">
        <v>603</v>
      </c>
      <c r="H447" s="4" t="s">
        <v>572</v>
      </c>
      <c r="I447" s="7">
        <v>0.17499999999999999</v>
      </c>
      <c r="J447" s="7">
        <v>0.17499999999999999</v>
      </c>
      <c r="K447" s="50">
        <v>1.9E-3</v>
      </c>
      <c r="L447" s="7"/>
      <c r="M447" s="74">
        <v>0.1744</v>
      </c>
      <c r="N447" s="7">
        <v>-0.43</v>
      </c>
      <c r="O447" s="4"/>
      <c r="P447" s="7">
        <v>1.2845</v>
      </c>
      <c r="W447" s="4"/>
      <c r="X447" s="4"/>
      <c r="Y447" s="4"/>
      <c r="Z447" s="7"/>
      <c r="AA447" s="7"/>
      <c r="AB447" s="7"/>
      <c r="AC447" s="7"/>
      <c r="AD447" s="7"/>
      <c r="AE447" s="7"/>
      <c r="AF447" s="7"/>
      <c r="AG447" s="7"/>
      <c r="AH447" s="7"/>
      <c r="AI447" s="7"/>
      <c r="AJ447" s="7"/>
      <c r="AK447" s="7"/>
      <c r="AL447" s="7"/>
      <c r="AM447" s="7"/>
      <c r="AN447" s="7"/>
      <c r="AO447" s="7"/>
      <c r="AP447" s="7"/>
      <c r="AQ447" s="7"/>
      <c r="AR447" s="7"/>
      <c r="AS447" s="7"/>
      <c r="AT447" s="7"/>
      <c r="AU447" s="7"/>
      <c r="AV447" s="7"/>
      <c r="AW447" s="4"/>
      <c r="AX447" s="2"/>
      <c r="AY447" s="7"/>
      <c r="AZ447" s="4"/>
      <c r="BA447" s="4"/>
      <c r="BB447" s="2"/>
      <c r="BC447" s="2"/>
      <c r="BD447" s="2"/>
      <c r="BE447" s="68"/>
      <c r="BF447" s="69"/>
      <c r="BG447" s="70"/>
      <c r="BH447" s="2"/>
      <c r="BI447" s="2"/>
      <c r="BJ447" s="3" t="s">
        <v>620</v>
      </c>
    </row>
  </sheetData>
  <phoneticPr fontId="6" type="noConversion"/>
  <hyperlinks>
    <hyperlink ref="BJ369" r:id="rId1" xr:uid="{996BAEBD-C2DD-4F95-96A4-693CC27400D9}"/>
    <hyperlink ref="BJ56" r:id="rId2" xr:uid="{9408C2B8-4C13-4B9C-98EA-FC91DFCEE753}"/>
    <hyperlink ref="BJ233" r:id="rId3" xr:uid="{4E638753-37B8-459D-BD98-DF40232ADBC2}"/>
    <hyperlink ref="BJ423" r:id="rId4" xr:uid="{A730C13D-25F8-4356-8F4E-FC6CF27DB158}"/>
  </hyperlinks>
  <pageMargins left="0.7" right="0.7" top="0.75" bottom="0.75" header="0.3" footer="0.3"/>
  <pageSetup paperSize="9" orientation="portrait" r:id="rId5"/>
  <tableParts count="1">
    <tablePart r:id="rId6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F1ECC6B2649324CB24C079D2C04510D" ma:contentTypeVersion="17" ma:contentTypeDescription="Create a new document." ma:contentTypeScope="" ma:versionID="608b5d954c2eb0ac10393708da8d34af">
  <xsd:schema xmlns:xsd="http://www.w3.org/2001/XMLSchema" xmlns:xs="http://www.w3.org/2001/XMLSchema" xmlns:p="http://schemas.microsoft.com/office/2006/metadata/properties" xmlns:ns2="65551c38-962b-4cee-924d-ef2df1bb8b98" xmlns:ns3="ec750ee3-7d64-422f-9b1f-0ca7238893a8" targetNamespace="http://schemas.microsoft.com/office/2006/metadata/properties" ma:root="true" ma:fieldsID="af171f03bd4cf151e3e856a6839c0cc7" ns2:_="" ns3:_="">
    <xsd:import namespace="65551c38-962b-4cee-924d-ef2df1bb8b98"/>
    <xsd:import namespace="ec750ee3-7d64-422f-9b1f-0ca7238893a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3:SharedWithUsers" minOccurs="0"/>
                <xsd:element ref="ns3:SharedWithDetails" minOccurs="0"/>
                <xsd:element ref="ns2:Campaign" minOccurs="0"/>
                <xsd:element ref="ns2:Year" minOccurs="0"/>
                <xsd:element ref="ns2:Squad" minOccurs="0"/>
                <xsd:element ref="ns2:MediaLengthInSecond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5551c38-962b-4cee-924d-ef2df1bb8b9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4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5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Campaign" ma:index="19" nillable="true" ma:displayName="Campaign" ma:description="What is the major Campaign that the document relates to?" ma:format="Dropdown" ma:internalName="Campaign">
      <xsd:simpleType>
        <xsd:restriction base="dms:Text">
          <xsd:maxLength value="255"/>
        </xsd:restriction>
      </xsd:simpleType>
    </xsd:element>
    <xsd:element name="Year" ma:index="20" nillable="true" ma:displayName="Year" ma:description="The year in which the document refers to." ma:format="Dropdown" ma:internalName="Year">
      <xsd:simpleType>
        <xsd:restriction base="dms:Text">
          <xsd:maxLength value="255"/>
        </xsd:restriction>
      </xsd:simpleType>
    </xsd:element>
    <xsd:element name="Squad" ma:index="21" nillable="true" ma:displayName="Squad" ma:format="Dropdown" ma:internalName="Squad">
      <xsd:simpleType>
        <xsd:restriction base="dms:Choice">
          <xsd:enumeration value="Elite"/>
          <xsd:enumeration value="Elite Development"/>
        </xsd:restriction>
      </xsd:simpleType>
    </xsd:element>
    <xsd:element name="MediaLengthInSeconds" ma:index="2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c750ee3-7d64-422f-9b1f-0ca7238893a8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ampaign xmlns="65551c38-962b-4cee-924d-ef2df1bb8b98" xsi:nil="true"/>
    <Year xmlns="65551c38-962b-4cee-924d-ef2df1bb8b98" xsi:nil="true"/>
    <Squad xmlns="65551c38-962b-4cee-924d-ef2df1bb8b98" xsi:nil="true"/>
  </documentManagement>
</p:properties>
</file>

<file path=customXml/itemProps1.xml><?xml version="1.0" encoding="utf-8"?>
<ds:datastoreItem xmlns:ds="http://schemas.openxmlformats.org/officeDocument/2006/customXml" ds:itemID="{2DCC068A-FED0-450E-AAE1-E4245F13E99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5551c38-962b-4cee-924d-ef2df1bb8b98"/>
    <ds:schemaRef ds:uri="ec750ee3-7d64-422f-9b1f-0ca7238893a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2AA00597-2AFA-4BE4-9EEA-BCD198E427CB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2E8B3F5-660B-4A23-B643-F4910670CCFF}">
  <ds:schemaRefs>
    <ds:schemaRef ds:uri="http://purl.org/dc/dcmitype/"/>
    <ds:schemaRef ds:uri="http://purl.org/dc/elements/1.1/"/>
    <ds:schemaRef ds:uri="65551c38-962b-4cee-924d-ef2df1bb8b98"/>
    <ds:schemaRef ds:uri="http://www.w3.org/XML/1998/namespac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ec750ee3-7d64-422f-9b1f-0ca7238893a8"/>
    <ds:schemaRef ds:uri="http://schemas.microsoft.com/office/2006/metadata/properties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CdA Track Testing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Shem Rodger</dc:creator>
  <cp:keywords/>
  <dc:description/>
  <cp:lastModifiedBy>Sam Bremer</cp:lastModifiedBy>
  <cp:revision/>
  <dcterms:created xsi:type="dcterms:W3CDTF">2021-03-14T20:41:43Z</dcterms:created>
  <dcterms:modified xsi:type="dcterms:W3CDTF">2024-04-14T22:49:22Z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0x0101004F1ECC6B2649324CB24C079D2C04510D</vt:lpwstr>
  </property>
  <property fmtid="{D5CDD505-2E9C-101B-9397-08002B2CF9AE}" pid="3" name="Squad">
    <vt:lpwstr/>
  </property>
  <property fmtid="{D5CDD505-2E9C-101B-9397-08002B2CF9AE}" pid="4" name="Athlete">
    <vt:lpwstr/>
  </property>
</Properties>
</file>