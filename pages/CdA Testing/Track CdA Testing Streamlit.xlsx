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4F1D8BC2-8631-4C86-9AD4-47ECAAE15628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<sst xmlns="http://schemas.openxmlformats.org/spreadsheetml/2006/main" count="3893" uniqueCount="666">
  <si>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</si>
  <si>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</si>
  <si>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</si>
  <si>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</si>
  <si>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</si>
  <si>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</si>
  <si>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</si>
  <si>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</si>
  <si>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</si>
  <si>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</si>
  <si>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</si>
  <si>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</si>
  <si>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</si>
  <si>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</si>
  <si>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</si>
  <si>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</si>
  <si>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</si>
  <si>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</si>
  <si>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</si>
  <si>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</si>
  <si>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</si>
  <si>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</si>
  <si>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</si>
  <si>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</si>
  <si>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</si>
  <si>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</si>
  <si>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</si>
  <si>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</si>
  <si>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</si>
  <si>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</si>
  <si>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</si>
  <si>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</si>
  <si>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</si>
  <si>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</si>
  <si>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</si>
  <si>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</si>
  <si>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</si>
  <si>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</si>
  <si>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</si>
  <si>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</si>
  <si>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</si>
  <si>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</si>
  <si>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</si>
  <si>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</si>
  <si>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</si>
  <si>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</si>
  <si>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</si>
  <si>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</si>
  <si>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</si>
  <si>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</si>
  <si>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</si>
  <si>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</si>
  <si>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</si>
  <si>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</si>
  <si>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</si>
  <si>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</si>
  <si>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</si>
  <si>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</si>
  <si>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</si>
  <si>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</si>
  <si>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</si>
  <si>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</si>
  <si>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</si>
  <si>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</si>
  <si>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</si>
  <si>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</si>
  <si>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</si>
  <si>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</si>
  <si>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</si>
  <si>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</si>
  <si>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</si>
  <si>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</si>
  <si>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</si>
  <si>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</si>
  <si>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</si>
  <si>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</si>
  <si>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</si>
  <si>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</si>
  <si>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</si>
  <si>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</si>
  <si>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</si>
  <si>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</si>
  <si>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</si>
  <si>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</si>
  <si>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</si>
  <si>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</si>
  <si>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</si>
  <si>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</si>
  <si>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</si>
  <si>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</si>
  <si>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</si>
  <si>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</si>
  <si>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</si>
  <si>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</si>
  <si>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</si>
  <si>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</si>
  <si>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</si>
  <si>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</si>
  <si>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</si>
  <si>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</si>
  <si>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</si>
  <si>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</si>
  <si>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</si>
  <si>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</si>
  <si>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</si>
  <si>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</si>
  <si>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</si>
  <si>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</si>
  <si>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</si>
  <si>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</si>
  <si>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</si>
  <si>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</si>
  <si>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</si>
  <si>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</si>
  <si>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</si>
  <si>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</si>
  <si>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</si>
  <si>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</si>
  <si>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</si>
  <si>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</si>
  <si>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</si>
  <si>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</si>
  <si>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</si>
  <si>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</si>
  <si>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</si>
  <si>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</si>
  <si>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</si>
  <si>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</si>
  <si>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</si>
  <si>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</si>
  <si>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</si>
  <si>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</si>
  <si>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</si>
  <si>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</si>
  <si>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</si>
  <si>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</si>
  <si>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</si>
  <si>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</si>
  <si>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</si>
  <si>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</si>
  <si>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</si>
  <si>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</si>
  <si>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</si>
  <si>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</si>
  <si>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</si>
  <si>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</si>
  <si>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</si>
  <si>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</si>
  <si>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</si>
  <si>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</si>
  <si>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</si>
  <si>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</si>
  <si>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</si>
  <si>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</si>
  <si>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</si>
  <si>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</si>
  <si>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</si>
  <si>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</si>
  <si>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</si>
  <si>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</si>
  <si>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</si>
  <si>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</si>
  <si>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</si>
  <si>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</si>
  <si>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</si>
  <si>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</si>
  <si>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</si>
  <si>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</si>
  <si>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</si>
  <si>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</si>
  <si>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</si>
  <si>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</si>
  <si>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</si>
  <si>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</si>
  <si>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</si>
  <si>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</si>
  <si>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</si>
  <si>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</si>
  <si>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</si>
  <si>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</si>
  <si>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</si>
  <si>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</si>
  <si>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</si>
  <si>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</si>
  <si>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</si>
  <si>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</si>
  <si>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</si>
  <si>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</si>
  <si>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</si>
  <si>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</si>
  <si>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</si>
  <si>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</si>
  <si>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</si>
  <si>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</si>
  <si>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</si>
  <si>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</si>
  <si>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</si>
  <si>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</si>
  <si>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</si>
  <si>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</si>
  <si>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</si>
  <si>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</si>
  <si>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</si>
  <si>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</si>
  <si>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</si>
  <si>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</si>
  <si>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</si>
  <si>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</si>
  <si>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</si>
  <si>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</si>
  <si>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</si>
  <si>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</si>
  <si>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</si>
  <si>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</si>
  <si>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</si>
  <si>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</si>
  <si>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</si>
  <si>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</si>
  <si>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</si>
  <si>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</si>
  <si>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</si>
  <si>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</si>
  <si>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</si>
  <si>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</si>
  <si>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</si>
  <si>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</si>
  <si>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</si>
  <si>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</si>
  <si>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</si>
  <si>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</si>
  <si>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</si>
  <si>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</si>
  <si>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</si>
  <si>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</si>
  <si>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</si>
  <si>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</si>
  <si>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</si>
  <si>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</si>
  <si>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</si>
  <si>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</si>
  <si>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</si>
  <si>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</si>
  <si>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</si>
  <si>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</si>
  <si>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</si>
  <si>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</si>
  <si>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</si>
  <si>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</si>
  <si>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</si>
  <si>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</si>
  <si>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</si>
  <si>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</si>
  <si>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</si>
  <si>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</si>
  <si>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</si>
  <si>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</si>
  <si>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</si>
  <si>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</si>
  <si>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</si>
  <si>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</si>
  <si>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</si>
  <si>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</si>
  <si>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</si>
  <si>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</si>
  <si>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</si>
  <si>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</si>
  <si>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</si>
  <si>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</si>
  <si>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</si>
  <si>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</si>
  <si>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</si>
  <si>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</si>
  <si>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</si>
  <si>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</si>
  <si>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</si>
  <si>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</si>
  <si>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</si>
  <si>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</si>
  <si>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</si>
  <si>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</si>
  <si>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</si>
  <si>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</si>
  <si>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</si>
  <si>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</si>
  <si>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</si>
  <si>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</si>
  <si>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</si>
  <si>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</si>
  <si>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</si>
  <si>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</si>
  <si>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</si>
  <si>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</si>
  <si>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</si>
  <si>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</si>
  <si>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</si>
  <si>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</si>
  <si>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</si>
  <si>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</si>
  <si>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</si>
  <si>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</si>
  <si>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</si>
  <si>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</si>
  <si>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</si>
  <si>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</si>
  <si>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</si>
  <si>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</si>
  <si>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</si>
  <si>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</si>
  <si>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</si>
  <si>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</si>
  <si>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</si>
  <si>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</si>
  <si>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</si>
  <si>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</si>
  <si>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</si>
  <si>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</si>
  <si>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</si>
  <si>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</si>
  <si>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</si>
  <si>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</si>
  <si>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</si>
  <si>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</si>
  <si>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</si>
  <si>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</si>
  <si>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</si>
  <si>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</si>
  <si>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</si>
  <si>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</si>
  <si>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</si>
  <si>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</si>
  <si>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</si>
  <si>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</si>
  <si>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</si>
  <si>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</si>
  <si>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</si>
  <si>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</si>
  <si>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</si>
  <si>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</si>
  <si>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</si>
  <si>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</si>
  <si>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</si>
  <si>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</si>
  <si>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</si>
  <si>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</si>
  <si>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</si>
  <si>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</si>
  <si>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</si>
  <si>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</si>
  <si>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</si>
  <si>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</si>
  <si>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</si>
  <si>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</si>
  <si>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</si>
  <si>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</si>
  <si>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</si>
  <si>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</si>
  <si>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</si>
  <si>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</si>
  <si>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</si>
  <si>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</si>
  <si>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</si>
  <si>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</si>
  <si>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</si>
  <si>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</si>
  <si>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</si>
  <si>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</si>
  <si>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</si>
  <si>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</si>
  <si>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</si>
  <si>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</si>
  <si>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</si>
  <si>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</si>
  <si>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</si>
  <si>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</si>
  <si>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</si>
  <si>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</si>
  <si>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</si>
  <si>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</si>
  <si>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</si>
  <si>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</si>
  <si>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</si>
  <si>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</si>
  <si>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</si>
  <si>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</si>
  <si>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</si>
  <si>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</si>
  <si>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</si>
  <si>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</si>
  <si>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</si>
  <si>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</si>
  <si>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</si>
  <si>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</si>
  <si>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</si>
  <si>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</si>
  <si>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</si>
  <si>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</si>
  <si>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</si>
  <si>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</si>
  <si>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</si>
  <si>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</si>
  <si>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</si>
  <si>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</si>
  <si>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</si>
  <si>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</si>
  <si>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</si>
  <si>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</si>
  <si>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</si>
  <si>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</si>
  <si>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</si>
  <si>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</si>
  <si>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</si>
  <si>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</si>
  <si>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</si>
  <si>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</si>
  <si>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</si>
  <si>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</si>
  <si>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</si>
  <si>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</si>
  <si>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</si>
  <si>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</si>
  <si>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</si>
  <si>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</si>
  <si>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</si>
  <si>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</si>
  <si>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</si>
  <si>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</si>
  <si>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</si>
  <si>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</si>
  <si>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</si>
  <si>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</si>
  <si>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</si>
  <si>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</si>
  <si>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</si>
  <si>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</si>
  <si>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</si>
  <si>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</si>
  <si>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</si>
  <si>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</si>
  <si>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</si>
  <si>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</si>
  <si>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</si>
  <si>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</si>
  <si>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</si>
  <si>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</si>
  <si>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</si>
  <si>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</si>
  <si>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</si>
  <si>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</si>
  <si>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</si>
  <si>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</si>
  <si>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</si>
  <si>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</si>
  <si>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</si>
  <si>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</si>
  <si>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</si>
  <si>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</si>
  <si>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</si>
  <si>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</si>
  <si>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</si>
  <si>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</si>
  <si>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</si>
  <si>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</si>
  <si>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</si>
  <si>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</si>
  <si>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</si>
  <si>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</si>
  <si>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</si>
  <si>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</si>
  <si>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</si>
  <si>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</si>
  <si>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</si>
  <si>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</si>
  <si>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</si>
  <si>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</si>
  <si>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</si>
  <si>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</si>
  <si>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</si>
  <si>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</si>
  <si>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</si>
  <si>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</si>
  <si>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</si>
  <si>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</si>
  <si>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</si>
  <si>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</si>
  <si>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</si>
  <si>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</si>
  <si>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</si>
  <si>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</si>
  <si>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</si>
  <si>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</si>
  <si>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</si>
  <si>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</si>
  <si>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</si>
  <si>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</si>
  <si>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</si>
  <si>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</si>
  <si>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</si>
  <si>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</si>
  <si>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</si>
  <si>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</si>
  <si>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</si>
  <si>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</si>
  <si>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</si>
  <si>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</si>
  <si>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</si>
  <si>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</si>
  <si>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</si>
  <si>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</si>
  <si>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</si>
  <si>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</si>
  <si>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</si>
  <si>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</si>
  <si>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</si>
  <si>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</si>
  <si>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</si>
  <si>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</si>
  <si>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</si>
  <si>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</si>
  <si>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</si>
  <si>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</si>
  <si>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</si>
  <si>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</si>
  <si>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</si>
  <si>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</si>
  <si>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</si>
  <si>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</si>
  <si>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</si>
  <si>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</si>
  <si>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</si>
  <si>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</si>
  <si>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</si>
  <si>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</si>
  <si>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</si>
  <si>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</si>
  <si>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</si>
  <si>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</si>
  <si>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</si>
  <si>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</si>
  <si>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</si>
  <si>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</si>
  <si>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</si>
  <si>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</si>
  <si>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</si>
  <si>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</si>
  <si>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</si>
  <si>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</si>
  <si>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</si>
  <si>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</si>
  <si>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</si>
  <si>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</si>
  <si>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</si>
  <si>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</si>
  <si>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</si>
  <si>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</si>
  <si>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</si>
  <si>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</si>
  <si>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</si>
  <si>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</si>
  <si>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</si>
  <si>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</si>
  <si>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</si>
  <si>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</si>
  <si>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</si>
  <si>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</si>
  <si>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</si>
  <si>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</si>
  <si>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</si>
  <si>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</si>
  <si>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</si>
  <si>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</si>
  <si>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</si>
  <si>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</si>
  <si>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</si>
  <si>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</si>
  <si>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</si>
  <si>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</si>
  <si>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</si>
  <si>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</si>
  <si>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</si>
  <si>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</si>
  <si>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</si>
  <si>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</si>
  <si>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</si>
  <si>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FW - B +10mm</t>
  </si>
  <si>
    <t>None</t>
  </si>
  <si>
    <t>CdA - GM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</si>
  <si>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</si>
  <si>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</si>
  <si>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</si>
  <si>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</si>
  <si>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</si>
  <si>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</si>
  <si>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</si>
  <si>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</si>
  <si>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</si>
  <si>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</si>
  <si>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</si>
  <si>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</si>
  <si>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</si>
  <si>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</si>
  <si>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</si>
  <si>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</si>
  <si>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</si>
  <si>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</si>
  <si>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</si>
  <si>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</si>
  <si>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</si>
  <si>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</si>
  <si>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</si>
  <si>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</si>
  <si>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</si>
  <si>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</si>
  <si>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</si>
  <si>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</si>
  <si>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</si>
  <si>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</si>
  <si>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</si>
  <si>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</si>
  <si>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</si>
  <si>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</si>
  <si>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</si>
  <si>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</si>
  <si>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</si>
  <si>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</si>
  <si>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</si>
  <si>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</si>
  <si>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</si>
  <si>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</si>
  <si>
    <t>Sprint</t>
  </si>
  <si>
    <t>Sam Dakin</t>
  </si>
  <si>
    <t>Rebecca Petch</t>
  </si>
  <si>
    <t>Olivia King</t>
  </si>
  <si>
    <t>Shaane Fulton</t>
  </si>
  <si>
    <t>No undershirt</t>
  </si>
  <si>
    <t>Undershirt</t>
  </si>
  <si>
    <t>ImpSport</t>
  </si>
  <si>
    <t>https://youtu.be/Tm55Q0Z7lTY</t>
  </si>
  <si>
    <t>https://youtu.be/7IxSf81pmKk</t>
  </si>
  <si>
    <t>https://youtu.be/zr4iTJpofDs</t>
  </si>
  <si>
    <t>https://youtu.be/1QharRGYKl8</t>
  </si>
  <si>
    <t>https://youtu.be/5nzGR1qW9oQ</t>
  </si>
  <si>
    <t>https://youtu.be/V7UzDJsIToo</t>
  </si>
  <si>
    <t>https://youtu.be/8RbjqVWBJ7U</t>
  </si>
  <si>
    <t>https://youtu.be/zbuH3HLxEyI</t>
  </si>
  <si>
    <t>https://youtu.be/l0jTige5c8Q</t>
  </si>
  <si>
    <t>https://youtu.be/MDWRcf3T2RM</t>
  </si>
  <si>
    <t>https://youtu.be/Gpimn50EVQg</t>
  </si>
  <si>
    <t>https://youtu.be/u-tDLHyqAcU</t>
  </si>
  <si>
    <t>https://youtu.be/8j2DO97oJzw</t>
  </si>
  <si>
    <t>https://youtu.be/dEESiNgApDk</t>
  </si>
  <si>
    <t>https://youtu.be/0022t1lU2bY</t>
  </si>
  <si>
    <t>https://youtu.be/sNw6bftJbHQ</t>
  </si>
  <si>
    <t>https://youtu.be/jFcLDGfHqmM</t>
  </si>
  <si>
    <t>https://youtu.be/J4odUNtd08c</t>
  </si>
  <si>
    <t>https://youtu.be/qEKv3gvECd8</t>
  </si>
  <si>
    <t>https://youtu.be/l5NzvuzbDCQ</t>
  </si>
  <si>
    <t>https://youtu.be/4OTX8yorhks</t>
  </si>
  <si>
    <t>https://youtu.be/W3Yx8SH2na0</t>
  </si>
  <si>
    <t>https://youtu.be/HQx_hy7Vd5c</t>
  </si>
  <si>
    <t>https://youtu.be/aajyGxQ6UMg</t>
  </si>
  <si>
    <t>https://youtu.be/751O7nXMSZo</t>
  </si>
  <si>
    <t>https://youtu.be/WDSqiLucKDY</t>
  </si>
  <si>
    <t>https://youtu.be/ZIGl7AtFRJA</t>
  </si>
  <si>
    <t>https://youtu.be/KTD5bQbm2zA</t>
  </si>
  <si>
    <t>https://youtu.be/8FdBT4m6gAU</t>
  </si>
  <si>
    <t>https://youtu.be/RPw-oaPsoiI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</si>
</sst>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horizontal="left" vertical="top" wrapText="1"/>
    </xf>
    <xf numFmtId="1" fontId="14" fillId="0" borderId="0" xfId="0" applyNumberFormat="1" applyFont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top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wrapText="1"/>
    </xf>
    <xf numFmtId="0" fontId="14" fillId="8" borderId="0" xfId="0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" fontId="14" fillId="0" borderId="0" xfId="0" applyNumberFormat="1" applyFont="1" applyFill="1" applyAlignment="1">
      <alignment horizontal="center" vertical="center" wrapText="1"/>
    </xf>
    <xf numFmtId="0" fontId="0" fillId="0" borderId="0" xfId="0" applyNumberFormat="1" applyAlignment="1">
      <alignment horizontal="left" vertical="top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Alignment="1">
      <alignment horizontal="center" vertical="center" wrapText="1"/>
    </xf>
    <xf numFmtId="0" fontId="0" fillId="3" borderId="2" xfId="0" applyFont="1" applyFill="1" applyBorder="1" applyAlignment="1">
      <alignment horizontal="left" vertical="top" wrapText="1"/>
    </xf>
    <xf numFmtId="0" fontId="0" fillId="3" borderId="2" xfId="0" applyNumberFormat="1" applyFont="1" applyFill="1" applyBorder="1" applyAlignment="1">
      <alignment horizontal="center" vertical="center" wrapText="1"/>
    </xf>
    <xf numFmtId="0" fontId="0" fillId="3" borderId="3" xfId="0" applyNumberFormat="1" applyFont="1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14" fillId="0" borderId="0" xfId="0" applyFont="1" applyBorder="1" applyAlignment="1">
      <alignment vertical="top" wrapText="1"/>
    </xf>
    <xf numFmtId="14" fontId="14" fillId="0" borderId="0" xfId="0" applyNumberFormat="1" applyFont="1" applyBorder="1" applyAlignment="1">
      <alignment horizontal="left" vertical="top" wrapText="1"/>
    </xf>
    <xf numFmtId="1" fontId="14" fillId="0" borderId="0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top" wrapText="1"/>
    </xf>
    <xf numFmtId="0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NumberForma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left" vertical="top" wrapText="1"/>
    </xf>
    <xf numFmtId="0" fontId="14" fillId="0" borderId="0" xfId="0" applyFont="1"/>
    <xf numFmtId="1" fontId="0" fillId="0" borderId="0" xfId="0" applyNumberFormat="1" applyFill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509" totalsRowShown="0" headerRowDxfId="63" dataDxfId="62">
  <autoFilter ref="A1:BJ509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509"/>
  <sheetViews>
    <sheetView showGridLines="0" tabSelected="1" zoomScale="85" zoomScaleNormal="85" workbookViewId="0">
      <pane ySplit="1" topLeftCell="A476" activePane="bottomLeft" state="frozen"/>
      <selection activeCell="AD1" sqref="AD1"/>
      <selection pane="bottomLeft" activeCell="D506" sqref="D506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595</v>
      </c>
      <c r="K1" s="47" t="s">
        <v>209</v>
      </c>
      <c r="L1" s="47" t="s">
        <v>32</v>
      </c>
      <c r="M1" s="47" t="s">
        <v>585</v>
      </c>
      <c r="N1" s="47" t="s">
        <v>594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 t="e">
        <f>[1]!Track_TT23[[#This Row],[Bike weight ]]+[1]!Track_TT23[[#This Row],[Rider weight ]]</f>
        <v>#REF!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 t="e">
        <f>[1]!Track_TT23[[#This Row],[Bike weight ]]+[1]!Track_TT23[[#This Row],[Rider weight ]]</f>
        <v>#REF!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 t="e">
        <f>[1]!Track_TT23[[#This Row],[Bike weight ]]+[1]!Track_TT23[[#This Row],[Rider weight ]]</f>
        <v>#REF!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 t="e">
        <f>[1]!Track_TT23[[#This Row],[Bike weight ]]+[1]!Track_TT23[[#This Row],[Rider weight ]]</f>
        <v>#REF!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584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 t="e">
        <f>[1]!Track_TT23[[#This Row],[Bike weight ]]+[1]!Track_TT23[[#This Row],[Rider weight ]]</f>
        <v>#REF!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584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 t="e">
        <f>[1]!Track_TT23[[#This Row],[Bike weight ]]+[1]!Track_TT23[[#This Row],[Rider weight ]]</f>
        <v>#REF!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584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584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 t="e">
        <f>[1]!Track_TT23[[#This Row],[Bike weight ]]+[1]!Track_TT23[[#This Row],[Rider weight ]]</f>
        <v>#REF!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584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 t="e">
        <f>[1]!Track_TT23[[#This Row],[Bike weight ]]+[1]!Track_TT23[[#This Row],[Rider weight ]]</f>
        <v>#REF!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584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 t="e">
        <f>[1]!Track_TT23[[#This Row],[Bike weight ]]+[1]!Track_TT23[[#This Row],[Rider weight ]]</f>
        <v>#REF!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 t="e">
        <f>[1]!Track_TT23[[#This Row],[Bike weight ]]+[1]!Track_TT23[[#This Row],[Rider weight ]]</f>
        <v>#REF!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 t="e">
        <f>[1]!Track_TT23[[#This Row],[Bike weight ]]+[1]!Track_TT23[[#This Row],[Rider weight ]]</f>
        <v>#REF!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 t="e">
        <f>[1]!Track_TT23[[#This Row],[Bike weight ]]+[1]!Track_TT23[[#This Row],[Rider weight ]]</f>
        <v>#REF!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 t="e">
        <f>[1]!Track_TT23[[#This Row],[Bike weight ]]+[1]!Track_TT23[[#This Row],[Rider weight ]]</f>
        <v>#REF!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 t="e">
        <f>[1]!Track_TT23[[#This Row],[Bike weight ]]+[1]!Track_TT23[[#This Row],[Rider weight ]]</f>
        <v>#REF!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 t="e">
        <f>[1]!Track_TT23[[#This Row],[Bike weight ]]+[1]!Track_TT23[[#This Row],[Rider weight ]]</f>
        <v>#REF!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 t="e">
        <f>[1]!Track_TT23[[#This Row],[Bike weight ]]+[1]!Track_TT23[[#This Row],[Rider weight ]]</f>
        <v>#REF!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 t="e">
        <f>[1]!Track_TT23[[#This Row],[Bike weight ]]+[1]!Track_TT23[[#This Row],[Rider weight ]]</f>
        <v>#REF!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 t="e">
        <f>[1]!Track_TT23[[#This Row],[Bike weight ]]+[1]!Track_TT23[[#This Row],[Rider weight ]]</f>
        <v>#REF!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 t="e">
        <f>[1]!Track_TT23[[#This Row],[Bike weight ]]+[1]!Track_TT23[[#This Row],[Rider weight ]]</f>
        <v>#REF!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 t="e">
        <f>[1]!Track_TT23[[#This Row],[Bike weight ]]+[1]!Track_TT23[[#This Row],[Rider weight ]]</f>
        <v>#REF!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 t="e">
        <f>[1]!Track_TT23[[#This Row],[Bike weight ]]+[1]!Track_TT23[[#This Row],[Rider weight ]]</f>
        <v>#REF!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 t="e">
        <f>[1]!Track_TT23[[#This Row],[Bike weight ]]+[1]!Track_TT23[[#This Row],[Rider weight ]]</f>
        <v>#REF!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 t="e">
        <f>[1]!Track_TT23[[#This Row],[Bike weight ]]+[1]!Track_TT23[[#This Row],[Rider weight ]]</f>
        <v>#REF!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583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212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212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212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15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592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593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586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587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15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588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589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590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591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612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600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603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604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600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605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601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606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596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602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607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597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608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596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609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610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597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611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619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620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598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621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622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623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598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624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625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626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601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627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601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613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600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614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601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615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601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616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600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617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599</v>
      </c>
      <c r="F447" s="4" t="s">
        <v>216</v>
      </c>
      <c r="G447" s="4" t="s">
        <v>601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618</v>
      </c>
    </row>
    <row r="448" spans="1:62" x14ac:dyDescent="0.45">
      <c r="A448" s="75" t="s">
        <v>628</v>
      </c>
      <c r="B448" s="76" t="s">
        <v>629</v>
      </c>
      <c r="C448" s="77">
        <v>45384</v>
      </c>
      <c r="D448" s="78">
        <v>1</v>
      </c>
      <c r="E448" s="2" t="s">
        <v>22</v>
      </c>
      <c r="F448" s="85" t="s">
        <v>633</v>
      </c>
      <c r="G448" s="4"/>
      <c r="H448" s="4"/>
      <c r="I448" s="7"/>
      <c r="K448" s="50"/>
      <c r="L448" s="7"/>
      <c r="M448" s="74">
        <v>0.2175</v>
      </c>
      <c r="O448" s="4"/>
      <c r="W448" s="4"/>
      <c r="X448" s="4"/>
      <c r="Y448" s="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4"/>
      <c r="AX448" s="2"/>
      <c r="AY448" s="7"/>
      <c r="AZ448" s="4"/>
      <c r="BA448" s="4"/>
      <c r="BB448" s="2"/>
      <c r="BC448" s="2"/>
      <c r="BD448" s="2"/>
      <c r="BE448" s="79"/>
      <c r="BF448" s="80"/>
      <c r="BG448" s="81"/>
      <c r="BH448" s="2"/>
      <c r="BI448" s="2"/>
      <c r="BJ448" s="3"/>
    </row>
    <row r="449" spans="1:62" x14ac:dyDescent="0.45">
      <c r="A449" s="75" t="s">
        <v>628</v>
      </c>
      <c r="B449" s="76" t="s">
        <v>629</v>
      </c>
      <c r="C449" s="77">
        <v>45384</v>
      </c>
      <c r="D449" s="78">
        <v>2</v>
      </c>
      <c r="E449" s="2" t="s">
        <v>22</v>
      </c>
      <c r="F449" s="85" t="s">
        <v>634</v>
      </c>
      <c r="G449" s="4"/>
      <c r="H449" s="4"/>
      <c r="I449" s="7"/>
      <c r="K449" s="50"/>
      <c r="L449" s="7"/>
      <c r="M449" s="74">
        <v>0.20380000000000001</v>
      </c>
      <c r="O449" s="4"/>
      <c r="W449" s="4"/>
      <c r="X449" s="4"/>
      <c r="Y449" s="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4"/>
      <c r="AX449" s="2"/>
      <c r="AY449" s="7"/>
      <c r="AZ449" s="4"/>
      <c r="BA449" s="4"/>
      <c r="BB449" s="2"/>
      <c r="BC449" s="2"/>
      <c r="BD449" s="2"/>
      <c r="BE449" s="79"/>
      <c r="BF449" s="80"/>
      <c r="BG449" s="81"/>
      <c r="BH449" s="2"/>
      <c r="BI449" s="2"/>
      <c r="BJ449" s="3"/>
    </row>
    <row r="450" spans="1:62" x14ac:dyDescent="0.45">
      <c r="A450" s="75" t="s">
        <v>628</v>
      </c>
      <c r="B450" s="76" t="s">
        <v>629</v>
      </c>
      <c r="C450" s="77">
        <v>45384</v>
      </c>
      <c r="D450" s="78">
        <v>3</v>
      </c>
      <c r="E450" s="2" t="s">
        <v>22</v>
      </c>
      <c r="F450" s="85" t="s">
        <v>633</v>
      </c>
      <c r="G450" s="4"/>
      <c r="H450" s="4"/>
      <c r="I450" s="7"/>
      <c r="K450" s="50"/>
      <c r="L450" s="7"/>
      <c r="M450" s="74">
        <v>0.2177</v>
      </c>
      <c r="O450" s="4"/>
      <c r="W450" s="4"/>
      <c r="X450" s="4"/>
      <c r="Y450" s="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4"/>
      <c r="AX450" s="2"/>
      <c r="AY450" s="7"/>
      <c r="AZ450" s="4"/>
      <c r="BA450" s="4"/>
      <c r="BB450" s="2"/>
      <c r="BC450" s="2"/>
      <c r="BD450" s="2"/>
      <c r="BE450" s="79"/>
      <c r="BF450" s="80"/>
      <c r="BG450" s="81"/>
      <c r="BH450" s="2"/>
      <c r="BI450" s="2"/>
      <c r="BJ450" s="3"/>
    </row>
    <row r="451" spans="1:62" x14ac:dyDescent="0.45">
      <c r="A451" s="75" t="s">
        <v>628</v>
      </c>
      <c r="B451" s="76" t="s">
        <v>629</v>
      </c>
      <c r="C451" s="77">
        <v>45384</v>
      </c>
      <c r="D451" s="78">
        <v>4</v>
      </c>
      <c r="E451" s="2" t="s">
        <v>22</v>
      </c>
      <c r="F451" s="85" t="s">
        <v>634</v>
      </c>
      <c r="G451" s="4"/>
      <c r="H451" s="4"/>
      <c r="I451" s="7"/>
      <c r="K451" s="50"/>
      <c r="L451" s="7"/>
      <c r="M451" s="74">
        <v>0.21099999999999999</v>
      </c>
      <c r="O451" s="4"/>
      <c r="W451" s="4"/>
      <c r="X451" s="4"/>
      <c r="Y451" s="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4"/>
      <c r="AX451" s="2"/>
      <c r="AY451" s="7"/>
      <c r="AZ451" s="4"/>
      <c r="BA451" s="4"/>
      <c r="BB451" s="2"/>
      <c r="BC451" s="2"/>
      <c r="BD451" s="2"/>
      <c r="BE451" s="79"/>
      <c r="BF451" s="80"/>
      <c r="BG451" s="81"/>
      <c r="BH451" s="2"/>
      <c r="BI451" s="2"/>
      <c r="BJ451" s="3"/>
    </row>
    <row r="452" spans="1:62" x14ac:dyDescent="0.45">
      <c r="A452" s="75" t="s">
        <v>628</v>
      </c>
      <c r="B452" s="76" t="s">
        <v>630</v>
      </c>
      <c r="C452" s="77">
        <v>45384</v>
      </c>
      <c r="D452" s="78">
        <v>1</v>
      </c>
      <c r="E452" s="2" t="s">
        <v>22</v>
      </c>
      <c r="F452" s="85" t="s">
        <v>633</v>
      </c>
      <c r="G452" s="4"/>
      <c r="H452" s="4"/>
      <c r="I452" s="7"/>
      <c r="K452" s="50"/>
      <c r="L452" s="7"/>
      <c r="M452" s="74">
        <v>0.18440000000000001</v>
      </c>
      <c r="O452" s="4"/>
      <c r="W452" s="4"/>
      <c r="X452" s="4"/>
      <c r="Y452" s="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4"/>
      <c r="AX452" s="2"/>
      <c r="AY452" s="7"/>
      <c r="AZ452" s="4"/>
      <c r="BA452" s="4"/>
      <c r="BB452" s="2"/>
      <c r="BC452" s="2"/>
      <c r="BD452" s="2"/>
      <c r="BE452" s="79"/>
      <c r="BF452" s="80"/>
      <c r="BG452" s="81"/>
      <c r="BH452" s="2"/>
      <c r="BI452" s="2"/>
      <c r="BJ452" s="3"/>
    </row>
    <row r="453" spans="1:62" x14ac:dyDescent="0.45">
      <c r="A453" s="75" t="s">
        <v>628</v>
      </c>
      <c r="B453" s="76" t="s">
        <v>630</v>
      </c>
      <c r="C453" s="77">
        <v>45384</v>
      </c>
      <c r="D453" s="78">
        <v>2</v>
      </c>
      <c r="E453" s="2" t="s">
        <v>22</v>
      </c>
      <c r="F453" s="85" t="s">
        <v>634</v>
      </c>
      <c r="G453" s="4"/>
      <c r="H453" s="4"/>
      <c r="I453" s="7"/>
      <c r="K453" s="50"/>
      <c r="L453" s="7"/>
      <c r="M453" s="74">
        <v>0.1862</v>
      </c>
      <c r="O453" s="4"/>
      <c r="W453" s="4"/>
      <c r="X453" s="4"/>
      <c r="Y453" s="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4"/>
      <c r="AX453" s="2"/>
      <c r="AY453" s="7"/>
      <c r="AZ453" s="4"/>
      <c r="BA453" s="4"/>
      <c r="BB453" s="2"/>
      <c r="BC453" s="2"/>
      <c r="BD453" s="2"/>
      <c r="BE453" s="79"/>
      <c r="BF453" s="80"/>
      <c r="BG453" s="81"/>
      <c r="BH453" s="2"/>
      <c r="BI453" s="2"/>
      <c r="BJ453" s="3"/>
    </row>
    <row r="454" spans="1:62" x14ac:dyDescent="0.45">
      <c r="A454" s="75" t="s">
        <v>628</v>
      </c>
      <c r="B454" s="76" t="s">
        <v>630</v>
      </c>
      <c r="C454" s="77">
        <v>45384</v>
      </c>
      <c r="D454" s="78">
        <v>3</v>
      </c>
      <c r="E454" s="2" t="s">
        <v>22</v>
      </c>
      <c r="F454" s="85" t="s">
        <v>633</v>
      </c>
      <c r="G454" s="4"/>
      <c r="H454" s="4"/>
      <c r="I454" s="7"/>
      <c r="K454" s="50"/>
      <c r="L454" s="7"/>
      <c r="M454" s="74">
        <v>0.1883</v>
      </c>
      <c r="O454" s="4"/>
      <c r="W454" s="4"/>
      <c r="X454" s="4"/>
      <c r="Y454" s="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4"/>
      <c r="AX454" s="2"/>
      <c r="AY454" s="7"/>
      <c r="AZ454" s="4"/>
      <c r="BA454" s="4"/>
      <c r="BB454" s="2"/>
      <c r="BC454" s="2"/>
      <c r="BD454" s="2"/>
      <c r="BE454" s="79"/>
      <c r="BF454" s="80"/>
      <c r="BG454" s="81"/>
      <c r="BH454" s="2"/>
      <c r="BI454" s="2"/>
      <c r="BJ454" s="3"/>
    </row>
    <row r="455" spans="1:62" x14ac:dyDescent="0.45">
      <c r="A455" s="75" t="s">
        <v>628</v>
      </c>
      <c r="B455" s="76" t="s">
        <v>630</v>
      </c>
      <c r="C455" s="77">
        <v>45384</v>
      </c>
      <c r="D455" s="78">
        <v>4</v>
      </c>
      <c r="E455" s="2" t="s">
        <v>22</v>
      </c>
      <c r="F455" s="85" t="s">
        <v>634</v>
      </c>
      <c r="G455" s="4"/>
      <c r="H455" s="4"/>
      <c r="I455" s="7"/>
      <c r="K455" s="50"/>
      <c r="L455" s="7"/>
      <c r="M455" s="74">
        <v>0.19539999999999999</v>
      </c>
      <c r="O455" s="4"/>
      <c r="W455" s="4"/>
      <c r="X455" s="4"/>
      <c r="Y455" s="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4"/>
      <c r="AX455" s="2"/>
      <c r="AY455" s="7"/>
      <c r="AZ455" s="4"/>
      <c r="BA455" s="4"/>
      <c r="BB455" s="2"/>
      <c r="BC455" s="2"/>
      <c r="BD455" s="2"/>
      <c r="BE455" s="79"/>
      <c r="BF455" s="80"/>
      <c r="BG455" s="81"/>
      <c r="BH455" s="2"/>
      <c r="BI455" s="2"/>
      <c r="BJ455" s="3"/>
    </row>
    <row r="456" spans="1:62" x14ac:dyDescent="0.45">
      <c r="A456" s="75" t="s">
        <v>628</v>
      </c>
      <c r="B456" s="76" t="s">
        <v>631</v>
      </c>
      <c r="C456" s="77">
        <v>45384</v>
      </c>
      <c r="D456" s="78">
        <v>1</v>
      </c>
      <c r="E456" s="2" t="s">
        <v>22</v>
      </c>
      <c r="F456" s="85" t="s">
        <v>633</v>
      </c>
      <c r="G456" s="4"/>
      <c r="H456" s="4"/>
      <c r="I456" s="7"/>
      <c r="K456" s="50"/>
      <c r="L456" s="7"/>
      <c r="M456" s="74">
        <v>0.22670000000000001</v>
      </c>
      <c r="O456" s="4"/>
      <c r="W456" s="4"/>
      <c r="X456" s="4"/>
      <c r="Y456" s="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4"/>
      <c r="AX456" s="2"/>
      <c r="AY456" s="7"/>
      <c r="AZ456" s="4"/>
      <c r="BA456" s="4"/>
      <c r="BB456" s="2"/>
      <c r="BC456" s="2"/>
      <c r="BD456" s="2"/>
      <c r="BE456" s="79"/>
      <c r="BF456" s="80"/>
      <c r="BG456" s="81"/>
      <c r="BH456" s="2"/>
      <c r="BI456" s="2"/>
      <c r="BJ456" s="3"/>
    </row>
    <row r="457" spans="1:62" x14ac:dyDescent="0.45">
      <c r="A457" s="75" t="s">
        <v>628</v>
      </c>
      <c r="B457" s="76" t="s">
        <v>631</v>
      </c>
      <c r="C457" s="77">
        <v>45384</v>
      </c>
      <c r="D457" s="78">
        <v>2</v>
      </c>
      <c r="E457" s="2" t="s">
        <v>22</v>
      </c>
      <c r="F457" s="85" t="s">
        <v>634</v>
      </c>
      <c r="G457" s="4"/>
      <c r="H457" s="4"/>
      <c r="I457" s="7"/>
      <c r="K457" s="50"/>
      <c r="L457" s="7"/>
      <c r="M457" s="74">
        <v>0.1993</v>
      </c>
      <c r="O457" s="4"/>
      <c r="W457" s="4"/>
      <c r="X457" s="4"/>
      <c r="Y457" s="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4"/>
      <c r="AX457" s="2"/>
      <c r="AY457" s="7"/>
      <c r="AZ457" s="4"/>
      <c r="BA457" s="4"/>
      <c r="BB457" s="2"/>
      <c r="BC457" s="2"/>
      <c r="BD457" s="2"/>
      <c r="BE457" s="79"/>
      <c r="BF457" s="80"/>
      <c r="BG457" s="81"/>
      <c r="BH457" s="2"/>
      <c r="BI457" s="2"/>
      <c r="BJ457" s="3"/>
    </row>
    <row r="458" spans="1:62" x14ac:dyDescent="0.45">
      <c r="A458" s="75" t="s">
        <v>628</v>
      </c>
      <c r="B458" s="76" t="s">
        <v>631</v>
      </c>
      <c r="C458" s="77">
        <v>45384</v>
      </c>
      <c r="D458" s="78">
        <v>3</v>
      </c>
      <c r="E458" s="2" t="s">
        <v>22</v>
      </c>
      <c r="F458" s="85" t="s">
        <v>633</v>
      </c>
      <c r="G458" s="4"/>
      <c r="H458" s="4"/>
      <c r="I458" s="7"/>
      <c r="K458" s="50"/>
      <c r="L458" s="7"/>
      <c r="M458" s="74">
        <v>0.21279999999999999</v>
      </c>
      <c r="O458" s="4"/>
      <c r="W458" s="4"/>
      <c r="X458" s="4"/>
      <c r="Y458" s="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4"/>
      <c r="AX458" s="2"/>
      <c r="AY458" s="7"/>
      <c r="AZ458" s="4"/>
      <c r="BA458" s="4"/>
      <c r="BB458" s="2"/>
      <c r="BC458" s="2"/>
      <c r="BD458" s="2"/>
      <c r="BE458" s="79"/>
      <c r="BF458" s="80"/>
      <c r="BG458" s="81"/>
      <c r="BH458" s="2"/>
      <c r="BI458" s="2"/>
      <c r="BJ458" s="3"/>
    </row>
    <row r="459" spans="1:62" x14ac:dyDescent="0.45">
      <c r="A459" s="75" t="s">
        <v>628</v>
      </c>
      <c r="B459" s="76" t="s">
        <v>631</v>
      </c>
      <c r="C459" s="77">
        <v>45384</v>
      </c>
      <c r="D459" s="78">
        <v>4</v>
      </c>
      <c r="E459" s="2" t="s">
        <v>22</v>
      </c>
      <c r="F459" s="85" t="s">
        <v>634</v>
      </c>
      <c r="G459" s="4"/>
      <c r="H459" s="4"/>
      <c r="I459" s="7"/>
      <c r="K459" s="50"/>
      <c r="L459" s="7"/>
      <c r="M459" s="74">
        <v>0.2039</v>
      </c>
      <c r="O459" s="4"/>
      <c r="W459" s="4"/>
      <c r="X459" s="4"/>
      <c r="Y459" s="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4"/>
      <c r="AX459" s="2"/>
      <c r="AY459" s="7"/>
      <c r="AZ459" s="4"/>
      <c r="BA459" s="4"/>
      <c r="BB459" s="2"/>
      <c r="BC459" s="2"/>
      <c r="BD459" s="2"/>
      <c r="BE459" s="79"/>
      <c r="BF459" s="80"/>
      <c r="BG459" s="81"/>
      <c r="BH459" s="2"/>
      <c r="BI459" s="2"/>
      <c r="BJ459" s="3"/>
    </row>
    <row r="460" spans="1:62" x14ac:dyDescent="0.45">
      <c r="A460" s="75" t="s">
        <v>628</v>
      </c>
      <c r="B460" s="76" t="s">
        <v>632</v>
      </c>
      <c r="C460" s="77">
        <v>45384</v>
      </c>
      <c r="D460" s="78">
        <v>1</v>
      </c>
      <c r="E460" s="2" t="s">
        <v>22</v>
      </c>
      <c r="F460" s="85" t="s">
        <v>633</v>
      </c>
      <c r="G460" s="4"/>
      <c r="H460" s="4"/>
      <c r="I460" s="7"/>
      <c r="K460" s="50"/>
      <c r="L460" s="7"/>
      <c r="M460" s="74">
        <v>0.2145</v>
      </c>
      <c r="O460" s="4"/>
      <c r="W460" s="4"/>
      <c r="X460" s="4"/>
      <c r="Y460" s="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4"/>
      <c r="AX460" s="2"/>
      <c r="AY460" s="7"/>
      <c r="AZ460" s="4"/>
      <c r="BA460" s="4"/>
      <c r="BB460" s="2"/>
      <c r="BC460" s="2"/>
      <c r="BD460" s="2"/>
      <c r="BE460" s="79"/>
      <c r="BF460" s="80"/>
      <c r="BG460" s="81"/>
      <c r="BH460" s="2"/>
      <c r="BI460" s="2"/>
      <c r="BJ460" s="3"/>
    </row>
    <row r="461" spans="1:62" x14ac:dyDescent="0.45">
      <c r="A461" s="75" t="s">
        <v>628</v>
      </c>
      <c r="B461" s="76" t="s">
        <v>632</v>
      </c>
      <c r="C461" s="77">
        <v>45384</v>
      </c>
      <c r="D461" s="78">
        <v>2</v>
      </c>
      <c r="E461" s="2" t="s">
        <v>22</v>
      </c>
      <c r="F461" s="85" t="s">
        <v>634</v>
      </c>
      <c r="G461" s="4"/>
      <c r="H461" s="4"/>
      <c r="I461" s="7"/>
      <c r="K461" s="50"/>
      <c r="L461" s="7"/>
      <c r="M461" s="74">
        <v>0.21629999999999999</v>
      </c>
      <c r="O461" s="4"/>
      <c r="W461" s="4"/>
      <c r="X461" s="4"/>
      <c r="Y461" s="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4"/>
      <c r="AX461" s="2"/>
      <c r="AY461" s="7"/>
      <c r="AZ461" s="4"/>
      <c r="BA461" s="4"/>
      <c r="BB461" s="2"/>
      <c r="BC461" s="2"/>
      <c r="BD461" s="2"/>
      <c r="BE461" s="79"/>
      <c r="BF461" s="80"/>
      <c r="BG461" s="81"/>
      <c r="BH461" s="2"/>
      <c r="BI461" s="2"/>
      <c r="BJ461" s="3"/>
    </row>
    <row r="462" spans="1:62" x14ac:dyDescent="0.45">
      <c r="A462" s="75" t="s">
        <v>628</v>
      </c>
      <c r="B462" s="76" t="s">
        <v>632</v>
      </c>
      <c r="C462" s="77">
        <v>45384</v>
      </c>
      <c r="D462" s="78">
        <v>3</v>
      </c>
      <c r="E462" s="2" t="s">
        <v>22</v>
      </c>
      <c r="F462" s="85" t="s">
        <v>633</v>
      </c>
      <c r="G462" s="4"/>
      <c r="H462" s="4"/>
      <c r="I462" s="7"/>
      <c r="K462" s="50"/>
      <c r="L462" s="7"/>
      <c r="M462" s="74">
        <v>0.2185</v>
      </c>
      <c r="O462" s="4"/>
      <c r="W462" s="4"/>
      <c r="X462" s="4"/>
      <c r="Y462" s="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4"/>
      <c r="AX462" s="2"/>
      <c r="AY462" s="7"/>
      <c r="AZ462" s="4"/>
      <c r="BA462" s="4"/>
      <c r="BB462" s="2"/>
      <c r="BC462" s="2"/>
      <c r="BD462" s="2"/>
      <c r="BE462" s="79"/>
      <c r="BF462" s="80"/>
      <c r="BG462" s="81"/>
      <c r="BH462" s="2"/>
      <c r="BI462" s="2"/>
      <c r="BJ462" s="3"/>
    </row>
    <row r="463" spans="1:62" x14ac:dyDescent="0.45">
      <c r="A463" s="75" t="s">
        <v>628</v>
      </c>
      <c r="B463" s="76" t="s">
        <v>632</v>
      </c>
      <c r="C463" s="77">
        <v>45384</v>
      </c>
      <c r="D463" s="78">
        <v>4</v>
      </c>
      <c r="E463" s="2" t="s">
        <v>22</v>
      </c>
      <c r="F463" s="85" t="s">
        <v>634</v>
      </c>
      <c r="G463" s="4"/>
      <c r="H463" s="4"/>
      <c r="I463" s="7"/>
      <c r="K463" s="50"/>
      <c r="L463" s="7"/>
      <c r="M463" s="74">
        <v>0.216</v>
      </c>
      <c r="O463" s="4"/>
      <c r="W463" s="4"/>
      <c r="X463" s="4"/>
      <c r="Y463" s="4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4"/>
      <c r="AX463" s="2"/>
      <c r="AY463" s="7"/>
      <c r="AZ463" s="4"/>
      <c r="BA463" s="4"/>
      <c r="BB463" s="2"/>
      <c r="BC463" s="2"/>
      <c r="BD463" s="2"/>
      <c r="BE463" s="82"/>
      <c r="BF463" s="83"/>
      <c r="BG463" s="84"/>
      <c r="BH463" s="2"/>
      <c r="BI463" s="2"/>
      <c r="BJ463" s="3"/>
    </row>
    <row r="464" spans="1:62" ht="28.5" x14ac:dyDescent="0.45">
      <c r="A464" s="75" t="s">
        <v>13</v>
      </c>
      <c r="B464" s="76" t="s">
        <v>28</v>
      </c>
      <c r="C464" s="77">
        <v>45400</v>
      </c>
      <c r="D464" s="78">
        <v>1</v>
      </c>
      <c r="E464" s="75" t="s">
        <v>551</v>
      </c>
      <c r="F464" s="74" t="s">
        <v>354</v>
      </c>
      <c r="G464" s="4" t="s">
        <v>578</v>
      </c>
      <c r="H464" s="74" t="s">
        <v>223</v>
      </c>
      <c r="I464" s="74">
        <v>0.16189999999999999</v>
      </c>
      <c r="K464" s="88">
        <v>1.1000000000000001E-3</v>
      </c>
      <c r="L464" s="7"/>
      <c r="M464" s="74">
        <v>0.16270000000000001</v>
      </c>
      <c r="N464" s="7">
        <v>-0.45</v>
      </c>
      <c r="O464" s="4"/>
      <c r="P464" s="74">
        <v>1.2569999999999999</v>
      </c>
      <c r="T464" s="87">
        <v>64.599999999999994</v>
      </c>
      <c r="U464" s="87">
        <v>592</v>
      </c>
      <c r="V464" s="87">
        <v>754.2</v>
      </c>
      <c r="W464" s="74" t="s">
        <v>224</v>
      </c>
      <c r="X464" s="4"/>
      <c r="Y464" s="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4"/>
      <c r="AX464" s="2"/>
      <c r="AY464" s="7"/>
      <c r="AZ464" s="4"/>
      <c r="BA464" s="4"/>
      <c r="BB464" s="2"/>
      <c r="BC464" s="2"/>
      <c r="BD464" s="2"/>
      <c r="BE464" s="79"/>
      <c r="BF464" s="80"/>
      <c r="BG464" s="81"/>
      <c r="BH464" s="2"/>
      <c r="BI464" s="2"/>
      <c r="BJ464" s="3" t="s">
        <v>636</v>
      </c>
    </row>
    <row r="465" spans="1:62" ht="28.5" x14ac:dyDescent="0.45">
      <c r="A465" s="75" t="s">
        <v>13</v>
      </c>
      <c r="B465" s="76" t="s">
        <v>28</v>
      </c>
      <c r="C465" s="77">
        <v>45400</v>
      </c>
      <c r="D465" s="78">
        <v>2</v>
      </c>
      <c r="E465" s="75" t="s">
        <v>552</v>
      </c>
      <c r="F465" s="74" t="s">
        <v>354</v>
      </c>
      <c r="G465" s="4" t="s">
        <v>578</v>
      </c>
      <c r="H465" s="74" t="s">
        <v>223</v>
      </c>
      <c r="I465" s="74">
        <v>0.1633</v>
      </c>
      <c r="J465" s="7">
        <v>0.1613</v>
      </c>
      <c r="K465" s="88">
        <v>5.5999999999999999E-3</v>
      </c>
      <c r="L465" s="7"/>
      <c r="M465" s="74">
        <v>0.15959999999999999</v>
      </c>
      <c r="N465" s="7">
        <v>-0.61</v>
      </c>
      <c r="O465" s="4"/>
      <c r="P465" s="74">
        <v>1.2569999999999999</v>
      </c>
      <c r="T465" s="87">
        <v>65</v>
      </c>
      <c r="U465" s="87">
        <v>578</v>
      </c>
      <c r="V465" s="87">
        <v>754.1</v>
      </c>
      <c r="W465" s="74" t="s">
        <v>224</v>
      </c>
      <c r="X465" s="4"/>
      <c r="Y465" s="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4"/>
      <c r="AX465" s="2"/>
      <c r="AY465" s="7"/>
      <c r="AZ465" s="4"/>
      <c r="BA465" s="4"/>
      <c r="BB465" s="2"/>
      <c r="BC465" s="2"/>
      <c r="BD465" s="2"/>
      <c r="BE465" s="79"/>
      <c r="BF465" s="80"/>
      <c r="BG465" s="81"/>
      <c r="BH465" s="2"/>
      <c r="BI465" s="2"/>
      <c r="BJ465" s="3" t="s">
        <v>637</v>
      </c>
    </row>
    <row r="466" spans="1:62" ht="28.5" x14ac:dyDescent="0.45">
      <c r="A466" s="75" t="s">
        <v>13</v>
      </c>
      <c r="B466" s="76" t="s">
        <v>28</v>
      </c>
      <c r="C466" s="77">
        <v>45400</v>
      </c>
      <c r="D466" s="78">
        <v>3</v>
      </c>
      <c r="E466" s="75" t="s">
        <v>553</v>
      </c>
      <c r="F466" s="74" t="s">
        <v>354</v>
      </c>
      <c r="G466" s="4" t="s">
        <v>578</v>
      </c>
      <c r="H466" s="74" t="s">
        <v>223</v>
      </c>
      <c r="I466" s="74">
        <v>0.16070000000000001</v>
      </c>
      <c r="J466" s="7">
        <v>0.15859999999999999</v>
      </c>
      <c r="K466" s="88">
        <v>4.5999999999999999E-3</v>
      </c>
      <c r="L466" s="7"/>
      <c r="M466" s="74">
        <v>0.15870000000000001</v>
      </c>
      <c r="N466" s="7">
        <v>-0.61</v>
      </c>
      <c r="O466" s="4"/>
      <c r="P466" s="74">
        <v>1.2569999999999999</v>
      </c>
      <c r="T466" s="87">
        <v>65.8</v>
      </c>
      <c r="U466" s="87">
        <v>594</v>
      </c>
      <c r="V466" s="87">
        <v>754.9</v>
      </c>
      <c r="W466" s="74" t="s">
        <v>224</v>
      </c>
      <c r="X466" s="4"/>
      <c r="Y466" s="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4"/>
      <c r="AX466" s="2"/>
      <c r="AY466" s="7"/>
      <c r="AZ466" s="4"/>
      <c r="BA466" s="4"/>
      <c r="BB466" s="2"/>
      <c r="BC466" s="2"/>
      <c r="BD466" s="2"/>
      <c r="BE466" s="79"/>
      <c r="BF466" s="80"/>
      <c r="BG466" s="81"/>
      <c r="BH466" s="2"/>
      <c r="BI466" s="2"/>
      <c r="BJ466" s="3" t="s">
        <v>638</v>
      </c>
    </row>
    <row r="467" spans="1:62" ht="28.5" x14ac:dyDescent="0.45">
      <c r="A467" s="75" t="s">
        <v>13</v>
      </c>
      <c r="B467" s="76" t="s">
        <v>28</v>
      </c>
      <c r="C467" s="77">
        <v>45400</v>
      </c>
      <c r="D467" s="78">
        <v>4</v>
      </c>
      <c r="E467" s="75" t="s">
        <v>554</v>
      </c>
      <c r="F467" s="74" t="s">
        <v>354</v>
      </c>
      <c r="G467" s="4" t="s">
        <v>578</v>
      </c>
      <c r="H467" s="74" t="s">
        <v>223</v>
      </c>
      <c r="I467" s="74">
        <v>0.16300000000000001</v>
      </c>
      <c r="J467" s="74">
        <v>0.16300000000000001</v>
      </c>
      <c r="K467" s="88">
        <v>4.4000000000000003E-3</v>
      </c>
      <c r="L467" s="7"/>
      <c r="M467" s="74">
        <v>0.1618</v>
      </c>
      <c r="N467" s="7">
        <v>-0.56999999999999995</v>
      </c>
      <c r="O467" s="4"/>
      <c r="P467" s="74">
        <v>1.2569999999999999</v>
      </c>
      <c r="T467" s="87">
        <v>64.8</v>
      </c>
      <c r="U467" s="87">
        <v>590</v>
      </c>
      <c r="V467" s="87">
        <v>754.3</v>
      </c>
      <c r="W467" s="74" t="s">
        <v>224</v>
      </c>
      <c r="X467" s="4"/>
      <c r="Y467" s="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4"/>
      <c r="AX467" s="2"/>
      <c r="AY467" s="7"/>
      <c r="AZ467" s="4"/>
      <c r="BA467" s="4"/>
      <c r="BB467" s="2"/>
      <c r="BC467" s="2"/>
      <c r="BD467" s="2"/>
      <c r="BE467" s="79"/>
      <c r="BF467" s="80"/>
      <c r="BG467" s="81"/>
      <c r="BH467" s="2"/>
      <c r="BI467" s="2"/>
      <c r="BJ467" s="3" t="s">
        <v>639</v>
      </c>
    </row>
    <row r="468" spans="1:62" ht="28.5" x14ac:dyDescent="0.45">
      <c r="A468" s="75" t="s">
        <v>13</v>
      </c>
      <c r="B468" s="76" t="s">
        <v>28</v>
      </c>
      <c r="C468" s="77">
        <v>45400</v>
      </c>
      <c r="D468" s="78">
        <v>5</v>
      </c>
      <c r="E468" s="75" t="s">
        <v>551</v>
      </c>
      <c r="F468" s="74" t="s">
        <v>354</v>
      </c>
      <c r="G468" s="4" t="s">
        <v>578</v>
      </c>
      <c r="H468" s="74" t="s">
        <v>223</v>
      </c>
      <c r="I468" s="74">
        <v>0.1636</v>
      </c>
      <c r="J468" s="74">
        <v>0.1636</v>
      </c>
      <c r="K468" s="88">
        <v>2.8999999999999998E-3</v>
      </c>
      <c r="L468" s="7"/>
      <c r="M468" s="74">
        <v>0.16400000000000001</v>
      </c>
      <c r="N468" s="7">
        <v>-0.56999999999999995</v>
      </c>
      <c r="O468" s="4"/>
      <c r="P468" s="74">
        <v>1.2569999999999999</v>
      </c>
      <c r="T468" s="87">
        <v>64.900000000000006</v>
      </c>
      <c r="U468" s="87">
        <v>589</v>
      </c>
      <c r="V468" s="87">
        <v>754.5</v>
      </c>
      <c r="W468" s="74" t="s">
        <v>224</v>
      </c>
      <c r="X468" s="4"/>
      <c r="Y468" s="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4"/>
      <c r="AX468" s="2"/>
      <c r="AY468" s="7"/>
      <c r="AZ468" s="4"/>
      <c r="BA468" s="4"/>
      <c r="BB468" s="2"/>
      <c r="BC468" s="2"/>
      <c r="BD468" s="2"/>
      <c r="BE468" s="79"/>
      <c r="BF468" s="80"/>
      <c r="BG468" s="81"/>
      <c r="BH468" s="2"/>
      <c r="BI468" s="2"/>
      <c r="BJ468" s="3" t="s">
        <v>640</v>
      </c>
    </row>
    <row r="469" spans="1:62" ht="28.5" x14ac:dyDescent="0.45">
      <c r="A469" s="75" t="s">
        <v>13</v>
      </c>
      <c r="B469" s="76" t="s">
        <v>28</v>
      </c>
      <c r="C469" s="77">
        <v>45400</v>
      </c>
      <c r="D469" s="78">
        <v>6</v>
      </c>
      <c r="E469" s="75" t="s">
        <v>552</v>
      </c>
      <c r="F469" s="74" t="s">
        <v>354</v>
      </c>
      <c r="G469" s="4" t="s">
        <v>578</v>
      </c>
      <c r="H469" s="74" t="s">
        <v>223</v>
      </c>
      <c r="I469" s="74">
        <v>0.1643</v>
      </c>
      <c r="J469" s="7">
        <v>0.1623</v>
      </c>
      <c r="K469" s="88">
        <v>2.7000000000000001E-3</v>
      </c>
      <c r="L469" s="7"/>
      <c r="M469" s="74">
        <v>0.15909999999999999</v>
      </c>
      <c r="N469" s="7">
        <v>-0.61</v>
      </c>
      <c r="O469" s="4"/>
      <c r="P469" s="74">
        <v>1.2569999999999999</v>
      </c>
      <c r="T469" s="87">
        <v>65.3</v>
      </c>
      <c r="U469" s="87">
        <v>582</v>
      </c>
      <c r="V469" s="87">
        <v>754.7</v>
      </c>
      <c r="W469" s="74" t="s">
        <v>224</v>
      </c>
      <c r="X469" s="4"/>
      <c r="Y469" s="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4"/>
      <c r="AX469" s="2"/>
      <c r="AY469" s="7"/>
      <c r="AZ469" s="4"/>
      <c r="BA469" s="4"/>
      <c r="BB469" s="2"/>
      <c r="BC469" s="2"/>
      <c r="BD469" s="2"/>
      <c r="BE469" s="79"/>
      <c r="BF469" s="80"/>
      <c r="BG469" s="81"/>
      <c r="BH469" s="2"/>
      <c r="BI469" s="2"/>
      <c r="BJ469" s="3" t="s">
        <v>641</v>
      </c>
    </row>
    <row r="470" spans="1:62" ht="28.5" x14ac:dyDescent="0.45">
      <c r="A470" s="75" t="s">
        <v>13</v>
      </c>
      <c r="B470" s="76" t="s">
        <v>28</v>
      </c>
      <c r="C470" s="77">
        <v>45400</v>
      </c>
      <c r="D470" s="78">
        <v>7</v>
      </c>
      <c r="E470" s="75" t="s">
        <v>553</v>
      </c>
      <c r="F470" s="74" t="s">
        <v>354</v>
      </c>
      <c r="G470" s="4" t="s">
        <v>578</v>
      </c>
      <c r="H470" s="74" t="s">
        <v>223</v>
      </c>
      <c r="I470" s="74">
        <v>0.16339999999999999</v>
      </c>
      <c r="J470" s="7">
        <v>0.1613</v>
      </c>
      <c r="K470" s="88">
        <v>2.8999999999999998E-3</v>
      </c>
      <c r="L470" s="7"/>
      <c r="M470" s="74">
        <v>0.16120000000000001</v>
      </c>
      <c r="N470" s="7">
        <v>-0.62</v>
      </c>
      <c r="O470" s="4"/>
      <c r="P470" s="74">
        <v>1.2569999999999999</v>
      </c>
      <c r="T470" s="87">
        <v>65.3</v>
      </c>
      <c r="U470" s="87">
        <v>596</v>
      </c>
      <c r="V470" s="87">
        <v>754.6</v>
      </c>
      <c r="W470" s="74" t="s">
        <v>224</v>
      </c>
      <c r="X470" s="4"/>
      <c r="Y470" s="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4"/>
      <c r="AX470" s="2"/>
      <c r="AY470" s="7"/>
      <c r="AZ470" s="4"/>
      <c r="BA470" s="4"/>
      <c r="BB470" s="2"/>
      <c r="BC470" s="2"/>
      <c r="BD470" s="2"/>
      <c r="BE470" s="79"/>
      <c r="BF470" s="80"/>
      <c r="BG470" s="81"/>
      <c r="BH470" s="2"/>
      <c r="BI470" s="2"/>
      <c r="BJ470" s="3" t="s">
        <v>642</v>
      </c>
    </row>
    <row r="471" spans="1:62" ht="28.5" x14ac:dyDescent="0.45">
      <c r="A471" s="75" t="s">
        <v>13</v>
      </c>
      <c r="B471" s="76" t="s">
        <v>28</v>
      </c>
      <c r="C471" s="77">
        <v>45400</v>
      </c>
      <c r="D471" s="78">
        <v>8</v>
      </c>
      <c r="E471" s="75" t="s">
        <v>554</v>
      </c>
      <c r="F471" s="74" t="s">
        <v>354</v>
      </c>
      <c r="G471" s="4" t="s">
        <v>578</v>
      </c>
      <c r="H471" s="74" t="s">
        <v>223</v>
      </c>
      <c r="I471" s="74">
        <v>0.1658</v>
      </c>
      <c r="J471" s="74">
        <v>0.1658</v>
      </c>
      <c r="K471" s="88">
        <v>3.0000000000000001E-3</v>
      </c>
      <c r="L471" s="7"/>
      <c r="M471" s="74">
        <v>0.16500000000000001</v>
      </c>
      <c r="N471" s="7">
        <v>-0.59</v>
      </c>
      <c r="O471" s="4"/>
      <c r="P471" s="74">
        <v>1.2569999999999999</v>
      </c>
      <c r="T471" s="87">
        <v>65</v>
      </c>
      <c r="U471" s="87">
        <v>591</v>
      </c>
      <c r="V471" s="87">
        <v>754.3</v>
      </c>
      <c r="W471" s="74" t="s">
        <v>224</v>
      </c>
      <c r="X471" s="4"/>
      <c r="Y471" s="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4"/>
      <c r="AX471" s="2"/>
      <c r="AY471" s="7"/>
      <c r="AZ471" s="4"/>
      <c r="BA471" s="4"/>
      <c r="BB471" s="2"/>
      <c r="BC471" s="2"/>
      <c r="BD471" s="2"/>
      <c r="BE471" s="79"/>
      <c r="BF471" s="80"/>
      <c r="BG471" s="81"/>
      <c r="BH471" s="2"/>
      <c r="BI471" s="2"/>
      <c r="BJ471" s="3" t="s">
        <v>643</v>
      </c>
    </row>
    <row r="472" spans="1:62" ht="28.5" x14ac:dyDescent="0.45">
      <c r="A472" s="75" t="s">
        <v>43</v>
      </c>
      <c r="B472" s="76" t="s">
        <v>79</v>
      </c>
      <c r="C472" s="77">
        <v>45400</v>
      </c>
      <c r="D472" s="78">
        <v>1</v>
      </c>
      <c r="E472" s="75" t="s">
        <v>213</v>
      </c>
      <c r="F472" s="74" t="s">
        <v>216</v>
      </c>
      <c r="G472" s="4" t="s">
        <v>578</v>
      </c>
      <c r="H472" s="74" t="s">
        <v>223</v>
      </c>
      <c r="I472" s="74">
        <v>0.15079999999999999</v>
      </c>
      <c r="J472" s="74">
        <v>0.15079999999999999</v>
      </c>
      <c r="K472" s="88">
        <v>5.7999999999999996E-3</v>
      </c>
      <c r="L472" s="7"/>
      <c r="M472" s="74">
        <v>0.14480000000000001</v>
      </c>
      <c r="N472" s="7">
        <v>-0.64</v>
      </c>
      <c r="O472" s="4"/>
      <c r="P472" s="74">
        <v>1.22</v>
      </c>
      <c r="T472" s="87">
        <v>57.7</v>
      </c>
      <c r="U472" s="87">
        <v>395</v>
      </c>
      <c r="V472" s="87">
        <v>755</v>
      </c>
      <c r="W472" s="74" t="s">
        <v>48</v>
      </c>
      <c r="X472" s="4"/>
      <c r="Y472" s="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4"/>
      <c r="AX472" s="2"/>
      <c r="AY472" s="7"/>
      <c r="AZ472" s="4"/>
      <c r="BA472" s="4"/>
      <c r="BB472" s="2"/>
      <c r="BC472" s="2"/>
      <c r="BD472" s="2"/>
      <c r="BE472" s="79"/>
      <c r="BF472" s="80"/>
      <c r="BG472" s="81"/>
      <c r="BH472" s="2"/>
      <c r="BI472" s="2"/>
      <c r="BJ472" s="3" t="s">
        <v>644</v>
      </c>
    </row>
    <row r="473" spans="1:62" ht="28.5" x14ac:dyDescent="0.45">
      <c r="A473" s="75" t="s">
        <v>43</v>
      </c>
      <c r="B473" s="76" t="s">
        <v>79</v>
      </c>
      <c r="C473" s="77">
        <v>45400</v>
      </c>
      <c r="D473" s="78">
        <v>2</v>
      </c>
      <c r="E473" s="75" t="s">
        <v>213</v>
      </c>
      <c r="F473" s="74" t="s">
        <v>216</v>
      </c>
      <c r="G473" s="4" t="s">
        <v>600</v>
      </c>
      <c r="H473" s="74" t="s">
        <v>223</v>
      </c>
      <c r="I473" s="74">
        <v>0.1517</v>
      </c>
      <c r="J473" s="74">
        <v>0.1517</v>
      </c>
      <c r="K473" s="88">
        <v>2.8E-3</v>
      </c>
      <c r="L473" s="7"/>
      <c r="M473" s="74">
        <v>0.14630000000000001</v>
      </c>
      <c r="N473" s="7">
        <v>-0.69</v>
      </c>
      <c r="O473" s="4"/>
      <c r="P473" s="74">
        <v>1.22</v>
      </c>
      <c r="T473" s="87">
        <v>61.2</v>
      </c>
      <c r="U473" s="87">
        <v>445</v>
      </c>
      <c r="V473" s="87">
        <v>755.5</v>
      </c>
      <c r="W473" s="74" t="s">
        <v>48</v>
      </c>
      <c r="X473" s="4"/>
      <c r="Y473" s="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4"/>
      <c r="AX473" s="2"/>
      <c r="AY473" s="7"/>
      <c r="AZ473" s="4"/>
      <c r="BA473" s="4"/>
      <c r="BB473" s="2"/>
      <c r="BC473" s="2"/>
      <c r="BD473" s="2"/>
      <c r="BE473" s="79"/>
      <c r="BF473" s="80"/>
      <c r="BG473" s="81"/>
      <c r="BH473" s="2"/>
      <c r="BI473" s="2"/>
      <c r="BJ473" s="3" t="s">
        <v>645</v>
      </c>
    </row>
    <row r="474" spans="1:62" ht="28.5" x14ac:dyDescent="0.45">
      <c r="A474" s="75" t="s">
        <v>43</v>
      </c>
      <c r="B474" s="76" t="s">
        <v>79</v>
      </c>
      <c r="C474" s="77">
        <v>45400</v>
      </c>
      <c r="D474" s="78">
        <v>3</v>
      </c>
      <c r="E474" s="75" t="s">
        <v>213</v>
      </c>
      <c r="F474" s="74" t="s">
        <v>216</v>
      </c>
      <c r="G474" s="4" t="s">
        <v>601</v>
      </c>
      <c r="H474" s="74" t="s">
        <v>223</v>
      </c>
      <c r="I474" s="86"/>
      <c r="J474" s="86"/>
      <c r="K474" s="89"/>
      <c r="L474" s="7"/>
      <c r="M474" s="74">
        <v>0.14910000000000001</v>
      </c>
      <c r="N474" s="89"/>
      <c r="O474" s="4"/>
      <c r="P474" s="74">
        <v>1.22</v>
      </c>
      <c r="T474" s="87">
        <v>61.2</v>
      </c>
      <c r="U474" s="87">
        <v>453</v>
      </c>
      <c r="V474" s="87">
        <v>755.3</v>
      </c>
      <c r="W474" s="74" t="s">
        <v>48</v>
      </c>
      <c r="X474" s="4"/>
      <c r="Y474" s="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4"/>
      <c r="AX474" s="2"/>
      <c r="AY474" s="7"/>
      <c r="AZ474" s="4"/>
      <c r="BA474" s="4"/>
      <c r="BB474" s="2"/>
      <c r="BC474" s="2"/>
      <c r="BD474" s="2"/>
      <c r="BE474" s="79"/>
      <c r="BF474" s="80"/>
      <c r="BG474" s="81"/>
      <c r="BH474" s="2"/>
      <c r="BI474" s="2"/>
      <c r="BJ474" s="3" t="s">
        <v>646</v>
      </c>
    </row>
    <row r="475" spans="1:62" ht="28.5" x14ac:dyDescent="0.45">
      <c r="A475" s="75" t="s">
        <v>43</v>
      </c>
      <c r="B475" s="76" t="s">
        <v>79</v>
      </c>
      <c r="C475" s="77">
        <v>45400</v>
      </c>
      <c r="D475" s="78">
        <v>4</v>
      </c>
      <c r="E475" s="75" t="s">
        <v>213</v>
      </c>
      <c r="F475" s="74" t="s">
        <v>216</v>
      </c>
      <c r="G475" s="74" t="s">
        <v>635</v>
      </c>
      <c r="H475" s="74" t="s">
        <v>223</v>
      </c>
      <c r="I475" s="74">
        <v>0.15240000000000001</v>
      </c>
      <c r="J475" s="74">
        <v>0.15240000000000001</v>
      </c>
      <c r="K475" s="88">
        <v>1.1999999999999999E-3</v>
      </c>
      <c r="L475" s="7"/>
      <c r="M475" s="74">
        <v>0.14899999999999999</v>
      </c>
      <c r="N475" s="7">
        <v>-0.69</v>
      </c>
      <c r="O475" s="4"/>
      <c r="P475" s="74">
        <v>1.22</v>
      </c>
      <c r="T475" s="87">
        <v>62.2</v>
      </c>
      <c r="U475" s="87">
        <v>470</v>
      </c>
      <c r="V475" s="87">
        <v>755.4</v>
      </c>
      <c r="W475" s="74" t="s">
        <v>48</v>
      </c>
      <c r="X475" s="4"/>
      <c r="Y475" s="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4"/>
      <c r="AX475" s="2"/>
      <c r="AY475" s="7"/>
      <c r="AZ475" s="4"/>
      <c r="BA475" s="4"/>
      <c r="BB475" s="2"/>
      <c r="BC475" s="2"/>
      <c r="BD475" s="2"/>
      <c r="BE475" s="79"/>
      <c r="BF475" s="80"/>
      <c r="BG475" s="81"/>
      <c r="BH475" s="2"/>
      <c r="BI475" s="2"/>
      <c r="BJ475" s="3" t="s">
        <v>647</v>
      </c>
    </row>
    <row r="476" spans="1:62" ht="28.5" x14ac:dyDescent="0.45">
      <c r="A476" s="75" t="s">
        <v>43</v>
      </c>
      <c r="B476" s="76" t="s">
        <v>79</v>
      </c>
      <c r="C476" s="77">
        <v>45400</v>
      </c>
      <c r="D476" s="78">
        <v>5</v>
      </c>
      <c r="E476" s="75" t="s">
        <v>213</v>
      </c>
      <c r="F476" s="74" t="s">
        <v>216</v>
      </c>
      <c r="G476" s="4" t="s">
        <v>600</v>
      </c>
      <c r="H476" s="74" t="s">
        <v>223</v>
      </c>
      <c r="I476" s="74">
        <v>0.1545</v>
      </c>
      <c r="J476" s="74">
        <v>0.1545</v>
      </c>
      <c r="K476" s="88">
        <v>2.5999999999999999E-3</v>
      </c>
      <c r="L476" s="7"/>
      <c r="M476" s="74">
        <v>0.1487</v>
      </c>
      <c r="N476" s="7">
        <v>-0.67</v>
      </c>
      <c r="O476" s="4"/>
      <c r="P476" s="74">
        <v>1.22</v>
      </c>
      <c r="T476" s="87">
        <v>61.8</v>
      </c>
      <c r="U476" s="87">
        <v>444</v>
      </c>
      <c r="V476" s="87">
        <v>755.4</v>
      </c>
      <c r="W476" s="74" t="s">
        <v>48</v>
      </c>
      <c r="X476" s="4"/>
      <c r="Y476" s="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4"/>
      <c r="AX476" s="2"/>
      <c r="AY476" s="7"/>
      <c r="AZ476" s="4"/>
      <c r="BA476" s="4"/>
      <c r="BB476" s="2"/>
      <c r="BC476" s="2"/>
      <c r="BD476" s="2"/>
      <c r="BE476" s="79"/>
      <c r="BF476" s="80"/>
      <c r="BG476" s="81"/>
      <c r="BH476" s="2"/>
      <c r="BI476" s="2"/>
      <c r="BJ476" s="3" t="s">
        <v>648</v>
      </c>
    </row>
    <row r="477" spans="1:62" ht="28.5" x14ac:dyDescent="0.45">
      <c r="A477" s="75" t="s">
        <v>43</v>
      </c>
      <c r="B477" s="76" t="s">
        <v>79</v>
      </c>
      <c r="C477" s="77">
        <v>45400</v>
      </c>
      <c r="D477" s="78">
        <v>6</v>
      </c>
      <c r="E477" s="75" t="s">
        <v>213</v>
      </c>
      <c r="F477" s="74" t="s">
        <v>216</v>
      </c>
      <c r="G477" s="4" t="s">
        <v>601</v>
      </c>
      <c r="H477" s="74" t="s">
        <v>223</v>
      </c>
      <c r="I477" s="74">
        <v>0.15720000000000001</v>
      </c>
      <c r="J477" s="74">
        <v>0.15720000000000001</v>
      </c>
      <c r="K477" s="88">
        <v>3.0000000000000001E-3</v>
      </c>
      <c r="L477" s="7"/>
      <c r="M477" s="74">
        <v>0.14979999999999999</v>
      </c>
      <c r="N477" s="7">
        <v>-0.7</v>
      </c>
      <c r="O477" s="4"/>
      <c r="P477" s="74">
        <v>1.22</v>
      </c>
      <c r="T477" s="74">
        <v>60.8</v>
      </c>
      <c r="U477" s="74">
        <v>426</v>
      </c>
      <c r="V477" s="74">
        <v>754.7</v>
      </c>
      <c r="W477" s="74" t="s">
        <v>48</v>
      </c>
      <c r="X477" s="4"/>
      <c r="Y477" s="4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4"/>
      <c r="AX477" s="2"/>
      <c r="AY477" s="7"/>
      <c r="AZ477" s="4"/>
      <c r="BA477" s="4"/>
      <c r="BB477" s="2"/>
      <c r="BC477" s="2"/>
      <c r="BD477" s="2"/>
      <c r="BE477" s="82"/>
      <c r="BF477" s="83"/>
      <c r="BG477" s="84"/>
      <c r="BH477" s="2"/>
      <c r="BI477" s="2"/>
      <c r="BJ477" s="3" t="s">
        <v>649</v>
      </c>
    </row>
    <row r="478" spans="1:62" x14ac:dyDescent="0.45">
      <c r="A478" s="107" t="s">
        <v>13</v>
      </c>
      <c r="B478" s="76" t="s">
        <v>28</v>
      </c>
      <c r="C478" s="77">
        <v>45414</v>
      </c>
      <c r="D478" s="90">
        <v>1</v>
      </c>
      <c r="E478" s="91" t="s">
        <v>551</v>
      </c>
      <c r="F478" s="4" t="s">
        <v>354</v>
      </c>
      <c r="G478" s="4" t="s">
        <v>578</v>
      </c>
      <c r="H478" s="74" t="s">
        <v>223</v>
      </c>
      <c r="I478" s="74">
        <v>0.16400000000000001</v>
      </c>
      <c r="J478" s="74">
        <v>0.16400000000000001</v>
      </c>
      <c r="K478" s="74">
        <v>3.0999999999999999E-3</v>
      </c>
      <c r="L478" s="92"/>
      <c r="M478" s="74">
        <v>0.1615</v>
      </c>
      <c r="N478" s="7">
        <v>-0.55000000000000004</v>
      </c>
      <c r="O478" s="4"/>
      <c r="P478" s="74">
        <v>1.2424999999999999</v>
      </c>
      <c r="Q478" s="92"/>
      <c r="R478" s="94"/>
      <c r="S478" s="94"/>
      <c r="T478" s="74">
        <v>65.099999999999994</v>
      </c>
      <c r="U478" s="74">
        <v>583</v>
      </c>
      <c r="V478" s="74">
        <v>754.7</v>
      </c>
      <c r="W478" s="74" t="s">
        <v>224</v>
      </c>
      <c r="X478" s="4"/>
      <c r="Y478" s="4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4"/>
      <c r="AX478" s="2"/>
      <c r="AY478" s="7"/>
      <c r="AZ478" s="4"/>
      <c r="BA478" s="74">
        <v>115.2</v>
      </c>
      <c r="BB478" s="2"/>
      <c r="BC478" s="2"/>
      <c r="BD478" s="74">
        <v>25.3</v>
      </c>
      <c r="BE478" s="74">
        <v>1004.3</v>
      </c>
      <c r="BF478" s="74">
        <v>45.2</v>
      </c>
      <c r="BG478" s="74"/>
      <c r="BH478" s="74">
        <v>2096</v>
      </c>
      <c r="BI478" s="2"/>
      <c r="BJ478" s="107" t="s">
        <v>650</v>
      </c>
    </row>
    <row r="479" spans="1:62" ht="28.5" x14ac:dyDescent="0.45">
      <c r="A479" s="107" t="s">
        <v>13</v>
      </c>
      <c r="B479" s="76" t="s">
        <v>28</v>
      </c>
      <c r="C479" s="77">
        <v>45414</v>
      </c>
      <c r="D479" s="90">
        <v>2</v>
      </c>
      <c r="E479" s="91" t="s">
        <v>551</v>
      </c>
      <c r="F479" s="4" t="s">
        <v>354</v>
      </c>
      <c r="G479" s="4" t="s">
        <v>600</v>
      </c>
      <c r="H479" s="74" t="s">
        <v>223</v>
      </c>
      <c r="I479" s="86"/>
      <c r="J479" s="86"/>
      <c r="K479" s="86"/>
      <c r="L479" s="92"/>
      <c r="M479" s="74">
        <v>0.16139999999999999</v>
      </c>
      <c r="N479" s="86"/>
      <c r="O479" s="4"/>
      <c r="P479" s="74">
        <v>1.2424999999999999</v>
      </c>
      <c r="Q479" s="92"/>
      <c r="R479" s="94"/>
      <c r="S479" s="94"/>
      <c r="T479" s="74">
        <v>65.8</v>
      </c>
      <c r="U479" s="74">
        <v>593</v>
      </c>
      <c r="V479" s="74">
        <v>755.6</v>
      </c>
      <c r="W479" s="74" t="s">
        <v>224</v>
      </c>
      <c r="X479" s="4"/>
      <c r="Y479" s="4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4"/>
      <c r="AX479" s="2"/>
      <c r="AY479" s="7"/>
      <c r="AZ479" s="4"/>
      <c r="BA479" s="74">
        <v>115.2</v>
      </c>
      <c r="BB479" s="2"/>
      <c r="BC479" s="2"/>
      <c r="BD479" s="74">
        <v>25.3</v>
      </c>
      <c r="BE479" s="74">
        <v>1004.3</v>
      </c>
      <c r="BF479" s="74">
        <v>45.2</v>
      </c>
      <c r="BG479" s="74"/>
      <c r="BH479" s="74">
        <v>2096</v>
      </c>
      <c r="BI479" s="2"/>
      <c r="BJ479" s="3" t="s">
        <v>651</v>
      </c>
    </row>
    <row r="480" spans="1:62" ht="28.5" x14ac:dyDescent="0.45">
      <c r="A480" s="107" t="s">
        <v>13</v>
      </c>
      <c r="B480" s="76" t="s">
        <v>28</v>
      </c>
      <c r="C480" s="77">
        <v>45414</v>
      </c>
      <c r="D480" s="90">
        <v>3</v>
      </c>
      <c r="E480" s="91" t="s">
        <v>551</v>
      </c>
      <c r="F480" s="4" t="s">
        <v>354</v>
      </c>
      <c r="G480" s="4" t="s">
        <v>578</v>
      </c>
      <c r="H480" s="74" t="s">
        <v>223</v>
      </c>
      <c r="I480" s="74">
        <v>0.16550000000000001</v>
      </c>
      <c r="J480" s="74">
        <v>0.16550000000000001</v>
      </c>
      <c r="K480" s="74">
        <v>4.1999999999999997E-3</v>
      </c>
      <c r="L480" s="92"/>
      <c r="M480" s="74">
        <v>0.1605</v>
      </c>
      <c r="N480" s="7">
        <v>-0.56999999999999995</v>
      </c>
      <c r="O480" s="4"/>
      <c r="P480" s="74">
        <v>1.2424999999999999</v>
      </c>
      <c r="Q480" s="92"/>
      <c r="R480" s="94"/>
      <c r="S480" s="94"/>
      <c r="T480" s="74">
        <v>66</v>
      </c>
      <c r="U480" s="74">
        <v>602</v>
      </c>
      <c r="V480" s="74">
        <v>755.5</v>
      </c>
      <c r="W480" s="74" t="s">
        <v>224</v>
      </c>
      <c r="X480" s="4"/>
      <c r="Y480" s="4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4"/>
      <c r="AX480" s="2"/>
      <c r="AY480" s="7"/>
      <c r="AZ480" s="4"/>
      <c r="BA480" s="74">
        <v>115.2</v>
      </c>
      <c r="BB480" s="2"/>
      <c r="BC480" s="2"/>
      <c r="BD480" s="74">
        <v>25.8</v>
      </c>
      <c r="BE480" s="74">
        <v>1004</v>
      </c>
      <c r="BF480" s="74">
        <v>45</v>
      </c>
      <c r="BG480" s="74"/>
      <c r="BH480" s="74">
        <v>2096</v>
      </c>
      <c r="BI480" s="2"/>
      <c r="BJ480" s="3" t="s">
        <v>652</v>
      </c>
    </row>
    <row r="481" spans="1:62" ht="28.5" x14ac:dyDescent="0.45">
      <c r="A481" s="107" t="s">
        <v>13</v>
      </c>
      <c r="B481" s="76" t="s">
        <v>28</v>
      </c>
      <c r="C481" s="77">
        <v>45414</v>
      </c>
      <c r="D481" s="90">
        <v>4</v>
      </c>
      <c r="E481" s="91" t="s">
        <v>551</v>
      </c>
      <c r="F481" s="4" t="s">
        <v>354</v>
      </c>
      <c r="G481" s="4" t="s">
        <v>600</v>
      </c>
      <c r="H481" s="74" t="s">
        <v>223</v>
      </c>
      <c r="I481" s="74">
        <v>0.16189999999999999</v>
      </c>
      <c r="J481" s="74">
        <v>0.16189999999999999</v>
      </c>
      <c r="K481" s="74">
        <v>2.5000000000000001E-3</v>
      </c>
      <c r="L481" s="92"/>
      <c r="M481" s="74">
        <v>0.1628</v>
      </c>
      <c r="N481" s="7">
        <v>-0.52</v>
      </c>
      <c r="O481" s="4"/>
      <c r="P481" s="74">
        <v>1.2424999999999999</v>
      </c>
      <c r="Q481" s="92"/>
      <c r="R481" s="94"/>
      <c r="S481" s="94"/>
      <c r="T481" s="74">
        <v>66.400000000000006</v>
      </c>
      <c r="U481" s="74">
        <v>616</v>
      </c>
      <c r="V481" s="74">
        <v>754.9</v>
      </c>
      <c r="W481" s="74" t="s">
        <v>224</v>
      </c>
      <c r="X481" s="4"/>
      <c r="Y481" s="4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4"/>
      <c r="AX481" s="2"/>
      <c r="AY481" s="7"/>
      <c r="AZ481" s="4"/>
      <c r="BA481" s="74">
        <v>115.2</v>
      </c>
      <c r="BB481" s="2"/>
      <c r="BC481" s="2"/>
      <c r="BD481" s="74">
        <v>25.8</v>
      </c>
      <c r="BE481" s="74">
        <v>1004</v>
      </c>
      <c r="BF481" s="74">
        <v>45</v>
      </c>
      <c r="BG481" s="74"/>
      <c r="BH481" s="74">
        <v>2096</v>
      </c>
      <c r="BI481" s="2"/>
      <c r="BJ481" s="3" t="s">
        <v>653</v>
      </c>
    </row>
    <row r="482" spans="1:62" ht="28.5" x14ac:dyDescent="0.45">
      <c r="A482" s="107" t="s">
        <v>13</v>
      </c>
      <c r="B482" s="76" t="s">
        <v>28</v>
      </c>
      <c r="C482" s="77">
        <v>45414</v>
      </c>
      <c r="D482" s="90">
        <v>5</v>
      </c>
      <c r="E482" s="91" t="s">
        <v>551</v>
      </c>
      <c r="F482" s="4" t="s">
        <v>354</v>
      </c>
      <c r="G482" s="4" t="s">
        <v>578</v>
      </c>
      <c r="H482" s="74" t="s">
        <v>223</v>
      </c>
      <c r="I482" s="74">
        <v>0.16109999999999999</v>
      </c>
      <c r="J482" s="74">
        <v>0.16109999999999999</v>
      </c>
      <c r="K482" s="74">
        <v>2.5999999999999999E-3</v>
      </c>
      <c r="L482" s="92"/>
      <c r="M482" s="74">
        <v>0.1588</v>
      </c>
      <c r="N482" s="7">
        <v>-0.56000000000000005</v>
      </c>
      <c r="O482" s="4"/>
      <c r="P482" s="74">
        <v>1.2424999999999999</v>
      </c>
      <c r="Q482" s="92"/>
      <c r="R482" s="94"/>
      <c r="S482" s="94"/>
      <c r="T482" s="74">
        <v>66.900000000000006</v>
      </c>
      <c r="U482" s="74">
        <v>630</v>
      </c>
      <c r="V482" s="74">
        <v>755.8</v>
      </c>
      <c r="W482" s="74" t="s">
        <v>224</v>
      </c>
      <c r="X482" s="4"/>
      <c r="Y482" s="4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4"/>
      <c r="AX482" s="2"/>
      <c r="AY482" s="7"/>
      <c r="AZ482" s="4"/>
      <c r="BA482" s="74">
        <v>115.2</v>
      </c>
      <c r="BB482" s="2"/>
      <c r="BC482" s="2"/>
      <c r="BD482" s="74">
        <v>25.8</v>
      </c>
      <c r="BE482" s="74">
        <v>1004</v>
      </c>
      <c r="BF482" s="74">
        <v>45</v>
      </c>
      <c r="BG482" s="74"/>
      <c r="BH482" s="74">
        <v>2096</v>
      </c>
      <c r="BI482" s="2"/>
      <c r="BJ482" s="3" t="s">
        <v>654</v>
      </c>
    </row>
    <row r="483" spans="1:62" x14ac:dyDescent="0.45">
      <c r="A483" s="107" t="s">
        <v>13</v>
      </c>
      <c r="B483" s="76" t="s">
        <v>28</v>
      </c>
      <c r="C483" s="77">
        <v>45414</v>
      </c>
      <c r="D483" s="90">
        <v>6</v>
      </c>
      <c r="E483" s="91" t="s">
        <v>551</v>
      </c>
      <c r="F483" s="4" t="s">
        <v>354</v>
      </c>
      <c r="G483" s="4" t="s">
        <v>600</v>
      </c>
      <c r="H483" s="74" t="s">
        <v>223</v>
      </c>
      <c r="I483" s="74">
        <v>0.161</v>
      </c>
      <c r="J483" s="74">
        <v>0.161</v>
      </c>
      <c r="K483" s="74">
        <v>2E-3</v>
      </c>
      <c r="L483" s="92"/>
      <c r="M483" s="74">
        <v>0.1578</v>
      </c>
      <c r="N483" s="7">
        <v>-0.56000000000000005</v>
      </c>
      <c r="O483" s="4"/>
      <c r="P483" s="74">
        <v>1.2424999999999999</v>
      </c>
      <c r="Q483" s="92"/>
      <c r="R483" s="94"/>
      <c r="S483" s="94"/>
      <c r="T483" s="74">
        <v>63.5</v>
      </c>
      <c r="U483" s="74">
        <v>608</v>
      </c>
      <c r="V483" s="74">
        <v>755.5</v>
      </c>
      <c r="W483" s="74" t="s">
        <v>77</v>
      </c>
      <c r="X483" s="4"/>
      <c r="Y483" s="4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4"/>
      <c r="AX483" s="2"/>
      <c r="AY483" s="7"/>
      <c r="AZ483" s="4"/>
      <c r="BA483" s="74">
        <v>115.2</v>
      </c>
      <c r="BB483" s="2"/>
      <c r="BC483" s="2"/>
      <c r="BD483" s="74">
        <v>26.1</v>
      </c>
      <c r="BE483" s="74">
        <v>1003.4</v>
      </c>
      <c r="BF483" s="74">
        <v>44</v>
      </c>
      <c r="BG483" s="74"/>
      <c r="BH483" s="74">
        <v>2096</v>
      </c>
      <c r="BI483" s="2"/>
      <c r="BJ483" s="3"/>
    </row>
    <row r="484" spans="1:62" ht="28.5" x14ac:dyDescent="0.45">
      <c r="A484" s="107" t="s">
        <v>43</v>
      </c>
      <c r="B484" s="76" t="s">
        <v>45</v>
      </c>
      <c r="C484" s="77">
        <v>45414</v>
      </c>
      <c r="D484" s="90">
        <v>1</v>
      </c>
      <c r="E484" s="91" t="s">
        <v>213</v>
      </c>
      <c r="F484" s="4" t="s">
        <v>331</v>
      </c>
      <c r="G484" s="4" t="s">
        <v>578</v>
      </c>
      <c r="H484" s="74" t="s">
        <v>223</v>
      </c>
      <c r="I484" s="74">
        <v>0.16209999999999999</v>
      </c>
      <c r="J484" s="74">
        <v>0.16209999999999999</v>
      </c>
      <c r="K484" s="74">
        <v>2.3999999999999998E-3</v>
      </c>
      <c r="L484" s="92"/>
      <c r="M484" s="74">
        <v>0.16120000000000001</v>
      </c>
      <c r="N484" s="7">
        <v>-0.48</v>
      </c>
      <c r="O484" s="4"/>
      <c r="P484" s="74">
        <v>1.2629999999999999</v>
      </c>
      <c r="Q484" s="92"/>
      <c r="R484" s="94"/>
      <c r="S484" s="94"/>
      <c r="T484" s="74">
        <v>62.2</v>
      </c>
      <c r="U484" s="74">
        <v>510</v>
      </c>
      <c r="V484" s="74">
        <v>754.6</v>
      </c>
      <c r="W484" s="74" t="s">
        <v>77</v>
      </c>
      <c r="X484" s="4"/>
      <c r="Y484" s="4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4"/>
      <c r="AX484" s="2"/>
      <c r="AY484" s="7"/>
      <c r="AZ484" s="4"/>
      <c r="BA484" s="74">
        <v>113.4</v>
      </c>
      <c r="BB484" s="2"/>
      <c r="BC484" s="2"/>
      <c r="BD484" s="74">
        <v>25.3</v>
      </c>
      <c r="BE484" s="74">
        <v>1004.3</v>
      </c>
      <c r="BF484" s="74">
        <v>45.2</v>
      </c>
      <c r="BG484" s="74"/>
      <c r="BH484" s="74">
        <v>2096</v>
      </c>
      <c r="BI484" s="2"/>
      <c r="BJ484" s="3" t="s">
        <v>655</v>
      </c>
    </row>
    <row r="485" spans="1:62" ht="28.5" x14ac:dyDescent="0.45">
      <c r="A485" s="107" t="s">
        <v>43</v>
      </c>
      <c r="B485" s="76" t="s">
        <v>45</v>
      </c>
      <c r="C485" s="77">
        <v>45414</v>
      </c>
      <c r="D485" s="90">
        <v>2</v>
      </c>
      <c r="E485" s="91" t="s">
        <v>213</v>
      </c>
      <c r="F485" s="4" t="s">
        <v>331</v>
      </c>
      <c r="G485" s="4" t="s">
        <v>600</v>
      </c>
      <c r="H485" s="74" t="s">
        <v>223</v>
      </c>
      <c r="I485" s="74">
        <v>0.1603</v>
      </c>
      <c r="J485" s="74">
        <v>0.1603</v>
      </c>
      <c r="K485" s="74">
        <v>2.2000000000000001E-3</v>
      </c>
      <c r="L485" s="92"/>
      <c r="M485" s="74">
        <v>0.1578</v>
      </c>
      <c r="N485" s="7">
        <v>-0.5</v>
      </c>
      <c r="O485" s="4"/>
      <c r="P485" s="74">
        <v>1.2629999999999999</v>
      </c>
      <c r="Q485" s="92"/>
      <c r="R485" s="94"/>
      <c r="S485" s="94"/>
      <c r="T485" s="74">
        <v>61.6</v>
      </c>
      <c r="U485" s="74">
        <v>487</v>
      </c>
      <c r="V485" s="74">
        <v>753.8</v>
      </c>
      <c r="W485" s="74" t="s">
        <v>77</v>
      </c>
      <c r="X485" s="4"/>
      <c r="Y485" s="4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4"/>
      <c r="AX485" s="2"/>
      <c r="AY485" s="7"/>
      <c r="AZ485" s="4"/>
      <c r="BA485" s="74">
        <v>113.4</v>
      </c>
      <c r="BB485" s="2"/>
      <c r="BC485" s="2"/>
      <c r="BD485" s="74">
        <v>25.3</v>
      </c>
      <c r="BE485" s="74">
        <v>1004.3</v>
      </c>
      <c r="BF485" s="74">
        <v>45.2</v>
      </c>
      <c r="BG485" s="74"/>
      <c r="BH485" s="74">
        <v>2096</v>
      </c>
      <c r="BI485" s="2"/>
      <c r="BJ485" s="3" t="s">
        <v>656</v>
      </c>
    </row>
    <row r="486" spans="1:62" ht="28.5" x14ac:dyDescent="0.45">
      <c r="A486" s="107" t="s">
        <v>43</v>
      </c>
      <c r="B486" s="76" t="s">
        <v>45</v>
      </c>
      <c r="C486" s="77">
        <v>45414</v>
      </c>
      <c r="D486" s="90">
        <v>3</v>
      </c>
      <c r="E486" s="91" t="s">
        <v>213</v>
      </c>
      <c r="F486" s="4" t="s">
        <v>331</v>
      </c>
      <c r="G486" s="4" t="s">
        <v>601</v>
      </c>
      <c r="H486" s="74" t="s">
        <v>223</v>
      </c>
      <c r="I486" s="74">
        <v>0.1661</v>
      </c>
      <c r="J486" s="74">
        <v>0.1661</v>
      </c>
      <c r="K486" s="74">
        <v>5.0000000000000001E-3</v>
      </c>
      <c r="L486" s="92"/>
      <c r="M486" s="74">
        <v>0.16400000000000001</v>
      </c>
      <c r="N486" s="7">
        <v>-0.52</v>
      </c>
      <c r="O486" s="4"/>
      <c r="P486" s="74">
        <v>1.2629999999999999</v>
      </c>
      <c r="Q486" s="92"/>
      <c r="R486" s="94"/>
      <c r="S486" s="94"/>
      <c r="T486" s="74">
        <v>61.7</v>
      </c>
      <c r="U486" s="74">
        <v>507</v>
      </c>
      <c r="V486" s="74">
        <v>753.7</v>
      </c>
      <c r="W486" s="74" t="s">
        <v>77</v>
      </c>
      <c r="X486" s="4"/>
      <c r="Y486" s="4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4"/>
      <c r="AX486" s="2"/>
      <c r="AY486" s="7"/>
      <c r="AZ486" s="4"/>
      <c r="BA486" s="74">
        <v>113.4</v>
      </c>
      <c r="BB486" s="2"/>
      <c r="BC486" s="2"/>
      <c r="BD486" s="74">
        <v>25.8</v>
      </c>
      <c r="BE486" s="74">
        <v>1004</v>
      </c>
      <c r="BF486" s="74">
        <v>45</v>
      </c>
      <c r="BG486" s="74"/>
      <c r="BH486" s="74">
        <v>2096</v>
      </c>
      <c r="BI486" s="2"/>
      <c r="BJ486" s="3" t="s">
        <v>657</v>
      </c>
    </row>
    <row r="487" spans="1:62" ht="28.5" x14ac:dyDescent="0.45">
      <c r="A487" s="107" t="s">
        <v>43</v>
      </c>
      <c r="B487" s="76" t="s">
        <v>45</v>
      </c>
      <c r="C487" s="77">
        <v>45414</v>
      </c>
      <c r="D487" s="90">
        <v>4</v>
      </c>
      <c r="E487" s="91" t="s">
        <v>213</v>
      </c>
      <c r="F487" s="4" t="s">
        <v>331</v>
      </c>
      <c r="G487" s="4" t="s">
        <v>578</v>
      </c>
      <c r="H487" s="74" t="s">
        <v>223</v>
      </c>
      <c r="I487" s="74">
        <v>0.1593</v>
      </c>
      <c r="J487" s="74">
        <v>0.1593</v>
      </c>
      <c r="K487" s="74">
        <v>2.2000000000000001E-3</v>
      </c>
      <c r="L487" s="92"/>
      <c r="M487" s="74">
        <v>0.1565</v>
      </c>
      <c r="N487" s="7">
        <v>-0.51</v>
      </c>
      <c r="O487" s="4"/>
      <c r="P487" s="74">
        <v>1.2629999999999999</v>
      </c>
      <c r="Q487" s="92"/>
      <c r="R487" s="94"/>
      <c r="S487" s="94"/>
      <c r="T487" s="74">
        <v>62.2</v>
      </c>
      <c r="U487" s="74">
        <v>507</v>
      </c>
      <c r="V487" s="74">
        <v>753.8</v>
      </c>
      <c r="W487" s="74" t="s">
        <v>77</v>
      </c>
      <c r="X487" s="4"/>
      <c r="Y487" s="4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4"/>
      <c r="AX487" s="2"/>
      <c r="AY487" s="7"/>
      <c r="AZ487" s="4"/>
      <c r="BA487" s="74">
        <v>113.4</v>
      </c>
      <c r="BB487" s="2"/>
      <c r="BC487" s="2"/>
      <c r="BD487" s="74">
        <v>25.8</v>
      </c>
      <c r="BE487" s="74">
        <v>1004</v>
      </c>
      <c r="BF487" s="74">
        <v>45</v>
      </c>
      <c r="BG487" s="74"/>
      <c r="BH487" s="74">
        <v>2096</v>
      </c>
      <c r="BI487" s="2"/>
      <c r="BJ487" s="3" t="s">
        <v>658</v>
      </c>
    </row>
    <row r="488" spans="1:62" ht="28.5" x14ac:dyDescent="0.45">
      <c r="A488" s="107" t="s">
        <v>43</v>
      </c>
      <c r="B488" s="76" t="s">
        <v>45</v>
      </c>
      <c r="C488" s="77">
        <v>45414</v>
      </c>
      <c r="D488" s="90">
        <v>5</v>
      </c>
      <c r="E488" s="91" t="s">
        <v>213</v>
      </c>
      <c r="F488" s="4" t="s">
        <v>331</v>
      </c>
      <c r="G488" s="4" t="s">
        <v>600</v>
      </c>
      <c r="H488" s="74" t="s">
        <v>223</v>
      </c>
      <c r="I488" s="74">
        <v>0.1618</v>
      </c>
      <c r="J488" s="74">
        <v>0.1618</v>
      </c>
      <c r="K488" s="74">
        <v>6.1000000000000004E-3</v>
      </c>
      <c r="L488" s="92"/>
      <c r="M488" s="74">
        <v>0.1573</v>
      </c>
      <c r="N488" s="7">
        <v>-0.52</v>
      </c>
      <c r="O488" s="4"/>
      <c r="P488" s="74">
        <v>1.2629999999999999</v>
      </c>
      <c r="Q488" s="92"/>
      <c r="R488" s="94"/>
      <c r="S488" s="94"/>
      <c r="T488" s="74">
        <v>62.3</v>
      </c>
      <c r="U488" s="74">
        <v>510</v>
      </c>
      <c r="V488" s="74">
        <v>754</v>
      </c>
      <c r="W488" s="74" t="s">
        <v>77</v>
      </c>
      <c r="X488" s="4"/>
      <c r="Y488" s="4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4"/>
      <c r="AX488" s="2"/>
      <c r="AY488" s="7"/>
      <c r="AZ488" s="4"/>
      <c r="BA488" s="74">
        <v>113.4</v>
      </c>
      <c r="BB488" s="2"/>
      <c r="BC488" s="2"/>
      <c r="BD488" s="74">
        <v>25.8</v>
      </c>
      <c r="BE488" s="74">
        <v>1004</v>
      </c>
      <c r="BF488" s="74">
        <v>45</v>
      </c>
      <c r="BG488" s="74"/>
      <c r="BH488" s="74">
        <v>2096</v>
      </c>
      <c r="BI488" s="2"/>
      <c r="BJ488" s="3" t="s">
        <v>659</v>
      </c>
    </row>
    <row r="489" spans="1:62" ht="28.5" x14ac:dyDescent="0.45">
      <c r="A489" s="107" t="s">
        <v>43</v>
      </c>
      <c r="B489" s="76" t="s">
        <v>45</v>
      </c>
      <c r="C489" s="77">
        <v>45414</v>
      </c>
      <c r="D489" s="90">
        <v>6</v>
      </c>
      <c r="E489" s="91" t="s">
        <v>213</v>
      </c>
      <c r="F489" s="4" t="s">
        <v>331</v>
      </c>
      <c r="G489" s="4" t="s">
        <v>601</v>
      </c>
      <c r="H489" s="74" t="s">
        <v>223</v>
      </c>
      <c r="I489" s="74">
        <v>0.1681</v>
      </c>
      <c r="J489" s="74">
        <v>0.1681</v>
      </c>
      <c r="K489" s="74">
        <v>6.9999999999999999E-4</v>
      </c>
      <c r="L489" s="92"/>
      <c r="M489" s="74">
        <v>0.16370000000000001</v>
      </c>
      <c r="N489" s="7">
        <v>-0.55000000000000004</v>
      </c>
      <c r="O489" s="4"/>
      <c r="P489" s="74">
        <v>1.2629999999999999</v>
      </c>
      <c r="Q489" s="92"/>
      <c r="R489" s="94"/>
      <c r="S489" s="94"/>
      <c r="T489" s="74">
        <v>62</v>
      </c>
      <c r="U489" s="74">
        <v>507</v>
      </c>
      <c r="V489" s="74">
        <v>753.8</v>
      </c>
      <c r="W489" s="74" t="s">
        <v>77</v>
      </c>
      <c r="X489" s="4"/>
      <c r="Y489" s="4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4"/>
      <c r="AX489" s="2"/>
      <c r="AY489" s="7"/>
      <c r="AZ489" s="4"/>
      <c r="BA489" s="74">
        <v>113.4</v>
      </c>
      <c r="BB489" s="2"/>
      <c r="BC489" s="2"/>
      <c r="BD489" s="74">
        <v>26.1</v>
      </c>
      <c r="BE489" s="74">
        <v>1003.4</v>
      </c>
      <c r="BF489" s="74">
        <v>44</v>
      </c>
      <c r="BG489" s="74"/>
      <c r="BH489" s="74">
        <v>2096</v>
      </c>
      <c r="BI489" s="2"/>
      <c r="BJ489" s="3" t="s">
        <v>660</v>
      </c>
    </row>
    <row r="490" spans="1:62" ht="28.5" x14ac:dyDescent="0.45">
      <c r="A490" s="107" t="s">
        <v>43</v>
      </c>
      <c r="B490" s="76" t="s">
        <v>210</v>
      </c>
      <c r="C490" s="77">
        <v>45414</v>
      </c>
      <c r="D490" s="90">
        <v>1</v>
      </c>
      <c r="E490" s="91" t="s">
        <v>545</v>
      </c>
      <c r="F490" s="4" t="s">
        <v>331</v>
      </c>
      <c r="G490" s="4" t="s">
        <v>578</v>
      </c>
      <c r="H490" s="4" t="s">
        <v>330</v>
      </c>
      <c r="I490" s="74">
        <v>0.17319999999999999</v>
      </c>
      <c r="J490" s="74">
        <v>0.17319999999999999</v>
      </c>
      <c r="K490" s="74">
        <v>3.8E-3</v>
      </c>
      <c r="L490" s="92"/>
      <c r="M490" s="74">
        <v>0.16919999999999999</v>
      </c>
      <c r="N490" s="7">
        <v>-0.6</v>
      </c>
      <c r="O490" s="4"/>
      <c r="P490" s="74">
        <v>1.26</v>
      </c>
      <c r="Q490" s="92"/>
      <c r="R490" s="94"/>
      <c r="S490" s="94"/>
      <c r="T490" s="74">
        <v>59.9</v>
      </c>
      <c r="U490" s="74">
        <v>459</v>
      </c>
      <c r="V490" s="74">
        <v>754.3</v>
      </c>
      <c r="W490" s="74" t="s">
        <v>77</v>
      </c>
      <c r="X490" s="4"/>
      <c r="Y490" s="4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4"/>
      <c r="AX490" s="2"/>
      <c r="AY490" s="7"/>
      <c r="AZ490" s="4"/>
      <c r="BA490" s="74">
        <v>111.6</v>
      </c>
      <c r="BB490" s="2"/>
      <c r="BC490" s="2"/>
      <c r="BD490" s="74">
        <v>25.3</v>
      </c>
      <c r="BE490" s="74">
        <v>1004.3</v>
      </c>
      <c r="BF490" s="74">
        <v>45.2</v>
      </c>
      <c r="BG490" s="74"/>
      <c r="BH490" s="74">
        <v>2096</v>
      </c>
      <c r="BI490" s="2"/>
      <c r="BJ490" s="3" t="s">
        <v>661</v>
      </c>
    </row>
    <row r="491" spans="1:62" ht="28.5" x14ac:dyDescent="0.45">
      <c r="A491" s="107" t="s">
        <v>43</v>
      </c>
      <c r="B491" s="76" t="s">
        <v>210</v>
      </c>
      <c r="C491" s="77">
        <v>45414</v>
      </c>
      <c r="D491" s="90">
        <v>2</v>
      </c>
      <c r="E491" s="91" t="s">
        <v>545</v>
      </c>
      <c r="F491" s="4" t="s">
        <v>331</v>
      </c>
      <c r="G491" s="4" t="s">
        <v>601</v>
      </c>
      <c r="H491" s="4" t="s">
        <v>330</v>
      </c>
      <c r="I491" s="74">
        <v>0.16969999999999999</v>
      </c>
      <c r="J491" s="74">
        <v>0.16969999999999999</v>
      </c>
      <c r="K491" s="74">
        <v>5.5999999999999999E-3</v>
      </c>
      <c r="L491" s="92"/>
      <c r="M491" s="74">
        <v>0.1686</v>
      </c>
      <c r="N491" s="7">
        <v>-0.62</v>
      </c>
      <c r="O491" s="4"/>
      <c r="P491" s="74">
        <v>1.26</v>
      </c>
      <c r="Q491" s="92"/>
      <c r="R491" s="94"/>
      <c r="S491" s="94"/>
      <c r="T491" s="74">
        <v>58.7</v>
      </c>
      <c r="U491" s="74">
        <v>470</v>
      </c>
      <c r="V491" s="74">
        <v>754.4</v>
      </c>
      <c r="W491" s="74" t="s">
        <v>77</v>
      </c>
      <c r="X491" s="4"/>
      <c r="Y491" s="4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4"/>
      <c r="AX491" s="2"/>
      <c r="AY491" s="7"/>
      <c r="AZ491" s="4"/>
      <c r="BA491" s="74">
        <v>111.6</v>
      </c>
      <c r="BB491" s="2"/>
      <c r="BC491" s="2"/>
      <c r="BD491" s="74">
        <v>25.3</v>
      </c>
      <c r="BE491" s="74">
        <v>1004.3</v>
      </c>
      <c r="BF491" s="74">
        <v>45.2</v>
      </c>
      <c r="BG491" s="74"/>
      <c r="BH491" s="74">
        <v>2096</v>
      </c>
      <c r="BI491" s="2"/>
      <c r="BJ491" s="3" t="s">
        <v>662</v>
      </c>
    </row>
    <row r="492" spans="1:62" x14ac:dyDescent="0.45">
      <c r="A492" s="107" t="s">
        <v>43</v>
      </c>
      <c r="B492" s="76" t="s">
        <v>210</v>
      </c>
      <c r="C492" s="77">
        <v>45414</v>
      </c>
      <c r="D492" s="90">
        <v>3</v>
      </c>
      <c r="E492" s="91" t="s">
        <v>545</v>
      </c>
      <c r="F492" s="4" t="s">
        <v>331</v>
      </c>
      <c r="G492" s="4" t="s">
        <v>600</v>
      </c>
      <c r="H492" s="4" t="s">
        <v>330</v>
      </c>
      <c r="I492" s="74">
        <v>0.1729</v>
      </c>
      <c r="J492" s="74">
        <v>0.1729</v>
      </c>
      <c r="K492" s="74">
        <v>2.0999999999999999E-3</v>
      </c>
      <c r="L492" s="92"/>
      <c r="M492" s="74">
        <v>0.16969999999999999</v>
      </c>
      <c r="N492" s="7">
        <v>-0.69</v>
      </c>
      <c r="O492" s="4"/>
      <c r="P492" s="74">
        <v>1.26</v>
      </c>
      <c r="Q492" s="92"/>
      <c r="R492" s="94"/>
      <c r="S492" s="94"/>
      <c r="T492" s="74">
        <v>59.1</v>
      </c>
      <c r="U492" s="74">
        <v>463</v>
      </c>
      <c r="V492" s="74">
        <v>754.2</v>
      </c>
      <c r="W492" s="74" t="s">
        <v>77</v>
      </c>
      <c r="X492" s="4"/>
      <c r="Y492" s="4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4"/>
      <c r="AX492" s="2"/>
      <c r="AY492" s="7"/>
      <c r="AZ492" s="4"/>
      <c r="BA492" s="74">
        <v>111.6</v>
      </c>
      <c r="BB492" s="2"/>
      <c r="BC492" s="2"/>
      <c r="BD492" s="74">
        <v>25.8</v>
      </c>
      <c r="BE492" s="74">
        <v>1004</v>
      </c>
      <c r="BF492" s="74">
        <v>45</v>
      </c>
      <c r="BG492" s="74"/>
      <c r="BH492" s="74">
        <v>2096</v>
      </c>
      <c r="BI492" s="2"/>
      <c r="BJ492" s="3"/>
    </row>
    <row r="493" spans="1:62" ht="28.5" x14ac:dyDescent="0.45">
      <c r="A493" s="107" t="s">
        <v>43</v>
      </c>
      <c r="B493" s="76" t="s">
        <v>210</v>
      </c>
      <c r="C493" s="77">
        <v>45414</v>
      </c>
      <c r="D493" s="90">
        <v>4</v>
      </c>
      <c r="E493" s="91" t="s">
        <v>545</v>
      </c>
      <c r="F493" s="4" t="s">
        <v>331</v>
      </c>
      <c r="G493" s="4" t="s">
        <v>578</v>
      </c>
      <c r="H493" s="4" t="s">
        <v>330</v>
      </c>
      <c r="I493" s="74">
        <v>0.17380000000000001</v>
      </c>
      <c r="J493" s="74">
        <v>0.17380000000000001</v>
      </c>
      <c r="K493" s="74">
        <v>3.7000000000000002E-3</v>
      </c>
      <c r="L493" s="92"/>
      <c r="M493" s="74">
        <v>0.17169999999999999</v>
      </c>
      <c r="N493" s="7">
        <v>-0.7</v>
      </c>
      <c r="O493" s="4"/>
      <c r="P493" s="74">
        <v>1.26</v>
      </c>
      <c r="Q493" s="92"/>
      <c r="R493" s="94"/>
      <c r="S493" s="94"/>
      <c r="T493" s="74">
        <v>59.6</v>
      </c>
      <c r="U493" s="74">
        <v>479</v>
      </c>
      <c r="V493" s="74">
        <v>754.3</v>
      </c>
      <c r="W493" s="74" t="s">
        <v>77</v>
      </c>
      <c r="X493" s="4"/>
      <c r="Y493" s="4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4"/>
      <c r="AX493" s="2"/>
      <c r="AY493" s="7"/>
      <c r="AZ493" s="4"/>
      <c r="BA493" s="74">
        <v>111.6</v>
      </c>
      <c r="BB493" s="2"/>
      <c r="BC493" s="2"/>
      <c r="BD493" s="74">
        <v>25.8</v>
      </c>
      <c r="BE493" s="74">
        <v>1004</v>
      </c>
      <c r="BF493" s="74">
        <v>45</v>
      </c>
      <c r="BG493" s="74"/>
      <c r="BH493" s="74">
        <v>2096</v>
      </c>
      <c r="BI493" s="2"/>
      <c r="BJ493" s="3" t="s">
        <v>663</v>
      </c>
    </row>
    <row r="494" spans="1:62" ht="28.5" x14ac:dyDescent="0.45">
      <c r="A494" s="107" t="s">
        <v>43</v>
      </c>
      <c r="B494" s="76" t="s">
        <v>210</v>
      </c>
      <c r="C494" s="77">
        <v>45414</v>
      </c>
      <c r="D494" s="90">
        <v>5</v>
      </c>
      <c r="E494" s="91" t="s">
        <v>545</v>
      </c>
      <c r="F494" s="4" t="s">
        <v>331</v>
      </c>
      <c r="G494" s="4" t="s">
        <v>601</v>
      </c>
      <c r="H494" s="4" t="s">
        <v>330</v>
      </c>
      <c r="I494" s="74">
        <v>0.16889999999999999</v>
      </c>
      <c r="J494" s="74">
        <v>0.16889999999999999</v>
      </c>
      <c r="K494" s="74">
        <v>4.7000000000000002E-3</v>
      </c>
      <c r="L494" s="92"/>
      <c r="M494" s="74">
        <v>0.16400000000000001</v>
      </c>
      <c r="N494" s="7">
        <v>-0.5</v>
      </c>
      <c r="O494" s="4"/>
      <c r="P494" s="74">
        <v>1.26</v>
      </c>
      <c r="Q494" s="92"/>
      <c r="R494" s="94"/>
      <c r="S494" s="94"/>
      <c r="T494" s="74">
        <v>60.5</v>
      </c>
      <c r="U494" s="74">
        <v>487</v>
      </c>
      <c r="V494" s="74">
        <v>754.9</v>
      </c>
      <c r="W494" s="74" t="s">
        <v>77</v>
      </c>
      <c r="X494" s="4"/>
      <c r="Y494" s="4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4"/>
      <c r="AX494" s="2"/>
      <c r="AY494" s="7"/>
      <c r="AZ494" s="4"/>
      <c r="BA494" s="74">
        <v>111.6</v>
      </c>
      <c r="BB494" s="2"/>
      <c r="BC494" s="2"/>
      <c r="BD494" s="74">
        <v>25.8</v>
      </c>
      <c r="BE494" s="74">
        <v>1004</v>
      </c>
      <c r="BF494" s="74">
        <v>45</v>
      </c>
      <c r="BG494" s="74"/>
      <c r="BH494" s="74">
        <v>2096</v>
      </c>
      <c r="BI494" s="2"/>
      <c r="BJ494" s="3" t="s">
        <v>664</v>
      </c>
    </row>
    <row r="495" spans="1:62" ht="28.5" x14ac:dyDescent="0.45">
      <c r="A495" s="107" t="s">
        <v>43</v>
      </c>
      <c r="B495" s="99" t="s">
        <v>210</v>
      </c>
      <c r="C495" s="100">
        <v>45414</v>
      </c>
      <c r="D495" s="101">
        <v>6</v>
      </c>
      <c r="E495" s="91" t="s">
        <v>545</v>
      </c>
      <c r="F495" s="4" t="s">
        <v>331</v>
      </c>
      <c r="G495" s="4" t="s">
        <v>600</v>
      </c>
      <c r="H495" s="4" t="s">
        <v>330</v>
      </c>
      <c r="I495" s="74">
        <v>0.16259999999999999</v>
      </c>
      <c r="J495" s="74">
        <v>0.16259999999999999</v>
      </c>
      <c r="K495" s="74">
        <v>2.8E-3</v>
      </c>
      <c r="L495" s="103"/>
      <c r="M495" s="74">
        <v>0.1623</v>
      </c>
      <c r="N495" s="7">
        <v>-0.52</v>
      </c>
      <c r="O495" s="102"/>
      <c r="P495" s="74">
        <v>1.26</v>
      </c>
      <c r="Q495" s="103"/>
      <c r="R495" s="105"/>
      <c r="S495" s="105"/>
      <c r="T495" s="74">
        <v>60.8</v>
      </c>
      <c r="U495" s="74">
        <v>485</v>
      </c>
      <c r="V495" s="74">
        <v>754.8</v>
      </c>
      <c r="W495" s="74" t="s">
        <v>77</v>
      </c>
      <c r="X495" s="102"/>
      <c r="Y495" s="102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  <c r="AW495" s="102"/>
      <c r="AX495" s="98"/>
      <c r="AY495" s="104"/>
      <c r="AZ495" s="102"/>
      <c r="BA495" s="74">
        <v>111.6</v>
      </c>
      <c r="BB495" s="98"/>
      <c r="BC495" s="98"/>
      <c r="BD495" s="74">
        <v>26.1</v>
      </c>
      <c r="BE495" s="74">
        <v>1003.4</v>
      </c>
      <c r="BF495" s="74">
        <v>44</v>
      </c>
      <c r="BG495" s="74"/>
      <c r="BH495" s="74">
        <v>2096</v>
      </c>
      <c r="BI495" s="98"/>
      <c r="BJ495" s="106" t="s">
        <v>665</v>
      </c>
    </row>
    <row r="496" spans="1:62" x14ac:dyDescent="0.45">
      <c r="A496" s="75"/>
      <c r="B496" s="54"/>
      <c r="D496" s="108"/>
      <c r="E496" s="91"/>
      <c r="F496" s="4"/>
      <c r="G496" s="4"/>
      <c r="H496" s="4"/>
      <c r="I496" s="92"/>
      <c r="K496" s="93"/>
      <c r="L496" s="92"/>
      <c r="M496" s="94"/>
      <c r="O496" s="4"/>
      <c r="P496" s="92"/>
      <c r="Q496" s="92"/>
      <c r="R496" s="94"/>
      <c r="S496" s="94"/>
      <c r="T496" s="94"/>
      <c r="U496" s="94"/>
      <c r="V496" s="92"/>
      <c r="W496" s="74"/>
      <c r="X496" s="4"/>
      <c r="Y496" s="4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4"/>
      <c r="AX496" s="2"/>
      <c r="AY496" s="7"/>
      <c r="AZ496" s="4"/>
      <c r="BA496" s="4"/>
      <c r="BB496" s="2"/>
      <c r="BC496" s="2"/>
      <c r="BD496" s="2"/>
      <c r="BE496" s="95"/>
      <c r="BF496" s="96"/>
      <c r="BG496" s="97"/>
      <c r="BH496" s="2"/>
      <c r="BI496" s="2"/>
      <c r="BJ496" s="3"/>
    </row>
    <row r="497" spans="1:62" x14ac:dyDescent="0.45">
      <c r="A497" s="75"/>
      <c r="B497" s="54"/>
      <c r="D497" s="108"/>
      <c r="E497" s="91"/>
      <c r="F497" s="4"/>
      <c r="G497" s="4"/>
      <c r="H497" s="4"/>
      <c r="I497" s="92"/>
      <c r="K497" s="93"/>
      <c r="L497" s="92"/>
      <c r="M497" s="94"/>
      <c r="O497" s="4"/>
      <c r="P497" s="92"/>
      <c r="Q497" s="92"/>
      <c r="R497" s="94"/>
      <c r="S497" s="94"/>
      <c r="T497" s="94"/>
      <c r="U497" s="94"/>
      <c r="V497" s="92"/>
      <c r="W497" s="74"/>
      <c r="X497" s="4"/>
      <c r="Y497" s="4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4"/>
      <c r="AX497" s="2"/>
      <c r="AY497" s="7"/>
      <c r="AZ497" s="4"/>
      <c r="BA497" s="4"/>
      <c r="BB497" s="2"/>
      <c r="BC497" s="2"/>
      <c r="BD497" s="2"/>
      <c r="BE497" s="95"/>
      <c r="BF497" s="96"/>
      <c r="BG497" s="97"/>
      <c r="BH497" s="2"/>
      <c r="BI497" s="2"/>
      <c r="BJ497" s="3"/>
    </row>
    <row r="498" spans="1:62" x14ac:dyDescent="0.45">
      <c r="A498" s="75"/>
      <c r="B498" s="54"/>
      <c r="D498" s="108"/>
      <c r="E498" s="91"/>
      <c r="F498" s="4"/>
      <c r="G498" s="4"/>
      <c r="H498" s="4"/>
      <c r="I498" s="92"/>
      <c r="K498" s="93"/>
      <c r="L498" s="92"/>
      <c r="M498" s="94"/>
      <c r="O498" s="4"/>
      <c r="P498" s="92"/>
      <c r="Q498" s="92"/>
      <c r="R498" s="94"/>
      <c r="S498" s="94"/>
      <c r="T498" s="94"/>
      <c r="U498" s="94"/>
      <c r="V498" s="92"/>
      <c r="W498" s="74"/>
      <c r="X498" s="4"/>
      <c r="Y498" s="4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4"/>
      <c r="AX498" s="2"/>
      <c r="AY498" s="7"/>
      <c r="AZ498" s="4"/>
      <c r="BA498" s="4"/>
      <c r="BB498" s="2"/>
      <c r="BC498" s="2"/>
      <c r="BD498" s="2"/>
      <c r="BE498" s="95"/>
      <c r="BF498" s="96"/>
      <c r="BG498" s="97"/>
      <c r="BH498" s="2"/>
      <c r="BI498" s="2"/>
      <c r="BJ498" s="3"/>
    </row>
    <row r="499" spans="1:62" x14ac:dyDescent="0.45">
      <c r="A499" s="75"/>
      <c r="B499" s="54"/>
      <c r="D499" s="108"/>
      <c r="E499" s="91"/>
      <c r="F499" s="4"/>
      <c r="G499" s="4"/>
      <c r="H499" s="4"/>
      <c r="I499" s="92"/>
      <c r="K499" s="93"/>
      <c r="L499" s="92"/>
      <c r="M499" s="94"/>
      <c r="O499" s="4"/>
      <c r="P499" s="92"/>
      <c r="Q499" s="92"/>
      <c r="R499" s="94"/>
      <c r="S499" s="94"/>
      <c r="T499" s="94"/>
      <c r="U499" s="94"/>
      <c r="V499" s="92"/>
      <c r="W499" s="74"/>
      <c r="X499" s="4"/>
      <c r="Y499" s="4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4"/>
      <c r="AX499" s="2"/>
      <c r="AY499" s="7"/>
      <c r="AZ499" s="4"/>
      <c r="BA499" s="4"/>
      <c r="BB499" s="2"/>
      <c r="BC499" s="2"/>
      <c r="BD499" s="2"/>
      <c r="BE499" s="95"/>
      <c r="BF499" s="96"/>
      <c r="BG499" s="97"/>
      <c r="BH499" s="2"/>
      <c r="BI499" s="2"/>
      <c r="BJ499" s="3"/>
    </row>
    <row r="500" spans="1:62" x14ac:dyDescent="0.45">
      <c r="A500" s="75"/>
      <c r="B500" s="54"/>
      <c r="D500" s="108"/>
      <c r="E500" s="91"/>
      <c r="F500" s="4"/>
      <c r="G500" s="4"/>
      <c r="H500" s="4"/>
      <c r="I500" s="92"/>
      <c r="K500" s="93"/>
      <c r="L500" s="92"/>
      <c r="M500" s="94"/>
      <c r="O500" s="4"/>
      <c r="P500" s="92"/>
      <c r="Q500" s="92"/>
      <c r="R500" s="94"/>
      <c r="S500" s="94"/>
      <c r="T500" s="94"/>
      <c r="U500" s="94"/>
      <c r="V500" s="92"/>
      <c r="W500" s="74"/>
      <c r="X500" s="4"/>
      <c r="Y500" s="4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4"/>
      <c r="AX500" s="2"/>
      <c r="AY500" s="7"/>
      <c r="AZ500" s="4"/>
      <c r="BA500" s="4"/>
      <c r="BB500" s="2"/>
      <c r="BC500" s="2"/>
      <c r="BD500" s="2"/>
      <c r="BE500" s="95"/>
      <c r="BF500" s="96"/>
      <c r="BG500" s="97"/>
      <c r="BH500" s="2"/>
      <c r="BI500" s="2"/>
      <c r="BJ500" s="3"/>
    </row>
    <row r="501" spans="1:62" x14ac:dyDescent="0.45">
      <c r="A501" s="75"/>
      <c r="B501" s="54"/>
      <c r="D501" s="108"/>
      <c r="E501" s="91"/>
      <c r="F501" s="4"/>
      <c r="G501" s="4"/>
      <c r="H501" s="4"/>
      <c r="I501" s="92"/>
      <c r="K501" s="93"/>
      <c r="L501" s="92"/>
      <c r="M501" s="94"/>
      <c r="O501" s="4"/>
      <c r="P501" s="92"/>
      <c r="Q501" s="92"/>
      <c r="R501" s="94"/>
      <c r="S501" s="94"/>
      <c r="T501" s="94"/>
      <c r="U501" s="94"/>
      <c r="V501" s="92"/>
      <c r="W501" s="74"/>
      <c r="X501" s="4"/>
      <c r="Y501" s="4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4"/>
      <c r="AX501" s="2"/>
      <c r="AY501" s="7"/>
      <c r="AZ501" s="4"/>
      <c r="BA501" s="4"/>
      <c r="BB501" s="2"/>
      <c r="BC501" s="2"/>
      <c r="BD501" s="2"/>
      <c r="BE501" s="95"/>
      <c r="BF501" s="96"/>
      <c r="BG501" s="97"/>
      <c r="BH501" s="2"/>
      <c r="BI501" s="2"/>
      <c r="BJ501" s="3"/>
    </row>
    <row r="502" spans="1:62" x14ac:dyDescent="0.45">
      <c r="A502" s="75"/>
      <c r="B502" s="54"/>
      <c r="D502" s="108"/>
      <c r="E502" s="91"/>
      <c r="F502" s="4"/>
      <c r="G502" s="4"/>
      <c r="H502" s="4"/>
      <c r="I502" s="92"/>
      <c r="K502" s="93"/>
      <c r="L502" s="92"/>
      <c r="M502" s="94"/>
      <c r="O502" s="4"/>
      <c r="P502" s="92"/>
      <c r="Q502" s="92"/>
      <c r="R502" s="94"/>
      <c r="S502" s="94"/>
      <c r="T502" s="94"/>
      <c r="U502" s="94"/>
      <c r="V502" s="92"/>
      <c r="W502" s="74"/>
      <c r="X502" s="4"/>
      <c r="Y502" s="4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4"/>
      <c r="AX502" s="2"/>
      <c r="AY502" s="7"/>
      <c r="AZ502" s="4"/>
      <c r="BA502" s="4"/>
      <c r="BB502" s="2"/>
      <c r="BC502" s="2"/>
      <c r="BD502" s="2"/>
      <c r="BE502" s="95"/>
      <c r="BF502" s="96"/>
      <c r="BG502" s="97"/>
      <c r="BH502" s="2"/>
      <c r="BI502" s="2"/>
      <c r="BJ502" s="3"/>
    </row>
    <row r="503" spans="1:62" x14ac:dyDescent="0.45">
      <c r="A503" s="75"/>
      <c r="B503" s="54"/>
      <c r="D503" s="108"/>
      <c r="E503" s="91"/>
      <c r="F503" s="4"/>
      <c r="G503" s="4"/>
      <c r="H503" s="4"/>
      <c r="I503" s="92"/>
      <c r="K503" s="93"/>
      <c r="L503" s="92"/>
      <c r="M503" s="94"/>
      <c r="O503" s="4"/>
      <c r="P503" s="92"/>
      <c r="Q503" s="92"/>
      <c r="R503" s="94"/>
      <c r="S503" s="94"/>
      <c r="T503" s="94"/>
      <c r="U503" s="94"/>
      <c r="V503" s="92"/>
      <c r="W503" s="74"/>
      <c r="X503" s="4"/>
      <c r="Y503" s="4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4"/>
      <c r="AX503" s="2"/>
      <c r="AY503" s="7"/>
      <c r="AZ503" s="4"/>
      <c r="BA503" s="4"/>
      <c r="BB503" s="2"/>
      <c r="BC503" s="2"/>
      <c r="BD503" s="2"/>
      <c r="BE503" s="95"/>
      <c r="BF503" s="96"/>
      <c r="BG503" s="97"/>
      <c r="BH503" s="2"/>
      <c r="BI503" s="2"/>
      <c r="BJ503" s="3"/>
    </row>
    <row r="504" spans="1:62" x14ac:dyDescent="0.45">
      <c r="A504" s="75"/>
      <c r="B504" s="54"/>
      <c r="D504" s="108"/>
      <c r="E504" s="91"/>
      <c r="F504" s="4"/>
      <c r="G504" s="4"/>
      <c r="H504" s="4"/>
      <c r="I504" s="92"/>
      <c r="K504" s="93"/>
      <c r="L504" s="92"/>
      <c r="M504" s="94"/>
      <c r="O504" s="4"/>
      <c r="P504" s="92"/>
      <c r="Q504" s="92"/>
      <c r="R504" s="94"/>
      <c r="S504" s="94"/>
      <c r="T504" s="94"/>
      <c r="U504" s="94"/>
      <c r="V504" s="92"/>
      <c r="W504" s="74"/>
      <c r="X504" s="4"/>
      <c r="Y504" s="4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4"/>
      <c r="AX504" s="2"/>
      <c r="AY504" s="7"/>
      <c r="AZ504" s="4"/>
      <c r="BA504" s="4"/>
      <c r="BB504" s="2"/>
      <c r="BC504" s="2"/>
      <c r="BD504" s="2"/>
      <c r="BE504" s="95"/>
      <c r="BF504" s="96"/>
      <c r="BG504" s="97"/>
      <c r="BH504" s="2"/>
      <c r="BI504" s="2"/>
      <c r="BJ504" s="3"/>
    </row>
    <row r="505" spans="1:62" x14ac:dyDescent="0.45">
      <c r="A505" s="75"/>
      <c r="B505" s="54"/>
      <c r="D505" s="108"/>
      <c r="E505" s="91"/>
      <c r="F505" s="4"/>
      <c r="G505" s="4"/>
      <c r="H505" s="4"/>
      <c r="I505" s="92"/>
      <c r="K505" s="93"/>
      <c r="L505" s="92"/>
      <c r="M505" s="94"/>
      <c r="O505" s="4"/>
      <c r="P505" s="92"/>
      <c r="Q505" s="92"/>
      <c r="R505" s="94"/>
      <c r="S505" s="94"/>
      <c r="T505" s="94"/>
      <c r="U505" s="94"/>
      <c r="V505" s="92"/>
      <c r="W505" s="74"/>
      <c r="X505" s="4"/>
      <c r="Y505" s="4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4"/>
      <c r="AX505" s="2"/>
      <c r="AY505" s="7"/>
      <c r="AZ505" s="4"/>
      <c r="BA505" s="4"/>
      <c r="BB505" s="2"/>
      <c r="BC505" s="2"/>
      <c r="BD505" s="2"/>
      <c r="BE505" s="95"/>
      <c r="BF505" s="96"/>
      <c r="BG505" s="97"/>
      <c r="BH505" s="2"/>
      <c r="BI505" s="2"/>
      <c r="BJ505" s="3"/>
    </row>
    <row r="506" spans="1:62" x14ac:dyDescent="0.45">
      <c r="A506" s="75"/>
      <c r="B506" s="54"/>
      <c r="D506" s="108"/>
      <c r="E506" s="91"/>
      <c r="F506" s="4"/>
      <c r="G506" s="4"/>
      <c r="H506" s="4"/>
      <c r="I506" s="92"/>
      <c r="K506" s="93"/>
      <c r="L506" s="92"/>
      <c r="M506" s="94"/>
      <c r="O506" s="4"/>
      <c r="P506" s="92"/>
      <c r="Q506" s="92"/>
      <c r="R506" s="94"/>
      <c r="S506" s="94"/>
      <c r="T506" s="94"/>
      <c r="U506" s="94"/>
      <c r="V506" s="92"/>
      <c r="W506" s="74"/>
      <c r="X506" s="4"/>
      <c r="Y506" s="4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4"/>
      <c r="AX506" s="2"/>
      <c r="AY506" s="7"/>
      <c r="AZ506" s="4"/>
      <c r="BA506" s="4"/>
      <c r="BB506" s="2"/>
      <c r="BC506" s="2"/>
      <c r="BD506" s="2"/>
      <c r="BE506" s="95"/>
      <c r="BF506" s="96"/>
      <c r="BG506" s="97"/>
      <c r="BH506" s="2"/>
      <c r="BI506" s="2"/>
      <c r="BJ506" s="3"/>
    </row>
    <row r="507" spans="1:62" x14ac:dyDescent="0.45">
      <c r="A507" s="75"/>
      <c r="B507" s="54"/>
      <c r="D507" s="108"/>
      <c r="E507" s="91"/>
      <c r="F507" s="4"/>
      <c r="G507" s="4"/>
      <c r="H507" s="4"/>
      <c r="I507" s="92"/>
      <c r="K507" s="93"/>
      <c r="L507" s="92"/>
      <c r="M507" s="94"/>
      <c r="O507" s="4"/>
      <c r="P507" s="92"/>
      <c r="Q507" s="92"/>
      <c r="R507" s="94"/>
      <c r="S507" s="94"/>
      <c r="T507" s="94"/>
      <c r="U507" s="94"/>
      <c r="V507" s="92"/>
      <c r="W507" s="74"/>
      <c r="X507" s="4"/>
      <c r="Y507" s="4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4"/>
      <c r="AX507" s="2"/>
      <c r="AY507" s="7"/>
      <c r="AZ507" s="4"/>
      <c r="BA507" s="4"/>
      <c r="BB507" s="2"/>
      <c r="BC507" s="2"/>
      <c r="BD507" s="2"/>
      <c r="BE507" s="95"/>
      <c r="BF507" s="96"/>
      <c r="BG507" s="97"/>
      <c r="BH507" s="2"/>
      <c r="BI507" s="2"/>
      <c r="BJ507" s="3"/>
    </row>
    <row r="508" spans="1:62" x14ac:dyDescent="0.45">
      <c r="A508" s="75"/>
      <c r="B508" s="54"/>
      <c r="D508" s="108"/>
      <c r="E508" s="91"/>
      <c r="F508" s="4"/>
      <c r="G508" s="4"/>
      <c r="H508" s="4"/>
      <c r="I508" s="92"/>
      <c r="K508" s="93"/>
      <c r="L508" s="92"/>
      <c r="M508" s="94"/>
      <c r="O508" s="4"/>
      <c r="P508" s="92"/>
      <c r="Q508" s="92"/>
      <c r="R508" s="94"/>
      <c r="S508" s="94"/>
      <c r="T508" s="94"/>
      <c r="U508" s="94"/>
      <c r="V508" s="92"/>
      <c r="W508" s="74"/>
      <c r="X508" s="4"/>
      <c r="Y508" s="4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4"/>
      <c r="AX508" s="2"/>
      <c r="AY508" s="7"/>
      <c r="AZ508" s="4"/>
      <c r="BA508" s="4"/>
      <c r="BB508" s="2"/>
      <c r="BC508" s="2"/>
      <c r="BD508" s="2"/>
      <c r="BE508" s="95"/>
      <c r="BF508" s="96"/>
      <c r="BG508" s="97"/>
      <c r="BH508" s="2"/>
      <c r="BI508" s="2"/>
      <c r="BJ508" s="3"/>
    </row>
    <row r="509" spans="1:62" x14ac:dyDescent="0.45">
      <c r="A509" s="75"/>
      <c r="B509" s="54"/>
      <c r="D509" s="108"/>
      <c r="E509" s="91"/>
      <c r="F509" s="4"/>
      <c r="G509" s="4"/>
      <c r="H509" s="4"/>
      <c r="I509" s="92"/>
      <c r="K509" s="93"/>
      <c r="L509" s="92"/>
      <c r="M509" s="94"/>
      <c r="O509" s="4"/>
      <c r="P509" s="92"/>
      <c r="Q509" s="92"/>
      <c r="R509" s="94"/>
      <c r="S509" s="94"/>
      <c r="T509" s="94"/>
      <c r="U509" s="94"/>
      <c r="V509" s="92"/>
      <c r="W509" s="74"/>
      <c r="X509" s="4"/>
      <c r="Y509" s="4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4"/>
      <c r="AX509" s="2"/>
      <c r="AY509" s="7"/>
      <c r="AZ509" s="4"/>
      <c r="BA509" s="4"/>
      <c r="BB509" s="2"/>
      <c r="BC509" s="2"/>
      <c r="BD509" s="2"/>
      <c r="BE509" s="95"/>
      <c r="BF509" s="96"/>
      <c r="BG509" s="97"/>
      <c r="BH509" s="2"/>
      <c r="BI509" s="2"/>
      <c r="BJ509" s="3"/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2024-05-06T04:30:08Z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