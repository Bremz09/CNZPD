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5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amB\CNZPD\pages\CdA Testing\"/>
    </mc:Choice>
  </mc:AlternateContent>
  <xr:revisionPtr revIDLastSave="0" documentId="13_ncr:1_{FD7F1709-D792-4A56-8CDA-263CA2697C1B}" xr6:coauthVersionLast="47" xr6:coauthVersionMax="47" xr10:uidLastSave="{00000000-0000-0000-0000-000000000000}"/>
  <bookViews>
    <workbookView xWindow="-108" yWindow="-108" windowWidth="23256" windowHeight="12720" xr2:uid="{00000000-000D-0000-FFFF-FFFF00000000}"/>
  </bookViews>
  <sheets>
    <sheet name="CdA Track Testing" sheetId="12" r:id="rId1"/>
  </sheets>
  <externalReferences>
    <externalReference r:id="rId2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82" i="12" l="1"/>
  <c r="M381" i="12"/>
  <c r="AX6" i="12"/>
  <c r="AX5" i="12"/>
  <c r="AX3" i="12"/>
  <c r="AX236" i="12"/>
  <c r="AX235" i="12"/>
  <c r="AX234" i="12"/>
  <c r="AX233" i="12"/>
  <c r="AX232" i="12"/>
  <c r="AX231" i="12"/>
  <c r="AX224" i="12"/>
  <c r="AX223" i="12"/>
  <c r="AX222" i="12"/>
  <c r="AX221" i="12"/>
  <c r="AX220" i="12"/>
  <c r="AX219" i="12"/>
  <c r="AX420" i="12"/>
  <c r="AX419" i="12"/>
  <c r="AX417" i="12"/>
  <c r="AX416" i="12"/>
  <c r="AX218" i="12"/>
  <c r="AX217" i="12"/>
  <c r="AX215" i="12"/>
  <c r="AX214" i="12"/>
</calcChain>
</file>

<file path=xl/sharedStrings.xml><?xml version="1.0" encoding="utf-8"?>
<sst xmlns="http://schemas.openxmlformats.org/spreadsheetml/2006/main" count="3433" uniqueCount="598">
  <si>
    <t>Squad</t>
  </si>
  <si>
    <t>Name</t>
  </si>
  <si>
    <t>Date</t>
  </si>
  <si>
    <t>Rep</t>
  </si>
  <si>
    <t>Power</t>
  </si>
  <si>
    <t>Distance (m)</t>
  </si>
  <si>
    <t>Helmet</t>
  </si>
  <si>
    <t>System weight (kg)</t>
  </si>
  <si>
    <t>Tyre pressure</t>
  </si>
  <si>
    <t>Gear</t>
  </si>
  <si>
    <t>Crr</t>
  </si>
  <si>
    <t>Temp</t>
  </si>
  <si>
    <t>Humidity</t>
  </si>
  <si>
    <t>ME</t>
  </si>
  <si>
    <t>Aaron Gate</t>
  </si>
  <si>
    <t>Le Col</t>
  </si>
  <si>
    <t>BT</t>
  </si>
  <si>
    <t>Campbell Stewart</t>
  </si>
  <si>
    <t>24.7</t>
  </si>
  <si>
    <t>24.8</t>
  </si>
  <si>
    <t>24.5</t>
  </si>
  <si>
    <t>24.6</t>
  </si>
  <si>
    <t>Baseline</t>
  </si>
  <si>
    <t>Bont</t>
  </si>
  <si>
    <t>George Jackson</t>
  </si>
  <si>
    <t>Keegan Hornblow</t>
  </si>
  <si>
    <t>Nick Kergozou</t>
  </si>
  <si>
    <t>24.4</t>
  </si>
  <si>
    <t>Tom Sexton</t>
  </si>
  <si>
    <t>24.9</t>
  </si>
  <si>
    <t>Video</t>
  </si>
  <si>
    <t>Position</t>
  </si>
  <si>
    <t>CdA - Notio</t>
  </si>
  <si>
    <t>Speed</t>
  </si>
  <si>
    <t>Bike</t>
  </si>
  <si>
    <t>Wheels</t>
  </si>
  <si>
    <t>Cranks</t>
  </si>
  <si>
    <t>Rider weight</t>
  </si>
  <si>
    <t>Bike weight</t>
  </si>
  <si>
    <t>Mechanical efficeincy</t>
  </si>
  <si>
    <t>Air pressure</t>
  </si>
  <si>
    <t>Air density</t>
  </si>
  <si>
    <t>Wheel diameter</t>
  </si>
  <si>
    <t>WE</t>
  </si>
  <si>
    <t>Ally Wollaston</t>
  </si>
  <si>
    <t>Bryony Botha</t>
  </si>
  <si>
    <t>Sami Donnelly</t>
  </si>
  <si>
    <t>Giro</t>
  </si>
  <si>
    <t>Avanti TP M</t>
  </si>
  <si>
    <t>SPA</t>
  </si>
  <si>
    <t>CdA - JP</t>
  </si>
  <si>
    <t>Calibration factor</t>
  </si>
  <si>
    <t>Notio Power Meter Calibration</t>
  </si>
  <si>
    <t xml:space="preserve">Low stack bracket </t>
  </si>
  <si>
    <t>Bracket angle (deg)</t>
  </si>
  <si>
    <t>Plate (width - mm)</t>
  </si>
  <si>
    <t>Spacers (height) - mm</t>
  </si>
  <si>
    <t>Pad c-c (mm)</t>
  </si>
  <si>
    <t xml:space="preserve">Grip (angle - deg) </t>
  </si>
  <si>
    <t>Frame Size</t>
  </si>
  <si>
    <t>Seat Height (mm). Measured @120 Behind Saddle Tip</t>
  </si>
  <si>
    <t>Seat Angle (Deg Down)</t>
  </si>
  <si>
    <t>Set Back (mm)</t>
  </si>
  <si>
    <t>Height-&gt;180cm?</t>
  </si>
  <si>
    <t>BB Centre-Pad (mm)</t>
  </si>
  <si>
    <t>BB Centre Ext Tip (mm)</t>
  </si>
  <si>
    <t>Pad Drop (mm) Mesured from 120mm Saddle Point</t>
  </si>
  <si>
    <t>Ext Tip Width (mm)</t>
  </si>
  <si>
    <t>10cm Rule. Pass-Fail?</t>
  </si>
  <si>
    <t>Pad Width (mm)</t>
  </si>
  <si>
    <t>Spacers (mm)</t>
  </si>
  <si>
    <t>Cranks (mm)</t>
  </si>
  <si>
    <t>Crank Asset Tag ID</t>
  </si>
  <si>
    <t>Saddle</t>
  </si>
  <si>
    <t>Front of pads 180cm behind extension tip. Pass-Fail</t>
  </si>
  <si>
    <t>Pad Angle &lt;30deg. Pass-Fail</t>
  </si>
  <si>
    <t>Comments</t>
  </si>
  <si>
    <t>Avanti TP L</t>
  </si>
  <si>
    <t>PM9</t>
  </si>
  <si>
    <t>Emily Shearman</t>
  </si>
  <si>
    <t>CB - increase in CdA in last lap so used first 2 laps for GM data</t>
  </si>
  <si>
    <t>CB - First lap CdA a bit low so take last 2 laps on GM data</t>
  </si>
  <si>
    <t>CB - noisy CdA data; laps were 0.1732, 0.1698, 0.1758</t>
  </si>
  <si>
    <t>CB - last lap increases CdA so used first 2 laps in GM data</t>
  </si>
  <si>
    <t>CB - last lap increased CdA but pace was similar. Used all 3 laps for GM data but each lap CdA's were: 0.1701, 0.1688, 0.1757</t>
  </si>
  <si>
    <t>Fatigue Current Bar extensions</t>
  </si>
  <si>
    <t>Long</t>
  </si>
  <si>
    <t>CB - pace slowing 0.1 sec each lap so used first 2 laps GM data</t>
  </si>
  <si>
    <t>Clogger not turned on</t>
  </si>
  <si>
    <t>B5</t>
  </si>
  <si>
    <t>Notio not turned on</t>
  </si>
  <si>
    <t>CB - last lap big drop in CdA and power so use 2 lap data</t>
  </si>
  <si>
    <t>CB - drop in CdA in final lap so take first 2 laps of GM data</t>
  </si>
  <si>
    <t>A4</t>
  </si>
  <si>
    <t>CB - No PM9 data seemed to be recorded. Re-run at the end as Rep 9</t>
  </si>
  <si>
    <t>CB - Lap 2 seems high CdA for some reason, so take first and last lap in GM data</t>
  </si>
  <si>
    <t>CB - Larger increase in CdA in last lap so take first 2 laps in GM data</t>
  </si>
  <si>
    <t>CB - Last lap CdA and power drops so use first 2 laps of GM data only</t>
  </si>
  <si>
    <t>Fatigue Current Bar Extensions</t>
  </si>
  <si>
    <t>Michaela Drummond</t>
  </si>
  <si>
    <t>?speed drop out NOTIO (JR); CB - Only did 2 laps by mistake so GM data is 2 laps</t>
  </si>
  <si>
    <t>CB - Seems pace and power drops in last lap so used first 2 laps GM data.</t>
  </si>
  <si>
    <t>CB - Coming off the pace across whole effort. Used first 2 lap GM data.</t>
  </si>
  <si>
    <t>CB - Drop in pace and power and increase in CdA in last lap. Take first 2 laps of GM data</t>
  </si>
  <si>
    <t>CB - CdA up and down each lap</t>
  </si>
  <si>
    <t>CB - Drop in pace and power and CdA in last lap. CdA up and down in the rep. Take first 2 laps of GM data</t>
  </si>
  <si>
    <t>CB - Increase in CdA in last lap with similar lap split. Use first 2 laps of GM data</t>
  </si>
  <si>
    <t>https://youtu.be/D6qup2DIskU</t>
  </si>
  <si>
    <t>https://youtu.be/PHDEtqLDCG0</t>
  </si>
  <si>
    <t>https://youtu.be/r-wbWAyNnEc</t>
  </si>
  <si>
    <t>https://youtu.be/dtIolu62rCU</t>
  </si>
  <si>
    <t>https://youtu.be/4-0HZ0Wd49g</t>
  </si>
  <si>
    <t>https://youtu.be/53Q_C3LnnNw</t>
  </si>
  <si>
    <t>https://youtu.be/c9e0F2nAMW4</t>
  </si>
  <si>
    <t>https://youtu.be/Fab97inuCMc</t>
  </si>
  <si>
    <t>https://youtu.be/puq1tLHwbXc</t>
  </si>
  <si>
    <t>https://youtu.be/S3_xHwSvyYQ</t>
  </si>
  <si>
    <t>https://youtu.be/7TxEaSYc-0A</t>
  </si>
  <si>
    <t>https://youtu.be/rQEkfPod1sc</t>
  </si>
  <si>
    <t>https://youtu.be/PP45mY0dSi4</t>
  </si>
  <si>
    <t>https://youtu.be/3A9qcXxwWmE</t>
  </si>
  <si>
    <t>https://youtu.be/ju0mVWywI3I</t>
  </si>
  <si>
    <t>https://youtu.be/TAR_sGhH2aE</t>
  </si>
  <si>
    <t>https://youtu.be/5aRFAp_2Wuw</t>
  </si>
  <si>
    <t>https://youtu.be/kDnMTqWW1bk</t>
  </si>
  <si>
    <t>https://youtu.be/9zzzfdZTMjI</t>
  </si>
  <si>
    <t>https://youtu.be/r0g7KjsdmYc</t>
  </si>
  <si>
    <t>https://youtu.be/vWRRqvFVyNE</t>
  </si>
  <si>
    <t>https://youtu.be/6VclkoTp5oo</t>
  </si>
  <si>
    <t>https://youtu.be/gnF3uhics2o</t>
  </si>
  <si>
    <t>https://youtu.be/g1gMEmqbx1M</t>
  </si>
  <si>
    <t>https://youtu.be/lTlkbY3VYrI</t>
  </si>
  <si>
    <t>https://youtu.be/wy_tQCUqvEE</t>
  </si>
  <si>
    <t>https://youtu.be/p5OOaP7BKpw</t>
  </si>
  <si>
    <t>https://youtu.be/a7jzNHzeLXM</t>
  </si>
  <si>
    <t>https://youtu.be/L20vyeRmgjo</t>
  </si>
  <si>
    <t>https://youtu.be/5uxzBraIhJ8</t>
  </si>
  <si>
    <t>https://youtu.be/SEHaW7Ms2T0</t>
  </si>
  <si>
    <t>https://youtu.be/eGw6GCAoL94</t>
  </si>
  <si>
    <t>https://youtu.be/bLE1dPY9uiY</t>
  </si>
  <si>
    <t>https://youtu.be/XjQcJ-wsPv8</t>
  </si>
  <si>
    <t>https://youtu.be/ZyehVvHyGTQ</t>
  </si>
  <si>
    <t>https://youtu.be/G4T72CgMTmU</t>
  </si>
  <si>
    <t>https://youtu.be/eDEbGenHN60</t>
  </si>
  <si>
    <t>https://youtu.be/WtAhZpT16DM</t>
  </si>
  <si>
    <t>https://youtu.be/H_YxGf1YsB4</t>
  </si>
  <si>
    <t>https://youtu.be/pbMecRJBRSQ</t>
  </si>
  <si>
    <t>https://youtu.be/XKj9pbywDxQ</t>
  </si>
  <si>
    <t>https://youtu.be/BjaiVOxwrgU</t>
  </si>
  <si>
    <t>https://youtu.be/iIlYKg-WkxQ</t>
  </si>
  <si>
    <t>https://youtu.be/cojrMVQBjOA</t>
  </si>
  <si>
    <t>https://youtu.be/UB9XqIe3MgE</t>
  </si>
  <si>
    <t>https://youtu.be/UaJWNFUVP3c</t>
  </si>
  <si>
    <t>https://youtu.be/NAsu87NWRgs</t>
  </si>
  <si>
    <t>https://youtu.be/Kz6sh-Zfl9c</t>
  </si>
  <si>
    <t>https://youtu.be/ntKbXdKtAcc</t>
  </si>
  <si>
    <t>https://youtu.be/rFaPUQO6-h4</t>
  </si>
  <si>
    <t>https://youtu.be/YUWDrUDVIY8</t>
  </si>
  <si>
    <t>https://youtu.be/Ehk13luFY8A</t>
  </si>
  <si>
    <t>https://youtu.be/VDZ9OQZJups</t>
  </si>
  <si>
    <t>https://youtu.be/l0ykZOXzV6M</t>
  </si>
  <si>
    <t>https://youtu.be/GX2_mORq1vQ</t>
  </si>
  <si>
    <t>https://youtu.be/3NgeAzBkwYw</t>
  </si>
  <si>
    <t>https://youtu.be/8P3rWmh0-WQ</t>
  </si>
  <si>
    <t>https://youtu.be/AbYWhpCp8N4</t>
  </si>
  <si>
    <t>https://youtu.be/_4K77C3QMoQ</t>
  </si>
  <si>
    <t>https://youtu.be/dAnh1AUgaf0</t>
  </si>
  <si>
    <t>https://youtu.be/YNoSLyXms_M</t>
  </si>
  <si>
    <t>https://youtu.be/zALaTu1HPjQ</t>
  </si>
  <si>
    <t>https://youtu.be/MA8L7LwnRus</t>
  </si>
  <si>
    <t>https://youtu.be/GGq6wTxULOs</t>
  </si>
  <si>
    <t>https://youtu.be/U9rofBt7rEs</t>
  </si>
  <si>
    <t>https://youtu.be/wPF5Y8Z1I1s</t>
  </si>
  <si>
    <t>https://youtu.be/KCirxqiNg0A</t>
  </si>
  <si>
    <t>https://youtu.be/yHFJwyPznik</t>
  </si>
  <si>
    <t>https://youtu.be/zkDzSQwnj4I</t>
  </si>
  <si>
    <t>https://youtu.be/pEfoZYCeJ_s</t>
  </si>
  <si>
    <t>https://youtu.be/O_m5eoXMRoo</t>
  </si>
  <si>
    <t>https://youtu.be/GR9uN3LMpAs</t>
  </si>
  <si>
    <t>https://youtu.be/rCntnEgATvo</t>
  </si>
  <si>
    <t>https://youtu.be/cSoPxcjolRg</t>
  </si>
  <si>
    <t>https://youtu.be/hD4kdng5HsM</t>
  </si>
  <si>
    <t>https://youtu.be/_GHb-Og_gS8</t>
  </si>
  <si>
    <t>https://youtu.be/wbt49JXASEU</t>
  </si>
  <si>
    <t>https://youtu.be/bF6ucGNoRiQ</t>
  </si>
  <si>
    <t>https://youtu.be/s0do8D-8Udw</t>
  </si>
  <si>
    <t>https://youtu.be/5stHYvz4_J4</t>
  </si>
  <si>
    <t>https://youtu.be/N9m2HIJa16k</t>
  </si>
  <si>
    <t>https://youtu.be/0nZDeK0yvqE</t>
  </si>
  <si>
    <t>https://youtu.be/rDYjantxfG8</t>
  </si>
  <si>
    <t>https://youtu.be/7YS7Wm0oQd8</t>
  </si>
  <si>
    <t>https://youtu.be/M1cLzjRuapQ</t>
  </si>
  <si>
    <t>https://youtu.be/Wc9UqnpKeBE</t>
  </si>
  <si>
    <t>https://youtu.be/ibcqALPdMsw</t>
  </si>
  <si>
    <t>https://youtu.be/IRdzERTOUwg</t>
  </si>
  <si>
    <t>https://youtu.be/JNEFJ-0mDls</t>
  </si>
  <si>
    <t>https://youtu.be/CePGrtdggsM</t>
  </si>
  <si>
    <t>https://youtu.be/bHND6odhbOY</t>
  </si>
  <si>
    <t>https://youtu.be/0LxxiWMMC0I</t>
  </si>
  <si>
    <t>https://youtu.be/XeyvBLEKyRc</t>
  </si>
  <si>
    <t>https://youtu.be/SaacsrTJ5kM</t>
  </si>
  <si>
    <t>https://youtu.be/-25mlwkxL0c</t>
  </si>
  <si>
    <t>https://youtu.be/cNebqSIw528</t>
  </si>
  <si>
    <t>https://youtu.be/-UA5mWzEQ5k</t>
  </si>
  <si>
    <t>https://youtu.be/qop5eu9uYeM</t>
  </si>
  <si>
    <t>https://youtu.be/uwedk0qQfcQ</t>
  </si>
  <si>
    <t>https://youtu.be/8Ju853Y8MLw</t>
  </si>
  <si>
    <t>https://youtu.be/nvclfAD1jNM</t>
  </si>
  <si>
    <t>https://youtu.be/CKMHYanYR8g</t>
  </si>
  <si>
    <t>CdA - JP std</t>
  </si>
  <si>
    <t>Nicole Shields</t>
  </si>
  <si>
    <t>24</t>
  </si>
  <si>
    <t>16/11/2023</t>
  </si>
  <si>
    <t>Target CB</t>
  </si>
  <si>
    <t>FW - A</t>
  </si>
  <si>
    <t>FW - B</t>
  </si>
  <si>
    <t>FW - A (Narrow)</t>
  </si>
  <si>
    <t>A1/P10</t>
  </si>
  <si>
    <t>FW - B (Wide)</t>
  </si>
  <si>
    <t>Target CB Medium Frame</t>
  </si>
  <si>
    <t>Campbell Stewart Bunch</t>
  </si>
  <si>
    <t>20/11/2023</t>
  </si>
  <si>
    <t>Bunch Pos 1</t>
  </si>
  <si>
    <t>Bunch Pos A (Long)</t>
  </si>
  <si>
    <t>Bunch Pos B (Narrow)</t>
  </si>
  <si>
    <t>Mistral (L)</t>
  </si>
  <si>
    <t>Avanti TP XL</t>
  </si>
  <si>
    <t>No Clogger</t>
  </si>
  <si>
    <t>https://youtu.be/rQ1_mt0VukY</t>
  </si>
  <si>
    <t>https://youtu.be/IxRBbR0rD-Y</t>
  </si>
  <si>
    <t>https://youtu.be/sFEtDl-_KmE</t>
  </si>
  <si>
    <t>https://youtu.be/grCxsWm12kI</t>
  </si>
  <si>
    <t>https://youtu.be/IYIex8nfmhU</t>
  </si>
  <si>
    <t>https://youtu.be/cwDRscMayVg</t>
  </si>
  <si>
    <t>https://youtu.be/WmeDK57VT7k</t>
  </si>
  <si>
    <t>https://youtu.be/4ROSTmgDiLs</t>
  </si>
  <si>
    <t>https://youtu.be/9aSJ3HRRJgE</t>
  </si>
  <si>
    <t>https://youtu.be/-14HOnhCmcc</t>
  </si>
  <si>
    <t>https://youtu.be/hWa4FfOU9gM</t>
  </si>
  <si>
    <t>https://youtu.be/1BwmURpApsk</t>
  </si>
  <si>
    <t>https://youtu.be/zwj8eIOZtFg</t>
  </si>
  <si>
    <t>https://youtu.be/8JZjLajhO_Y</t>
  </si>
  <si>
    <t>https://youtu.be/EWUexW8uOIQ</t>
  </si>
  <si>
    <t>https://youtu.be/IXoDWpen-Qw</t>
  </si>
  <si>
    <t>https://youtu.be/uTTkSZYCHrE</t>
  </si>
  <si>
    <t>https://youtu.be/G-XNN3dw7kA</t>
  </si>
  <si>
    <t>https://youtu.be/waJcq8TRv3I</t>
  </si>
  <si>
    <t>https://youtu.be/uSatXSLUSGM</t>
  </si>
  <si>
    <t>https://youtu.be/NnVUNB2X9t0</t>
  </si>
  <si>
    <t>https://youtu.be/YnhEa9adShk</t>
  </si>
  <si>
    <t>https://youtu.be/zZ2_QAlpsu0</t>
  </si>
  <si>
    <t>https://youtu.be/ynTCI17OGK0</t>
  </si>
  <si>
    <t>https://youtu.be/KB58SgJjsSc</t>
  </si>
  <si>
    <t>https://youtu.be/Jfr0IGiwpX8</t>
  </si>
  <si>
    <t>https://youtu.be/1CQaf_cmx1A</t>
  </si>
  <si>
    <t>https://youtu.be/9Cpb-dg0LYg</t>
  </si>
  <si>
    <t>https://youtu.be/VvgBAobvyVY</t>
  </si>
  <si>
    <t>https://youtu.be/ufQSy-R3CvU</t>
  </si>
  <si>
    <t>https://youtu.be/5F-CLynz6Zs</t>
  </si>
  <si>
    <t>https://youtu.be/_9bd_XbxB_c</t>
  </si>
  <si>
    <t>https://youtu.be/it95vOfr7nA</t>
  </si>
  <si>
    <t>https://youtu.be/AjlMpddOFSw</t>
  </si>
  <si>
    <t>https://youtu.be/9tYURP_r46w</t>
  </si>
  <si>
    <t>https://youtu.be/vVZIloW-soo</t>
  </si>
  <si>
    <t>https://youtu.be/MlzUaZVqOXM</t>
  </si>
  <si>
    <t>https://youtu.be/qIBJVrCDpok</t>
  </si>
  <si>
    <t>https://youtu.be/w6FCq6PRvjo</t>
  </si>
  <si>
    <t>https://youtu.be/9xF7u5k5Lok</t>
  </si>
  <si>
    <t>https://youtu.be/mrBzHktO7mo</t>
  </si>
  <si>
    <t>https://youtu.be/g7v13oWpJZA</t>
  </si>
  <si>
    <t>https://youtu.be/Uk8ktwls074</t>
  </si>
  <si>
    <t>https://youtu.be/PHgQnph5rPM</t>
  </si>
  <si>
    <t>https://youtu.be/VXNx_b1EvmM</t>
  </si>
  <si>
    <t>https://youtu.be/I0CcC2KDfWQ</t>
  </si>
  <si>
    <t>https://youtu.be/UCBmJARwBMY</t>
  </si>
  <si>
    <t>https://youtu.be/qkSqE_z-N4M</t>
  </si>
  <si>
    <t>https://youtu.be/dpBOeriSqpc</t>
  </si>
  <si>
    <t>https://youtu.be/FePK-7jNZHw</t>
  </si>
  <si>
    <t>https://youtu.be/XA7sxB8d8xg</t>
  </si>
  <si>
    <t>https://youtu.be/-kxqzqS729A</t>
  </si>
  <si>
    <t>https://youtu.be/8074fxgqneY</t>
  </si>
  <si>
    <t>https://youtu.be/ICQSRQ0fULc</t>
  </si>
  <si>
    <t>https://youtu.be/OWcKTOi4d1g</t>
  </si>
  <si>
    <t>https://youtu.be/jDUA6LMtRjM</t>
  </si>
  <si>
    <t>https://youtu.be/e1lTWotQwyE</t>
  </si>
  <si>
    <t>https://youtu.be/DSyQgINM0sU</t>
  </si>
  <si>
    <t>https://youtu.be/S7VDAEZnElM</t>
  </si>
  <si>
    <t>https://youtu.be/n9SAXXuk1z4</t>
  </si>
  <si>
    <t>https://youtu.be/RFDJWpvoXV4</t>
  </si>
  <si>
    <t>https://youtu.be/7Y0NBsmQww0</t>
  </si>
  <si>
    <t>https://youtu.be/zOS0DCPaevI</t>
  </si>
  <si>
    <t>https://youtu.be/w0yiaNPvkKw</t>
  </si>
  <si>
    <t>https://youtu.be/9DZPQW_H5pE</t>
  </si>
  <si>
    <t>https://youtu.be/CqDCslw9skM</t>
  </si>
  <si>
    <t>https://youtu.be/s7wUWLfbKoQ</t>
  </si>
  <si>
    <t>https://youtu.be/1ObS4y-Xjec</t>
  </si>
  <si>
    <t>https://youtu.be/pyzv3gCVftg</t>
  </si>
  <si>
    <t>https://youtu.be/GyjcEi2cyCc</t>
  </si>
  <si>
    <t>https://youtu.be/DWITm3O8wT0</t>
  </si>
  <si>
    <t>https://youtu.be/2YVGOEaSoqg</t>
  </si>
  <si>
    <t>https://youtu.be/SsdcNmy8hr0</t>
  </si>
  <si>
    <t>https://youtu.be/bWnrqUYs5_w</t>
  </si>
  <si>
    <t>https://youtu.be/NIV5qzlN6Rk</t>
  </si>
  <si>
    <t>https://youtu.be/vS2OsSPcPQY</t>
  </si>
  <si>
    <t>https://youtu.be/ghXonaDvc68</t>
  </si>
  <si>
    <t>https://youtu.be/oT9YADUemlU</t>
  </si>
  <si>
    <t>https://youtu.be/fLuP3_klp9I</t>
  </si>
  <si>
    <t>https://youtu.be/AKrG_vcPakM</t>
  </si>
  <si>
    <t>https://youtu.be/hWys5FWGnME</t>
  </si>
  <si>
    <t>https://youtu.be/BZj-mYb7zx4</t>
  </si>
  <si>
    <t>https://youtu.be/tYCQW5JX11U</t>
  </si>
  <si>
    <t>https://youtu.be/GWSNTsx_bvA</t>
  </si>
  <si>
    <t>https://youtu.be/XyabRxSIets</t>
  </si>
  <si>
    <t>https://youtu.be/890AqxGbXDE</t>
  </si>
  <si>
    <t>https://youtu.be/-vw1wRyHnCc</t>
  </si>
  <si>
    <t>https://youtu.be/G5XbGIvJ_kU</t>
  </si>
  <si>
    <t>https://youtu.be/febYfmU9iLE</t>
  </si>
  <si>
    <t>https://youtu.be/rh0Z-DmE0dU</t>
  </si>
  <si>
    <t>https://youtu.be/Y6GlwG3xRjM</t>
  </si>
  <si>
    <t>https://youtu.be/OuNSxXsAiyg</t>
  </si>
  <si>
    <t>https://youtu.be/xmWNyIIZTK0</t>
  </si>
  <si>
    <t>https://youtu.be/k-OYup6bnRA</t>
  </si>
  <si>
    <t>https://youtu.be/rw_1fcXfKh0</t>
  </si>
  <si>
    <t>https://youtu.be/lscRxlkgXuE</t>
  </si>
  <si>
    <t>https://youtu.be/-3KZnuomlgw</t>
  </si>
  <si>
    <t>https://youtu.be/-XaDYUZr88g</t>
  </si>
  <si>
    <t>https://youtu.be/JsPpKAhLoRY</t>
  </si>
  <si>
    <t>https://youtu.be/YmDxwdeFvvc</t>
  </si>
  <si>
    <t>https://youtu.be/te_Be4Hx9_w</t>
  </si>
  <si>
    <t>https://youtu.be/rajSdmmxJ4I</t>
  </si>
  <si>
    <t>https://youtu.be/krP_1J3_Its</t>
  </si>
  <si>
    <t>A1_T0.5/P15</t>
  </si>
  <si>
    <t>Evo Pro (M)</t>
  </si>
  <si>
    <t>A1_T1/P10</t>
  </si>
  <si>
    <t>A1_T1/P15</t>
  </si>
  <si>
    <t>Mitti (007)</t>
  </si>
  <si>
    <t>https://youtu.be/JmxzKEp_9ag</t>
  </si>
  <si>
    <t>https://youtu.be/xV2KYK3VIjQ</t>
  </si>
  <si>
    <t>https://youtu.be/8-u3e_sc0-I</t>
  </si>
  <si>
    <t>https://youtu.be/vOIUBRep3SU</t>
  </si>
  <si>
    <t>https://youtu.be/GVx-DBwFP4E</t>
  </si>
  <si>
    <t>https://youtu.be/u3U3SM8U1ds</t>
  </si>
  <si>
    <t>https://youtu.be/EhSRp4zsL0E</t>
  </si>
  <si>
    <t>https://youtu.be/ydKW0D8AupI</t>
  </si>
  <si>
    <t>https://youtu.be/XXuOuKAQb4Y</t>
  </si>
  <si>
    <t>https://youtu.be/lw8EQH882pU</t>
  </si>
  <si>
    <t>https://youtu.be/3zBUUP8d7Ww</t>
  </si>
  <si>
    <t>https://youtu.be/FFANJXPUGdI</t>
  </si>
  <si>
    <t>https://youtu.be/kq1TuIJIxSs</t>
  </si>
  <si>
    <t>https://youtu.be/T9muzDcE3gc</t>
  </si>
  <si>
    <t>https://youtu.be/FlO_JT6LbnQ</t>
  </si>
  <si>
    <t>https://youtu.be/al3SBPBgeAw</t>
  </si>
  <si>
    <t>https://youtu.be/_SxDVeHjKJU</t>
  </si>
  <si>
    <t>https://youtu.be/AW7eVEVKa60</t>
  </si>
  <si>
    <t>https://youtu.be/OhasA8Jhlbk</t>
  </si>
  <si>
    <t>Baseline Pos 1</t>
  </si>
  <si>
    <t>B5_VP</t>
  </si>
  <si>
    <t>https://youtu.be/wel8YuB-dhc</t>
  </si>
  <si>
    <t>https://youtu.be/aX3QIF9xkEU</t>
  </si>
  <si>
    <t>https://youtu.be/fhlj6pLELAQ</t>
  </si>
  <si>
    <t>https://youtu.be/i77g7a4v3uQ</t>
  </si>
  <si>
    <t>https://youtu.be/LLemKbwLGVk</t>
  </si>
  <si>
    <t>https://youtu.be/ZhAxDU7_x44</t>
  </si>
  <si>
    <t>https://youtu.be/LC-2ow61E7g</t>
  </si>
  <si>
    <t>https://youtu.be/j7WTScnPxvo</t>
  </si>
  <si>
    <t>https://youtu.be/EW6SjiQ1OtA</t>
  </si>
  <si>
    <t>https://youtu.be/8MNdMyZPjjY</t>
  </si>
  <si>
    <t>https://youtu.be/4cxJRZJfzeQ</t>
  </si>
  <si>
    <t>https://youtu.be/rSfMknZxqNI</t>
  </si>
  <si>
    <t>https://youtu.be/_AqOxwTDako</t>
  </si>
  <si>
    <t>https://youtu.be/gAglEClIV8w</t>
  </si>
  <si>
    <t>https://youtu.be/oZLI8DjNuD8</t>
  </si>
  <si>
    <t>https://youtu.be/7suwfUqiaCQ</t>
  </si>
  <si>
    <t>https://youtu.be/nwnaycmrWiE</t>
  </si>
  <si>
    <t>https://youtu.be/RiIimjXnndw</t>
  </si>
  <si>
    <t>https://youtu.be/-4TDKW443Tk</t>
  </si>
  <si>
    <t>https://youtu.be/MVW6qF68XV8</t>
  </si>
  <si>
    <t>https://youtu.be/FylSfp486eg</t>
  </si>
  <si>
    <t>https://youtu.be/KfJCdOKBGYY</t>
  </si>
  <si>
    <t>https://youtu.be/htEQi9emq4w</t>
  </si>
  <si>
    <t>Evo Pro (L)</t>
  </si>
  <si>
    <t>WS</t>
  </si>
  <si>
    <t xml:space="preserve">Ellesse Andrews </t>
  </si>
  <si>
    <t>Pos 1</t>
  </si>
  <si>
    <t>Used last 2 half laps for CdA. Ignored first half lap (Low CdA with moto push)</t>
  </si>
  <si>
    <t>Ally Wollaston Bunch</t>
  </si>
  <si>
    <t>https://youtu.be/J5AfPjvfTA0</t>
  </si>
  <si>
    <t>https://youtu.be/1zdo7vIwjbw</t>
  </si>
  <si>
    <t>https://youtu.be/-2ubSXej1bk</t>
  </si>
  <si>
    <t>https://youtu.be/oTcN4Qw88oA</t>
  </si>
  <si>
    <t>https://youtu.be/79iBC_0fNt4</t>
  </si>
  <si>
    <t>https://youtu.be/OEZESUIuA7k</t>
  </si>
  <si>
    <t>https://youtu.be/7muLO-l1o2Y</t>
  </si>
  <si>
    <t>https://youtu.be/Pgf8agS8XOM</t>
  </si>
  <si>
    <t>https://youtu.be/R19hWe0LwnY</t>
  </si>
  <si>
    <t>https://youtu.be/Z3TToVI7Buw</t>
  </si>
  <si>
    <t>https://youtu.be/Nu5N9Ddowjs</t>
  </si>
  <si>
    <t>https://youtu.be/HFYICwidmFs</t>
  </si>
  <si>
    <t>https://youtu.be/WIdUEitHJAQ</t>
  </si>
  <si>
    <t>https://youtu.be/kZb5L4g8ThA</t>
  </si>
  <si>
    <t>https://youtu.be/PVP3g2whHQY</t>
  </si>
  <si>
    <t>https://youtu.be/_-9e8UaGqJU</t>
  </si>
  <si>
    <t>https://youtu.be/akiPhCLKdMo</t>
  </si>
  <si>
    <t>https://youtu.be/1ABU1ZuQQzU</t>
  </si>
  <si>
    <t>https://youtu.be/qTF3XygHx2U</t>
  </si>
  <si>
    <t>https://youtu.be/May5-S10jaQ</t>
  </si>
  <si>
    <t>https://youtu.be/lX9lfzyfIU0</t>
  </si>
  <si>
    <t>https://youtu.be/jFKiKcYDPh0</t>
  </si>
  <si>
    <t>https://youtu.be/jsU_EdGGeL4</t>
  </si>
  <si>
    <t>https://youtu.be/EcqT9DziyBE</t>
  </si>
  <si>
    <t>https://youtu.be/tK1ms7ukr6k</t>
  </si>
  <si>
    <t>https://youtu.be/FnUpyKN8yJQ</t>
  </si>
  <si>
    <t>https://youtu.be/okDxMumnYrY</t>
  </si>
  <si>
    <t>https://youtu.be/HCVVwt1JDsQ</t>
  </si>
  <si>
    <t>https://youtu.be/o7XuY6EPHYU</t>
  </si>
  <si>
    <t>https://youtu.be/gJlkUnRPzv8</t>
  </si>
  <si>
    <t>https://youtu.be/LeTA0Mbg6tE</t>
  </si>
  <si>
    <t>https://youtu.be/b0EPD5_ibe8</t>
  </si>
  <si>
    <t>https://youtu.be/JzquxV1txKo</t>
  </si>
  <si>
    <t>https://youtu.be/OH1PZTt63Lk</t>
  </si>
  <si>
    <t>https://youtu.be/47dA6oedSZE</t>
  </si>
  <si>
    <t>https://youtu.be/yalNPZ41SZo</t>
  </si>
  <si>
    <t>https://youtu.be/vEolGhj5_zs</t>
  </si>
  <si>
    <t>https://youtu.be/R4OO-yp3vZs</t>
  </si>
  <si>
    <t>https://youtu.be/tdf0pOypaRE</t>
  </si>
  <si>
    <t>https://youtu.be/jmEbNCR8r8U</t>
  </si>
  <si>
    <t>https://youtu.be/COVZHJttJF4</t>
  </si>
  <si>
    <t>https://youtu.be/3vM2hfSE12Y</t>
  </si>
  <si>
    <t>https://youtu.be/Vb6KZDgY_o8</t>
  </si>
  <si>
    <t>https://youtu.be/ZgFZrlvhlso</t>
  </si>
  <si>
    <t>https://youtu.be/0AtAVy18B9w</t>
  </si>
  <si>
    <t>https://youtu.be/GAMxLRQt7Ko</t>
  </si>
  <si>
    <t>https://youtu.be/bQmDYuGWqA0</t>
  </si>
  <si>
    <t>https://youtu.be/1BSGxNsqZbo</t>
  </si>
  <si>
    <t>https://youtu.be/vVJCgxickcc</t>
  </si>
  <si>
    <t>https://youtu.be/RRC0F-VI8Ao</t>
  </si>
  <si>
    <t>https://youtu.be/qRNbtwrSBqs</t>
  </si>
  <si>
    <t>https://youtu.be/W85EK3bXMws</t>
  </si>
  <si>
    <t>https://youtu.be/ZUR8RlJg3bQ</t>
  </si>
  <si>
    <t>https://youtu.be/I4oXnBtUl-4</t>
  </si>
  <si>
    <t>https://youtu.be/1gftK_54qc4</t>
  </si>
  <si>
    <t>https://youtu.be/Z79VDmQCJFA</t>
  </si>
  <si>
    <t>https://youtu.be/Y3JkSkVU6Gc</t>
  </si>
  <si>
    <t>https://youtu.be/Y_N7CFY6HbQ</t>
  </si>
  <si>
    <t>Aaron Gate  Bunch</t>
  </si>
  <si>
    <t>Bunch Pos A</t>
  </si>
  <si>
    <t>Pos A</t>
  </si>
  <si>
    <t>CB: GM CdA ignores middle lap</t>
  </si>
  <si>
    <t>CB: GM CdA ignores first lap</t>
  </si>
  <si>
    <t>CB: GM CdA ignores last lap</t>
  </si>
  <si>
    <t>Mythos Bars</t>
  </si>
  <si>
    <t>Velobike Bars</t>
  </si>
  <si>
    <t>Mythos Bars - Narrow elbows</t>
  </si>
  <si>
    <t>Baseline - Braced core</t>
  </si>
  <si>
    <t>https://youtu.be/0cPTTnjwYBU</t>
  </si>
  <si>
    <t>https://youtu.be/nsEEYpD4jUk</t>
  </si>
  <si>
    <t>https://youtu.be/qSZN3y-viJA</t>
  </si>
  <si>
    <t>https://youtu.be/BxOfmdpVJR8</t>
  </si>
  <si>
    <t>https://youtu.be/5WVZHWuW894</t>
  </si>
  <si>
    <t>https://youtu.be/8zZMCCyfQ_w</t>
  </si>
  <si>
    <t>https://youtu.be/0BGowZAeyG0</t>
  </si>
  <si>
    <t>https://youtu.be/ANskD3MXFwE</t>
  </si>
  <si>
    <t>https://youtu.be/4MYnWb64g54</t>
  </si>
  <si>
    <t>https://youtu.be/01PKKPNGK0k</t>
  </si>
  <si>
    <t>https://youtu.be/Oyn7m6Fd3Bs</t>
  </si>
  <si>
    <t>https://youtu.be/T1W2t_QXWJU</t>
  </si>
  <si>
    <t>https://youtu.be/JkOG_hb8GXc</t>
  </si>
  <si>
    <t>https://youtu.be/GLFF_wIST7M</t>
  </si>
  <si>
    <t>https://youtu.be/R139zxyPRvs</t>
  </si>
  <si>
    <t>https://youtu.be/whe1A1cKdBI</t>
  </si>
  <si>
    <t>https://youtu.be/EtIGocdeVuM</t>
  </si>
  <si>
    <t>https://youtu.be/TroFT2S93vQ</t>
  </si>
  <si>
    <t>https://youtu.be/kr4P-sGk3PE</t>
  </si>
  <si>
    <t>https://youtu.be/eiuc6ahsA00</t>
  </si>
  <si>
    <t>https://youtu.be/Q_sXOyLn3TQ</t>
  </si>
  <si>
    <t>https://youtu.be/7UhX53M6F5o</t>
  </si>
  <si>
    <t>https://youtu.be/6xsiT_nZ5vw</t>
  </si>
  <si>
    <t>https://youtu.be/rG1Kh4_rb3M</t>
  </si>
  <si>
    <t>https://youtu.be/6ZuVENpstFw</t>
  </si>
  <si>
    <t>https://youtu.be/sSEmujfoWdc</t>
  </si>
  <si>
    <t>https://youtu.be/BST72t0rH0Y</t>
  </si>
  <si>
    <t>https://youtu.be/2NMrdkP6-A8</t>
  </si>
  <si>
    <t>https://youtu.be/y0LXHzyZUl0</t>
  </si>
  <si>
    <t>https://youtu.be/EA3QGv4SBPM</t>
  </si>
  <si>
    <t>https://youtu.be/32jiqeYeCMo</t>
  </si>
  <si>
    <t>https://youtu.be/4UjKDZMGoXQ</t>
  </si>
  <si>
    <t>https://youtu.be/0idsOz6Q2fg</t>
  </si>
  <si>
    <t>https://youtu.be/grS3E6h_ANY</t>
  </si>
  <si>
    <t>https://youtu.be/LwVqeCrLeYI</t>
  </si>
  <si>
    <t>https://youtu.be/TyDwgE5jJ9Y</t>
  </si>
  <si>
    <t>https://youtu.be/qsx0qRsHTyI</t>
  </si>
  <si>
    <t>https://youtu.be/UgpmVes83_8</t>
  </si>
  <si>
    <t>https://youtu.be/_z0pjAJpfxI</t>
  </si>
  <si>
    <t>https://youtu.be/qdHqcayI7L0</t>
  </si>
  <si>
    <t>https://youtu.be/Kxkzs8nE_30</t>
  </si>
  <si>
    <t>https://youtu.be/pYZ6m5uWfBs</t>
  </si>
  <si>
    <t>https://youtu.be/sjySGA9TDtc</t>
  </si>
  <si>
    <t>Clothing</t>
  </si>
  <si>
    <t>Shoe cover</t>
  </si>
  <si>
    <t>Shoes</t>
  </si>
  <si>
    <t>Avg % decrease/increase vs baseline</t>
  </si>
  <si>
    <t>Avg Watt saving/increase (58k/h bunch, 65km/h TP). 1.165m3</t>
  </si>
  <si>
    <t>CB - Increasing CdA across laps; 0.1600, 0.1657, 0.1708</t>
  </si>
  <si>
    <t>CB - Increasing CdA across laps; 0.1695, 0.1723, 0.1790</t>
  </si>
  <si>
    <t>CB - CdA ignored first 2 laps this rep as bit all over the place; 0.1677, 0.1830, 0.1748 - speed data had a lot of spikes in it</t>
  </si>
  <si>
    <t>CB - Cda is from first 2 laps with same splits 15.18, but CdA increasing each lap anyway; 0.1730, 0.1740, 0.1755</t>
  </si>
  <si>
    <t>CB - increasing CdA across rep, 0.1716, 01757, 0.1798</t>
  </si>
  <si>
    <t>CB - CdA from first 2 laps as last lap higher CdA; 0.1691, 0.1688, 0.1716, and slower lap; 14.8, 14.8, 15.0</t>
  </si>
  <si>
    <t>CB - CdA ignores first lap with lower CdA, but changing CdA across rep; 0.1777, 0.1818, 0.1806</t>
  </si>
  <si>
    <t>CB - CdA ignored first lap as lower CdA; 0.1692, 0.1735, 0.1735</t>
  </si>
  <si>
    <t>CB - CdA changing across rep; 0.1673, 0.1767, 0.1697</t>
  </si>
  <si>
    <t>A5_VP (Ally)</t>
  </si>
  <si>
    <t>CB - CdA ignores first lap as lower CdA; 0.1733, 0.1795, 0.1780</t>
  </si>
  <si>
    <t>CB - CdA removed first lap as lower CdA; 0.1688, 0.1714, 0.1719</t>
  </si>
  <si>
    <t>CB - CdA ignores first lap with lower CdA; 0.1711, 0.1733, 0.1732</t>
  </si>
  <si>
    <t>CB - CdA ignore first lap with lower CdA; 0.1698, 0.1732, 0.1736</t>
  </si>
  <si>
    <t>CB - CdA ignore first lap with higher CdA, 0.1607, 0.1653, 0.1689</t>
  </si>
  <si>
    <t>CB - CdA ignores first lap as lower CdA; 0.1616, 0.1676, 0.1653</t>
  </si>
  <si>
    <t>CB - CdA ignores first lap as lower CdA; 0.1705, 0.1758, 0.1745</t>
  </si>
  <si>
    <t>CB - CdA removed first lap as low CdA; 0.1585, 0.1629, 0.1656</t>
  </si>
  <si>
    <t>POC (M)</t>
  </si>
  <si>
    <t>CB - similar CdA all laps; 0.1634, 0.1641, 0.1639</t>
  </si>
  <si>
    <t>https://youtu.be/KOvcYsKBnx4</t>
  </si>
  <si>
    <t>https://youtu.be/8k2ISbXXywQ</t>
  </si>
  <si>
    <t>https://youtu.be/DU2rsUVoFRs</t>
  </si>
  <si>
    <t>https://youtu.be/bvdyO9SMRos</t>
  </si>
  <si>
    <t>https://youtu.be/h02XnZtSeDU</t>
  </si>
  <si>
    <t>https://youtu.be/ZTBY9mNkQNo</t>
  </si>
  <si>
    <t>https://youtu.be/2cvx7C44RfY</t>
  </si>
  <si>
    <t>https://youtu.be/RVdekZQ3BHc</t>
  </si>
  <si>
    <t>https://youtu.be/7jgugcwce0I</t>
  </si>
  <si>
    <t>https://youtu.be/hFVAqvtA6oY</t>
  </si>
  <si>
    <t>https://youtu.be/TzfZBT7o6N8</t>
  </si>
  <si>
    <t>https://youtu.be/SMKbIIpj100</t>
  </si>
  <si>
    <t>https://youtu.be/jw1TgMwqQ4E</t>
  </si>
  <si>
    <t>https://youtu.be/OTCB7i4ktlc</t>
  </si>
  <si>
    <t>https://youtu.be/Px3Ql8FjtLs</t>
  </si>
  <si>
    <t>https://youtu.be/FwhRomUdkBU</t>
  </si>
  <si>
    <t>https://youtu.be/wN14ch40mgU</t>
  </si>
  <si>
    <t>https://youtu.be/3ravrwSAB_0</t>
  </si>
  <si>
    <t>https://youtu.be/jc63xOdqxjk</t>
  </si>
  <si>
    <t>https://youtu.be/nY_ZZh3dKAA</t>
  </si>
  <si>
    <t>https://youtu.be/LXAUpvuUoLo</t>
  </si>
  <si>
    <t>FW - Low + Narrow</t>
  </si>
  <si>
    <t>Current bars - Matched FW</t>
  </si>
  <si>
    <t>FW bars + seat change</t>
  </si>
  <si>
    <t>FW - Wide</t>
  </si>
  <si>
    <t>FW - E</t>
  </si>
  <si>
    <t>FW Matched</t>
  </si>
  <si>
    <t>FW - Narrow</t>
  </si>
  <si>
    <t>FW - B + 20mm</t>
  </si>
  <si>
    <t>FW - C</t>
  </si>
  <si>
    <t>FW - D</t>
  </si>
  <si>
    <t>FW - G</t>
  </si>
  <si>
    <t>FW - H</t>
  </si>
  <si>
    <t>FW - I</t>
  </si>
  <si>
    <t>FW - J</t>
  </si>
  <si>
    <t>FW - F</t>
  </si>
  <si>
    <t>FW - Target</t>
  </si>
  <si>
    <t>A1_TI/P10</t>
  </si>
  <si>
    <t>A1_TI/P15</t>
  </si>
  <si>
    <t>A5_VP</t>
  </si>
  <si>
    <t>B1_T1/T10</t>
  </si>
  <si>
    <t>B1/T10</t>
  </si>
  <si>
    <t>B3/P10</t>
  </si>
  <si>
    <t>B3/T10</t>
  </si>
  <si>
    <t>B3/T10prn6</t>
  </si>
  <si>
    <t>B3/P05prn6</t>
  </si>
  <si>
    <t>B3_T1/P05prn6</t>
  </si>
  <si>
    <t>B3_T1/P10prn6</t>
  </si>
  <si>
    <t>B3_T10</t>
  </si>
  <si>
    <t>B5_prn6</t>
  </si>
  <si>
    <t>C1_T2/P10prn6</t>
  </si>
  <si>
    <t>Mistral (LW)</t>
  </si>
  <si>
    <t>POC (L)</t>
  </si>
  <si>
    <t>S-Works (L)</t>
  </si>
  <si>
    <t>Sweet Protection (L)</t>
  </si>
  <si>
    <t>Bambino (M)</t>
  </si>
  <si>
    <t>Avanti Sprint XL</t>
  </si>
  <si>
    <t>Champion Systems</t>
  </si>
  <si>
    <t>Imp Sport</t>
  </si>
  <si>
    <t>L-L-25</t>
  </si>
  <si>
    <t>S-M-22</t>
  </si>
  <si>
    <t>CB</t>
  </si>
  <si>
    <t>FW Seat-10mm</t>
  </si>
  <si>
    <t>Targer CB</t>
  </si>
  <si>
    <t>FW - B +10mm</t>
  </si>
  <si>
    <t>None</t>
  </si>
  <si>
    <t>CdA - GM</t>
  </si>
  <si>
    <t>LeCol</t>
  </si>
  <si>
    <t>https://youtu.be/HG2AuxOdWXI</t>
  </si>
  <si>
    <t>https://youtu.be/-JiQJ58567o</t>
  </si>
  <si>
    <t>https://youtu.be/M2qfWP4TgLQ</t>
  </si>
  <si>
    <t>https://youtu.be/189Izmx6qrQ</t>
  </si>
  <si>
    <t>https://youtu.be/uaIxo2wIegw</t>
  </si>
  <si>
    <t>https://youtu.be/ZORThkhqiH4</t>
  </si>
  <si>
    <t>https://youtu.be/GGyqbzQ_DOc</t>
  </si>
  <si>
    <t>https://youtu.be/caWXOGwhmeQ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</si>
</sst>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indexed="8"/>
      <name val="Verdana"/>
      <family val="2"/>
    </font>
    <font>
      <sz val="11"/>
      <color rgb="FF000000"/>
      <name val="Calibri"/>
      <family val="2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-0.499984740745262"/>
        <bgColor theme="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3">
    <xf numFmtId="0" fontId="0" fillId="0" borderId="0"/>
    <xf numFmtId="0" fontId="3" fillId="0" borderId="0" applyNumberFormat="0" applyFill="0" applyBorder="0" applyProtection="0">
      <alignment vertical="top"/>
    </xf>
    <xf numFmtId="0" fontId="5" fillId="0" borderId="0" applyNumberFormat="0" applyFill="0" applyBorder="0" applyAlignment="0" applyProtection="0"/>
  </cellStyleXfs>
  <cellXfs count="77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left" vertical="top" wrapText="1"/>
    </xf>
    <xf numFmtId="14" fontId="0" fillId="0" borderId="0" xfId="0" applyNumberFormat="1" applyAlignment="1">
      <alignment horizontal="left" vertical="top" wrapText="1"/>
    </xf>
    <xf numFmtId="0" fontId="0" fillId="0" borderId="0" xfId="0" applyAlignment="1">
      <alignment horizontal="center" vertical="top" wrapText="1"/>
    </xf>
    <xf numFmtId="0" fontId="0" fillId="0" borderId="0" xfId="0" applyAlignment="1">
      <alignment horizontal="center" wrapText="1"/>
    </xf>
    <xf numFmtId="49" fontId="0" fillId="0" borderId="0" xfId="0" applyNumberFormat="1" applyAlignment="1">
      <alignment wrapText="1"/>
    </xf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 wrapText="1"/>
    </xf>
    <xf numFmtId="0" fontId="4" fillId="0" borderId="0" xfId="0" applyFont="1" applyAlignment="1">
      <alignment horizontal="center" vertical="top" wrapText="1"/>
    </xf>
    <xf numFmtId="0" fontId="4" fillId="0" borderId="0" xfId="0" applyFont="1" applyAlignment="1">
      <alignment horizontal="left" vertical="top" wrapText="1"/>
    </xf>
    <xf numFmtId="0" fontId="0" fillId="0" borderId="0" xfId="0" applyAlignment="1">
      <alignment horizontal="center" vertical="top"/>
    </xf>
    <xf numFmtId="49" fontId="0" fillId="0" borderId="0" xfId="0" applyNumberFormat="1" applyAlignment="1">
      <alignment horizontal="center" vertical="top" wrapText="1"/>
    </xf>
    <xf numFmtId="0" fontId="4" fillId="0" borderId="0" xfId="0" applyFont="1"/>
    <xf numFmtId="0" fontId="1" fillId="3" borderId="2" xfId="0" applyFont="1" applyFill="1" applyBorder="1" applyAlignment="1">
      <alignment horizontal="center" vertical="top" wrapText="1"/>
    </xf>
    <xf numFmtId="0" fontId="1" fillId="3" borderId="3" xfId="0" applyFont="1" applyFill="1" applyBorder="1" applyAlignment="1">
      <alignment horizontal="center" vertical="top" wrapText="1"/>
    </xf>
    <xf numFmtId="0" fontId="4" fillId="0" borderId="0" xfId="0" applyFont="1" applyAlignment="1">
      <alignment horizontal="center"/>
    </xf>
    <xf numFmtId="0" fontId="4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164" fontId="0" fillId="0" borderId="0" xfId="0" applyNumberFormat="1" applyAlignment="1">
      <alignment horizontal="center" vertical="top" wrapText="1"/>
    </xf>
    <xf numFmtId="0" fontId="0" fillId="0" borderId="2" xfId="0" applyBorder="1" applyAlignment="1">
      <alignment horizontal="center" vertical="top" wrapText="1"/>
    </xf>
    <xf numFmtId="0" fontId="9" fillId="2" borderId="2" xfId="0" applyFont="1" applyFill="1" applyBorder="1" applyAlignment="1">
      <alignment horizontal="left" vertical="center" wrapText="1"/>
    </xf>
    <xf numFmtId="14" fontId="9" fillId="2" borderId="0" xfId="0" applyNumberFormat="1" applyFont="1" applyFill="1" applyAlignment="1">
      <alignment horizontal="left" vertical="top" wrapText="1"/>
    </xf>
    <xf numFmtId="0" fontId="9" fillId="4" borderId="0" xfId="0" applyFont="1" applyFill="1" applyAlignment="1">
      <alignment horizontal="center" vertical="center" wrapText="1"/>
    </xf>
    <xf numFmtId="0" fontId="10" fillId="4" borderId="0" xfId="0" applyFont="1" applyFill="1" applyAlignment="1">
      <alignment horizontal="center" vertical="center" wrapText="1"/>
    </xf>
    <xf numFmtId="0" fontId="10" fillId="6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 wrapText="1"/>
    </xf>
    <xf numFmtId="0" fontId="9" fillId="6" borderId="2" xfId="0" applyFont="1" applyFill="1" applyBorder="1" applyAlignment="1">
      <alignment horizontal="center" vertical="center" wrapText="1"/>
    </xf>
    <xf numFmtId="0" fontId="9" fillId="6" borderId="2" xfId="0" applyFont="1" applyFill="1" applyBorder="1" applyAlignment="1">
      <alignment horizontal="left" vertical="center" wrapText="1"/>
    </xf>
    <xf numFmtId="49" fontId="9" fillId="6" borderId="2" xfId="0" applyNumberFormat="1" applyFont="1" applyFill="1" applyBorder="1" applyAlignment="1">
      <alignment horizontal="left" vertical="center" wrapText="1"/>
    </xf>
    <xf numFmtId="0" fontId="9" fillId="5" borderId="0" xfId="0" applyFont="1" applyFill="1" applyAlignment="1">
      <alignment horizontal="left" vertical="center" wrapText="1"/>
    </xf>
    <xf numFmtId="0" fontId="9" fillId="2" borderId="0" xfId="0" applyFont="1" applyFill="1" applyAlignment="1">
      <alignment horizontal="left" vertical="top" wrapText="1"/>
    </xf>
    <xf numFmtId="0" fontId="0" fillId="0" borderId="0" xfId="0" applyAlignment="1">
      <alignment vertical="top"/>
    </xf>
    <xf numFmtId="164" fontId="1" fillId="0" borderId="0" xfId="0" applyNumberFormat="1" applyFont="1" applyAlignment="1">
      <alignment horizontal="center" vertical="center" wrapText="1"/>
    </xf>
    <xf numFmtId="14" fontId="5" fillId="0" borderId="0" xfId="2" applyNumberFormat="1" applyBorder="1" applyAlignment="1">
      <alignment horizontal="left" vertical="top" wrapText="1"/>
    </xf>
    <xf numFmtId="0" fontId="9" fillId="2" borderId="2" xfId="0" applyFont="1" applyFill="1" applyBorder="1" applyAlignment="1">
      <alignment horizontal="center" vertical="center" wrapText="1"/>
    </xf>
    <xf numFmtId="14" fontId="5" fillId="0" borderId="0" xfId="2" applyNumberFormat="1" applyAlignment="1">
      <alignment horizontal="left" vertical="top" wrapText="1"/>
    </xf>
    <xf numFmtId="0" fontId="7" fillId="0" borderId="0" xfId="0" applyFont="1" applyAlignment="1">
      <alignment horizontal="center" vertical="top" wrapText="1"/>
    </xf>
    <xf numFmtId="164" fontId="0" fillId="0" borderId="0" xfId="0" applyNumberFormat="1" applyAlignment="1">
      <alignment horizontal="left" vertical="top" wrapText="1"/>
    </xf>
    <xf numFmtId="0" fontId="8" fillId="0" borderId="0" xfId="0" applyFont="1" applyAlignment="1">
      <alignment horizontal="left" vertical="top" wrapText="1"/>
    </xf>
    <xf numFmtId="0" fontId="0" fillId="3" borderId="2" xfId="0" applyFill="1" applyBorder="1" applyAlignment="1">
      <alignment horizontal="left" vertical="top" wrapText="1"/>
    </xf>
    <xf numFmtId="0" fontId="0" fillId="3" borderId="2" xfId="0" applyFill="1" applyBorder="1" applyAlignment="1">
      <alignment horizontal="center" vertical="center" wrapText="1"/>
    </xf>
    <xf numFmtId="0" fontId="0" fillId="3" borderId="3" xfId="0" applyFill="1" applyBorder="1" applyAlignment="1">
      <alignment horizontal="left" vertical="top" wrapText="1"/>
    </xf>
    <xf numFmtId="0" fontId="0" fillId="3" borderId="1" xfId="0" applyFill="1" applyBorder="1" applyAlignment="1">
      <alignment horizontal="left" vertical="top" wrapText="1"/>
    </xf>
    <xf numFmtId="0" fontId="0" fillId="3" borderId="1" xfId="0" applyFill="1" applyBorder="1" applyAlignment="1">
      <alignment horizontal="center" vertical="center" wrapText="1"/>
    </xf>
    <xf numFmtId="0" fontId="0" fillId="3" borderId="4" xfId="0" applyFill="1" applyBorder="1" applyAlignment="1">
      <alignment horizontal="left" vertical="top" wrapText="1"/>
    </xf>
    <xf numFmtId="1" fontId="9" fillId="2" borderId="2" xfId="0" applyNumberFormat="1" applyFont="1" applyFill="1" applyBorder="1" applyAlignment="1">
      <alignment horizontal="center" vertical="center" wrapText="1"/>
    </xf>
    <xf numFmtId="1" fontId="0" fillId="0" borderId="0" xfId="0" applyNumberFormat="1"/>
    <xf numFmtId="0" fontId="9" fillId="5" borderId="0" xfId="0" applyFont="1" applyFill="1" applyAlignment="1">
      <alignment horizontal="center" vertical="center" wrapText="1"/>
    </xf>
    <xf numFmtId="0" fontId="0" fillId="7" borderId="0" xfId="0" applyFill="1" applyAlignment="1">
      <alignment horizontal="center" vertical="center" wrapText="1"/>
    </xf>
    <xf numFmtId="0" fontId="0" fillId="7" borderId="0" xfId="0" applyFill="1" applyAlignment="1">
      <alignment horizontal="center"/>
    </xf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11" fillId="0" borderId="0" xfId="0" applyFont="1" applyAlignment="1">
      <alignment horizontal="center" vertical="top" wrapText="1"/>
    </xf>
    <xf numFmtId="0" fontId="1" fillId="0" borderId="0" xfId="0" applyFont="1" applyAlignment="1">
      <alignment horizontal="center" vertical="center" wrapText="1"/>
    </xf>
    <xf numFmtId="0" fontId="9" fillId="2" borderId="2" xfId="0" applyFont="1" applyFill="1" applyBorder="1" applyAlignment="1">
      <alignment vertical="center" wrapText="1"/>
    </xf>
    <xf numFmtId="0" fontId="0" fillId="0" borderId="0" xfId="0" applyAlignment="1">
      <alignment vertical="top" wrapText="1"/>
    </xf>
    <xf numFmtId="0" fontId="0" fillId="3" borderId="0" xfId="0" applyFill="1" applyAlignment="1">
      <alignment horizontal="center" vertical="top" wrapText="1"/>
    </xf>
    <xf numFmtId="0" fontId="0" fillId="0" borderId="2" xfId="0" applyBorder="1" applyAlignment="1">
      <alignment horizontal="left" vertical="top" wrapText="1"/>
    </xf>
    <xf numFmtId="0" fontId="0" fillId="3" borderId="0" xfId="0" applyFill="1" applyAlignment="1">
      <alignment horizontal="left" vertical="top" wrapText="1"/>
    </xf>
    <xf numFmtId="0" fontId="1" fillId="3" borderId="0" xfId="0" applyFont="1" applyFill="1" applyAlignment="1">
      <alignment horizontal="center" vertical="top" wrapText="1"/>
    </xf>
    <xf numFmtId="0" fontId="0" fillId="0" borderId="0" xfId="0" applyBorder="1" applyAlignment="1">
      <alignment horizontal="left" vertical="top" wrapText="1"/>
    </xf>
    <xf numFmtId="0" fontId="4" fillId="0" borderId="2" xfId="0" applyFont="1" applyBorder="1" applyAlignment="1">
      <alignment horizontal="left" vertical="top" wrapText="1"/>
    </xf>
    <xf numFmtId="0" fontId="0" fillId="0" borderId="0" xfId="0" applyBorder="1" applyAlignment="1">
      <alignment horizontal="center" vertical="top" wrapText="1"/>
    </xf>
    <xf numFmtId="164" fontId="0" fillId="0" borderId="2" xfId="0" applyNumberFormat="1" applyBorder="1" applyAlignment="1">
      <alignment horizontal="center" vertical="top" wrapText="1"/>
    </xf>
    <xf numFmtId="0" fontId="0" fillId="3" borderId="0" xfId="0" applyFill="1" applyBorder="1" applyAlignment="1">
      <alignment horizontal="left" vertical="top" wrapText="1"/>
    </xf>
    <xf numFmtId="0" fontId="1" fillId="3" borderId="0" xfId="0" applyFont="1" applyFill="1" applyBorder="1" applyAlignment="1">
      <alignment horizontal="center" vertical="top" wrapText="1"/>
    </xf>
    <xf numFmtId="0" fontId="4" fillId="0" borderId="0" xfId="0" applyFont="1" applyBorder="1" applyAlignment="1">
      <alignment horizontal="center"/>
    </xf>
    <xf numFmtId="0" fontId="0" fillId="3" borderId="0" xfId="0" applyFill="1" applyBorder="1" applyAlignment="1">
      <alignment horizontal="center" vertical="center" wrapText="1"/>
    </xf>
    <xf numFmtId="164" fontId="1" fillId="0" borderId="2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top" wrapText="1"/>
    </xf>
  </cellXfs>
  <cellStyles count="3">
    <cellStyle name="Hyperlink" xfId="2" builtinId="8"/>
    <cellStyle name="Normal" xfId="0" builtinId="0"/>
    <cellStyle name="Normal 2" xfId="1" xr:uid="{00000000-0005-0000-0000-000002000000}"/>
  </cellStyles>
  <dxfs count="62"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left" vertical="top" textRotation="0" wrapText="1" indent="0" justifyLastLine="0" shrinkToFit="0" readingOrder="0"/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left" vertical="top" textRotation="0" wrapText="1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numFmt numFmtId="0" formatCode="General"/>
      <alignment horizontal="left" vertical="top" textRotation="0" wrapText="1" indent="0" justifyLastLine="0" shrinkToFit="0" readingOrder="0"/>
    </dxf>
    <dxf>
      <numFmt numFmtId="19" formatCode="d/mm/yyyy"/>
      <alignment horizontal="left" vertical="top" textRotation="0" wrapText="1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19" formatCode="d/mm/yyyy"/>
      <alignment horizontal="left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left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yclingnz.sharepoint.com/sites/proj-EquipmentSystemsDevelopment/Shared%20Documents/Track%20Program/Track%20CdA%20Aero%20Testing%20Database.xlsx" TargetMode="External"/><Relationship Id="rId1" Type="http://schemas.openxmlformats.org/officeDocument/2006/relationships/externalLinkPath" Target="https://cyclingnz.sharepoint.com/sites/proj-EquipmentSystemsDevelopment/Shared%20Documents/Track%20Program/Track%20CdA%20Aero%20Testing%20Data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dA Track Testing"/>
      <sheetName val="Data cut from table - to sort"/>
      <sheetName val="Track CdA Aero Testing Database"/>
    </sheetNames>
    <sheetDataSet>
      <sheetData sheetId="0"/>
      <sheetData sheetId="1" refreshError="1"/>
      <sheetData sheetId="2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4000000}" name="Track_TT23" displayName="Track_TT23" ref="A1:BH421" totalsRowShown="0" headerRowDxfId="61" dataDxfId="60">
  <autoFilter ref="A1:BH421" xr:uid="{00000000-0009-0000-0100-000002000000}"/>
  <sortState xmlns:xlrd2="http://schemas.microsoft.com/office/spreadsheetml/2017/richdata2" ref="A2:BH421">
    <sortCondition ref="S1:S421"/>
  </sortState>
  <tableColumns count="60">
    <tableColumn id="2" xr3:uid="{00000000-0010-0000-0400-000002000000}" name="Squad" dataDxfId="59"/>
    <tableColumn id="3" xr3:uid="{00000000-0010-0000-0400-000003000000}" name="Name" dataDxfId="58"/>
    <tableColumn id="5" xr3:uid="{00000000-0010-0000-0400-000005000000}" name="Date" dataDxfId="57"/>
    <tableColumn id="28" xr3:uid="{00000000-0010-0000-0400-00001C000000}" name="Rep" dataDxfId="56"/>
    <tableColumn id="63" xr3:uid="{79A1B125-F959-4680-BEB3-F8DA5B1F65E7}" name="Video" dataDxfId="55"/>
    <tableColumn id="24" xr3:uid="{00000000-0010-0000-0400-000018000000}" name="Position" dataDxfId="54"/>
    <tableColumn id="33" xr3:uid="{FEDBBE6B-630D-4D78-8489-0CC46EA5E217}" name="CdA - JP" dataDxfId="53"/>
    <tableColumn id="62" xr3:uid="{CD6A5023-8C12-45B2-B9D7-71028627ECC2}" name="CdA - JP std" dataDxfId="52"/>
    <tableColumn id="36" xr3:uid="{62B1476E-87AB-4F6C-8CC0-2D04683A4C88}" name="Calibration factor" dataDxfId="51"/>
    <tableColumn id="37" xr3:uid="{FC0F34A6-2FEB-495E-BA78-4658A787E878}" name="Notio Power Meter Calibration" dataDxfId="50"/>
    <tableColumn id="6" xr3:uid="{00000000-0010-0000-0400-000006000000}" name="CdA - Notio" dataDxfId="49"/>
    <tableColumn id="27" xr3:uid="{00000000-0010-0000-0400-00001B000000}" name="CdA - GM" dataDxfId="48"/>
    <tableColumn id="35" xr3:uid="{00000000-0010-0000-0400-000023000000}" name="Avg % decrease/increase vs baseline" dataDxfId="47"/>
    <tableColumn id="34" xr3:uid="{00000000-0010-0000-0400-000022000000}" name="Avg Watt saving/increase (58k/h bunch, 65km/h TP). 1.165m3" dataDxfId="46"/>
    <tableColumn id="17" xr3:uid="{00000000-0010-0000-0400-000011000000}" name="Speed" dataDxfId="45"/>
    <tableColumn id="8" xr3:uid="{00000000-0010-0000-0400-000008000000}" name="Power" dataDxfId="44"/>
    <tableColumn id="22" xr3:uid="{00000000-0010-0000-0400-000016000000}" name="Distance (m)" dataDxfId="43"/>
    <tableColumn id="1" xr3:uid="{00000000-0010-0000-0400-000001000000}" name="Clothing" dataDxfId="42"/>
    <tableColumn id="9" xr3:uid="{00000000-0010-0000-0400-000009000000}" name="Shoe cover" dataDxfId="41"/>
    <tableColumn id="10" xr3:uid="{00000000-0010-0000-0400-00000A000000}" name="Shoes" dataDxfId="40"/>
    <tableColumn id="26" xr3:uid="{00000000-0010-0000-0400-00001A000000}" name="Helmet" dataDxfId="39"/>
    <tableColumn id="11" xr3:uid="{00000000-0010-0000-0400-00000B000000}" name="Bike" dataDxfId="38"/>
    <tableColumn id="12" xr3:uid="{00000000-0010-0000-0400-00000C000000}" name="Wheels" dataDxfId="37"/>
    <tableColumn id="13" xr3:uid="{00000000-0010-0000-0400-00000D000000}" name="Cranks" dataDxfId="36"/>
    <tableColumn id="38" xr3:uid="{28260B65-049E-46A2-A1C2-F772206B1000}" name="Low stack bracket " dataDxfId="35"/>
    <tableColumn id="42" xr3:uid="{113DF572-4739-43A0-BFF2-EB7460F19479}" name="Bracket angle (deg)" dataDxfId="34"/>
    <tableColumn id="41" xr3:uid="{C3C310E4-E093-4AD7-B9A1-9B391A474BAF}" name="Plate (width - mm)" dataDxfId="33"/>
    <tableColumn id="40" xr3:uid="{D5438F9D-26D4-4C18-8E5B-CBE59386E41A}" name="Spacers (height) - mm" dataDxfId="32"/>
    <tableColumn id="39" xr3:uid="{F5716C46-C7E0-49BD-9D08-6A7E8169777E}" name="Pad c-c (mm)" dataDxfId="31"/>
    <tableColumn id="43" xr3:uid="{6670518C-1DDA-4ACC-9D11-4A034FF1B8CA}" name="Grip (angle - deg) " dataDxfId="30"/>
    <tableColumn id="44" xr3:uid="{044D64D8-33A2-4E74-B4E3-B1FC428E6BF5}" name="Frame Size" dataDxfId="29"/>
    <tableColumn id="45" xr3:uid="{3ED6A40E-B727-4AF7-8689-457DE1DA309C}" name="Seat Height (mm). Measured @120 Behind Saddle Tip" dataDxfId="28"/>
    <tableColumn id="57" xr3:uid="{E6393DF1-2E4C-4DFF-B7D9-7627EA6A5E9C}" name="Seat Angle (Deg Down)" dataDxfId="27"/>
    <tableColumn id="56" xr3:uid="{23084582-1972-421B-8363-3CB2D2D0DE2D}" name="Set Back (mm)" dataDxfId="26"/>
    <tableColumn id="55" xr3:uid="{F40D1C55-5E26-4185-B309-AA40083E88A3}" name="Height-&gt;180cm?" dataDxfId="25"/>
    <tableColumn id="54" xr3:uid="{95012FDA-27CC-4236-8FFA-32B1604EDCE1}" name="BB Centre-Pad (mm)" dataDxfId="24"/>
    <tableColumn id="53" xr3:uid="{CF6BA97B-EC15-48FE-A8D9-268D130A21D7}" name="BB Centre Ext Tip (mm)" dataDxfId="23"/>
    <tableColumn id="52" xr3:uid="{1333E878-C839-4F8B-B194-EB690E5A2C60}" name="Pad Drop (mm) Mesured from 120mm Saddle Point" dataDxfId="22"/>
    <tableColumn id="51" xr3:uid="{4D42D141-4AA4-42EC-862D-0C936376E71D}" name="Ext Tip Width (mm)" dataDxfId="21"/>
    <tableColumn id="50" xr3:uid="{D855B818-BDFD-4D17-A331-2BFAF6AD4724}" name="10cm Rule. Pass-Fail?" dataDxfId="20"/>
    <tableColumn id="49" xr3:uid="{C33FBED9-D68D-47CE-970B-350144A9C0A4}" name="Pad Width (mm)" dataDxfId="19"/>
    <tableColumn id="48" xr3:uid="{398B4C91-6F35-4D01-8B76-92EB5D54814C}" name="Spacers (mm)" dataDxfId="18"/>
    <tableColumn id="47" xr3:uid="{EC73748A-3E6E-4659-858C-D0884665FC27}" name="Cranks (mm)" dataDxfId="17"/>
    <tableColumn id="46" xr3:uid="{45D74FEE-52FD-4E4B-BDE1-94C73EA03538}" name="Crank Asset Tag ID" dataDxfId="16"/>
    <tableColumn id="59" xr3:uid="{2E1FADB1-AB7F-467F-A7E3-C678B601568E}" name="Saddle" dataDxfId="15"/>
    <tableColumn id="60" xr3:uid="{A5B99959-C16D-409F-885D-7A5E777C41AC}" name="Front of pads 180cm behind extension tip. Pass-Fail" dataDxfId="14"/>
    <tableColumn id="58" xr3:uid="{E0FBA4DE-7410-410A-B74C-CE2553865FB7}" name="Pad Angle &lt;30deg. Pass-Fail" dataDxfId="13"/>
    <tableColumn id="14" xr3:uid="{00000000-0010-0000-0400-00000E000000}" name="Rider weight" dataDxfId="12"/>
    <tableColumn id="23" xr3:uid="{00000000-0010-0000-0400-000017000000}" name="Bike weight" dataDxfId="11"/>
    <tableColumn id="32" xr3:uid="{E7FA2116-1C97-4394-A6CC-46F42F10822F}" name="System weight (kg)" dataDxfId="10"/>
    <tableColumn id="15" xr3:uid="{00000000-0010-0000-0400-00000F000000}" name="Tyre pressure" dataDxfId="9"/>
    <tableColumn id="25" xr3:uid="{00000000-0010-0000-0400-000019000000}" name="Gear" dataDxfId="8"/>
    <tableColumn id="16" xr3:uid="{00000000-0010-0000-0400-000010000000}" name="Crr" dataDxfId="7"/>
    <tableColumn id="21" xr3:uid="{00000000-0010-0000-0400-000015000000}" name="Mechanical efficeincy" dataDxfId="6"/>
    <tableColumn id="18" xr3:uid="{00000000-0010-0000-0400-000012000000}" name="Temp" dataDxfId="5"/>
    <tableColumn id="19" xr3:uid="{00000000-0010-0000-0400-000013000000}" name="Air pressure" dataDxfId="4"/>
    <tableColumn id="7" xr3:uid="{00000000-0010-0000-0400-000007000000}" name="Humidity" dataDxfId="3"/>
    <tableColumn id="20" xr3:uid="{00000000-0010-0000-0400-000014000000}" name="Air density" dataDxfId="2"/>
    <tableColumn id="4" xr3:uid="{00000000-0010-0000-0400-000004000000}" name="Wheel diameter" dataDxfId="1"/>
    <tableColumn id="61" xr3:uid="{4C2202FB-4A59-4816-8E7B-7CE3968515C5}" name="Comment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youtu.be/al3SBPBgeAw" TargetMode="External"/><Relationship Id="rId2" Type="http://schemas.openxmlformats.org/officeDocument/2006/relationships/hyperlink" Target="https://youtu.be/bLE1dPY9uiY" TargetMode="External"/><Relationship Id="rId1" Type="http://schemas.openxmlformats.org/officeDocument/2006/relationships/hyperlink" Target="https://youtu.be/32jiqeYeCMo" TargetMode="External"/><Relationship Id="rId5" Type="http://schemas.openxmlformats.org/officeDocument/2006/relationships/table" Target="../tables/table1.xm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M421"/>
  <sheetViews>
    <sheetView showGridLines="0" tabSelected="1" zoomScale="85" zoomScaleNormal="85" workbookViewId="0">
      <pane ySplit="1" topLeftCell="A332" activePane="bottomLeft" state="frozen"/>
      <selection activeCell="AD1" sqref="AD1"/>
      <selection pane="bottomLeft" activeCell="S201" sqref="S201:S212"/>
    </sheetView>
  </sheetViews>
  <sheetFormatPr defaultColWidth="23.109375" defaultRowHeight="14.4" x14ac:dyDescent="0.3"/>
  <cols>
    <col min="1" max="1" width="7.44140625" style="1" customWidth="1"/>
    <col min="2" max="2" width="23.109375" style="1"/>
    <col min="3" max="3" width="12.88671875" style="3" customWidth="1"/>
    <col min="4" max="4" width="9.77734375" style="50" customWidth="1"/>
    <col min="5" max="5" width="32.77734375" style="1" customWidth="1"/>
    <col min="6" max="6" width="28" customWidth="1"/>
    <col min="7" max="7" width="23.109375" style="7" hidden="1" customWidth="1"/>
    <col min="8" max="8" width="23.109375" hidden="1" customWidth="1"/>
    <col min="9" max="17" width="23.109375" style="7" hidden="1" customWidth="1"/>
    <col min="18" max="19" width="23.109375" style="7" customWidth="1"/>
    <col min="20" max="47" width="23.109375" style="5" customWidth="1"/>
    <col min="48" max="51" width="23.109375" style="5"/>
    <col min="52" max="53" width="23.109375" style="1"/>
    <col min="54" max="55" width="23.109375" style="5"/>
    <col min="56" max="57" width="23.109375" style="1"/>
    <col min="58" max="58" width="23.109375" style="6"/>
    <col min="59" max="59" width="23.109375" style="1"/>
    <col min="60" max="60" width="100.88671875" style="1" customWidth="1"/>
    <col min="65" max="65" width="23.109375" style="7"/>
  </cols>
  <sheetData>
    <row r="1" spans="1:65" s="35" customFormat="1" ht="43.2" x14ac:dyDescent="0.3">
      <c r="A1" s="24" t="s">
        <v>0</v>
      </c>
      <c r="B1" s="58" t="s">
        <v>1</v>
      </c>
      <c r="C1" s="3" t="s">
        <v>2</v>
      </c>
      <c r="D1" s="49" t="s">
        <v>3</v>
      </c>
      <c r="E1" s="25" t="s">
        <v>30</v>
      </c>
      <c r="F1" s="38" t="s">
        <v>31</v>
      </c>
      <c r="G1" s="51" t="s">
        <v>50</v>
      </c>
      <c r="H1" s="51" t="s">
        <v>209</v>
      </c>
      <c r="I1" s="51" t="s">
        <v>51</v>
      </c>
      <c r="J1" s="51" t="s">
        <v>52</v>
      </c>
      <c r="K1" s="51" t="s">
        <v>32</v>
      </c>
      <c r="L1" s="51" t="s">
        <v>588</v>
      </c>
      <c r="M1" s="51" t="s">
        <v>500</v>
      </c>
      <c r="N1" s="51" t="s">
        <v>501</v>
      </c>
      <c r="O1" s="51" t="s">
        <v>33</v>
      </c>
      <c r="P1" s="51" t="s">
        <v>4</v>
      </c>
      <c r="Q1" s="51" t="s">
        <v>5</v>
      </c>
      <c r="R1" s="27" t="s">
        <v>497</v>
      </c>
      <c r="S1" s="26" t="s">
        <v>498</v>
      </c>
      <c r="T1" s="26" t="s">
        <v>499</v>
      </c>
      <c r="U1" s="26" t="s">
        <v>6</v>
      </c>
      <c r="V1" s="26" t="s">
        <v>34</v>
      </c>
      <c r="W1" s="26" t="s">
        <v>35</v>
      </c>
      <c r="X1" s="26" t="s">
        <v>36</v>
      </c>
      <c r="Y1" s="28" t="s">
        <v>53</v>
      </c>
      <c r="Z1" s="29" t="s">
        <v>54</v>
      </c>
      <c r="AA1" s="29" t="s">
        <v>55</v>
      </c>
      <c r="AB1" s="29" t="s">
        <v>56</v>
      </c>
      <c r="AC1" s="29" t="s">
        <v>57</v>
      </c>
      <c r="AD1" s="29" t="s">
        <v>58</v>
      </c>
      <c r="AE1" s="30" t="s">
        <v>59</v>
      </c>
      <c r="AF1" s="30" t="s">
        <v>60</v>
      </c>
      <c r="AG1" s="30" t="s">
        <v>61</v>
      </c>
      <c r="AH1" s="30" t="s">
        <v>62</v>
      </c>
      <c r="AI1" s="30" t="s">
        <v>63</v>
      </c>
      <c r="AJ1" s="30" t="s">
        <v>64</v>
      </c>
      <c r="AK1" s="30" t="s">
        <v>65</v>
      </c>
      <c r="AL1" s="31" t="s">
        <v>66</v>
      </c>
      <c r="AM1" s="31" t="s">
        <v>67</v>
      </c>
      <c r="AN1" s="31" t="s">
        <v>68</v>
      </c>
      <c r="AO1" s="31" t="s">
        <v>69</v>
      </c>
      <c r="AP1" s="31" t="s">
        <v>70</v>
      </c>
      <c r="AQ1" s="31" t="s">
        <v>71</v>
      </c>
      <c r="AR1" s="31" t="s">
        <v>72</v>
      </c>
      <c r="AS1" s="31" t="s">
        <v>73</v>
      </c>
      <c r="AT1" s="32" t="s">
        <v>74</v>
      </c>
      <c r="AU1" s="31" t="s">
        <v>75</v>
      </c>
      <c r="AV1" s="26" t="s">
        <v>37</v>
      </c>
      <c r="AW1" s="26" t="s">
        <v>38</v>
      </c>
      <c r="AX1" s="26" t="s">
        <v>7</v>
      </c>
      <c r="AY1" s="26" t="s">
        <v>8</v>
      </c>
      <c r="AZ1" s="26" t="s">
        <v>9</v>
      </c>
      <c r="BA1" s="26" t="s">
        <v>10</v>
      </c>
      <c r="BB1" s="26" t="s">
        <v>39</v>
      </c>
      <c r="BC1" s="26" t="s">
        <v>11</v>
      </c>
      <c r="BD1" s="26" t="s">
        <v>40</v>
      </c>
      <c r="BE1" s="26" t="s">
        <v>12</v>
      </c>
      <c r="BF1" s="26" t="s">
        <v>41</v>
      </c>
      <c r="BG1" s="33" t="s">
        <v>42</v>
      </c>
      <c r="BH1" s="34" t="s">
        <v>76</v>
      </c>
    </row>
    <row r="2" spans="1:65" x14ac:dyDescent="0.3">
      <c r="A2" s="2" t="s">
        <v>13</v>
      </c>
      <c r="B2" s="59" t="s">
        <v>24</v>
      </c>
      <c r="C2" s="3">
        <v>45219</v>
      </c>
      <c r="D2" s="8">
        <v>1</v>
      </c>
      <c r="E2" s="3" t="s">
        <v>112</v>
      </c>
      <c r="F2" s="2" t="s">
        <v>213</v>
      </c>
      <c r="H2" s="7"/>
      <c r="L2" s="7">
        <v>0.17799999999999999</v>
      </c>
      <c r="O2" s="7">
        <v>61.1</v>
      </c>
      <c r="P2" s="7">
        <v>527</v>
      </c>
      <c r="Q2" s="7">
        <v>750</v>
      </c>
      <c r="R2" s="4" t="s">
        <v>15</v>
      </c>
      <c r="S2" s="4" t="s">
        <v>579</v>
      </c>
      <c r="T2" s="4"/>
      <c r="U2" s="4" t="s">
        <v>225</v>
      </c>
      <c r="V2" s="4"/>
      <c r="W2" s="9" t="s">
        <v>49</v>
      </c>
      <c r="X2" s="4" t="s">
        <v>78</v>
      </c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>
        <v>71.599999999999994</v>
      </c>
      <c r="AW2" s="4">
        <v>7.9</v>
      </c>
      <c r="AX2" s="9"/>
      <c r="AY2" s="7">
        <v>200</v>
      </c>
      <c r="AZ2" s="4">
        <v>111.6</v>
      </c>
      <c r="BA2" s="4"/>
      <c r="BB2" s="4"/>
      <c r="BC2" s="18">
        <v>25.8</v>
      </c>
      <c r="BD2" s="19">
        <v>1012</v>
      </c>
      <c r="BE2" s="18">
        <v>51.8</v>
      </c>
      <c r="BF2" s="20"/>
      <c r="BG2" s="4"/>
      <c r="BH2" s="4"/>
      <c r="BM2"/>
    </row>
    <row r="3" spans="1:65" x14ac:dyDescent="0.3">
      <c r="A3" s="2" t="s">
        <v>13</v>
      </c>
      <c r="B3" s="59" t="s">
        <v>24</v>
      </c>
      <c r="C3" s="3">
        <v>45219</v>
      </c>
      <c r="D3" s="8">
        <v>2</v>
      </c>
      <c r="E3" s="3" t="s">
        <v>113</v>
      </c>
      <c r="F3" s="2" t="s">
        <v>86</v>
      </c>
      <c r="H3" s="7"/>
      <c r="L3" s="7">
        <v>0.17480000000000001</v>
      </c>
      <c r="O3" s="7">
        <v>62.3</v>
      </c>
      <c r="P3" s="7">
        <v>550</v>
      </c>
      <c r="Q3" s="7">
        <v>750</v>
      </c>
      <c r="R3" s="4" t="s">
        <v>15</v>
      </c>
      <c r="S3" s="4" t="s">
        <v>579</v>
      </c>
      <c r="T3" s="4"/>
      <c r="U3" s="4" t="s">
        <v>225</v>
      </c>
      <c r="V3" s="4"/>
      <c r="W3" s="9" t="s">
        <v>49</v>
      </c>
      <c r="X3" s="4" t="s">
        <v>78</v>
      </c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>
        <v>66</v>
      </c>
      <c r="AW3" s="4">
        <v>8</v>
      </c>
      <c r="AX3" s="9" t="e">
        <f>[1]!Track_TT23[[#This Row],[Bike weight ]]+[1]!Track_TT23[[#This Row],[Rider weight ]]</f>
        <v>#REF!</v>
      </c>
      <c r="AY3" s="7">
        <v>200</v>
      </c>
      <c r="AZ3" s="4">
        <v>111.6</v>
      </c>
      <c r="BA3" s="4"/>
      <c r="BB3" s="4"/>
      <c r="BC3" s="18">
        <v>25.8</v>
      </c>
      <c r="BD3" s="19">
        <v>1012</v>
      </c>
      <c r="BE3" s="18">
        <v>51.8</v>
      </c>
      <c r="BF3" s="20"/>
      <c r="BG3" s="4"/>
      <c r="BH3" s="4"/>
      <c r="BM3"/>
    </row>
    <row r="4" spans="1:65" x14ac:dyDescent="0.3">
      <c r="A4" s="2" t="s">
        <v>13</v>
      </c>
      <c r="B4" s="59" t="s">
        <v>24</v>
      </c>
      <c r="C4" s="3">
        <v>45219</v>
      </c>
      <c r="D4" s="8">
        <v>3</v>
      </c>
      <c r="E4" s="3" t="s">
        <v>114</v>
      </c>
      <c r="F4" s="2" t="s">
        <v>213</v>
      </c>
      <c r="H4" s="7"/>
      <c r="L4" s="7">
        <v>0.17449999999999999</v>
      </c>
      <c r="O4" s="7">
        <v>63.2</v>
      </c>
      <c r="P4" s="7">
        <v>570</v>
      </c>
      <c r="Q4" s="7">
        <v>750</v>
      </c>
      <c r="R4" s="4" t="s">
        <v>15</v>
      </c>
      <c r="S4" s="4" t="s">
        <v>579</v>
      </c>
      <c r="T4" s="4"/>
      <c r="U4" s="4" t="s">
        <v>225</v>
      </c>
      <c r="V4" s="4"/>
      <c r="W4" s="9" t="s">
        <v>49</v>
      </c>
      <c r="X4" s="4" t="s">
        <v>78</v>
      </c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>
        <v>75.7</v>
      </c>
      <c r="AW4" s="4">
        <v>8.1</v>
      </c>
      <c r="AX4" s="9"/>
      <c r="AY4" s="7">
        <v>200</v>
      </c>
      <c r="AZ4" s="4"/>
      <c r="BA4" s="4"/>
      <c r="BB4" s="4"/>
      <c r="BC4" s="16">
        <v>25.8</v>
      </c>
      <c r="BD4" s="17">
        <v>1012</v>
      </c>
      <c r="BE4" s="16">
        <v>51.8</v>
      </c>
      <c r="BF4" s="15"/>
      <c r="BG4" s="4"/>
      <c r="BH4" s="13" t="s">
        <v>87</v>
      </c>
      <c r="BM4"/>
    </row>
    <row r="5" spans="1:65" x14ac:dyDescent="0.3">
      <c r="A5" s="2" t="s">
        <v>13</v>
      </c>
      <c r="B5" s="59" t="s">
        <v>24</v>
      </c>
      <c r="C5" s="3">
        <v>45219</v>
      </c>
      <c r="D5" s="8">
        <v>4</v>
      </c>
      <c r="E5" s="3" t="s">
        <v>122</v>
      </c>
      <c r="F5" s="2" t="s">
        <v>86</v>
      </c>
      <c r="H5" s="7"/>
      <c r="L5" s="7">
        <v>0.17299999999999999</v>
      </c>
      <c r="O5" s="7">
        <v>63.2</v>
      </c>
      <c r="P5" s="7">
        <v>558</v>
      </c>
      <c r="Q5" s="7">
        <v>750</v>
      </c>
      <c r="R5" s="4" t="s">
        <v>15</v>
      </c>
      <c r="S5" s="4" t="s">
        <v>579</v>
      </c>
      <c r="T5" s="4"/>
      <c r="U5" s="4" t="s">
        <v>225</v>
      </c>
      <c r="V5" s="4"/>
      <c r="W5" s="9" t="s">
        <v>49</v>
      </c>
      <c r="X5" s="4" t="s">
        <v>78</v>
      </c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>
        <v>71.599999999999994</v>
      </c>
      <c r="AW5" s="4">
        <v>7.9</v>
      </c>
      <c r="AX5" s="9" t="e">
        <f>[1]!Track_TT23[[#This Row],[Bike weight ]]+[1]!Track_TT23[[#This Row],[Rider weight ]]</f>
        <v>#REF!</v>
      </c>
      <c r="AY5" s="7">
        <v>200</v>
      </c>
      <c r="AZ5" s="4">
        <v>111.6</v>
      </c>
      <c r="BA5" s="4"/>
      <c r="BB5" s="4"/>
      <c r="BC5" s="18">
        <v>26.3</v>
      </c>
      <c r="BD5" s="19">
        <v>1012</v>
      </c>
      <c r="BE5" s="18">
        <v>51.3</v>
      </c>
      <c r="BF5" s="20"/>
      <c r="BG5" s="7"/>
      <c r="BH5" s="4"/>
      <c r="BM5"/>
    </row>
    <row r="6" spans="1:65" x14ac:dyDescent="0.3">
      <c r="A6" s="2" t="s">
        <v>13</v>
      </c>
      <c r="B6" s="59" t="s">
        <v>24</v>
      </c>
      <c r="C6" s="3">
        <v>45219</v>
      </c>
      <c r="D6" s="8">
        <v>5</v>
      </c>
      <c r="E6" s="3" t="s">
        <v>123</v>
      </c>
      <c r="F6" s="2" t="s">
        <v>86</v>
      </c>
      <c r="H6" s="7"/>
      <c r="L6" s="7">
        <v>0.17230000000000001</v>
      </c>
      <c r="O6" s="7">
        <v>63.3</v>
      </c>
      <c r="P6" s="7">
        <v>561</v>
      </c>
      <c r="Q6" s="7">
        <v>750</v>
      </c>
      <c r="R6" s="4" t="s">
        <v>15</v>
      </c>
      <c r="S6" s="4" t="s">
        <v>579</v>
      </c>
      <c r="T6" s="4"/>
      <c r="U6" s="4" t="s">
        <v>225</v>
      </c>
      <c r="V6" s="4"/>
      <c r="W6" s="9" t="s">
        <v>49</v>
      </c>
      <c r="X6" s="4" t="s">
        <v>78</v>
      </c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>
        <v>65.900000000000006</v>
      </c>
      <c r="AW6" s="4">
        <v>8</v>
      </c>
      <c r="AX6" s="9" t="e">
        <f>[1]!Track_TT23[[#This Row],[Bike weight ]]+[1]!Track_TT23[[#This Row],[Rider weight ]]</f>
        <v>#REF!</v>
      </c>
      <c r="AY6" s="7">
        <v>200</v>
      </c>
      <c r="AZ6" s="4">
        <v>111.6</v>
      </c>
      <c r="BA6" s="4"/>
      <c r="BB6" s="4"/>
      <c r="BC6" s="18">
        <v>26.3</v>
      </c>
      <c r="BD6" s="19">
        <v>1012</v>
      </c>
      <c r="BE6" s="18">
        <v>51.3</v>
      </c>
      <c r="BF6" s="20"/>
      <c r="BG6" s="4"/>
      <c r="BH6" s="4"/>
      <c r="BM6"/>
    </row>
    <row r="7" spans="1:65" x14ac:dyDescent="0.3">
      <c r="A7" s="2" t="s">
        <v>13</v>
      </c>
      <c r="B7" s="59" t="s">
        <v>24</v>
      </c>
      <c r="C7" s="3">
        <v>45219</v>
      </c>
      <c r="D7" s="8">
        <v>6</v>
      </c>
      <c r="E7" s="3" t="s">
        <v>124</v>
      </c>
      <c r="F7" s="2" t="s">
        <v>213</v>
      </c>
      <c r="H7" s="7"/>
      <c r="L7" s="7">
        <v>0.17299999999999999</v>
      </c>
      <c r="O7" s="7">
        <v>63.5</v>
      </c>
      <c r="P7" s="7">
        <v>572</v>
      </c>
      <c r="Q7" s="7">
        <v>750</v>
      </c>
      <c r="R7" s="4" t="s">
        <v>15</v>
      </c>
      <c r="S7" s="4" t="s">
        <v>579</v>
      </c>
      <c r="T7" s="4"/>
      <c r="U7" s="4" t="s">
        <v>225</v>
      </c>
      <c r="V7" s="4"/>
      <c r="W7" s="9" t="s">
        <v>49</v>
      </c>
      <c r="X7" s="4" t="s">
        <v>78</v>
      </c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>
        <v>75.8</v>
      </c>
      <c r="AW7" s="4">
        <v>8.1</v>
      </c>
      <c r="AX7" s="9"/>
      <c r="AY7" s="7">
        <v>200</v>
      </c>
      <c r="AZ7" s="4"/>
      <c r="BA7" s="4"/>
      <c r="BB7" s="4"/>
      <c r="BC7" s="16">
        <v>26.3</v>
      </c>
      <c r="BD7" s="17">
        <v>1012</v>
      </c>
      <c r="BE7" s="16">
        <v>51.3</v>
      </c>
      <c r="BF7" s="15"/>
      <c r="BG7" s="4"/>
      <c r="BH7" s="4"/>
      <c r="BM7"/>
    </row>
    <row r="8" spans="1:65" x14ac:dyDescent="0.3">
      <c r="A8" s="2" t="s">
        <v>13</v>
      </c>
      <c r="B8" s="59" t="s">
        <v>17</v>
      </c>
      <c r="C8" s="3">
        <v>45225</v>
      </c>
      <c r="D8" s="8">
        <v>1</v>
      </c>
      <c r="E8" s="3" t="s">
        <v>125</v>
      </c>
      <c r="F8" s="2" t="s">
        <v>85</v>
      </c>
      <c r="H8" s="7"/>
      <c r="L8" s="7">
        <v>0.17469999999999999</v>
      </c>
      <c r="O8" s="7">
        <v>61.8</v>
      </c>
      <c r="P8" s="7">
        <v>529</v>
      </c>
      <c r="Q8" s="7">
        <v>755.9</v>
      </c>
      <c r="R8" s="4" t="s">
        <v>15</v>
      </c>
      <c r="S8" s="4" t="s">
        <v>579</v>
      </c>
      <c r="T8" s="4"/>
      <c r="U8" s="4" t="s">
        <v>573</v>
      </c>
      <c r="V8" s="4"/>
      <c r="W8" s="9" t="s">
        <v>49</v>
      </c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>
        <v>74.5</v>
      </c>
      <c r="AY8" s="7">
        <v>200</v>
      </c>
      <c r="AZ8" s="4">
        <v>111.6</v>
      </c>
      <c r="BA8" s="4"/>
      <c r="BB8" s="4"/>
      <c r="BC8" s="18">
        <v>25.1</v>
      </c>
      <c r="BD8" s="19">
        <v>1012</v>
      </c>
      <c r="BE8" s="18">
        <v>53</v>
      </c>
      <c r="BF8" s="21"/>
      <c r="BG8" s="4"/>
      <c r="BH8" s="4"/>
      <c r="BM8"/>
    </row>
    <row r="9" spans="1:65" x14ac:dyDescent="0.3">
      <c r="A9" s="2" t="s">
        <v>13</v>
      </c>
      <c r="B9" s="59" t="s">
        <v>17</v>
      </c>
      <c r="C9" s="3">
        <v>45225</v>
      </c>
      <c r="D9" s="8">
        <v>2</v>
      </c>
      <c r="E9" s="3" t="s">
        <v>126</v>
      </c>
      <c r="F9" s="2" t="s">
        <v>213</v>
      </c>
      <c r="H9" s="7"/>
      <c r="L9" s="7">
        <v>0.16830000000000001</v>
      </c>
      <c r="O9" s="7">
        <v>62.7</v>
      </c>
      <c r="P9" s="7">
        <v>538</v>
      </c>
      <c r="Q9" s="7">
        <v>757.2</v>
      </c>
      <c r="R9" s="4" t="s">
        <v>15</v>
      </c>
      <c r="S9" s="4" t="s">
        <v>579</v>
      </c>
      <c r="T9" s="4"/>
      <c r="U9" s="4" t="s">
        <v>573</v>
      </c>
      <c r="V9" s="4"/>
      <c r="W9" s="9" t="s">
        <v>49</v>
      </c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>
        <v>80.099999999999994</v>
      </c>
      <c r="AY9" s="7">
        <v>200</v>
      </c>
      <c r="AZ9" s="4">
        <v>117</v>
      </c>
      <c r="BA9" s="4"/>
      <c r="BB9" s="4"/>
      <c r="BC9" s="4">
        <v>25.1</v>
      </c>
      <c r="BD9" s="14">
        <v>1012</v>
      </c>
      <c r="BE9" s="57">
        <v>53</v>
      </c>
      <c r="BF9" s="15">
        <v>1.1739999999999999</v>
      </c>
      <c r="BG9" s="4"/>
      <c r="BH9" s="4"/>
      <c r="BM9"/>
    </row>
    <row r="10" spans="1:65" x14ac:dyDescent="0.3">
      <c r="A10" s="2" t="s">
        <v>13</v>
      </c>
      <c r="B10" s="59" t="s">
        <v>17</v>
      </c>
      <c r="C10" s="3">
        <v>45225</v>
      </c>
      <c r="D10" s="8">
        <v>3</v>
      </c>
      <c r="E10" s="3" t="s">
        <v>127</v>
      </c>
      <c r="F10" s="2" t="s">
        <v>558</v>
      </c>
      <c r="H10" s="7"/>
      <c r="L10" s="7">
        <v>0.17280000000000001</v>
      </c>
      <c r="O10" s="7">
        <v>62.9</v>
      </c>
      <c r="P10" s="7">
        <v>560</v>
      </c>
      <c r="Q10" s="7">
        <v>0.17280000000000001</v>
      </c>
      <c r="R10" s="4" t="s">
        <v>15</v>
      </c>
      <c r="S10" s="4" t="s">
        <v>579</v>
      </c>
      <c r="T10" s="4"/>
      <c r="U10" s="4" t="s">
        <v>573</v>
      </c>
      <c r="V10" s="4"/>
      <c r="W10" s="9" t="s">
        <v>49</v>
      </c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>
        <v>80.400000000000006</v>
      </c>
      <c r="AY10" s="7">
        <v>200</v>
      </c>
      <c r="AZ10" s="4">
        <v>111.6</v>
      </c>
      <c r="BA10" s="4"/>
      <c r="BB10" s="4"/>
      <c r="BC10" s="18">
        <v>25.3</v>
      </c>
      <c r="BD10" s="19">
        <v>1012</v>
      </c>
      <c r="BE10" s="18">
        <v>53</v>
      </c>
      <c r="BF10" s="21"/>
      <c r="BG10" s="4"/>
      <c r="BH10" s="4"/>
      <c r="BM10"/>
    </row>
    <row r="11" spans="1:65" x14ac:dyDescent="0.3">
      <c r="A11" s="2" t="s">
        <v>13</v>
      </c>
      <c r="B11" s="59" t="s">
        <v>17</v>
      </c>
      <c r="C11" s="3">
        <v>45225</v>
      </c>
      <c r="D11" s="8">
        <v>4</v>
      </c>
      <c r="E11" s="3" t="s">
        <v>128</v>
      </c>
      <c r="F11" s="2" t="s">
        <v>85</v>
      </c>
      <c r="H11" s="7"/>
      <c r="L11" s="7">
        <v>0.17480000000000001</v>
      </c>
      <c r="O11" s="7">
        <v>62.1</v>
      </c>
      <c r="P11" s="7">
        <v>541</v>
      </c>
      <c r="Q11" s="7">
        <v>756.3</v>
      </c>
      <c r="R11" s="4" t="s">
        <v>15</v>
      </c>
      <c r="S11" s="4" t="s">
        <v>579</v>
      </c>
      <c r="T11" s="4"/>
      <c r="U11" s="4" t="s">
        <v>573</v>
      </c>
      <c r="V11" s="4"/>
      <c r="W11" s="9" t="s">
        <v>49</v>
      </c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>
        <v>85.9</v>
      </c>
      <c r="AY11" s="7">
        <v>200</v>
      </c>
      <c r="AZ11" s="4">
        <v>117</v>
      </c>
      <c r="BA11" s="4"/>
      <c r="BB11" s="4"/>
      <c r="BC11" s="4">
        <v>25.1</v>
      </c>
      <c r="BD11" s="14">
        <v>1012</v>
      </c>
      <c r="BE11" s="57">
        <v>53</v>
      </c>
      <c r="BF11" s="15">
        <v>1.1739999999999999</v>
      </c>
      <c r="BG11" s="4"/>
      <c r="BH11" s="4"/>
      <c r="BM11"/>
    </row>
    <row r="12" spans="1:65" x14ac:dyDescent="0.3">
      <c r="A12" s="2" t="s">
        <v>13</v>
      </c>
      <c r="B12" s="59" t="s">
        <v>17</v>
      </c>
      <c r="C12" s="3">
        <v>45225</v>
      </c>
      <c r="D12" s="8">
        <v>5</v>
      </c>
      <c r="E12" s="3" t="s">
        <v>129</v>
      </c>
      <c r="F12" s="2" t="s">
        <v>558</v>
      </c>
      <c r="H12" s="7"/>
      <c r="L12" s="7">
        <v>0.17380000000000001</v>
      </c>
      <c r="O12" s="7">
        <v>62.1</v>
      </c>
      <c r="P12" s="7">
        <v>535</v>
      </c>
      <c r="Q12" s="7">
        <v>756.7</v>
      </c>
      <c r="R12" s="4" t="s">
        <v>15</v>
      </c>
      <c r="S12" s="4" t="s">
        <v>579</v>
      </c>
      <c r="T12" s="4"/>
      <c r="U12" s="4" t="s">
        <v>573</v>
      </c>
      <c r="V12" s="4"/>
      <c r="W12" s="9" t="s">
        <v>49</v>
      </c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>
        <v>74.3</v>
      </c>
      <c r="AY12" s="7">
        <v>200</v>
      </c>
      <c r="AZ12" s="4">
        <v>111.6</v>
      </c>
      <c r="BA12" s="4"/>
      <c r="BB12" s="4"/>
      <c r="BC12" s="18">
        <v>25.3</v>
      </c>
      <c r="BD12" s="19">
        <v>1012</v>
      </c>
      <c r="BE12" s="18">
        <v>53</v>
      </c>
      <c r="BF12" s="21"/>
      <c r="BG12" s="4"/>
      <c r="BH12" s="4"/>
      <c r="BM12"/>
    </row>
    <row r="13" spans="1:65" x14ac:dyDescent="0.3">
      <c r="A13" s="2" t="s">
        <v>13</v>
      </c>
      <c r="B13" s="59" t="s">
        <v>17</v>
      </c>
      <c r="C13" s="3">
        <v>45225</v>
      </c>
      <c r="D13" s="8">
        <v>6</v>
      </c>
      <c r="E13" s="3" t="s">
        <v>130</v>
      </c>
      <c r="F13" s="2" t="s">
        <v>213</v>
      </c>
      <c r="H13" s="7"/>
      <c r="L13" s="7">
        <v>0.1716</v>
      </c>
      <c r="O13" s="7">
        <v>62.7</v>
      </c>
      <c r="P13" s="7">
        <v>547</v>
      </c>
      <c r="Q13" s="7">
        <v>756.8</v>
      </c>
      <c r="R13" s="4" t="s">
        <v>15</v>
      </c>
      <c r="S13" s="4" t="s">
        <v>579</v>
      </c>
      <c r="T13" s="4"/>
      <c r="U13" s="4" t="s">
        <v>573</v>
      </c>
      <c r="V13" s="4"/>
      <c r="W13" s="9" t="s">
        <v>49</v>
      </c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>
        <v>80.099999999999994</v>
      </c>
      <c r="AY13" s="7">
        <v>200</v>
      </c>
      <c r="AZ13" s="4">
        <v>117</v>
      </c>
      <c r="BA13" s="4"/>
      <c r="BB13" s="4"/>
      <c r="BC13" s="4">
        <v>25.1</v>
      </c>
      <c r="BD13" s="14">
        <v>1012</v>
      </c>
      <c r="BE13" s="57">
        <v>54</v>
      </c>
      <c r="BF13" s="15">
        <v>1.1739999999999999</v>
      </c>
      <c r="BG13" s="4"/>
      <c r="BH13" s="4"/>
      <c r="BM13"/>
    </row>
    <row r="14" spans="1:65" x14ac:dyDescent="0.3">
      <c r="A14" s="2" t="s">
        <v>13</v>
      </c>
      <c r="B14" s="59" t="s">
        <v>28</v>
      </c>
      <c r="C14" s="3">
        <v>45225</v>
      </c>
      <c r="D14" s="8">
        <v>1</v>
      </c>
      <c r="E14" s="37" t="s">
        <v>139</v>
      </c>
      <c r="F14" s="2" t="s">
        <v>545</v>
      </c>
      <c r="H14" s="7"/>
      <c r="L14" s="7">
        <v>0.15659999999999999</v>
      </c>
      <c r="O14" s="7">
        <v>64.099999999999994</v>
      </c>
      <c r="P14" s="7">
        <v>531</v>
      </c>
      <c r="Q14" s="7">
        <v>756.8</v>
      </c>
      <c r="R14" s="4" t="s">
        <v>15</v>
      </c>
      <c r="S14" s="4" t="s">
        <v>579</v>
      </c>
      <c r="T14" s="4"/>
      <c r="U14" s="4" t="s">
        <v>573</v>
      </c>
      <c r="V14" s="4"/>
      <c r="W14" s="9" t="s">
        <v>49</v>
      </c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>
        <v>75</v>
      </c>
      <c r="AY14" s="7">
        <v>200</v>
      </c>
      <c r="AZ14" s="4">
        <v>111.6</v>
      </c>
      <c r="BA14" s="4"/>
      <c r="BB14" s="4"/>
      <c r="BC14" s="18">
        <v>25.2</v>
      </c>
      <c r="BD14" s="19">
        <v>1005</v>
      </c>
      <c r="BE14" s="18">
        <v>41</v>
      </c>
      <c r="BF14" s="21"/>
      <c r="BG14" s="4"/>
      <c r="BH14" s="4"/>
      <c r="BM14"/>
    </row>
    <row r="15" spans="1:65" x14ac:dyDescent="0.3">
      <c r="A15" s="2" t="s">
        <v>13</v>
      </c>
      <c r="B15" s="59" t="s">
        <v>28</v>
      </c>
      <c r="C15" s="3">
        <v>45225</v>
      </c>
      <c r="D15" s="8">
        <v>2</v>
      </c>
      <c r="E15" s="3" t="s">
        <v>140</v>
      </c>
      <c r="F15" s="2" t="s">
        <v>213</v>
      </c>
      <c r="H15" s="7"/>
      <c r="L15" s="7">
        <v>0.1595</v>
      </c>
      <c r="O15" s="7">
        <v>65</v>
      </c>
      <c r="P15" s="7">
        <v>585</v>
      </c>
      <c r="Q15" s="7">
        <v>756.7</v>
      </c>
      <c r="R15" s="4" t="s">
        <v>15</v>
      </c>
      <c r="S15" s="4" t="s">
        <v>579</v>
      </c>
      <c r="T15" s="4"/>
      <c r="U15" s="4" t="s">
        <v>573</v>
      </c>
      <c r="V15" s="4"/>
      <c r="W15" s="9" t="s">
        <v>49</v>
      </c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>
        <v>80.2</v>
      </c>
      <c r="AY15" s="7">
        <v>200</v>
      </c>
      <c r="AZ15" s="22">
        <v>117</v>
      </c>
      <c r="BA15" s="4"/>
      <c r="BB15" s="4"/>
      <c r="BC15" s="18">
        <v>25.2</v>
      </c>
      <c r="BD15" s="19">
        <v>1005</v>
      </c>
      <c r="BE15" s="18">
        <v>41</v>
      </c>
      <c r="BF15" s="21"/>
      <c r="BG15" s="4"/>
      <c r="BH15" s="4"/>
      <c r="BM15"/>
    </row>
    <row r="16" spans="1:65" x14ac:dyDescent="0.3">
      <c r="A16" s="2" t="s">
        <v>13</v>
      </c>
      <c r="B16" s="59" t="s">
        <v>28</v>
      </c>
      <c r="C16" s="3">
        <v>45225</v>
      </c>
      <c r="D16" s="8">
        <v>3</v>
      </c>
      <c r="E16" s="3" t="s">
        <v>141</v>
      </c>
      <c r="F16" s="2" t="s">
        <v>213</v>
      </c>
      <c r="H16" s="7"/>
      <c r="L16" s="7">
        <v>0.1605</v>
      </c>
      <c r="O16" s="7">
        <v>65.400000000000006</v>
      </c>
      <c r="P16" s="7">
        <v>599</v>
      </c>
      <c r="Q16" s="7">
        <v>756.9</v>
      </c>
      <c r="R16" s="4" t="s">
        <v>15</v>
      </c>
      <c r="S16" s="4" t="s">
        <v>579</v>
      </c>
      <c r="T16" s="4"/>
      <c r="U16" s="4" t="s">
        <v>573</v>
      </c>
      <c r="V16" s="4"/>
      <c r="W16" s="9" t="s">
        <v>49</v>
      </c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>
        <v>79.099999999999994</v>
      </c>
      <c r="AY16" s="7">
        <v>200</v>
      </c>
      <c r="AZ16" s="4">
        <v>111.6</v>
      </c>
      <c r="BA16" s="4"/>
      <c r="BB16" s="4"/>
      <c r="BC16" s="18">
        <v>25.2</v>
      </c>
      <c r="BD16" s="19">
        <v>1005</v>
      </c>
      <c r="BE16" s="18">
        <v>41</v>
      </c>
      <c r="BF16" s="21"/>
      <c r="BG16" s="4"/>
      <c r="BH16" s="11" t="s">
        <v>88</v>
      </c>
      <c r="BM16"/>
    </row>
    <row r="17" spans="1:65" x14ac:dyDescent="0.3">
      <c r="A17" s="2" t="s">
        <v>13</v>
      </c>
      <c r="B17" s="59" t="s">
        <v>28</v>
      </c>
      <c r="C17" s="3">
        <v>45225</v>
      </c>
      <c r="D17" s="8">
        <v>4</v>
      </c>
      <c r="E17" s="3" t="s">
        <v>142</v>
      </c>
      <c r="F17" s="2" t="s">
        <v>545</v>
      </c>
      <c r="H17" s="7"/>
      <c r="L17" s="7">
        <v>0.156</v>
      </c>
      <c r="O17" s="7">
        <v>64.900000000000006</v>
      </c>
      <c r="P17" s="7">
        <v>558</v>
      </c>
      <c r="Q17" s="7">
        <v>757.1</v>
      </c>
      <c r="R17" s="4" t="s">
        <v>15</v>
      </c>
      <c r="S17" s="4" t="s">
        <v>579</v>
      </c>
      <c r="T17" s="4"/>
      <c r="U17" s="4" t="s">
        <v>573</v>
      </c>
      <c r="V17" s="4"/>
      <c r="W17" s="9" t="s">
        <v>49</v>
      </c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>
        <v>84.8</v>
      </c>
      <c r="AY17" s="7">
        <v>200</v>
      </c>
      <c r="AZ17" s="22">
        <v>117</v>
      </c>
      <c r="BA17" s="4"/>
      <c r="BB17" s="4"/>
      <c r="BC17" s="16">
        <v>25.2</v>
      </c>
      <c r="BD17" s="17">
        <v>1005</v>
      </c>
      <c r="BE17" s="16">
        <v>41</v>
      </c>
      <c r="BF17" s="20"/>
      <c r="BG17" s="4"/>
      <c r="BH17" s="4"/>
      <c r="BM17"/>
    </row>
    <row r="18" spans="1:65" x14ac:dyDescent="0.3">
      <c r="A18" s="2" t="s">
        <v>13</v>
      </c>
      <c r="B18" s="59" t="s">
        <v>28</v>
      </c>
      <c r="C18" s="3">
        <v>45225</v>
      </c>
      <c r="D18" s="8">
        <v>5</v>
      </c>
      <c r="E18" s="3" t="s">
        <v>143</v>
      </c>
      <c r="F18" s="2" t="s">
        <v>213</v>
      </c>
      <c r="H18" s="7"/>
      <c r="L18" s="7">
        <v>0.1595</v>
      </c>
      <c r="O18" s="7">
        <v>65.099999999999994</v>
      </c>
      <c r="P18" s="7">
        <v>586</v>
      </c>
      <c r="Q18" s="7">
        <v>757.9</v>
      </c>
      <c r="R18" s="4" t="s">
        <v>15</v>
      </c>
      <c r="S18" s="4" t="s">
        <v>579</v>
      </c>
      <c r="T18" s="4"/>
      <c r="U18" s="4" t="s">
        <v>573</v>
      </c>
      <c r="V18" s="4"/>
      <c r="W18" s="9" t="s">
        <v>49</v>
      </c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>
        <v>75.099999999999994</v>
      </c>
      <c r="AY18" s="7">
        <v>200</v>
      </c>
      <c r="AZ18" s="4">
        <v>111.6</v>
      </c>
      <c r="BA18" s="4"/>
      <c r="BB18" s="4"/>
      <c r="BC18" s="18">
        <v>25.2</v>
      </c>
      <c r="BD18" s="19">
        <v>1005</v>
      </c>
      <c r="BE18" s="18">
        <v>41</v>
      </c>
      <c r="BF18" s="21"/>
      <c r="BG18" s="4"/>
      <c r="BH18" s="4"/>
      <c r="BM18"/>
    </row>
    <row r="19" spans="1:65" x14ac:dyDescent="0.3">
      <c r="A19" s="2" t="s">
        <v>13</v>
      </c>
      <c r="B19" s="59" t="s">
        <v>28</v>
      </c>
      <c r="C19" s="3">
        <v>45225</v>
      </c>
      <c r="D19" s="8">
        <v>6</v>
      </c>
      <c r="E19" s="3" t="s">
        <v>144</v>
      </c>
      <c r="F19" s="2" t="s">
        <v>545</v>
      </c>
      <c r="H19" s="7"/>
      <c r="L19" s="7">
        <v>0.1573</v>
      </c>
      <c r="O19" s="7">
        <v>64.8</v>
      </c>
      <c r="P19" s="7">
        <v>547</v>
      </c>
      <c r="Q19" s="7">
        <v>757.2</v>
      </c>
      <c r="R19" s="4" t="s">
        <v>15</v>
      </c>
      <c r="S19" s="4" t="s">
        <v>579</v>
      </c>
      <c r="T19" s="4"/>
      <c r="U19" s="4" t="s">
        <v>573</v>
      </c>
      <c r="V19" s="4"/>
      <c r="W19" s="9" t="s">
        <v>49</v>
      </c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>
        <v>80.099999999999994</v>
      </c>
      <c r="AY19" s="7">
        <v>200</v>
      </c>
      <c r="AZ19" s="22">
        <v>117</v>
      </c>
      <c r="BA19" s="4"/>
      <c r="BB19" s="4"/>
      <c r="BC19" s="18">
        <v>25.2</v>
      </c>
      <c r="BD19" s="19">
        <v>1005</v>
      </c>
      <c r="BE19" s="18">
        <v>41</v>
      </c>
      <c r="BF19" s="21"/>
      <c r="BG19" s="4"/>
      <c r="BH19" s="4"/>
      <c r="BM19"/>
    </row>
    <row r="20" spans="1:65" x14ac:dyDescent="0.3">
      <c r="A20" s="2" t="s">
        <v>13</v>
      </c>
      <c r="B20" s="59" t="s">
        <v>17</v>
      </c>
      <c r="C20" s="3">
        <v>45229</v>
      </c>
      <c r="D20" s="8">
        <v>1</v>
      </c>
      <c r="E20" s="3" t="s">
        <v>149</v>
      </c>
      <c r="F20" s="2" t="s">
        <v>548</v>
      </c>
      <c r="G20" s="7">
        <v>0.17499999999999999</v>
      </c>
      <c r="H20" s="7">
        <v>5.0000000000000001E-3</v>
      </c>
      <c r="I20" s="7">
        <v>1.282</v>
      </c>
      <c r="L20" s="7">
        <v>0.1744</v>
      </c>
      <c r="O20" s="7">
        <v>61.9</v>
      </c>
      <c r="P20" s="7">
        <v>538</v>
      </c>
      <c r="Q20" s="7">
        <v>750</v>
      </c>
      <c r="R20" s="4" t="s">
        <v>15</v>
      </c>
      <c r="S20" s="4" t="s">
        <v>579</v>
      </c>
      <c r="T20" s="4"/>
      <c r="U20" s="4" t="s">
        <v>573</v>
      </c>
      <c r="V20" s="4"/>
      <c r="W20" s="9" t="s">
        <v>49</v>
      </c>
      <c r="X20" s="4" t="s">
        <v>78</v>
      </c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>
        <v>75</v>
      </c>
      <c r="AY20" s="7">
        <v>200</v>
      </c>
      <c r="AZ20" s="4">
        <v>111.6</v>
      </c>
      <c r="BA20" s="4"/>
      <c r="BB20" s="4"/>
      <c r="BC20" s="18">
        <v>25.2</v>
      </c>
      <c r="BD20" s="19">
        <v>1005</v>
      </c>
      <c r="BE20" s="18">
        <v>41</v>
      </c>
      <c r="BF20" s="21"/>
      <c r="BG20" s="4"/>
      <c r="BH20" s="4"/>
      <c r="BM20"/>
    </row>
    <row r="21" spans="1:65" x14ac:dyDescent="0.3">
      <c r="A21" s="2" t="s">
        <v>13</v>
      </c>
      <c r="B21" s="59" t="s">
        <v>17</v>
      </c>
      <c r="C21" s="3">
        <v>45229</v>
      </c>
      <c r="D21" s="8">
        <v>2</v>
      </c>
      <c r="E21" s="3" t="s">
        <v>150</v>
      </c>
      <c r="F21" s="2" t="s">
        <v>213</v>
      </c>
      <c r="G21" s="52"/>
      <c r="H21" s="52"/>
      <c r="I21" s="7">
        <v>1.282</v>
      </c>
      <c r="L21" s="7">
        <v>0.1696</v>
      </c>
      <c r="O21" s="7">
        <v>63.3</v>
      </c>
      <c r="P21" s="7">
        <v>561</v>
      </c>
      <c r="Q21" s="7">
        <v>750</v>
      </c>
      <c r="R21" s="4" t="s">
        <v>15</v>
      </c>
      <c r="S21" s="4" t="s">
        <v>579</v>
      </c>
      <c r="T21" s="4"/>
      <c r="U21" s="4" t="s">
        <v>573</v>
      </c>
      <c r="V21" s="4"/>
      <c r="W21" s="9" t="s">
        <v>49</v>
      </c>
      <c r="X21" s="4" t="s">
        <v>78</v>
      </c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>
        <v>79.900000000000006</v>
      </c>
      <c r="AY21" s="7">
        <v>200</v>
      </c>
      <c r="AZ21" s="22">
        <v>117</v>
      </c>
      <c r="BA21" s="4"/>
      <c r="BB21" s="4"/>
      <c r="BC21" s="18">
        <v>25.2</v>
      </c>
      <c r="BD21" s="19">
        <v>1005</v>
      </c>
      <c r="BE21" s="18">
        <v>41</v>
      </c>
      <c r="BF21" s="21"/>
      <c r="BG21" s="4"/>
      <c r="BH21" s="4"/>
      <c r="BM21"/>
    </row>
    <row r="22" spans="1:65" x14ac:dyDescent="0.3">
      <c r="A22" s="2" t="s">
        <v>13</v>
      </c>
      <c r="B22" s="59" t="s">
        <v>17</v>
      </c>
      <c r="C22" s="3">
        <v>45229</v>
      </c>
      <c r="D22" s="8">
        <v>3</v>
      </c>
      <c r="E22" s="3" t="s">
        <v>151</v>
      </c>
      <c r="F22" s="2" t="s">
        <v>213</v>
      </c>
      <c r="G22" s="7">
        <v>0.16819999999999999</v>
      </c>
      <c r="H22" s="7">
        <v>2.3E-3</v>
      </c>
      <c r="I22" s="7">
        <v>1.282</v>
      </c>
      <c r="L22" s="7">
        <v>0.16700000000000001</v>
      </c>
      <c r="O22" s="7">
        <v>64</v>
      </c>
      <c r="P22" s="7">
        <v>577</v>
      </c>
      <c r="Q22" s="7">
        <v>750</v>
      </c>
      <c r="R22" s="4" t="s">
        <v>15</v>
      </c>
      <c r="S22" s="4" t="s">
        <v>579</v>
      </c>
      <c r="T22" s="4"/>
      <c r="U22" s="4" t="s">
        <v>573</v>
      </c>
      <c r="V22" s="4"/>
      <c r="W22" s="9" t="s">
        <v>49</v>
      </c>
      <c r="X22" s="4" t="s">
        <v>78</v>
      </c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>
        <v>78.8</v>
      </c>
      <c r="AY22" s="7">
        <v>200</v>
      </c>
      <c r="AZ22" s="4">
        <v>111.6</v>
      </c>
      <c r="BA22" s="4"/>
      <c r="BB22" s="4"/>
      <c r="BC22" s="18">
        <v>25.2</v>
      </c>
      <c r="BD22" s="19">
        <v>1005</v>
      </c>
      <c r="BE22" s="18">
        <v>41</v>
      </c>
      <c r="BF22" s="21"/>
      <c r="BG22" s="4"/>
      <c r="BH22" s="4"/>
      <c r="BM22"/>
    </row>
    <row r="23" spans="1:65" x14ac:dyDescent="0.3">
      <c r="A23" s="2" t="s">
        <v>13</v>
      </c>
      <c r="B23" s="59" t="s">
        <v>17</v>
      </c>
      <c r="C23" s="3">
        <v>45229</v>
      </c>
      <c r="D23" s="8">
        <v>4</v>
      </c>
      <c r="E23" s="3" t="s">
        <v>152</v>
      </c>
      <c r="F23" s="2" t="s">
        <v>548</v>
      </c>
      <c r="G23" s="7">
        <v>0.17760000000000001</v>
      </c>
      <c r="H23" s="7">
        <v>3.8999999999999998E-3</v>
      </c>
      <c r="I23" s="7">
        <v>1.282</v>
      </c>
      <c r="L23" s="7">
        <v>0.1729</v>
      </c>
      <c r="O23" s="7">
        <v>64</v>
      </c>
      <c r="P23" s="7">
        <v>592</v>
      </c>
      <c r="Q23" s="7">
        <v>750</v>
      </c>
      <c r="R23" s="4" t="s">
        <v>15</v>
      </c>
      <c r="S23" s="4" t="s">
        <v>579</v>
      </c>
      <c r="T23" s="4"/>
      <c r="U23" s="4" t="s">
        <v>573</v>
      </c>
      <c r="V23" s="4"/>
      <c r="W23" s="9" t="s">
        <v>49</v>
      </c>
      <c r="X23" s="4" t="s">
        <v>78</v>
      </c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>
        <v>84.6</v>
      </c>
      <c r="AY23" s="7">
        <v>200</v>
      </c>
      <c r="AZ23" s="22">
        <v>117</v>
      </c>
      <c r="BA23" s="4"/>
      <c r="BB23" s="4"/>
      <c r="BC23" s="16">
        <v>25.2</v>
      </c>
      <c r="BD23" s="17">
        <v>1005</v>
      </c>
      <c r="BE23" s="16">
        <v>41</v>
      </c>
      <c r="BF23" s="20"/>
      <c r="BG23" s="4"/>
      <c r="BH23" s="4"/>
      <c r="BM23"/>
    </row>
    <row r="24" spans="1:65" x14ac:dyDescent="0.3">
      <c r="A24" s="2" t="s">
        <v>13</v>
      </c>
      <c r="B24" s="59" t="s">
        <v>17</v>
      </c>
      <c r="C24" s="3">
        <v>45229</v>
      </c>
      <c r="D24" s="8">
        <v>5</v>
      </c>
      <c r="E24" s="3" t="s">
        <v>153</v>
      </c>
      <c r="F24" s="2" t="s">
        <v>213</v>
      </c>
      <c r="G24" s="7">
        <v>0.1699</v>
      </c>
      <c r="H24" s="7">
        <v>2.2000000000000001E-3</v>
      </c>
      <c r="I24" s="7">
        <v>1.282</v>
      </c>
      <c r="L24" s="7">
        <v>0.1676</v>
      </c>
      <c r="O24" s="7">
        <v>64.400000000000006</v>
      </c>
      <c r="P24" s="7">
        <v>593</v>
      </c>
      <c r="Q24" s="7">
        <v>750</v>
      </c>
      <c r="R24" s="4" t="s">
        <v>15</v>
      </c>
      <c r="S24" s="4" t="s">
        <v>579</v>
      </c>
      <c r="T24" s="4"/>
      <c r="U24" s="4" t="s">
        <v>573</v>
      </c>
      <c r="V24" s="4"/>
      <c r="W24" s="9" t="s">
        <v>49</v>
      </c>
      <c r="X24" s="4" t="s">
        <v>78</v>
      </c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>
        <v>75.099999999999994</v>
      </c>
      <c r="AY24" s="7">
        <v>200</v>
      </c>
      <c r="AZ24" s="4">
        <v>111.6</v>
      </c>
      <c r="BA24" s="4"/>
      <c r="BB24" s="4"/>
      <c r="BC24" s="18">
        <v>25.2</v>
      </c>
      <c r="BD24" s="19">
        <v>1005</v>
      </c>
      <c r="BE24" s="18">
        <v>41</v>
      </c>
      <c r="BF24" s="21"/>
      <c r="BG24" s="4"/>
      <c r="BH24" s="4"/>
      <c r="BM24"/>
    </row>
    <row r="25" spans="1:65" x14ac:dyDescent="0.3">
      <c r="A25" s="2" t="s">
        <v>13</v>
      </c>
      <c r="B25" s="59" t="s">
        <v>17</v>
      </c>
      <c r="C25" s="3">
        <v>45229</v>
      </c>
      <c r="D25" s="8">
        <v>6</v>
      </c>
      <c r="E25" s="3" t="s">
        <v>154</v>
      </c>
      <c r="F25" s="2" t="s">
        <v>548</v>
      </c>
      <c r="G25" s="7">
        <v>0.17979999999999999</v>
      </c>
      <c r="H25" s="7">
        <v>5.5999999999999999E-3</v>
      </c>
      <c r="I25" s="7">
        <v>1.282</v>
      </c>
      <c r="L25" s="7">
        <v>0.1749</v>
      </c>
      <c r="O25" s="7">
        <v>63.2</v>
      </c>
      <c r="P25" s="7">
        <v>580</v>
      </c>
      <c r="Q25" s="7">
        <v>750</v>
      </c>
      <c r="R25" s="4" t="s">
        <v>15</v>
      </c>
      <c r="S25" s="4" t="s">
        <v>579</v>
      </c>
      <c r="T25" s="4"/>
      <c r="U25" s="4" t="s">
        <v>573</v>
      </c>
      <c r="V25" s="4"/>
      <c r="W25" s="9" t="s">
        <v>49</v>
      </c>
      <c r="X25" s="4" t="s">
        <v>78</v>
      </c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>
        <v>79.900000000000006</v>
      </c>
      <c r="AY25" s="7">
        <v>200</v>
      </c>
      <c r="AZ25" s="22">
        <v>117</v>
      </c>
      <c r="BA25" s="4"/>
      <c r="BB25" s="4"/>
      <c r="BC25" s="18">
        <v>25.2</v>
      </c>
      <c r="BD25" s="19">
        <v>1005</v>
      </c>
      <c r="BE25" s="18">
        <v>41</v>
      </c>
      <c r="BF25" s="21"/>
      <c r="BG25" s="4"/>
      <c r="BH25" s="4"/>
      <c r="BM25"/>
    </row>
    <row r="26" spans="1:65" x14ac:dyDescent="0.3">
      <c r="A26" s="2" t="s">
        <v>13</v>
      </c>
      <c r="B26" s="59" t="s">
        <v>28</v>
      </c>
      <c r="C26" s="3">
        <v>45229</v>
      </c>
      <c r="D26" s="8">
        <v>1</v>
      </c>
      <c r="E26" s="3" t="s">
        <v>163</v>
      </c>
      <c r="F26" s="2" t="s">
        <v>544</v>
      </c>
      <c r="G26" s="7">
        <v>0.1658</v>
      </c>
      <c r="H26" s="7">
        <v>3.3E-3</v>
      </c>
      <c r="I26" s="7">
        <v>1.2150000000000001</v>
      </c>
      <c r="L26" s="7">
        <v>0.1623</v>
      </c>
      <c r="O26" s="7">
        <v>64.400000000000006</v>
      </c>
      <c r="P26" s="7">
        <v>565</v>
      </c>
      <c r="Q26" s="7">
        <v>750</v>
      </c>
      <c r="R26" s="4" t="s">
        <v>15</v>
      </c>
      <c r="S26" s="4" t="s">
        <v>579</v>
      </c>
      <c r="T26" s="4"/>
      <c r="U26" s="4" t="s">
        <v>573</v>
      </c>
      <c r="V26" s="4"/>
      <c r="W26" s="9" t="s">
        <v>49</v>
      </c>
      <c r="X26" s="4" t="s">
        <v>78</v>
      </c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>
        <v>74.900000000000006</v>
      </c>
      <c r="AY26" s="4"/>
      <c r="AZ26" s="4">
        <v>111.6</v>
      </c>
      <c r="BA26" s="4"/>
      <c r="BB26" s="4"/>
      <c r="BC26" s="18">
        <v>25.9</v>
      </c>
      <c r="BD26" s="19">
        <v>1010</v>
      </c>
      <c r="BE26" s="18">
        <v>47</v>
      </c>
      <c r="BF26" s="20"/>
      <c r="BG26" s="4"/>
      <c r="BH26" s="18" t="s">
        <v>91</v>
      </c>
      <c r="BM26"/>
    </row>
    <row r="27" spans="1:65" x14ac:dyDescent="0.3">
      <c r="A27" s="2" t="s">
        <v>13</v>
      </c>
      <c r="B27" s="59" t="s">
        <v>28</v>
      </c>
      <c r="C27" s="3">
        <v>45229</v>
      </c>
      <c r="D27" s="8">
        <v>2</v>
      </c>
      <c r="E27" s="3" t="s">
        <v>164</v>
      </c>
      <c r="F27" s="2" t="s">
        <v>544</v>
      </c>
      <c r="G27" s="7">
        <v>0.1719</v>
      </c>
      <c r="H27" s="7">
        <v>4.7999999999999996E-3</v>
      </c>
      <c r="I27" s="7">
        <v>1.2150000000000001</v>
      </c>
      <c r="L27" s="7">
        <v>0.16739999999999999</v>
      </c>
      <c r="O27" s="7">
        <v>63.9</v>
      </c>
      <c r="P27" s="7">
        <v>568</v>
      </c>
      <c r="Q27" s="7">
        <v>750</v>
      </c>
      <c r="R27" s="4" t="s">
        <v>15</v>
      </c>
      <c r="S27" s="4" t="s">
        <v>579</v>
      </c>
      <c r="T27" s="4"/>
      <c r="U27" s="4" t="s">
        <v>576</v>
      </c>
      <c r="V27" s="4"/>
      <c r="W27" s="9" t="s">
        <v>49</v>
      </c>
      <c r="X27" s="4" t="s">
        <v>78</v>
      </c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>
        <v>80.099999999999994</v>
      </c>
      <c r="AY27" s="4"/>
      <c r="AZ27" s="22">
        <v>117</v>
      </c>
      <c r="BA27" s="4"/>
      <c r="BB27" s="4"/>
      <c r="BC27" s="18">
        <v>25.9</v>
      </c>
      <c r="BD27" s="19">
        <v>1010</v>
      </c>
      <c r="BE27" s="18">
        <v>47</v>
      </c>
      <c r="BF27" s="21"/>
      <c r="BG27" s="4"/>
      <c r="BH27" s="18" t="s">
        <v>92</v>
      </c>
      <c r="BM27"/>
    </row>
    <row r="28" spans="1:65" x14ac:dyDescent="0.3">
      <c r="A28" s="2" t="s">
        <v>13</v>
      </c>
      <c r="B28" s="59" t="s">
        <v>28</v>
      </c>
      <c r="C28" s="3">
        <v>45229</v>
      </c>
      <c r="D28" s="8">
        <v>3</v>
      </c>
      <c r="E28" s="3" t="s">
        <v>165</v>
      </c>
      <c r="F28" s="2" t="s">
        <v>544</v>
      </c>
      <c r="G28" s="7">
        <v>0.1696</v>
      </c>
      <c r="H28" s="7">
        <v>4.4000000000000003E-3</v>
      </c>
      <c r="I28" s="7">
        <v>1.2150000000000001</v>
      </c>
      <c r="L28" s="7">
        <v>0.1676</v>
      </c>
      <c r="O28" s="7">
        <v>64.2</v>
      </c>
      <c r="P28" s="7">
        <v>564</v>
      </c>
      <c r="Q28" s="7">
        <v>750</v>
      </c>
      <c r="R28" s="4" t="s">
        <v>15</v>
      </c>
      <c r="S28" s="4" t="s">
        <v>579</v>
      </c>
      <c r="T28" s="4"/>
      <c r="U28" s="9" t="s">
        <v>575</v>
      </c>
      <c r="V28" s="4"/>
      <c r="W28" s="9" t="s">
        <v>49</v>
      </c>
      <c r="X28" s="4" t="s">
        <v>78</v>
      </c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>
        <v>78.7</v>
      </c>
      <c r="AY28" s="4"/>
      <c r="AZ28" s="4">
        <v>111.6</v>
      </c>
      <c r="BA28" s="4"/>
      <c r="BB28" s="4"/>
      <c r="BC28" s="18">
        <v>26.4</v>
      </c>
      <c r="BD28" s="19">
        <v>1010</v>
      </c>
      <c r="BE28" s="18">
        <v>46.5</v>
      </c>
      <c r="BF28" s="20"/>
      <c r="BG28" s="4"/>
      <c r="BH28" s="4"/>
      <c r="BM28"/>
    </row>
    <row r="29" spans="1:65" x14ac:dyDescent="0.3">
      <c r="A29" s="2" t="s">
        <v>13</v>
      </c>
      <c r="B29" s="59" t="s">
        <v>28</v>
      </c>
      <c r="C29" s="3">
        <v>45229</v>
      </c>
      <c r="D29" s="8">
        <v>4</v>
      </c>
      <c r="E29" s="3" t="s">
        <v>166</v>
      </c>
      <c r="F29" s="2" t="s">
        <v>544</v>
      </c>
      <c r="G29" s="7">
        <v>0.16819999999999999</v>
      </c>
      <c r="H29" s="7">
        <v>3.7000000000000002E-3</v>
      </c>
      <c r="I29" s="7">
        <v>1.2150000000000001</v>
      </c>
      <c r="L29" s="7">
        <v>0.16220000000000001</v>
      </c>
      <c r="O29" s="7">
        <v>64.900000000000006</v>
      </c>
      <c r="P29" s="7">
        <v>573</v>
      </c>
      <c r="Q29" s="7">
        <v>750</v>
      </c>
      <c r="R29" s="4" t="s">
        <v>15</v>
      </c>
      <c r="S29" s="4" t="s">
        <v>579</v>
      </c>
      <c r="T29" s="4"/>
      <c r="U29" s="4" t="s">
        <v>225</v>
      </c>
      <c r="V29" s="4"/>
      <c r="W29" s="9" t="s">
        <v>49</v>
      </c>
      <c r="X29" s="4" t="s">
        <v>78</v>
      </c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>
        <v>85.2</v>
      </c>
      <c r="AY29" s="4"/>
      <c r="AZ29" s="22">
        <v>117</v>
      </c>
      <c r="BA29" s="4"/>
      <c r="BB29" s="4"/>
      <c r="BC29" s="18">
        <v>26.4</v>
      </c>
      <c r="BD29" s="18">
        <v>1010</v>
      </c>
      <c r="BE29" s="18">
        <v>46.5</v>
      </c>
      <c r="BF29" s="4"/>
      <c r="BG29" s="4"/>
      <c r="BH29" s="4"/>
      <c r="BM29"/>
    </row>
    <row r="30" spans="1:65" x14ac:dyDescent="0.3">
      <c r="A30" s="2" t="s">
        <v>13</v>
      </c>
      <c r="B30" s="59" t="s">
        <v>28</v>
      </c>
      <c r="C30" s="3">
        <v>45229</v>
      </c>
      <c r="D30" s="8">
        <v>5</v>
      </c>
      <c r="E30" s="3" t="s">
        <v>167</v>
      </c>
      <c r="F30" s="2" t="s">
        <v>544</v>
      </c>
      <c r="G30" s="7">
        <v>0.17169999999999999</v>
      </c>
      <c r="H30" s="7">
        <v>3.0999999999999999E-3</v>
      </c>
      <c r="I30" s="7">
        <v>1.2150000000000001</v>
      </c>
      <c r="L30" s="7">
        <v>0.1666</v>
      </c>
      <c r="O30" s="7">
        <v>64</v>
      </c>
      <c r="P30" s="7">
        <v>574</v>
      </c>
      <c r="Q30" s="7">
        <v>750</v>
      </c>
      <c r="R30" s="4" t="s">
        <v>15</v>
      </c>
      <c r="S30" s="4" t="s">
        <v>579</v>
      </c>
      <c r="T30" s="4"/>
      <c r="U30" s="4" t="s">
        <v>576</v>
      </c>
      <c r="V30" s="4"/>
      <c r="W30" s="9" t="s">
        <v>49</v>
      </c>
      <c r="X30" s="4" t="s">
        <v>78</v>
      </c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>
        <v>74.7</v>
      </c>
      <c r="AY30" s="4"/>
      <c r="AZ30" s="4">
        <v>111.6</v>
      </c>
      <c r="BA30" s="4"/>
      <c r="BB30" s="4"/>
      <c r="BC30" s="18">
        <v>26.4</v>
      </c>
      <c r="BD30" s="18">
        <v>1010</v>
      </c>
      <c r="BE30" s="18">
        <v>46.5</v>
      </c>
      <c r="BF30" s="4"/>
      <c r="BG30" s="4"/>
      <c r="BH30" s="4"/>
      <c r="BM30"/>
    </row>
    <row r="31" spans="1:65" x14ac:dyDescent="0.3">
      <c r="A31" s="2" t="s">
        <v>13</v>
      </c>
      <c r="B31" s="59" t="s">
        <v>28</v>
      </c>
      <c r="C31" s="3">
        <v>45229</v>
      </c>
      <c r="D31" s="8">
        <v>6</v>
      </c>
      <c r="E31" s="3" t="s">
        <v>168</v>
      </c>
      <c r="F31" s="2" t="s">
        <v>544</v>
      </c>
      <c r="G31" s="7">
        <v>0.1701</v>
      </c>
      <c r="H31" s="7">
        <v>6.4999999999999997E-3</v>
      </c>
      <c r="I31" s="7">
        <v>1.2150000000000001</v>
      </c>
      <c r="L31" s="7">
        <v>0.16639999999999999</v>
      </c>
      <c r="O31" s="7">
        <v>63.8</v>
      </c>
      <c r="P31" s="7">
        <v>555</v>
      </c>
      <c r="Q31" s="7">
        <v>750</v>
      </c>
      <c r="R31" s="4" t="s">
        <v>15</v>
      </c>
      <c r="S31" s="4" t="s">
        <v>579</v>
      </c>
      <c r="T31" s="4"/>
      <c r="U31" s="9" t="s">
        <v>575</v>
      </c>
      <c r="V31" s="4"/>
      <c r="W31" s="9" t="s">
        <v>49</v>
      </c>
      <c r="X31" s="4" t="s">
        <v>78</v>
      </c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>
        <v>80.2</v>
      </c>
      <c r="AY31" s="4"/>
      <c r="AZ31" s="22">
        <v>117</v>
      </c>
      <c r="BA31" s="4"/>
      <c r="BB31" s="4"/>
      <c r="BC31" s="18">
        <v>26.4</v>
      </c>
      <c r="BD31" s="18">
        <v>1010</v>
      </c>
      <c r="BE31" s="18">
        <v>46.5</v>
      </c>
      <c r="BF31" s="4"/>
      <c r="BG31" s="4"/>
      <c r="BH31" s="4"/>
      <c r="BM31"/>
    </row>
    <row r="32" spans="1:65" x14ac:dyDescent="0.3">
      <c r="A32" s="2" t="s">
        <v>13</v>
      </c>
      <c r="B32" s="59" t="s">
        <v>17</v>
      </c>
      <c r="C32" s="3">
        <v>45232</v>
      </c>
      <c r="D32" s="8">
        <v>1</v>
      </c>
      <c r="E32" s="3" t="s">
        <v>175</v>
      </c>
      <c r="F32" s="2" t="s">
        <v>213</v>
      </c>
      <c r="G32" s="7">
        <v>0.1668</v>
      </c>
      <c r="H32" s="7">
        <v>4.4999999999999997E-3</v>
      </c>
      <c r="I32" s="7">
        <v>1.2755000000000001</v>
      </c>
      <c r="L32" s="7">
        <v>0.1671</v>
      </c>
      <c r="O32" s="7">
        <v>64.400000000000006</v>
      </c>
      <c r="P32" s="7">
        <v>594</v>
      </c>
      <c r="Q32" s="7">
        <v>750</v>
      </c>
      <c r="R32" s="4" t="s">
        <v>89</v>
      </c>
      <c r="S32" s="4" t="s">
        <v>579</v>
      </c>
      <c r="T32" s="4"/>
      <c r="U32" s="4" t="s">
        <v>573</v>
      </c>
      <c r="V32" s="4"/>
      <c r="W32" s="4"/>
      <c r="X32" s="4" t="s">
        <v>78</v>
      </c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>
        <v>74.599999999999994</v>
      </c>
      <c r="AY32" s="4"/>
      <c r="AZ32" s="4">
        <v>111.6</v>
      </c>
      <c r="BA32" s="4"/>
      <c r="BB32" s="4"/>
      <c r="BC32" s="18">
        <v>26.7</v>
      </c>
      <c r="BD32" s="18">
        <v>1010</v>
      </c>
      <c r="BE32" s="18">
        <v>46.7</v>
      </c>
      <c r="BF32" s="4"/>
      <c r="BG32" s="4"/>
      <c r="BH32" s="4"/>
      <c r="BM32"/>
    </row>
    <row r="33" spans="1:65" x14ac:dyDescent="0.3">
      <c r="A33" s="2" t="s">
        <v>13</v>
      </c>
      <c r="B33" s="59" t="s">
        <v>17</v>
      </c>
      <c r="C33" s="3">
        <v>45232</v>
      </c>
      <c r="D33" s="8">
        <v>2</v>
      </c>
      <c r="E33" s="3" t="s">
        <v>174</v>
      </c>
      <c r="F33" s="2" t="s">
        <v>213</v>
      </c>
      <c r="G33" s="7">
        <v>0.16520000000000001</v>
      </c>
      <c r="H33" s="7">
        <v>4.0000000000000001E-3</v>
      </c>
      <c r="I33" s="7">
        <v>1.2755000000000001</v>
      </c>
      <c r="L33" s="7">
        <v>0.16719999999999999</v>
      </c>
      <c r="O33" s="7">
        <v>63.7</v>
      </c>
      <c r="P33" s="7">
        <v>580</v>
      </c>
      <c r="Q33" s="7">
        <v>750</v>
      </c>
      <c r="R33" s="4" t="s">
        <v>89</v>
      </c>
      <c r="S33" s="4" t="s">
        <v>579</v>
      </c>
      <c r="T33" s="4"/>
      <c r="U33" s="4" t="s">
        <v>380</v>
      </c>
      <c r="V33" s="4"/>
      <c r="W33" s="4"/>
      <c r="X33" s="4" t="s">
        <v>78</v>
      </c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>
        <v>80.099999999999994</v>
      </c>
      <c r="AY33" s="4"/>
      <c r="AZ33" s="22">
        <v>117</v>
      </c>
      <c r="BA33" s="4"/>
      <c r="BB33" s="4"/>
      <c r="BC33" s="18">
        <v>26.7</v>
      </c>
      <c r="BD33" s="18">
        <v>1010</v>
      </c>
      <c r="BE33" s="18">
        <v>46.7</v>
      </c>
      <c r="BF33" s="4"/>
      <c r="BG33" s="4"/>
      <c r="BH33" s="4"/>
      <c r="BM33"/>
    </row>
    <row r="34" spans="1:65" x14ac:dyDescent="0.3">
      <c r="A34" s="2" t="s">
        <v>13</v>
      </c>
      <c r="B34" s="59" t="s">
        <v>17</v>
      </c>
      <c r="C34" s="3">
        <v>45232</v>
      </c>
      <c r="D34" s="8">
        <v>3</v>
      </c>
      <c r="E34" s="3" t="s">
        <v>176</v>
      </c>
      <c r="F34" s="2" t="s">
        <v>213</v>
      </c>
      <c r="G34" s="7">
        <v>0.16739999999999999</v>
      </c>
      <c r="H34" s="7">
        <v>3.5000000000000001E-3</v>
      </c>
      <c r="I34" s="7">
        <v>1.2755000000000001</v>
      </c>
      <c r="L34" s="7">
        <v>0.16889999999999999</v>
      </c>
      <c r="O34" s="7">
        <v>64.5</v>
      </c>
      <c r="P34" s="7">
        <v>584</v>
      </c>
      <c r="Q34" s="7">
        <v>750</v>
      </c>
      <c r="R34" s="4" t="s">
        <v>89</v>
      </c>
      <c r="S34" s="4" t="s">
        <v>579</v>
      </c>
      <c r="T34" s="4"/>
      <c r="U34" s="4" t="s">
        <v>225</v>
      </c>
      <c r="V34" s="4"/>
      <c r="W34" s="4"/>
      <c r="X34" s="4" t="s">
        <v>78</v>
      </c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>
        <v>78.5</v>
      </c>
      <c r="AY34" s="4"/>
      <c r="AZ34" s="4">
        <v>111.6</v>
      </c>
      <c r="BA34" s="4"/>
      <c r="BB34" s="4"/>
      <c r="BC34" s="18">
        <v>26.7</v>
      </c>
      <c r="BD34" s="18">
        <v>1010</v>
      </c>
      <c r="BE34" s="18">
        <v>46.7</v>
      </c>
      <c r="BF34" s="4"/>
      <c r="BG34" s="4"/>
      <c r="BH34" s="4"/>
      <c r="BM34"/>
    </row>
    <row r="35" spans="1:65" x14ac:dyDescent="0.3">
      <c r="A35" s="2" t="s">
        <v>13</v>
      </c>
      <c r="B35" s="59" t="s">
        <v>17</v>
      </c>
      <c r="C35" s="3">
        <v>45232</v>
      </c>
      <c r="D35" s="8">
        <v>4</v>
      </c>
      <c r="E35" s="3" t="s">
        <v>177</v>
      </c>
      <c r="F35" s="2" t="s">
        <v>213</v>
      </c>
      <c r="G35" s="52"/>
      <c r="H35" s="52"/>
      <c r="I35" s="7">
        <v>1.2755000000000001</v>
      </c>
      <c r="L35" s="7">
        <v>0.16839999999999999</v>
      </c>
      <c r="O35" s="7">
        <v>64.8</v>
      </c>
      <c r="P35" s="7">
        <v>609</v>
      </c>
      <c r="Q35" s="7">
        <v>750</v>
      </c>
      <c r="R35" s="4" t="s">
        <v>89</v>
      </c>
      <c r="S35" s="4" t="s">
        <v>579</v>
      </c>
      <c r="T35" s="4"/>
      <c r="U35" s="4" t="s">
        <v>573</v>
      </c>
      <c r="V35" s="4"/>
      <c r="W35" s="4"/>
      <c r="X35" s="4" t="s">
        <v>78</v>
      </c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>
        <v>85.3</v>
      </c>
      <c r="AY35" s="4"/>
      <c r="AZ35" s="22">
        <v>117</v>
      </c>
      <c r="BA35" s="4"/>
      <c r="BB35" s="4"/>
      <c r="BC35" s="18">
        <v>26.7</v>
      </c>
      <c r="BD35" s="18">
        <v>1010</v>
      </c>
      <c r="BE35" s="18">
        <v>46.7</v>
      </c>
      <c r="BF35" s="4"/>
      <c r="BG35" s="4"/>
      <c r="BH35" s="4"/>
      <c r="BM35"/>
    </row>
    <row r="36" spans="1:65" x14ac:dyDescent="0.3">
      <c r="A36" s="2" t="s">
        <v>13</v>
      </c>
      <c r="B36" s="59" t="s">
        <v>17</v>
      </c>
      <c r="C36" s="3">
        <v>45232</v>
      </c>
      <c r="D36" s="8">
        <v>5</v>
      </c>
      <c r="E36" s="3" t="s">
        <v>198</v>
      </c>
      <c r="F36" s="2" t="s">
        <v>213</v>
      </c>
      <c r="G36" s="7">
        <v>0.16719999999999999</v>
      </c>
      <c r="H36" s="7">
        <v>6.3E-3</v>
      </c>
      <c r="I36" s="7">
        <v>1.2755000000000001</v>
      </c>
      <c r="L36" s="7">
        <v>0.16980000000000001</v>
      </c>
      <c r="O36" s="7">
        <v>64.2</v>
      </c>
      <c r="P36" s="7">
        <v>600</v>
      </c>
      <c r="Q36" s="7">
        <v>750</v>
      </c>
      <c r="R36" s="4" t="s">
        <v>89</v>
      </c>
      <c r="S36" s="4" t="s">
        <v>579</v>
      </c>
      <c r="T36" s="4"/>
      <c r="U36" s="4" t="s">
        <v>380</v>
      </c>
      <c r="V36" s="4"/>
      <c r="W36" s="4"/>
      <c r="X36" s="4" t="s">
        <v>78</v>
      </c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>
        <v>74.8</v>
      </c>
      <c r="AY36" s="4"/>
      <c r="AZ36" s="4">
        <v>111.6</v>
      </c>
      <c r="BA36" s="4"/>
      <c r="BB36" s="4"/>
      <c r="BC36" s="18">
        <v>26.7</v>
      </c>
      <c r="BD36" s="18">
        <v>1010</v>
      </c>
      <c r="BE36" s="18">
        <v>46.7</v>
      </c>
      <c r="BF36" s="4"/>
      <c r="BG36" s="4"/>
      <c r="BH36" s="4"/>
      <c r="BM36"/>
    </row>
    <row r="37" spans="1:65" x14ac:dyDescent="0.3">
      <c r="A37" s="2" t="s">
        <v>13</v>
      </c>
      <c r="B37" s="59" t="s">
        <v>17</v>
      </c>
      <c r="C37" s="3">
        <v>45232</v>
      </c>
      <c r="D37" s="8">
        <v>6</v>
      </c>
      <c r="E37" s="3" t="s">
        <v>178</v>
      </c>
      <c r="F37" s="2" t="s">
        <v>213</v>
      </c>
      <c r="G37" s="7">
        <v>0.17050000000000001</v>
      </c>
      <c r="H37" s="7">
        <v>5.3E-3</v>
      </c>
      <c r="I37" s="7">
        <v>1.2755000000000001</v>
      </c>
      <c r="L37" s="7">
        <v>0.1691</v>
      </c>
      <c r="O37" s="7">
        <v>65.2</v>
      </c>
      <c r="P37" s="7">
        <v>590</v>
      </c>
      <c r="Q37" s="7">
        <v>750</v>
      </c>
      <c r="R37" s="4" t="s">
        <v>89</v>
      </c>
      <c r="S37" s="4" t="s">
        <v>579</v>
      </c>
      <c r="T37" s="4"/>
      <c r="U37" s="4" t="s">
        <v>225</v>
      </c>
      <c r="V37" s="4"/>
      <c r="W37" s="4"/>
      <c r="X37" s="4" t="s">
        <v>78</v>
      </c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>
        <v>79.900000000000006</v>
      </c>
      <c r="AY37" s="4"/>
      <c r="AZ37" s="22">
        <v>117</v>
      </c>
      <c r="BA37" s="4"/>
      <c r="BB37" s="4"/>
      <c r="BC37" s="18">
        <v>26.7</v>
      </c>
      <c r="BD37" s="18">
        <v>1010</v>
      </c>
      <c r="BE37" s="18">
        <v>46.7</v>
      </c>
      <c r="BF37" s="4"/>
      <c r="BG37" s="4"/>
      <c r="BH37" s="4"/>
      <c r="BM37"/>
    </row>
    <row r="38" spans="1:65" x14ac:dyDescent="0.3">
      <c r="A38" s="2" t="s">
        <v>13</v>
      </c>
      <c r="B38" s="59" t="s">
        <v>17</v>
      </c>
      <c r="C38" s="3">
        <v>45232</v>
      </c>
      <c r="D38" s="8">
        <v>7</v>
      </c>
      <c r="E38" s="3" t="s">
        <v>179</v>
      </c>
      <c r="F38" s="2" t="s">
        <v>213</v>
      </c>
      <c r="G38" s="7">
        <v>0.16789999999999999</v>
      </c>
      <c r="H38" s="7">
        <v>2.3E-3</v>
      </c>
      <c r="I38" s="7">
        <v>1.2755000000000001</v>
      </c>
      <c r="L38" s="7">
        <v>0.1699</v>
      </c>
      <c r="O38" s="7">
        <v>65.2</v>
      </c>
      <c r="P38" s="7">
        <v>605</v>
      </c>
      <c r="Q38" s="7">
        <v>750</v>
      </c>
      <c r="R38" s="4" t="s">
        <v>89</v>
      </c>
      <c r="S38" s="4" t="s">
        <v>579</v>
      </c>
      <c r="T38" s="4"/>
      <c r="U38" s="4" t="s">
        <v>573</v>
      </c>
      <c r="V38" s="4"/>
      <c r="W38" s="4"/>
      <c r="X38" s="4" t="s">
        <v>78</v>
      </c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>
        <v>85.3</v>
      </c>
      <c r="AY38" s="4"/>
      <c r="AZ38" s="22">
        <v>117</v>
      </c>
      <c r="BA38" s="4"/>
      <c r="BB38" s="4"/>
      <c r="BC38" s="18">
        <v>26.7</v>
      </c>
      <c r="BD38" s="18">
        <v>1010</v>
      </c>
      <c r="BE38" s="18">
        <v>46.7</v>
      </c>
      <c r="BF38" s="4"/>
      <c r="BG38" s="4"/>
      <c r="BH38" s="4"/>
      <c r="BI38" s="7"/>
      <c r="BM38"/>
    </row>
    <row r="39" spans="1:65" x14ac:dyDescent="0.3">
      <c r="A39" s="2" t="s">
        <v>13</v>
      </c>
      <c r="B39" s="59" t="s">
        <v>28</v>
      </c>
      <c r="C39" s="3">
        <v>45232</v>
      </c>
      <c r="D39" s="8">
        <v>1</v>
      </c>
      <c r="E39" s="3" t="s">
        <v>187</v>
      </c>
      <c r="F39" s="2" t="s">
        <v>213</v>
      </c>
      <c r="G39" s="7">
        <v>0.15620000000000001</v>
      </c>
      <c r="H39" s="7">
        <v>2.7000000000000001E-3</v>
      </c>
      <c r="I39" s="7">
        <v>1.26</v>
      </c>
      <c r="L39" s="7">
        <v>0.15770000000000001</v>
      </c>
      <c r="O39" s="7">
        <v>65.5</v>
      </c>
      <c r="P39" s="7">
        <v>595</v>
      </c>
      <c r="Q39" s="7">
        <v>750</v>
      </c>
      <c r="R39" s="4" t="s">
        <v>15</v>
      </c>
      <c r="S39" s="4" t="s">
        <v>579</v>
      </c>
      <c r="T39" s="4"/>
      <c r="U39" s="4" t="s">
        <v>573</v>
      </c>
      <c r="V39" s="4"/>
      <c r="W39" s="4"/>
      <c r="X39" s="4" t="s">
        <v>78</v>
      </c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>
        <v>79.900000000000006</v>
      </c>
      <c r="AY39" s="4"/>
      <c r="AZ39" s="4">
        <v>111.6</v>
      </c>
      <c r="BA39" s="4"/>
      <c r="BB39" s="4"/>
      <c r="BC39" s="4">
        <v>24.8</v>
      </c>
      <c r="BD39" s="4">
        <v>1010</v>
      </c>
      <c r="BE39" s="57">
        <v>47</v>
      </c>
      <c r="BF39" s="57"/>
      <c r="BG39" s="4"/>
      <c r="BH39" s="4"/>
      <c r="BI39" s="7"/>
      <c r="BM39"/>
    </row>
    <row r="40" spans="1:65" x14ac:dyDescent="0.3">
      <c r="A40" s="2" t="s">
        <v>13</v>
      </c>
      <c r="B40" s="59" t="s">
        <v>28</v>
      </c>
      <c r="C40" s="3">
        <v>45232</v>
      </c>
      <c r="D40" s="8">
        <v>2</v>
      </c>
      <c r="E40" s="3" t="s">
        <v>188</v>
      </c>
      <c r="F40" s="2" t="s">
        <v>214</v>
      </c>
      <c r="G40" s="7">
        <v>0.1535</v>
      </c>
      <c r="H40" s="7">
        <v>3.5999999999999999E-3</v>
      </c>
      <c r="I40" s="7">
        <v>1.26</v>
      </c>
      <c r="L40" s="7">
        <v>0.15590000000000001</v>
      </c>
      <c r="O40" s="7">
        <v>65.2</v>
      </c>
      <c r="P40" s="7">
        <v>551</v>
      </c>
      <c r="Q40" s="7">
        <v>750</v>
      </c>
      <c r="R40" s="4" t="s">
        <v>15</v>
      </c>
      <c r="S40" s="4" t="s">
        <v>579</v>
      </c>
      <c r="T40" s="4"/>
      <c r="U40" s="4" t="s">
        <v>573</v>
      </c>
      <c r="V40" s="4"/>
      <c r="W40" s="4"/>
      <c r="X40" s="4" t="s">
        <v>78</v>
      </c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>
        <v>85.4</v>
      </c>
      <c r="AY40" s="4"/>
      <c r="AZ40" s="22">
        <v>117</v>
      </c>
      <c r="BA40" s="4"/>
      <c r="BB40" s="4"/>
      <c r="BC40" s="4">
        <v>24.8</v>
      </c>
      <c r="BD40" s="4">
        <v>1010</v>
      </c>
      <c r="BE40" s="57">
        <v>47</v>
      </c>
      <c r="BF40" s="57"/>
      <c r="BG40" s="4"/>
      <c r="BH40" s="4"/>
      <c r="BI40" s="7"/>
      <c r="BM40"/>
    </row>
    <row r="41" spans="1:65" x14ac:dyDescent="0.3">
      <c r="A41" s="2" t="s">
        <v>13</v>
      </c>
      <c r="B41" s="59" t="s">
        <v>28</v>
      </c>
      <c r="C41" s="3">
        <v>45232</v>
      </c>
      <c r="D41" s="8">
        <v>3</v>
      </c>
      <c r="E41" s="3" t="s">
        <v>189</v>
      </c>
      <c r="F41" s="2" t="s">
        <v>215</v>
      </c>
      <c r="G41" s="7">
        <v>0.15179999999999999</v>
      </c>
      <c r="H41" s="7">
        <v>2.5000000000000001E-3</v>
      </c>
      <c r="I41" s="7">
        <v>1.26</v>
      </c>
      <c r="L41" s="7">
        <v>0.15570000000000001</v>
      </c>
      <c r="O41" s="7">
        <v>65.2</v>
      </c>
      <c r="P41" s="7">
        <v>568</v>
      </c>
      <c r="Q41" s="7">
        <v>750</v>
      </c>
      <c r="R41" s="4" t="s">
        <v>15</v>
      </c>
      <c r="S41" s="4" t="s">
        <v>579</v>
      </c>
      <c r="T41" s="4"/>
      <c r="U41" s="4" t="s">
        <v>573</v>
      </c>
      <c r="V41" s="4"/>
      <c r="W41" s="4"/>
      <c r="X41" s="4" t="s">
        <v>78</v>
      </c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>
        <v>75.3</v>
      </c>
      <c r="AY41" s="4"/>
      <c r="AZ41" s="4">
        <v>111.6</v>
      </c>
      <c r="BA41" s="4"/>
      <c r="BB41" s="4"/>
      <c r="BC41" s="4">
        <v>24.8</v>
      </c>
      <c r="BD41" s="23">
        <v>1010</v>
      </c>
      <c r="BE41" s="57">
        <v>47</v>
      </c>
      <c r="BF41" s="74"/>
      <c r="BG41" s="4"/>
      <c r="BH41" s="4"/>
      <c r="BI41" s="7"/>
      <c r="BM41"/>
    </row>
    <row r="42" spans="1:65" x14ac:dyDescent="0.3">
      <c r="A42" s="2" t="s">
        <v>13</v>
      </c>
      <c r="B42" s="59" t="s">
        <v>28</v>
      </c>
      <c r="C42" s="3">
        <v>45232</v>
      </c>
      <c r="D42" s="8">
        <v>4</v>
      </c>
      <c r="E42" s="3" t="s">
        <v>190</v>
      </c>
      <c r="F42" s="2" t="s">
        <v>213</v>
      </c>
      <c r="G42" s="7">
        <v>0.158</v>
      </c>
      <c r="H42" s="7">
        <v>3.3999999999999998E-3</v>
      </c>
      <c r="I42" s="7">
        <v>1.26</v>
      </c>
      <c r="L42" s="7">
        <v>0.16070000000000001</v>
      </c>
      <c r="O42" s="7">
        <v>65.2</v>
      </c>
      <c r="P42" s="7">
        <v>588</v>
      </c>
      <c r="Q42" s="7">
        <v>750</v>
      </c>
      <c r="R42" s="4" t="s">
        <v>15</v>
      </c>
      <c r="S42" s="4" t="s">
        <v>579</v>
      </c>
      <c r="T42" s="4"/>
      <c r="U42" s="4" t="s">
        <v>573</v>
      </c>
      <c r="V42" s="4"/>
      <c r="W42" s="4"/>
      <c r="X42" s="4" t="s">
        <v>78</v>
      </c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>
        <v>79.8</v>
      </c>
      <c r="AY42" s="4"/>
      <c r="AZ42" s="4">
        <v>111.6</v>
      </c>
      <c r="BA42" s="4"/>
      <c r="BB42" s="4"/>
      <c r="BC42" s="4">
        <v>24.8</v>
      </c>
      <c r="BD42" s="23">
        <v>1010</v>
      </c>
      <c r="BE42" s="57">
        <v>47</v>
      </c>
      <c r="BF42" s="74"/>
      <c r="BG42" s="4"/>
      <c r="BH42" s="4"/>
      <c r="BI42" s="7"/>
      <c r="BM42"/>
    </row>
    <row r="43" spans="1:65" x14ac:dyDescent="0.3">
      <c r="A43" s="2" t="s">
        <v>13</v>
      </c>
      <c r="B43" s="59" t="s">
        <v>28</v>
      </c>
      <c r="C43" s="3">
        <v>45232</v>
      </c>
      <c r="D43" s="8">
        <v>5</v>
      </c>
      <c r="E43" s="3" t="s">
        <v>191</v>
      </c>
      <c r="F43" s="2" t="s">
        <v>214</v>
      </c>
      <c r="G43" s="7">
        <v>0.15340000000000001</v>
      </c>
      <c r="H43" s="7">
        <v>5.4999999999999997E-3</v>
      </c>
      <c r="I43" s="7">
        <v>1.26</v>
      </c>
      <c r="L43" s="7">
        <v>0.15529999999999999</v>
      </c>
      <c r="O43" s="7">
        <v>64.7</v>
      </c>
      <c r="P43" s="7">
        <v>546</v>
      </c>
      <c r="Q43" s="7">
        <v>750</v>
      </c>
      <c r="R43" s="4" t="s">
        <v>15</v>
      </c>
      <c r="S43" s="4" t="s">
        <v>579</v>
      </c>
      <c r="T43" s="4"/>
      <c r="U43" s="4" t="s">
        <v>573</v>
      </c>
      <c r="V43" s="4"/>
      <c r="W43" s="4"/>
      <c r="X43" s="4" t="s">
        <v>78</v>
      </c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>
        <v>85.2</v>
      </c>
      <c r="AY43" s="4"/>
      <c r="AZ43" s="22">
        <v>117</v>
      </c>
      <c r="BA43" s="4"/>
      <c r="BB43" s="4"/>
      <c r="BC43" s="4">
        <v>24.8</v>
      </c>
      <c r="BD43" s="23">
        <v>1010</v>
      </c>
      <c r="BE43" s="57">
        <v>47</v>
      </c>
      <c r="BF43" s="74"/>
      <c r="BG43" s="4"/>
      <c r="BH43" s="4"/>
      <c r="BI43" s="7"/>
      <c r="BM43"/>
    </row>
    <row r="44" spans="1:65" x14ac:dyDescent="0.3">
      <c r="A44" s="2" t="s">
        <v>13</v>
      </c>
      <c r="B44" s="59" t="s">
        <v>28</v>
      </c>
      <c r="C44" s="3">
        <v>45232</v>
      </c>
      <c r="D44" s="8">
        <v>6</v>
      </c>
      <c r="E44" s="3" t="s">
        <v>192</v>
      </c>
      <c r="F44" s="2" t="s">
        <v>215</v>
      </c>
      <c r="G44" s="7">
        <v>0.15279999999999999</v>
      </c>
      <c r="H44" s="7">
        <v>1.2999999999999999E-3</v>
      </c>
      <c r="I44" s="7">
        <v>1.26</v>
      </c>
      <c r="L44" s="7">
        <v>0.15540000000000001</v>
      </c>
      <c r="O44" s="7">
        <v>65.400000000000006</v>
      </c>
      <c r="P44" s="7">
        <v>553</v>
      </c>
      <c r="Q44" s="7">
        <v>750</v>
      </c>
      <c r="R44" s="4" t="s">
        <v>15</v>
      </c>
      <c r="S44" s="4" t="s">
        <v>579</v>
      </c>
      <c r="T44" s="4"/>
      <c r="U44" s="4" t="s">
        <v>573</v>
      </c>
      <c r="V44" s="4"/>
      <c r="W44" s="4"/>
      <c r="X44" s="4" t="s">
        <v>78</v>
      </c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>
        <v>75.2</v>
      </c>
      <c r="AY44" s="4"/>
      <c r="AZ44" s="4">
        <v>111.6</v>
      </c>
      <c r="BA44" s="4"/>
      <c r="BB44" s="4"/>
      <c r="BC44" s="4">
        <v>24.8</v>
      </c>
      <c r="BD44" s="23">
        <v>1010</v>
      </c>
      <c r="BE44" s="57">
        <v>47</v>
      </c>
      <c r="BF44" s="74"/>
      <c r="BG44" s="4"/>
      <c r="BH44" s="13" t="s">
        <v>97</v>
      </c>
      <c r="BI44" s="7"/>
      <c r="BM44"/>
    </row>
    <row r="45" spans="1:65" x14ac:dyDescent="0.3">
      <c r="A45" s="2" t="s">
        <v>13</v>
      </c>
      <c r="B45" s="59" t="s">
        <v>17</v>
      </c>
      <c r="C45" s="3">
        <v>45236</v>
      </c>
      <c r="D45" s="8">
        <v>1</v>
      </c>
      <c r="E45" s="3" t="s">
        <v>202</v>
      </c>
      <c r="F45" s="2" t="s">
        <v>213</v>
      </c>
      <c r="G45" s="18">
        <v>0.16750000000000001</v>
      </c>
      <c r="H45" s="18">
        <v>2.3999999999999998E-3</v>
      </c>
      <c r="I45" s="7">
        <v>1.2609999999999999</v>
      </c>
      <c r="J45" s="7">
        <v>502</v>
      </c>
      <c r="K45" s="7">
        <v>0.16700000000000001</v>
      </c>
      <c r="L45" s="7">
        <v>0.16600000000000001</v>
      </c>
      <c r="O45" s="7">
        <v>63.3</v>
      </c>
      <c r="P45" s="7">
        <v>559</v>
      </c>
      <c r="Q45" s="7">
        <v>750</v>
      </c>
      <c r="R45" s="4" t="s">
        <v>89</v>
      </c>
      <c r="S45" s="4" t="s">
        <v>579</v>
      </c>
      <c r="T45" s="4"/>
      <c r="U45" s="4" t="s">
        <v>380</v>
      </c>
      <c r="V45" s="4"/>
      <c r="W45" s="4"/>
      <c r="X45" s="4" t="s">
        <v>78</v>
      </c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>
        <v>79.400000000000006</v>
      </c>
      <c r="AY45" s="4"/>
      <c r="AZ45" s="4">
        <v>111.6</v>
      </c>
      <c r="BA45" s="4"/>
      <c r="BB45" s="4"/>
      <c r="BC45" s="4">
        <v>26.1</v>
      </c>
      <c r="BD45" s="23">
        <v>1009</v>
      </c>
      <c r="BE45" s="57">
        <v>45.2</v>
      </c>
      <c r="BF45" s="74"/>
      <c r="BG45" s="4"/>
      <c r="BH45" s="4"/>
      <c r="BI45" s="7"/>
      <c r="BM45"/>
    </row>
    <row r="46" spans="1:65" x14ac:dyDescent="0.3">
      <c r="A46" s="2" t="s">
        <v>13</v>
      </c>
      <c r="B46" s="59" t="s">
        <v>17</v>
      </c>
      <c r="C46" s="3">
        <v>45236</v>
      </c>
      <c r="D46" s="8">
        <v>2</v>
      </c>
      <c r="E46" s="3" t="s">
        <v>203</v>
      </c>
      <c r="F46" s="2" t="s">
        <v>213</v>
      </c>
      <c r="G46" s="7">
        <v>0.1656</v>
      </c>
      <c r="H46" s="7">
        <v>2.8E-3</v>
      </c>
      <c r="I46" s="7">
        <v>1.2609999999999999</v>
      </c>
      <c r="J46" s="7">
        <v>502</v>
      </c>
      <c r="K46" s="7">
        <v>0.17</v>
      </c>
      <c r="L46" s="7">
        <v>0.1696</v>
      </c>
      <c r="O46" s="7">
        <v>63.1</v>
      </c>
      <c r="P46" s="7">
        <v>563</v>
      </c>
      <c r="Q46" s="7">
        <v>750</v>
      </c>
      <c r="R46" s="4" t="s">
        <v>565</v>
      </c>
      <c r="S46" s="4" t="s">
        <v>579</v>
      </c>
      <c r="T46" s="4"/>
      <c r="U46" s="4" t="s">
        <v>380</v>
      </c>
      <c r="V46" s="4"/>
      <c r="W46" s="4"/>
      <c r="X46" s="4" t="s">
        <v>78</v>
      </c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>
        <v>84.8</v>
      </c>
      <c r="AY46" s="4"/>
      <c r="AZ46" s="22">
        <v>117</v>
      </c>
      <c r="BA46" s="4"/>
      <c r="BB46" s="4"/>
      <c r="BC46" s="4">
        <v>26.1</v>
      </c>
      <c r="BD46" s="23">
        <v>1009</v>
      </c>
      <c r="BE46" s="57">
        <v>45.2</v>
      </c>
      <c r="BF46" s="74"/>
      <c r="BG46" s="4"/>
      <c r="BH46" s="4"/>
      <c r="BI46" s="7"/>
      <c r="BM46"/>
    </row>
    <row r="47" spans="1:65" x14ac:dyDescent="0.3">
      <c r="A47" s="2" t="s">
        <v>13</v>
      </c>
      <c r="B47" s="59" t="s">
        <v>17</v>
      </c>
      <c r="C47" s="3">
        <v>45236</v>
      </c>
      <c r="D47" s="8">
        <v>3</v>
      </c>
      <c r="E47" s="3" t="s">
        <v>204</v>
      </c>
      <c r="F47" s="2" t="s">
        <v>213</v>
      </c>
      <c r="G47" s="7">
        <v>0.16969999999999999</v>
      </c>
      <c r="H47" s="7">
        <v>2.8999999999999998E-3</v>
      </c>
      <c r="I47" s="7">
        <v>1.2609999999999999</v>
      </c>
      <c r="J47" s="7">
        <v>502</v>
      </c>
      <c r="L47" s="7">
        <v>0.1701</v>
      </c>
      <c r="O47" s="7">
        <v>63.3</v>
      </c>
      <c r="P47" s="7">
        <v>569</v>
      </c>
      <c r="Q47" s="7">
        <v>750</v>
      </c>
      <c r="R47" s="4" t="s">
        <v>566</v>
      </c>
      <c r="S47" s="4" t="s">
        <v>579</v>
      </c>
      <c r="T47" s="4"/>
      <c r="U47" s="4" t="s">
        <v>380</v>
      </c>
      <c r="V47" s="4"/>
      <c r="W47" s="4"/>
      <c r="X47" s="4" t="s">
        <v>78</v>
      </c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>
        <v>75</v>
      </c>
      <c r="AY47" s="4"/>
      <c r="AZ47" s="4">
        <v>111.6</v>
      </c>
      <c r="BA47" s="4"/>
      <c r="BB47" s="4"/>
      <c r="BC47" s="4">
        <v>26.1</v>
      </c>
      <c r="BD47" s="23">
        <v>1009</v>
      </c>
      <c r="BE47" s="57">
        <v>45.2</v>
      </c>
      <c r="BF47" s="74"/>
      <c r="BG47" s="4"/>
      <c r="BH47" s="4"/>
      <c r="BI47" s="7"/>
      <c r="BM47"/>
    </row>
    <row r="48" spans="1:65" x14ac:dyDescent="0.3">
      <c r="A48" s="2" t="s">
        <v>13</v>
      </c>
      <c r="B48" s="59" t="s">
        <v>17</v>
      </c>
      <c r="C48" s="3">
        <v>45236</v>
      </c>
      <c r="D48" s="8">
        <v>4</v>
      </c>
      <c r="E48" s="3" t="s">
        <v>205</v>
      </c>
      <c r="F48" s="2" t="s">
        <v>213</v>
      </c>
      <c r="G48" s="7">
        <v>0.17119999999999999</v>
      </c>
      <c r="H48" s="7">
        <v>3.8999999999999998E-3</v>
      </c>
      <c r="I48" s="7">
        <v>1.2609999999999999</v>
      </c>
      <c r="J48" s="7">
        <v>502</v>
      </c>
      <c r="L48" s="7">
        <v>0.16919999999999999</v>
      </c>
      <c r="O48" s="7">
        <v>63.6</v>
      </c>
      <c r="P48" s="7">
        <v>571</v>
      </c>
      <c r="Q48" s="7">
        <v>750</v>
      </c>
      <c r="R48" s="4" t="s">
        <v>565</v>
      </c>
      <c r="S48" s="4" t="s">
        <v>579</v>
      </c>
      <c r="T48" s="4"/>
      <c r="U48" s="4" t="s">
        <v>380</v>
      </c>
      <c r="V48" s="4"/>
      <c r="W48" s="4"/>
      <c r="X48" s="4" t="s">
        <v>78</v>
      </c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>
        <v>79.3</v>
      </c>
      <c r="AY48" s="4"/>
      <c r="AZ48" s="4">
        <v>111.6</v>
      </c>
      <c r="BA48" s="4"/>
      <c r="BB48" s="4"/>
      <c r="BC48" s="4">
        <v>26.4</v>
      </c>
      <c r="BD48" s="23">
        <v>1008</v>
      </c>
      <c r="BE48" s="57">
        <v>44.4</v>
      </c>
      <c r="BF48" s="74"/>
      <c r="BG48" s="4"/>
      <c r="BH48" s="4"/>
      <c r="BI48" s="7"/>
      <c r="BM48"/>
    </row>
    <row r="49" spans="1:65" x14ac:dyDescent="0.3">
      <c r="A49" s="2" t="s">
        <v>13</v>
      </c>
      <c r="B49" s="59" t="s">
        <v>17</v>
      </c>
      <c r="C49" s="3">
        <v>45236</v>
      </c>
      <c r="D49" s="8">
        <v>5</v>
      </c>
      <c r="E49" s="3" t="s">
        <v>206</v>
      </c>
      <c r="F49" s="2" t="s">
        <v>213</v>
      </c>
      <c r="G49" s="7">
        <v>0.1678</v>
      </c>
      <c r="H49" s="7">
        <v>3.5000000000000001E-3</v>
      </c>
      <c r="I49" s="7">
        <v>1.2609999999999999</v>
      </c>
      <c r="J49" s="7">
        <v>502</v>
      </c>
      <c r="L49" s="7">
        <v>0.1699</v>
      </c>
      <c r="O49" s="7">
        <v>63.7</v>
      </c>
      <c r="P49" s="7">
        <v>577</v>
      </c>
      <c r="Q49" s="7">
        <v>750</v>
      </c>
      <c r="R49" s="4" t="s">
        <v>89</v>
      </c>
      <c r="S49" s="4" t="s">
        <v>579</v>
      </c>
      <c r="T49" s="4"/>
      <c r="U49" s="4" t="s">
        <v>380</v>
      </c>
      <c r="V49" s="4"/>
      <c r="W49" s="4"/>
      <c r="X49" s="4" t="s">
        <v>78</v>
      </c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>
        <v>75.599999999999994</v>
      </c>
      <c r="AY49" s="4"/>
      <c r="AZ49" s="4">
        <v>111.6</v>
      </c>
      <c r="BA49" s="4"/>
      <c r="BB49" s="4"/>
      <c r="BC49" s="16">
        <v>25.5</v>
      </c>
      <c r="BD49" s="17">
        <v>1012</v>
      </c>
      <c r="BE49" s="16">
        <v>39.4</v>
      </c>
      <c r="BF49" s="74"/>
      <c r="BG49" s="4"/>
      <c r="BH49" s="4"/>
      <c r="BI49" s="7"/>
      <c r="BM49"/>
    </row>
    <row r="50" spans="1:65" x14ac:dyDescent="0.3">
      <c r="A50" s="2" t="s">
        <v>13</v>
      </c>
      <c r="B50" s="59" t="s">
        <v>17</v>
      </c>
      <c r="C50" s="3">
        <v>45236</v>
      </c>
      <c r="D50" s="8">
        <v>6</v>
      </c>
      <c r="E50" s="3" t="s">
        <v>207</v>
      </c>
      <c r="F50" s="2" t="s">
        <v>213</v>
      </c>
      <c r="G50" s="7">
        <v>0.16850000000000001</v>
      </c>
      <c r="H50" s="7">
        <v>3.3E-3</v>
      </c>
      <c r="I50" s="7">
        <v>1.2609999999999999</v>
      </c>
      <c r="J50" s="7">
        <v>502</v>
      </c>
      <c r="L50" s="7">
        <v>0.1686</v>
      </c>
      <c r="O50" s="7">
        <v>64.2</v>
      </c>
      <c r="P50" s="7">
        <v>571</v>
      </c>
      <c r="Q50" s="7">
        <v>750</v>
      </c>
      <c r="R50" s="4" t="s">
        <v>565</v>
      </c>
      <c r="S50" s="4" t="s">
        <v>579</v>
      </c>
      <c r="T50" s="4"/>
      <c r="U50" s="4" t="s">
        <v>380</v>
      </c>
      <c r="V50" s="4"/>
      <c r="W50" s="4"/>
      <c r="X50" s="4" t="s">
        <v>78</v>
      </c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>
        <v>84.4</v>
      </c>
      <c r="AY50" s="4"/>
      <c r="AZ50" s="4">
        <v>120.6</v>
      </c>
      <c r="BA50" s="4"/>
      <c r="BB50" s="4"/>
      <c r="BC50" s="16">
        <v>25.5</v>
      </c>
      <c r="BD50" s="16">
        <v>1012</v>
      </c>
      <c r="BE50" s="16">
        <v>39.4</v>
      </c>
      <c r="BF50" s="63"/>
      <c r="BG50" s="4"/>
      <c r="BH50" s="4"/>
      <c r="BI50" s="7"/>
      <c r="BM50"/>
    </row>
    <row r="51" spans="1:65" x14ac:dyDescent="0.3">
      <c r="A51" s="2" t="s">
        <v>13</v>
      </c>
      <c r="B51" s="59" t="s">
        <v>17</v>
      </c>
      <c r="C51" s="3">
        <v>45236</v>
      </c>
      <c r="D51" s="8">
        <v>7</v>
      </c>
      <c r="E51" s="3" t="s">
        <v>274</v>
      </c>
      <c r="F51" s="2" t="s">
        <v>213</v>
      </c>
      <c r="G51" s="7">
        <v>0.16539999999999999</v>
      </c>
      <c r="H51" s="7">
        <v>1.6999999999999999E-3</v>
      </c>
      <c r="I51" s="7">
        <v>1.2609999999999999</v>
      </c>
      <c r="J51" s="7">
        <v>502</v>
      </c>
      <c r="L51" s="7">
        <v>0.16869999999999999</v>
      </c>
      <c r="O51" s="7">
        <v>63.4</v>
      </c>
      <c r="P51" s="7">
        <v>567</v>
      </c>
      <c r="Q51" s="7">
        <v>750</v>
      </c>
      <c r="R51" s="4" t="s">
        <v>566</v>
      </c>
      <c r="S51" s="4" t="s">
        <v>579</v>
      </c>
      <c r="T51" s="4"/>
      <c r="U51" s="4" t="s">
        <v>380</v>
      </c>
      <c r="V51" s="4"/>
      <c r="W51" s="4"/>
      <c r="X51" s="4" t="s">
        <v>78</v>
      </c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>
        <v>70.5</v>
      </c>
      <c r="AY51" s="4"/>
      <c r="AZ51" s="4">
        <v>111.6</v>
      </c>
      <c r="BA51" s="4"/>
      <c r="BB51" s="4"/>
      <c r="BC51" s="16">
        <v>25.5</v>
      </c>
      <c r="BD51" s="16">
        <v>1012</v>
      </c>
      <c r="BE51" s="16">
        <v>39.4</v>
      </c>
      <c r="BF51" s="63"/>
      <c r="BG51" s="4"/>
      <c r="BH51" s="4"/>
      <c r="BI51" s="7"/>
      <c r="BM51"/>
    </row>
    <row r="52" spans="1:65" x14ac:dyDescent="0.3">
      <c r="A52" s="2" t="s">
        <v>13</v>
      </c>
      <c r="B52" s="59" t="s">
        <v>17</v>
      </c>
      <c r="C52" s="3">
        <v>45236</v>
      </c>
      <c r="D52" s="8">
        <v>8</v>
      </c>
      <c r="E52" s="3" t="s">
        <v>275</v>
      </c>
      <c r="F52" s="2" t="s">
        <v>213</v>
      </c>
      <c r="G52" s="7">
        <v>0.16739999999999999</v>
      </c>
      <c r="H52" s="7">
        <v>4.1999999999999997E-3</v>
      </c>
      <c r="I52" s="7">
        <v>1.2609999999999999</v>
      </c>
      <c r="J52" s="7">
        <v>502</v>
      </c>
      <c r="L52" s="7">
        <v>0.1704</v>
      </c>
      <c r="O52" s="7">
        <v>63.5</v>
      </c>
      <c r="P52" s="7">
        <v>567</v>
      </c>
      <c r="Q52" s="7">
        <v>750</v>
      </c>
      <c r="R52" s="4" t="s">
        <v>565</v>
      </c>
      <c r="S52" s="4" t="s">
        <v>579</v>
      </c>
      <c r="T52" s="4"/>
      <c r="U52" s="4" t="s">
        <v>380</v>
      </c>
      <c r="V52" s="4"/>
      <c r="W52" s="4"/>
      <c r="X52" s="4" t="s">
        <v>78</v>
      </c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>
        <v>72.3</v>
      </c>
      <c r="AY52" s="4"/>
      <c r="AZ52" s="4">
        <v>111.6</v>
      </c>
      <c r="BA52" s="4"/>
      <c r="BB52" s="4"/>
      <c r="BC52" s="16">
        <v>25.5</v>
      </c>
      <c r="BD52" s="16">
        <v>1012</v>
      </c>
      <c r="BE52" s="16">
        <v>39.4</v>
      </c>
      <c r="BF52" s="63"/>
      <c r="BG52" s="4"/>
      <c r="BH52" s="4"/>
      <c r="BI52" s="7"/>
      <c r="BM52"/>
    </row>
    <row r="53" spans="1:65" x14ac:dyDescent="0.3">
      <c r="A53" s="2" t="s">
        <v>13</v>
      </c>
      <c r="B53" s="59" t="s">
        <v>17</v>
      </c>
      <c r="C53" s="3">
        <v>45239</v>
      </c>
      <c r="D53" s="8">
        <v>1</v>
      </c>
      <c r="E53" s="3" t="s">
        <v>325</v>
      </c>
      <c r="F53" s="2" t="s">
        <v>213</v>
      </c>
      <c r="G53" s="7">
        <v>0.17219999999999999</v>
      </c>
      <c r="H53" s="7">
        <v>6.8999999999999999E-3</v>
      </c>
      <c r="I53" s="7">
        <v>1.2515000000000001</v>
      </c>
      <c r="J53" s="7">
        <v>504</v>
      </c>
      <c r="L53" s="7">
        <v>0.17199999999999999</v>
      </c>
      <c r="O53" s="7">
        <v>66.5</v>
      </c>
      <c r="P53" s="7">
        <v>614</v>
      </c>
      <c r="Q53" s="7">
        <v>750</v>
      </c>
      <c r="R53" s="4" t="s">
        <v>15</v>
      </c>
      <c r="S53" s="4" t="s">
        <v>579</v>
      </c>
      <c r="T53" s="4"/>
      <c r="U53" s="4" t="s">
        <v>573</v>
      </c>
      <c r="V53" s="4"/>
      <c r="W53" s="4"/>
      <c r="X53" s="4" t="s">
        <v>78</v>
      </c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>
        <v>70.099999999999994</v>
      </c>
      <c r="AY53" s="4"/>
      <c r="AZ53" s="4">
        <v>111.6</v>
      </c>
      <c r="BA53" s="4"/>
      <c r="BB53" s="4"/>
      <c r="BC53" s="16">
        <v>26.5</v>
      </c>
      <c r="BD53" s="70">
        <v>1011</v>
      </c>
      <c r="BE53" s="16">
        <v>40</v>
      </c>
      <c r="BF53" s="69"/>
      <c r="BG53" s="4"/>
      <c r="BH53" s="13" t="s">
        <v>101</v>
      </c>
      <c r="BI53" s="7"/>
      <c r="BM53"/>
    </row>
    <row r="54" spans="1:65" x14ac:dyDescent="0.3">
      <c r="A54" s="2" t="s">
        <v>13</v>
      </c>
      <c r="B54" s="59" t="s">
        <v>17</v>
      </c>
      <c r="C54" s="3">
        <v>45239</v>
      </c>
      <c r="D54" s="8">
        <v>3</v>
      </c>
      <c r="E54" s="3" t="s">
        <v>327</v>
      </c>
      <c r="F54" s="2" t="s">
        <v>213</v>
      </c>
      <c r="G54" s="7">
        <v>0.1691</v>
      </c>
      <c r="H54" s="7">
        <v>3.8E-3</v>
      </c>
      <c r="I54" s="7">
        <v>1.2515000000000001</v>
      </c>
      <c r="J54" s="7">
        <v>504</v>
      </c>
      <c r="L54" s="7">
        <v>0.16930000000000001</v>
      </c>
      <c r="O54" s="7">
        <v>65.2</v>
      </c>
      <c r="P54" s="7">
        <v>609</v>
      </c>
      <c r="Q54" s="7">
        <v>750</v>
      </c>
      <c r="R54" s="4" t="s">
        <v>15</v>
      </c>
      <c r="S54" s="4" t="s">
        <v>579</v>
      </c>
      <c r="T54" s="4"/>
      <c r="U54" s="4" t="s">
        <v>573</v>
      </c>
      <c r="V54" s="4"/>
      <c r="W54" s="4"/>
      <c r="X54" s="4" t="s">
        <v>78</v>
      </c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>
        <v>75.5</v>
      </c>
      <c r="AY54" s="4"/>
      <c r="AZ54" s="4">
        <v>111.6</v>
      </c>
      <c r="BA54" s="4"/>
      <c r="BB54" s="4"/>
      <c r="BC54" s="16">
        <v>26.7</v>
      </c>
      <c r="BD54" s="70">
        <v>1011</v>
      </c>
      <c r="BE54" s="16">
        <v>39.6</v>
      </c>
      <c r="BF54" s="69"/>
      <c r="BG54" s="4"/>
      <c r="BH54" s="4"/>
      <c r="BI54" s="7"/>
      <c r="BM54"/>
    </row>
    <row r="55" spans="1:65" x14ac:dyDescent="0.3">
      <c r="A55" s="2" t="s">
        <v>13</v>
      </c>
      <c r="B55" s="59" t="s">
        <v>17</v>
      </c>
      <c r="C55" s="3">
        <v>45239</v>
      </c>
      <c r="D55" s="8">
        <v>5</v>
      </c>
      <c r="E55" s="3" t="s">
        <v>329</v>
      </c>
      <c r="F55" s="2" t="s">
        <v>213</v>
      </c>
      <c r="G55" s="7">
        <v>0.17080000000000001</v>
      </c>
      <c r="H55" s="7">
        <v>2.0999999999999999E-3</v>
      </c>
      <c r="I55" s="7">
        <v>1.2515000000000001</v>
      </c>
      <c r="J55" s="7">
        <v>504</v>
      </c>
      <c r="L55" s="7">
        <v>0.1711</v>
      </c>
      <c r="O55" s="7">
        <v>65.400000000000006</v>
      </c>
      <c r="P55" s="7">
        <v>605</v>
      </c>
      <c r="Q55" s="7">
        <v>750</v>
      </c>
      <c r="R55" s="4" t="s">
        <v>15</v>
      </c>
      <c r="S55" s="4" t="s">
        <v>579</v>
      </c>
      <c r="T55" s="4"/>
      <c r="U55" s="4" t="s">
        <v>573</v>
      </c>
      <c r="V55" s="4"/>
      <c r="W55" s="4"/>
      <c r="X55" s="4" t="s">
        <v>78</v>
      </c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>
        <v>70</v>
      </c>
      <c r="AY55" s="4"/>
      <c r="AZ55" s="4">
        <v>111.6</v>
      </c>
      <c r="BA55" s="4"/>
      <c r="BB55" s="4"/>
      <c r="BC55" s="16">
        <v>26.7</v>
      </c>
      <c r="BD55" s="70">
        <v>1011</v>
      </c>
      <c r="BE55" s="16">
        <v>39.6</v>
      </c>
      <c r="BF55" s="69"/>
      <c r="BG55" s="4"/>
      <c r="BH55" s="4"/>
      <c r="BI55" s="7"/>
      <c r="BM55"/>
    </row>
    <row r="56" spans="1:65" x14ac:dyDescent="0.3">
      <c r="A56" s="4" t="s">
        <v>13</v>
      </c>
      <c r="B56" s="59" t="s">
        <v>17</v>
      </c>
      <c r="C56" s="3">
        <v>45243</v>
      </c>
      <c r="D56" s="8">
        <v>1</v>
      </c>
      <c r="E56" s="3" t="s">
        <v>284</v>
      </c>
      <c r="F56" s="2" t="s">
        <v>213</v>
      </c>
      <c r="G56" s="7">
        <v>0.17380000000000001</v>
      </c>
      <c r="H56" s="7">
        <v>1.5E-3</v>
      </c>
      <c r="I56" s="7">
        <v>1.2370000000000001</v>
      </c>
      <c r="L56" s="7">
        <v>0.1719</v>
      </c>
      <c r="O56" s="7">
        <v>63.1</v>
      </c>
      <c r="P56" s="7">
        <v>558</v>
      </c>
      <c r="Q56" s="7">
        <v>750</v>
      </c>
      <c r="R56" s="4" t="s">
        <v>15</v>
      </c>
      <c r="S56" s="4" t="s">
        <v>579</v>
      </c>
      <c r="T56" s="4"/>
      <c r="U56" s="4" t="s">
        <v>573</v>
      </c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22">
        <v>117</v>
      </c>
      <c r="BA56" s="4"/>
      <c r="BB56" s="4"/>
      <c r="BC56" s="16">
        <v>25.3</v>
      </c>
      <c r="BD56" s="16">
        <v>1012</v>
      </c>
      <c r="BE56" s="16">
        <v>44.3</v>
      </c>
      <c r="BF56" s="69"/>
      <c r="BG56" s="7">
        <v>2096</v>
      </c>
      <c r="BH56" s="4"/>
      <c r="BI56" s="7"/>
      <c r="BM56"/>
    </row>
    <row r="57" spans="1:65" x14ac:dyDescent="0.3">
      <c r="A57" s="4" t="s">
        <v>13</v>
      </c>
      <c r="B57" s="59" t="s">
        <v>17</v>
      </c>
      <c r="C57" s="3">
        <v>45243</v>
      </c>
      <c r="D57" s="8">
        <v>5</v>
      </c>
      <c r="E57" s="3" t="s">
        <v>293</v>
      </c>
      <c r="F57" s="2" t="s">
        <v>213</v>
      </c>
      <c r="G57" s="7">
        <v>0.16919999999999999</v>
      </c>
      <c r="H57" s="7">
        <v>3.5999999999999999E-3</v>
      </c>
      <c r="I57" s="7">
        <v>1.2370000000000001</v>
      </c>
      <c r="L57" s="7">
        <v>0.16930000000000001</v>
      </c>
      <c r="O57" s="7">
        <v>63.3</v>
      </c>
      <c r="P57" s="7">
        <v>573</v>
      </c>
      <c r="Q57" s="7">
        <v>750</v>
      </c>
      <c r="R57" s="4" t="s">
        <v>15</v>
      </c>
      <c r="S57" s="4" t="s">
        <v>579</v>
      </c>
      <c r="T57" s="4"/>
      <c r="U57" s="4" t="s">
        <v>573</v>
      </c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22">
        <v>117</v>
      </c>
      <c r="BA57" s="4"/>
      <c r="BB57" s="4"/>
      <c r="BC57" s="16">
        <v>26</v>
      </c>
      <c r="BD57" s="16">
        <v>1012</v>
      </c>
      <c r="BE57" s="16">
        <v>43</v>
      </c>
      <c r="BF57" s="69"/>
      <c r="BG57" s="7">
        <v>2096</v>
      </c>
      <c r="BH57" s="4"/>
      <c r="BI57" s="7"/>
      <c r="BM57"/>
    </row>
    <row r="58" spans="1:65" x14ac:dyDescent="0.3">
      <c r="A58" s="4" t="s">
        <v>13</v>
      </c>
      <c r="B58" s="59" t="s">
        <v>28</v>
      </c>
      <c r="C58" s="3">
        <v>45243</v>
      </c>
      <c r="D58" s="8">
        <v>1</v>
      </c>
      <c r="E58" s="3" t="s">
        <v>305</v>
      </c>
      <c r="F58" s="2" t="s">
        <v>583</v>
      </c>
      <c r="G58" s="7">
        <v>0.16969999999999999</v>
      </c>
      <c r="H58" s="7">
        <v>6.0000000000000001E-3</v>
      </c>
      <c r="I58" s="7">
        <v>1.163</v>
      </c>
      <c r="L58" s="7">
        <v>0.16200000000000001</v>
      </c>
      <c r="O58" s="7">
        <v>66</v>
      </c>
      <c r="P58" s="7">
        <v>616</v>
      </c>
      <c r="Q58" s="7">
        <v>750</v>
      </c>
      <c r="R58" s="4" t="s">
        <v>15</v>
      </c>
      <c r="S58" s="4" t="s">
        <v>579</v>
      </c>
      <c r="T58" s="4"/>
      <c r="U58" s="4" t="s">
        <v>573</v>
      </c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22">
        <v>117</v>
      </c>
      <c r="BA58" s="4"/>
      <c r="BB58" s="4"/>
      <c r="BC58" s="22">
        <v>25.1</v>
      </c>
      <c r="BD58" s="69">
        <v>1011</v>
      </c>
      <c r="BE58" s="36">
        <v>54</v>
      </c>
      <c r="BF58" s="69">
        <v>1.173</v>
      </c>
      <c r="BG58" s="4">
        <v>2096</v>
      </c>
      <c r="BH58" s="4"/>
      <c r="BI58" s="7"/>
      <c r="BM58"/>
    </row>
    <row r="59" spans="1:65" x14ac:dyDescent="0.3">
      <c r="A59" s="4" t="s">
        <v>13</v>
      </c>
      <c r="B59" s="59" t="s">
        <v>28</v>
      </c>
      <c r="C59" s="3">
        <v>45243</v>
      </c>
      <c r="D59" s="8">
        <v>2</v>
      </c>
      <c r="E59" s="3" t="s">
        <v>304</v>
      </c>
      <c r="F59" s="2" t="s">
        <v>584</v>
      </c>
      <c r="G59" s="7">
        <v>0.1704</v>
      </c>
      <c r="H59" s="7">
        <v>7.7999999999999996E-3</v>
      </c>
      <c r="I59" s="7">
        <v>1.163</v>
      </c>
      <c r="L59" s="7">
        <v>0.161</v>
      </c>
      <c r="O59" s="7">
        <v>65.099999999999994</v>
      </c>
      <c r="P59" s="7">
        <v>575</v>
      </c>
      <c r="Q59" s="7">
        <v>750</v>
      </c>
      <c r="R59" s="4" t="s">
        <v>15</v>
      </c>
      <c r="S59" s="4" t="s">
        <v>579</v>
      </c>
      <c r="T59" s="4"/>
      <c r="U59" s="4" t="s">
        <v>573</v>
      </c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22">
        <v>117</v>
      </c>
      <c r="BA59" s="4"/>
      <c r="BB59" s="4"/>
      <c r="BC59" s="22">
        <v>25.1</v>
      </c>
      <c r="BD59" s="69">
        <v>1011</v>
      </c>
      <c r="BE59" s="36">
        <v>54</v>
      </c>
      <c r="BF59" s="69">
        <v>1.173</v>
      </c>
      <c r="BG59" s="4">
        <v>2096</v>
      </c>
      <c r="BH59" s="4"/>
      <c r="BI59" s="7"/>
      <c r="BM59"/>
    </row>
    <row r="60" spans="1:65" x14ac:dyDescent="0.3">
      <c r="A60" s="4" t="s">
        <v>13</v>
      </c>
      <c r="B60" s="59" t="s">
        <v>28</v>
      </c>
      <c r="C60" s="3">
        <v>45243</v>
      </c>
      <c r="D60" s="8">
        <v>3</v>
      </c>
      <c r="E60" s="3" t="s">
        <v>303</v>
      </c>
      <c r="F60" s="2" t="s">
        <v>583</v>
      </c>
      <c r="G60" s="7">
        <v>0.17510000000000001</v>
      </c>
      <c r="H60" s="7">
        <v>6.7999999999999996E-3</v>
      </c>
      <c r="I60" s="7">
        <v>1.1565000000000001</v>
      </c>
      <c r="L60" s="7">
        <v>0.16669999999999999</v>
      </c>
      <c r="O60" s="7">
        <v>65</v>
      </c>
      <c r="P60" s="7">
        <v>611</v>
      </c>
      <c r="Q60" s="7">
        <v>750</v>
      </c>
      <c r="R60" s="4" t="s">
        <v>15</v>
      </c>
      <c r="S60" s="4" t="s">
        <v>579</v>
      </c>
      <c r="T60" s="4"/>
      <c r="U60" s="4" t="s">
        <v>573</v>
      </c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22">
        <v>117</v>
      </c>
      <c r="BA60" s="4"/>
      <c r="BB60" s="4"/>
      <c r="BC60" s="22">
        <v>25.2</v>
      </c>
      <c r="BD60" s="69">
        <v>1011</v>
      </c>
      <c r="BE60" s="36">
        <v>54</v>
      </c>
      <c r="BF60" s="69">
        <v>1.173</v>
      </c>
      <c r="BG60" s="4">
        <v>2096</v>
      </c>
      <c r="BH60" s="4"/>
      <c r="BI60" s="7"/>
      <c r="BM60"/>
    </row>
    <row r="61" spans="1:65" x14ac:dyDescent="0.3">
      <c r="A61" s="4" t="s">
        <v>13</v>
      </c>
      <c r="B61" s="59" t="s">
        <v>28</v>
      </c>
      <c r="C61" s="3">
        <v>45243</v>
      </c>
      <c r="D61" s="8">
        <v>4</v>
      </c>
      <c r="E61" s="3" t="s">
        <v>302</v>
      </c>
      <c r="F61" s="2" t="s">
        <v>584</v>
      </c>
      <c r="G61" s="7">
        <v>0.17510000000000001</v>
      </c>
      <c r="H61" s="7">
        <v>3.3E-3</v>
      </c>
      <c r="I61" s="7">
        <v>1.1565000000000001</v>
      </c>
      <c r="L61" s="7">
        <v>0.16070000000000001</v>
      </c>
      <c r="O61" s="7">
        <v>65.400000000000006</v>
      </c>
      <c r="P61" s="7">
        <v>595</v>
      </c>
      <c r="Q61" s="7">
        <v>750</v>
      </c>
      <c r="R61" s="4" t="s">
        <v>15</v>
      </c>
      <c r="S61" s="4" t="s">
        <v>579</v>
      </c>
      <c r="T61" s="4"/>
      <c r="U61" s="4" t="s">
        <v>573</v>
      </c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22">
        <v>117</v>
      </c>
      <c r="BA61" s="4"/>
      <c r="BB61" s="4"/>
      <c r="BC61" s="22">
        <v>25.2</v>
      </c>
      <c r="BD61" s="69">
        <v>1011</v>
      </c>
      <c r="BE61" s="36">
        <v>54</v>
      </c>
      <c r="BF61" s="69">
        <v>1.173</v>
      </c>
      <c r="BG61" s="4">
        <v>2096</v>
      </c>
      <c r="BH61" s="4"/>
      <c r="BI61" s="7"/>
      <c r="BM61"/>
    </row>
    <row r="62" spans="1:65" x14ac:dyDescent="0.3">
      <c r="A62" s="2" t="s">
        <v>13</v>
      </c>
      <c r="B62" s="59" t="s">
        <v>220</v>
      </c>
      <c r="C62" s="3" t="s">
        <v>221</v>
      </c>
      <c r="D62" s="8">
        <v>1</v>
      </c>
      <c r="E62" s="3" t="s">
        <v>228</v>
      </c>
      <c r="F62" s="2" t="s">
        <v>222</v>
      </c>
      <c r="G62" s="7">
        <v>0.1971</v>
      </c>
      <c r="H62" s="7">
        <v>4.0000000000000001E-3</v>
      </c>
      <c r="I62" s="7">
        <v>1.2569999999999999</v>
      </c>
      <c r="K62" s="7">
        <v>0.19700000000000001</v>
      </c>
      <c r="L62" s="7">
        <v>0.19700000000000001</v>
      </c>
      <c r="O62" s="7">
        <v>57.5</v>
      </c>
      <c r="P62" s="7">
        <v>500</v>
      </c>
      <c r="Q62" s="7">
        <v>753.2</v>
      </c>
      <c r="R62" s="4" t="s">
        <v>15</v>
      </c>
      <c r="S62" s="4" t="s">
        <v>579</v>
      </c>
      <c r="T62" s="4"/>
      <c r="U62" s="4" t="s">
        <v>577</v>
      </c>
      <c r="V62" s="4" t="s">
        <v>16</v>
      </c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22">
        <v>108</v>
      </c>
      <c r="BA62" s="4"/>
      <c r="BB62" s="4"/>
      <c r="BC62" s="22">
        <v>23.8</v>
      </c>
      <c r="BD62" s="69">
        <v>1009</v>
      </c>
      <c r="BE62" s="36">
        <v>61</v>
      </c>
      <c r="BF62" s="69">
        <v>1.1759999999999999</v>
      </c>
      <c r="BG62" s="4">
        <v>2096</v>
      </c>
      <c r="BH62" s="4"/>
      <c r="BM62"/>
    </row>
    <row r="63" spans="1:65" x14ac:dyDescent="0.3">
      <c r="A63" s="2" t="s">
        <v>13</v>
      </c>
      <c r="B63" s="59" t="s">
        <v>220</v>
      </c>
      <c r="C63" s="3" t="s">
        <v>221</v>
      </c>
      <c r="D63" s="8">
        <v>2</v>
      </c>
      <c r="E63" s="3" t="s">
        <v>229</v>
      </c>
      <c r="F63" s="2" t="s">
        <v>222</v>
      </c>
      <c r="G63" s="7">
        <v>0.19309999999999999</v>
      </c>
      <c r="H63" s="7">
        <v>2E-3</v>
      </c>
      <c r="I63" s="7">
        <v>1.2569999999999999</v>
      </c>
      <c r="K63" s="7">
        <v>0.19800000000000001</v>
      </c>
      <c r="L63" s="7">
        <v>0.19359999999999999</v>
      </c>
      <c r="O63" s="7">
        <v>60.9</v>
      </c>
      <c r="P63" s="7">
        <v>584</v>
      </c>
      <c r="Q63" s="7">
        <v>754.3</v>
      </c>
      <c r="R63" s="4" t="s">
        <v>89</v>
      </c>
      <c r="S63" s="4" t="s">
        <v>579</v>
      </c>
      <c r="T63" s="4"/>
      <c r="U63" s="4" t="s">
        <v>577</v>
      </c>
      <c r="V63" s="4" t="s">
        <v>16</v>
      </c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22">
        <v>108</v>
      </c>
      <c r="BA63" s="4"/>
      <c r="BB63" s="4"/>
      <c r="BC63" s="22">
        <v>24</v>
      </c>
      <c r="BD63" s="69">
        <v>1009</v>
      </c>
      <c r="BE63" s="36">
        <v>62</v>
      </c>
      <c r="BF63" s="69">
        <v>1.175</v>
      </c>
      <c r="BG63" s="4">
        <v>2096</v>
      </c>
      <c r="BH63" s="4"/>
      <c r="BM63"/>
    </row>
    <row r="64" spans="1:65" x14ac:dyDescent="0.3">
      <c r="A64" s="2" t="s">
        <v>13</v>
      </c>
      <c r="B64" s="59" t="s">
        <v>220</v>
      </c>
      <c r="C64" s="3" t="s">
        <v>221</v>
      </c>
      <c r="D64" s="8">
        <v>3</v>
      </c>
      <c r="E64" s="3" t="s">
        <v>230</v>
      </c>
      <c r="F64" s="2" t="s">
        <v>223</v>
      </c>
      <c r="G64" s="7">
        <v>0.19719999999999999</v>
      </c>
      <c r="H64" s="7">
        <v>6.9999999999999999E-4</v>
      </c>
      <c r="I64" s="7">
        <v>1.2569999999999999</v>
      </c>
      <c r="K64" s="7">
        <v>0.20100000000000001</v>
      </c>
      <c r="L64" s="7">
        <v>0.1946</v>
      </c>
      <c r="O64" s="7">
        <v>60.4</v>
      </c>
      <c r="P64" s="7">
        <v>573</v>
      </c>
      <c r="Q64" s="7">
        <v>754.3</v>
      </c>
      <c r="R64" s="4" t="s">
        <v>89</v>
      </c>
      <c r="S64" s="4" t="s">
        <v>579</v>
      </c>
      <c r="T64" s="4"/>
      <c r="U64" s="4" t="s">
        <v>577</v>
      </c>
      <c r="V64" s="4" t="s">
        <v>16</v>
      </c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22">
        <v>108</v>
      </c>
      <c r="BA64" s="4"/>
      <c r="BB64" s="4"/>
      <c r="BC64" s="22">
        <v>24.2</v>
      </c>
      <c r="BD64" s="69">
        <v>1009</v>
      </c>
      <c r="BE64" s="36">
        <v>60</v>
      </c>
      <c r="BF64" s="69">
        <v>1.1739999999999999</v>
      </c>
      <c r="BG64" s="4">
        <v>2096</v>
      </c>
      <c r="BH64" s="4"/>
      <c r="BM64"/>
    </row>
    <row r="65" spans="1:65" x14ac:dyDescent="0.3">
      <c r="A65" s="2" t="s">
        <v>13</v>
      </c>
      <c r="B65" s="59" t="s">
        <v>220</v>
      </c>
      <c r="C65" s="3" t="s">
        <v>221</v>
      </c>
      <c r="D65" s="8">
        <v>4</v>
      </c>
      <c r="E65" s="3" t="s">
        <v>231</v>
      </c>
      <c r="F65" s="2" t="s">
        <v>224</v>
      </c>
      <c r="G65" s="7">
        <v>0.19819999999999999</v>
      </c>
      <c r="H65" s="7">
        <v>2.5999999999999999E-3</v>
      </c>
      <c r="I65" s="7">
        <v>1.2569999999999999</v>
      </c>
      <c r="K65" s="7">
        <v>0.20200000000000001</v>
      </c>
      <c r="L65" s="7">
        <v>0.19409999999999999</v>
      </c>
      <c r="O65" s="7">
        <v>60.2</v>
      </c>
      <c r="P65" s="7">
        <v>562</v>
      </c>
      <c r="Q65" s="7">
        <v>754.1</v>
      </c>
      <c r="R65" s="4" t="s">
        <v>89</v>
      </c>
      <c r="S65" s="4" t="s">
        <v>579</v>
      </c>
      <c r="T65" s="4"/>
      <c r="U65" s="4" t="s">
        <v>577</v>
      </c>
      <c r="V65" s="4" t="s">
        <v>16</v>
      </c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22">
        <v>108</v>
      </c>
      <c r="BA65" s="4"/>
      <c r="BB65" s="4"/>
      <c r="BC65" s="22">
        <v>24.4</v>
      </c>
      <c r="BD65" s="69">
        <v>1009</v>
      </c>
      <c r="BE65" s="36">
        <v>59</v>
      </c>
      <c r="BF65" s="69">
        <v>1.1739999999999999</v>
      </c>
      <c r="BG65" s="4">
        <v>2096</v>
      </c>
      <c r="BH65" s="4"/>
      <c r="BM65"/>
    </row>
    <row r="66" spans="1:65" x14ac:dyDescent="0.3">
      <c r="A66" s="2" t="s">
        <v>13</v>
      </c>
      <c r="B66" s="59" t="s">
        <v>220</v>
      </c>
      <c r="C66" s="3" t="s">
        <v>221</v>
      </c>
      <c r="D66" s="8">
        <v>5</v>
      </c>
      <c r="E66" s="3" t="s">
        <v>232</v>
      </c>
      <c r="F66" s="2" t="s">
        <v>222</v>
      </c>
      <c r="G66" s="7">
        <v>0.20569999999999999</v>
      </c>
      <c r="H66" s="7">
        <v>2.3E-3</v>
      </c>
      <c r="I66" s="7">
        <v>1.2569999999999999</v>
      </c>
      <c r="K66" s="7">
        <v>0.20399999999999999</v>
      </c>
      <c r="L66" s="7">
        <v>0.19750000000000001</v>
      </c>
      <c r="O66" s="7">
        <v>59.9</v>
      </c>
      <c r="P66" s="7">
        <v>556</v>
      </c>
      <c r="Q66" s="7">
        <v>754.2</v>
      </c>
      <c r="R66" s="4" t="s">
        <v>15</v>
      </c>
      <c r="S66" s="4" t="s">
        <v>579</v>
      </c>
      <c r="T66" s="4"/>
      <c r="U66" s="4" t="s">
        <v>577</v>
      </c>
      <c r="V66" s="4" t="s">
        <v>16</v>
      </c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22">
        <v>108</v>
      </c>
      <c r="BA66" s="4"/>
      <c r="BB66" s="4"/>
      <c r="BC66" s="22">
        <v>24.6</v>
      </c>
      <c r="BD66" s="69">
        <v>1009</v>
      </c>
      <c r="BE66" s="36">
        <v>60</v>
      </c>
      <c r="BF66" s="69">
        <v>1.173</v>
      </c>
      <c r="BG66" s="4">
        <v>2096</v>
      </c>
      <c r="BH66" s="4"/>
      <c r="BM66"/>
    </row>
    <row r="67" spans="1:65" x14ac:dyDescent="0.3">
      <c r="A67" s="2" t="s">
        <v>13</v>
      </c>
      <c r="B67" s="59" t="s">
        <v>220</v>
      </c>
      <c r="C67" s="3" t="s">
        <v>221</v>
      </c>
      <c r="D67" s="8">
        <v>6</v>
      </c>
      <c r="E67" s="3" t="s">
        <v>233</v>
      </c>
      <c r="F67" s="2" t="s">
        <v>222</v>
      </c>
      <c r="G67" s="7">
        <v>0.19750000000000001</v>
      </c>
      <c r="H67" s="7">
        <v>1.2999999999999999E-3</v>
      </c>
      <c r="I67" s="7">
        <v>1.2569999999999999</v>
      </c>
      <c r="K67" s="7">
        <v>0.19900000000000001</v>
      </c>
      <c r="L67" s="7">
        <v>0.191</v>
      </c>
      <c r="O67" s="7">
        <v>60.6</v>
      </c>
      <c r="P67" s="7">
        <v>561</v>
      </c>
      <c r="Q67" s="7">
        <v>754.4</v>
      </c>
      <c r="R67" s="4" t="s">
        <v>89</v>
      </c>
      <c r="S67" s="4" t="s">
        <v>579</v>
      </c>
      <c r="T67" s="4"/>
      <c r="U67" s="4" t="s">
        <v>577</v>
      </c>
      <c r="V67" s="4" t="s">
        <v>16</v>
      </c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22">
        <v>108</v>
      </c>
      <c r="BA67" s="4"/>
      <c r="BB67" s="4"/>
      <c r="BC67" s="22">
        <v>24.9</v>
      </c>
      <c r="BD67" s="69">
        <v>1009</v>
      </c>
      <c r="BE67" s="36">
        <v>58</v>
      </c>
      <c r="BF67" s="69">
        <v>1.171</v>
      </c>
      <c r="BG67" s="4">
        <v>2096</v>
      </c>
      <c r="BH67" s="4"/>
      <c r="BM67"/>
    </row>
    <row r="68" spans="1:65" x14ac:dyDescent="0.3">
      <c r="A68" s="2" t="s">
        <v>13</v>
      </c>
      <c r="B68" s="59" t="s">
        <v>220</v>
      </c>
      <c r="C68" s="3" t="s">
        <v>221</v>
      </c>
      <c r="D68" s="8">
        <v>7</v>
      </c>
      <c r="E68" s="3"/>
      <c r="F68" s="2" t="s">
        <v>223</v>
      </c>
      <c r="G68" s="7">
        <v>0.1996</v>
      </c>
      <c r="H68" s="7">
        <v>8.9999999999999998E-4</v>
      </c>
      <c r="I68" s="7">
        <v>1.2569999999999999</v>
      </c>
      <c r="K68" s="7">
        <v>0.20300000000000001</v>
      </c>
      <c r="L68" s="7">
        <v>0.19070000000000001</v>
      </c>
      <c r="O68" s="7">
        <v>61</v>
      </c>
      <c r="P68" s="7">
        <v>570</v>
      </c>
      <c r="Q68" s="7">
        <v>754.5</v>
      </c>
      <c r="R68" s="4" t="s">
        <v>89</v>
      </c>
      <c r="S68" s="4" t="s">
        <v>579</v>
      </c>
      <c r="T68" s="4"/>
      <c r="U68" s="4" t="s">
        <v>577</v>
      </c>
      <c r="V68" s="4" t="s">
        <v>16</v>
      </c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22">
        <v>108</v>
      </c>
      <c r="BA68" s="4"/>
      <c r="BB68" s="4"/>
      <c r="BC68" s="22">
        <v>25</v>
      </c>
      <c r="BD68" s="69">
        <v>1009</v>
      </c>
      <c r="BE68" s="36">
        <v>58</v>
      </c>
      <c r="BF68" s="69">
        <v>1.171</v>
      </c>
      <c r="BG68" s="4">
        <v>2096</v>
      </c>
      <c r="BH68" s="4"/>
      <c r="BM68"/>
    </row>
    <row r="69" spans="1:65" x14ac:dyDescent="0.3">
      <c r="A69" s="2" t="s">
        <v>13</v>
      </c>
      <c r="B69" s="59" t="s">
        <v>220</v>
      </c>
      <c r="C69" s="3" t="s">
        <v>221</v>
      </c>
      <c r="D69" s="8">
        <v>8</v>
      </c>
      <c r="E69" s="3" t="s">
        <v>234</v>
      </c>
      <c r="F69" s="2" t="s">
        <v>224</v>
      </c>
      <c r="G69" s="7">
        <v>0.19550000000000001</v>
      </c>
      <c r="H69" s="7">
        <v>1.9E-3</v>
      </c>
      <c r="I69" s="7">
        <v>1.2569999999999999</v>
      </c>
      <c r="K69" s="7">
        <v>0.20100000000000001</v>
      </c>
      <c r="L69" s="7">
        <v>0.19040000000000001</v>
      </c>
      <c r="O69" s="7">
        <v>61</v>
      </c>
      <c r="P69" s="7">
        <v>570</v>
      </c>
      <c r="Q69" s="7">
        <v>754.2</v>
      </c>
      <c r="R69" s="4" t="s">
        <v>89</v>
      </c>
      <c r="S69" s="4" t="s">
        <v>579</v>
      </c>
      <c r="T69" s="4"/>
      <c r="U69" s="4" t="s">
        <v>577</v>
      </c>
      <c r="V69" s="4" t="s">
        <v>16</v>
      </c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22">
        <v>108</v>
      </c>
      <c r="BA69" s="4"/>
      <c r="BB69" s="4"/>
      <c r="BC69" s="22">
        <v>25.2</v>
      </c>
      <c r="BD69" s="69">
        <v>1009</v>
      </c>
      <c r="BE69" s="36">
        <v>58</v>
      </c>
      <c r="BF69" s="69">
        <v>1.17</v>
      </c>
      <c r="BG69" s="4">
        <v>2096</v>
      </c>
      <c r="BH69" s="4"/>
      <c r="BM69"/>
    </row>
    <row r="70" spans="1:65" x14ac:dyDescent="0.3">
      <c r="A70" s="2" t="s">
        <v>13</v>
      </c>
      <c r="B70" s="59" t="s">
        <v>26</v>
      </c>
      <c r="C70" s="3" t="s">
        <v>221</v>
      </c>
      <c r="D70" s="8">
        <v>1</v>
      </c>
      <c r="E70" s="3" t="s">
        <v>235</v>
      </c>
      <c r="F70" s="2" t="s">
        <v>213</v>
      </c>
      <c r="G70" s="7">
        <v>0.1716</v>
      </c>
      <c r="H70" s="7">
        <v>5.1000000000000004E-3</v>
      </c>
      <c r="I70" s="7">
        <v>1.2645</v>
      </c>
      <c r="K70" s="7">
        <v>0.17399999999999999</v>
      </c>
      <c r="L70" s="7">
        <v>0.17330000000000001</v>
      </c>
      <c r="O70" s="7">
        <v>63.7</v>
      </c>
      <c r="P70" s="7">
        <v>594</v>
      </c>
      <c r="Q70" s="7">
        <v>757.2</v>
      </c>
      <c r="R70" s="4" t="s">
        <v>15</v>
      </c>
      <c r="S70" s="4" t="s">
        <v>579</v>
      </c>
      <c r="T70" s="4"/>
      <c r="U70" s="4" t="s">
        <v>225</v>
      </c>
      <c r="V70" s="4" t="s">
        <v>226</v>
      </c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22">
        <v>117</v>
      </c>
      <c r="BA70" s="4"/>
      <c r="BB70" s="4"/>
      <c r="BC70" s="22">
        <v>24</v>
      </c>
      <c r="BD70" s="69">
        <v>1009</v>
      </c>
      <c r="BE70" s="36">
        <v>62</v>
      </c>
      <c r="BF70" s="69">
        <v>1.175</v>
      </c>
      <c r="BG70" s="4">
        <v>2096</v>
      </c>
      <c r="BH70" s="4"/>
      <c r="BM70"/>
    </row>
    <row r="71" spans="1:65" x14ac:dyDescent="0.3">
      <c r="A71" s="2" t="s">
        <v>13</v>
      </c>
      <c r="B71" s="59" t="s">
        <v>26</v>
      </c>
      <c r="C71" s="3" t="s">
        <v>221</v>
      </c>
      <c r="D71" s="8">
        <v>2</v>
      </c>
      <c r="E71" s="3" t="s">
        <v>236</v>
      </c>
      <c r="F71" s="2" t="s">
        <v>214</v>
      </c>
      <c r="G71" s="7">
        <v>0.17069999999999999</v>
      </c>
      <c r="H71" s="7">
        <v>4.7000000000000002E-3</v>
      </c>
      <c r="I71" s="7">
        <v>1.2645</v>
      </c>
      <c r="K71" s="7">
        <v>0.17100000000000001</v>
      </c>
      <c r="R71" s="4" t="s">
        <v>15</v>
      </c>
      <c r="S71" s="4" t="s">
        <v>579</v>
      </c>
      <c r="T71" s="4"/>
      <c r="U71" s="4" t="s">
        <v>225</v>
      </c>
      <c r="V71" s="4" t="s">
        <v>226</v>
      </c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22">
        <v>117</v>
      </c>
      <c r="BA71" s="4"/>
      <c r="BB71" s="4"/>
      <c r="BC71" s="22">
        <v>24.1</v>
      </c>
      <c r="BD71" s="69">
        <v>1009</v>
      </c>
      <c r="BE71" s="36">
        <v>61</v>
      </c>
      <c r="BF71" s="69">
        <v>1.175</v>
      </c>
      <c r="BG71" s="4">
        <v>2096</v>
      </c>
      <c r="BH71" s="4" t="s">
        <v>227</v>
      </c>
      <c r="BM71"/>
    </row>
    <row r="72" spans="1:65" x14ac:dyDescent="0.3">
      <c r="A72" s="2" t="s">
        <v>13</v>
      </c>
      <c r="B72" s="59" t="s">
        <v>26</v>
      </c>
      <c r="C72" s="3" t="s">
        <v>221</v>
      </c>
      <c r="D72" s="8">
        <v>3</v>
      </c>
      <c r="E72" s="3" t="s">
        <v>237</v>
      </c>
      <c r="F72" s="2" t="s">
        <v>215</v>
      </c>
      <c r="G72" s="7">
        <v>0.17349999999999999</v>
      </c>
      <c r="H72" s="7">
        <v>1.5E-3</v>
      </c>
      <c r="I72" s="7">
        <v>1.2645</v>
      </c>
      <c r="K72" s="7">
        <v>0.17299999999999999</v>
      </c>
      <c r="L72" s="7">
        <v>0.1694</v>
      </c>
      <c r="O72" s="7">
        <v>63</v>
      </c>
      <c r="P72" s="7">
        <v>564</v>
      </c>
      <c r="Q72" s="7">
        <v>757.5</v>
      </c>
      <c r="R72" s="4" t="s">
        <v>15</v>
      </c>
      <c r="S72" s="4" t="s">
        <v>579</v>
      </c>
      <c r="T72" s="4"/>
      <c r="U72" s="4" t="s">
        <v>225</v>
      </c>
      <c r="V72" s="4" t="s">
        <v>226</v>
      </c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22">
        <v>117</v>
      </c>
      <c r="BA72" s="4"/>
      <c r="BB72" s="4"/>
      <c r="BC72" s="22">
        <v>24.2</v>
      </c>
      <c r="BD72" s="69">
        <v>1009</v>
      </c>
      <c r="BE72" s="36">
        <v>60</v>
      </c>
      <c r="BF72" s="69">
        <v>1.1739999999999999</v>
      </c>
      <c r="BG72" s="4">
        <v>2096</v>
      </c>
      <c r="BH72" s="4"/>
      <c r="BM72"/>
    </row>
    <row r="73" spans="1:65" x14ac:dyDescent="0.3">
      <c r="A73" s="2" t="s">
        <v>13</v>
      </c>
      <c r="B73" s="59" t="s">
        <v>26</v>
      </c>
      <c r="C73" s="3" t="s">
        <v>221</v>
      </c>
      <c r="D73" s="8">
        <v>4</v>
      </c>
      <c r="E73" s="3" t="s">
        <v>238</v>
      </c>
      <c r="F73" s="2" t="s">
        <v>213</v>
      </c>
      <c r="G73" s="7">
        <v>0.1731</v>
      </c>
      <c r="H73" s="7">
        <v>4.7999999999999996E-3</v>
      </c>
      <c r="I73" s="7">
        <v>1.2645</v>
      </c>
      <c r="K73" s="7">
        <v>0.17499999999999999</v>
      </c>
      <c r="L73" s="7">
        <v>0.1739</v>
      </c>
      <c r="O73" s="7">
        <v>63</v>
      </c>
      <c r="P73" s="7">
        <v>570</v>
      </c>
      <c r="Q73" s="7">
        <v>755.8</v>
      </c>
      <c r="R73" s="4" t="s">
        <v>15</v>
      </c>
      <c r="S73" s="4" t="s">
        <v>579</v>
      </c>
      <c r="T73" s="4"/>
      <c r="U73" s="4" t="s">
        <v>225</v>
      </c>
      <c r="V73" s="4" t="s">
        <v>226</v>
      </c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22">
        <v>117</v>
      </c>
      <c r="BA73" s="4"/>
      <c r="BB73" s="4"/>
      <c r="BC73" s="22">
        <v>24.6</v>
      </c>
      <c r="BD73" s="69">
        <v>1009</v>
      </c>
      <c r="BE73" s="36">
        <v>60</v>
      </c>
      <c r="BF73" s="69">
        <v>1.173</v>
      </c>
      <c r="BG73" s="4">
        <v>2096</v>
      </c>
      <c r="BH73" s="4"/>
      <c r="BM73"/>
    </row>
    <row r="74" spans="1:65" x14ac:dyDescent="0.3">
      <c r="A74" s="2" t="s">
        <v>13</v>
      </c>
      <c r="B74" s="59" t="s">
        <v>26</v>
      </c>
      <c r="C74" s="3" t="s">
        <v>221</v>
      </c>
      <c r="D74" s="8">
        <v>5</v>
      </c>
      <c r="E74" s="3" t="s">
        <v>239</v>
      </c>
      <c r="F74" s="2" t="s">
        <v>214</v>
      </c>
      <c r="G74" s="7">
        <v>0.1754</v>
      </c>
      <c r="H74" s="7">
        <v>3.3999999999999998E-3</v>
      </c>
      <c r="I74" s="7">
        <v>1.2645</v>
      </c>
      <c r="K74" s="7">
        <v>0.17399999999999999</v>
      </c>
      <c r="L74" s="7">
        <v>0.17150000000000001</v>
      </c>
      <c r="O74" s="7">
        <v>63.7</v>
      </c>
      <c r="P74" s="7">
        <v>575</v>
      </c>
      <c r="Q74" s="7">
        <v>756.3</v>
      </c>
      <c r="R74" s="4" t="s">
        <v>15</v>
      </c>
      <c r="S74" s="4" t="s">
        <v>579</v>
      </c>
      <c r="T74" s="4"/>
      <c r="U74" s="4" t="s">
        <v>225</v>
      </c>
      <c r="V74" s="4" t="s">
        <v>226</v>
      </c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22">
        <v>117</v>
      </c>
      <c r="BA74" s="4"/>
      <c r="BB74" s="4"/>
      <c r="BC74" s="22">
        <v>24.6</v>
      </c>
      <c r="BD74" s="69">
        <v>1009</v>
      </c>
      <c r="BE74" s="36">
        <v>60</v>
      </c>
      <c r="BF74" s="69">
        <v>1.173</v>
      </c>
      <c r="BG74" s="4">
        <v>2096</v>
      </c>
      <c r="BH74" s="4"/>
      <c r="BM74"/>
    </row>
    <row r="75" spans="1:65" x14ac:dyDescent="0.3">
      <c r="A75" s="2" t="s">
        <v>13</v>
      </c>
      <c r="B75" s="59" t="s">
        <v>26</v>
      </c>
      <c r="C75" s="3" t="s">
        <v>221</v>
      </c>
      <c r="D75" s="8">
        <v>6</v>
      </c>
      <c r="E75" s="3" t="s">
        <v>240</v>
      </c>
      <c r="F75" s="2" t="s">
        <v>215</v>
      </c>
      <c r="G75" s="7">
        <v>0.17180000000000001</v>
      </c>
      <c r="H75" s="7">
        <v>4.1999999999999997E-3</v>
      </c>
      <c r="I75" s="7">
        <v>1.2645</v>
      </c>
      <c r="K75" s="7">
        <v>0.17599999999999999</v>
      </c>
      <c r="L75" s="7">
        <v>0.17030000000000001</v>
      </c>
      <c r="O75" s="7">
        <v>63.1</v>
      </c>
      <c r="P75" s="7">
        <v>552</v>
      </c>
      <c r="Q75" s="7">
        <v>757.2</v>
      </c>
      <c r="R75" s="4" t="s">
        <v>89</v>
      </c>
      <c r="S75" s="4" t="s">
        <v>579</v>
      </c>
      <c r="T75" s="4"/>
      <c r="U75" s="4" t="s">
        <v>225</v>
      </c>
      <c r="V75" s="4" t="s">
        <v>226</v>
      </c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22">
        <v>117</v>
      </c>
      <c r="BA75" s="4"/>
      <c r="BB75" s="4"/>
      <c r="BC75" s="22">
        <v>24.9</v>
      </c>
      <c r="BD75" s="69">
        <v>1009</v>
      </c>
      <c r="BE75" s="36">
        <v>58</v>
      </c>
      <c r="BF75" s="69">
        <v>1.171</v>
      </c>
      <c r="BG75" s="4">
        <v>2096</v>
      </c>
      <c r="BH75" s="4"/>
      <c r="BM75"/>
    </row>
    <row r="76" spans="1:65" x14ac:dyDescent="0.3">
      <c r="A76" s="2" t="s">
        <v>13</v>
      </c>
      <c r="B76" s="59" t="s">
        <v>28</v>
      </c>
      <c r="C76" s="3" t="s">
        <v>221</v>
      </c>
      <c r="D76" s="8">
        <v>1</v>
      </c>
      <c r="E76" s="3" t="s">
        <v>241</v>
      </c>
      <c r="F76" s="2" t="s">
        <v>215</v>
      </c>
      <c r="G76" s="7">
        <v>0.158</v>
      </c>
      <c r="H76" s="7">
        <v>1.9E-3</v>
      </c>
      <c r="I76" s="7">
        <v>1.272</v>
      </c>
      <c r="K76" s="7">
        <v>0.16300000000000001</v>
      </c>
      <c r="L76" s="7">
        <v>0.15820000000000001</v>
      </c>
      <c r="O76" s="7">
        <v>65.099999999999994</v>
      </c>
      <c r="P76" s="7">
        <v>580</v>
      </c>
      <c r="Q76" s="7">
        <v>755.8</v>
      </c>
      <c r="R76" s="4" t="s">
        <v>15</v>
      </c>
      <c r="S76" s="4" t="s">
        <v>579</v>
      </c>
      <c r="T76" s="4"/>
      <c r="U76" s="4" t="s">
        <v>573</v>
      </c>
      <c r="V76" s="4" t="s">
        <v>226</v>
      </c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22">
        <v>117</v>
      </c>
      <c r="BA76" s="4"/>
      <c r="BB76" s="4"/>
      <c r="BC76" s="22">
        <v>23.8</v>
      </c>
      <c r="BD76" s="69">
        <v>1009</v>
      </c>
      <c r="BE76" s="36">
        <v>61</v>
      </c>
      <c r="BF76" s="69">
        <v>1.1759999999999999</v>
      </c>
      <c r="BG76" s="4">
        <v>2096</v>
      </c>
      <c r="BH76" s="4"/>
      <c r="BM76"/>
    </row>
    <row r="77" spans="1:65" x14ac:dyDescent="0.3">
      <c r="A77" s="2" t="s">
        <v>13</v>
      </c>
      <c r="B77" s="59" t="s">
        <v>28</v>
      </c>
      <c r="C77" s="3" t="s">
        <v>221</v>
      </c>
      <c r="D77" s="8">
        <v>2</v>
      </c>
      <c r="E77" s="3" t="s">
        <v>242</v>
      </c>
      <c r="F77" s="2" t="s">
        <v>215</v>
      </c>
      <c r="G77" s="7">
        <v>0.1613</v>
      </c>
      <c r="H77" s="7">
        <v>2.8999999999999998E-3</v>
      </c>
      <c r="I77" s="7">
        <v>1.272</v>
      </c>
      <c r="K77" s="7">
        <v>0.16500000000000001</v>
      </c>
      <c r="L77" s="7">
        <v>0.1608</v>
      </c>
      <c r="O77" s="7">
        <v>65.7</v>
      </c>
      <c r="P77" s="7">
        <v>604</v>
      </c>
      <c r="Q77" s="7">
        <v>754.8</v>
      </c>
      <c r="R77" s="4" t="s">
        <v>563</v>
      </c>
      <c r="S77" s="4" t="s">
        <v>579</v>
      </c>
      <c r="T77" s="4"/>
      <c r="U77" s="4" t="s">
        <v>573</v>
      </c>
      <c r="V77" s="4" t="s">
        <v>226</v>
      </c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22">
        <v>117</v>
      </c>
      <c r="BA77" s="4"/>
      <c r="BB77" s="4"/>
      <c r="BC77" s="22">
        <v>24</v>
      </c>
      <c r="BD77" s="69">
        <v>1009</v>
      </c>
      <c r="BE77" s="36">
        <v>62</v>
      </c>
      <c r="BF77" s="69">
        <v>1.175</v>
      </c>
      <c r="BG77" s="4">
        <v>2096</v>
      </c>
      <c r="BH77" s="4"/>
      <c r="BM77"/>
    </row>
    <row r="78" spans="1:65" x14ac:dyDescent="0.3">
      <c r="A78" s="2" t="s">
        <v>13</v>
      </c>
      <c r="B78" s="59" t="s">
        <v>28</v>
      </c>
      <c r="C78" s="3" t="s">
        <v>221</v>
      </c>
      <c r="D78" s="8">
        <v>3</v>
      </c>
      <c r="E78" s="3" t="s">
        <v>243</v>
      </c>
      <c r="F78" s="2" t="s">
        <v>215</v>
      </c>
      <c r="G78" s="7">
        <v>0.15959999999999999</v>
      </c>
      <c r="H78" s="7">
        <v>2.3E-3</v>
      </c>
      <c r="I78" s="7">
        <v>1.272</v>
      </c>
      <c r="K78" s="7">
        <v>0.16200000000000001</v>
      </c>
      <c r="L78" s="7">
        <v>0.15920000000000001</v>
      </c>
      <c r="O78" s="7">
        <v>66.5</v>
      </c>
      <c r="P78" s="7">
        <v>621</v>
      </c>
      <c r="Q78" s="7">
        <v>755.5</v>
      </c>
      <c r="R78" s="4" t="s">
        <v>570</v>
      </c>
      <c r="S78" s="4" t="s">
        <v>579</v>
      </c>
      <c r="T78" s="4"/>
      <c r="U78" s="4" t="s">
        <v>573</v>
      </c>
      <c r="V78" s="4" t="s">
        <v>226</v>
      </c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22">
        <v>117</v>
      </c>
      <c r="BA78" s="4"/>
      <c r="BB78" s="4"/>
      <c r="BC78" s="22">
        <v>24.1</v>
      </c>
      <c r="BD78" s="69">
        <v>1009</v>
      </c>
      <c r="BE78" s="36">
        <v>61</v>
      </c>
      <c r="BF78" s="69">
        <v>1.175</v>
      </c>
      <c r="BG78" s="4">
        <v>2096</v>
      </c>
      <c r="BH78" s="4"/>
      <c r="BM78"/>
    </row>
    <row r="79" spans="1:65" x14ac:dyDescent="0.3">
      <c r="A79" s="2" t="s">
        <v>13</v>
      </c>
      <c r="B79" s="59" t="s">
        <v>28</v>
      </c>
      <c r="C79" s="3" t="s">
        <v>221</v>
      </c>
      <c r="D79" s="8">
        <v>4</v>
      </c>
      <c r="E79" s="3" t="s">
        <v>244</v>
      </c>
      <c r="F79" s="2" t="s">
        <v>215</v>
      </c>
      <c r="G79" s="7">
        <v>0.15890000000000001</v>
      </c>
      <c r="H79" s="7">
        <v>4.3E-3</v>
      </c>
      <c r="I79" s="7">
        <v>1.272</v>
      </c>
      <c r="K79" s="7">
        <v>0.16300000000000001</v>
      </c>
      <c r="L79" s="7">
        <v>0.15820000000000001</v>
      </c>
      <c r="O79" s="7">
        <v>65.8</v>
      </c>
      <c r="P79" s="7">
        <v>603</v>
      </c>
      <c r="Q79" s="7">
        <v>755.3</v>
      </c>
      <c r="R79" s="4" t="s">
        <v>89</v>
      </c>
      <c r="S79" s="4" t="s">
        <v>579</v>
      </c>
      <c r="T79" s="4"/>
      <c r="U79" s="4" t="s">
        <v>573</v>
      </c>
      <c r="V79" s="4" t="s">
        <v>226</v>
      </c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22">
        <v>117</v>
      </c>
      <c r="BA79" s="4"/>
      <c r="BB79" s="4"/>
      <c r="BC79" s="22">
        <v>24.4</v>
      </c>
      <c r="BD79" s="69">
        <v>1009</v>
      </c>
      <c r="BE79" s="36">
        <v>59</v>
      </c>
      <c r="BF79" s="69">
        <v>1.1739999999999999</v>
      </c>
      <c r="BG79" s="4">
        <v>2096</v>
      </c>
      <c r="BH79" s="4"/>
      <c r="BM79"/>
    </row>
    <row r="80" spans="1:65" x14ac:dyDescent="0.3">
      <c r="A80" s="2" t="s">
        <v>13</v>
      </c>
      <c r="B80" s="59" t="s">
        <v>28</v>
      </c>
      <c r="C80" s="3" t="s">
        <v>221</v>
      </c>
      <c r="D80" s="8">
        <v>5</v>
      </c>
      <c r="E80" s="3" t="s">
        <v>245</v>
      </c>
      <c r="F80" s="2" t="s">
        <v>215</v>
      </c>
      <c r="G80" s="7">
        <v>0.15859999999999999</v>
      </c>
      <c r="H80" s="7">
        <v>2.8E-3</v>
      </c>
      <c r="I80" s="7">
        <v>1.272</v>
      </c>
      <c r="K80" s="7">
        <v>0.161</v>
      </c>
      <c r="L80" s="7">
        <v>0.15790000000000001</v>
      </c>
      <c r="O80" s="7">
        <v>65.8</v>
      </c>
      <c r="P80" s="7">
        <v>594</v>
      </c>
      <c r="Q80" s="7">
        <v>755.4</v>
      </c>
      <c r="R80" s="4" t="s">
        <v>15</v>
      </c>
      <c r="S80" s="4" t="s">
        <v>579</v>
      </c>
      <c r="T80" s="4"/>
      <c r="U80" s="4" t="s">
        <v>573</v>
      </c>
      <c r="V80" s="4" t="s">
        <v>226</v>
      </c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22">
        <v>117</v>
      </c>
      <c r="BA80" s="4"/>
      <c r="BB80" s="4"/>
      <c r="BC80" s="22">
        <v>24.6</v>
      </c>
      <c r="BD80" s="69">
        <v>1009</v>
      </c>
      <c r="BE80" s="36">
        <v>60</v>
      </c>
      <c r="BF80" s="69">
        <v>1.173</v>
      </c>
      <c r="BG80" s="4">
        <v>2096</v>
      </c>
      <c r="BH80" s="4"/>
      <c r="BM80"/>
    </row>
    <row r="81" spans="1:65" x14ac:dyDescent="0.3">
      <c r="A81" s="2" t="s">
        <v>13</v>
      </c>
      <c r="B81" s="59" t="s">
        <v>28</v>
      </c>
      <c r="C81" s="3" t="s">
        <v>221</v>
      </c>
      <c r="D81" s="8">
        <v>6</v>
      </c>
      <c r="E81" s="3" t="s">
        <v>246</v>
      </c>
      <c r="F81" s="2" t="s">
        <v>215</v>
      </c>
      <c r="G81" s="7">
        <v>0.15959999999999999</v>
      </c>
      <c r="H81" s="7">
        <v>1.6999999999999999E-3</v>
      </c>
      <c r="I81" s="7">
        <v>1.272</v>
      </c>
      <c r="K81" s="7">
        <v>0.159</v>
      </c>
      <c r="L81" s="7">
        <v>0.1605</v>
      </c>
      <c r="O81" s="7">
        <v>66</v>
      </c>
      <c r="P81" s="7">
        <v>592</v>
      </c>
      <c r="Q81" s="7">
        <v>754.9</v>
      </c>
      <c r="R81" s="4" t="s">
        <v>563</v>
      </c>
      <c r="S81" s="4" t="s">
        <v>579</v>
      </c>
      <c r="T81" s="4"/>
      <c r="U81" s="4" t="s">
        <v>573</v>
      </c>
      <c r="V81" s="4" t="s">
        <v>226</v>
      </c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22">
        <v>117</v>
      </c>
      <c r="BA81" s="4"/>
      <c r="BB81" s="4"/>
      <c r="BC81" s="22">
        <v>24.9</v>
      </c>
      <c r="BD81" s="69">
        <v>1009</v>
      </c>
      <c r="BE81" s="36">
        <v>58</v>
      </c>
      <c r="BF81" s="69">
        <v>1.171</v>
      </c>
      <c r="BG81" s="4">
        <v>2096</v>
      </c>
      <c r="BH81" s="4"/>
      <c r="BM81"/>
    </row>
    <row r="82" spans="1:65" x14ac:dyDescent="0.3">
      <c r="A82" s="2" t="s">
        <v>13</v>
      </c>
      <c r="B82" s="59" t="s">
        <v>28</v>
      </c>
      <c r="C82" s="3" t="s">
        <v>221</v>
      </c>
      <c r="D82" s="8">
        <v>7</v>
      </c>
      <c r="E82" s="3" t="s">
        <v>247</v>
      </c>
      <c r="F82" s="2" t="s">
        <v>215</v>
      </c>
      <c r="G82" s="7">
        <v>0.15570000000000001</v>
      </c>
      <c r="H82" s="7">
        <v>1.6999999999999999E-3</v>
      </c>
      <c r="I82" s="7">
        <v>1.272</v>
      </c>
      <c r="K82" s="7">
        <v>0.16</v>
      </c>
      <c r="L82" s="7">
        <v>0.15609999999999999</v>
      </c>
      <c r="O82" s="7">
        <v>66</v>
      </c>
      <c r="P82" s="7">
        <v>595</v>
      </c>
      <c r="Q82" s="7">
        <v>755.1</v>
      </c>
      <c r="R82" s="4" t="s">
        <v>570</v>
      </c>
      <c r="S82" s="4" t="s">
        <v>579</v>
      </c>
      <c r="T82" s="4"/>
      <c r="U82" s="4" t="s">
        <v>573</v>
      </c>
      <c r="V82" s="4" t="s">
        <v>226</v>
      </c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22">
        <v>117</v>
      </c>
      <c r="BA82" s="4"/>
      <c r="BB82" s="4"/>
      <c r="BC82" s="22">
        <v>25</v>
      </c>
      <c r="BD82" s="69">
        <v>1009</v>
      </c>
      <c r="BE82" s="36">
        <v>58</v>
      </c>
      <c r="BF82" s="69">
        <v>1.171</v>
      </c>
      <c r="BG82" s="4">
        <v>2096</v>
      </c>
      <c r="BH82" s="4"/>
      <c r="BM82"/>
    </row>
    <row r="83" spans="1:65" x14ac:dyDescent="0.3">
      <c r="A83" s="2" t="s">
        <v>13</v>
      </c>
      <c r="B83" s="59" t="s">
        <v>28</v>
      </c>
      <c r="C83" s="3" t="s">
        <v>221</v>
      </c>
      <c r="D83" s="8">
        <v>8</v>
      </c>
      <c r="E83" s="3" t="s">
        <v>248</v>
      </c>
      <c r="F83" s="2" t="s">
        <v>215</v>
      </c>
      <c r="G83" s="7">
        <v>0.1547</v>
      </c>
      <c r="H83" s="7">
        <v>1.1999999999999999E-3</v>
      </c>
      <c r="I83" s="7">
        <v>1.272</v>
      </c>
      <c r="K83" s="7">
        <v>0.161</v>
      </c>
      <c r="L83" s="7">
        <v>0.15490000000000001</v>
      </c>
      <c r="O83" s="7">
        <v>66.3</v>
      </c>
      <c r="P83" s="7">
        <v>607</v>
      </c>
      <c r="Q83" s="7">
        <v>755.1</v>
      </c>
      <c r="R83" s="4" t="s">
        <v>89</v>
      </c>
      <c r="S83" s="4" t="s">
        <v>579</v>
      </c>
      <c r="T83" s="4"/>
      <c r="U83" s="4" t="s">
        <v>573</v>
      </c>
      <c r="V83" s="4" t="s">
        <v>226</v>
      </c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22">
        <v>117</v>
      </c>
      <c r="BA83" s="4"/>
      <c r="BB83" s="4"/>
      <c r="BC83" s="22">
        <v>25</v>
      </c>
      <c r="BD83" s="69">
        <v>1009</v>
      </c>
      <c r="BE83" s="36">
        <v>58</v>
      </c>
      <c r="BF83" s="69">
        <v>1.171</v>
      </c>
      <c r="BG83" s="4">
        <v>2096</v>
      </c>
      <c r="BH83" s="4"/>
      <c r="BM83"/>
    </row>
    <row r="84" spans="1:65" x14ac:dyDescent="0.3">
      <c r="A84" s="2" t="s">
        <v>13</v>
      </c>
      <c r="B84" s="59" t="s">
        <v>28</v>
      </c>
      <c r="C84" s="3" t="s">
        <v>221</v>
      </c>
      <c r="D84" s="8">
        <v>9</v>
      </c>
      <c r="E84" s="3" t="s">
        <v>249</v>
      </c>
      <c r="F84" s="2" t="s">
        <v>215</v>
      </c>
      <c r="G84" s="7">
        <v>0.15909999999999999</v>
      </c>
      <c r="H84" s="7">
        <v>3.3999999999999998E-3</v>
      </c>
      <c r="I84" s="7">
        <v>1.272</v>
      </c>
      <c r="K84" s="7">
        <v>0.159</v>
      </c>
      <c r="L84" s="7">
        <v>0.158</v>
      </c>
      <c r="O84" s="7">
        <v>66.3</v>
      </c>
      <c r="P84" s="7">
        <v>603</v>
      </c>
      <c r="Q84" s="7">
        <v>755.2</v>
      </c>
      <c r="R84" s="4" t="s">
        <v>563</v>
      </c>
      <c r="S84" s="4" t="s">
        <v>579</v>
      </c>
      <c r="T84" s="4"/>
      <c r="U84" s="4" t="s">
        <v>573</v>
      </c>
      <c r="V84" s="4" t="s">
        <v>226</v>
      </c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22">
        <v>117</v>
      </c>
      <c r="BA84" s="4"/>
      <c r="BB84" s="4"/>
      <c r="BC84" s="22">
        <v>25.2</v>
      </c>
      <c r="BD84" s="69">
        <v>1009</v>
      </c>
      <c r="BE84" s="36">
        <v>58</v>
      </c>
      <c r="BF84" s="69">
        <v>1.17</v>
      </c>
      <c r="BG84" s="4">
        <v>2096</v>
      </c>
      <c r="BH84" s="4"/>
      <c r="BM84"/>
    </row>
    <row r="85" spans="1:65" x14ac:dyDescent="0.3">
      <c r="A85" s="2" t="s">
        <v>13</v>
      </c>
      <c r="B85" s="59" t="s">
        <v>14</v>
      </c>
      <c r="C85" s="3">
        <v>45274</v>
      </c>
      <c r="D85" s="8">
        <v>1</v>
      </c>
      <c r="E85" s="3" t="s">
        <v>596</v>
      </c>
      <c r="F85" s="62" t="s">
        <v>383</v>
      </c>
      <c r="G85" s="7">
        <v>0.1661</v>
      </c>
      <c r="H85" s="54">
        <v>2.5999999999999999E-3</v>
      </c>
      <c r="I85" s="7">
        <v>1.2805</v>
      </c>
      <c r="K85" s="7">
        <v>0.17299999999999999</v>
      </c>
      <c r="L85" s="7">
        <v>0.16769999999999999</v>
      </c>
      <c r="O85" s="7">
        <v>67</v>
      </c>
      <c r="P85" s="7">
        <v>674</v>
      </c>
      <c r="Q85" s="7">
        <v>758.9</v>
      </c>
      <c r="R85" s="4" t="s">
        <v>589</v>
      </c>
      <c r="S85" s="4" t="s">
        <v>579</v>
      </c>
      <c r="T85" s="4"/>
      <c r="U85" s="4" t="s">
        <v>225</v>
      </c>
      <c r="V85" s="4" t="s">
        <v>226</v>
      </c>
      <c r="W85" s="4"/>
      <c r="X85" s="4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  <c r="AT85" s="7"/>
      <c r="AU85" s="7"/>
      <c r="AV85" s="4"/>
      <c r="AW85" s="2"/>
      <c r="AX85" s="7"/>
      <c r="AY85" s="4"/>
      <c r="AZ85" s="4">
        <v>120.6</v>
      </c>
      <c r="BA85" s="2"/>
      <c r="BB85" s="2"/>
      <c r="BC85" s="10">
        <v>23.8</v>
      </c>
      <c r="BD85" s="68">
        <v>1003</v>
      </c>
      <c r="BE85" s="71">
        <v>50</v>
      </c>
      <c r="BF85" s="68">
        <v>1.17</v>
      </c>
      <c r="BG85" s="62">
        <v>2096</v>
      </c>
      <c r="BH85" s="2"/>
      <c r="BM85"/>
    </row>
    <row r="86" spans="1:65" x14ac:dyDescent="0.3">
      <c r="A86" s="2" t="s">
        <v>13</v>
      </c>
      <c r="B86" s="59" t="s">
        <v>14</v>
      </c>
      <c r="C86" s="3">
        <v>45274</v>
      </c>
      <c r="D86" s="8">
        <v>5</v>
      </c>
      <c r="E86" s="3" t="s">
        <v>592</v>
      </c>
      <c r="F86" s="62" t="s">
        <v>383</v>
      </c>
      <c r="G86" s="7">
        <v>0.16800000000000001</v>
      </c>
      <c r="H86" s="54">
        <v>5.0000000000000001E-3</v>
      </c>
      <c r="I86" s="7">
        <v>1.2805</v>
      </c>
      <c r="K86" s="7">
        <v>0.17</v>
      </c>
      <c r="L86" s="7">
        <v>0.17119999999999999</v>
      </c>
      <c r="O86" s="7">
        <v>65.3</v>
      </c>
      <c r="P86" s="7">
        <v>615</v>
      </c>
      <c r="Q86" s="7">
        <v>758</v>
      </c>
      <c r="R86" s="4" t="s">
        <v>589</v>
      </c>
      <c r="S86" s="4" t="s">
        <v>579</v>
      </c>
      <c r="T86" s="4"/>
      <c r="U86" s="4" t="s">
        <v>225</v>
      </c>
      <c r="V86" s="4" t="s">
        <v>226</v>
      </c>
      <c r="W86" s="4"/>
      <c r="X86" s="4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  <c r="AT86" s="7"/>
      <c r="AU86" s="7"/>
      <c r="AV86" s="4"/>
      <c r="AW86" s="2"/>
      <c r="AX86" s="7"/>
      <c r="AY86" s="4"/>
      <c r="AZ86" s="4">
        <v>120.6</v>
      </c>
      <c r="BA86" s="2"/>
      <c r="BB86" s="2"/>
      <c r="BC86" s="10">
        <v>25.5</v>
      </c>
      <c r="BD86" s="68">
        <v>1003</v>
      </c>
      <c r="BE86" s="71">
        <v>47</v>
      </c>
      <c r="BF86" s="68">
        <v>1.1639999999999999</v>
      </c>
      <c r="BG86" s="62">
        <v>2096</v>
      </c>
      <c r="BH86" s="2"/>
      <c r="BM86"/>
    </row>
    <row r="87" spans="1:65" x14ac:dyDescent="0.3">
      <c r="A87" s="2" t="s">
        <v>13</v>
      </c>
      <c r="B87" s="59" t="s">
        <v>17</v>
      </c>
      <c r="C87" s="3">
        <v>45274</v>
      </c>
      <c r="D87" s="8">
        <v>1</v>
      </c>
      <c r="E87" s="3" t="s">
        <v>414</v>
      </c>
      <c r="F87" s="2" t="s">
        <v>383</v>
      </c>
      <c r="G87" s="7">
        <v>0.19209999999999999</v>
      </c>
      <c r="H87" s="54">
        <v>2.7000000000000001E-3</v>
      </c>
      <c r="I87" s="7">
        <v>1.2735000000000001</v>
      </c>
      <c r="K87" s="7">
        <v>0.186</v>
      </c>
      <c r="L87" s="7">
        <v>0.19040000000000001</v>
      </c>
      <c r="O87" s="7">
        <v>62.8</v>
      </c>
      <c r="P87" s="7">
        <v>623</v>
      </c>
      <c r="Q87" s="7">
        <v>757</v>
      </c>
      <c r="R87" s="4" t="s">
        <v>15</v>
      </c>
      <c r="S87" s="4" t="s">
        <v>579</v>
      </c>
      <c r="T87" s="4"/>
      <c r="U87" s="4" t="s">
        <v>380</v>
      </c>
      <c r="V87" s="4" t="s">
        <v>226</v>
      </c>
      <c r="W87" s="4"/>
      <c r="X87" s="4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  <c r="AT87" s="7"/>
      <c r="AU87" s="7"/>
      <c r="AV87" s="4"/>
      <c r="AW87" s="2"/>
      <c r="AX87" s="7"/>
      <c r="AY87" s="4"/>
      <c r="AZ87" s="4">
        <v>117</v>
      </c>
      <c r="BA87" s="2"/>
      <c r="BB87" s="2"/>
      <c r="BC87" s="2">
        <v>24.2</v>
      </c>
      <c r="BD87" s="68">
        <v>1003</v>
      </c>
      <c r="BE87" s="71">
        <v>49</v>
      </c>
      <c r="BF87" s="68">
        <v>1.169</v>
      </c>
      <c r="BG87" s="2">
        <v>2096</v>
      </c>
      <c r="BH87" s="2"/>
      <c r="BM87"/>
    </row>
    <row r="88" spans="1:65" x14ac:dyDescent="0.3">
      <c r="A88" s="2" t="s">
        <v>13</v>
      </c>
      <c r="B88" s="59" t="s">
        <v>17</v>
      </c>
      <c r="C88" s="3">
        <v>45274</v>
      </c>
      <c r="D88" s="8">
        <v>2</v>
      </c>
      <c r="E88" s="3" t="s">
        <v>415</v>
      </c>
      <c r="F88" s="2" t="s">
        <v>551</v>
      </c>
      <c r="G88" s="7">
        <v>0.19450000000000001</v>
      </c>
      <c r="H88" s="54">
        <v>3.7000000000000002E-3</v>
      </c>
      <c r="I88" s="7">
        <v>1.2735000000000001</v>
      </c>
      <c r="K88" s="7">
        <v>0.188</v>
      </c>
      <c r="L88" s="7">
        <v>0.19339999999999999</v>
      </c>
      <c r="O88" s="7">
        <v>63.6</v>
      </c>
      <c r="P88" s="7">
        <v>645</v>
      </c>
      <c r="Q88" s="7">
        <v>757.6</v>
      </c>
      <c r="R88" s="4" t="s">
        <v>15</v>
      </c>
      <c r="S88" s="4" t="s">
        <v>579</v>
      </c>
      <c r="T88" s="4"/>
      <c r="U88" s="4" t="s">
        <v>380</v>
      </c>
      <c r="V88" s="4" t="s">
        <v>226</v>
      </c>
      <c r="W88" s="4"/>
      <c r="X88" s="4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/>
      <c r="AU88" s="7"/>
      <c r="AV88" s="4"/>
      <c r="AW88" s="2"/>
      <c r="AX88" s="7"/>
      <c r="AY88" s="4"/>
      <c r="AZ88" s="4">
        <v>117</v>
      </c>
      <c r="BA88" s="2"/>
      <c r="BB88" s="2"/>
      <c r="BC88" s="2">
        <v>24.3</v>
      </c>
      <c r="BD88" s="68">
        <v>1003</v>
      </c>
      <c r="BE88" s="71">
        <v>49</v>
      </c>
      <c r="BF88" s="68">
        <v>1.169</v>
      </c>
      <c r="BG88" s="2">
        <v>2096</v>
      </c>
      <c r="BH88" s="2"/>
      <c r="BM88"/>
    </row>
    <row r="89" spans="1:65" x14ac:dyDescent="0.3">
      <c r="A89" s="2" t="s">
        <v>13</v>
      </c>
      <c r="B89" s="59" t="s">
        <v>17</v>
      </c>
      <c r="C89" s="3">
        <v>45274</v>
      </c>
      <c r="D89" s="8">
        <v>6</v>
      </c>
      <c r="E89" s="3" t="s">
        <v>407</v>
      </c>
      <c r="F89" s="2" t="s">
        <v>383</v>
      </c>
      <c r="G89" s="7">
        <v>0.19270000000000001</v>
      </c>
      <c r="H89" s="54">
        <v>3.7000000000000002E-3</v>
      </c>
      <c r="I89" s="7">
        <v>1.2735000000000001</v>
      </c>
      <c r="K89" s="7">
        <v>0.183</v>
      </c>
      <c r="L89" s="7">
        <v>0.18840000000000001</v>
      </c>
      <c r="O89" s="7">
        <v>63.8</v>
      </c>
      <c r="P89" s="7">
        <v>625</v>
      </c>
      <c r="Q89" s="7">
        <v>757.3</v>
      </c>
      <c r="R89" s="4" t="s">
        <v>15</v>
      </c>
      <c r="S89" s="4" t="s">
        <v>579</v>
      </c>
      <c r="T89" s="4"/>
      <c r="U89" s="4" t="s">
        <v>380</v>
      </c>
      <c r="V89" s="4" t="s">
        <v>226</v>
      </c>
      <c r="W89" s="4"/>
      <c r="X89" s="4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  <c r="AT89" s="7"/>
      <c r="AU89" s="7"/>
      <c r="AV89" s="4"/>
      <c r="AW89" s="2"/>
      <c r="AX89" s="7"/>
      <c r="AY89" s="4"/>
      <c r="AZ89" s="4">
        <v>117</v>
      </c>
      <c r="BA89" s="2"/>
      <c r="BB89" s="2"/>
      <c r="BC89" s="2">
        <v>26.1</v>
      </c>
      <c r="BD89" s="68">
        <v>1004</v>
      </c>
      <c r="BE89" s="71">
        <v>46</v>
      </c>
      <c r="BF89" s="68">
        <v>1.1619999999999999</v>
      </c>
      <c r="BG89" s="2">
        <v>2096</v>
      </c>
      <c r="BH89" s="2"/>
      <c r="BM89"/>
    </row>
    <row r="90" spans="1:65" x14ac:dyDescent="0.3">
      <c r="A90" s="2" t="s">
        <v>381</v>
      </c>
      <c r="B90" s="59" t="s">
        <v>382</v>
      </c>
      <c r="C90" s="3">
        <v>45274</v>
      </c>
      <c r="D90" s="8">
        <v>3</v>
      </c>
      <c r="E90" s="3" t="s">
        <v>411</v>
      </c>
      <c r="F90" s="2" t="s">
        <v>383</v>
      </c>
      <c r="H90" s="54"/>
      <c r="L90" s="7">
        <v>0.1948</v>
      </c>
      <c r="O90" s="7">
        <v>62.4</v>
      </c>
      <c r="P90" s="7">
        <v>617</v>
      </c>
      <c r="Q90" s="7">
        <v>252.4</v>
      </c>
      <c r="R90" s="4" t="s">
        <v>15</v>
      </c>
      <c r="S90" s="4" t="s">
        <v>579</v>
      </c>
      <c r="T90" s="4"/>
      <c r="U90" s="4" t="s">
        <v>332</v>
      </c>
      <c r="V90" s="4" t="s">
        <v>578</v>
      </c>
      <c r="W90" s="4"/>
      <c r="X90" s="4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  <c r="AT90" s="7"/>
      <c r="AU90" s="7"/>
      <c r="AV90" s="4"/>
      <c r="AW90" s="2"/>
      <c r="AX90" s="7"/>
      <c r="AY90" s="4"/>
      <c r="AZ90" s="4">
        <v>111.6</v>
      </c>
      <c r="BA90" s="2"/>
      <c r="BB90" s="2"/>
      <c r="BC90" s="2">
        <v>24.6</v>
      </c>
      <c r="BD90" s="68">
        <v>1003</v>
      </c>
      <c r="BE90" s="71">
        <v>49</v>
      </c>
      <c r="BF90" s="68">
        <v>1.167</v>
      </c>
      <c r="BG90" s="2">
        <v>2096</v>
      </c>
      <c r="BH90" s="2" t="s">
        <v>384</v>
      </c>
      <c r="BM90"/>
    </row>
    <row r="91" spans="1:65" x14ac:dyDescent="0.3">
      <c r="A91" s="2" t="s">
        <v>381</v>
      </c>
      <c r="B91" s="59" t="s">
        <v>382</v>
      </c>
      <c r="C91" s="3">
        <v>45274</v>
      </c>
      <c r="D91" s="8">
        <v>5</v>
      </c>
      <c r="E91" s="3" t="s">
        <v>413</v>
      </c>
      <c r="F91" s="2" t="s">
        <v>383</v>
      </c>
      <c r="H91" s="54"/>
      <c r="L91" s="7">
        <v>0.1943</v>
      </c>
      <c r="O91" s="7">
        <v>62.6</v>
      </c>
      <c r="P91" s="7">
        <v>551</v>
      </c>
      <c r="Q91" s="7">
        <v>253.1</v>
      </c>
      <c r="R91" s="4" t="s">
        <v>15</v>
      </c>
      <c r="S91" s="4" t="s">
        <v>579</v>
      </c>
      <c r="T91" s="4"/>
      <c r="U91" s="4" t="s">
        <v>332</v>
      </c>
      <c r="V91" s="4" t="s">
        <v>578</v>
      </c>
      <c r="W91" s="4"/>
      <c r="X91" s="4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  <c r="AT91" s="7"/>
      <c r="AU91" s="7"/>
      <c r="AV91" s="4"/>
      <c r="AW91" s="2"/>
      <c r="AX91" s="7"/>
      <c r="AY91" s="4"/>
      <c r="AZ91" s="4">
        <v>111.6</v>
      </c>
      <c r="BA91" s="2"/>
      <c r="BB91" s="2"/>
      <c r="BC91" s="2">
        <v>25.1</v>
      </c>
      <c r="BD91" s="68">
        <v>1004</v>
      </c>
      <c r="BE91" s="71">
        <v>47</v>
      </c>
      <c r="BF91" s="68">
        <v>1.1659999999999999</v>
      </c>
      <c r="BG91" s="2">
        <v>2096</v>
      </c>
      <c r="BH91" s="2" t="s">
        <v>384</v>
      </c>
      <c r="BM91"/>
    </row>
    <row r="92" spans="1:65" x14ac:dyDescent="0.3">
      <c r="A92" s="2" t="s">
        <v>13</v>
      </c>
      <c r="B92" s="59" t="s">
        <v>28</v>
      </c>
      <c r="C92" s="3">
        <v>45278</v>
      </c>
      <c r="D92" s="8">
        <v>1</v>
      </c>
      <c r="E92" s="3" t="s">
        <v>405</v>
      </c>
      <c r="F92" s="2" t="s">
        <v>355</v>
      </c>
      <c r="G92" s="7">
        <v>0.1676</v>
      </c>
      <c r="H92" s="54">
        <v>4.0000000000000001E-3</v>
      </c>
      <c r="I92" s="7">
        <v>1.2275</v>
      </c>
      <c r="K92" s="7">
        <v>0.16500000000000001</v>
      </c>
      <c r="L92" s="7">
        <v>0.16239999999999999</v>
      </c>
      <c r="O92" s="7">
        <v>65.7</v>
      </c>
      <c r="P92" s="7">
        <v>606</v>
      </c>
      <c r="Q92" s="7">
        <v>755.2</v>
      </c>
      <c r="R92" s="4" t="s">
        <v>15</v>
      </c>
      <c r="S92" s="4" t="s">
        <v>579</v>
      </c>
      <c r="T92" s="4"/>
      <c r="U92" s="4" t="s">
        <v>573</v>
      </c>
      <c r="V92" s="4" t="s">
        <v>226</v>
      </c>
      <c r="W92" s="4"/>
      <c r="X92" s="4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  <c r="AT92" s="7"/>
      <c r="AU92" s="7"/>
      <c r="AV92" s="4"/>
      <c r="AW92" s="2"/>
      <c r="AX92" s="7"/>
      <c r="AY92" s="4"/>
      <c r="AZ92" s="4">
        <v>120.6</v>
      </c>
      <c r="BA92" s="2"/>
      <c r="BB92" s="2"/>
      <c r="BC92" s="2">
        <v>25.4</v>
      </c>
      <c r="BD92" s="68">
        <v>1013</v>
      </c>
      <c r="BE92" s="71">
        <v>58</v>
      </c>
      <c r="BF92" s="68">
        <v>1.1739999999999999</v>
      </c>
      <c r="BG92" s="2">
        <v>2096</v>
      </c>
      <c r="BH92" s="2"/>
      <c r="BM92"/>
    </row>
    <row r="93" spans="1:65" x14ac:dyDescent="0.3">
      <c r="A93" s="2" t="s">
        <v>13</v>
      </c>
      <c r="B93" s="59" t="s">
        <v>28</v>
      </c>
      <c r="C93" s="3">
        <v>45278</v>
      </c>
      <c r="D93" s="8">
        <v>5</v>
      </c>
      <c r="E93" s="3" t="s">
        <v>401</v>
      </c>
      <c r="F93" s="2" t="s">
        <v>355</v>
      </c>
      <c r="G93" s="7">
        <v>0.16819999999999999</v>
      </c>
      <c r="H93" s="54">
        <v>3.8E-3</v>
      </c>
      <c r="I93" s="7">
        <v>1.2275</v>
      </c>
      <c r="K93" s="7">
        <v>0.16200000000000001</v>
      </c>
      <c r="L93" s="7">
        <v>0.16109999999999999</v>
      </c>
      <c r="O93" s="7">
        <v>65.8</v>
      </c>
      <c r="P93" s="7">
        <v>591</v>
      </c>
      <c r="Q93" s="7">
        <v>755.1</v>
      </c>
      <c r="R93" s="4" t="s">
        <v>15</v>
      </c>
      <c r="S93" s="4" t="s">
        <v>579</v>
      </c>
      <c r="T93" s="4"/>
      <c r="U93" s="4" t="s">
        <v>573</v>
      </c>
      <c r="V93" s="4" t="s">
        <v>226</v>
      </c>
      <c r="W93" s="4"/>
      <c r="X93" s="4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  <c r="AT93" s="7"/>
      <c r="AU93" s="7"/>
      <c r="AV93" s="4"/>
      <c r="AW93" s="2"/>
      <c r="AX93" s="7"/>
      <c r="AY93" s="4"/>
      <c r="AZ93" s="4">
        <v>120.6</v>
      </c>
      <c r="BA93" s="2"/>
      <c r="BB93" s="2"/>
      <c r="BC93" s="2">
        <v>25.8</v>
      </c>
      <c r="BD93" s="68">
        <v>1013</v>
      </c>
      <c r="BE93" s="71">
        <v>58</v>
      </c>
      <c r="BF93" s="68">
        <v>1.1719999999999999</v>
      </c>
      <c r="BG93" s="2">
        <v>2096</v>
      </c>
      <c r="BH93" s="2"/>
      <c r="BM93"/>
    </row>
    <row r="94" spans="1:65" x14ac:dyDescent="0.3">
      <c r="A94" s="2" t="s">
        <v>13</v>
      </c>
      <c r="B94" s="59" t="s">
        <v>28</v>
      </c>
      <c r="C94" s="3">
        <v>45281</v>
      </c>
      <c r="D94" s="8">
        <v>1</v>
      </c>
      <c r="E94" s="3" t="s">
        <v>433</v>
      </c>
      <c r="F94" s="2" t="s">
        <v>22</v>
      </c>
      <c r="G94" s="7">
        <v>0.16220000000000001</v>
      </c>
      <c r="H94" s="54">
        <v>2.8E-3</v>
      </c>
      <c r="I94" s="7">
        <v>1.2404999999999999</v>
      </c>
      <c r="K94" s="7">
        <v>0.158</v>
      </c>
      <c r="L94" s="7">
        <v>0.16189999999999999</v>
      </c>
      <c r="O94" s="7">
        <v>61.9</v>
      </c>
      <c r="P94" s="7">
        <v>507</v>
      </c>
      <c r="Q94" s="7">
        <v>753.9</v>
      </c>
      <c r="R94" s="4" t="s">
        <v>15</v>
      </c>
      <c r="S94" s="4" t="s">
        <v>579</v>
      </c>
      <c r="T94" s="4"/>
      <c r="U94" s="4" t="s">
        <v>573</v>
      </c>
      <c r="V94" s="4"/>
      <c r="W94" s="4"/>
      <c r="X94" s="4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  <c r="AT94" s="7"/>
      <c r="AU94" s="7"/>
      <c r="AV94" s="4"/>
      <c r="AW94" s="2"/>
      <c r="AX94" s="7"/>
      <c r="AY94" s="4"/>
      <c r="AZ94" s="4">
        <v>117</v>
      </c>
      <c r="BA94" s="2"/>
      <c r="BB94" s="2"/>
      <c r="BC94" s="2">
        <v>28.7</v>
      </c>
      <c r="BD94" s="68">
        <v>1017</v>
      </c>
      <c r="BE94" s="71">
        <v>48</v>
      </c>
      <c r="BF94" s="68">
        <v>1.1659999999999999</v>
      </c>
      <c r="BG94" s="68">
        <v>2096</v>
      </c>
      <c r="BH94" s="2"/>
      <c r="BM94"/>
    </row>
    <row r="95" spans="1:65" x14ac:dyDescent="0.3">
      <c r="A95" s="2" t="s">
        <v>13</v>
      </c>
      <c r="B95" s="59" t="s">
        <v>28</v>
      </c>
      <c r="C95" s="3">
        <v>45281</v>
      </c>
      <c r="D95" s="8">
        <v>2</v>
      </c>
      <c r="E95" s="3" t="s">
        <v>420</v>
      </c>
      <c r="F95" s="2" t="s">
        <v>453</v>
      </c>
      <c r="G95" s="7">
        <v>0.1555</v>
      </c>
      <c r="H95" s="54">
        <v>1.6999999999999999E-3</v>
      </c>
      <c r="I95" s="7">
        <v>1.2404999999999999</v>
      </c>
      <c r="K95" s="7">
        <v>0.155</v>
      </c>
      <c r="L95" s="7">
        <v>0.15609999999999999</v>
      </c>
      <c r="O95" s="7">
        <v>63.2</v>
      </c>
      <c r="P95" s="7">
        <v>520</v>
      </c>
      <c r="Q95" s="7">
        <v>754.1</v>
      </c>
      <c r="R95" s="4" t="s">
        <v>15</v>
      </c>
      <c r="S95" s="4" t="s">
        <v>579</v>
      </c>
      <c r="T95" s="4"/>
      <c r="U95" s="4" t="s">
        <v>573</v>
      </c>
      <c r="V95" s="4"/>
      <c r="W95" s="4"/>
      <c r="X95" s="4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  <c r="AT95" s="7"/>
      <c r="AU95" s="7"/>
      <c r="AV95" s="4"/>
      <c r="AW95" s="2"/>
      <c r="AX95" s="7"/>
      <c r="AY95" s="4"/>
      <c r="AZ95" s="4"/>
      <c r="BA95" s="2"/>
      <c r="BB95" s="2"/>
      <c r="BC95" s="2"/>
      <c r="BD95" s="68"/>
      <c r="BE95" s="71"/>
      <c r="BF95" s="68"/>
      <c r="BG95" s="68">
        <v>2096</v>
      </c>
      <c r="BH95" s="2"/>
      <c r="BM95"/>
    </row>
    <row r="96" spans="1:65" x14ac:dyDescent="0.3">
      <c r="A96" s="2" t="s">
        <v>13</v>
      </c>
      <c r="B96" s="59" t="s">
        <v>28</v>
      </c>
      <c r="C96" s="3">
        <v>45281</v>
      </c>
      <c r="D96" s="8">
        <v>4</v>
      </c>
      <c r="E96" s="3" t="s">
        <v>442</v>
      </c>
      <c r="F96" s="2" t="s">
        <v>22</v>
      </c>
      <c r="G96" s="7">
        <v>0.16170000000000001</v>
      </c>
      <c r="H96" s="54">
        <v>1.5E-3</v>
      </c>
      <c r="I96" s="7">
        <v>1.2404999999999999</v>
      </c>
      <c r="K96" s="7">
        <v>0.161</v>
      </c>
      <c r="L96" s="7">
        <v>0.16250000000000001</v>
      </c>
      <c r="O96" s="7">
        <v>63.2</v>
      </c>
      <c r="P96" s="7">
        <v>543</v>
      </c>
      <c r="Q96" s="7">
        <v>754.1</v>
      </c>
      <c r="R96" s="4" t="s">
        <v>15</v>
      </c>
      <c r="S96" s="4" t="s">
        <v>579</v>
      </c>
      <c r="T96" s="4"/>
      <c r="U96" s="4" t="s">
        <v>573</v>
      </c>
      <c r="V96" s="4"/>
      <c r="W96" s="4"/>
      <c r="X96" s="4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  <c r="AT96" s="7"/>
      <c r="AU96" s="7"/>
      <c r="AV96" s="4"/>
      <c r="AW96" s="2"/>
      <c r="AX96" s="7"/>
      <c r="AY96" s="4"/>
      <c r="AZ96" s="4">
        <v>111.6</v>
      </c>
      <c r="BA96" s="2"/>
      <c r="BB96" s="2"/>
      <c r="BC96" s="2">
        <v>28.7</v>
      </c>
      <c r="BD96" s="68">
        <v>1017</v>
      </c>
      <c r="BE96" s="71">
        <v>48</v>
      </c>
      <c r="BF96" s="68">
        <v>1.1659999999999999</v>
      </c>
      <c r="BG96" s="68">
        <v>2096</v>
      </c>
      <c r="BH96" s="2"/>
      <c r="BM96"/>
    </row>
    <row r="97" spans="1:65" x14ac:dyDescent="0.3">
      <c r="A97" s="2" t="s">
        <v>13</v>
      </c>
      <c r="B97" s="59" t="s">
        <v>28</v>
      </c>
      <c r="C97" s="3">
        <v>45281</v>
      </c>
      <c r="D97" s="8">
        <v>5</v>
      </c>
      <c r="E97" s="3" t="s">
        <v>435</v>
      </c>
      <c r="F97" s="2" t="s">
        <v>453</v>
      </c>
      <c r="G97" s="7">
        <v>0.15790000000000001</v>
      </c>
      <c r="H97" s="54">
        <v>3.0000000000000001E-3</v>
      </c>
      <c r="I97" s="7">
        <v>1.2404999999999999</v>
      </c>
      <c r="K97" s="7">
        <v>0.156</v>
      </c>
      <c r="L97" s="7">
        <v>0.1603</v>
      </c>
      <c r="O97" s="7">
        <v>62.1</v>
      </c>
      <c r="P97" s="7">
        <v>512</v>
      </c>
      <c r="Q97" s="7">
        <v>754.2</v>
      </c>
      <c r="R97" s="4" t="s">
        <v>15</v>
      </c>
      <c r="S97" s="4" t="s">
        <v>579</v>
      </c>
      <c r="T97" s="4"/>
      <c r="U97" s="4" t="s">
        <v>573</v>
      </c>
      <c r="V97" s="4"/>
      <c r="W97" s="4"/>
      <c r="X97" s="4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  <c r="AT97" s="7"/>
      <c r="AU97" s="7"/>
      <c r="AV97" s="4"/>
      <c r="AW97" s="2"/>
      <c r="AX97" s="7"/>
      <c r="AY97" s="4"/>
      <c r="AZ97" s="4">
        <v>117</v>
      </c>
      <c r="BA97" s="2"/>
      <c r="BB97" s="2"/>
      <c r="BC97" s="2">
        <v>28.7</v>
      </c>
      <c r="BD97" s="68">
        <v>1017</v>
      </c>
      <c r="BE97" s="71">
        <v>48</v>
      </c>
      <c r="BF97" s="68">
        <v>1.1659999999999999</v>
      </c>
      <c r="BG97" s="68">
        <v>2096</v>
      </c>
      <c r="BH97" s="2"/>
      <c r="BM97"/>
    </row>
    <row r="98" spans="1:65" x14ac:dyDescent="0.3">
      <c r="A98" s="2" t="s">
        <v>13</v>
      </c>
      <c r="B98" s="59" t="s">
        <v>444</v>
      </c>
      <c r="C98" s="3">
        <v>45313</v>
      </c>
      <c r="D98" s="8">
        <v>1</v>
      </c>
      <c r="E98" s="3" t="s">
        <v>456</v>
      </c>
      <c r="F98" s="2" t="s">
        <v>222</v>
      </c>
      <c r="G98" s="7">
        <v>0.1855</v>
      </c>
      <c r="H98" s="54">
        <v>6.4999999999999997E-3</v>
      </c>
      <c r="I98" s="7">
        <v>1.2344999999999999</v>
      </c>
      <c r="L98" s="7">
        <v>0.1847</v>
      </c>
      <c r="O98" s="7">
        <v>60.1</v>
      </c>
      <c r="P98" s="7">
        <v>506</v>
      </c>
      <c r="Q98" s="7">
        <v>753.3</v>
      </c>
      <c r="R98" s="4" t="s">
        <v>15</v>
      </c>
      <c r="S98" s="4" t="s">
        <v>579</v>
      </c>
      <c r="T98" s="4"/>
      <c r="U98" s="4" t="s">
        <v>577</v>
      </c>
      <c r="V98" s="4"/>
      <c r="W98" s="4"/>
      <c r="X98" s="4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  <c r="AT98" s="7"/>
      <c r="AU98" s="7"/>
      <c r="AV98" s="4"/>
      <c r="AW98" s="2"/>
      <c r="AX98" s="7">
        <v>85.2</v>
      </c>
      <c r="AY98" s="4"/>
      <c r="AZ98" s="4">
        <v>109.7</v>
      </c>
      <c r="BA98" s="2"/>
      <c r="BB98" s="2"/>
      <c r="BC98" s="2">
        <v>29.8</v>
      </c>
      <c r="BD98" s="68">
        <v>998</v>
      </c>
      <c r="BE98" s="71">
        <v>58</v>
      </c>
      <c r="BF98" s="68">
        <v>1.137</v>
      </c>
      <c r="BG98" s="68">
        <v>2096</v>
      </c>
      <c r="BH98" s="2"/>
      <c r="BM98"/>
    </row>
    <row r="99" spans="1:65" x14ac:dyDescent="0.3">
      <c r="A99" s="2" t="s">
        <v>13</v>
      </c>
      <c r="B99" s="59" t="s">
        <v>444</v>
      </c>
      <c r="C99" s="3">
        <v>45313</v>
      </c>
      <c r="D99" s="8">
        <v>7</v>
      </c>
      <c r="E99" s="3" t="s">
        <v>489</v>
      </c>
      <c r="F99" s="2" t="s">
        <v>222</v>
      </c>
      <c r="G99" s="7">
        <v>0.1915</v>
      </c>
      <c r="H99" s="54">
        <v>4.1999999999999997E-3</v>
      </c>
      <c r="I99" s="7">
        <v>1.2344999999999999</v>
      </c>
      <c r="L99" s="7">
        <v>0.1865</v>
      </c>
      <c r="O99" s="7">
        <v>60.1</v>
      </c>
      <c r="P99" s="7">
        <v>509</v>
      </c>
      <c r="Q99" s="7">
        <v>753.3</v>
      </c>
      <c r="R99" s="4" t="s">
        <v>15</v>
      </c>
      <c r="S99" s="4" t="s">
        <v>579</v>
      </c>
      <c r="T99" s="4"/>
      <c r="U99" s="4" t="s">
        <v>577</v>
      </c>
      <c r="V99" s="4"/>
      <c r="W99" s="4"/>
      <c r="X99" s="4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  <c r="AT99" s="7"/>
      <c r="AU99" s="7"/>
      <c r="AV99" s="4"/>
      <c r="AW99" s="2"/>
      <c r="AX99" s="7">
        <v>84.4</v>
      </c>
      <c r="AY99" s="4"/>
      <c r="AZ99" s="4">
        <v>109.7</v>
      </c>
      <c r="BA99" s="2"/>
      <c r="BB99" s="2"/>
      <c r="BC99" s="2">
        <v>31.1</v>
      </c>
      <c r="BD99" s="68">
        <v>998</v>
      </c>
      <c r="BE99" s="71">
        <v>56</v>
      </c>
      <c r="BF99" s="68">
        <v>1.131</v>
      </c>
      <c r="BG99" s="68">
        <v>2096</v>
      </c>
      <c r="BH99" s="2"/>
      <c r="BM99"/>
    </row>
    <row r="100" spans="1:65" x14ac:dyDescent="0.3">
      <c r="A100" s="2" t="s">
        <v>13</v>
      </c>
      <c r="B100" s="59" t="s">
        <v>24</v>
      </c>
      <c r="C100" s="3">
        <v>45323</v>
      </c>
      <c r="D100" s="8">
        <v>1</v>
      </c>
      <c r="E100" s="3"/>
      <c r="F100" s="2" t="s">
        <v>214</v>
      </c>
      <c r="G100" s="7">
        <v>0.1779</v>
      </c>
      <c r="H100" s="54">
        <v>1.8E-3</v>
      </c>
      <c r="I100" s="7">
        <v>1.268</v>
      </c>
      <c r="L100" s="7">
        <v>0.17469999999999999</v>
      </c>
      <c r="O100" s="7">
        <v>62.8</v>
      </c>
      <c r="P100" s="7">
        <v>548</v>
      </c>
      <c r="Q100" s="7">
        <v>757</v>
      </c>
      <c r="R100" s="4" t="s">
        <v>15</v>
      </c>
      <c r="S100" s="4" t="s">
        <v>579</v>
      </c>
      <c r="T100" s="4"/>
      <c r="U100" s="4" t="s">
        <v>225</v>
      </c>
      <c r="V100" s="4"/>
      <c r="W100" s="4"/>
      <c r="X100" s="4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  <c r="AT100" s="7"/>
      <c r="AU100" s="7"/>
      <c r="AV100" s="4"/>
      <c r="AW100" s="2"/>
      <c r="AX100" s="7"/>
      <c r="AY100" s="4"/>
      <c r="AZ100" s="4">
        <v>117</v>
      </c>
      <c r="BA100" s="2"/>
      <c r="BB100" s="2"/>
      <c r="BC100" s="2">
        <v>27.7</v>
      </c>
      <c r="BD100" s="68">
        <v>996</v>
      </c>
      <c r="BE100" s="71">
        <v>55</v>
      </c>
      <c r="BF100" s="68">
        <v>1.145</v>
      </c>
      <c r="BG100" s="68">
        <v>2096</v>
      </c>
      <c r="BH100" s="2"/>
      <c r="BM100"/>
    </row>
    <row r="101" spans="1:65" x14ac:dyDescent="0.3">
      <c r="A101" s="2" t="s">
        <v>13</v>
      </c>
      <c r="B101" s="59" t="s">
        <v>24</v>
      </c>
      <c r="C101" s="3">
        <v>45323</v>
      </c>
      <c r="D101" s="8">
        <v>2</v>
      </c>
      <c r="E101" s="3"/>
      <c r="F101" s="2" t="s">
        <v>551</v>
      </c>
      <c r="G101" s="7">
        <v>0.17979999999999999</v>
      </c>
      <c r="H101" s="54">
        <v>2.3999999999999998E-3</v>
      </c>
      <c r="I101" s="7">
        <v>1.268</v>
      </c>
      <c r="L101" s="7">
        <v>0.17510000000000001</v>
      </c>
      <c r="O101" s="7">
        <v>62.2</v>
      </c>
      <c r="P101" s="7">
        <v>534</v>
      </c>
      <c r="Q101" s="7">
        <v>756.9</v>
      </c>
      <c r="R101" s="4" t="s">
        <v>15</v>
      </c>
      <c r="S101" s="4" t="s">
        <v>579</v>
      </c>
      <c r="T101" s="4"/>
      <c r="U101" s="4" t="s">
        <v>225</v>
      </c>
      <c r="V101" s="4"/>
      <c r="W101" s="4"/>
      <c r="X101" s="4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  <c r="AT101" s="7"/>
      <c r="AU101" s="7"/>
      <c r="AV101" s="4"/>
      <c r="AW101" s="2"/>
      <c r="AX101" s="7"/>
      <c r="AY101" s="4"/>
      <c r="AZ101" s="4">
        <v>117</v>
      </c>
      <c r="BA101" s="2"/>
      <c r="BB101" s="2"/>
      <c r="BC101" s="2">
        <v>27.7</v>
      </c>
      <c r="BD101" s="68">
        <v>996</v>
      </c>
      <c r="BE101" s="71">
        <v>55</v>
      </c>
      <c r="BF101" s="68">
        <v>1.145</v>
      </c>
      <c r="BG101" s="68">
        <v>2096</v>
      </c>
      <c r="BH101" s="2"/>
      <c r="BM101"/>
    </row>
    <row r="102" spans="1:65" x14ac:dyDescent="0.3">
      <c r="A102" s="2" t="s">
        <v>13</v>
      </c>
      <c r="B102" s="59" t="s">
        <v>24</v>
      </c>
      <c r="C102" s="3">
        <v>45323</v>
      </c>
      <c r="D102" s="8">
        <v>3</v>
      </c>
      <c r="E102" s="3"/>
      <c r="F102" s="2" t="s">
        <v>214</v>
      </c>
      <c r="G102" s="7">
        <v>0.18060000000000001</v>
      </c>
      <c r="H102" s="54">
        <v>3.8999999999999998E-3</v>
      </c>
      <c r="I102" s="7">
        <v>1.268</v>
      </c>
      <c r="L102" s="7">
        <v>0.17610000000000001</v>
      </c>
      <c r="O102" s="7">
        <v>63.4</v>
      </c>
      <c r="P102" s="7">
        <v>564</v>
      </c>
      <c r="Q102" s="7">
        <v>757</v>
      </c>
      <c r="R102" s="4" t="s">
        <v>15</v>
      </c>
      <c r="S102" s="4" t="s">
        <v>579</v>
      </c>
      <c r="T102" s="4"/>
      <c r="U102" s="4" t="s">
        <v>225</v>
      </c>
      <c r="V102" s="4"/>
      <c r="W102" s="4"/>
      <c r="X102" s="4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  <c r="AT102" s="7"/>
      <c r="AU102" s="7"/>
      <c r="AV102" s="4"/>
      <c r="AW102" s="2"/>
      <c r="AX102" s="7"/>
      <c r="AY102" s="4"/>
      <c r="AZ102" s="4">
        <v>117</v>
      </c>
      <c r="BA102" s="2"/>
      <c r="BB102" s="2"/>
      <c r="BC102" s="2">
        <v>28</v>
      </c>
      <c r="BD102" s="68">
        <v>995</v>
      </c>
      <c r="BE102" s="71">
        <v>53</v>
      </c>
      <c r="BF102" s="68">
        <v>1.143</v>
      </c>
      <c r="BG102" s="68">
        <v>2096</v>
      </c>
      <c r="BH102" s="2"/>
      <c r="BM102"/>
    </row>
    <row r="103" spans="1:65" x14ac:dyDescent="0.3">
      <c r="A103" s="2" t="s">
        <v>13</v>
      </c>
      <c r="B103" s="59" t="s">
        <v>24</v>
      </c>
      <c r="C103" s="3">
        <v>45323</v>
      </c>
      <c r="D103" s="8">
        <v>4</v>
      </c>
      <c r="E103" s="3"/>
      <c r="F103" s="2" t="s">
        <v>551</v>
      </c>
      <c r="G103" s="7">
        <v>0.1799</v>
      </c>
      <c r="H103" s="54">
        <v>2.3999999999999998E-3</v>
      </c>
      <c r="I103" s="7">
        <v>1.268</v>
      </c>
      <c r="L103" s="7">
        <v>0.17560000000000001</v>
      </c>
      <c r="O103" s="7">
        <v>63.8</v>
      </c>
      <c r="P103" s="7">
        <v>555</v>
      </c>
      <c r="Q103" s="7">
        <v>756</v>
      </c>
      <c r="R103" s="4" t="s">
        <v>15</v>
      </c>
      <c r="S103" s="4" t="s">
        <v>579</v>
      </c>
      <c r="T103" s="4"/>
      <c r="U103" s="4" t="s">
        <v>225</v>
      </c>
      <c r="V103" s="4"/>
      <c r="W103" s="4"/>
      <c r="X103" s="4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  <c r="AT103" s="7"/>
      <c r="AU103" s="7"/>
      <c r="AV103" s="4"/>
      <c r="AW103" s="2"/>
      <c r="AX103" s="7"/>
      <c r="AY103" s="4"/>
      <c r="AZ103" s="4">
        <v>117</v>
      </c>
      <c r="BA103" s="2"/>
      <c r="BB103" s="2"/>
      <c r="BC103" s="2">
        <v>28.2</v>
      </c>
      <c r="BD103" s="68">
        <v>995</v>
      </c>
      <c r="BE103" s="71">
        <v>53</v>
      </c>
      <c r="BF103" s="68">
        <v>1.1419999999999999</v>
      </c>
      <c r="BG103" s="68">
        <v>2096</v>
      </c>
      <c r="BH103" s="2"/>
      <c r="BM103"/>
    </row>
    <row r="104" spans="1:65" x14ac:dyDescent="0.3">
      <c r="A104" s="2" t="s">
        <v>13</v>
      </c>
      <c r="B104" s="59" t="s">
        <v>26</v>
      </c>
      <c r="C104" s="3">
        <v>45330</v>
      </c>
      <c r="D104" s="8">
        <v>1</v>
      </c>
      <c r="E104" s="3" t="s">
        <v>535</v>
      </c>
      <c r="F104" s="2" t="s">
        <v>355</v>
      </c>
      <c r="G104" s="7">
        <v>0.1731</v>
      </c>
      <c r="H104" s="54">
        <v>2.3E-3</v>
      </c>
      <c r="I104" s="7">
        <v>1.2255</v>
      </c>
      <c r="K104" s="7">
        <v>0.17399999999999999</v>
      </c>
      <c r="L104" s="7">
        <v>0.1734</v>
      </c>
      <c r="O104" s="7">
        <v>64</v>
      </c>
      <c r="P104" s="7">
        <v>609</v>
      </c>
      <c r="Q104" s="7">
        <v>758.4</v>
      </c>
      <c r="R104" s="4" t="s">
        <v>15</v>
      </c>
      <c r="S104" s="4" t="s">
        <v>579</v>
      </c>
      <c r="T104" s="4"/>
      <c r="U104" s="4" t="s">
        <v>225</v>
      </c>
      <c r="V104" s="4"/>
      <c r="W104" s="4"/>
      <c r="X104" s="4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  <c r="AT104" s="7"/>
      <c r="AU104" s="7"/>
      <c r="AV104" s="4"/>
      <c r="AW104" s="2"/>
      <c r="AX104" s="7"/>
      <c r="AY104" s="4"/>
      <c r="AZ104" s="4">
        <v>113.4</v>
      </c>
      <c r="BA104" s="2"/>
      <c r="BB104" s="2"/>
      <c r="BC104" s="10">
        <v>24</v>
      </c>
      <c r="BD104" s="68">
        <v>1012.8</v>
      </c>
      <c r="BE104" s="71">
        <v>51.7</v>
      </c>
      <c r="BF104" s="68"/>
      <c r="BG104" s="68">
        <v>2096</v>
      </c>
      <c r="BH104" s="2" t="s">
        <v>504</v>
      </c>
      <c r="BM104"/>
    </row>
    <row r="105" spans="1:65" x14ac:dyDescent="0.3">
      <c r="A105" s="2" t="s">
        <v>13</v>
      </c>
      <c r="B105" s="59" t="s">
        <v>26</v>
      </c>
      <c r="C105" s="3">
        <v>45330</v>
      </c>
      <c r="D105" s="8">
        <v>4</v>
      </c>
      <c r="E105" s="3" t="s">
        <v>532</v>
      </c>
      <c r="F105" s="2" t="s">
        <v>355</v>
      </c>
      <c r="G105" s="7">
        <v>0.17469999999999999</v>
      </c>
      <c r="H105" s="54">
        <v>4.1999999999999997E-3</v>
      </c>
      <c r="I105" s="7">
        <v>1.2255</v>
      </c>
      <c r="K105" s="7">
        <v>0.17599999999999999</v>
      </c>
      <c r="L105" s="7">
        <v>0.17519999999999999</v>
      </c>
      <c r="O105" s="7">
        <v>64.8</v>
      </c>
      <c r="P105" s="7">
        <v>634</v>
      </c>
      <c r="Q105" s="7">
        <v>757.8</v>
      </c>
      <c r="R105" s="4" t="s">
        <v>15</v>
      </c>
      <c r="S105" s="4" t="s">
        <v>579</v>
      </c>
      <c r="T105" s="4"/>
      <c r="U105" s="4" t="s">
        <v>225</v>
      </c>
      <c r="V105" s="4"/>
      <c r="W105" s="4"/>
      <c r="X105" s="4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  <c r="AT105" s="7"/>
      <c r="AU105" s="7"/>
      <c r="AV105" s="4"/>
      <c r="AW105" s="2"/>
      <c r="AX105" s="7"/>
      <c r="AY105" s="4"/>
      <c r="AZ105" s="4">
        <v>113.4</v>
      </c>
      <c r="BA105" s="2"/>
      <c r="BB105" s="2"/>
      <c r="BC105" s="10">
        <v>24.1</v>
      </c>
      <c r="BD105" s="68">
        <v>1012</v>
      </c>
      <c r="BE105" s="71">
        <v>50.2</v>
      </c>
      <c r="BF105" s="68"/>
      <c r="BG105" s="68">
        <v>2096</v>
      </c>
      <c r="BH105" s="2" t="s">
        <v>506</v>
      </c>
      <c r="BM105"/>
    </row>
    <row r="106" spans="1:65" x14ac:dyDescent="0.3">
      <c r="A106" s="2" t="s">
        <v>43</v>
      </c>
      <c r="B106" s="59" t="s">
        <v>45</v>
      </c>
      <c r="C106" s="3">
        <v>45236</v>
      </c>
      <c r="D106" s="8">
        <v>3</v>
      </c>
      <c r="E106" s="3" t="s">
        <v>269</v>
      </c>
      <c r="F106" s="2" t="s">
        <v>558</v>
      </c>
      <c r="G106" s="7">
        <v>0.154</v>
      </c>
      <c r="H106" s="7">
        <v>4.3E-3</v>
      </c>
      <c r="I106" s="7">
        <v>1.2529999999999999</v>
      </c>
      <c r="J106" s="7">
        <v>508</v>
      </c>
      <c r="K106" s="7">
        <v>0.158</v>
      </c>
      <c r="L106" s="7">
        <v>0.15559999999999999</v>
      </c>
      <c r="O106" s="7">
        <v>60.1</v>
      </c>
      <c r="P106" s="7">
        <v>453</v>
      </c>
      <c r="Q106" s="7">
        <v>750</v>
      </c>
      <c r="R106" s="4" t="s">
        <v>217</v>
      </c>
      <c r="S106" s="4" t="s">
        <v>580</v>
      </c>
      <c r="T106" s="4"/>
      <c r="U106" s="4" t="s">
        <v>225</v>
      </c>
      <c r="V106" s="4"/>
      <c r="W106" s="4"/>
      <c r="X106" s="4" t="s">
        <v>78</v>
      </c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>
        <v>75.099999999999994</v>
      </c>
      <c r="AY106" s="4"/>
      <c r="AZ106" s="4">
        <v>111.6</v>
      </c>
      <c r="BA106" s="4"/>
      <c r="BB106" s="4"/>
      <c r="BC106" s="4">
        <v>25.2</v>
      </c>
      <c r="BD106" s="4">
        <v>1010</v>
      </c>
      <c r="BE106" s="57">
        <v>47</v>
      </c>
      <c r="BF106" s="57"/>
      <c r="BG106" s="4"/>
      <c r="BH106" s="4"/>
      <c r="BM106"/>
    </row>
    <row r="107" spans="1:65" x14ac:dyDescent="0.3">
      <c r="A107" s="2" t="s">
        <v>43</v>
      </c>
      <c r="B107" s="59" t="s">
        <v>45</v>
      </c>
      <c r="C107" s="3">
        <v>45236</v>
      </c>
      <c r="D107" s="8">
        <v>7</v>
      </c>
      <c r="E107" s="3" t="s">
        <v>199</v>
      </c>
      <c r="F107" s="2" t="s">
        <v>558</v>
      </c>
      <c r="G107" s="7">
        <v>0.1522</v>
      </c>
      <c r="H107" s="7">
        <v>2E-3</v>
      </c>
      <c r="I107" s="7">
        <v>1.2529999999999999</v>
      </c>
      <c r="J107" s="7">
        <v>508</v>
      </c>
      <c r="K107" s="7">
        <v>0.156</v>
      </c>
      <c r="L107" s="7">
        <v>0.15240000000000001</v>
      </c>
      <c r="O107" s="7">
        <v>61</v>
      </c>
      <c r="P107" s="7">
        <v>458</v>
      </c>
      <c r="Q107" s="7">
        <v>750</v>
      </c>
      <c r="R107" s="4" t="s">
        <v>217</v>
      </c>
      <c r="S107" s="4" t="s">
        <v>580</v>
      </c>
      <c r="T107" s="4"/>
      <c r="U107" s="4" t="s">
        <v>225</v>
      </c>
      <c r="V107" s="4"/>
      <c r="W107" s="4"/>
      <c r="X107" s="4" t="s">
        <v>78</v>
      </c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>
        <v>79.5</v>
      </c>
      <c r="AY107" s="4"/>
      <c r="AZ107" s="4">
        <v>111.6</v>
      </c>
      <c r="BA107" s="4"/>
      <c r="BB107" s="4"/>
      <c r="BC107" s="4">
        <v>25.8</v>
      </c>
      <c r="BD107" s="4">
        <v>1009</v>
      </c>
      <c r="BE107" s="57">
        <v>45.7</v>
      </c>
      <c r="BF107" s="57"/>
      <c r="BG107" s="4"/>
      <c r="BH107" s="4"/>
      <c r="BM107"/>
    </row>
    <row r="108" spans="1:65" x14ac:dyDescent="0.3">
      <c r="A108" s="2" t="s">
        <v>43</v>
      </c>
      <c r="B108" s="59" t="s">
        <v>79</v>
      </c>
      <c r="C108" s="3">
        <v>45236</v>
      </c>
      <c r="D108" s="8">
        <v>3</v>
      </c>
      <c r="E108" s="3" t="s">
        <v>280</v>
      </c>
      <c r="F108" s="2" t="s">
        <v>549</v>
      </c>
      <c r="G108" s="7">
        <v>0.14879999999999999</v>
      </c>
      <c r="H108" s="7">
        <v>4.5999999999999999E-3</v>
      </c>
      <c r="I108" s="7">
        <v>1.2404999999999999</v>
      </c>
      <c r="J108" s="7">
        <v>507</v>
      </c>
      <c r="K108" s="7">
        <v>0.155</v>
      </c>
      <c r="L108" s="7">
        <v>0.14699999999999999</v>
      </c>
      <c r="O108" s="7">
        <v>60.9</v>
      </c>
      <c r="P108" s="7">
        <v>448</v>
      </c>
      <c r="Q108" s="7">
        <v>750</v>
      </c>
      <c r="R108" s="4" t="s">
        <v>217</v>
      </c>
      <c r="S108" s="4" t="s">
        <v>580</v>
      </c>
      <c r="T108" s="4"/>
      <c r="U108" s="4" t="s">
        <v>225</v>
      </c>
      <c r="V108" s="4"/>
      <c r="W108" s="4"/>
      <c r="X108" s="4" t="s">
        <v>78</v>
      </c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>
        <v>70.3</v>
      </c>
      <c r="AY108" s="4"/>
      <c r="AZ108" s="4">
        <v>111.6</v>
      </c>
      <c r="BA108" s="4"/>
      <c r="BB108" s="4"/>
      <c r="BC108" s="16">
        <v>25.5</v>
      </c>
      <c r="BD108" s="70">
        <v>1012</v>
      </c>
      <c r="BE108" s="16">
        <v>39.4</v>
      </c>
      <c r="BF108" s="69"/>
      <c r="BG108" s="4"/>
      <c r="BH108" s="4" t="s">
        <v>100</v>
      </c>
      <c r="BM108"/>
    </row>
    <row r="109" spans="1:65" x14ac:dyDescent="0.3">
      <c r="A109" s="2" t="s">
        <v>43</v>
      </c>
      <c r="B109" s="59" t="s">
        <v>79</v>
      </c>
      <c r="C109" s="3">
        <v>45236</v>
      </c>
      <c r="D109" s="8">
        <v>4</v>
      </c>
      <c r="E109" s="3" t="s">
        <v>281</v>
      </c>
      <c r="F109" s="2" t="s">
        <v>549</v>
      </c>
      <c r="G109" s="7">
        <v>0.15029999999999999</v>
      </c>
      <c r="H109" s="7">
        <v>4.4000000000000003E-3</v>
      </c>
      <c r="I109" s="7">
        <v>1.2404999999999999</v>
      </c>
      <c r="J109" s="7">
        <v>507</v>
      </c>
      <c r="K109" s="7">
        <v>0.154</v>
      </c>
      <c r="L109" s="7">
        <v>0.1487</v>
      </c>
      <c r="O109" s="7">
        <v>60.3</v>
      </c>
      <c r="P109" s="7">
        <v>431</v>
      </c>
      <c r="Q109" s="7">
        <v>750</v>
      </c>
      <c r="R109" s="4" t="s">
        <v>217</v>
      </c>
      <c r="S109" s="4" t="s">
        <v>580</v>
      </c>
      <c r="T109" s="4"/>
      <c r="U109" s="4" t="s">
        <v>332</v>
      </c>
      <c r="V109" s="4"/>
      <c r="W109" s="4"/>
      <c r="X109" s="4" t="s">
        <v>78</v>
      </c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>
        <v>72.400000000000006</v>
      </c>
      <c r="AY109" s="4"/>
      <c r="AZ109" s="4">
        <v>111.6</v>
      </c>
      <c r="BA109" s="4"/>
      <c r="BB109" s="4"/>
      <c r="BC109" s="16">
        <v>25.5</v>
      </c>
      <c r="BD109" s="70">
        <v>1012</v>
      </c>
      <c r="BE109" s="16">
        <v>39.4</v>
      </c>
      <c r="BF109" s="69"/>
      <c r="BG109" s="4"/>
      <c r="BH109" s="4"/>
      <c r="BM109"/>
    </row>
    <row r="110" spans="1:65" x14ac:dyDescent="0.3">
      <c r="A110" s="2" t="s">
        <v>43</v>
      </c>
      <c r="B110" s="59" t="s">
        <v>79</v>
      </c>
      <c r="C110" s="3">
        <v>45236</v>
      </c>
      <c r="D110" s="8">
        <v>7</v>
      </c>
      <c r="E110" s="3" t="s">
        <v>277</v>
      </c>
      <c r="F110" s="2" t="s">
        <v>549</v>
      </c>
      <c r="G110" s="7">
        <v>0.1482</v>
      </c>
      <c r="H110" s="7">
        <v>3.7000000000000002E-3</v>
      </c>
      <c r="I110" s="7">
        <v>1.2404999999999999</v>
      </c>
      <c r="J110" s="7">
        <v>507</v>
      </c>
      <c r="K110" s="7">
        <v>0.155</v>
      </c>
      <c r="L110" s="7">
        <v>0.1472</v>
      </c>
      <c r="O110" s="7">
        <v>60.8</v>
      </c>
      <c r="P110" s="7">
        <v>446</v>
      </c>
      <c r="Q110" s="7">
        <v>750</v>
      </c>
      <c r="R110" s="4" t="s">
        <v>217</v>
      </c>
      <c r="S110" s="4" t="s">
        <v>580</v>
      </c>
      <c r="T110" s="4"/>
      <c r="U110" s="4" t="s">
        <v>225</v>
      </c>
      <c r="V110" s="4"/>
      <c r="W110" s="4"/>
      <c r="X110" s="4" t="s">
        <v>78</v>
      </c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>
        <v>70.2</v>
      </c>
      <c r="AY110" s="4"/>
      <c r="AZ110" s="4">
        <v>111.6</v>
      </c>
      <c r="BA110" s="4"/>
      <c r="BB110" s="4"/>
      <c r="BC110" s="16">
        <v>26</v>
      </c>
      <c r="BD110" s="70">
        <v>1012</v>
      </c>
      <c r="BE110" s="16">
        <v>40</v>
      </c>
      <c r="BF110" s="69"/>
      <c r="BG110" s="4"/>
      <c r="BH110" s="4"/>
      <c r="BM110"/>
    </row>
    <row r="111" spans="1:65" x14ac:dyDescent="0.3">
      <c r="A111" s="2" t="s">
        <v>43</v>
      </c>
      <c r="B111" s="59" t="s">
        <v>79</v>
      </c>
      <c r="C111" s="3">
        <v>45236</v>
      </c>
      <c r="D111" s="8">
        <v>8</v>
      </c>
      <c r="E111" s="3" t="s">
        <v>278</v>
      </c>
      <c r="F111" s="2" t="s">
        <v>549</v>
      </c>
      <c r="G111" s="7">
        <v>0.1489</v>
      </c>
      <c r="H111" s="7">
        <v>3.8E-3</v>
      </c>
      <c r="I111" s="7">
        <v>1.2404999999999999</v>
      </c>
      <c r="J111" s="7">
        <v>507</v>
      </c>
      <c r="K111" s="7">
        <v>0.156</v>
      </c>
      <c r="L111" s="7">
        <v>0.14799999999999999</v>
      </c>
      <c r="O111" s="7">
        <v>61.1</v>
      </c>
      <c r="P111" s="7">
        <v>454</v>
      </c>
      <c r="Q111" s="7">
        <v>750</v>
      </c>
      <c r="R111" s="4" t="s">
        <v>217</v>
      </c>
      <c r="S111" s="4" t="s">
        <v>580</v>
      </c>
      <c r="T111" s="4"/>
      <c r="U111" s="4" t="s">
        <v>332</v>
      </c>
      <c r="V111" s="4"/>
      <c r="W111" s="4"/>
      <c r="X111" s="4" t="s">
        <v>78</v>
      </c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>
        <v>72.5</v>
      </c>
      <c r="AY111" s="4"/>
      <c r="AZ111" s="4">
        <v>111.6</v>
      </c>
      <c r="BA111" s="4"/>
      <c r="BB111" s="4"/>
      <c r="BC111" s="16">
        <v>26</v>
      </c>
      <c r="BD111" s="70">
        <v>1012</v>
      </c>
      <c r="BE111" s="16">
        <v>40</v>
      </c>
      <c r="BF111" s="69"/>
      <c r="BG111" s="4"/>
      <c r="BH111" s="4"/>
      <c r="BM111"/>
    </row>
    <row r="112" spans="1:65" x14ac:dyDescent="0.3">
      <c r="A112" s="2" t="s">
        <v>13</v>
      </c>
      <c r="B112" s="59" t="s">
        <v>17</v>
      </c>
      <c r="C112" s="3">
        <v>45239</v>
      </c>
      <c r="D112" s="8">
        <v>2</v>
      </c>
      <c r="E112" s="3" t="s">
        <v>326</v>
      </c>
      <c r="F112" s="2" t="s">
        <v>213</v>
      </c>
      <c r="G112" s="7">
        <v>0.17</v>
      </c>
      <c r="H112" s="7">
        <v>2.5999999999999999E-3</v>
      </c>
      <c r="I112" s="7">
        <v>1.2515000000000001</v>
      </c>
      <c r="J112" s="7">
        <v>504</v>
      </c>
      <c r="L112" s="7">
        <v>0.17169999999999999</v>
      </c>
      <c r="O112" s="7">
        <v>66.099999999999994</v>
      </c>
      <c r="P112" s="7">
        <v>630</v>
      </c>
      <c r="Q112" s="7">
        <v>750</v>
      </c>
      <c r="R112" s="4" t="s">
        <v>569</v>
      </c>
      <c r="S112" s="4" t="s">
        <v>580</v>
      </c>
      <c r="T112" s="4"/>
      <c r="U112" s="4" t="s">
        <v>380</v>
      </c>
      <c r="V112" s="4"/>
      <c r="W112" s="4"/>
      <c r="X112" s="4" t="s">
        <v>78</v>
      </c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>
        <v>72.3</v>
      </c>
      <c r="AY112" s="4"/>
      <c r="AZ112" s="4">
        <v>111.6</v>
      </c>
      <c r="BA112" s="4"/>
      <c r="BB112" s="4"/>
      <c r="BC112" s="16">
        <v>26.5</v>
      </c>
      <c r="BD112" s="70">
        <v>1011</v>
      </c>
      <c r="BE112" s="16">
        <v>40</v>
      </c>
      <c r="BF112" s="69"/>
      <c r="BG112" s="13"/>
      <c r="BH112" s="13" t="s">
        <v>102</v>
      </c>
      <c r="BM112"/>
    </row>
    <row r="113" spans="1:65" x14ac:dyDescent="0.3">
      <c r="A113" s="2" t="s">
        <v>13</v>
      </c>
      <c r="B113" s="59" t="s">
        <v>17</v>
      </c>
      <c r="C113" s="3">
        <v>45239</v>
      </c>
      <c r="D113" s="8">
        <v>4</v>
      </c>
      <c r="E113" s="3" t="s">
        <v>328</v>
      </c>
      <c r="F113" s="2" t="s">
        <v>213</v>
      </c>
      <c r="G113" s="7">
        <v>0.1719</v>
      </c>
      <c r="H113" s="7">
        <v>3.3999999999999998E-3</v>
      </c>
      <c r="I113" s="7">
        <v>1.2515000000000001</v>
      </c>
      <c r="J113" s="7">
        <v>504</v>
      </c>
      <c r="L113" s="7">
        <v>0.1714</v>
      </c>
      <c r="O113" s="7">
        <v>65.900000000000006</v>
      </c>
      <c r="P113" s="7">
        <v>619</v>
      </c>
      <c r="Q113" s="7">
        <v>750</v>
      </c>
      <c r="R113" s="4" t="s">
        <v>569</v>
      </c>
      <c r="S113" s="4" t="s">
        <v>580</v>
      </c>
      <c r="T113" s="4"/>
      <c r="U113" s="4" t="s">
        <v>380</v>
      </c>
      <c r="V113" s="4"/>
      <c r="W113" s="4"/>
      <c r="X113" s="4" t="s">
        <v>78</v>
      </c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>
        <v>84.7</v>
      </c>
      <c r="AY113" s="4"/>
      <c r="AZ113" s="4">
        <v>120.6</v>
      </c>
      <c r="BA113" s="4"/>
      <c r="BB113" s="4"/>
      <c r="BC113" s="16">
        <v>26.7</v>
      </c>
      <c r="BD113" s="70">
        <v>1011</v>
      </c>
      <c r="BE113" s="16">
        <v>39.6</v>
      </c>
      <c r="BF113" s="69"/>
      <c r="BG113" s="4"/>
      <c r="BH113" s="4"/>
      <c r="BM113"/>
    </row>
    <row r="114" spans="1:65" x14ac:dyDescent="0.3">
      <c r="A114" s="2" t="s">
        <v>13</v>
      </c>
      <c r="B114" s="59" t="s">
        <v>17</v>
      </c>
      <c r="C114" s="3">
        <v>45239</v>
      </c>
      <c r="D114" s="8">
        <v>6</v>
      </c>
      <c r="E114" s="3" t="s">
        <v>330</v>
      </c>
      <c r="F114" s="2" t="s">
        <v>213</v>
      </c>
      <c r="G114" s="7">
        <v>0.1711</v>
      </c>
      <c r="H114" s="7">
        <v>4.4999999999999997E-3</v>
      </c>
      <c r="I114" s="7">
        <v>1.2515000000000001</v>
      </c>
      <c r="J114" s="7">
        <v>504</v>
      </c>
      <c r="L114" s="7">
        <v>0.17199999999999999</v>
      </c>
      <c r="O114" s="7">
        <v>65.5</v>
      </c>
      <c r="P114" s="7">
        <v>613</v>
      </c>
      <c r="Q114" s="7">
        <v>750</v>
      </c>
      <c r="R114" s="4" t="s">
        <v>569</v>
      </c>
      <c r="S114" s="4" t="s">
        <v>580</v>
      </c>
      <c r="T114" s="4"/>
      <c r="U114" s="4" t="s">
        <v>380</v>
      </c>
      <c r="V114" s="4"/>
      <c r="W114" s="4"/>
      <c r="X114" s="4" t="s">
        <v>78</v>
      </c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>
        <v>72.2</v>
      </c>
      <c r="AY114" s="4"/>
      <c r="AZ114" s="4">
        <v>111.6</v>
      </c>
      <c r="BA114" s="4"/>
      <c r="BB114" s="4"/>
      <c r="BC114" s="16">
        <v>26.7</v>
      </c>
      <c r="BD114" s="70">
        <v>1011</v>
      </c>
      <c r="BE114" s="16">
        <v>39.6</v>
      </c>
      <c r="BF114" s="69"/>
      <c r="BG114" s="4"/>
      <c r="BH114" s="4"/>
      <c r="BM114"/>
    </row>
    <row r="115" spans="1:65" x14ac:dyDescent="0.3">
      <c r="A115" s="4" t="s">
        <v>43</v>
      </c>
      <c r="B115" s="59" t="s">
        <v>45</v>
      </c>
      <c r="C115" s="3">
        <v>45243</v>
      </c>
      <c r="D115" s="8">
        <v>2</v>
      </c>
      <c r="E115" s="3" t="s">
        <v>288</v>
      </c>
      <c r="F115" s="10" t="s">
        <v>214</v>
      </c>
      <c r="G115" s="7">
        <v>0.15190000000000001</v>
      </c>
      <c r="H115" s="7">
        <v>2.7000000000000001E-3</v>
      </c>
      <c r="I115" s="7">
        <v>1.272</v>
      </c>
      <c r="L115" s="7">
        <v>0.156</v>
      </c>
      <c r="O115" s="7">
        <v>61.4</v>
      </c>
      <c r="P115" s="7">
        <v>459</v>
      </c>
      <c r="Q115" s="7">
        <v>750</v>
      </c>
      <c r="R115" s="9" t="s">
        <v>217</v>
      </c>
      <c r="S115" s="9" t="s">
        <v>580</v>
      </c>
      <c r="T115" s="9"/>
      <c r="U115" s="9" t="s">
        <v>225</v>
      </c>
      <c r="V115" s="9"/>
      <c r="W115" s="9"/>
      <c r="X115" s="9"/>
      <c r="Y115" s="9"/>
      <c r="Z115" s="9"/>
      <c r="AA115" s="9"/>
      <c r="AB115" s="9"/>
      <c r="AC115" s="9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>
        <v>113.4</v>
      </c>
      <c r="BA115" s="4"/>
      <c r="BB115" s="4"/>
      <c r="BC115" s="16">
        <v>25.1</v>
      </c>
      <c r="BD115" s="16">
        <v>1012</v>
      </c>
      <c r="BE115" s="16">
        <v>44.6</v>
      </c>
      <c r="BF115" s="69"/>
      <c r="BG115" s="7">
        <v>2096</v>
      </c>
      <c r="BH115" s="4"/>
      <c r="BM115"/>
    </row>
    <row r="116" spans="1:65" x14ac:dyDescent="0.3">
      <c r="A116" s="4" t="s">
        <v>43</v>
      </c>
      <c r="B116" s="59" t="s">
        <v>45</v>
      </c>
      <c r="C116" s="3">
        <v>45243</v>
      </c>
      <c r="D116" s="8">
        <v>4</v>
      </c>
      <c r="E116" s="3" t="s">
        <v>286</v>
      </c>
      <c r="F116" s="10" t="s">
        <v>214</v>
      </c>
      <c r="G116" s="7">
        <v>0.15049999999999999</v>
      </c>
      <c r="H116" s="7">
        <v>1.8E-3</v>
      </c>
      <c r="I116" s="7">
        <v>1.272</v>
      </c>
      <c r="L116" s="7">
        <v>0.15329999999999999</v>
      </c>
      <c r="O116" s="7">
        <v>61.5</v>
      </c>
      <c r="P116" s="7">
        <v>467</v>
      </c>
      <c r="Q116" s="7">
        <v>750</v>
      </c>
      <c r="R116" s="9" t="s">
        <v>217</v>
      </c>
      <c r="S116" s="9" t="s">
        <v>580</v>
      </c>
      <c r="T116" s="4"/>
      <c r="U116" s="9" t="s">
        <v>225</v>
      </c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22">
        <v>117</v>
      </c>
      <c r="BA116" s="4"/>
      <c r="BB116" s="4"/>
      <c r="BC116" s="16">
        <v>25.1</v>
      </c>
      <c r="BD116" s="16">
        <v>1012</v>
      </c>
      <c r="BE116" s="16">
        <v>44.6</v>
      </c>
      <c r="BF116" s="69"/>
      <c r="BG116" s="7">
        <v>2096</v>
      </c>
      <c r="BH116" s="4"/>
      <c r="BM116"/>
    </row>
    <row r="117" spans="1:65" x14ac:dyDescent="0.3">
      <c r="A117" s="4" t="s">
        <v>43</v>
      </c>
      <c r="B117" s="59" t="s">
        <v>45</v>
      </c>
      <c r="C117" s="3">
        <v>45243</v>
      </c>
      <c r="D117" s="8">
        <v>6</v>
      </c>
      <c r="E117" s="3" t="s">
        <v>283</v>
      </c>
      <c r="F117" s="10" t="s">
        <v>214</v>
      </c>
      <c r="G117" s="7">
        <v>0.15059</v>
      </c>
      <c r="H117" s="7">
        <v>2.3E-3</v>
      </c>
      <c r="I117" s="7">
        <v>1.272</v>
      </c>
      <c r="L117" s="7">
        <v>0.15310000000000001</v>
      </c>
      <c r="O117" s="7">
        <v>62.1</v>
      </c>
      <c r="P117" s="7">
        <v>473</v>
      </c>
      <c r="Q117" s="7">
        <v>750</v>
      </c>
      <c r="R117" s="9" t="s">
        <v>217</v>
      </c>
      <c r="S117" s="9" t="s">
        <v>580</v>
      </c>
      <c r="T117" s="4"/>
      <c r="U117" s="9" t="s">
        <v>225</v>
      </c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>
        <v>113.4</v>
      </c>
      <c r="BA117" s="4"/>
      <c r="BB117" s="4"/>
      <c r="BC117" s="16">
        <v>25.3</v>
      </c>
      <c r="BD117" s="16">
        <v>1012</v>
      </c>
      <c r="BE117" s="16">
        <v>44.3</v>
      </c>
      <c r="BF117" s="69"/>
      <c r="BG117" s="7">
        <v>2096</v>
      </c>
      <c r="BH117" s="4"/>
      <c r="BM117"/>
    </row>
    <row r="118" spans="1:65" x14ac:dyDescent="0.3">
      <c r="A118" s="4" t="s">
        <v>13</v>
      </c>
      <c r="B118" s="59" t="s">
        <v>17</v>
      </c>
      <c r="C118" s="3">
        <v>45243</v>
      </c>
      <c r="D118" s="8">
        <v>2</v>
      </c>
      <c r="E118" s="3" t="s">
        <v>296</v>
      </c>
      <c r="F118" s="10" t="s">
        <v>214</v>
      </c>
      <c r="G118" s="7">
        <v>0.17699999999999999</v>
      </c>
      <c r="H118" s="7">
        <v>2.5000000000000001E-3</v>
      </c>
      <c r="I118" s="7">
        <v>1.2370000000000001</v>
      </c>
      <c r="L118" s="7">
        <v>0.17599999999999999</v>
      </c>
      <c r="O118" s="7">
        <v>63.2</v>
      </c>
      <c r="P118" s="7">
        <v>574</v>
      </c>
      <c r="Q118" s="7">
        <v>750</v>
      </c>
      <c r="R118" s="4" t="s">
        <v>566</v>
      </c>
      <c r="S118" s="4" t="s">
        <v>580</v>
      </c>
      <c r="T118" s="4"/>
      <c r="U118" s="4" t="s">
        <v>380</v>
      </c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>
        <v>113.4</v>
      </c>
      <c r="BA118" s="4"/>
      <c r="BB118" s="4"/>
      <c r="BC118" s="16">
        <v>25.6</v>
      </c>
      <c r="BD118" s="16">
        <v>1011</v>
      </c>
      <c r="BE118" s="16">
        <v>44.1</v>
      </c>
      <c r="BF118" s="69"/>
      <c r="BG118" s="7">
        <v>2096</v>
      </c>
      <c r="BH118" s="4"/>
      <c r="BM118"/>
    </row>
    <row r="119" spans="1:65" x14ac:dyDescent="0.3">
      <c r="A119" s="4" t="s">
        <v>13</v>
      </c>
      <c r="B119" s="59" t="s">
        <v>17</v>
      </c>
      <c r="C119" s="3">
        <v>45243</v>
      </c>
      <c r="D119" s="8">
        <v>3</v>
      </c>
      <c r="E119" s="3" t="s">
        <v>295</v>
      </c>
      <c r="F119" s="2" t="s">
        <v>586</v>
      </c>
      <c r="G119" s="7">
        <v>0.1777</v>
      </c>
      <c r="H119" s="7">
        <v>2.5000000000000001E-3</v>
      </c>
      <c r="I119" s="7">
        <v>1.2370000000000001</v>
      </c>
      <c r="L119" s="7">
        <v>0.17929999999999999</v>
      </c>
      <c r="O119" s="7">
        <v>63.1</v>
      </c>
      <c r="P119" s="7">
        <v>588</v>
      </c>
      <c r="Q119" s="7">
        <v>750</v>
      </c>
      <c r="R119" s="4" t="s">
        <v>566</v>
      </c>
      <c r="S119" s="4" t="s">
        <v>580</v>
      </c>
      <c r="T119" s="4"/>
      <c r="U119" s="4" t="s">
        <v>380</v>
      </c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>
        <v>113.4</v>
      </c>
      <c r="BA119" s="4"/>
      <c r="BB119" s="4"/>
      <c r="BC119" s="16">
        <v>25.6</v>
      </c>
      <c r="BD119" s="16">
        <v>1011</v>
      </c>
      <c r="BE119" s="16">
        <v>44.1</v>
      </c>
      <c r="BF119" s="69"/>
      <c r="BG119" s="7">
        <v>2096</v>
      </c>
      <c r="BH119" s="4"/>
      <c r="BM119"/>
    </row>
    <row r="120" spans="1:65" x14ac:dyDescent="0.3">
      <c r="A120" s="4" t="s">
        <v>13</v>
      </c>
      <c r="B120" s="59" t="s">
        <v>17</v>
      </c>
      <c r="C120" s="3">
        <v>45243</v>
      </c>
      <c r="D120" s="8">
        <v>4</v>
      </c>
      <c r="E120" s="3" t="s">
        <v>294</v>
      </c>
      <c r="F120" s="2" t="s">
        <v>551</v>
      </c>
      <c r="G120" s="7">
        <v>0.16769999999999999</v>
      </c>
      <c r="H120" s="7">
        <v>2.8999999999999998E-3</v>
      </c>
      <c r="I120" s="7">
        <v>1.2370000000000001</v>
      </c>
      <c r="L120" s="7">
        <v>0.16639999999999999</v>
      </c>
      <c r="O120" s="7">
        <v>63.7</v>
      </c>
      <c r="P120" s="7">
        <v>577</v>
      </c>
      <c r="Q120" s="7">
        <v>750</v>
      </c>
      <c r="R120" s="4" t="s">
        <v>566</v>
      </c>
      <c r="S120" s="4" t="s">
        <v>580</v>
      </c>
      <c r="T120" s="4"/>
      <c r="U120" s="4" t="s">
        <v>380</v>
      </c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22">
        <v>117</v>
      </c>
      <c r="BA120" s="4"/>
      <c r="BB120" s="4"/>
      <c r="BC120" s="16">
        <v>25.6</v>
      </c>
      <c r="BD120" s="16">
        <v>1011</v>
      </c>
      <c r="BE120" s="16">
        <v>44.1</v>
      </c>
      <c r="BF120" s="69"/>
      <c r="BG120" s="7">
        <v>2096</v>
      </c>
      <c r="BH120" s="4"/>
      <c r="BM120"/>
    </row>
    <row r="121" spans="1:65" x14ac:dyDescent="0.3">
      <c r="A121" s="4" t="s">
        <v>13</v>
      </c>
      <c r="B121" s="59" t="s">
        <v>17</v>
      </c>
      <c r="C121" s="3">
        <v>45243</v>
      </c>
      <c r="D121" s="8">
        <v>6</v>
      </c>
      <c r="E121" s="3" t="s">
        <v>292</v>
      </c>
      <c r="F121" s="10" t="s">
        <v>214</v>
      </c>
      <c r="G121" s="7">
        <v>0.1736</v>
      </c>
      <c r="H121" s="7">
        <v>4.8999999999999998E-3</v>
      </c>
      <c r="I121" s="7">
        <v>1.2370000000000001</v>
      </c>
      <c r="L121" s="7">
        <v>0.17499999999999999</v>
      </c>
      <c r="O121" s="7">
        <v>63.1</v>
      </c>
      <c r="P121" s="7">
        <v>582</v>
      </c>
      <c r="Q121" s="7">
        <v>750</v>
      </c>
      <c r="R121" s="4" t="s">
        <v>566</v>
      </c>
      <c r="S121" s="4" t="s">
        <v>580</v>
      </c>
      <c r="T121" s="4"/>
      <c r="U121" s="4" t="s">
        <v>380</v>
      </c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  <c r="AY121" s="4"/>
      <c r="AZ121" s="22">
        <v>117</v>
      </c>
      <c r="BA121" s="4"/>
      <c r="BB121" s="4"/>
      <c r="BC121" s="16">
        <v>26</v>
      </c>
      <c r="BD121" s="16">
        <v>1012</v>
      </c>
      <c r="BE121" s="16">
        <v>43</v>
      </c>
      <c r="BF121" s="69"/>
      <c r="BG121" s="7">
        <v>2096</v>
      </c>
      <c r="BH121" s="4"/>
      <c r="BM121"/>
    </row>
    <row r="122" spans="1:65" x14ac:dyDescent="0.3">
      <c r="A122" s="4" t="s">
        <v>13</v>
      </c>
      <c r="B122" s="59" t="s">
        <v>17</v>
      </c>
      <c r="C122" s="3">
        <v>45243</v>
      </c>
      <c r="D122" s="8">
        <v>7</v>
      </c>
      <c r="E122" s="3" t="s">
        <v>291</v>
      </c>
      <c r="F122" s="2" t="s">
        <v>215</v>
      </c>
      <c r="G122" s="7">
        <v>0.1772</v>
      </c>
      <c r="H122" s="7">
        <v>2E-3</v>
      </c>
      <c r="I122" s="7">
        <v>1.2370000000000001</v>
      </c>
      <c r="L122" s="7">
        <v>0.1769</v>
      </c>
      <c r="O122" s="7">
        <v>63.5</v>
      </c>
      <c r="P122" s="7">
        <v>596</v>
      </c>
      <c r="Q122" s="7">
        <v>750</v>
      </c>
      <c r="R122" s="4" t="s">
        <v>566</v>
      </c>
      <c r="S122" s="4" t="s">
        <v>580</v>
      </c>
      <c r="T122" s="4"/>
      <c r="U122" s="4" t="s">
        <v>380</v>
      </c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  <c r="AY122" s="4"/>
      <c r="AZ122" s="22">
        <v>117</v>
      </c>
      <c r="BA122" s="4"/>
      <c r="BB122" s="4"/>
      <c r="BC122" s="22">
        <v>25</v>
      </c>
      <c r="BD122" s="69">
        <v>1012</v>
      </c>
      <c r="BE122" s="36">
        <v>54</v>
      </c>
      <c r="BF122" s="69">
        <v>1.1739999999999999</v>
      </c>
      <c r="BG122" s="4">
        <v>2096</v>
      </c>
      <c r="BH122" s="4"/>
      <c r="BM122"/>
    </row>
    <row r="123" spans="1:65" x14ac:dyDescent="0.3">
      <c r="A123" s="4" t="s">
        <v>13</v>
      </c>
      <c r="B123" s="59" t="s">
        <v>17</v>
      </c>
      <c r="C123" s="3">
        <v>45243</v>
      </c>
      <c r="D123" s="8">
        <v>8</v>
      </c>
      <c r="E123" s="3" t="s">
        <v>290</v>
      </c>
      <c r="F123" s="2" t="s">
        <v>551</v>
      </c>
      <c r="G123" s="52"/>
      <c r="H123" s="52"/>
      <c r="L123" s="7">
        <v>0.16850000000000001</v>
      </c>
      <c r="O123" s="7">
        <v>63.9</v>
      </c>
      <c r="P123" s="7">
        <v>589</v>
      </c>
      <c r="Q123" s="7">
        <v>750</v>
      </c>
      <c r="R123" s="4" t="s">
        <v>566</v>
      </c>
      <c r="S123" s="4" t="s">
        <v>580</v>
      </c>
      <c r="T123" s="4"/>
      <c r="U123" s="4" t="s">
        <v>380</v>
      </c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  <c r="AY123" s="4"/>
      <c r="AZ123" s="22">
        <v>117</v>
      </c>
      <c r="BA123" s="4"/>
      <c r="BB123" s="4"/>
      <c r="BC123" s="22">
        <v>25.1</v>
      </c>
      <c r="BD123" s="69">
        <v>1012</v>
      </c>
      <c r="BE123" s="36">
        <v>54</v>
      </c>
      <c r="BF123" s="69">
        <v>1.1739999999999999</v>
      </c>
      <c r="BG123" s="4">
        <v>2096</v>
      </c>
      <c r="BH123" s="4"/>
      <c r="BM123"/>
    </row>
    <row r="124" spans="1:65" x14ac:dyDescent="0.3">
      <c r="A124" s="2" t="s">
        <v>43</v>
      </c>
      <c r="B124" s="59" t="s">
        <v>45</v>
      </c>
      <c r="C124" s="3">
        <v>45264</v>
      </c>
      <c r="D124" s="8">
        <v>1</v>
      </c>
      <c r="E124" s="39" t="s">
        <v>351</v>
      </c>
      <c r="F124" s="2" t="s">
        <v>214</v>
      </c>
      <c r="G124" s="7">
        <v>0.15640000000000001</v>
      </c>
      <c r="H124" s="54">
        <v>2.7000000000000001E-3</v>
      </c>
      <c r="I124" s="7">
        <v>1.2515000000000001</v>
      </c>
      <c r="K124" s="7">
        <v>0.157</v>
      </c>
      <c r="L124" s="7">
        <v>0.15570000000000001</v>
      </c>
      <c r="O124" s="7">
        <v>62.4</v>
      </c>
      <c r="P124" s="7">
        <v>492</v>
      </c>
      <c r="Q124" s="7">
        <v>754.3</v>
      </c>
      <c r="R124" s="4" t="s">
        <v>333</v>
      </c>
      <c r="S124" s="4" t="s">
        <v>580</v>
      </c>
      <c r="T124" s="4"/>
      <c r="U124" s="4" t="s">
        <v>225</v>
      </c>
      <c r="V124" s="4" t="s">
        <v>77</v>
      </c>
      <c r="W124" s="4"/>
      <c r="X124" s="4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  <c r="AT124" s="7"/>
      <c r="AU124" s="7"/>
      <c r="AV124" s="4"/>
      <c r="AW124" s="2"/>
      <c r="AX124" s="7"/>
      <c r="AY124" s="4"/>
      <c r="AZ124" s="22">
        <v>113.4</v>
      </c>
      <c r="BA124" s="2"/>
      <c r="BB124" s="2"/>
      <c r="BC124" s="41">
        <v>24.4</v>
      </c>
      <c r="BD124" s="68">
        <v>1004</v>
      </c>
      <c r="BE124" s="71">
        <v>64</v>
      </c>
      <c r="BF124" s="68">
        <v>1.167</v>
      </c>
      <c r="BG124" s="2">
        <v>2096</v>
      </c>
      <c r="BH124" s="2"/>
      <c r="BM124"/>
    </row>
    <row r="125" spans="1:65" x14ac:dyDescent="0.3">
      <c r="A125" s="2" t="s">
        <v>43</v>
      </c>
      <c r="B125" s="59" t="s">
        <v>45</v>
      </c>
      <c r="C125" s="3">
        <v>45264</v>
      </c>
      <c r="D125" s="8">
        <v>2</v>
      </c>
      <c r="E125" s="3" t="s">
        <v>352</v>
      </c>
      <c r="F125" s="2" t="s">
        <v>214</v>
      </c>
      <c r="G125" s="7">
        <v>0.15670000000000001</v>
      </c>
      <c r="H125" s="54">
        <v>3.0999999999999999E-3</v>
      </c>
      <c r="I125" s="7">
        <v>1.2515000000000001</v>
      </c>
      <c r="K125" s="7">
        <v>0.158</v>
      </c>
      <c r="L125" s="7">
        <v>0.155</v>
      </c>
      <c r="O125" s="7">
        <v>61.7</v>
      </c>
      <c r="P125" s="7">
        <v>482</v>
      </c>
      <c r="Q125" s="7">
        <v>753.8</v>
      </c>
      <c r="R125" s="4" t="s">
        <v>334</v>
      </c>
      <c r="S125" s="4" t="s">
        <v>580</v>
      </c>
      <c r="T125" s="4"/>
      <c r="U125" s="4" t="s">
        <v>225</v>
      </c>
      <c r="V125" s="4" t="s">
        <v>77</v>
      </c>
      <c r="W125" s="4"/>
      <c r="X125" s="4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  <c r="AT125" s="7"/>
      <c r="AU125" s="7"/>
      <c r="AV125" s="4"/>
      <c r="AW125" s="2"/>
      <c r="AX125" s="7"/>
      <c r="AY125" s="4"/>
      <c r="AZ125" s="22">
        <v>113.4</v>
      </c>
      <c r="BA125" s="2"/>
      <c r="BB125" s="2"/>
      <c r="BC125" s="41">
        <v>24.5</v>
      </c>
      <c r="BD125" s="68">
        <v>1004</v>
      </c>
      <c r="BE125" s="71">
        <v>64</v>
      </c>
      <c r="BF125" s="68">
        <v>1.167</v>
      </c>
      <c r="BG125" s="2">
        <v>2096</v>
      </c>
      <c r="BH125" s="2"/>
      <c r="BM125"/>
    </row>
    <row r="126" spans="1:65" x14ac:dyDescent="0.3">
      <c r="A126" s="2" t="s">
        <v>43</v>
      </c>
      <c r="B126" s="59" t="s">
        <v>45</v>
      </c>
      <c r="C126" s="3">
        <v>45264</v>
      </c>
      <c r="D126" s="8">
        <v>3</v>
      </c>
      <c r="E126" s="3" t="s">
        <v>353</v>
      </c>
      <c r="F126" s="2" t="s">
        <v>214</v>
      </c>
      <c r="G126" s="7">
        <v>0.1555</v>
      </c>
      <c r="H126" s="54">
        <v>2.8E-3</v>
      </c>
      <c r="I126" s="7">
        <v>1.2515000000000001</v>
      </c>
      <c r="K126" s="7">
        <v>0.152</v>
      </c>
      <c r="L126" s="7">
        <v>0.1542</v>
      </c>
      <c r="O126" s="7">
        <v>61.9</v>
      </c>
      <c r="P126" s="7">
        <v>469</v>
      </c>
      <c r="Q126" s="7">
        <v>753.6</v>
      </c>
      <c r="R126" s="4" t="s">
        <v>333</v>
      </c>
      <c r="S126" s="4" t="s">
        <v>580</v>
      </c>
      <c r="T126" s="4"/>
      <c r="U126" s="4" t="s">
        <v>225</v>
      </c>
      <c r="V126" s="4" t="s">
        <v>77</v>
      </c>
      <c r="W126" s="4"/>
      <c r="X126" s="4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  <c r="AT126" s="7"/>
      <c r="AU126" s="7"/>
      <c r="AV126" s="4"/>
      <c r="AW126" s="2"/>
      <c r="AX126" s="7"/>
      <c r="AY126" s="4"/>
      <c r="AZ126" s="22">
        <v>113.4</v>
      </c>
      <c r="BA126" s="2"/>
      <c r="BB126" s="2"/>
      <c r="BC126" s="41">
        <v>24.8</v>
      </c>
      <c r="BD126" s="68">
        <v>1004</v>
      </c>
      <c r="BE126" s="71">
        <v>64</v>
      </c>
      <c r="BF126" s="68">
        <v>1.165</v>
      </c>
      <c r="BG126" s="2">
        <v>2096</v>
      </c>
      <c r="BH126" s="2"/>
      <c r="BM126"/>
    </row>
    <row r="127" spans="1:65" x14ac:dyDescent="0.3">
      <c r="A127" s="2" t="s">
        <v>43</v>
      </c>
      <c r="B127" s="59" t="s">
        <v>45</v>
      </c>
      <c r="C127" s="3">
        <v>45264</v>
      </c>
      <c r="D127" s="8">
        <v>4</v>
      </c>
      <c r="E127" s="3" t="s">
        <v>354</v>
      </c>
      <c r="F127" s="2" t="s">
        <v>214</v>
      </c>
      <c r="G127" s="7">
        <v>0.15709999999999999</v>
      </c>
      <c r="H127" s="54">
        <v>1.1000000000000001E-3</v>
      </c>
      <c r="I127" s="7">
        <v>1.2515000000000001</v>
      </c>
      <c r="K127" s="7">
        <v>0.155</v>
      </c>
      <c r="L127" s="7">
        <v>0.15640000000000001</v>
      </c>
      <c r="O127" s="7">
        <v>61.3</v>
      </c>
      <c r="P127" s="7">
        <v>477</v>
      </c>
      <c r="Q127" s="7">
        <v>753.4</v>
      </c>
      <c r="R127" s="4" t="s">
        <v>334</v>
      </c>
      <c r="S127" s="4" t="s">
        <v>580</v>
      </c>
      <c r="T127" s="4"/>
      <c r="U127" s="4" t="s">
        <v>225</v>
      </c>
      <c r="V127" s="4" t="s">
        <v>77</v>
      </c>
      <c r="W127" s="4"/>
      <c r="X127" s="4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  <c r="AT127" s="7"/>
      <c r="AU127" s="7"/>
      <c r="AV127" s="4"/>
      <c r="AW127" s="2"/>
      <c r="AX127" s="7"/>
      <c r="AY127" s="4"/>
      <c r="AZ127" s="22">
        <v>113.4</v>
      </c>
      <c r="BA127" s="2"/>
      <c r="BB127" s="2"/>
      <c r="BC127" s="41">
        <v>25</v>
      </c>
      <c r="BD127" s="68">
        <v>1004</v>
      </c>
      <c r="BE127" s="71">
        <v>62</v>
      </c>
      <c r="BF127" s="68">
        <v>1.165</v>
      </c>
      <c r="BG127" s="2">
        <v>2096</v>
      </c>
      <c r="BH127" s="2"/>
      <c r="BM127"/>
    </row>
    <row r="128" spans="1:65" x14ac:dyDescent="0.3">
      <c r="A128" s="2" t="s">
        <v>43</v>
      </c>
      <c r="B128" s="59" t="s">
        <v>45</v>
      </c>
      <c r="C128" s="3">
        <v>45264</v>
      </c>
      <c r="D128" s="8">
        <v>5</v>
      </c>
      <c r="E128" s="3" t="s">
        <v>343</v>
      </c>
      <c r="F128" s="2" t="s">
        <v>214</v>
      </c>
      <c r="G128" s="7">
        <v>0.15570000000000001</v>
      </c>
      <c r="H128" s="54">
        <v>3.7000000000000002E-3</v>
      </c>
      <c r="I128" s="7">
        <v>1.2515000000000001</v>
      </c>
      <c r="K128" s="7">
        <v>0.159</v>
      </c>
      <c r="L128" s="7">
        <v>0.15659999999999999</v>
      </c>
      <c r="O128" s="7">
        <v>61.2</v>
      </c>
      <c r="P128" s="7">
        <v>479</v>
      </c>
      <c r="Q128" s="7">
        <v>753.4</v>
      </c>
      <c r="R128" s="4" t="s">
        <v>333</v>
      </c>
      <c r="S128" s="4" t="s">
        <v>580</v>
      </c>
      <c r="T128" s="4"/>
      <c r="U128" s="4" t="s">
        <v>225</v>
      </c>
      <c r="V128" s="4" t="s">
        <v>77</v>
      </c>
      <c r="W128" s="4"/>
      <c r="X128" s="4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  <c r="AT128" s="7"/>
      <c r="AU128" s="7"/>
      <c r="AV128" s="4"/>
      <c r="AW128" s="2"/>
      <c r="AX128" s="7"/>
      <c r="AY128" s="4"/>
      <c r="AZ128" s="22">
        <v>113.4</v>
      </c>
      <c r="BA128" s="2"/>
      <c r="BB128" s="2"/>
      <c r="BC128" s="41">
        <v>25</v>
      </c>
      <c r="BD128" s="43">
        <v>1004</v>
      </c>
      <c r="BE128" s="71">
        <v>62</v>
      </c>
      <c r="BF128" s="45">
        <v>1.165</v>
      </c>
      <c r="BG128" s="2">
        <v>2096</v>
      </c>
      <c r="BH128" s="2"/>
      <c r="BM128"/>
    </row>
    <row r="129" spans="1:65" x14ac:dyDescent="0.3">
      <c r="A129" s="2" t="s">
        <v>43</v>
      </c>
      <c r="B129" s="59" t="s">
        <v>45</v>
      </c>
      <c r="C129" s="3">
        <v>45264</v>
      </c>
      <c r="D129" s="8">
        <v>6</v>
      </c>
      <c r="E129" s="3" t="s">
        <v>344</v>
      </c>
      <c r="F129" s="2" t="s">
        <v>214</v>
      </c>
      <c r="G129" s="7">
        <v>0.15820000000000001</v>
      </c>
      <c r="H129" s="54">
        <v>3.5000000000000001E-3</v>
      </c>
      <c r="I129" s="7">
        <v>1.2515000000000001</v>
      </c>
      <c r="K129" s="7">
        <v>0.158</v>
      </c>
      <c r="L129" s="7">
        <v>0.157</v>
      </c>
      <c r="O129" s="7">
        <v>61.6</v>
      </c>
      <c r="P129" s="7">
        <v>478</v>
      </c>
      <c r="Q129" s="7">
        <v>753.4</v>
      </c>
      <c r="R129" s="4" t="s">
        <v>334</v>
      </c>
      <c r="S129" s="4" t="s">
        <v>580</v>
      </c>
      <c r="T129" s="4"/>
      <c r="U129" s="4" t="s">
        <v>225</v>
      </c>
      <c r="V129" s="4" t="s">
        <v>77</v>
      </c>
      <c r="W129" s="4"/>
      <c r="X129" s="4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  <c r="AT129" s="7"/>
      <c r="AU129" s="7"/>
      <c r="AV129" s="4"/>
      <c r="AW129" s="2"/>
      <c r="AX129" s="7"/>
      <c r="AY129" s="4"/>
      <c r="AZ129" s="22">
        <v>113.4</v>
      </c>
      <c r="BA129" s="2"/>
      <c r="BB129" s="2"/>
      <c r="BC129" s="41">
        <v>25.6</v>
      </c>
      <c r="BD129" s="43">
        <v>1004</v>
      </c>
      <c r="BE129" s="71">
        <v>61</v>
      </c>
      <c r="BF129" s="45">
        <v>1.1619999999999999</v>
      </c>
      <c r="BG129" s="2">
        <v>2096</v>
      </c>
      <c r="BH129" s="2"/>
      <c r="BM129"/>
    </row>
    <row r="130" spans="1:65" x14ac:dyDescent="0.3">
      <c r="A130" s="2" t="s">
        <v>43</v>
      </c>
      <c r="B130" s="59" t="s">
        <v>79</v>
      </c>
      <c r="C130" s="3">
        <v>45264</v>
      </c>
      <c r="D130" s="8">
        <v>2</v>
      </c>
      <c r="E130" s="3" t="s">
        <v>346</v>
      </c>
      <c r="F130" s="2" t="s">
        <v>214</v>
      </c>
      <c r="G130" s="7">
        <v>0.15559999999999999</v>
      </c>
      <c r="H130" s="54">
        <v>2.8999999999999998E-3</v>
      </c>
      <c r="I130" s="7">
        <v>1.2395</v>
      </c>
      <c r="K130" s="7">
        <v>0.155</v>
      </c>
      <c r="L130" s="7">
        <v>0.15049999999999999</v>
      </c>
      <c r="O130" s="7">
        <v>61.4</v>
      </c>
      <c r="P130" s="7">
        <v>458</v>
      </c>
      <c r="Q130" s="7">
        <v>754.2</v>
      </c>
      <c r="R130" s="4" t="s">
        <v>333</v>
      </c>
      <c r="S130" s="4" t="s">
        <v>580</v>
      </c>
      <c r="T130" s="4"/>
      <c r="U130" s="4" t="s">
        <v>225</v>
      </c>
      <c r="V130" s="4" t="s">
        <v>48</v>
      </c>
      <c r="W130" s="4"/>
      <c r="X130" s="4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  <c r="AT130" s="7"/>
      <c r="AU130" s="7"/>
      <c r="AV130" s="4"/>
      <c r="AW130" s="2"/>
      <c r="AX130" s="7"/>
      <c r="AY130" s="4"/>
      <c r="AZ130" s="22">
        <v>113.4</v>
      </c>
      <c r="BA130" s="2"/>
      <c r="BB130" s="2"/>
      <c r="BC130" s="41">
        <v>24.5</v>
      </c>
      <c r="BD130" s="43">
        <v>1004</v>
      </c>
      <c r="BE130" s="71">
        <v>64</v>
      </c>
      <c r="BF130" s="45">
        <v>1.167</v>
      </c>
      <c r="BG130" s="2">
        <v>2096</v>
      </c>
      <c r="BH130" s="2"/>
      <c r="BM130"/>
    </row>
    <row r="131" spans="1:65" x14ac:dyDescent="0.3">
      <c r="A131" s="2" t="s">
        <v>43</v>
      </c>
      <c r="B131" s="59" t="s">
        <v>79</v>
      </c>
      <c r="C131" s="3">
        <v>45264</v>
      </c>
      <c r="D131" s="8">
        <v>5</v>
      </c>
      <c r="E131" s="3" t="s">
        <v>349</v>
      </c>
      <c r="F131" s="2" t="s">
        <v>214</v>
      </c>
      <c r="G131" s="7">
        <v>0.15260000000000001</v>
      </c>
      <c r="H131" s="54">
        <v>4.0000000000000001E-3</v>
      </c>
      <c r="I131" s="7">
        <v>1.2395</v>
      </c>
      <c r="K131" s="7">
        <v>0.155</v>
      </c>
      <c r="L131" s="7">
        <v>0.15010000000000001</v>
      </c>
      <c r="O131" s="7">
        <v>61.1</v>
      </c>
      <c r="P131" s="7">
        <v>456</v>
      </c>
      <c r="Q131" s="7">
        <v>754</v>
      </c>
      <c r="R131" s="4" t="s">
        <v>333</v>
      </c>
      <c r="S131" s="4" t="s">
        <v>580</v>
      </c>
      <c r="T131" s="4"/>
      <c r="U131" s="4" t="s">
        <v>225</v>
      </c>
      <c r="V131" s="4" t="s">
        <v>48</v>
      </c>
      <c r="W131" s="4"/>
      <c r="X131" s="4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  <c r="AT131" s="7"/>
      <c r="AU131" s="7"/>
      <c r="AV131" s="4"/>
      <c r="AW131" s="2"/>
      <c r="AX131" s="7"/>
      <c r="AY131" s="4"/>
      <c r="AZ131" s="22">
        <v>113.4</v>
      </c>
      <c r="BA131" s="2"/>
      <c r="BB131" s="2"/>
      <c r="BC131" s="41">
        <v>25</v>
      </c>
      <c r="BD131" s="43">
        <v>1004</v>
      </c>
      <c r="BE131" s="71">
        <v>62</v>
      </c>
      <c r="BF131" s="45">
        <v>1.165</v>
      </c>
      <c r="BG131" s="2">
        <v>2096</v>
      </c>
      <c r="BH131" s="2"/>
      <c r="BM131"/>
    </row>
    <row r="132" spans="1:65" x14ac:dyDescent="0.3">
      <c r="A132" s="2" t="s">
        <v>13</v>
      </c>
      <c r="B132" s="59" t="s">
        <v>14</v>
      </c>
      <c r="C132" s="3">
        <v>45267</v>
      </c>
      <c r="D132" s="8">
        <v>1</v>
      </c>
      <c r="E132" s="3" t="s">
        <v>364</v>
      </c>
      <c r="F132" s="2" t="s">
        <v>383</v>
      </c>
      <c r="G132" s="7">
        <v>0.1701</v>
      </c>
      <c r="H132" s="54">
        <v>5.4999999999999997E-3</v>
      </c>
      <c r="I132" s="7">
        <v>1.2084999999999999</v>
      </c>
      <c r="K132" s="7">
        <v>0.17499999999999999</v>
      </c>
      <c r="L132" s="7">
        <v>0.1736</v>
      </c>
      <c r="O132" s="7">
        <v>62.9</v>
      </c>
      <c r="P132" s="7">
        <v>567</v>
      </c>
      <c r="Q132" s="7">
        <v>755.6</v>
      </c>
      <c r="R132" s="40" t="s">
        <v>568</v>
      </c>
      <c r="S132" s="4" t="s">
        <v>580</v>
      </c>
      <c r="T132" s="4"/>
      <c r="U132" s="4" t="s">
        <v>225</v>
      </c>
      <c r="V132" s="4" t="s">
        <v>77</v>
      </c>
      <c r="W132" s="4"/>
      <c r="X132" s="4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  <c r="AT132" s="7"/>
      <c r="AU132" s="7"/>
      <c r="AV132" s="4"/>
      <c r="AW132" s="2"/>
      <c r="AX132" s="7"/>
      <c r="AY132" s="4"/>
      <c r="AZ132" s="22">
        <v>117</v>
      </c>
      <c r="BA132" s="2"/>
      <c r="BB132" s="2"/>
      <c r="BC132" s="41">
        <v>24.4</v>
      </c>
      <c r="BD132" s="46">
        <v>1006</v>
      </c>
      <c r="BE132" s="71">
        <v>53</v>
      </c>
      <c r="BF132" s="48">
        <v>1.17</v>
      </c>
      <c r="BG132" s="2">
        <v>2096</v>
      </c>
      <c r="BH132" s="2"/>
      <c r="BM132"/>
    </row>
    <row r="133" spans="1:65" x14ac:dyDescent="0.3">
      <c r="A133" s="2" t="s">
        <v>13</v>
      </c>
      <c r="B133" s="59" t="s">
        <v>14</v>
      </c>
      <c r="C133" s="3">
        <v>45267</v>
      </c>
      <c r="D133" s="8">
        <v>2</v>
      </c>
      <c r="E133" s="3" t="s">
        <v>365</v>
      </c>
      <c r="F133" s="2" t="s">
        <v>556</v>
      </c>
      <c r="G133" s="7">
        <v>0.16889999999999999</v>
      </c>
      <c r="H133" s="54">
        <v>7.1999999999999998E-3</v>
      </c>
      <c r="I133" s="7">
        <v>1.2084999999999999</v>
      </c>
      <c r="K133" s="7">
        <v>0.16800000000000001</v>
      </c>
      <c r="L133" s="7">
        <v>0.16700000000000001</v>
      </c>
      <c r="O133" s="7">
        <v>63.5</v>
      </c>
      <c r="P133" s="7">
        <v>551</v>
      </c>
      <c r="Q133" s="7">
        <v>756.2</v>
      </c>
      <c r="R133" s="40" t="s">
        <v>568</v>
      </c>
      <c r="S133" s="4" t="s">
        <v>580</v>
      </c>
      <c r="T133" s="4"/>
      <c r="U133" s="4" t="s">
        <v>225</v>
      </c>
      <c r="V133" s="4" t="s">
        <v>77</v>
      </c>
      <c r="W133" s="4"/>
      <c r="X133" s="4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  <c r="AT133" s="7"/>
      <c r="AU133" s="7"/>
      <c r="AV133" s="4"/>
      <c r="AW133" s="2"/>
      <c r="AX133" s="7"/>
      <c r="AY133" s="4"/>
      <c r="AZ133" s="22">
        <v>117</v>
      </c>
      <c r="BA133" s="2"/>
      <c r="BB133" s="2"/>
      <c r="BC133" s="41">
        <v>24.8</v>
      </c>
      <c r="BD133" s="43">
        <v>1005</v>
      </c>
      <c r="BE133" s="71">
        <v>62</v>
      </c>
      <c r="BF133" s="45">
        <v>1.167</v>
      </c>
      <c r="BG133" s="2">
        <v>2096</v>
      </c>
      <c r="BH133" s="2"/>
      <c r="BM133"/>
    </row>
    <row r="134" spans="1:65" x14ac:dyDescent="0.3">
      <c r="A134" s="2" t="s">
        <v>13</v>
      </c>
      <c r="B134" s="59" t="s">
        <v>14</v>
      </c>
      <c r="C134" s="3">
        <v>45267</v>
      </c>
      <c r="D134" s="8">
        <v>3</v>
      </c>
      <c r="E134" s="3" t="s">
        <v>366</v>
      </c>
      <c r="F134" s="2" t="s">
        <v>547</v>
      </c>
      <c r="G134" s="7">
        <v>0.17419999999999999</v>
      </c>
      <c r="H134" s="54">
        <v>3.5999999999999999E-3</v>
      </c>
      <c r="I134" s="7">
        <v>1.2084999999999999</v>
      </c>
      <c r="L134" s="7">
        <v>0.17100000000000001</v>
      </c>
      <c r="O134" s="7">
        <v>62.2</v>
      </c>
      <c r="P134" s="7">
        <v>534</v>
      </c>
      <c r="Q134" s="7">
        <v>756.2</v>
      </c>
      <c r="R134" s="40" t="s">
        <v>568</v>
      </c>
      <c r="S134" s="4" t="s">
        <v>580</v>
      </c>
      <c r="T134" s="4"/>
      <c r="U134" s="4" t="s">
        <v>225</v>
      </c>
      <c r="V134" s="4" t="s">
        <v>77</v>
      </c>
      <c r="W134" s="4"/>
      <c r="X134" s="4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  <c r="AT134" s="7"/>
      <c r="AU134" s="7"/>
      <c r="AV134" s="4"/>
      <c r="AW134" s="2"/>
      <c r="AX134" s="7"/>
      <c r="AY134" s="4"/>
      <c r="AZ134" s="22">
        <v>117</v>
      </c>
      <c r="BA134" s="2"/>
      <c r="BB134" s="2"/>
      <c r="BC134" s="41">
        <v>25.1</v>
      </c>
      <c r="BD134" s="43">
        <v>1005</v>
      </c>
      <c r="BE134" s="71">
        <v>51</v>
      </c>
      <c r="BF134" s="45">
        <v>1.167</v>
      </c>
      <c r="BG134" s="2">
        <v>2096</v>
      </c>
      <c r="BH134" s="2"/>
      <c r="BM134"/>
    </row>
    <row r="135" spans="1:65" x14ac:dyDescent="0.3">
      <c r="A135" s="2" t="s">
        <v>13</v>
      </c>
      <c r="B135" s="59" t="s">
        <v>14</v>
      </c>
      <c r="C135" s="3">
        <v>45267</v>
      </c>
      <c r="D135" s="8">
        <v>4</v>
      </c>
      <c r="E135" s="3" t="s">
        <v>367</v>
      </c>
      <c r="F135" s="2" t="s">
        <v>383</v>
      </c>
      <c r="G135" s="7">
        <v>0.17050000000000001</v>
      </c>
      <c r="H135" s="54">
        <v>1.8E-3</v>
      </c>
      <c r="I135" s="7">
        <v>1.2084999999999999</v>
      </c>
      <c r="K135" s="7">
        <v>0.17399999999999999</v>
      </c>
      <c r="L135" s="7">
        <v>0.17219999999999999</v>
      </c>
      <c r="O135" s="7">
        <v>63</v>
      </c>
      <c r="P135" s="7">
        <v>560</v>
      </c>
      <c r="Q135" s="7">
        <v>756.1</v>
      </c>
      <c r="R135" s="40" t="s">
        <v>568</v>
      </c>
      <c r="S135" s="4" t="s">
        <v>580</v>
      </c>
      <c r="T135" s="4"/>
      <c r="U135" s="4" t="s">
        <v>225</v>
      </c>
      <c r="V135" s="4" t="s">
        <v>77</v>
      </c>
      <c r="W135" s="4"/>
      <c r="X135" s="4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  <c r="AT135" s="7"/>
      <c r="AU135" s="7"/>
      <c r="AV135" s="4"/>
      <c r="AW135" s="2"/>
      <c r="AX135" s="7"/>
      <c r="AY135" s="4"/>
      <c r="AZ135" s="22">
        <v>117</v>
      </c>
      <c r="BA135" s="2"/>
      <c r="BB135" s="2"/>
      <c r="BC135" s="41">
        <v>25.9</v>
      </c>
      <c r="BD135" s="43">
        <v>1005</v>
      </c>
      <c r="BE135" s="71">
        <v>56</v>
      </c>
      <c r="BF135" s="45">
        <v>1.1619999999999999</v>
      </c>
      <c r="BG135" s="2">
        <v>2096</v>
      </c>
      <c r="BH135" s="2"/>
      <c r="BM135"/>
    </row>
    <row r="136" spans="1:65" x14ac:dyDescent="0.3">
      <c r="A136" s="2" t="s">
        <v>13</v>
      </c>
      <c r="B136" s="59" t="s">
        <v>14</v>
      </c>
      <c r="C136" s="3">
        <v>45267</v>
      </c>
      <c r="D136" s="8">
        <v>5</v>
      </c>
      <c r="E136" s="3" t="s">
        <v>368</v>
      </c>
      <c r="F136" s="2" t="s">
        <v>556</v>
      </c>
      <c r="G136" s="7">
        <v>0.16739999999999999</v>
      </c>
      <c r="H136" s="54">
        <v>5.5999999999999999E-3</v>
      </c>
      <c r="I136" s="7">
        <v>1.2084999999999999</v>
      </c>
      <c r="K136" s="7">
        <v>0.17199999999999999</v>
      </c>
      <c r="L136" s="7">
        <v>0.1663</v>
      </c>
      <c r="O136" s="7">
        <v>63.7</v>
      </c>
      <c r="P136" s="7">
        <v>581</v>
      </c>
      <c r="Q136" s="7">
        <v>756.6</v>
      </c>
      <c r="R136" s="40" t="s">
        <v>568</v>
      </c>
      <c r="S136" s="4" t="s">
        <v>580</v>
      </c>
      <c r="T136" s="4"/>
      <c r="U136" s="4" t="s">
        <v>225</v>
      </c>
      <c r="V136" s="4" t="s">
        <v>77</v>
      </c>
      <c r="W136" s="4"/>
      <c r="X136" s="4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  <c r="AT136" s="7"/>
      <c r="AU136" s="7"/>
      <c r="AV136" s="4"/>
      <c r="AW136" s="2"/>
      <c r="AX136" s="7"/>
      <c r="AY136" s="4"/>
      <c r="AZ136" s="22">
        <v>117</v>
      </c>
      <c r="BA136" s="2"/>
      <c r="BB136" s="2"/>
      <c r="BC136" s="41">
        <v>25.9</v>
      </c>
      <c r="BD136" s="43">
        <v>1005</v>
      </c>
      <c r="BE136" s="71">
        <v>56</v>
      </c>
      <c r="BF136" s="45">
        <v>1.1619999999999999</v>
      </c>
      <c r="BG136" s="2">
        <v>2096</v>
      </c>
      <c r="BH136" s="2"/>
      <c r="BM136"/>
    </row>
    <row r="137" spans="1:65" x14ac:dyDescent="0.3">
      <c r="A137" s="2" t="s">
        <v>13</v>
      </c>
      <c r="B137" s="59" t="s">
        <v>14</v>
      </c>
      <c r="C137" s="3">
        <v>45267</v>
      </c>
      <c r="D137" s="8">
        <v>6</v>
      </c>
      <c r="E137" s="3" t="s">
        <v>357</v>
      </c>
      <c r="F137" s="2" t="s">
        <v>547</v>
      </c>
      <c r="G137" s="7">
        <v>0.17069999999999999</v>
      </c>
      <c r="H137" s="54">
        <v>2.2000000000000001E-3</v>
      </c>
      <c r="I137" s="7">
        <v>1.2084999999999999</v>
      </c>
      <c r="K137" s="7">
        <v>0.17399999999999999</v>
      </c>
      <c r="L137" s="7">
        <v>0.1699</v>
      </c>
      <c r="O137" s="7">
        <v>63.7</v>
      </c>
      <c r="P137" s="7">
        <v>558</v>
      </c>
      <c r="Q137" s="7">
        <v>756.5</v>
      </c>
      <c r="R137" s="40" t="s">
        <v>568</v>
      </c>
      <c r="S137" s="4" t="s">
        <v>580</v>
      </c>
      <c r="T137" s="4"/>
      <c r="U137" s="4" t="s">
        <v>225</v>
      </c>
      <c r="V137" s="4" t="s">
        <v>77</v>
      </c>
      <c r="W137" s="4"/>
      <c r="X137" s="4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  <c r="AT137" s="7"/>
      <c r="AU137" s="7"/>
      <c r="AV137" s="4"/>
      <c r="AW137" s="2"/>
      <c r="AX137" s="7"/>
      <c r="AY137" s="4"/>
      <c r="AZ137" s="22">
        <v>117</v>
      </c>
      <c r="BA137" s="2"/>
      <c r="BB137" s="2"/>
      <c r="BC137" s="41">
        <v>26.4</v>
      </c>
      <c r="BD137" s="43">
        <v>1005</v>
      </c>
      <c r="BE137" s="71">
        <v>48</v>
      </c>
      <c r="BF137" s="45">
        <v>1.1619999999999999</v>
      </c>
      <c r="BG137" s="2">
        <v>2096</v>
      </c>
      <c r="BH137" s="2"/>
      <c r="BM137"/>
    </row>
    <row r="138" spans="1:65" x14ac:dyDescent="0.3">
      <c r="A138" s="2" t="s">
        <v>13</v>
      </c>
      <c r="B138" s="59" t="s">
        <v>28</v>
      </c>
      <c r="C138" s="3">
        <v>45267</v>
      </c>
      <c r="D138" s="8">
        <v>1</v>
      </c>
      <c r="E138" s="3" t="s">
        <v>371</v>
      </c>
      <c r="F138" s="2" t="s">
        <v>355</v>
      </c>
      <c r="G138" s="7">
        <v>0.1673</v>
      </c>
      <c r="H138" s="54">
        <v>4.1999999999999997E-3</v>
      </c>
      <c r="I138" s="7">
        <v>1.258</v>
      </c>
      <c r="K138" s="7">
        <v>0.16700000000000001</v>
      </c>
      <c r="L138" s="7">
        <v>0.16689999999999999</v>
      </c>
      <c r="O138" s="7">
        <v>63.4</v>
      </c>
      <c r="P138" s="7">
        <v>553</v>
      </c>
      <c r="Q138" s="7">
        <v>754</v>
      </c>
      <c r="R138" s="4" t="s">
        <v>356</v>
      </c>
      <c r="S138" s="4" t="s">
        <v>580</v>
      </c>
      <c r="T138" s="4"/>
      <c r="U138" s="4" t="s">
        <v>225</v>
      </c>
      <c r="V138" s="4" t="s">
        <v>226</v>
      </c>
      <c r="W138" s="4"/>
      <c r="X138" s="4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  <c r="AT138" s="7"/>
      <c r="AU138" s="7"/>
      <c r="AV138" s="4"/>
      <c r="AW138" s="2"/>
      <c r="AX138" s="7"/>
      <c r="AY138" s="4"/>
      <c r="AZ138" s="22">
        <v>117</v>
      </c>
      <c r="BA138" s="2"/>
      <c r="BB138" s="2"/>
      <c r="BC138" s="41">
        <v>24.4</v>
      </c>
      <c r="BD138" s="46">
        <v>1006</v>
      </c>
      <c r="BE138" s="71">
        <v>53</v>
      </c>
      <c r="BF138" s="48">
        <v>1.171</v>
      </c>
      <c r="BG138" s="2">
        <v>2096</v>
      </c>
      <c r="BH138" s="2"/>
      <c r="BM138"/>
    </row>
    <row r="139" spans="1:65" x14ac:dyDescent="0.3">
      <c r="A139" s="2" t="s">
        <v>13</v>
      </c>
      <c r="B139" s="59" t="s">
        <v>28</v>
      </c>
      <c r="C139" s="3">
        <v>45267</v>
      </c>
      <c r="D139" s="8">
        <v>2</v>
      </c>
      <c r="E139" s="3" t="s">
        <v>372</v>
      </c>
      <c r="F139" s="2" t="s">
        <v>553</v>
      </c>
      <c r="G139" s="7">
        <v>0.16109999999999999</v>
      </c>
      <c r="H139" s="54">
        <v>2.2000000000000001E-3</v>
      </c>
      <c r="I139" s="7">
        <v>1.258</v>
      </c>
      <c r="K139" s="7">
        <v>0.16500000000000001</v>
      </c>
      <c r="L139" s="7">
        <v>0.16320000000000001</v>
      </c>
      <c r="O139" s="7">
        <v>64.099999999999994</v>
      </c>
      <c r="P139" s="7">
        <v>566</v>
      </c>
      <c r="Q139" s="7">
        <v>753.9</v>
      </c>
      <c r="R139" s="4" t="s">
        <v>356</v>
      </c>
      <c r="S139" s="4" t="s">
        <v>580</v>
      </c>
      <c r="T139" s="4"/>
      <c r="U139" s="4" t="s">
        <v>225</v>
      </c>
      <c r="V139" s="4" t="s">
        <v>226</v>
      </c>
      <c r="W139" s="4"/>
      <c r="X139" s="4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  <c r="AT139" s="7"/>
      <c r="AU139" s="7"/>
      <c r="AV139" s="4"/>
      <c r="AW139" s="2"/>
      <c r="AX139" s="7"/>
      <c r="AY139" s="4"/>
      <c r="AZ139" s="22">
        <v>117</v>
      </c>
      <c r="BA139" s="2"/>
      <c r="BB139" s="2"/>
      <c r="BC139" s="41">
        <v>24.4</v>
      </c>
      <c r="BD139" s="43">
        <v>1006</v>
      </c>
      <c r="BE139" s="71">
        <v>53</v>
      </c>
      <c r="BF139" s="45">
        <v>1.17</v>
      </c>
      <c r="BG139" s="2">
        <v>2096</v>
      </c>
      <c r="BH139" s="2"/>
      <c r="BM139"/>
    </row>
    <row r="140" spans="1:65" x14ac:dyDescent="0.3">
      <c r="A140" s="2" t="s">
        <v>13</v>
      </c>
      <c r="B140" s="59" t="s">
        <v>28</v>
      </c>
      <c r="C140" s="3">
        <v>45267</v>
      </c>
      <c r="D140" s="8">
        <v>3</v>
      </c>
      <c r="E140" s="3" t="s">
        <v>373</v>
      </c>
      <c r="F140" s="2" t="s">
        <v>552</v>
      </c>
      <c r="G140" s="7">
        <v>0.1696</v>
      </c>
      <c r="H140" s="54">
        <v>3.7000000000000002E-3</v>
      </c>
      <c r="I140" s="7">
        <v>1.258</v>
      </c>
      <c r="K140" s="7">
        <v>0.16800000000000001</v>
      </c>
      <c r="L140" s="7">
        <v>0.16719999999999999</v>
      </c>
      <c r="O140" s="7">
        <v>63.8</v>
      </c>
      <c r="P140" s="7">
        <v>559</v>
      </c>
      <c r="Q140" s="7">
        <v>755.2</v>
      </c>
      <c r="R140" s="4" t="s">
        <v>356</v>
      </c>
      <c r="S140" s="4" t="s">
        <v>580</v>
      </c>
      <c r="T140" s="4"/>
      <c r="U140" s="4" t="s">
        <v>225</v>
      </c>
      <c r="V140" s="4" t="s">
        <v>226</v>
      </c>
      <c r="W140" s="4"/>
      <c r="X140" s="4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  <c r="AT140" s="7"/>
      <c r="AU140" s="7"/>
      <c r="AV140" s="4"/>
      <c r="AW140" s="2"/>
      <c r="AX140" s="7"/>
      <c r="AY140" s="4"/>
      <c r="AZ140" s="22">
        <v>117</v>
      </c>
      <c r="BA140" s="2"/>
      <c r="BB140" s="2"/>
      <c r="BC140" s="41">
        <v>25.1</v>
      </c>
      <c r="BD140" s="43">
        <v>1005</v>
      </c>
      <c r="BE140" s="71">
        <v>51</v>
      </c>
      <c r="BF140" s="45">
        <v>1.167</v>
      </c>
      <c r="BG140" s="2">
        <v>2096</v>
      </c>
      <c r="BH140" s="2"/>
      <c r="BM140"/>
    </row>
    <row r="141" spans="1:65" x14ac:dyDescent="0.3">
      <c r="A141" s="2" t="s">
        <v>13</v>
      </c>
      <c r="B141" s="59" t="s">
        <v>28</v>
      </c>
      <c r="C141" s="3">
        <v>45267</v>
      </c>
      <c r="D141" s="8">
        <v>4</v>
      </c>
      <c r="E141" s="3" t="s">
        <v>374</v>
      </c>
      <c r="F141" s="2" t="s">
        <v>355</v>
      </c>
      <c r="G141" s="7">
        <v>0.16789999999999999</v>
      </c>
      <c r="H141" s="54">
        <v>3.5999999999999999E-3</v>
      </c>
      <c r="I141" s="7">
        <v>1.258</v>
      </c>
      <c r="L141" s="7">
        <v>0.16839999999999999</v>
      </c>
      <c r="O141" s="7">
        <v>63.5</v>
      </c>
      <c r="P141" s="7">
        <v>570</v>
      </c>
      <c r="Q141" s="7">
        <v>754.1</v>
      </c>
      <c r="R141" s="4" t="s">
        <v>356</v>
      </c>
      <c r="S141" s="4" t="s">
        <v>580</v>
      </c>
      <c r="T141" s="4"/>
      <c r="U141" s="4" t="s">
        <v>225</v>
      </c>
      <c r="V141" s="4" t="s">
        <v>226</v>
      </c>
      <c r="W141" s="4"/>
      <c r="X141" s="4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  <c r="AT141" s="7"/>
      <c r="AU141" s="7"/>
      <c r="AV141" s="4"/>
      <c r="AW141" s="2"/>
      <c r="AX141" s="7"/>
      <c r="AY141" s="4"/>
      <c r="AZ141" s="22">
        <v>117</v>
      </c>
      <c r="BA141" s="2"/>
      <c r="BB141" s="2"/>
      <c r="BC141" s="41">
        <v>25.7</v>
      </c>
      <c r="BD141" s="43">
        <v>1005</v>
      </c>
      <c r="BE141" s="71">
        <v>61</v>
      </c>
      <c r="BF141" s="45">
        <v>1.163</v>
      </c>
      <c r="BG141" s="2">
        <v>2096</v>
      </c>
      <c r="BH141" s="2"/>
      <c r="BM141"/>
    </row>
    <row r="142" spans="1:65" x14ac:dyDescent="0.3">
      <c r="A142" s="2" t="s">
        <v>13</v>
      </c>
      <c r="B142" s="59" t="s">
        <v>28</v>
      </c>
      <c r="C142" s="3">
        <v>45267</v>
      </c>
      <c r="D142" s="8">
        <v>5</v>
      </c>
      <c r="E142" s="3" t="s">
        <v>375</v>
      </c>
      <c r="F142" s="2" t="s">
        <v>553</v>
      </c>
      <c r="G142" s="7">
        <v>0.16170000000000001</v>
      </c>
      <c r="H142" s="54">
        <v>2.5999999999999999E-3</v>
      </c>
      <c r="I142" s="7">
        <v>1.258</v>
      </c>
      <c r="L142" s="7">
        <v>0.1633</v>
      </c>
      <c r="O142" s="7">
        <v>64.099999999999994</v>
      </c>
      <c r="P142" s="7">
        <v>572</v>
      </c>
      <c r="Q142" s="7">
        <v>754.5</v>
      </c>
      <c r="R142" s="4" t="s">
        <v>356</v>
      </c>
      <c r="S142" s="4" t="s">
        <v>580</v>
      </c>
      <c r="T142" s="4"/>
      <c r="U142" s="4" t="s">
        <v>225</v>
      </c>
      <c r="V142" s="4" t="s">
        <v>226</v>
      </c>
      <c r="W142" s="4"/>
      <c r="X142" s="4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  <c r="AT142" s="7"/>
      <c r="AU142" s="7"/>
      <c r="AV142" s="4"/>
      <c r="AW142" s="2"/>
      <c r="AX142" s="7"/>
      <c r="AY142" s="4"/>
      <c r="AZ142" s="22">
        <v>117</v>
      </c>
      <c r="BA142" s="2"/>
      <c r="BB142" s="2"/>
      <c r="BC142" s="41">
        <v>25.9</v>
      </c>
      <c r="BD142" s="43">
        <v>1005</v>
      </c>
      <c r="BE142" s="71">
        <v>56</v>
      </c>
      <c r="BF142" s="45">
        <v>1.1619999999999999</v>
      </c>
      <c r="BG142" s="2">
        <v>2096</v>
      </c>
      <c r="BH142" s="2"/>
      <c r="BM142"/>
    </row>
    <row r="143" spans="1:65" x14ac:dyDescent="0.3">
      <c r="A143" s="2" t="s">
        <v>13</v>
      </c>
      <c r="B143" s="59" t="s">
        <v>28</v>
      </c>
      <c r="C143" s="3">
        <v>45267</v>
      </c>
      <c r="D143" s="8">
        <v>6</v>
      </c>
      <c r="E143" s="3" t="s">
        <v>376</v>
      </c>
      <c r="F143" s="2" t="s">
        <v>552</v>
      </c>
      <c r="G143" s="7">
        <v>0.16789999999999999</v>
      </c>
      <c r="H143" s="54">
        <v>2E-3</v>
      </c>
      <c r="I143" s="7">
        <v>1.258</v>
      </c>
      <c r="L143" s="7">
        <v>0.16819999999999999</v>
      </c>
      <c r="O143" s="7">
        <v>62.9</v>
      </c>
      <c r="P143" s="7">
        <v>557</v>
      </c>
      <c r="Q143" s="7">
        <v>754.3</v>
      </c>
      <c r="R143" s="4" t="s">
        <v>356</v>
      </c>
      <c r="S143" s="4" t="s">
        <v>580</v>
      </c>
      <c r="T143" s="4"/>
      <c r="U143" s="4" t="s">
        <v>225</v>
      </c>
      <c r="V143" s="4" t="s">
        <v>226</v>
      </c>
      <c r="W143" s="4"/>
      <c r="X143" s="4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4"/>
      <c r="AW143" s="2"/>
      <c r="AX143" s="7"/>
      <c r="AY143" s="4"/>
      <c r="AZ143" s="22">
        <v>117</v>
      </c>
      <c r="BA143" s="2"/>
      <c r="BB143" s="2"/>
      <c r="BC143" s="41">
        <v>26.4</v>
      </c>
      <c r="BD143" s="43">
        <v>1005</v>
      </c>
      <c r="BE143" s="71">
        <v>48</v>
      </c>
      <c r="BF143" s="45">
        <v>1.1619999999999999</v>
      </c>
      <c r="BG143" s="2">
        <v>2096</v>
      </c>
      <c r="BH143" s="2"/>
      <c r="BM143"/>
    </row>
    <row r="144" spans="1:65" x14ac:dyDescent="0.3">
      <c r="A144" s="2" t="s">
        <v>13</v>
      </c>
      <c r="B144" s="59" t="s">
        <v>17</v>
      </c>
      <c r="C144" s="3">
        <v>45274</v>
      </c>
      <c r="D144" s="8">
        <v>3</v>
      </c>
      <c r="E144" s="3" t="s">
        <v>416</v>
      </c>
      <c r="F144" s="2" t="s">
        <v>551</v>
      </c>
      <c r="G144" s="7">
        <v>0.19370000000000001</v>
      </c>
      <c r="H144" s="54">
        <v>3.8999999999999998E-3</v>
      </c>
      <c r="I144" s="7">
        <v>1.2735000000000001</v>
      </c>
      <c r="K144" s="7">
        <v>0.184</v>
      </c>
      <c r="L144" s="7">
        <v>0.18959999999999999</v>
      </c>
      <c r="O144" s="7">
        <v>63.6</v>
      </c>
      <c r="P144" s="7">
        <v>622</v>
      </c>
      <c r="Q144" s="7">
        <v>757.3</v>
      </c>
      <c r="R144" s="40" t="s">
        <v>568</v>
      </c>
      <c r="S144" s="4" t="s">
        <v>580</v>
      </c>
      <c r="T144" s="4"/>
      <c r="U144" s="4" t="s">
        <v>380</v>
      </c>
      <c r="V144" s="4" t="s">
        <v>226</v>
      </c>
      <c r="W144" s="4"/>
      <c r="X144" s="4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  <c r="AT144" s="7"/>
      <c r="AU144" s="7"/>
      <c r="AV144" s="4"/>
      <c r="AW144" s="2"/>
      <c r="AX144" s="7"/>
      <c r="AY144" s="4"/>
      <c r="AZ144" s="4">
        <v>117</v>
      </c>
      <c r="BA144" s="2"/>
      <c r="BB144" s="2"/>
      <c r="BC144" s="2">
        <v>24.6</v>
      </c>
      <c r="BD144" s="46">
        <v>1003</v>
      </c>
      <c r="BE144" s="71">
        <v>49</v>
      </c>
      <c r="BF144" s="48">
        <v>1.167</v>
      </c>
      <c r="BG144" s="2">
        <v>2096</v>
      </c>
      <c r="BH144" s="2"/>
      <c r="BM144"/>
    </row>
    <row r="145" spans="1:65" x14ac:dyDescent="0.3">
      <c r="A145" s="2" t="s">
        <v>13</v>
      </c>
      <c r="B145" s="59" t="s">
        <v>17</v>
      </c>
      <c r="C145" s="3">
        <v>45274</v>
      </c>
      <c r="D145" s="8">
        <v>4</v>
      </c>
      <c r="E145" s="3" t="s">
        <v>417</v>
      </c>
      <c r="F145" s="2" t="s">
        <v>551</v>
      </c>
      <c r="G145" s="7">
        <v>0.18920000000000001</v>
      </c>
      <c r="H145" s="54">
        <v>2.8999999999999998E-3</v>
      </c>
      <c r="I145" s="7">
        <v>1.2735000000000001</v>
      </c>
      <c r="K145" s="7">
        <v>0.183</v>
      </c>
      <c r="L145" s="7">
        <v>0.1865</v>
      </c>
      <c r="O145" s="7">
        <v>63.7</v>
      </c>
      <c r="P145" s="7">
        <v>629</v>
      </c>
      <c r="Q145" s="7">
        <v>758</v>
      </c>
      <c r="R145" s="40" t="s">
        <v>569</v>
      </c>
      <c r="S145" s="4" t="s">
        <v>580</v>
      </c>
      <c r="T145" s="4"/>
      <c r="U145" s="4" t="s">
        <v>380</v>
      </c>
      <c r="V145" s="4" t="s">
        <v>226</v>
      </c>
      <c r="W145" s="4"/>
      <c r="X145" s="4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  <c r="AT145" s="7"/>
      <c r="AU145" s="7"/>
      <c r="AV145" s="4"/>
      <c r="AW145" s="2"/>
      <c r="AX145" s="7"/>
      <c r="AY145" s="4"/>
      <c r="AZ145" s="4">
        <v>117</v>
      </c>
      <c r="BA145" s="2"/>
      <c r="BB145" s="2"/>
      <c r="BC145" s="2">
        <v>25.5</v>
      </c>
      <c r="BD145" s="43">
        <v>1003</v>
      </c>
      <c r="BE145" s="71">
        <v>47</v>
      </c>
      <c r="BF145" s="45">
        <v>1.1639999999999999</v>
      </c>
      <c r="BG145" s="2">
        <v>2096</v>
      </c>
      <c r="BH145" s="2"/>
      <c r="BM145"/>
    </row>
    <row r="146" spans="1:65" x14ac:dyDescent="0.3">
      <c r="A146" s="2" t="s">
        <v>13</v>
      </c>
      <c r="B146" s="59" t="s">
        <v>17</v>
      </c>
      <c r="C146" s="3">
        <v>45274</v>
      </c>
      <c r="D146" s="8">
        <v>5</v>
      </c>
      <c r="E146" s="3" t="s">
        <v>418</v>
      </c>
      <c r="F146" s="2" t="s">
        <v>552</v>
      </c>
      <c r="G146" s="7">
        <v>0.19009999999999999</v>
      </c>
      <c r="H146" s="54">
        <v>1.5E-3</v>
      </c>
      <c r="I146" s="7">
        <v>1.2735000000000001</v>
      </c>
      <c r="K146" s="7">
        <v>0.18099999999999999</v>
      </c>
      <c r="L146" s="7">
        <v>0.18509999999999999</v>
      </c>
      <c r="O146" s="7">
        <v>63.4</v>
      </c>
      <c r="P146" s="7">
        <v>609</v>
      </c>
      <c r="Q146" s="7">
        <v>758.1</v>
      </c>
      <c r="R146" s="40" t="s">
        <v>569</v>
      </c>
      <c r="S146" s="4" t="s">
        <v>580</v>
      </c>
      <c r="T146" s="4"/>
      <c r="U146" s="4" t="s">
        <v>380</v>
      </c>
      <c r="V146" s="4" t="s">
        <v>226</v>
      </c>
      <c r="W146" s="4"/>
      <c r="X146" s="4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  <c r="AT146" s="7"/>
      <c r="AU146" s="7"/>
      <c r="AV146" s="4"/>
      <c r="AW146" s="2"/>
      <c r="AX146" s="7"/>
      <c r="AY146" s="4"/>
      <c r="AZ146" s="4">
        <v>117</v>
      </c>
      <c r="BA146" s="2"/>
      <c r="BB146" s="2"/>
      <c r="BC146" s="2">
        <v>25.5</v>
      </c>
      <c r="BD146" s="43">
        <v>1003</v>
      </c>
      <c r="BE146" s="71">
        <v>47</v>
      </c>
      <c r="BF146" s="45">
        <v>1.1639999999999999</v>
      </c>
      <c r="BG146" s="2">
        <v>2096</v>
      </c>
      <c r="BH146" s="2"/>
      <c r="BM146"/>
    </row>
    <row r="147" spans="1:65" x14ac:dyDescent="0.3">
      <c r="A147" s="2" t="s">
        <v>13</v>
      </c>
      <c r="B147" s="59" t="s">
        <v>17</v>
      </c>
      <c r="C147" s="3">
        <v>45274</v>
      </c>
      <c r="D147" s="8">
        <v>7</v>
      </c>
      <c r="E147" s="3"/>
      <c r="F147" s="2" t="s">
        <v>551</v>
      </c>
      <c r="G147" s="7">
        <v>0.1958</v>
      </c>
      <c r="H147" s="54">
        <v>3.0999999999999999E-3</v>
      </c>
      <c r="I147" s="7">
        <v>1.2735000000000001</v>
      </c>
      <c r="K147" s="7">
        <v>0.184</v>
      </c>
      <c r="L147" s="7">
        <v>0.19040000000000001</v>
      </c>
      <c r="O147" s="7">
        <v>62.4</v>
      </c>
      <c r="P147" s="7">
        <v>590</v>
      </c>
      <c r="Q147" s="7">
        <v>757.6</v>
      </c>
      <c r="R147" s="40" t="s">
        <v>568</v>
      </c>
      <c r="S147" s="4" t="s">
        <v>580</v>
      </c>
      <c r="T147" s="4"/>
      <c r="U147" s="4" t="s">
        <v>380</v>
      </c>
      <c r="V147" s="4" t="s">
        <v>226</v>
      </c>
      <c r="W147" s="4"/>
      <c r="X147" s="4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  <c r="AT147" s="7"/>
      <c r="AU147" s="7"/>
      <c r="AV147" s="4"/>
      <c r="AW147" s="2"/>
      <c r="AX147" s="7"/>
      <c r="AY147" s="4"/>
      <c r="AZ147" s="4">
        <v>117</v>
      </c>
      <c r="BA147" s="2"/>
      <c r="BB147" s="2"/>
      <c r="BC147" s="2">
        <v>26.2</v>
      </c>
      <c r="BD147" s="43">
        <v>1004</v>
      </c>
      <c r="BE147" s="71">
        <v>46</v>
      </c>
      <c r="BF147" s="45">
        <v>1.161</v>
      </c>
      <c r="BG147" s="2">
        <v>2096</v>
      </c>
      <c r="BH147" s="2"/>
      <c r="BM147"/>
    </row>
    <row r="148" spans="1:65" x14ac:dyDescent="0.3">
      <c r="A148" s="2" t="s">
        <v>13</v>
      </c>
      <c r="B148" s="59" t="s">
        <v>17</v>
      </c>
      <c r="C148" s="3">
        <v>45274</v>
      </c>
      <c r="D148" s="8">
        <v>8</v>
      </c>
      <c r="E148" s="3" t="s">
        <v>408</v>
      </c>
      <c r="F148" s="2" t="s">
        <v>551</v>
      </c>
      <c r="G148" s="7">
        <v>0.18790000000000001</v>
      </c>
      <c r="H148" s="54">
        <v>1.6999999999999999E-3</v>
      </c>
      <c r="I148" s="7">
        <v>1.2735000000000001</v>
      </c>
      <c r="K148" s="7">
        <v>0.182</v>
      </c>
      <c r="L148" s="7">
        <v>0.18440000000000001</v>
      </c>
      <c r="O148" s="7">
        <v>63.3</v>
      </c>
      <c r="P148" s="7">
        <v>604</v>
      </c>
      <c r="Q148" s="7">
        <v>758.2</v>
      </c>
      <c r="R148" s="40" t="s">
        <v>569</v>
      </c>
      <c r="S148" s="4" t="s">
        <v>580</v>
      </c>
      <c r="T148" s="4"/>
      <c r="U148" s="4" t="s">
        <v>380</v>
      </c>
      <c r="V148" s="4" t="s">
        <v>226</v>
      </c>
      <c r="W148" s="4"/>
      <c r="X148" s="4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  <c r="AT148" s="7"/>
      <c r="AU148" s="7"/>
      <c r="AV148" s="4"/>
      <c r="AW148" s="2"/>
      <c r="AX148" s="7"/>
      <c r="AY148" s="4"/>
      <c r="AZ148" s="4">
        <v>117</v>
      </c>
      <c r="BA148" s="2"/>
      <c r="BB148" s="2"/>
      <c r="BC148" s="2">
        <v>26.2</v>
      </c>
      <c r="BD148" s="68">
        <v>1004</v>
      </c>
      <c r="BE148" s="71">
        <v>46</v>
      </c>
      <c r="BF148" s="45">
        <v>1.161</v>
      </c>
      <c r="BG148" s="2">
        <v>2096</v>
      </c>
      <c r="BH148" s="2"/>
      <c r="BM148"/>
    </row>
    <row r="149" spans="1:65" x14ac:dyDescent="0.3">
      <c r="A149" s="2" t="s">
        <v>13</v>
      </c>
      <c r="B149" s="59" t="s">
        <v>17</v>
      </c>
      <c r="C149" s="3">
        <v>45274</v>
      </c>
      <c r="D149" s="8">
        <v>9</v>
      </c>
      <c r="E149" s="3" t="s">
        <v>409</v>
      </c>
      <c r="F149" s="2" t="s">
        <v>552</v>
      </c>
      <c r="G149" s="7">
        <v>0.188</v>
      </c>
      <c r="H149" s="54">
        <v>3.0999999999999999E-3</v>
      </c>
      <c r="I149" s="7">
        <v>1.2735000000000001</v>
      </c>
      <c r="L149" s="7">
        <v>0.18440000000000001</v>
      </c>
      <c r="O149" s="7">
        <v>64</v>
      </c>
      <c r="P149" s="7">
        <v>608</v>
      </c>
      <c r="Q149" s="7">
        <v>757.5</v>
      </c>
      <c r="R149" s="40" t="s">
        <v>569</v>
      </c>
      <c r="S149" s="4" t="s">
        <v>580</v>
      </c>
      <c r="T149" s="4"/>
      <c r="U149" s="4" t="s">
        <v>380</v>
      </c>
      <c r="V149" s="4" t="s">
        <v>226</v>
      </c>
      <c r="W149" s="4"/>
      <c r="X149" s="4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  <c r="AT149" s="7"/>
      <c r="AU149" s="7"/>
      <c r="AV149" s="4"/>
      <c r="AW149" s="2"/>
      <c r="AX149" s="7"/>
      <c r="AY149" s="4"/>
      <c r="AZ149" s="4">
        <v>117</v>
      </c>
      <c r="BA149" s="2"/>
      <c r="BB149" s="2"/>
      <c r="BC149" s="2">
        <v>26.3</v>
      </c>
      <c r="BD149" s="68">
        <v>1004</v>
      </c>
      <c r="BE149" s="71">
        <v>46</v>
      </c>
      <c r="BF149" s="45">
        <v>1.161</v>
      </c>
      <c r="BG149" s="2">
        <v>2096</v>
      </c>
      <c r="BH149" s="2"/>
      <c r="BM149"/>
    </row>
    <row r="150" spans="1:65" x14ac:dyDescent="0.3">
      <c r="A150" s="2" t="s">
        <v>381</v>
      </c>
      <c r="B150" s="59" t="s">
        <v>382</v>
      </c>
      <c r="C150" s="3">
        <v>45274</v>
      </c>
      <c r="D150" s="8">
        <v>2</v>
      </c>
      <c r="E150" s="3" t="s">
        <v>410</v>
      </c>
      <c r="F150" s="2" t="s">
        <v>383</v>
      </c>
      <c r="H150" s="54"/>
      <c r="L150" s="7">
        <v>0.18140000000000001</v>
      </c>
      <c r="O150" s="7">
        <v>63.9</v>
      </c>
      <c r="P150" s="7">
        <v>623</v>
      </c>
      <c r="Q150" s="7">
        <v>253</v>
      </c>
      <c r="R150" s="4" t="s">
        <v>572</v>
      </c>
      <c r="S150" s="4" t="s">
        <v>580</v>
      </c>
      <c r="T150" s="4"/>
      <c r="U150" s="4" t="s">
        <v>332</v>
      </c>
      <c r="V150" s="4" t="s">
        <v>578</v>
      </c>
      <c r="W150" s="4"/>
      <c r="X150" s="4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  <c r="AT150" s="7"/>
      <c r="AU150" s="7"/>
      <c r="AV150" s="4"/>
      <c r="AW150" s="2"/>
      <c r="AX150" s="7"/>
      <c r="AY150" s="4"/>
      <c r="AZ150" s="4">
        <v>111.6</v>
      </c>
      <c r="BA150" s="2"/>
      <c r="BB150" s="2"/>
      <c r="BC150" s="2">
        <v>24.2</v>
      </c>
      <c r="BD150" s="68">
        <v>1003</v>
      </c>
      <c r="BE150" s="71">
        <v>49</v>
      </c>
      <c r="BF150" s="48">
        <v>1.169</v>
      </c>
      <c r="BG150" s="2">
        <v>2096</v>
      </c>
      <c r="BH150" s="2" t="s">
        <v>384</v>
      </c>
      <c r="BM150"/>
    </row>
    <row r="151" spans="1:65" x14ac:dyDescent="0.3">
      <c r="A151" s="2" t="s">
        <v>381</v>
      </c>
      <c r="B151" s="59" t="s">
        <v>382</v>
      </c>
      <c r="C151" s="3">
        <v>45274</v>
      </c>
      <c r="D151" s="8">
        <v>4</v>
      </c>
      <c r="E151" s="3" t="s">
        <v>412</v>
      </c>
      <c r="F151" s="2" t="s">
        <v>383</v>
      </c>
      <c r="H151" s="54"/>
      <c r="L151" s="7">
        <v>0.18640000000000001</v>
      </c>
      <c r="O151" s="7">
        <v>63.7</v>
      </c>
      <c r="P151" s="7">
        <v>616</v>
      </c>
      <c r="Q151" s="7">
        <v>252.6</v>
      </c>
      <c r="R151" s="4" t="s">
        <v>572</v>
      </c>
      <c r="S151" s="4" t="s">
        <v>580</v>
      </c>
      <c r="T151" s="4"/>
      <c r="U151" s="4" t="s">
        <v>332</v>
      </c>
      <c r="V151" s="4" t="s">
        <v>578</v>
      </c>
      <c r="W151" s="4"/>
      <c r="X151" s="4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  <c r="AT151" s="7"/>
      <c r="AU151" s="7"/>
      <c r="AV151" s="4"/>
      <c r="AW151" s="2"/>
      <c r="AX151" s="7"/>
      <c r="AY151" s="4"/>
      <c r="AZ151" s="4">
        <v>111.6</v>
      </c>
      <c r="BA151" s="2"/>
      <c r="BB151" s="2"/>
      <c r="BC151" s="2">
        <v>25.1</v>
      </c>
      <c r="BD151" s="68">
        <v>1004</v>
      </c>
      <c r="BE151" s="71">
        <v>47</v>
      </c>
      <c r="BF151" s="45">
        <v>1.1659999999999999</v>
      </c>
      <c r="BG151" s="2">
        <v>2096</v>
      </c>
      <c r="BH151" s="2" t="s">
        <v>384</v>
      </c>
      <c r="BM151"/>
    </row>
    <row r="152" spans="1:65" x14ac:dyDescent="0.3">
      <c r="A152" s="2" t="s">
        <v>43</v>
      </c>
      <c r="B152" s="59" t="s">
        <v>44</v>
      </c>
      <c r="C152" s="3">
        <v>45278</v>
      </c>
      <c r="D152" s="8">
        <v>2</v>
      </c>
      <c r="E152" s="3" t="s">
        <v>393</v>
      </c>
      <c r="F152" s="2" t="s">
        <v>553</v>
      </c>
      <c r="G152" s="7">
        <v>0.16170000000000001</v>
      </c>
      <c r="H152" s="54">
        <v>1.6999999999999999E-3</v>
      </c>
      <c r="I152" s="7">
        <v>1.276</v>
      </c>
      <c r="K152" s="7">
        <v>0.159</v>
      </c>
      <c r="L152" s="7">
        <v>0.1593</v>
      </c>
      <c r="O152" s="7">
        <v>62.8</v>
      </c>
      <c r="P152" s="7">
        <v>507</v>
      </c>
      <c r="Q152" s="7">
        <v>756.3</v>
      </c>
      <c r="R152" s="40" t="s">
        <v>331</v>
      </c>
      <c r="S152" s="4" t="s">
        <v>580</v>
      </c>
      <c r="T152" s="4"/>
      <c r="U152" s="4" t="s">
        <v>332</v>
      </c>
      <c r="V152" s="4" t="s">
        <v>77</v>
      </c>
      <c r="W152" s="4"/>
      <c r="X152" s="4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  <c r="AT152" s="7"/>
      <c r="AU152" s="7"/>
      <c r="AV152" s="4"/>
      <c r="AW152" s="2"/>
      <c r="AX152" s="7"/>
      <c r="AY152" s="4"/>
      <c r="AZ152" s="4">
        <v>113.4</v>
      </c>
      <c r="BA152" s="2"/>
      <c r="BB152" s="2"/>
      <c r="BC152" s="2">
        <v>25.4</v>
      </c>
      <c r="BD152" s="68">
        <v>1013</v>
      </c>
      <c r="BE152" s="71">
        <v>58</v>
      </c>
      <c r="BF152" s="45">
        <v>1.1739999999999999</v>
      </c>
      <c r="BG152" s="2">
        <v>2096</v>
      </c>
      <c r="BH152" s="2"/>
      <c r="BM152"/>
    </row>
    <row r="153" spans="1:65" x14ac:dyDescent="0.3">
      <c r="A153" s="2" t="s">
        <v>43</v>
      </c>
      <c r="B153" s="59" t="s">
        <v>44</v>
      </c>
      <c r="C153" s="3">
        <v>45278</v>
      </c>
      <c r="D153" s="8">
        <v>3</v>
      </c>
      <c r="E153" s="3" t="s">
        <v>394</v>
      </c>
      <c r="F153" s="2" t="s">
        <v>553</v>
      </c>
      <c r="G153" s="7">
        <v>0.16070000000000001</v>
      </c>
      <c r="H153" s="54">
        <v>5.1000000000000004E-3</v>
      </c>
      <c r="I153" s="7">
        <v>1.276</v>
      </c>
      <c r="K153" s="7">
        <v>0.16200000000000001</v>
      </c>
      <c r="L153" s="7">
        <v>0.15939999999999999</v>
      </c>
      <c r="O153" s="7">
        <v>62.7</v>
      </c>
      <c r="P153" s="7">
        <v>509</v>
      </c>
      <c r="Q153" s="7">
        <v>756.2</v>
      </c>
      <c r="R153" s="40" t="s">
        <v>356</v>
      </c>
      <c r="S153" s="4" t="s">
        <v>580</v>
      </c>
      <c r="T153" s="4"/>
      <c r="U153" s="4" t="s">
        <v>332</v>
      </c>
      <c r="V153" s="4" t="s">
        <v>77</v>
      </c>
      <c r="W153" s="4"/>
      <c r="X153" s="4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  <c r="AT153" s="7"/>
      <c r="AU153" s="7"/>
      <c r="AV153" s="4"/>
      <c r="AW153" s="2"/>
      <c r="AX153" s="7"/>
      <c r="AY153" s="4"/>
      <c r="AZ153" s="4">
        <v>113.4</v>
      </c>
      <c r="BA153" s="2"/>
      <c r="BB153" s="2"/>
      <c r="BC153" s="2">
        <v>25.5</v>
      </c>
      <c r="BD153" s="68">
        <v>1013</v>
      </c>
      <c r="BE153" s="71">
        <v>58</v>
      </c>
      <c r="BF153" s="45">
        <v>1.173</v>
      </c>
      <c r="BG153" s="2">
        <v>2096</v>
      </c>
      <c r="BH153" s="2"/>
      <c r="BM153"/>
    </row>
    <row r="154" spans="1:65" x14ac:dyDescent="0.3">
      <c r="A154" s="2" t="s">
        <v>43</v>
      </c>
      <c r="B154" s="59" t="s">
        <v>44</v>
      </c>
      <c r="C154" s="3">
        <v>45278</v>
      </c>
      <c r="D154" s="8">
        <v>5</v>
      </c>
      <c r="E154" s="3" t="s">
        <v>396</v>
      </c>
      <c r="F154" s="2" t="s">
        <v>553</v>
      </c>
      <c r="G154" s="7">
        <v>0.16</v>
      </c>
      <c r="H154" s="54">
        <v>4.1999999999999997E-3</v>
      </c>
      <c r="I154" s="7">
        <v>1.276</v>
      </c>
      <c r="K154" s="7">
        <v>0.159</v>
      </c>
      <c r="L154" s="7">
        <v>0.1598</v>
      </c>
      <c r="O154" s="7">
        <v>62.5</v>
      </c>
      <c r="P154" s="7">
        <v>506</v>
      </c>
      <c r="Q154" s="7">
        <v>755.8</v>
      </c>
      <c r="R154" s="40" t="s">
        <v>331</v>
      </c>
      <c r="S154" s="4" t="s">
        <v>580</v>
      </c>
      <c r="T154" s="4"/>
      <c r="U154" s="4" t="s">
        <v>332</v>
      </c>
      <c r="V154" s="4" t="s">
        <v>77</v>
      </c>
      <c r="W154" s="4"/>
      <c r="X154" s="4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  <c r="AT154" s="7"/>
      <c r="AU154" s="7"/>
      <c r="AV154" s="4"/>
      <c r="AW154" s="2"/>
      <c r="AX154" s="7"/>
      <c r="AY154" s="4"/>
      <c r="AZ154" s="4">
        <v>113.4</v>
      </c>
      <c r="BA154" s="2"/>
      <c r="BB154" s="2"/>
      <c r="BC154" s="2">
        <v>25.8</v>
      </c>
      <c r="BD154" s="68">
        <v>1013</v>
      </c>
      <c r="BE154" s="71">
        <v>58</v>
      </c>
      <c r="BF154" s="48">
        <v>1.1719999999999999</v>
      </c>
      <c r="BG154" s="2">
        <v>2096</v>
      </c>
      <c r="BH154" s="2"/>
      <c r="BM154"/>
    </row>
    <row r="155" spans="1:65" x14ac:dyDescent="0.3">
      <c r="A155" s="2" t="s">
        <v>43</v>
      </c>
      <c r="B155" s="59" t="s">
        <v>44</v>
      </c>
      <c r="C155" s="3">
        <v>45278</v>
      </c>
      <c r="D155" s="8">
        <v>6</v>
      </c>
      <c r="E155" s="3" t="s">
        <v>397</v>
      </c>
      <c r="F155" s="2" t="s">
        <v>553</v>
      </c>
      <c r="G155" s="7">
        <v>0.16070000000000001</v>
      </c>
      <c r="H155" s="54">
        <v>4.1000000000000003E-3</v>
      </c>
      <c r="I155" s="7">
        <v>1.276</v>
      </c>
      <c r="K155" s="7">
        <v>0.16300000000000001</v>
      </c>
      <c r="L155" s="7">
        <v>0.1593</v>
      </c>
      <c r="O155" s="7">
        <v>63.2</v>
      </c>
      <c r="P155" s="7">
        <v>520</v>
      </c>
      <c r="Q155" s="7">
        <v>755.9</v>
      </c>
      <c r="R155" s="40" t="s">
        <v>356</v>
      </c>
      <c r="S155" s="4" t="s">
        <v>580</v>
      </c>
      <c r="T155" s="4"/>
      <c r="U155" s="4" t="s">
        <v>332</v>
      </c>
      <c r="V155" s="4" t="s">
        <v>77</v>
      </c>
      <c r="W155" s="4"/>
      <c r="X155" s="4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  <c r="AT155" s="7"/>
      <c r="AU155" s="7"/>
      <c r="AV155" s="4"/>
      <c r="AW155" s="2"/>
      <c r="AX155" s="7"/>
      <c r="AY155" s="4"/>
      <c r="AZ155" s="4">
        <v>113.4</v>
      </c>
      <c r="BA155" s="2"/>
      <c r="BB155" s="2"/>
      <c r="BC155" s="2">
        <v>25.8</v>
      </c>
      <c r="BD155" s="68">
        <v>1013</v>
      </c>
      <c r="BE155" s="71">
        <v>58</v>
      </c>
      <c r="BF155" s="45">
        <v>1.1719999999999999</v>
      </c>
      <c r="BG155" s="2">
        <v>2096</v>
      </c>
      <c r="BH155" s="2"/>
      <c r="BM155"/>
    </row>
    <row r="156" spans="1:65" x14ac:dyDescent="0.3">
      <c r="A156" s="2" t="s">
        <v>13</v>
      </c>
      <c r="B156" s="59" t="s">
        <v>28</v>
      </c>
      <c r="C156" s="3">
        <v>45278</v>
      </c>
      <c r="D156" s="8">
        <v>2</v>
      </c>
      <c r="E156" s="3" t="s">
        <v>406</v>
      </c>
      <c r="F156" s="2" t="s">
        <v>553</v>
      </c>
      <c r="G156" s="7">
        <v>0.1694</v>
      </c>
      <c r="H156" s="54">
        <v>3.8999999999999998E-3</v>
      </c>
      <c r="I156" s="7">
        <v>1.2275</v>
      </c>
      <c r="K156" s="7">
        <v>0.16600000000000001</v>
      </c>
      <c r="L156" s="7">
        <v>0.16070000000000001</v>
      </c>
      <c r="O156" s="7">
        <v>65</v>
      </c>
      <c r="P156" s="7">
        <v>579</v>
      </c>
      <c r="Q156" s="7">
        <v>754.4</v>
      </c>
      <c r="R156" s="40" t="s">
        <v>356</v>
      </c>
      <c r="S156" s="4" t="s">
        <v>580</v>
      </c>
      <c r="T156" s="4"/>
      <c r="U156" s="4" t="s">
        <v>573</v>
      </c>
      <c r="V156" s="4" t="s">
        <v>226</v>
      </c>
      <c r="W156" s="4"/>
      <c r="X156" s="4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  <c r="AT156" s="7"/>
      <c r="AU156" s="7"/>
      <c r="AV156" s="4"/>
      <c r="AW156" s="2"/>
      <c r="AX156" s="7"/>
      <c r="AY156" s="4"/>
      <c r="AZ156" s="4">
        <v>120.6</v>
      </c>
      <c r="BA156" s="2"/>
      <c r="BB156" s="2"/>
      <c r="BC156" s="2">
        <v>25.5</v>
      </c>
      <c r="BD156" s="68">
        <v>1013</v>
      </c>
      <c r="BE156" s="71">
        <v>58</v>
      </c>
      <c r="BF156" s="45">
        <v>1.173</v>
      </c>
      <c r="BG156" s="2">
        <v>2096</v>
      </c>
      <c r="BH156" s="2"/>
      <c r="BM156"/>
    </row>
    <row r="157" spans="1:65" x14ac:dyDescent="0.3">
      <c r="A157" s="2" t="s">
        <v>13</v>
      </c>
      <c r="B157" s="59" t="s">
        <v>28</v>
      </c>
      <c r="C157" s="3">
        <v>45278</v>
      </c>
      <c r="D157" s="8">
        <v>3</v>
      </c>
      <c r="E157" s="3" t="s">
        <v>399</v>
      </c>
      <c r="F157" s="2" t="s">
        <v>553</v>
      </c>
      <c r="G157" s="7">
        <v>0.1721</v>
      </c>
      <c r="H157" s="54">
        <v>2.3E-3</v>
      </c>
      <c r="I157" s="7">
        <v>1.2275</v>
      </c>
      <c r="K157" s="7">
        <v>0.16600000000000001</v>
      </c>
      <c r="L157" s="7">
        <v>0.16339999999999999</v>
      </c>
      <c r="O157" s="7">
        <v>65.3</v>
      </c>
      <c r="P157" s="7">
        <v>587</v>
      </c>
      <c r="Q157" s="7">
        <v>755.4</v>
      </c>
      <c r="R157" s="40" t="s">
        <v>562</v>
      </c>
      <c r="S157" s="4" t="s">
        <v>580</v>
      </c>
      <c r="T157" s="4"/>
      <c r="U157" s="4" t="s">
        <v>573</v>
      </c>
      <c r="V157" s="4" t="s">
        <v>226</v>
      </c>
      <c r="W157" s="4"/>
      <c r="X157" s="4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  <c r="AT157" s="7"/>
      <c r="AU157" s="7"/>
      <c r="AV157" s="4"/>
      <c r="AW157" s="2"/>
      <c r="AX157" s="7"/>
      <c r="AY157" s="4"/>
      <c r="AZ157" s="4">
        <v>120.6</v>
      </c>
      <c r="BA157" s="2"/>
      <c r="BB157" s="2"/>
      <c r="BC157" s="2">
        <v>25.5</v>
      </c>
      <c r="BD157" s="68">
        <v>1013</v>
      </c>
      <c r="BE157" s="71">
        <v>58</v>
      </c>
      <c r="BF157" s="45">
        <v>1.173</v>
      </c>
      <c r="BG157" s="2">
        <v>2096</v>
      </c>
      <c r="BH157" s="2"/>
      <c r="BM157"/>
    </row>
    <row r="158" spans="1:65" x14ac:dyDescent="0.3">
      <c r="A158" s="2" t="s">
        <v>13</v>
      </c>
      <c r="B158" s="59" t="s">
        <v>28</v>
      </c>
      <c r="C158" s="3">
        <v>45278</v>
      </c>
      <c r="D158" s="8">
        <v>4</v>
      </c>
      <c r="E158" s="3" t="s">
        <v>400</v>
      </c>
      <c r="F158" s="2" t="s">
        <v>553</v>
      </c>
      <c r="G158" s="7">
        <v>0.17180000000000001</v>
      </c>
      <c r="H158" s="54">
        <v>2.7000000000000001E-3</v>
      </c>
      <c r="I158" s="7">
        <v>1.2275</v>
      </c>
      <c r="K158" s="7">
        <v>0.16500000000000001</v>
      </c>
      <c r="L158" s="7">
        <v>0.15870000000000001</v>
      </c>
      <c r="O158" s="7">
        <v>65.8</v>
      </c>
      <c r="P158" s="7">
        <v>593</v>
      </c>
      <c r="Q158" s="7">
        <v>756.2</v>
      </c>
      <c r="R158" s="40" t="s">
        <v>571</v>
      </c>
      <c r="S158" s="4" t="s">
        <v>580</v>
      </c>
      <c r="T158" s="4"/>
      <c r="U158" s="4" t="s">
        <v>573</v>
      </c>
      <c r="V158" s="4" t="s">
        <v>226</v>
      </c>
      <c r="W158" s="4"/>
      <c r="X158" s="4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  <c r="AT158" s="7"/>
      <c r="AU158" s="7"/>
      <c r="AV158" s="4"/>
      <c r="AW158" s="2"/>
      <c r="AX158" s="7"/>
      <c r="AY158" s="4"/>
      <c r="AZ158" s="4">
        <v>120.6</v>
      </c>
      <c r="BA158" s="2"/>
      <c r="BB158" s="2"/>
      <c r="BC158" s="2">
        <v>25.8</v>
      </c>
      <c r="BD158" s="68">
        <v>1013</v>
      </c>
      <c r="BE158" s="71">
        <v>58</v>
      </c>
      <c r="BF158" s="45">
        <v>1.1719999999999999</v>
      </c>
      <c r="BG158" s="2">
        <v>2096</v>
      </c>
      <c r="BH158" s="2"/>
      <c r="BM158"/>
    </row>
    <row r="159" spans="1:65" x14ac:dyDescent="0.3">
      <c r="A159" s="2" t="s">
        <v>13</v>
      </c>
      <c r="B159" s="59" t="s">
        <v>28</v>
      </c>
      <c r="C159" s="3">
        <v>45278</v>
      </c>
      <c r="D159" s="8">
        <v>6</v>
      </c>
      <c r="E159" s="3" t="s">
        <v>402</v>
      </c>
      <c r="F159" s="2" t="s">
        <v>553</v>
      </c>
      <c r="G159" s="7">
        <v>0.16789999999999999</v>
      </c>
      <c r="H159" s="54">
        <v>2.3999999999999998E-3</v>
      </c>
      <c r="I159" s="7">
        <v>1.2275</v>
      </c>
      <c r="K159" s="7">
        <v>0.16200000000000001</v>
      </c>
      <c r="L159" s="7">
        <v>0.15820000000000001</v>
      </c>
      <c r="O159" s="7">
        <v>65.3</v>
      </c>
      <c r="P159" s="7">
        <v>575</v>
      </c>
      <c r="Q159" s="7">
        <v>755.5</v>
      </c>
      <c r="R159" s="40" t="s">
        <v>356</v>
      </c>
      <c r="S159" s="4" t="s">
        <v>580</v>
      </c>
      <c r="T159" s="4"/>
      <c r="U159" s="4" t="s">
        <v>573</v>
      </c>
      <c r="V159" s="4" t="s">
        <v>226</v>
      </c>
      <c r="W159" s="4"/>
      <c r="X159" s="4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  <c r="AT159" s="7"/>
      <c r="AU159" s="7"/>
      <c r="AV159" s="4"/>
      <c r="AW159" s="2"/>
      <c r="AX159" s="7"/>
      <c r="AY159" s="4"/>
      <c r="AZ159" s="4">
        <v>120.6</v>
      </c>
      <c r="BA159" s="2"/>
      <c r="BB159" s="2"/>
      <c r="BC159" s="2">
        <v>26</v>
      </c>
      <c r="BD159" s="68">
        <v>1013</v>
      </c>
      <c r="BE159" s="71">
        <v>58</v>
      </c>
      <c r="BF159" s="45">
        <v>1.1719999999999999</v>
      </c>
      <c r="BG159" s="2">
        <v>2096</v>
      </c>
      <c r="BH159" s="2"/>
      <c r="BM159"/>
    </row>
    <row r="160" spans="1:65" x14ac:dyDescent="0.3">
      <c r="A160" s="2" t="s">
        <v>13</v>
      </c>
      <c r="B160" s="59" t="s">
        <v>28</v>
      </c>
      <c r="C160" s="3">
        <v>45278</v>
      </c>
      <c r="D160" s="8">
        <v>7</v>
      </c>
      <c r="E160" s="3" t="s">
        <v>403</v>
      </c>
      <c r="F160" s="2" t="s">
        <v>553</v>
      </c>
      <c r="G160" s="7">
        <v>0.1686</v>
      </c>
      <c r="H160" s="54">
        <v>2.7000000000000001E-3</v>
      </c>
      <c r="I160" s="7">
        <v>1.2275</v>
      </c>
      <c r="K160" s="7">
        <v>0.16300000000000001</v>
      </c>
      <c r="L160" s="7">
        <v>0.161</v>
      </c>
      <c r="O160" s="7">
        <v>65.8</v>
      </c>
      <c r="P160" s="7">
        <v>598</v>
      </c>
      <c r="Q160" s="7">
        <v>755.5</v>
      </c>
      <c r="R160" s="40" t="s">
        <v>562</v>
      </c>
      <c r="S160" s="4" t="s">
        <v>580</v>
      </c>
      <c r="T160" s="4"/>
      <c r="U160" s="4" t="s">
        <v>573</v>
      </c>
      <c r="V160" s="4" t="s">
        <v>226</v>
      </c>
      <c r="W160" s="4"/>
      <c r="X160" s="4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  <c r="AT160" s="7"/>
      <c r="AU160" s="7"/>
      <c r="AV160" s="4"/>
      <c r="AW160" s="2"/>
      <c r="AX160" s="7"/>
      <c r="AY160" s="4"/>
      <c r="AZ160" s="4">
        <v>120.6</v>
      </c>
      <c r="BA160" s="2"/>
      <c r="BB160" s="2"/>
      <c r="BC160" s="2">
        <v>26</v>
      </c>
      <c r="BD160" s="68">
        <v>1013</v>
      </c>
      <c r="BE160" s="71">
        <v>58</v>
      </c>
      <c r="BF160" s="48">
        <v>1.1719999999999999</v>
      </c>
      <c r="BG160" s="2">
        <v>2096</v>
      </c>
      <c r="BH160" s="2"/>
      <c r="BM160"/>
    </row>
    <row r="161" spans="1:65" x14ac:dyDescent="0.3">
      <c r="A161" s="2" t="s">
        <v>13</v>
      </c>
      <c r="B161" s="59" t="s">
        <v>28</v>
      </c>
      <c r="C161" s="3">
        <v>45278</v>
      </c>
      <c r="D161" s="8">
        <v>8</v>
      </c>
      <c r="E161" s="3" t="s">
        <v>404</v>
      </c>
      <c r="F161" s="2" t="s">
        <v>553</v>
      </c>
      <c r="G161" s="7">
        <v>0.16719999999999999</v>
      </c>
      <c r="H161" s="54">
        <v>1.5E-3</v>
      </c>
      <c r="I161" s="7">
        <v>1.2275</v>
      </c>
      <c r="K161" s="7">
        <v>0.16400000000000001</v>
      </c>
      <c r="L161" s="7">
        <v>0.15920000000000001</v>
      </c>
      <c r="O161" s="7">
        <v>66.7</v>
      </c>
      <c r="P161" s="7">
        <v>618</v>
      </c>
      <c r="Q161" s="7">
        <v>755.4</v>
      </c>
      <c r="R161" s="40" t="s">
        <v>571</v>
      </c>
      <c r="S161" s="4" t="s">
        <v>580</v>
      </c>
      <c r="T161" s="4"/>
      <c r="U161" s="4" t="s">
        <v>573</v>
      </c>
      <c r="V161" s="4" t="s">
        <v>226</v>
      </c>
      <c r="W161" s="4"/>
      <c r="X161" s="4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  <c r="AT161" s="7"/>
      <c r="AU161" s="7"/>
      <c r="AV161" s="4"/>
      <c r="AW161" s="2"/>
      <c r="AX161" s="7"/>
      <c r="AY161" s="4"/>
      <c r="AZ161" s="4">
        <v>120.6</v>
      </c>
      <c r="BA161" s="2"/>
      <c r="BB161" s="2"/>
      <c r="BC161" s="2">
        <v>26.2</v>
      </c>
      <c r="BD161" s="68">
        <v>1014</v>
      </c>
      <c r="BE161" s="71">
        <v>58</v>
      </c>
      <c r="BF161" s="45">
        <v>1.171</v>
      </c>
      <c r="BG161" s="2">
        <v>2096</v>
      </c>
      <c r="BH161" s="2"/>
      <c r="BM161"/>
    </row>
    <row r="162" spans="1:65" x14ac:dyDescent="0.3">
      <c r="A162" s="2" t="s">
        <v>13</v>
      </c>
      <c r="B162" s="59" t="s">
        <v>28</v>
      </c>
      <c r="C162" s="3">
        <v>45281</v>
      </c>
      <c r="D162" s="8">
        <v>3</v>
      </c>
      <c r="E162" s="3" t="s">
        <v>425</v>
      </c>
      <c r="F162" s="2" t="s">
        <v>553</v>
      </c>
      <c r="G162" s="7">
        <v>0.16</v>
      </c>
      <c r="H162" s="54">
        <v>2.5000000000000001E-3</v>
      </c>
      <c r="I162" s="7">
        <v>1.2404999999999999</v>
      </c>
      <c r="K162" s="7">
        <v>0.157</v>
      </c>
      <c r="L162" s="7">
        <v>0.16039999999999999</v>
      </c>
      <c r="O162" s="7">
        <v>62.1</v>
      </c>
      <c r="P162" s="7">
        <v>517</v>
      </c>
      <c r="Q162" s="7">
        <v>753.9</v>
      </c>
      <c r="R162" s="4" t="s">
        <v>356</v>
      </c>
      <c r="S162" s="4" t="s">
        <v>580</v>
      </c>
      <c r="T162" s="4"/>
      <c r="U162" s="4" t="s">
        <v>225</v>
      </c>
      <c r="V162" s="4"/>
      <c r="W162" s="4"/>
      <c r="X162" s="4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  <c r="AT162" s="7"/>
      <c r="AU162" s="7"/>
      <c r="AV162" s="4"/>
      <c r="AW162" s="2"/>
      <c r="AX162" s="7"/>
      <c r="AY162" s="4"/>
      <c r="AZ162" s="4"/>
      <c r="BA162" s="2"/>
      <c r="BB162" s="2"/>
      <c r="BC162" s="2"/>
      <c r="BD162" s="68"/>
      <c r="BE162" s="71"/>
      <c r="BF162" s="45"/>
      <c r="BG162" s="64">
        <v>2096</v>
      </c>
      <c r="BH162" s="2"/>
      <c r="BM162"/>
    </row>
    <row r="163" spans="1:65" x14ac:dyDescent="0.3">
      <c r="A163" s="2" t="s">
        <v>13</v>
      </c>
      <c r="B163" s="59" t="s">
        <v>28</v>
      </c>
      <c r="C163" s="3">
        <v>45281</v>
      </c>
      <c r="D163" s="8">
        <v>6</v>
      </c>
      <c r="E163" s="3" t="s">
        <v>439</v>
      </c>
      <c r="F163" s="2" t="s">
        <v>553</v>
      </c>
      <c r="G163" s="7">
        <v>0.1608</v>
      </c>
      <c r="H163" s="54">
        <v>2.8999999999999998E-3</v>
      </c>
      <c r="I163" s="7">
        <v>1.2404999999999999</v>
      </c>
      <c r="K163" s="7">
        <v>0.157</v>
      </c>
      <c r="L163" s="7">
        <v>0.16059999999999999</v>
      </c>
      <c r="O163" s="7">
        <v>62.3</v>
      </c>
      <c r="P163" s="7">
        <v>519</v>
      </c>
      <c r="Q163" s="7">
        <v>754.3</v>
      </c>
      <c r="R163" s="4" t="s">
        <v>356</v>
      </c>
      <c r="S163" s="4" t="s">
        <v>580</v>
      </c>
      <c r="T163" s="4"/>
      <c r="U163" s="4" t="s">
        <v>225</v>
      </c>
      <c r="V163" s="4"/>
      <c r="W163" s="4"/>
      <c r="X163" s="4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  <c r="AT163" s="7"/>
      <c r="AU163" s="7"/>
      <c r="AV163" s="4"/>
      <c r="AW163" s="2"/>
      <c r="AX163" s="7"/>
      <c r="AY163" s="4"/>
      <c r="AZ163" s="4"/>
      <c r="BA163" s="2"/>
      <c r="BB163" s="2"/>
      <c r="BC163" s="2"/>
      <c r="BD163" s="68"/>
      <c r="BE163" s="71"/>
      <c r="BF163" s="45"/>
      <c r="BG163" s="64"/>
      <c r="BH163" s="2"/>
      <c r="BM163"/>
    </row>
    <row r="164" spans="1:65" x14ac:dyDescent="0.3">
      <c r="A164" s="2" t="s">
        <v>43</v>
      </c>
      <c r="B164" s="59" t="s">
        <v>99</v>
      </c>
      <c r="C164" s="3">
        <v>45302</v>
      </c>
      <c r="D164" s="8">
        <v>2</v>
      </c>
      <c r="E164" s="3" t="s">
        <v>465</v>
      </c>
      <c r="F164" s="2" t="s">
        <v>555</v>
      </c>
      <c r="G164" s="7">
        <v>0.1694</v>
      </c>
      <c r="H164" s="54">
        <v>4.1999999999999997E-3</v>
      </c>
      <c r="I164" s="7">
        <v>1.2324999999999999</v>
      </c>
      <c r="L164" s="7">
        <v>0.16389999999999999</v>
      </c>
      <c r="O164" s="7">
        <v>59.3</v>
      </c>
      <c r="P164" s="7">
        <v>479</v>
      </c>
      <c r="Q164" s="7">
        <v>757.1</v>
      </c>
      <c r="R164" s="4" t="s">
        <v>334</v>
      </c>
      <c r="S164" s="4" t="s">
        <v>580</v>
      </c>
      <c r="T164" s="4"/>
      <c r="U164" s="4" t="s">
        <v>332</v>
      </c>
      <c r="V164" s="4"/>
      <c r="W164" s="4"/>
      <c r="X164" s="4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  <c r="AT164" s="7"/>
      <c r="AU164" s="7"/>
      <c r="AV164" s="4"/>
      <c r="AW164" s="2"/>
      <c r="AX164" s="7"/>
      <c r="AY164" s="4"/>
      <c r="AZ164" s="4">
        <v>111.6</v>
      </c>
      <c r="BA164" s="2"/>
      <c r="BB164" s="2"/>
      <c r="BC164" s="42">
        <v>27.2</v>
      </c>
      <c r="BD164" s="68">
        <v>1020</v>
      </c>
      <c r="BE164" s="71">
        <v>55</v>
      </c>
      <c r="BF164" s="45"/>
      <c r="BG164" s="68">
        <v>2096</v>
      </c>
      <c r="BH164" s="2" t="s">
        <v>449</v>
      </c>
      <c r="BM164"/>
    </row>
    <row r="165" spans="1:65" x14ac:dyDescent="0.3">
      <c r="A165" s="2" t="s">
        <v>43</v>
      </c>
      <c r="B165" s="59" t="s">
        <v>99</v>
      </c>
      <c r="C165" s="3">
        <v>45302</v>
      </c>
      <c r="D165" s="8">
        <v>4</v>
      </c>
      <c r="E165" s="3" t="s">
        <v>463</v>
      </c>
      <c r="F165" s="2" t="s">
        <v>555</v>
      </c>
      <c r="G165" s="7">
        <v>0.1714</v>
      </c>
      <c r="H165" s="54">
        <v>3.8999999999999998E-3</v>
      </c>
      <c r="I165" s="7">
        <v>1.2324999999999999</v>
      </c>
      <c r="L165" s="7">
        <v>0.16980000000000001</v>
      </c>
      <c r="O165" s="7">
        <v>59.5</v>
      </c>
      <c r="P165" s="7">
        <v>460</v>
      </c>
      <c r="Q165" s="7">
        <v>756.3</v>
      </c>
      <c r="R165" s="4" t="s">
        <v>334</v>
      </c>
      <c r="S165" s="4" t="s">
        <v>580</v>
      </c>
      <c r="T165" s="4"/>
      <c r="U165" s="4" t="s">
        <v>332</v>
      </c>
      <c r="V165" s="4"/>
      <c r="W165" s="4"/>
      <c r="X165" s="4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  <c r="AT165" s="7"/>
      <c r="AU165" s="7"/>
      <c r="AV165" s="4"/>
      <c r="AW165" s="2"/>
      <c r="AX165" s="7"/>
      <c r="AY165" s="4"/>
      <c r="AZ165" s="4">
        <v>111.6</v>
      </c>
      <c r="BA165" s="2"/>
      <c r="BB165" s="2"/>
      <c r="BC165" s="42">
        <v>27.9</v>
      </c>
      <c r="BD165" s="68">
        <v>1019.9</v>
      </c>
      <c r="BE165" s="71">
        <v>52.8</v>
      </c>
      <c r="BF165" s="45"/>
      <c r="BG165" s="68">
        <v>2096</v>
      </c>
      <c r="BH165" s="2" t="s">
        <v>448</v>
      </c>
      <c r="BM165"/>
    </row>
    <row r="166" spans="1:65" x14ac:dyDescent="0.3">
      <c r="A166" s="2" t="s">
        <v>43</v>
      </c>
      <c r="B166" s="59" t="s">
        <v>99</v>
      </c>
      <c r="C166" s="3">
        <v>45302</v>
      </c>
      <c r="D166" s="8">
        <v>6</v>
      </c>
      <c r="E166" s="3" t="s">
        <v>461</v>
      </c>
      <c r="F166" s="2" t="s">
        <v>555</v>
      </c>
      <c r="G166" s="7">
        <v>0.1673</v>
      </c>
      <c r="H166" s="54">
        <v>2.5000000000000001E-3</v>
      </c>
      <c r="I166" s="7">
        <v>1.2324999999999999</v>
      </c>
      <c r="L166" s="7">
        <v>0.16980000000000001</v>
      </c>
      <c r="O166" s="7">
        <v>59.2</v>
      </c>
      <c r="P166" s="7">
        <v>455</v>
      </c>
      <c r="Q166" s="7">
        <v>756.6</v>
      </c>
      <c r="R166" s="4" t="s">
        <v>334</v>
      </c>
      <c r="S166" s="4" t="s">
        <v>580</v>
      </c>
      <c r="T166" s="4"/>
      <c r="U166" s="4" t="s">
        <v>332</v>
      </c>
      <c r="V166" s="4"/>
      <c r="W166" s="4"/>
      <c r="X166" s="4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  <c r="AT166" s="7"/>
      <c r="AU166" s="7"/>
      <c r="AV166" s="4"/>
      <c r="AW166" s="2"/>
      <c r="AX166" s="7"/>
      <c r="AY166" s="4"/>
      <c r="AZ166" s="4">
        <v>111.6</v>
      </c>
      <c r="BA166" s="2"/>
      <c r="BB166" s="2"/>
      <c r="BC166" s="42">
        <v>28.1</v>
      </c>
      <c r="BD166" s="68">
        <v>1019.5</v>
      </c>
      <c r="BE166" s="71">
        <v>51.5</v>
      </c>
      <c r="BF166" s="45"/>
      <c r="BG166" s="68">
        <v>2096</v>
      </c>
      <c r="BH166" s="2" t="s">
        <v>448</v>
      </c>
      <c r="BM166"/>
    </row>
    <row r="167" spans="1:65" x14ac:dyDescent="0.3">
      <c r="A167" s="2" t="s">
        <v>13</v>
      </c>
      <c r="B167" s="59" t="s">
        <v>14</v>
      </c>
      <c r="C167" s="3">
        <v>45313</v>
      </c>
      <c r="D167" s="8">
        <v>1</v>
      </c>
      <c r="E167" s="3" t="s">
        <v>488</v>
      </c>
      <c r="F167" s="2" t="s">
        <v>556</v>
      </c>
      <c r="G167" s="7">
        <v>0.16020000000000001</v>
      </c>
      <c r="H167" s="54">
        <v>2.0999999999999999E-3</v>
      </c>
      <c r="I167" s="7">
        <v>1.2569999999999999</v>
      </c>
      <c r="L167" s="7">
        <v>0.1633</v>
      </c>
      <c r="O167" s="7">
        <v>62</v>
      </c>
      <c r="P167" s="7">
        <v>503</v>
      </c>
      <c r="Q167" s="7">
        <v>755.9</v>
      </c>
      <c r="R167" s="4" t="s">
        <v>89</v>
      </c>
      <c r="S167" s="4" t="s">
        <v>580</v>
      </c>
      <c r="T167" s="4"/>
      <c r="U167" s="4" t="s">
        <v>573</v>
      </c>
      <c r="V167" s="4"/>
      <c r="W167" s="4"/>
      <c r="X167" s="4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  <c r="AT167" s="7"/>
      <c r="AU167" s="7"/>
      <c r="AV167" s="4"/>
      <c r="AW167" s="2"/>
      <c r="AX167" s="7">
        <v>87.1</v>
      </c>
      <c r="AY167" s="4"/>
      <c r="AZ167" s="4">
        <v>117</v>
      </c>
      <c r="BA167" s="2"/>
      <c r="BB167" s="2"/>
      <c r="BC167" s="2">
        <v>28.8</v>
      </c>
      <c r="BD167" s="68">
        <v>1000</v>
      </c>
      <c r="BE167" s="71">
        <v>59</v>
      </c>
      <c r="BF167" s="45">
        <v>1.1439999999999999</v>
      </c>
      <c r="BG167" s="68">
        <v>2096</v>
      </c>
      <c r="BH167" s="2"/>
      <c r="BM167"/>
    </row>
    <row r="168" spans="1:65" x14ac:dyDescent="0.3">
      <c r="A168" s="2" t="s">
        <v>13</v>
      </c>
      <c r="B168" s="59" t="s">
        <v>14</v>
      </c>
      <c r="C168" s="3">
        <v>45313</v>
      </c>
      <c r="D168" s="8">
        <v>2</v>
      </c>
      <c r="E168" s="3" t="s">
        <v>487</v>
      </c>
      <c r="F168" s="2" t="s">
        <v>556</v>
      </c>
      <c r="G168" s="52"/>
      <c r="H168" s="55"/>
      <c r="I168" s="7">
        <v>1.2569999999999999</v>
      </c>
      <c r="L168" s="7">
        <v>0.15909999999999999</v>
      </c>
      <c r="O168" s="7">
        <v>62.5</v>
      </c>
      <c r="P168" s="7">
        <v>506</v>
      </c>
      <c r="Q168" s="7">
        <v>754.4</v>
      </c>
      <c r="R168" s="4" t="s">
        <v>89</v>
      </c>
      <c r="S168" s="4" t="s">
        <v>580</v>
      </c>
      <c r="T168" s="4"/>
      <c r="U168" s="4" t="s">
        <v>573</v>
      </c>
      <c r="V168" s="4"/>
      <c r="W168" s="4"/>
      <c r="X168" s="4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  <c r="AT168" s="7"/>
      <c r="AU168" s="7"/>
      <c r="AV168" s="4"/>
      <c r="AW168" s="2"/>
      <c r="AX168" s="7">
        <v>87</v>
      </c>
      <c r="AY168" s="4"/>
      <c r="AZ168" s="4">
        <v>117</v>
      </c>
      <c r="BA168" s="2"/>
      <c r="BB168" s="2"/>
      <c r="BC168" s="2">
        <v>28.8</v>
      </c>
      <c r="BD168" s="68">
        <v>1000</v>
      </c>
      <c r="BE168" s="71">
        <v>59</v>
      </c>
      <c r="BF168" s="45">
        <v>1.1439999999999999</v>
      </c>
      <c r="BG168" s="68">
        <v>2096</v>
      </c>
      <c r="BH168" s="2"/>
      <c r="BM168"/>
    </row>
    <row r="169" spans="1:65" x14ac:dyDescent="0.3">
      <c r="A169" s="2" t="s">
        <v>13</v>
      </c>
      <c r="B169" s="59" t="s">
        <v>14</v>
      </c>
      <c r="C169" s="3">
        <v>45313</v>
      </c>
      <c r="D169" s="8">
        <v>3</v>
      </c>
      <c r="E169" s="3" t="s">
        <v>486</v>
      </c>
      <c r="F169" s="2" t="s">
        <v>556</v>
      </c>
      <c r="G169" s="7">
        <v>0.1704</v>
      </c>
      <c r="H169" s="54">
        <v>2.8E-3</v>
      </c>
      <c r="I169" s="7">
        <v>1.2190000000000001</v>
      </c>
      <c r="L169" s="7">
        <v>0.1613</v>
      </c>
      <c r="O169" s="7">
        <v>62.9</v>
      </c>
      <c r="P169" s="7">
        <v>522</v>
      </c>
      <c r="Q169" s="7">
        <v>755.7</v>
      </c>
      <c r="R169" s="56" t="s">
        <v>567</v>
      </c>
      <c r="S169" s="4" t="s">
        <v>580</v>
      </c>
      <c r="T169" s="4"/>
      <c r="U169" s="4" t="s">
        <v>573</v>
      </c>
      <c r="V169" s="4"/>
      <c r="W169" s="4"/>
      <c r="X169" s="4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  <c r="AT169" s="7"/>
      <c r="AU169" s="7"/>
      <c r="AV169" s="4"/>
      <c r="AW169" s="2"/>
      <c r="AX169" s="7">
        <v>86.8</v>
      </c>
      <c r="AY169" s="4"/>
      <c r="AZ169" s="4">
        <v>117</v>
      </c>
      <c r="BA169" s="2"/>
      <c r="BB169" s="2"/>
      <c r="BC169" s="2">
        <v>28.8</v>
      </c>
      <c r="BD169" s="68">
        <v>1000</v>
      </c>
      <c r="BE169" s="71">
        <v>59</v>
      </c>
      <c r="BF169" s="45">
        <v>1.1439999999999999</v>
      </c>
      <c r="BG169" s="68">
        <v>2096</v>
      </c>
      <c r="BH169" s="2"/>
      <c r="BM169"/>
    </row>
    <row r="170" spans="1:65" x14ac:dyDescent="0.3">
      <c r="A170" s="2" t="s">
        <v>13</v>
      </c>
      <c r="B170" s="59" t="s">
        <v>14</v>
      </c>
      <c r="C170" s="3">
        <v>45313</v>
      </c>
      <c r="D170" s="8">
        <v>4</v>
      </c>
      <c r="E170" s="3" t="s">
        <v>454</v>
      </c>
      <c r="F170" s="2" t="s">
        <v>556</v>
      </c>
      <c r="G170" s="7">
        <v>0.16889999999999999</v>
      </c>
      <c r="H170" s="54">
        <v>5.5999999999999999E-3</v>
      </c>
      <c r="I170" s="7">
        <v>1.2190000000000001</v>
      </c>
      <c r="L170" s="7">
        <v>0.16120000000000001</v>
      </c>
      <c r="O170" s="7">
        <v>63</v>
      </c>
      <c r="P170" s="7">
        <v>512</v>
      </c>
      <c r="Q170" s="7">
        <v>755.8</v>
      </c>
      <c r="R170" s="4" t="s">
        <v>89</v>
      </c>
      <c r="S170" s="4" t="s">
        <v>580</v>
      </c>
      <c r="T170" s="4"/>
      <c r="U170" s="4" t="s">
        <v>573</v>
      </c>
      <c r="V170" s="4"/>
      <c r="W170" s="4"/>
      <c r="X170" s="4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  <c r="AT170" s="7"/>
      <c r="AU170" s="7"/>
      <c r="AV170" s="4"/>
      <c r="AW170" s="2"/>
      <c r="AX170" s="7">
        <v>86.4</v>
      </c>
      <c r="AY170" s="4"/>
      <c r="AZ170" s="4">
        <v>117</v>
      </c>
      <c r="BA170" s="2"/>
      <c r="BB170" s="2"/>
      <c r="BC170" s="2">
        <v>29</v>
      </c>
      <c r="BD170" s="68">
        <v>999</v>
      </c>
      <c r="BE170" s="71">
        <v>58</v>
      </c>
      <c r="BF170" s="45">
        <v>1.1419999999999999</v>
      </c>
      <c r="BG170" s="68">
        <v>2096</v>
      </c>
      <c r="BH170" s="2"/>
      <c r="BM170"/>
    </row>
    <row r="171" spans="1:65" x14ac:dyDescent="0.3">
      <c r="A171" s="2" t="s">
        <v>13</v>
      </c>
      <c r="B171" s="59" t="s">
        <v>14</v>
      </c>
      <c r="C171" s="3">
        <v>45313</v>
      </c>
      <c r="D171" s="8">
        <v>5</v>
      </c>
      <c r="E171" s="3" t="s">
        <v>455</v>
      </c>
      <c r="F171" s="2" t="s">
        <v>556</v>
      </c>
      <c r="G171" s="7">
        <v>0.16900000000000001</v>
      </c>
      <c r="H171" s="54">
        <v>4.8999999999999998E-3</v>
      </c>
      <c r="I171" s="7">
        <v>1.2190000000000001</v>
      </c>
      <c r="L171" s="7">
        <v>0.16020000000000001</v>
      </c>
      <c r="O171" s="7">
        <v>63</v>
      </c>
      <c r="P171" s="7">
        <v>518</v>
      </c>
      <c r="Q171" s="7">
        <v>755.8</v>
      </c>
      <c r="R171" s="56" t="s">
        <v>567</v>
      </c>
      <c r="S171" s="4" t="s">
        <v>580</v>
      </c>
      <c r="T171" s="4"/>
      <c r="U171" s="4" t="s">
        <v>573</v>
      </c>
      <c r="V171" s="4"/>
      <c r="W171" s="4"/>
      <c r="X171" s="4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  <c r="AT171" s="7"/>
      <c r="AU171" s="7"/>
      <c r="AV171" s="4"/>
      <c r="AW171" s="2"/>
      <c r="AX171" s="7">
        <v>86.5</v>
      </c>
      <c r="AY171" s="4"/>
      <c r="AZ171" s="4">
        <v>117</v>
      </c>
      <c r="BA171" s="2"/>
      <c r="BB171" s="2"/>
      <c r="BC171" s="2">
        <v>29</v>
      </c>
      <c r="BD171" s="68">
        <v>999</v>
      </c>
      <c r="BE171" s="71">
        <v>58</v>
      </c>
      <c r="BF171" s="45">
        <v>1.1419999999999999</v>
      </c>
      <c r="BG171" s="68">
        <v>2096</v>
      </c>
      <c r="BH171" s="2"/>
      <c r="BM171"/>
    </row>
    <row r="172" spans="1:65" x14ac:dyDescent="0.3">
      <c r="A172" s="2" t="s">
        <v>13</v>
      </c>
      <c r="B172" s="59" t="s">
        <v>444</v>
      </c>
      <c r="C172" s="3">
        <v>45313</v>
      </c>
      <c r="D172" s="8">
        <v>2</v>
      </c>
      <c r="E172" s="3" t="s">
        <v>457</v>
      </c>
      <c r="F172" s="2" t="s">
        <v>222</v>
      </c>
      <c r="G172" s="7">
        <v>0.18379999999999999</v>
      </c>
      <c r="H172" s="54">
        <v>6.4999999999999997E-3</v>
      </c>
      <c r="I172" s="7">
        <v>1.2344999999999999</v>
      </c>
      <c r="L172" s="7">
        <v>0.1827</v>
      </c>
      <c r="O172" s="7">
        <v>59.4</v>
      </c>
      <c r="P172" s="7">
        <v>490</v>
      </c>
      <c r="Q172" s="7">
        <v>752.8</v>
      </c>
      <c r="R172" s="4" t="s">
        <v>89</v>
      </c>
      <c r="S172" s="4" t="s">
        <v>580</v>
      </c>
      <c r="T172" s="4"/>
      <c r="U172" s="4" t="s">
        <v>577</v>
      </c>
      <c r="V172" s="4"/>
      <c r="W172" s="4"/>
      <c r="X172" s="4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  <c r="AT172" s="7"/>
      <c r="AU172" s="7"/>
      <c r="AV172" s="4"/>
      <c r="AW172" s="2"/>
      <c r="AX172" s="7">
        <v>85.1</v>
      </c>
      <c r="AY172" s="4"/>
      <c r="AZ172" s="4">
        <v>109.7</v>
      </c>
      <c r="BA172" s="2"/>
      <c r="BB172" s="2"/>
      <c r="BC172" s="2">
        <v>30.3</v>
      </c>
      <c r="BD172" s="43">
        <v>998</v>
      </c>
      <c r="BE172" s="71">
        <v>56</v>
      </c>
      <c r="BF172" s="45">
        <v>1.135</v>
      </c>
      <c r="BG172" s="68">
        <v>2096</v>
      </c>
      <c r="BH172" s="2"/>
      <c r="BM172"/>
    </row>
    <row r="173" spans="1:65" x14ac:dyDescent="0.3">
      <c r="A173" s="2" t="s">
        <v>13</v>
      </c>
      <c r="B173" s="59" t="s">
        <v>444</v>
      </c>
      <c r="C173" s="3">
        <v>45313</v>
      </c>
      <c r="D173" s="8">
        <v>3</v>
      </c>
      <c r="E173" s="3" t="s">
        <v>458</v>
      </c>
      <c r="F173" s="2" t="s">
        <v>445</v>
      </c>
      <c r="G173" s="7">
        <v>0.191</v>
      </c>
      <c r="H173" s="54">
        <v>3.0999999999999999E-3</v>
      </c>
      <c r="I173" s="7">
        <v>1.2344999999999999</v>
      </c>
      <c r="L173" s="7">
        <v>0.1855</v>
      </c>
      <c r="O173" s="7">
        <v>60</v>
      </c>
      <c r="P173" s="7">
        <v>504</v>
      </c>
      <c r="Q173" s="7">
        <v>753.1</v>
      </c>
      <c r="R173" s="4" t="s">
        <v>89</v>
      </c>
      <c r="S173" s="4" t="s">
        <v>580</v>
      </c>
      <c r="T173" s="4"/>
      <c r="U173" s="4" t="s">
        <v>577</v>
      </c>
      <c r="V173" s="4"/>
      <c r="W173" s="4"/>
      <c r="X173" s="4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  <c r="AT173" s="7"/>
      <c r="AU173" s="7"/>
      <c r="AV173" s="4"/>
      <c r="AW173" s="2"/>
      <c r="AX173" s="7">
        <v>85</v>
      </c>
      <c r="AY173" s="4"/>
      <c r="AZ173" s="4">
        <v>109.7</v>
      </c>
      <c r="BA173" s="2"/>
      <c r="BB173" s="2"/>
      <c r="BC173" s="2">
        <v>30.3</v>
      </c>
      <c r="BD173" s="46">
        <v>998</v>
      </c>
      <c r="BE173" s="71">
        <v>56</v>
      </c>
      <c r="BF173" s="48">
        <v>1.135</v>
      </c>
      <c r="BG173" s="68">
        <v>2096</v>
      </c>
      <c r="BH173" s="2"/>
      <c r="BM173"/>
    </row>
    <row r="174" spans="1:65" x14ac:dyDescent="0.3">
      <c r="A174" s="2" t="s">
        <v>13</v>
      </c>
      <c r="B174" s="59" t="s">
        <v>444</v>
      </c>
      <c r="C174" s="3">
        <v>45313</v>
      </c>
      <c r="D174" s="8">
        <v>4</v>
      </c>
      <c r="E174" s="3" t="s">
        <v>459</v>
      </c>
      <c r="F174" s="2" t="s">
        <v>222</v>
      </c>
      <c r="G174" s="7">
        <v>0.18820000000000001</v>
      </c>
      <c r="H174" s="54">
        <v>3.0000000000000001E-3</v>
      </c>
      <c r="I174" s="7">
        <v>1.2344999999999999</v>
      </c>
      <c r="L174" s="7">
        <v>0.18229999999999999</v>
      </c>
      <c r="O174" s="7">
        <v>60.9</v>
      </c>
      <c r="P174" s="7">
        <v>529</v>
      </c>
      <c r="Q174" s="7">
        <v>753.5</v>
      </c>
      <c r="R174" s="4" t="s">
        <v>89</v>
      </c>
      <c r="S174" s="4" t="s">
        <v>580</v>
      </c>
      <c r="T174" s="4"/>
      <c r="U174" s="4" t="s">
        <v>577</v>
      </c>
      <c r="V174" s="4"/>
      <c r="W174" s="4"/>
      <c r="X174" s="4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  <c r="AT174" s="7"/>
      <c r="AU174" s="7"/>
      <c r="AV174" s="4"/>
      <c r="AW174" s="2"/>
      <c r="AX174" s="7">
        <v>85</v>
      </c>
      <c r="AY174" s="4"/>
      <c r="AZ174" s="4">
        <v>109.7</v>
      </c>
      <c r="BA174" s="2"/>
      <c r="BB174" s="2"/>
      <c r="BC174" s="2">
        <v>30.3</v>
      </c>
      <c r="BD174" s="43">
        <v>998</v>
      </c>
      <c r="BE174" s="71">
        <v>56</v>
      </c>
      <c r="BF174" s="45">
        <v>1.135</v>
      </c>
      <c r="BG174" s="68">
        <v>2096</v>
      </c>
      <c r="BH174" s="2"/>
      <c r="BM174"/>
    </row>
    <row r="175" spans="1:65" x14ac:dyDescent="0.3">
      <c r="A175" s="2" t="s">
        <v>13</v>
      </c>
      <c r="B175" s="59" t="s">
        <v>444</v>
      </c>
      <c r="C175" s="3">
        <v>45313</v>
      </c>
      <c r="D175" s="8">
        <v>5</v>
      </c>
      <c r="E175" s="3" t="s">
        <v>460</v>
      </c>
      <c r="F175" s="2" t="s">
        <v>445</v>
      </c>
      <c r="G175" s="7">
        <v>0.186</v>
      </c>
      <c r="H175" s="54">
        <v>3.3999999999999998E-3</v>
      </c>
      <c r="I175" s="7">
        <v>1.2344999999999999</v>
      </c>
      <c r="L175" s="7">
        <v>0.18459999999999999</v>
      </c>
      <c r="O175" s="7">
        <v>61.1</v>
      </c>
      <c r="P175" s="7">
        <v>534</v>
      </c>
      <c r="Q175" s="7">
        <v>753.5</v>
      </c>
      <c r="R175" s="4" t="s">
        <v>89</v>
      </c>
      <c r="S175" s="4" t="s">
        <v>580</v>
      </c>
      <c r="T175" s="4"/>
      <c r="U175" s="4" t="s">
        <v>577</v>
      </c>
      <c r="V175" s="4"/>
      <c r="W175" s="4"/>
      <c r="X175" s="4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  <c r="AT175" s="7"/>
      <c r="AU175" s="7"/>
      <c r="AV175" s="4"/>
      <c r="AW175" s="2"/>
      <c r="AX175" s="7">
        <v>84.9</v>
      </c>
      <c r="AY175" s="4"/>
      <c r="AZ175" s="4">
        <v>109.7</v>
      </c>
      <c r="BA175" s="2"/>
      <c r="BB175" s="2"/>
      <c r="BC175" s="2">
        <v>30.3</v>
      </c>
      <c r="BD175" s="43">
        <v>998</v>
      </c>
      <c r="BE175" s="71">
        <v>56</v>
      </c>
      <c r="BF175" s="45">
        <v>1.135</v>
      </c>
      <c r="BG175" s="68">
        <v>2096</v>
      </c>
      <c r="BH175" s="2"/>
      <c r="BM175"/>
    </row>
    <row r="176" spans="1:65" x14ac:dyDescent="0.3">
      <c r="A176" s="2" t="s">
        <v>13</v>
      </c>
      <c r="B176" s="59" t="s">
        <v>444</v>
      </c>
      <c r="C176" s="3">
        <v>45313</v>
      </c>
      <c r="D176" s="8">
        <v>6</v>
      </c>
      <c r="E176" s="3" t="s">
        <v>490</v>
      </c>
      <c r="F176" s="2" t="s">
        <v>222</v>
      </c>
      <c r="G176" s="7">
        <v>0.185</v>
      </c>
      <c r="H176" s="54">
        <v>3.3E-3</v>
      </c>
      <c r="I176" s="7">
        <v>1.2344999999999999</v>
      </c>
      <c r="L176" s="7">
        <v>0.1827</v>
      </c>
      <c r="O176" s="7">
        <v>60.7</v>
      </c>
      <c r="P176" s="7">
        <v>518</v>
      </c>
      <c r="Q176" s="7">
        <v>753.4</v>
      </c>
      <c r="R176" s="4" t="s">
        <v>89</v>
      </c>
      <c r="S176" s="4" t="s">
        <v>580</v>
      </c>
      <c r="T176" s="4"/>
      <c r="U176" s="4" t="s">
        <v>577</v>
      </c>
      <c r="V176" s="4"/>
      <c r="W176" s="4"/>
      <c r="X176" s="4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  <c r="AT176" s="7"/>
      <c r="AU176" s="7"/>
      <c r="AV176" s="4"/>
      <c r="AW176" s="2"/>
      <c r="AX176" s="7">
        <v>84.7</v>
      </c>
      <c r="AY176" s="4"/>
      <c r="AZ176" s="4">
        <v>109.7</v>
      </c>
      <c r="BA176" s="2"/>
      <c r="BB176" s="2"/>
      <c r="BC176" s="2">
        <v>30.3</v>
      </c>
      <c r="BD176" s="43">
        <v>998</v>
      </c>
      <c r="BE176" s="71">
        <v>56</v>
      </c>
      <c r="BF176" s="45">
        <v>1.135</v>
      </c>
      <c r="BG176" s="68">
        <v>2096</v>
      </c>
      <c r="BH176" s="2"/>
      <c r="BM176"/>
    </row>
    <row r="177" spans="1:65" x14ac:dyDescent="0.3">
      <c r="A177" s="2" t="s">
        <v>13</v>
      </c>
      <c r="B177" s="59" t="s">
        <v>24</v>
      </c>
      <c r="C177" s="3">
        <v>45323</v>
      </c>
      <c r="D177" s="8">
        <v>5</v>
      </c>
      <c r="E177" s="3"/>
      <c r="F177" s="2" t="s">
        <v>214</v>
      </c>
      <c r="G177" s="7">
        <v>0.1681</v>
      </c>
      <c r="H177" s="54">
        <v>2.5999999999999999E-3</v>
      </c>
      <c r="I177" s="7">
        <v>1.268</v>
      </c>
      <c r="L177" s="7">
        <v>0.1653</v>
      </c>
      <c r="O177" s="7">
        <v>64.3</v>
      </c>
      <c r="P177" s="7">
        <v>560</v>
      </c>
      <c r="Q177" s="7">
        <v>758.1</v>
      </c>
      <c r="R177" s="4" t="s">
        <v>356</v>
      </c>
      <c r="S177" s="4" t="s">
        <v>580</v>
      </c>
      <c r="T177" s="4"/>
      <c r="U177" s="4" t="s">
        <v>225</v>
      </c>
      <c r="V177" s="4"/>
      <c r="W177" s="4"/>
      <c r="X177" s="4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  <c r="AT177" s="7"/>
      <c r="AU177" s="7"/>
      <c r="AV177" s="4"/>
      <c r="AW177" s="2"/>
      <c r="AX177" s="7"/>
      <c r="AY177" s="4"/>
      <c r="AZ177" s="4">
        <v>117</v>
      </c>
      <c r="BA177" s="2"/>
      <c r="BB177" s="2"/>
      <c r="BC177" s="2">
        <v>28.2</v>
      </c>
      <c r="BD177" s="43">
        <v>995</v>
      </c>
      <c r="BE177" s="71">
        <v>53</v>
      </c>
      <c r="BF177" s="45">
        <v>1.1419999999999999</v>
      </c>
      <c r="BG177" s="68">
        <v>2096</v>
      </c>
      <c r="BH177" s="2"/>
      <c r="BM177"/>
    </row>
    <row r="178" spans="1:65" x14ac:dyDescent="0.3">
      <c r="A178" s="2" t="s">
        <v>13</v>
      </c>
      <c r="B178" s="59" t="s">
        <v>24</v>
      </c>
      <c r="C178" s="3">
        <v>45323</v>
      </c>
      <c r="D178" s="8">
        <v>6</v>
      </c>
      <c r="E178" s="3"/>
      <c r="F178" s="2" t="s">
        <v>214</v>
      </c>
      <c r="G178" s="7">
        <v>0.1676</v>
      </c>
      <c r="H178" s="54">
        <v>4.3E-3</v>
      </c>
      <c r="I178" s="7">
        <v>1.268</v>
      </c>
      <c r="L178" s="7">
        <v>0.16450000000000001</v>
      </c>
      <c r="O178" s="7">
        <v>64</v>
      </c>
      <c r="P178" s="7">
        <v>563</v>
      </c>
      <c r="Q178" s="7">
        <v>757.3</v>
      </c>
      <c r="R178" s="4" t="s">
        <v>356</v>
      </c>
      <c r="S178" s="4" t="s">
        <v>580</v>
      </c>
      <c r="T178" s="4"/>
      <c r="U178" s="4" t="s">
        <v>380</v>
      </c>
      <c r="V178" s="4"/>
      <c r="W178" s="4"/>
      <c r="X178" s="4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  <c r="AT178" s="7"/>
      <c r="AU178" s="7"/>
      <c r="AV178" s="4"/>
      <c r="AW178" s="2"/>
      <c r="AX178" s="7"/>
      <c r="AY178" s="4"/>
      <c r="AZ178" s="4">
        <v>117</v>
      </c>
      <c r="BA178" s="2"/>
      <c r="BB178" s="2"/>
      <c r="BC178" s="2">
        <v>28.7</v>
      </c>
      <c r="BD178" s="43">
        <v>995</v>
      </c>
      <c r="BE178" s="71">
        <v>49</v>
      </c>
      <c r="BF178" s="45">
        <v>1.1399999999999999</v>
      </c>
      <c r="BG178" s="68">
        <v>2096</v>
      </c>
      <c r="BH178" s="2"/>
      <c r="BM178"/>
    </row>
    <row r="179" spans="1:65" x14ac:dyDescent="0.3">
      <c r="A179" s="2" t="s">
        <v>13</v>
      </c>
      <c r="B179" s="59" t="s">
        <v>24</v>
      </c>
      <c r="C179" s="3">
        <v>45323</v>
      </c>
      <c r="D179" s="8">
        <v>7</v>
      </c>
      <c r="E179" s="3"/>
      <c r="F179" s="2" t="s">
        <v>214</v>
      </c>
      <c r="G179" s="7">
        <v>0.16739999999999999</v>
      </c>
      <c r="H179" s="54">
        <v>1E-3</v>
      </c>
      <c r="I179" s="7">
        <v>1.268</v>
      </c>
      <c r="L179" s="7">
        <v>0.16470000000000001</v>
      </c>
      <c r="O179" s="7">
        <v>63.7</v>
      </c>
      <c r="P179" s="7">
        <v>558</v>
      </c>
      <c r="Q179" s="7">
        <v>756.9</v>
      </c>
      <c r="R179" s="4" t="s">
        <v>356</v>
      </c>
      <c r="S179" s="4" t="s">
        <v>580</v>
      </c>
      <c r="T179" s="4"/>
      <c r="U179" s="4" t="s">
        <v>225</v>
      </c>
      <c r="V179" s="4"/>
      <c r="W179" s="4"/>
      <c r="X179" s="4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  <c r="AT179" s="7"/>
      <c r="AU179" s="7"/>
      <c r="AV179" s="4"/>
      <c r="AW179" s="2"/>
      <c r="AX179" s="7"/>
      <c r="AY179" s="4"/>
      <c r="AZ179" s="4">
        <v>117</v>
      </c>
      <c r="BA179" s="2"/>
      <c r="BB179" s="2"/>
      <c r="BC179" s="2">
        <v>28.7</v>
      </c>
      <c r="BD179" s="43">
        <v>995</v>
      </c>
      <c r="BE179" s="71">
        <v>49</v>
      </c>
      <c r="BF179" s="45">
        <v>1.1399999999999999</v>
      </c>
      <c r="BG179" s="68">
        <v>2096</v>
      </c>
      <c r="BH179" s="2"/>
      <c r="BM179"/>
    </row>
    <row r="180" spans="1:65" x14ac:dyDescent="0.3">
      <c r="A180" s="2" t="s">
        <v>13</v>
      </c>
      <c r="B180" s="59" t="s">
        <v>24</v>
      </c>
      <c r="C180" s="3">
        <v>45323</v>
      </c>
      <c r="D180" s="8">
        <v>8</v>
      </c>
      <c r="E180" s="3"/>
      <c r="F180" s="2" t="s">
        <v>214</v>
      </c>
      <c r="G180" s="7">
        <v>0.16900000000000001</v>
      </c>
      <c r="H180" s="54">
        <v>2.5000000000000001E-3</v>
      </c>
      <c r="I180" s="7">
        <v>1.268</v>
      </c>
      <c r="L180" s="7">
        <v>0.1651</v>
      </c>
      <c r="O180" s="7">
        <v>63.8</v>
      </c>
      <c r="P180" s="7">
        <v>548</v>
      </c>
      <c r="Q180" s="7">
        <v>757.9</v>
      </c>
      <c r="R180" s="4" t="s">
        <v>356</v>
      </c>
      <c r="S180" s="4" t="s">
        <v>580</v>
      </c>
      <c r="T180" s="4"/>
      <c r="U180" s="4" t="s">
        <v>380</v>
      </c>
      <c r="V180" s="4"/>
      <c r="W180" s="4"/>
      <c r="X180" s="4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  <c r="AT180" s="7"/>
      <c r="AU180" s="7"/>
      <c r="AV180" s="4"/>
      <c r="AW180" s="2"/>
      <c r="AX180" s="7"/>
      <c r="AY180" s="4"/>
      <c r="AZ180" s="4">
        <v>117</v>
      </c>
      <c r="BA180" s="2"/>
      <c r="BB180" s="2"/>
      <c r="BC180" s="2">
        <v>28.9</v>
      </c>
      <c r="BD180" s="43">
        <v>995</v>
      </c>
      <c r="BE180" s="71">
        <v>49</v>
      </c>
      <c r="BF180" s="45">
        <v>1.139</v>
      </c>
      <c r="BG180" s="68">
        <v>2096</v>
      </c>
      <c r="BH180" s="2"/>
      <c r="BM180"/>
    </row>
    <row r="181" spans="1:65" x14ac:dyDescent="0.3">
      <c r="A181" s="2" t="s">
        <v>43</v>
      </c>
      <c r="B181" s="59" t="s">
        <v>210</v>
      </c>
      <c r="C181" s="3">
        <v>45323</v>
      </c>
      <c r="D181" s="8">
        <v>5</v>
      </c>
      <c r="E181" s="3"/>
      <c r="F181" s="2" t="s">
        <v>547</v>
      </c>
      <c r="G181" s="7">
        <v>0.1807</v>
      </c>
      <c r="H181" s="54">
        <v>2E-3</v>
      </c>
      <c r="I181" s="7">
        <v>1.2544999999999999</v>
      </c>
      <c r="L181" s="7">
        <v>0.17169999999999999</v>
      </c>
      <c r="O181" s="7">
        <v>57.2</v>
      </c>
      <c r="P181" s="7">
        <v>411</v>
      </c>
      <c r="Q181" s="7">
        <v>754.2</v>
      </c>
      <c r="R181" s="4" t="s">
        <v>559</v>
      </c>
      <c r="S181" s="4" t="s">
        <v>580</v>
      </c>
      <c r="T181" s="4"/>
      <c r="U181" s="4" t="s">
        <v>332</v>
      </c>
      <c r="V181" s="4"/>
      <c r="W181" s="4"/>
      <c r="X181" s="4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  <c r="AT181" s="7"/>
      <c r="AU181" s="7"/>
      <c r="AV181" s="4"/>
      <c r="AW181" s="2"/>
      <c r="AX181" s="7"/>
      <c r="AY181" s="4"/>
      <c r="AZ181" s="4">
        <v>111.6</v>
      </c>
      <c r="BA181" s="2"/>
      <c r="BB181" s="2"/>
      <c r="BC181" s="2">
        <v>28.2</v>
      </c>
      <c r="BD181" s="43">
        <v>995</v>
      </c>
      <c r="BE181" s="71">
        <v>53</v>
      </c>
      <c r="BF181" s="45">
        <v>1.1419999999999999</v>
      </c>
      <c r="BG181" s="68">
        <v>2096</v>
      </c>
      <c r="BH181" s="2"/>
      <c r="BM181"/>
    </row>
    <row r="182" spans="1:65" x14ac:dyDescent="0.3">
      <c r="A182" s="2" t="s">
        <v>43</v>
      </c>
      <c r="B182" s="59" t="s">
        <v>210</v>
      </c>
      <c r="C182" s="3">
        <v>45323</v>
      </c>
      <c r="D182" s="8">
        <v>6</v>
      </c>
      <c r="E182" s="3"/>
      <c r="F182" s="2" t="s">
        <v>547</v>
      </c>
      <c r="G182" s="7">
        <v>0.17510000000000001</v>
      </c>
      <c r="H182" s="54">
        <v>7.4999999999999997E-3</v>
      </c>
      <c r="I182" s="7">
        <v>1.2544999999999999</v>
      </c>
      <c r="L182" s="7">
        <v>0.17219999999999999</v>
      </c>
      <c r="O182" s="7">
        <v>57.9</v>
      </c>
      <c r="P182" s="7">
        <v>437</v>
      </c>
      <c r="Q182" s="7">
        <v>755</v>
      </c>
      <c r="R182" s="4" t="s">
        <v>559</v>
      </c>
      <c r="S182" s="4" t="s">
        <v>580</v>
      </c>
      <c r="T182" s="4"/>
      <c r="U182" s="4" t="s">
        <v>225</v>
      </c>
      <c r="V182" s="4"/>
      <c r="W182" s="4"/>
      <c r="X182" s="4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  <c r="AT182" s="7"/>
      <c r="AU182" s="7"/>
      <c r="AV182" s="4"/>
      <c r="AW182" s="2"/>
      <c r="AX182" s="7"/>
      <c r="AY182" s="4"/>
      <c r="AZ182" s="4">
        <v>111.6</v>
      </c>
      <c r="BA182" s="2"/>
      <c r="BB182" s="2"/>
      <c r="BC182" s="2">
        <v>28.7</v>
      </c>
      <c r="BD182" s="43">
        <v>995</v>
      </c>
      <c r="BE182" s="71">
        <v>49</v>
      </c>
      <c r="BF182" s="45">
        <v>1.1399999999999999</v>
      </c>
      <c r="BG182" s="68">
        <v>2096</v>
      </c>
      <c r="BH182" s="2"/>
      <c r="BM182"/>
    </row>
    <row r="183" spans="1:65" x14ac:dyDescent="0.3">
      <c r="A183" s="2" t="s">
        <v>43</v>
      </c>
      <c r="B183" s="59" t="s">
        <v>210</v>
      </c>
      <c r="C183" s="3">
        <v>45323</v>
      </c>
      <c r="D183" s="8">
        <v>7</v>
      </c>
      <c r="E183" s="3"/>
      <c r="F183" s="2" t="s">
        <v>547</v>
      </c>
      <c r="G183" s="7">
        <v>0.17380000000000001</v>
      </c>
      <c r="H183" s="54">
        <v>6.1999999999999998E-3</v>
      </c>
      <c r="I183" s="7">
        <v>1.2544999999999999</v>
      </c>
      <c r="L183" s="7">
        <v>0.16950000000000001</v>
      </c>
      <c r="O183" s="7">
        <v>58.1</v>
      </c>
      <c r="P183" s="7">
        <v>424</v>
      </c>
      <c r="Q183" s="7">
        <v>755.4</v>
      </c>
      <c r="R183" s="4" t="s">
        <v>559</v>
      </c>
      <c r="S183" s="4" t="s">
        <v>580</v>
      </c>
      <c r="T183" s="4"/>
      <c r="U183" s="4" t="s">
        <v>332</v>
      </c>
      <c r="V183" s="4"/>
      <c r="W183" s="4"/>
      <c r="X183" s="4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  <c r="AT183" s="7"/>
      <c r="AU183" s="7"/>
      <c r="AV183" s="4"/>
      <c r="AW183" s="2"/>
      <c r="AX183" s="7"/>
      <c r="AY183" s="4"/>
      <c r="AZ183" s="4">
        <v>111.6</v>
      </c>
      <c r="BA183" s="2"/>
      <c r="BB183" s="2"/>
      <c r="BC183" s="2">
        <v>28.9</v>
      </c>
      <c r="BD183" s="43">
        <v>995</v>
      </c>
      <c r="BE183" s="71">
        <v>49</v>
      </c>
      <c r="BF183" s="45">
        <v>1.139</v>
      </c>
      <c r="BG183" s="68">
        <v>2096</v>
      </c>
      <c r="BH183" s="2"/>
      <c r="BM183"/>
    </row>
    <row r="184" spans="1:65" x14ac:dyDescent="0.3">
      <c r="A184" s="2" t="s">
        <v>43</v>
      </c>
      <c r="B184" s="59" t="s">
        <v>210</v>
      </c>
      <c r="C184" s="3">
        <v>45323</v>
      </c>
      <c r="D184" s="8">
        <v>8</v>
      </c>
      <c r="E184" s="3"/>
      <c r="F184" s="2" t="s">
        <v>547</v>
      </c>
      <c r="G184" s="7">
        <v>0.17780000000000001</v>
      </c>
      <c r="H184" s="54">
        <v>5.4999999999999997E-3</v>
      </c>
      <c r="I184" s="7">
        <v>1.2544999999999999</v>
      </c>
      <c r="L184" s="7">
        <v>0.17180000000000001</v>
      </c>
      <c r="O184" s="7">
        <v>58.5</v>
      </c>
      <c r="P184" s="7">
        <v>442</v>
      </c>
      <c r="Q184" s="7">
        <v>755</v>
      </c>
      <c r="R184" s="4" t="s">
        <v>559</v>
      </c>
      <c r="S184" s="4" t="s">
        <v>580</v>
      </c>
      <c r="T184" s="4"/>
      <c r="U184" s="4" t="s">
        <v>225</v>
      </c>
      <c r="V184" s="4"/>
      <c r="W184" s="4"/>
      <c r="X184" s="4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  <c r="AT184" s="7"/>
      <c r="AU184" s="7"/>
      <c r="AV184" s="4"/>
      <c r="AW184" s="2"/>
      <c r="AX184" s="7"/>
      <c r="AY184" s="4"/>
      <c r="AZ184" s="4">
        <v>111.6</v>
      </c>
      <c r="BA184" s="2"/>
      <c r="BB184" s="2"/>
      <c r="BC184" s="2">
        <v>28.9</v>
      </c>
      <c r="BD184" s="43">
        <v>995</v>
      </c>
      <c r="BE184" s="71">
        <v>49</v>
      </c>
      <c r="BF184" s="45">
        <v>1.139</v>
      </c>
      <c r="BG184" s="68">
        <v>2096</v>
      </c>
      <c r="BH184" s="2"/>
      <c r="BI184" s="7"/>
      <c r="BM184"/>
    </row>
    <row r="185" spans="1:65" x14ac:dyDescent="0.3">
      <c r="A185" s="2" t="s">
        <v>13</v>
      </c>
      <c r="B185" s="59" t="s">
        <v>24</v>
      </c>
      <c r="C185" s="3">
        <v>45327</v>
      </c>
      <c r="D185" s="8">
        <v>1</v>
      </c>
      <c r="E185" s="3"/>
      <c r="F185" s="2" t="s">
        <v>214</v>
      </c>
      <c r="G185" s="7">
        <v>0.17580000000000001</v>
      </c>
      <c r="H185" s="54">
        <v>3.5999999999999999E-3</v>
      </c>
      <c r="I185" s="7">
        <v>1.2130000000000001</v>
      </c>
      <c r="L185" s="7">
        <v>0.16689999999999999</v>
      </c>
      <c r="O185" s="7">
        <v>64.400000000000006</v>
      </c>
      <c r="P185" s="7">
        <v>572</v>
      </c>
      <c r="Q185" s="7">
        <v>759.1</v>
      </c>
      <c r="R185" s="4" t="s">
        <v>356</v>
      </c>
      <c r="S185" s="4" t="s">
        <v>580</v>
      </c>
      <c r="T185" s="4"/>
      <c r="U185" s="4" t="s">
        <v>225</v>
      </c>
      <c r="V185" s="4"/>
      <c r="W185" s="4"/>
      <c r="X185" s="4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  <c r="AT185" s="7"/>
      <c r="AU185" s="7"/>
      <c r="AV185" s="4"/>
      <c r="AW185" s="2"/>
      <c r="AX185" s="7"/>
      <c r="AY185" s="4"/>
      <c r="AZ185" s="4">
        <v>117</v>
      </c>
      <c r="BA185" s="2"/>
      <c r="BB185" s="2"/>
      <c r="BC185" s="2">
        <v>24.8</v>
      </c>
      <c r="BD185" s="43">
        <v>1016</v>
      </c>
      <c r="BE185" s="71">
        <v>52</v>
      </c>
      <c r="BF185" s="45">
        <v>1.181</v>
      </c>
      <c r="BG185" s="68">
        <v>2096</v>
      </c>
      <c r="BH185" s="2"/>
      <c r="BI185" s="7"/>
      <c r="BM185"/>
    </row>
    <row r="186" spans="1:65" x14ac:dyDescent="0.3">
      <c r="A186" s="2" t="s">
        <v>13</v>
      </c>
      <c r="B186" s="59" t="s">
        <v>24</v>
      </c>
      <c r="C186" s="3">
        <v>45327</v>
      </c>
      <c r="D186" s="8">
        <v>2</v>
      </c>
      <c r="E186" s="3"/>
      <c r="F186" s="2" t="s">
        <v>214</v>
      </c>
      <c r="G186" s="7">
        <v>0.17510000000000001</v>
      </c>
      <c r="H186" s="54">
        <v>3.0000000000000001E-3</v>
      </c>
      <c r="I186" s="7">
        <v>1.2130000000000001</v>
      </c>
      <c r="L186" s="7">
        <v>0.16689999999999999</v>
      </c>
      <c r="O186" s="7">
        <v>63.6</v>
      </c>
      <c r="P186" s="7">
        <v>555</v>
      </c>
      <c r="Q186" s="7">
        <v>758.6</v>
      </c>
      <c r="R186" s="4" t="s">
        <v>356</v>
      </c>
      <c r="S186" s="4" t="s">
        <v>580</v>
      </c>
      <c r="T186" s="4"/>
      <c r="U186" s="4" t="s">
        <v>574</v>
      </c>
      <c r="V186" s="4"/>
      <c r="W186" s="4"/>
      <c r="X186" s="4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  <c r="AT186" s="7"/>
      <c r="AU186" s="7"/>
      <c r="AV186" s="4"/>
      <c r="AW186" s="2"/>
      <c r="AX186" s="7"/>
      <c r="AY186" s="4"/>
      <c r="AZ186" s="4">
        <v>117</v>
      </c>
      <c r="BA186" s="2"/>
      <c r="BB186" s="2"/>
      <c r="BC186" s="2">
        <v>24.8</v>
      </c>
      <c r="BD186" s="43">
        <v>1016</v>
      </c>
      <c r="BE186" s="71">
        <v>52</v>
      </c>
      <c r="BF186" s="45">
        <v>1.181</v>
      </c>
      <c r="BG186" s="68">
        <v>2096</v>
      </c>
      <c r="BH186" s="2"/>
      <c r="BI186" s="7"/>
      <c r="BM186"/>
    </row>
    <row r="187" spans="1:65" x14ac:dyDescent="0.3">
      <c r="A187" s="2" t="s">
        <v>13</v>
      </c>
      <c r="B187" s="59" t="s">
        <v>24</v>
      </c>
      <c r="C187" s="3">
        <v>45327</v>
      </c>
      <c r="D187" s="8">
        <v>3</v>
      </c>
      <c r="E187" s="3"/>
      <c r="F187" s="2" t="s">
        <v>214</v>
      </c>
      <c r="G187" s="7">
        <v>0.17499999999999999</v>
      </c>
      <c r="H187" s="54">
        <v>5.9999999999999995E-4</v>
      </c>
      <c r="I187" s="7">
        <v>1.2130000000000001</v>
      </c>
      <c r="L187" s="7">
        <v>0.1671</v>
      </c>
      <c r="O187" s="7">
        <v>64.3</v>
      </c>
      <c r="P187" s="7">
        <v>579</v>
      </c>
      <c r="Q187" s="7">
        <v>759.2</v>
      </c>
      <c r="R187" s="40" t="s">
        <v>568</v>
      </c>
      <c r="S187" s="4" t="s">
        <v>580</v>
      </c>
      <c r="T187" s="4"/>
      <c r="U187" s="4" t="s">
        <v>225</v>
      </c>
      <c r="V187" s="4"/>
      <c r="W187" s="4"/>
      <c r="X187" s="4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  <c r="AT187" s="7"/>
      <c r="AU187" s="7"/>
      <c r="AV187" s="4"/>
      <c r="AW187" s="2"/>
      <c r="AX187" s="7"/>
      <c r="AY187" s="4"/>
      <c r="AZ187" s="4">
        <v>117</v>
      </c>
      <c r="BA187" s="2"/>
      <c r="BB187" s="2"/>
      <c r="BC187" s="2">
        <v>25.2</v>
      </c>
      <c r="BD187" s="43">
        <v>1016</v>
      </c>
      <c r="BE187" s="71">
        <v>51</v>
      </c>
      <c r="BF187" s="45">
        <v>1.179</v>
      </c>
      <c r="BG187" s="68">
        <v>2096</v>
      </c>
      <c r="BH187" s="2"/>
      <c r="BI187" s="7"/>
      <c r="BM187"/>
    </row>
    <row r="188" spans="1:65" x14ac:dyDescent="0.3">
      <c r="A188" s="2" t="s">
        <v>13</v>
      </c>
      <c r="B188" s="59" t="s">
        <v>24</v>
      </c>
      <c r="C188" s="3">
        <v>45327</v>
      </c>
      <c r="D188" s="8">
        <v>4</v>
      </c>
      <c r="E188" s="3"/>
      <c r="F188" s="2" t="s">
        <v>214</v>
      </c>
      <c r="G188" s="7">
        <v>0.17430000000000001</v>
      </c>
      <c r="H188" s="54">
        <v>2.8E-3</v>
      </c>
      <c r="I188" s="7">
        <v>1.2130000000000001</v>
      </c>
      <c r="L188" s="7">
        <v>0.16830000000000001</v>
      </c>
      <c r="O188" s="7">
        <v>63.9</v>
      </c>
      <c r="P188" s="7">
        <v>576</v>
      </c>
      <c r="Q188" s="7">
        <v>757.9</v>
      </c>
      <c r="R188" s="4" t="s">
        <v>356</v>
      </c>
      <c r="S188" s="4" t="s">
        <v>580</v>
      </c>
      <c r="T188" s="4"/>
      <c r="U188" s="4" t="s">
        <v>225</v>
      </c>
      <c r="V188" s="4"/>
      <c r="W188" s="4"/>
      <c r="X188" s="4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  <c r="AT188" s="7"/>
      <c r="AU188" s="7"/>
      <c r="AV188" s="4"/>
      <c r="AW188" s="2"/>
      <c r="AX188" s="7"/>
      <c r="AY188" s="4"/>
      <c r="AZ188" s="4">
        <v>117</v>
      </c>
      <c r="BA188" s="2"/>
      <c r="BB188" s="2"/>
      <c r="BC188" s="2">
        <v>25.6</v>
      </c>
      <c r="BD188" s="43">
        <v>1016</v>
      </c>
      <c r="BE188" s="71">
        <v>51</v>
      </c>
      <c r="BF188" s="45">
        <v>1.177</v>
      </c>
      <c r="BG188" s="68">
        <v>2096</v>
      </c>
      <c r="BH188" s="2"/>
      <c r="BI188" s="7"/>
      <c r="BM188"/>
    </row>
    <row r="189" spans="1:65" x14ac:dyDescent="0.3">
      <c r="A189" s="2" t="s">
        <v>13</v>
      </c>
      <c r="B189" s="59" t="s">
        <v>24</v>
      </c>
      <c r="C189" s="3">
        <v>45327</v>
      </c>
      <c r="D189" s="8">
        <v>5</v>
      </c>
      <c r="E189" s="3"/>
      <c r="F189" s="2" t="s">
        <v>214</v>
      </c>
      <c r="G189" s="7">
        <v>0.17460000000000001</v>
      </c>
      <c r="H189" s="54">
        <v>2E-3</v>
      </c>
      <c r="I189" s="7">
        <v>1.2130000000000001</v>
      </c>
      <c r="L189" s="7">
        <v>0.1701</v>
      </c>
      <c r="O189" s="7">
        <v>64.5</v>
      </c>
      <c r="P189" s="7">
        <v>579</v>
      </c>
      <c r="Q189" s="7">
        <v>758.7</v>
      </c>
      <c r="R189" s="4" t="s">
        <v>356</v>
      </c>
      <c r="S189" s="4" t="s">
        <v>580</v>
      </c>
      <c r="T189" s="4"/>
      <c r="U189" s="4" t="s">
        <v>574</v>
      </c>
      <c r="V189" s="4"/>
      <c r="W189" s="4"/>
      <c r="X189" s="4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  <c r="AT189" s="7"/>
      <c r="AU189" s="7"/>
      <c r="AV189" s="4"/>
      <c r="AW189" s="2"/>
      <c r="AX189" s="7"/>
      <c r="AY189" s="4"/>
      <c r="AZ189" s="4">
        <v>117</v>
      </c>
      <c r="BA189" s="2"/>
      <c r="BB189" s="2"/>
      <c r="BC189" s="2">
        <v>26</v>
      </c>
      <c r="BD189" s="43">
        <v>1016</v>
      </c>
      <c r="BE189" s="71">
        <v>51</v>
      </c>
      <c r="BF189" s="45">
        <v>1.175</v>
      </c>
      <c r="BG189" s="68">
        <v>2096</v>
      </c>
      <c r="BH189" s="2"/>
      <c r="BI189" s="7"/>
      <c r="BM189"/>
    </row>
    <row r="190" spans="1:65" x14ac:dyDescent="0.3">
      <c r="A190" s="2" t="s">
        <v>13</v>
      </c>
      <c r="B190" s="59" t="s">
        <v>24</v>
      </c>
      <c r="C190" s="3">
        <v>45327</v>
      </c>
      <c r="D190" s="8">
        <v>6</v>
      </c>
      <c r="E190" s="3"/>
      <c r="F190" s="2" t="s">
        <v>214</v>
      </c>
      <c r="G190" s="7">
        <v>0.17419999999999999</v>
      </c>
      <c r="H190" s="54">
        <v>2.3999999999999998E-3</v>
      </c>
      <c r="I190" s="7">
        <v>1.2130000000000001</v>
      </c>
      <c r="L190" s="7">
        <v>0.16719999999999999</v>
      </c>
      <c r="O190" s="7">
        <v>63.9</v>
      </c>
      <c r="P190" s="7">
        <v>584</v>
      </c>
      <c r="Q190" s="7">
        <v>758.5</v>
      </c>
      <c r="R190" s="40" t="s">
        <v>568</v>
      </c>
      <c r="S190" s="4" t="s">
        <v>580</v>
      </c>
      <c r="T190" s="4"/>
      <c r="U190" s="4" t="s">
        <v>225</v>
      </c>
      <c r="V190" s="4"/>
      <c r="W190" s="4"/>
      <c r="X190" s="4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  <c r="AT190" s="7"/>
      <c r="AU190" s="7"/>
      <c r="AV190" s="4"/>
      <c r="AW190" s="2"/>
      <c r="AX190" s="7"/>
      <c r="AY190" s="4"/>
      <c r="AZ190" s="4">
        <v>117</v>
      </c>
      <c r="BA190" s="2"/>
      <c r="BB190" s="2"/>
      <c r="BC190" s="2">
        <v>26.2</v>
      </c>
      <c r="BD190" s="43">
        <v>1016</v>
      </c>
      <c r="BE190" s="71">
        <v>51</v>
      </c>
      <c r="BF190" s="45">
        <v>1.175</v>
      </c>
      <c r="BG190" s="68">
        <v>2096</v>
      </c>
      <c r="BH190" s="2"/>
      <c r="BI190" s="7"/>
      <c r="BM190"/>
    </row>
    <row r="191" spans="1:65" x14ac:dyDescent="0.3">
      <c r="A191" s="2" t="s">
        <v>43</v>
      </c>
      <c r="B191" s="59" t="s">
        <v>99</v>
      </c>
      <c r="C191" s="3">
        <v>45330</v>
      </c>
      <c r="D191" s="8">
        <v>2</v>
      </c>
      <c r="E191" s="3" t="s">
        <v>529</v>
      </c>
      <c r="F191" s="2" t="s">
        <v>555</v>
      </c>
      <c r="G191" s="7">
        <v>0.17213000000000001</v>
      </c>
      <c r="H191" s="54">
        <v>2E-3</v>
      </c>
      <c r="I191" s="7">
        <v>1.2090000000000001</v>
      </c>
      <c r="K191" s="7">
        <v>0.16400000000000001</v>
      </c>
      <c r="L191" s="7">
        <v>0.1668</v>
      </c>
      <c r="O191" s="7">
        <v>61.5</v>
      </c>
      <c r="P191" s="7">
        <v>506</v>
      </c>
      <c r="Q191" s="7">
        <v>757.8</v>
      </c>
      <c r="R191" s="4" t="s">
        <v>560</v>
      </c>
      <c r="S191" s="4" t="s">
        <v>580</v>
      </c>
      <c r="T191" s="4"/>
      <c r="U191" s="4" t="s">
        <v>332</v>
      </c>
      <c r="V191" s="4"/>
      <c r="W191" s="4"/>
      <c r="X191" s="4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  <c r="AT191" s="7"/>
      <c r="AU191" s="7"/>
      <c r="AV191" s="4"/>
      <c r="AW191" s="2"/>
      <c r="AX191" s="7"/>
      <c r="AY191" s="4"/>
      <c r="AZ191" s="4">
        <v>113.4</v>
      </c>
      <c r="BA191" s="2"/>
      <c r="BB191" s="2"/>
      <c r="BC191" s="10">
        <v>24</v>
      </c>
      <c r="BD191" s="43">
        <v>1012.8</v>
      </c>
      <c r="BE191" s="71">
        <v>51.7</v>
      </c>
      <c r="BF191" s="45"/>
      <c r="BG191" s="68">
        <v>2096</v>
      </c>
      <c r="BH191" s="2"/>
      <c r="BI191" s="7"/>
      <c r="BM191"/>
    </row>
    <row r="192" spans="1:65" x14ac:dyDescent="0.3">
      <c r="A192" s="2" t="s">
        <v>43</v>
      </c>
      <c r="B192" s="59" t="s">
        <v>99</v>
      </c>
      <c r="C192" s="3">
        <v>45330</v>
      </c>
      <c r="D192" s="8">
        <v>3</v>
      </c>
      <c r="E192" s="3" t="s">
        <v>528</v>
      </c>
      <c r="F192" s="2" t="s">
        <v>555</v>
      </c>
      <c r="G192" s="7">
        <v>0.1739</v>
      </c>
      <c r="H192" s="54">
        <v>4.1000000000000003E-3</v>
      </c>
      <c r="I192" s="7">
        <v>1.2090000000000001</v>
      </c>
      <c r="K192" s="7">
        <v>0.16500000000000001</v>
      </c>
      <c r="L192" s="7">
        <v>0.16550000000000001</v>
      </c>
      <c r="O192" s="7">
        <v>61.1</v>
      </c>
      <c r="P192" s="7">
        <v>505</v>
      </c>
      <c r="Q192" s="7">
        <v>757.4</v>
      </c>
      <c r="R192" s="4" t="s">
        <v>560</v>
      </c>
      <c r="S192" s="4" t="s">
        <v>580</v>
      </c>
      <c r="T192" s="4"/>
      <c r="U192" s="4" t="s">
        <v>332</v>
      </c>
      <c r="V192" s="4"/>
      <c r="W192" s="4"/>
      <c r="X192" s="4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  <c r="AT192" s="7"/>
      <c r="AU192" s="7"/>
      <c r="AV192" s="4"/>
      <c r="AW192" s="2"/>
      <c r="AX192" s="7"/>
      <c r="AY192" s="4"/>
      <c r="AZ192" s="4">
        <v>113.4</v>
      </c>
      <c r="BA192" s="2"/>
      <c r="BB192" s="2"/>
      <c r="BC192" s="10">
        <v>24</v>
      </c>
      <c r="BD192" s="43">
        <v>1012.3</v>
      </c>
      <c r="BE192" s="71">
        <v>50.9</v>
      </c>
      <c r="BF192" s="45"/>
      <c r="BG192" s="68">
        <v>2096</v>
      </c>
      <c r="BH192" s="2" t="s">
        <v>502</v>
      </c>
      <c r="BI192" s="7"/>
      <c r="BM192"/>
    </row>
    <row r="193" spans="1:65" x14ac:dyDescent="0.3">
      <c r="A193" s="2" t="s">
        <v>43</v>
      </c>
      <c r="B193" s="59" t="s">
        <v>99</v>
      </c>
      <c r="C193" s="3">
        <v>45330</v>
      </c>
      <c r="D193" s="8">
        <v>5</v>
      </c>
      <c r="E193" s="3" t="s">
        <v>541</v>
      </c>
      <c r="F193" s="2" t="s">
        <v>555</v>
      </c>
      <c r="G193" s="7">
        <v>0.17380000000000001</v>
      </c>
      <c r="H193" s="54">
        <v>3.8999999999999998E-3</v>
      </c>
      <c r="I193" s="7">
        <v>1.2090000000000001</v>
      </c>
      <c r="K193" s="7">
        <v>0.16300000000000001</v>
      </c>
      <c r="L193" s="7">
        <v>0.1663</v>
      </c>
      <c r="O193" s="7">
        <v>62.3</v>
      </c>
      <c r="P193" s="7">
        <v>508</v>
      </c>
      <c r="Q193" s="7">
        <v>757.3</v>
      </c>
      <c r="R193" s="4" t="s">
        <v>560</v>
      </c>
      <c r="S193" s="4" t="s">
        <v>580</v>
      </c>
      <c r="T193" s="4"/>
      <c r="U193" s="4" t="s">
        <v>332</v>
      </c>
      <c r="V193" s="4"/>
      <c r="W193" s="4"/>
      <c r="X193" s="4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  <c r="AT193" s="7"/>
      <c r="AU193" s="7"/>
      <c r="AV193" s="4"/>
      <c r="AW193" s="2"/>
      <c r="AX193" s="7"/>
      <c r="AY193" s="4"/>
      <c r="AZ193" s="4">
        <v>113.4</v>
      </c>
      <c r="BA193" s="2"/>
      <c r="BB193" s="2"/>
      <c r="BC193" s="10">
        <v>27.2</v>
      </c>
      <c r="BD193" s="43">
        <v>1011.3</v>
      </c>
      <c r="BE193" s="71">
        <v>58.9</v>
      </c>
      <c r="BF193" s="45"/>
      <c r="BG193" s="68">
        <v>2096</v>
      </c>
      <c r="BH193" s="2"/>
      <c r="BI193" s="7"/>
      <c r="BM193"/>
    </row>
    <row r="194" spans="1:65" x14ac:dyDescent="0.3">
      <c r="A194" s="2" t="s">
        <v>13</v>
      </c>
      <c r="B194" s="59" t="s">
        <v>26</v>
      </c>
      <c r="C194" s="3">
        <v>45330</v>
      </c>
      <c r="D194" s="8">
        <v>2</v>
      </c>
      <c r="E194" s="3" t="s">
        <v>534</v>
      </c>
      <c r="F194" s="2" t="s">
        <v>214</v>
      </c>
      <c r="G194" s="7">
        <v>0.16600000000000001</v>
      </c>
      <c r="H194" s="54">
        <v>4.0000000000000001E-3</v>
      </c>
      <c r="I194" s="7">
        <v>1.2255</v>
      </c>
      <c r="L194" s="7">
        <v>0.1671</v>
      </c>
      <c r="O194" s="7">
        <v>65.099999999999994</v>
      </c>
      <c r="P194" s="7">
        <v>629</v>
      </c>
      <c r="Q194" s="7">
        <v>759.4</v>
      </c>
      <c r="R194" s="4" t="s">
        <v>356</v>
      </c>
      <c r="S194" s="4" t="s">
        <v>580</v>
      </c>
      <c r="T194" s="4"/>
      <c r="U194" s="4" t="s">
        <v>225</v>
      </c>
      <c r="V194" s="4"/>
      <c r="W194" s="4"/>
      <c r="X194" s="4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  <c r="AT194" s="7"/>
      <c r="AU194" s="7"/>
      <c r="AV194" s="4"/>
      <c r="AW194" s="2"/>
      <c r="AX194" s="7"/>
      <c r="AY194" s="4"/>
      <c r="AZ194" s="4">
        <v>113.4</v>
      </c>
      <c r="BA194" s="2"/>
      <c r="BB194" s="2"/>
      <c r="BC194" s="10">
        <v>24</v>
      </c>
      <c r="BD194" s="43">
        <v>1012.8</v>
      </c>
      <c r="BE194" s="71">
        <v>51.7</v>
      </c>
      <c r="BF194" s="45"/>
      <c r="BG194" s="68">
        <v>2096</v>
      </c>
      <c r="BH194" s="2"/>
      <c r="BI194" s="7"/>
      <c r="BM194"/>
    </row>
    <row r="195" spans="1:65" x14ac:dyDescent="0.3">
      <c r="A195" s="2" t="s">
        <v>13</v>
      </c>
      <c r="B195" s="59" t="s">
        <v>26</v>
      </c>
      <c r="C195" s="3">
        <v>45330</v>
      </c>
      <c r="D195" s="8">
        <v>3</v>
      </c>
      <c r="E195" s="3" t="s">
        <v>533</v>
      </c>
      <c r="F195" s="2" t="s">
        <v>215</v>
      </c>
      <c r="G195" s="7">
        <v>0.1686</v>
      </c>
      <c r="H195" s="54">
        <v>4.0000000000000001E-3</v>
      </c>
      <c r="I195" s="7">
        <v>1.2255</v>
      </c>
      <c r="K195" s="7">
        <v>0.17100000000000001</v>
      </c>
      <c r="L195" s="7">
        <v>0.16650000000000001</v>
      </c>
      <c r="O195" s="7">
        <v>65.3</v>
      </c>
      <c r="P195" s="7">
        <v>621</v>
      </c>
      <c r="Q195" s="7">
        <v>758.2</v>
      </c>
      <c r="R195" s="4" t="s">
        <v>356</v>
      </c>
      <c r="S195" s="4" t="s">
        <v>580</v>
      </c>
      <c r="T195" s="4"/>
      <c r="U195" s="4" t="s">
        <v>225</v>
      </c>
      <c r="V195" s="4"/>
      <c r="W195" s="4"/>
      <c r="X195" s="4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  <c r="AT195" s="7"/>
      <c r="AU195" s="7"/>
      <c r="AV195" s="4"/>
      <c r="AW195" s="2"/>
      <c r="AX195" s="7"/>
      <c r="AY195" s="4"/>
      <c r="AZ195" s="4">
        <v>113.4</v>
      </c>
      <c r="BA195" s="2"/>
      <c r="BB195" s="2"/>
      <c r="BC195" s="10">
        <v>24</v>
      </c>
      <c r="BD195" s="43">
        <v>1012.3</v>
      </c>
      <c r="BE195" s="71">
        <v>50.9</v>
      </c>
      <c r="BF195" s="45"/>
      <c r="BG195" s="68">
        <v>2096</v>
      </c>
      <c r="BH195" s="2" t="s">
        <v>505</v>
      </c>
      <c r="BI195" s="7"/>
      <c r="BM195"/>
    </row>
    <row r="196" spans="1:65" x14ac:dyDescent="0.3">
      <c r="A196" s="2" t="s">
        <v>13</v>
      </c>
      <c r="B196" s="59" t="s">
        <v>26</v>
      </c>
      <c r="C196" s="3">
        <v>45330</v>
      </c>
      <c r="D196" s="8">
        <v>5</v>
      </c>
      <c r="E196" s="3" t="s">
        <v>531</v>
      </c>
      <c r="F196" s="2" t="s">
        <v>214</v>
      </c>
      <c r="G196" s="7">
        <v>0.1681</v>
      </c>
      <c r="H196" s="54">
        <v>4.0000000000000001E-3</v>
      </c>
      <c r="I196" s="7">
        <v>1.2255</v>
      </c>
      <c r="K196" s="7">
        <v>0.17199999999999999</v>
      </c>
      <c r="L196" s="7">
        <v>0.16650000000000001</v>
      </c>
      <c r="O196" s="7">
        <v>65.900000000000006</v>
      </c>
      <c r="P196" s="7">
        <v>636</v>
      </c>
      <c r="Q196" s="7">
        <v>758.4</v>
      </c>
      <c r="R196" s="4" t="s">
        <v>356</v>
      </c>
      <c r="S196" s="4" t="s">
        <v>580</v>
      </c>
      <c r="T196" s="4"/>
      <c r="U196" s="4" t="s">
        <v>225</v>
      </c>
      <c r="V196" s="4"/>
      <c r="W196" s="4"/>
      <c r="X196" s="4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  <c r="AT196" s="7"/>
      <c r="AU196" s="7"/>
      <c r="AV196" s="4"/>
      <c r="AW196" s="2"/>
      <c r="AX196" s="7"/>
      <c r="AY196" s="4"/>
      <c r="AZ196" s="4">
        <v>113.4</v>
      </c>
      <c r="BA196" s="2"/>
      <c r="BB196" s="2"/>
      <c r="BC196" s="10">
        <v>27.2</v>
      </c>
      <c r="BD196" s="43">
        <v>1011.3</v>
      </c>
      <c r="BE196" s="71">
        <v>58.9</v>
      </c>
      <c r="BF196" s="45"/>
      <c r="BG196" s="68">
        <v>2096</v>
      </c>
      <c r="BH196" s="2" t="s">
        <v>507</v>
      </c>
      <c r="BI196" s="7"/>
      <c r="BM196"/>
    </row>
    <row r="197" spans="1:65" x14ac:dyDescent="0.3">
      <c r="A197" s="2" t="s">
        <v>13</v>
      </c>
      <c r="B197" s="59" t="s">
        <v>26</v>
      </c>
      <c r="C197" s="3">
        <v>45330</v>
      </c>
      <c r="D197" s="8">
        <v>6</v>
      </c>
      <c r="E197" s="3"/>
      <c r="F197" s="2" t="s">
        <v>215</v>
      </c>
      <c r="G197" s="7">
        <v>0.17199999999999999</v>
      </c>
      <c r="H197" s="54">
        <v>4.5999999999999999E-3</v>
      </c>
      <c r="I197" s="7">
        <v>1.2255</v>
      </c>
      <c r="K197" s="7">
        <v>0.17399999999999999</v>
      </c>
      <c r="L197" s="7">
        <v>0.1638</v>
      </c>
      <c r="O197" s="7">
        <v>67</v>
      </c>
      <c r="P197" s="7">
        <v>653</v>
      </c>
      <c r="Q197" s="7">
        <v>758.2</v>
      </c>
      <c r="R197" s="4" t="s">
        <v>356</v>
      </c>
      <c r="S197" s="4" t="s">
        <v>580</v>
      </c>
      <c r="T197" s="4"/>
      <c r="U197" s="4" t="s">
        <v>225</v>
      </c>
      <c r="V197" s="4"/>
      <c r="W197" s="4"/>
      <c r="X197" s="4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  <c r="AT197" s="7"/>
      <c r="AU197" s="7"/>
      <c r="AV197" s="4"/>
      <c r="AW197" s="2"/>
      <c r="AX197" s="7"/>
      <c r="AY197" s="4"/>
      <c r="AZ197" s="4">
        <v>113.4</v>
      </c>
      <c r="BA197" s="2"/>
      <c r="BB197" s="2"/>
      <c r="BC197" s="10">
        <v>24</v>
      </c>
      <c r="BD197" s="43">
        <v>1012.8</v>
      </c>
      <c r="BE197" s="71">
        <v>51.7</v>
      </c>
      <c r="BF197" s="45"/>
      <c r="BG197" s="68">
        <v>2096</v>
      </c>
      <c r="BH197" s="2" t="s">
        <v>508</v>
      </c>
      <c r="BI197" s="7"/>
      <c r="BM197"/>
    </row>
    <row r="198" spans="1:65" x14ac:dyDescent="0.3">
      <c r="A198" s="2" t="s">
        <v>43</v>
      </c>
      <c r="B198" s="59" t="s">
        <v>210</v>
      </c>
      <c r="C198" s="3">
        <v>45330</v>
      </c>
      <c r="D198" s="8">
        <v>2</v>
      </c>
      <c r="E198" s="3" t="s">
        <v>523</v>
      </c>
      <c r="F198" s="2" t="s">
        <v>547</v>
      </c>
      <c r="G198" s="7">
        <v>0.17549999999999999</v>
      </c>
      <c r="H198" s="54">
        <v>3.5999999999999999E-3</v>
      </c>
      <c r="I198" s="7">
        <v>1.2144999999999999</v>
      </c>
      <c r="K198" s="7">
        <v>0.17649999999999999</v>
      </c>
      <c r="L198" s="7">
        <v>0.17349999999999999</v>
      </c>
      <c r="O198" s="7">
        <v>58.9</v>
      </c>
      <c r="P198" s="7">
        <v>485</v>
      </c>
      <c r="Q198" s="7">
        <v>755.8</v>
      </c>
      <c r="R198" s="4" t="s">
        <v>559</v>
      </c>
      <c r="S198" s="4" t="s">
        <v>580</v>
      </c>
      <c r="T198" s="4"/>
      <c r="U198" s="4" t="s">
        <v>332</v>
      </c>
      <c r="V198" s="4"/>
      <c r="W198" s="4"/>
      <c r="X198" s="4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  <c r="AT198" s="7"/>
      <c r="AU198" s="7"/>
      <c r="AV198" s="4"/>
      <c r="AW198" s="2"/>
      <c r="AX198" s="7"/>
      <c r="AY198" s="4"/>
      <c r="AZ198" s="4">
        <v>113.4</v>
      </c>
      <c r="BA198" s="2"/>
      <c r="BB198" s="2"/>
      <c r="BC198" s="10">
        <v>24</v>
      </c>
      <c r="BD198" s="43">
        <v>1012.3</v>
      </c>
      <c r="BE198" s="71">
        <v>50.9</v>
      </c>
      <c r="BF198" s="45"/>
      <c r="BG198" s="68">
        <v>2096</v>
      </c>
      <c r="BH198" s="2" t="s">
        <v>510</v>
      </c>
      <c r="BI198" s="7"/>
      <c r="BM198"/>
    </row>
    <row r="199" spans="1:65" x14ac:dyDescent="0.3">
      <c r="A199" s="2" t="s">
        <v>43</v>
      </c>
      <c r="B199" s="59" t="s">
        <v>210</v>
      </c>
      <c r="C199" s="3">
        <v>45330</v>
      </c>
      <c r="D199" s="8">
        <v>3</v>
      </c>
      <c r="E199" s="3" t="s">
        <v>522</v>
      </c>
      <c r="F199" s="2" t="s">
        <v>547</v>
      </c>
      <c r="G199" s="7">
        <v>0.17230000000000001</v>
      </c>
      <c r="H199" s="54">
        <v>1.8E-3</v>
      </c>
      <c r="I199" s="7">
        <v>1.2144999999999999</v>
      </c>
      <c r="K199" s="7">
        <v>0.17399999999999999</v>
      </c>
      <c r="L199" s="7">
        <v>0.17119999999999999</v>
      </c>
      <c r="O199" s="7">
        <v>58.7</v>
      </c>
      <c r="P199" s="7">
        <v>473</v>
      </c>
      <c r="Q199" s="7">
        <v>756.1</v>
      </c>
      <c r="R199" s="4" t="s">
        <v>511</v>
      </c>
      <c r="S199" s="4" t="s">
        <v>580</v>
      </c>
      <c r="T199" s="4"/>
      <c r="U199" s="4" t="s">
        <v>332</v>
      </c>
      <c r="V199" s="4"/>
      <c r="W199" s="4"/>
      <c r="X199" s="4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  <c r="AT199" s="7"/>
      <c r="AU199" s="7"/>
      <c r="AV199" s="4"/>
      <c r="AW199" s="2"/>
      <c r="AX199" s="7"/>
      <c r="AY199" s="4"/>
      <c r="AZ199" s="4">
        <v>113.4</v>
      </c>
      <c r="BA199" s="2"/>
      <c r="BB199" s="2"/>
      <c r="BC199" s="10">
        <v>24.1</v>
      </c>
      <c r="BD199" s="43">
        <v>1012</v>
      </c>
      <c r="BE199" s="71">
        <v>50.2</v>
      </c>
      <c r="BF199" s="45"/>
      <c r="BG199" s="68">
        <v>2096</v>
      </c>
      <c r="BH199" s="2" t="s">
        <v>512</v>
      </c>
      <c r="BI199" s="7"/>
      <c r="BM199"/>
    </row>
    <row r="200" spans="1:65" x14ac:dyDescent="0.3">
      <c r="A200" s="2" t="s">
        <v>43</v>
      </c>
      <c r="B200" s="59" t="s">
        <v>210</v>
      </c>
      <c r="C200" s="3">
        <v>45330</v>
      </c>
      <c r="D200" s="8">
        <v>5</v>
      </c>
      <c r="E200" s="3" t="s">
        <v>526</v>
      </c>
      <c r="F200" s="2" t="s">
        <v>547</v>
      </c>
      <c r="G200" s="7">
        <v>0.17449999999999999</v>
      </c>
      <c r="H200" s="54">
        <v>3.7000000000000002E-3</v>
      </c>
      <c r="I200" s="7">
        <v>1.2144999999999999</v>
      </c>
      <c r="K200" s="7">
        <v>0.17699999999999999</v>
      </c>
      <c r="L200" s="7">
        <v>0.17169999999999999</v>
      </c>
      <c r="O200" s="7">
        <v>60.7</v>
      </c>
      <c r="P200" s="7">
        <v>510</v>
      </c>
      <c r="Q200" s="7">
        <v>755.8</v>
      </c>
      <c r="R200" s="4" t="s">
        <v>559</v>
      </c>
      <c r="S200" s="4" t="s">
        <v>580</v>
      </c>
      <c r="T200" s="4"/>
      <c r="U200" s="4" t="s">
        <v>332</v>
      </c>
      <c r="V200" s="4"/>
      <c r="W200" s="4"/>
      <c r="X200" s="4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  <c r="AT200" s="7"/>
      <c r="AU200" s="7"/>
      <c r="AV200" s="4"/>
      <c r="AW200" s="2"/>
      <c r="AX200" s="7"/>
      <c r="AY200" s="4"/>
      <c r="AZ200" s="4">
        <v>113.4</v>
      </c>
      <c r="BA200" s="2"/>
      <c r="BB200" s="2"/>
      <c r="BC200" s="10">
        <v>27.2</v>
      </c>
      <c r="BD200" s="43">
        <v>1011.3</v>
      </c>
      <c r="BE200" s="71">
        <v>58.9</v>
      </c>
      <c r="BF200" s="45"/>
      <c r="BG200" s="68">
        <v>2096</v>
      </c>
      <c r="BH200" s="2" t="s">
        <v>514</v>
      </c>
      <c r="BI200" s="7"/>
      <c r="BM200"/>
    </row>
    <row r="201" spans="1:65" x14ac:dyDescent="0.3">
      <c r="A201" s="2" t="s">
        <v>43</v>
      </c>
      <c r="B201" s="59" t="s">
        <v>210</v>
      </c>
      <c r="C201" s="3">
        <v>45330</v>
      </c>
      <c r="D201" s="8">
        <v>6</v>
      </c>
      <c r="E201" s="3" t="s">
        <v>525</v>
      </c>
      <c r="F201" s="2" t="s">
        <v>547</v>
      </c>
      <c r="G201" s="7">
        <v>0.1759</v>
      </c>
      <c r="H201" s="54">
        <v>4.4000000000000003E-3</v>
      </c>
      <c r="I201" s="7">
        <v>1.2144999999999999</v>
      </c>
      <c r="K201" s="7">
        <v>0.17599999999999999</v>
      </c>
      <c r="L201" s="7">
        <v>0.17330000000000001</v>
      </c>
      <c r="O201" s="7">
        <v>61</v>
      </c>
      <c r="P201" s="7">
        <v>521</v>
      </c>
      <c r="Q201" s="7">
        <v>755.5</v>
      </c>
      <c r="R201" s="4" t="s">
        <v>511</v>
      </c>
      <c r="S201" s="4" t="s">
        <v>580</v>
      </c>
      <c r="T201" s="4"/>
      <c r="U201" s="4" t="s">
        <v>332</v>
      </c>
      <c r="V201" s="4"/>
      <c r="W201" s="4"/>
      <c r="X201" s="4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  <c r="AT201" s="7"/>
      <c r="AU201" s="7"/>
      <c r="AV201" s="4"/>
      <c r="AW201" s="2"/>
      <c r="AX201" s="7"/>
      <c r="AY201" s="4"/>
      <c r="AZ201" s="4">
        <v>120.6</v>
      </c>
      <c r="BA201" s="2"/>
      <c r="BB201" s="2"/>
      <c r="BC201" s="10">
        <v>24</v>
      </c>
      <c r="BD201" s="43">
        <v>1012.8</v>
      </c>
      <c r="BE201" s="71">
        <v>51.7</v>
      </c>
      <c r="BF201" s="45"/>
      <c r="BG201" s="68">
        <v>2096</v>
      </c>
      <c r="BH201" s="2" t="s">
        <v>515</v>
      </c>
      <c r="BI201" s="7"/>
      <c r="BM201"/>
    </row>
    <row r="202" spans="1:65" x14ac:dyDescent="0.3">
      <c r="A202" s="2" t="s">
        <v>43</v>
      </c>
      <c r="B202" s="59" t="s">
        <v>46</v>
      </c>
      <c r="C202" s="3">
        <v>45330</v>
      </c>
      <c r="D202" s="8">
        <v>1</v>
      </c>
      <c r="E202" s="3" t="s">
        <v>540</v>
      </c>
      <c r="F202" s="2" t="s">
        <v>214</v>
      </c>
      <c r="G202" s="7">
        <v>0.1757</v>
      </c>
      <c r="H202" s="54">
        <v>6.1000000000000004E-3</v>
      </c>
      <c r="I202" s="7">
        <v>1.2450000000000001</v>
      </c>
      <c r="L202" s="7">
        <v>0.17480000000000001</v>
      </c>
      <c r="O202" s="7">
        <v>59.8</v>
      </c>
      <c r="P202" s="7">
        <v>480</v>
      </c>
      <c r="Q202" s="7">
        <v>757.3</v>
      </c>
      <c r="R202" s="4" t="s">
        <v>559</v>
      </c>
      <c r="S202" s="4" t="s">
        <v>580</v>
      </c>
      <c r="T202" s="4"/>
      <c r="U202" s="4" t="s">
        <v>332</v>
      </c>
      <c r="V202" s="4"/>
      <c r="W202" s="4"/>
      <c r="X202" s="4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  <c r="AT202" s="7"/>
      <c r="AU202" s="7"/>
      <c r="AV202" s="4"/>
      <c r="AW202" s="2"/>
      <c r="AX202" s="7"/>
      <c r="AY202" s="4"/>
      <c r="AZ202" s="4">
        <v>120.6</v>
      </c>
      <c r="BA202" s="2"/>
      <c r="BB202" s="2"/>
      <c r="BC202" s="10">
        <v>24</v>
      </c>
      <c r="BD202" s="43">
        <v>1012.8</v>
      </c>
      <c r="BE202" s="71">
        <v>51.7</v>
      </c>
      <c r="BF202" s="45"/>
      <c r="BG202" s="68">
        <v>2096</v>
      </c>
      <c r="BH202" s="2" t="s">
        <v>516</v>
      </c>
      <c r="BI202" s="7"/>
      <c r="BM202"/>
    </row>
    <row r="203" spans="1:65" x14ac:dyDescent="0.3">
      <c r="A203" s="2" t="s">
        <v>43</v>
      </c>
      <c r="B203" s="59" t="s">
        <v>46</v>
      </c>
      <c r="C203" s="3">
        <v>45330</v>
      </c>
      <c r="D203" s="8">
        <v>2</v>
      </c>
      <c r="E203" s="3" t="s">
        <v>539</v>
      </c>
      <c r="F203" s="64" t="s">
        <v>214</v>
      </c>
      <c r="G203" s="7">
        <v>0.1764</v>
      </c>
      <c r="H203" s="54">
        <v>1.1000000000000001E-3</v>
      </c>
      <c r="I203" s="7">
        <v>1.2450000000000001</v>
      </c>
      <c r="K203" s="7">
        <v>0.17499999999999999</v>
      </c>
      <c r="L203" s="7">
        <v>0.17430000000000001</v>
      </c>
      <c r="O203" s="7">
        <v>59.3</v>
      </c>
      <c r="P203" s="7">
        <v>481</v>
      </c>
      <c r="Q203" s="7">
        <v>756.2</v>
      </c>
      <c r="R203" s="4" t="s">
        <v>559</v>
      </c>
      <c r="S203" s="4" t="s">
        <v>580</v>
      </c>
      <c r="T203" s="4"/>
      <c r="U203" s="4" t="s">
        <v>332</v>
      </c>
      <c r="V203" s="4"/>
      <c r="W203" s="4"/>
      <c r="X203" s="4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  <c r="AT203" s="7"/>
      <c r="AU203" s="7"/>
      <c r="AV203" s="4"/>
      <c r="AW203" s="2"/>
      <c r="AX203" s="7"/>
      <c r="AY203" s="4"/>
      <c r="AZ203" s="4">
        <v>120.6</v>
      </c>
      <c r="BA203" s="2"/>
      <c r="BB203" s="2"/>
      <c r="BC203" s="10">
        <v>24</v>
      </c>
      <c r="BD203" s="43">
        <v>1012.3</v>
      </c>
      <c r="BE203" s="71">
        <v>50.9</v>
      </c>
      <c r="BF203" s="45"/>
      <c r="BG203" s="68">
        <v>2096</v>
      </c>
      <c r="BH203" s="2" t="s">
        <v>517</v>
      </c>
      <c r="BI203" s="7"/>
      <c r="BM203"/>
    </row>
    <row r="204" spans="1:65" x14ac:dyDescent="0.3">
      <c r="A204" s="2" t="s">
        <v>43</v>
      </c>
      <c r="B204" s="59" t="s">
        <v>46</v>
      </c>
      <c r="C204" s="3">
        <v>45330</v>
      </c>
      <c r="D204" s="8">
        <v>3</v>
      </c>
      <c r="E204" s="3" t="s">
        <v>538</v>
      </c>
      <c r="F204" s="2" t="s">
        <v>551</v>
      </c>
      <c r="G204" s="7">
        <v>0.1777</v>
      </c>
      <c r="H204" s="54">
        <v>2.2000000000000001E-3</v>
      </c>
      <c r="I204" s="7">
        <v>1.2450000000000001</v>
      </c>
      <c r="K204" s="7">
        <v>0.17299999999999999</v>
      </c>
      <c r="L204" s="7">
        <v>0.17349999999999999</v>
      </c>
      <c r="O204" s="7">
        <v>59.5</v>
      </c>
      <c r="P204" s="7">
        <v>482</v>
      </c>
      <c r="Q204" s="7">
        <v>756.4</v>
      </c>
      <c r="R204" s="4" t="s">
        <v>559</v>
      </c>
      <c r="S204" s="4" t="s">
        <v>580</v>
      </c>
      <c r="T204" s="4"/>
      <c r="U204" s="4" t="s">
        <v>332</v>
      </c>
      <c r="V204" s="4"/>
      <c r="W204" s="4"/>
      <c r="X204" s="4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  <c r="AT204" s="7"/>
      <c r="AU204" s="7"/>
      <c r="AV204" s="4"/>
      <c r="AW204" s="2"/>
      <c r="AX204" s="7"/>
      <c r="AY204" s="4"/>
      <c r="AZ204" s="4">
        <v>120.6</v>
      </c>
      <c r="BA204" s="2"/>
      <c r="BB204" s="2"/>
      <c r="BC204" s="10">
        <v>24.1</v>
      </c>
      <c r="BD204" s="43">
        <v>1012</v>
      </c>
      <c r="BE204" s="71">
        <v>50.2</v>
      </c>
      <c r="BF204" s="45"/>
      <c r="BG204" s="68">
        <v>2096</v>
      </c>
      <c r="BH204" s="2" t="s">
        <v>518</v>
      </c>
      <c r="BI204" s="7"/>
      <c r="BM204"/>
    </row>
    <row r="205" spans="1:65" x14ac:dyDescent="0.3">
      <c r="A205" s="2" t="s">
        <v>43</v>
      </c>
      <c r="B205" s="59" t="s">
        <v>46</v>
      </c>
      <c r="C205" s="3">
        <v>45330</v>
      </c>
      <c r="D205" s="8">
        <v>4</v>
      </c>
      <c r="E205" s="3" t="s">
        <v>537</v>
      </c>
      <c r="F205" s="2" t="s">
        <v>551</v>
      </c>
      <c r="G205" s="7">
        <v>0.18060000000000001</v>
      </c>
      <c r="H205" s="54">
        <v>3.0999999999999999E-3</v>
      </c>
      <c r="I205" s="7">
        <v>1.2450000000000001</v>
      </c>
      <c r="K205" s="7">
        <v>0.17499999999999999</v>
      </c>
      <c r="L205" s="7">
        <v>0.1757</v>
      </c>
      <c r="O205" s="7">
        <v>60.6</v>
      </c>
      <c r="P205" s="7">
        <v>504</v>
      </c>
      <c r="Q205" s="7">
        <v>756.8</v>
      </c>
      <c r="R205" s="4" t="s">
        <v>559</v>
      </c>
      <c r="S205" s="4" t="s">
        <v>580</v>
      </c>
      <c r="T205" s="4"/>
      <c r="U205" s="4" t="s">
        <v>332</v>
      </c>
      <c r="V205" s="4"/>
      <c r="W205" s="4"/>
      <c r="X205" s="4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  <c r="AT205" s="7"/>
      <c r="AU205" s="7"/>
      <c r="AV205" s="4"/>
      <c r="AW205" s="2"/>
      <c r="AX205" s="7"/>
      <c r="AY205" s="4"/>
      <c r="AZ205" s="4">
        <v>120.6</v>
      </c>
      <c r="BA205" s="2"/>
      <c r="BB205" s="2"/>
      <c r="BC205" s="10">
        <v>27.2</v>
      </c>
      <c r="BD205" s="43">
        <v>1011.3</v>
      </c>
      <c r="BE205" s="71">
        <v>58.9</v>
      </c>
      <c r="BF205" s="45"/>
      <c r="BG205" s="68">
        <v>2096</v>
      </c>
      <c r="BH205" s="2" t="s">
        <v>519</v>
      </c>
      <c r="BI205" s="7"/>
      <c r="BM205"/>
    </row>
    <row r="206" spans="1:65" x14ac:dyDescent="0.3">
      <c r="A206" s="2" t="s">
        <v>43</v>
      </c>
      <c r="B206" s="59" t="s">
        <v>46</v>
      </c>
      <c r="C206" s="3">
        <v>45330</v>
      </c>
      <c r="D206" s="8">
        <v>5</v>
      </c>
      <c r="E206" s="3" t="s">
        <v>536</v>
      </c>
      <c r="F206" s="2" t="s">
        <v>551</v>
      </c>
      <c r="G206" s="7">
        <v>0.17330000000000001</v>
      </c>
      <c r="H206" s="54">
        <v>2.2000000000000001E-3</v>
      </c>
      <c r="I206" s="7">
        <v>1.2450000000000001</v>
      </c>
      <c r="K206" s="7">
        <v>0.17100000000000001</v>
      </c>
      <c r="L206" s="7">
        <v>0.16900000000000001</v>
      </c>
      <c r="O206" s="7">
        <v>61.1</v>
      </c>
      <c r="P206" s="7">
        <v>499</v>
      </c>
      <c r="Q206" s="7">
        <v>757.1</v>
      </c>
      <c r="R206" s="4" t="s">
        <v>559</v>
      </c>
      <c r="S206" s="4" t="s">
        <v>580</v>
      </c>
      <c r="T206" s="4"/>
      <c r="U206" s="4" t="s">
        <v>520</v>
      </c>
      <c r="V206" s="4"/>
      <c r="W206" s="4"/>
      <c r="X206" s="4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  <c r="AT206" s="7"/>
      <c r="AU206" s="7"/>
      <c r="AV206" s="4"/>
      <c r="AW206" s="2"/>
      <c r="AX206" s="7"/>
      <c r="AY206" s="4"/>
      <c r="AZ206" s="4">
        <v>120.6</v>
      </c>
      <c r="BA206" s="2"/>
      <c r="BB206" s="2"/>
      <c r="BC206" s="10">
        <v>27.2</v>
      </c>
      <c r="BD206" s="43">
        <v>1011.3</v>
      </c>
      <c r="BE206" s="71">
        <v>58.9</v>
      </c>
      <c r="BF206" s="45"/>
      <c r="BG206" s="68">
        <v>2096</v>
      </c>
      <c r="BH206" s="2" t="s">
        <v>521</v>
      </c>
      <c r="BI206" s="7"/>
      <c r="BM206"/>
    </row>
    <row r="207" spans="1:65" x14ac:dyDescent="0.3">
      <c r="A207" s="2" t="s">
        <v>13</v>
      </c>
      <c r="B207" s="59" t="s">
        <v>14</v>
      </c>
      <c r="C207" s="3">
        <v>45274</v>
      </c>
      <c r="D207" s="8">
        <v>2</v>
      </c>
      <c r="E207" s="3" t="s">
        <v>597</v>
      </c>
      <c r="F207" s="2" t="s">
        <v>556</v>
      </c>
      <c r="G207" s="7">
        <v>0.16289999999999999</v>
      </c>
      <c r="H207" s="54">
        <v>1E-3</v>
      </c>
      <c r="I207" s="7">
        <v>1.2805</v>
      </c>
      <c r="K207" s="7">
        <v>0.16700000000000001</v>
      </c>
      <c r="L207" s="7">
        <v>0.1633</v>
      </c>
      <c r="O207" s="7">
        <v>66.599999999999994</v>
      </c>
      <c r="P207" s="7">
        <v>644</v>
      </c>
      <c r="Q207" s="7">
        <v>758.3</v>
      </c>
      <c r="R207" s="4" t="s">
        <v>356</v>
      </c>
      <c r="S207" s="4" t="s">
        <v>580</v>
      </c>
      <c r="T207" s="4"/>
      <c r="U207" s="4" t="s">
        <v>225</v>
      </c>
      <c r="V207" s="4" t="s">
        <v>226</v>
      </c>
      <c r="W207" s="4"/>
      <c r="X207" s="4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  <c r="AT207" s="7"/>
      <c r="AU207" s="7"/>
      <c r="AV207" s="4"/>
      <c r="AW207" s="2"/>
      <c r="AX207" s="7"/>
      <c r="AY207" s="4"/>
      <c r="AZ207" s="4">
        <v>120.6</v>
      </c>
      <c r="BA207" s="2"/>
      <c r="BB207" s="2"/>
      <c r="BC207" s="10">
        <v>24.3</v>
      </c>
      <c r="BD207" s="43">
        <v>1003</v>
      </c>
      <c r="BE207" s="71">
        <v>49</v>
      </c>
      <c r="BF207" s="45">
        <v>1.169</v>
      </c>
      <c r="BG207" s="62">
        <v>2096</v>
      </c>
      <c r="BH207" s="2"/>
      <c r="BI207" s="7"/>
      <c r="BM207"/>
    </row>
    <row r="208" spans="1:65" x14ac:dyDescent="0.3">
      <c r="A208" s="2" t="s">
        <v>13</v>
      </c>
      <c r="B208" s="59" t="s">
        <v>14</v>
      </c>
      <c r="C208" s="3">
        <v>45274</v>
      </c>
      <c r="D208" s="8">
        <v>3</v>
      </c>
      <c r="E208" s="3" t="s">
        <v>590</v>
      </c>
      <c r="F208" s="2" t="s">
        <v>556</v>
      </c>
      <c r="G208" s="7">
        <v>0.16600000000000001</v>
      </c>
      <c r="H208" s="54">
        <v>5.0000000000000001E-3</v>
      </c>
      <c r="I208" s="7">
        <v>1.2805</v>
      </c>
      <c r="K208" s="7">
        <v>0.16500000000000001</v>
      </c>
      <c r="L208" s="7">
        <v>0.1673</v>
      </c>
      <c r="O208" s="7">
        <v>66</v>
      </c>
      <c r="P208" s="7">
        <v>621</v>
      </c>
      <c r="Q208" s="7">
        <v>757.6</v>
      </c>
      <c r="R208" s="40" t="s">
        <v>568</v>
      </c>
      <c r="S208" s="4" t="s">
        <v>580</v>
      </c>
      <c r="T208" s="4"/>
      <c r="U208" s="4" t="s">
        <v>225</v>
      </c>
      <c r="V208" s="4" t="s">
        <v>226</v>
      </c>
      <c r="W208" s="4"/>
      <c r="X208" s="4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  <c r="AT208" s="7"/>
      <c r="AU208" s="7"/>
      <c r="AV208" s="4"/>
      <c r="AW208" s="2"/>
      <c r="AX208" s="7"/>
      <c r="AY208" s="4"/>
      <c r="AZ208" s="4">
        <v>120.6</v>
      </c>
      <c r="BA208" s="2"/>
      <c r="BB208" s="2"/>
      <c r="BC208" s="10">
        <v>24.6</v>
      </c>
      <c r="BD208" s="43">
        <v>1003</v>
      </c>
      <c r="BE208" s="71">
        <v>49</v>
      </c>
      <c r="BF208" s="45">
        <v>1.167</v>
      </c>
      <c r="BG208" s="62">
        <v>2096</v>
      </c>
      <c r="BH208" s="2"/>
      <c r="BI208" s="7"/>
      <c r="BM208"/>
    </row>
    <row r="209" spans="1:65" x14ac:dyDescent="0.3">
      <c r="A209" s="2" t="s">
        <v>13</v>
      </c>
      <c r="B209" s="59" t="s">
        <v>14</v>
      </c>
      <c r="C209" s="3">
        <v>45274</v>
      </c>
      <c r="D209" s="8">
        <v>4</v>
      </c>
      <c r="E209" s="3" t="s">
        <v>591</v>
      </c>
      <c r="F209" s="2" t="s">
        <v>556</v>
      </c>
      <c r="G209" s="7">
        <v>0.1709</v>
      </c>
      <c r="H209" s="54">
        <v>3.7000000000000002E-3</v>
      </c>
      <c r="I209" s="7">
        <v>1.2805</v>
      </c>
      <c r="K209" s="7">
        <v>0.16700000000000001</v>
      </c>
      <c r="L209" s="7">
        <v>0.1699</v>
      </c>
      <c r="O209" s="7">
        <v>66.099999999999994</v>
      </c>
      <c r="P209" s="7">
        <v>618</v>
      </c>
      <c r="Q209" s="7">
        <v>757.9</v>
      </c>
      <c r="R209" s="40" t="s">
        <v>569</v>
      </c>
      <c r="S209" s="4" t="s">
        <v>580</v>
      </c>
      <c r="T209" s="4"/>
      <c r="U209" s="4" t="s">
        <v>225</v>
      </c>
      <c r="V209" s="4" t="s">
        <v>226</v>
      </c>
      <c r="W209" s="4"/>
      <c r="X209" s="4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  <c r="AT209" s="7"/>
      <c r="AU209" s="7"/>
      <c r="AV209" s="4"/>
      <c r="AW209" s="2"/>
      <c r="AX209" s="7"/>
      <c r="AY209" s="4"/>
      <c r="AZ209" s="4">
        <v>120.6</v>
      </c>
      <c r="BA209" s="2"/>
      <c r="BB209" s="2"/>
      <c r="BC209" s="10">
        <v>25.1</v>
      </c>
      <c r="BD209" s="43">
        <v>1004</v>
      </c>
      <c r="BE209" s="71">
        <v>47</v>
      </c>
      <c r="BF209" s="45">
        <v>1.1659999999999999</v>
      </c>
      <c r="BG209" s="62">
        <v>2096</v>
      </c>
      <c r="BH209" s="2"/>
      <c r="BI209" s="7"/>
      <c r="BM209"/>
    </row>
    <row r="210" spans="1:65" x14ac:dyDescent="0.3">
      <c r="A210" s="2" t="s">
        <v>13</v>
      </c>
      <c r="B210" s="59" t="s">
        <v>14</v>
      </c>
      <c r="C210" s="3">
        <v>45274</v>
      </c>
      <c r="D210" s="8">
        <v>6</v>
      </c>
      <c r="E210" s="3" t="s">
        <v>593</v>
      </c>
      <c r="F210" s="2" t="s">
        <v>556</v>
      </c>
      <c r="G210" s="7">
        <v>0.1641</v>
      </c>
      <c r="H210" s="54">
        <v>3.7000000000000002E-3</v>
      </c>
      <c r="I210" s="7">
        <v>1.2805</v>
      </c>
      <c r="K210" s="7">
        <v>0.16500000000000001</v>
      </c>
      <c r="L210" s="7">
        <v>0.1653</v>
      </c>
      <c r="O210" s="7">
        <v>67.2</v>
      </c>
      <c r="P210" s="7">
        <v>648</v>
      </c>
      <c r="Q210" s="7">
        <v>758.3</v>
      </c>
      <c r="R210" s="4" t="s">
        <v>356</v>
      </c>
      <c r="S210" s="4" t="s">
        <v>580</v>
      </c>
      <c r="T210" s="4"/>
      <c r="U210" s="4" t="s">
        <v>225</v>
      </c>
      <c r="V210" s="4" t="s">
        <v>226</v>
      </c>
      <c r="W210" s="4"/>
      <c r="X210" s="4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  <c r="AT210" s="7"/>
      <c r="AU210" s="7"/>
      <c r="AV210" s="4"/>
      <c r="AW210" s="2"/>
      <c r="AX210" s="7"/>
      <c r="AY210" s="4"/>
      <c r="AZ210" s="4">
        <v>120.6</v>
      </c>
      <c r="BA210" s="2"/>
      <c r="BB210" s="2"/>
      <c r="BC210" s="10">
        <v>26.1</v>
      </c>
      <c r="BD210" s="43">
        <v>1004</v>
      </c>
      <c r="BE210" s="71">
        <v>46</v>
      </c>
      <c r="BF210" s="45">
        <v>1.1619999999999999</v>
      </c>
      <c r="BG210" s="62">
        <v>2096</v>
      </c>
      <c r="BH210" s="2"/>
      <c r="BI210" s="7"/>
      <c r="BM210"/>
    </row>
    <row r="211" spans="1:65" x14ac:dyDescent="0.3">
      <c r="A211" s="2" t="s">
        <v>13</v>
      </c>
      <c r="B211" s="59" t="s">
        <v>14</v>
      </c>
      <c r="C211" s="3">
        <v>45274</v>
      </c>
      <c r="D211" s="8">
        <v>7</v>
      </c>
      <c r="E211" s="3" t="s">
        <v>594</v>
      </c>
      <c r="F211" s="2" t="s">
        <v>556</v>
      </c>
      <c r="G211" s="7">
        <v>0.16800000000000001</v>
      </c>
      <c r="H211" s="54">
        <v>2.2000000000000001E-3</v>
      </c>
      <c r="I211" s="7">
        <v>1.2805</v>
      </c>
      <c r="K211" s="7">
        <v>0.17</v>
      </c>
      <c r="L211" s="7">
        <v>0.17</v>
      </c>
      <c r="O211" s="7">
        <v>66.7</v>
      </c>
      <c r="P211" s="7">
        <v>650</v>
      </c>
      <c r="Q211" s="7">
        <v>758.9</v>
      </c>
      <c r="R211" s="40" t="s">
        <v>568</v>
      </c>
      <c r="S211" s="4" t="s">
        <v>580</v>
      </c>
      <c r="T211" s="4"/>
      <c r="U211" s="4" t="s">
        <v>225</v>
      </c>
      <c r="V211" s="4" t="s">
        <v>226</v>
      </c>
      <c r="W211" s="4"/>
      <c r="X211" s="4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  <c r="AT211" s="7"/>
      <c r="AU211" s="7"/>
      <c r="AV211" s="4"/>
      <c r="AW211" s="2"/>
      <c r="AX211" s="7"/>
      <c r="AY211" s="4"/>
      <c r="AZ211" s="4">
        <v>120.6</v>
      </c>
      <c r="BA211" s="2"/>
      <c r="BB211" s="2"/>
      <c r="BC211" s="10">
        <v>26.1</v>
      </c>
      <c r="BD211" s="43">
        <v>1004</v>
      </c>
      <c r="BE211" s="71">
        <v>46</v>
      </c>
      <c r="BF211" s="45">
        <v>1.1619999999999999</v>
      </c>
      <c r="BG211" s="62">
        <v>2096</v>
      </c>
      <c r="BH211" s="2"/>
      <c r="BI211" s="7"/>
      <c r="BM211"/>
    </row>
    <row r="212" spans="1:65" x14ac:dyDescent="0.3">
      <c r="A212" s="2" t="s">
        <v>13</v>
      </c>
      <c r="B212" s="59" t="s">
        <v>14</v>
      </c>
      <c r="C212" s="3">
        <v>45274</v>
      </c>
      <c r="D212" s="8">
        <v>8</v>
      </c>
      <c r="E212" s="3" t="s">
        <v>595</v>
      </c>
      <c r="F212" s="2" t="s">
        <v>556</v>
      </c>
      <c r="G212" s="7">
        <v>0.17130000000000001</v>
      </c>
      <c r="H212" s="54">
        <v>4.4000000000000003E-3</v>
      </c>
      <c r="I212" s="7">
        <v>1.2805</v>
      </c>
      <c r="K212" s="7">
        <v>0.17100000000000001</v>
      </c>
      <c r="L212" s="7">
        <v>0.17119999999999999</v>
      </c>
      <c r="O212" s="7">
        <v>66.7</v>
      </c>
      <c r="P212" s="7">
        <v>649</v>
      </c>
      <c r="Q212" s="7">
        <v>759</v>
      </c>
      <c r="R212" s="40" t="s">
        <v>569</v>
      </c>
      <c r="S212" s="4" t="s">
        <v>580</v>
      </c>
      <c r="T212" s="4"/>
      <c r="U212" s="4" t="s">
        <v>225</v>
      </c>
      <c r="V212" s="4" t="s">
        <v>226</v>
      </c>
      <c r="W212" s="4"/>
      <c r="X212" s="4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  <c r="AT212" s="7"/>
      <c r="AU212" s="7"/>
      <c r="AV212" s="4"/>
      <c r="AW212" s="2"/>
      <c r="AX212" s="7"/>
      <c r="AY212" s="4"/>
      <c r="AZ212" s="4">
        <v>120.6</v>
      </c>
      <c r="BA212" s="2"/>
      <c r="BB212" s="2"/>
      <c r="BC212" s="10">
        <v>26.1</v>
      </c>
      <c r="BD212" s="43">
        <v>1004</v>
      </c>
      <c r="BE212" s="71">
        <v>46</v>
      </c>
      <c r="BF212" s="45">
        <v>1.1619999999999999</v>
      </c>
      <c r="BG212" s="62">
        <v>2096</v>
      </c>
      <c r="BH212" s="2"/>
      <c r="BI212" s="7"/>
      <c r="BM212"/>
    </row>
    <row r="213" spans="1:65" x14ac:dyDescent="0.3">
      <c r="A213" s="2" t="s">
        <v>43</v>
      </c>
      <c r="B213" s="59" t="s">
        <v>45</v>
      </c>
      <c r="C213" s="3">
        <v>45197</v>
      </c>
      <c r="D213" s="8">
        <v>1</v>
      </c>
      <c r="E213" s="3"/>
      <c r="F213" s="10" t="s">
        <v>22</v>
      </c>
      <c r="H213" s="7"/>
      <c r="L213" s="7">
        <v>0.161</v>
      </c>
      <c r="O213" s="7">
        <v>60.3</v>
      </c>
      <c r="P213" s="7">
        <v>461</v>
      </c>
      <c r="Q213" s="7">
        <v>754.8</v>
      </c>
      <c r="R213" s="4" t="s">
        <v>15</v>
      </c>
      <c r="S213" s="4" t="s">
        <v>15</v>
      </c>
      <c r="T213" s="9" t="s">
        <v>47</v>
      </c>
      <c r="U213" s="4" t="s">
        <v>225</v>
      </c>
      <c r="V213" s="9"/>
      <c r="W213" s="9" t="s">
        <v>49</v>
      </c>
      <c r="X213" s="4" t="s">
        <v>78</v>
      </c>
      <c r="Y213" s="9"/>
      <c r="Z213" s="9"/>
      <c r="AA213" s="9"/>
      <c r="AB213" s="9"/>
      <c r="AC213" s="9"/>
      <c r="AD213" s="9"/>
      <c r="AE213" s="9"/>
      <c r="AF213" s="9"/>
      <c r="AG213" s="9"/>
      <c r="AH213" s="9"/>
      <c r="AI213" s="9"/>
      <c r="AJ213" s="9"/>
      <c r="AK213" s="9"/>
      <c r="AL213" s="9"/>
      <c r="AM213" s="9"/>
      <c r="AN213" s="9"/>
      <c r="AO213" s="9"/>
      <c r="AP213" s="9"/>
      <c r="AQ213" s="9"/>
      <c r="AR213" s="9"/>
      <c r="AS213" s="9"/>
      <c r="AT213" s="9"/>
      <c r="AU213" s="9"/>
      <c r="AV213" s="9">
        <v>71.8</v>
      </c>
      <c r="AW213" s="9">
        <v>8.1999999999999993</v>
      </c>
      <c r="AX213" s="9"/>
      <c r="AY213" s="7">
        <v>200</v>
      </c>
      <c r="AZ213" s="4">
        <v>111.4</v>
      </c>
      <c r="BA213" s="4"/>
      <c r="BB213" s="4"/>
      <c r="BC213" s="12" t="s">
        <v>211</v>
      </c>
      <c r="BD213" s="14">
        <v>997</v>
      </c>
      <c r="BE213" s="57">
        <v>49</v>
      </c>
      <c r="BF213" s="15">
        <v>1.163</v>
      </c>
      <c r="BG213" s="7">
        <v>2096</v>
      </c>
      <c r="BH213" s="4"/>
      <c r="BI213" s="7"/>
      <c r="BM213"/>
    </row>
    <row r="214" spans="1:65" x14ac:dyDescent="0.3">
      <c r="A214" s="2" t="s">
        <v>43</v>
      </c>
      <c r="B214" s="59" t="s">
        <v>45</v>
      </c>
      <c r="C214" s="3">
        <v>45197</v>
      </c>
      <c r="D214" s="8">
        <v>2</v>
      </c>
      <c r="E214" s="3"/>
      <c r="F214" s="10" t="s">
        <v>22</v>
      </c>
      <c r="H214" s="7"/>
      <c r="L214" s="7">
        <v>0.161</v>
      </c>
      <c r="O214" s="7">
        <v>60.4</v>
      </c>
      <c r="P214" s="7">
        <v>470</v>
      </c>
      <c r="Q214" s="7">
        <v>754.6</v>
      </c>
      <c r="R214" s="4" t="s">
        <v>15</v>
      </c>
      <c r="S214" s="4" t="s">
        <v>15</v>
      </c>
      <c r="T214" s="9" t="s">
        <v>47</v>
      </c>
      <c r="U214" s="4" t="s">
        <v>332</v>
      </c>
      <c r="V214" s="9"/>
      <c r="W214" s="9" t="s">
        <v>49</v>
      </c>
      <c r="X214" s="4" t="s">
        <v>78</v>
      </c>
      <c r="Y214" s="9"/>
      <c r="Z214" s="9"/>
      <c r="AA214" s="9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  <c r="AN214" s="9"/>
      <c r="AO214" s="9"/>
      <c r="AP214" s="9"/>
      <c r="AQ214" s="9"/>
      <c r="AR214" s="9"/>
      <c r="AS214" s="9"/>
      <c r="AT214" s="9"/>
      <c r="AU214" s="9"/>
      <c r="AV214" s="9">
        <v>65.900000000000006</v>
      </c>
      <c r="AW214" s="9">
        <v>8</v>
      </c>
      <c r="AX214" s="9" t="e">
        <f>[1]!Track_TT23[[#This Row],[Bike weight ]]+[1]!Track_TT23[[#This Row],[Rider weight ]]</f>
        <v>#REF!</v>
      </c>
      <c r="AY214" s="7">
        <v>200</v>
      </c>
      <c r="AZ214" s="4">
        <v>111.4</v>
      </c>
      <c r="BA214" s="4"/>
      <c r="BB214" s="4"/>
      <c r="BC214" s="12" t="s">
        <v>211</v>
      </c>
      <c r="BD214" s="14">
        <v>997</v>
      </c>
      <c r="BE214" s="57">
        <v>49</v>
      </c>
      <c r="BF214" s="15">
        <v>1.163</v>
      </c>
      <c r="BG214" s="7">
        <v>2096</v>
      </c>
      <c r="BH214" s="4"/>
      <c r="BI214" s="7"/>
      <c r="BM214"/>
    </row>
    <row r="215" spans="1:65" x14ac:dyDescent="0.3">
      <c r="A215" s="2" t="s">
        <v>43</v>
      </c>
      <c r="B215" s="59" t="s">
        <v>45</v>
      </c>
      <c r="C215" s="3">
        <v>45197</v>
      </c>
      <c r="D215" s="8">
        <v>3</v>
      </c>
      <c r="E215" s="3"/>
      <c r="F215" s="10" t="s">
        <v>22</v>
      </c>
      <c r="H215" s="7"/>
      <c r="L215" s="7">
        <v>0.16220000000000001</v>
      </c>
      <c r="O215" s="7">
        <v>60.2</v>
      </c>
      <c r="P215" s="7">
        <v>463</v>
      </c>
      <c r="Q215" s="7">
        <v>754.2</v>
      </c>
      <c r="R215" s="4" t="s">
        <v>15</v>
      </c>
      <c r="S215" s="4" t="s">
        <v>15</v>
      </c>
      <c r="T215" s="9" t="s">
        <v>47</v>
      </c>
      <c r="U215" s="4" t="s">
        <v>576</v>
      </c>
      <c r="V215" s="9"/>
      <c r="W215" s="9" t="s">
        <v>49</v>
      </c>
      <c r="X215" s="4" t="s">
        <v>78</v>
      </c>
      <c r="Y215" s="9"/>
      <c r="Z215" s="9"/>
      <c r="AA215" s="9"/>
      <c r="AB215" s="9"/>
      <c r="AC215" s="9"/>
      <c r="AD215" s="9"/>
      <c r="AE215" s="9"/>
      <c r="AF215" s="9"/>
      <c r="AG215" s="9"/>
      <c r="AH215" s="9"/>
      <c r="AI215" s="9"/>
      <c r="AJ215" s="9"/>
      <c r="AK215" s="9"/>
      <c r="AL215" s="9"/>
      <c r="AM215" s="9"/>
      <c r="AN215" s="9"/>
      <c r="AO215" s="9"/>
      <c r="AP215" s="9"/>
      <c r="AQ215" s="9"/>
      <c r="AR215" s="9"/>
      <c r="AS215" s="9"/>
      <c r="AT215" s="9"/>
      <c r="AU215" s="9"/>
      <c r="AV215" s="9">
        <v>63.5</v>
      </c>
      <c r="AW215" s="9">
        <v>8.1999999999999993</v>
      </c>
      <c r="AX215" s="9" t="e">
        <f>[1]!Track_TT23[[#This Row],[Bike weight ]]+[1]!Track_TT23[[#This Row],[Rider weight ]]</f>
        <v>#REF!</v>
      </c>
      <c r="AY215" s="7">
        <v>200</v>
      </c>
      <c r="AZ215" s="4">
        <v>109.7</v>
      </c>
      <c r="BA215" s="4"/>
      <c r="BB215" s="4"/>
      <c r="BC215" s="16">
        <v>23.9</v>
      </c>
      <c r="BD215" s="17">
        <v>997.1</v>
      </c>
      <c r="BE215" s="16">
        <v>49.6</v>
      </c>
      <c r="BF215" s="15"/>
      <c r="BG215" s="7">
        <v>2096</v>
      </c>
      <c r="BH215" s="13" t="s">
        <v>80</v>
      </c>
      <c r="BI215" s="7"/>
      <c r="BM215"/>
    </row>
    <row r="216" spans="1:65" x14ac:dyDescent="0.3">
      <c r="A216" s="2" t="s">
        <v>43</v>
      </c>
      <c r="B216" s="59" t="s">
        <v>45</v>
      </c>
      <c r="C216" s="3">
        <v>45197</v>
      </c>
      <c r="D216" s="8">
        <v>4</v>
      </c>
      <c r="E216" s="3"/>
      <c r="F216" s="10" t="s">
        <v>22</v>
      </c>
      <c r="H216" s="7"/>
      <c r="L216" s="7">
        <v>0.1608</v>
      </c>
      <c r="O216" s="7">
        <v>60.1</v>
      </c>
      <c r="P216" s="7">
        <v>458</v>
      </c>
      <c r="Q216" s="7">
        <v>754.4</v>
      </c>
      <c r="R216" s="4" t="s">
        <v>15</v>
      </c>
      <c r="S216" s="4" t="s">
        <v>15</v>
      </c>
      <c r="T216" s="9" t="s">
        <v>47</v>
      </c>
      <c r="U216" s="4" t="s">
        <v>225</v>
      </c>
      <c r="V216" s="9"/>
      <c r="W216" s="9" t="s">
        <v>49</v>
      </c>
      <c r="X216" s="4" t="s">
        <v>78</v>
      </c>
      <c r="Y216" s="9"/>
      <c r="Z216" s="9"/>
      <c r="AA216" s="9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  <c r="AN216" s="9"/>
      <c r="AO216" s="9"/>
      <c r="AP216" s="9"/>
      <c r="AQ216" s="9"/>
      <c r="AR216" s="9"/>
      <c r="AS216" s="9"/>
      <c r="AT216" s="9"/>
      <c r="AU216" s="9"/>
      <c r="AV216" s="9">
        <v>71.8</v>
      </c>
      <c r="AW216" s="9">
        <v>8.1999999999999993</v>
      </c>
      <c r="AX216" s="9"/>
      <c r="AY216" s="7">
        <v>200</v>
      </c>
      <c r="AZ216" s="4">
        <v>111.4</v>
      </c>
      <c r="BA216" s="4"/>
      <c r="BB216" s="4"/>
      <c r="BC216" s="12" t="s">
        <v>20</v>
      </c>
      <c r="BD216" s="14">
        <v>997</v>
      </c>
      <c r="BE216" s="57">
        <v>49</v>
      </c>
      <c r="BF216" s="15">
        <v>1.1599999999999999</v>
      </c>
      <c r="BG216" s="7">
        <v>2096</v>
      </c>
      <c r="BH216" s="4"/>
      <c r="BI216" s="7"/>
      <c r="BM216"/>
    </row>
    <row r="217" spans="1:65" x14ac:dyDescent="0.3">
      <c r="A217" s="2" t="s">
        <v>43</v>
      </c>
      <c r="B217" s="59" t="s">
        <v>45</v>
      </c>
      <c r="C217" s="3">
        <v>45197</v>
      </c>
      <c r="D217" s="8">
        <v>5</v>
      </c>
      <c r="E217" s="3"/>
      <c r="F217" s="10" t="s">
        <v>22</v>
      </c>
      <c r="H217" s="7"/>
      <c r="L217" s="7">
        <v>0.16270000000000001</v>
      </c>
      <c r="O217" s="7">
        <v>59.7</v>
      </c>
      <c r="P217" s="7">
        <v>439</v>
      </c>
      <c r="Q217" s="7">
        <v>754.4</v>
      </c>
      <c r="R217" s="4" t="s">
        <v>15</v>
      </c>
      <c r="S217" s="4" t="s">
        <v>15</v>
      </c>
      <c r="T217" s="9" t="s">
        <v>47</v>
      </c>
      <c r="U217" s="9" t="s">
        <v>575</v>
      </c>
      <c r="V217" s="9"/>
      <c r="W217" s="9" t="s">
        <v>49</v>
      </c>
      <c r="X217" s="4" t="s">
        <v>78</v>
      </c>
      <c r="Y217" s="9"/>
      <c r="Z217" s="9"/>
      <c r="AA217" s="9"/>
      <c r="AB217" s="9"/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  <c r="AN217" s="9"/>
      <c r="AO217" s="9"/>
      <c r="AP217" s="9"/>
      <c r="AQ217" s="9"/>
      <c r="AR217" s="9"/>
      <c r="AS217" s="9"/>
      <c r="AT217" s="9"/>
      <c r="AU217" s="9"/>
      <c r="AV217" s="9">
        <v>65.900000000000006</v>
      </c>
      <c r="AW217" s="9">
        <v>8</v>
      </c>
      <c r="AX217" s="9" t="e">
        <f>[1]!Track_TT23[[#This Row],[Bike weight ]]+[1]!Track_TT23[[#This Row],[Rider weight ]]</f>
        <v>#REF!</v>
      </c>
      <c r="AY217" s="7">
        <v>200</v>
      </c>
      <c r="AZ217" s="4">
        <v>111.4</v>
      </c>
      <c r="BA217" s="4"/>
      <c r="BB217" s="4"/>
      <c r="BC217" s="12" t="s">
        <v>27</v>
      </c>
      <c r="BD217" s="14">
        <v>997</v>
      </c>
      <c r="BE217" s="57">
        <v>49</v>
      </c>
      <c r="BF217" s="15">
        <v>1.161</v>
      </c>
      <c r="BG217" s="7">
        <v>2096</v>
      </c>
      <c r="BH217" s="4"/>
      <c r="BI217" s="7"/>
      <c r="BM217"/>
    </row>
    <row r="218" spans="1:65" x14ac:dyDescent="0.3">
      <c r="A218" s="2" t="s">
        <v>43</v>
      </c>
      <c r="B218" s="59" t="s">
        <v>45</v>
      </c>
      <c r="C218" s="3">
        <v>45197</v>
      </c>
      <c r="D218" s="8">
        <v>6</v>
      </c>
      <c r="E218" s="3"/>
      <c r="F218" s="10" t="s">
        <v>22</v>
      </c>
      <c r="H218" s="7"/>
      <c r="L218" s="7">
        <v>0.16309999999999999</v>
      </c>
      <c r="O218" s="7">
        <v>60</v>
      </c>
      <c r="P218" s="7">
        <v>446</v>
      </c>
      <c r="Q218" s="7">
        <v>754.6</v>
      </c>
      <c r="R218" s="4" t="s">
        <v>15</v>
      </c>
      <c r="S218" s="4" t="s">
        <v>15</v>
      </c>
      <c r="T218" s="9" t="s">
        <v>47</v>
      </c>
      <c r="U218" s="4" t="s">
        <v>576</v>
      </c>
      <c r="V218" s="9"/>
      <c r="W218" s="9" t="s">
        <v>49</v>
      </c>
      <c r="X218" s="4" t="s">
        <v>78</v>
      </c>
      <c r="Y218" s="9"/>
      <c r="Z218" s="9"/>
      <c r="AA218" s="9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  <c r="AN218" s="9"/>
      <c r="AO218" s="9"/>
      <c r="AP218" s="9"/>
      <c r="AQ218" s="9"/>
      <c r="AR218" s="9"/>
      <c r="AS218" s="9"/>
      <c r="AT218" s="9"/>
      <c r="AU218" s="9"/>
      <c r="AV218" s="9">
        <v>63.6</v>
      </c>
      <c r="AW218" s="9">
        <v>8.1999999999999993</v>
      </c>
      <c r="AX218" s="9" t="e">
        <f>[1]!Track_TT23[[#This Row],[Bike weight ]]+[1]!Track_TT23[[#This Row],[Rider weight ]]</f>
        <v>#REF!</v>
      </c>
      <c r="AY218" s="7">
        <v>200</v>
      </c>
      <c r="AZ218" s="4">
        <v>109.7</v>
      </c>
      <c r="BA218" s="4"/>
      <c r="BB218" s="4"/>
      <c r="BC218" s="16">
        <v>24.5</v>
      </c>
      <c r="BD218" s="17">
        <v>997</v>
      </c>
      <c r="BE218" s="16">
        <v>48</v>
      </c>
      <c r="BF218" s="15"/>
      <c r="BG218" s="7">
        <v>2096</v>
      </c>
      <c r="BH218" s="13" t="s">
        <v>81</v>
      </c>
      <c r="BI218" s="7"/>
      <c r="BM218"/>
    </row>
    <row r="219" spans="1:65" x14ac:dyDescent="0.3">
      <c r="A219" s="2" t="s">
        <v>43</v>
      </c>
      <c r="B219" s="59" t="s">
        <v>46</v>
      </c>
      <c r="C219" s="3">
        <v>45197</v>
      </c>
      <c r="D219" s="8">
        <v>1</v>
      </c>
      <c r="E219" s="3"/>
      <c r="F219" s="10" t="s">
        <v>22</v>
      </c>
      <c r="H219" s="7"/>
      <c r="L219" s="7">
        <v>0.17150000000000001</v>
      </c>
      <c r="O219" s="7">
        <v>57.5</v>
      </c>
      <c r="P219" s="7">
        <v>440</v>
      </c>
      <c r="Q219" s="7">
        <v>750</v>
      </c>
      <c r="R219" s="4" t="s">
        <v>15</v>
      </c>
      <c r="S219" s="4" t="s">
        <v>15</v>
      </c>
      <c r="T219" s="9"/>
      <c r="U219" s="4" t="s">
        <v>332</v>
      </c>
      <c r="V219" s="9"/>
      <c r="W219" s="9" t="s">
        <v>49</v>
      </c>
      <c r="X219" s="4" t="s">
        <v>78</v>
      </c>
      <c r="Y219" s="9"/>
      <c r="Z219" s="9"/>
      <c r="AA219" s="9"/>
      <c r="AB219" s="9"/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  <c r="AN219" s="9"/>
      <c r="AO219" s="9"/>
      <c r="AP219" s="9"/>
      <c r="AQ219" s="9"/>
      <c r="AR219" s="9"/>
      <c r="AS219" s="9"/>
      <c r="AT219" s="9"/>
      <c r="AU219" s="9"/>
      <c r="AV219" s="9">
        <v>71.599999999999994</v>
      </c>
      <c r="AW219" s="9">
        <v>8.1999999999999993</v>
      </c>
      <c r="AX219" s="9" t="e">
        <f>[1]!Track_TT23[[#This Row],[Bike weight ]]+[1]!Track_TT23[[#This Row],[Rider weight ]]</f>
        <v>#REF!</v>
      </c>
      <c r="AY219" s="7">
        <v>200</v>
      </c>
      <c r="AZ219" s="4">
        <v>111.4</v>
      </c>
      <c r="BA219" s="4"/>
      <c r="BB219" s="4"/>
      <c r="BC219" s="12" t="s">
        <v>29</v>
      </c>
      <c r="BD219" s="14">
        <v>995</v>
      </c>
      <c r="BE219" s="57">
        <v>47</v>
      </c>
      <c r="BF219" s="15">
        <v>1.157</v>
      </c>
      <c r="BG219" s="7">
        <v>2096</v>
      </c>
      <c r="BH219" s="4"/>
      <c r="BI219" s="7"/>
      <c r="BM219"/>
    </row>
    <row r="220" spans="1:65" x14ac:dyDescent="0.3">
      <c r="A220" s="2" t="s">
        <v>43</v>
      </c>
      <c r="B220" s="59" t="s">
        <v>46</v>
      </c>
      <c r="C220" s="3">
        <v>45197</v>
      </c>
      <c r="D220" s="8">
        <v>2</v>
      </c>
      <c r="E220" s="3"/>
      <c r="F220" s="10" t="s">
        <v>22</v>
      </c>
      <c r="H220" s="7"/>
      <c r="L220" s="7">
        <v>0.16969999999999999</v>
      </c>
      <c r="O220" s="7">
        <v>56.9</v>
      </c>
      <c r="P220" s="7">
        <v>416</v>
      </c>
      <c r="Q220" s="7">
        <v>750</v>
      </c>
      <c r="R220" s="4" t="s">
        <v>15</v>
      </c>
      <c r="S220" s="4" t="s">
        <v>15</v>
      </c>
      <c r="T220" s="9"/>
      <c r="U220" s="9" t="s">
        <v>574</v>
      </c>
      <c r="V220" s="9"/>
      <c r="W220" s="9" t="s">
        <v>49</v>
      </c>
      <c r="X220" s="4" t="s">
        <v>78</v>
      </c>
      <c r="Y220" s="9"/>
      <c r="Z220" s="9"/>
      <c r="AA220" s="9"/>
      <c r="AB220" s="9"/>
      <c r="AC220" s="9"/>
      <c r="AD220" s="9"/>
      <c r="AE220" s="9"/>
      <c r="AF220" s="9"/>
      <c r="AG220" s="9"/>
      <c r="AH220" s="9"/>
      <c r="AI220" s="9"/>
      <c r="AJ220" s="9"/>
      <c r="AK220" s="9"/>
      <c r="AL220" s="9"/>
      <c r="AM220" s="9"/>
      <c r="AN220" s="9"/>
      <c r="AO220" s="9"/>
      <c r="AP220" s="9"/>
      <c r="AQ220" s="9"/>
      <c r="AR220" s="9"/>
      <c r="AS220" s="9"/>
      <c r="AT220" s="9"/>
      <c r="AU220" s="9"/>
      <c r="AV220" s="9">
        <v>65.8</v>
      </c>
      <c r="AW220" s="9">
        <v>8</v>
      </c>
      <c r="AX220" s="9" t="e">
        <f>[1]!Track_TT23[[#This Row],[Bike weight ]]+[1]!Track_TT23[[#This Row],[Rider weight ]]</f>
        <v>#REF!</v>
      </c>
      <c r="AY220" s="7">
        <v>200</v>
      </c>
      <c r="AZ220" s="4">
        <v>111.4</v>
      </c>
      <c r="BA220" s="4"/>
      <c r="BB220" s="4"/>
      <c r="BC220" s="12" t="s">
        <v>29</v>
      </c>
      <c r="BD220" s="14">
        <v>996</v>
      </c>
      <c r="BE220" s="57">
        <v>47</v>
      </c>
      <c r="BF220" s="15">
        <v>1.157</v>
      </c>
      <c r="BG220" s="7">
        <v>2096</v>
      </c>
      <c r="BH220" s="4"/>
      <c r="BI220" s="7"/>
      <c r="BM220"/>
    </row>
    <row r="221" spans="1:65" x14ac:dyDescent="0.3">
      <c r="A221" s="2" t="s">
        <v>43</v>
      </c>
      <c r="B221" s="59" t="s">
        <v>46</v>
      </c>
      <c r="C221" s="3">
        <v>45197</v>
      </c>
      <c r="D221" s="8">
        <v>3</v>
      </c>
      <c r="E221" s="3"/>
      <c r="F221" s="10" t="s">
        <v>22</v>
      </c>
      <c r="H221" s="7"/>
      <c r="L221" s="7">
        <v>0.1729</v>
      </c>
      <c r="O221" s="7">
        <v>56.2</v>
      </c>
      <c r="P221" s="7">
        <v>400</v>
      </c>
      <c r="Q221" s="7">
        <v>750</v>
      </c>
      <c r="R221" s="4" t="s">
        <v>15</v>
      </c>
      <c r="S221" s="4" t="s">
        <v>15</v>
      </c>
      <c r="T221" s="9"/>
      <c r="U221" s="9" t="s">
        <v>575</v>
      </c>
      <c r="V221" s="9"/>
      <c r="W221" s="9" t="s">
        <v>49</v>
      </c>
      <c r="X221" s="4" t="s">
        <v>78</v>
      </c>
      <c r="Y221" s="9"/>
      <c r="Z221" s="9"/>
      <c r="AA221" s="9"/>
      <c r="AB221" s="9"/>
      <c r="AC221" s="9"/>
      <c r="AD221" s="9"/>
      <c r="AE221" s="9"/>
      <c r="AF221" s="9"/>
      <c r="AG221" s="9"/>
      <c r="AH221" s="9"/>
      <c r="AI221" s="9"/>
      <c r="AJ221" s="9"/>
      <c r="AK221" s="9"/>
      <c r="AL221" s="9"/>
      <c r="AM221" s="9"/>
      <c r="AN221" s="9"/>
      <c r="AO221" s="9"/>
      <c r="AP221" s="9"/>
      <c r="AQ221" s="9"/>
      <c r="AR221" s="9"/>
      <c r="AS221" s="9"/>
      <c r="AT221" s="9"/>
      <c r="AU221" s="9"/>
      <c r="AV221" s="9">
        <v>63.5</v>
      </c>
      <c r="AW221" s="9">
        <v>8.1999999999999993</v>
      </c>
      <c r="AX221" s="9" t="e">
        <f>[1]!Track_TT23[[#This Row],[Bike weight ]]+[1]!Track_TT23[[#This Row],[Rider weight ]]</f>
        <v>#REF!</v>
      </c>
      <c r="AY221" s="7">
        <v>200</v>
      </c>
      <c r="AZ221" s="4">
        <v>109.7</v>
      </c>
      <c r="BA221" s="4"/>
      <c r="BB221" s="4"/>
      <c r="BC221" s="16">
        <v>24.9</v>
      </c>
      <c r="BD221" s="17">
        <v>997</v>
      </c>
      <c r="BE221" s="16">
        <v>45</v>
      </c>
      <c r="BF221" s="15"/>
      <c r="BG221" s="7">
        <v>2096</v>
      </c>
      <c r="BH221" s="13" t="s">
        <v>83</v>
      </c>
      <c r="BI221" s="7"/>
      <c r="BM221"/>
    </row>
    <row r="222" spans="1:65" x14ac:dyDescent="0.3">
      <c r="A222" s="2" t="s">
        <v>43</v>
      </c>
      <c r="B222" s="59" t="s">
        <v>46</v>
      </c>
      <c r="C222" s="3">
        <v>45197</v>
      </c>
      <c r="D222" s="8">
        <v>4</v>
      </c>
      <c r="E222" s="3"/>
      <c r="F222" s="10" t="s">
        <v>22</v>
      </c>
      <c r="H222" s="7"/>
      <c r="L222" s="7">
        <v>0.16889999999999999</v>
      </c>
      <c r="O222" s="7">
        <v>58</v>
      </c>
      <c r="P222" s="7">
        <v>435</v>
      </c>
      <c r="Q222" s="7">
        <v>750</v>
      </c>
      <c r="R222" s="4" t="s">
        <v>15</v>
      </c>
      <c r="S222" s="4" t="s">
        <v>15</v>
      </c>
      <c r="T222" s="9"/>
      <c r="U222" s="4" t="s">
        <v>332</v>
      </c>
      <c r="V222" s="9"/>
      <c r="W222" s="9" t="s">
        <v>49</v>
      </c>
      <c r="X222" s="4" t="s">
        <v>78</v>
      </c>
      <c r="Y222" s="9"/>
      <c r="Z222" s="9"/>
      <c r="AA222" s="9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  <c r="AN222" s="9"/>
      <c r="AO222" s="9"/>
      <c r="AP222" s="9"/>
      <c r="AQ222" s="9"/>
      <c r="AR222" s="9"/>
      <c r="AS222" s="9"/>
      <c r="AT222" s="9"/>
      <c r="AU222" s="9"/>
      <c r="AV222" s="9">
        <v>71.5</v>
      </c>
      <c r="AW222" s="9">
        <v>8.1999999999999993</v>
      </c>
      <c r="AX222" s="9" t="e">
        <f>[1]!Track_TT23[[#This Row],[Bike weight ]]+[1]!Track_TT23[[#This Row],[Rider weight ]]</f>
        <v>#REF!</v>
      </c>
      <c r="AY222" s="7">
        <v>200</v>
      </c>
      <c r="AZ222" s="4">
        <v>111.4</v>
      </c>
      <c r="BA222" s="4"/>
      <c r="BB222" s="4"/>
      <c r="BC222" s="12" t="s">
        <v>19</v>
      </c>
      <c r="BD222" s="14">
        <v>995</v>
      </c>
      <c r="BE222" s="57">
        <v>47</v>
      </c>
      <c r="BF222" s="15">
        <v>1.157</v>
      </c>
      <c r="BG222" s="7">
        <v>2096</v>
      </c>
      <c r="BH222" s="4"/>
      <c r="BI222" s="7"/>
      <c r="BM222"/>
    </row>
    <row r="223" spans="1:65" x14ac:dyDescent="0.3">
      <c r="A223" s="2" t="s">
        <v>43</v>
      </c>
      <c r="B223" s="59" t="s">
        <v>46</v>
      </c>
      <c r="C223" s="3">
        <v>45197</v>
      </c>
      <c r="D223" s="8">
        <v>5</v>
      </c>
      <c r="E223" s="3"/>
      <c r="F223" s="10" t="s">
        <v>22</v>
      </c>
      <c r="H223" s="7"/>
      <c r="L223" s="7">
        <v>0.16420000000000001</v>
      </c>
      <c r="O223" s="7">
        <v>58.6</v>
      </c>
      <c r="P223" s="7">
        <v>436</v>
      </c>
      <c r="Q223" s="7">
        <v>750</v>
      </c>
      <c r="R223" s="4" t="s">
        <v>15</v>
      </c>
      <c r="S223" s="4" t="s">
        <v>15</v>
      </c>
      <c r="T223" s="9"/>
      <c r="U223" s="9" t="s">
        <v>574</v>
      </c>
      <c r="V223" s="9"/>
      <c r="W223" s="9" t="s">
        <v>49</v>
      </c>
      <c r="X223" s="4" t="s">
        <v>78</v>
      </c>
      <c r="Y223" s="9"/>
      <c r="Z223" s="9"/>
      <c r="AA223" s="9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  <c r="AN223" s="9"/>
      <c r="AO223" s="9"/>
      <c r="AP223" s="9"/>
      <c r="AQ223" s="9"/>
      <c r="AR223" s="9"/>
      <c r="AS223" s="9"/>
      <c r="AT223" s="9"/>
      <c r="AU223" s="9"/>
      <c r="AV223" s="9">
        <v>65.7</v>
      </c>
      <c r="AW223" s="9">
        <v>8</v>
      </c>
      <c r="AX223" s="9" t="e">
        <f>[1]!Track_TT23[[#This Row],[Bike weight ]]+[1]!Track_TT23[[#This Row],[Rider weight ]]</f>
        <v>#REF!</v>
      </c>
      <c r="AY223" s="7">
        <v>200</v>
      </c>
      <c r="AZ223" s="4">
        <v>111.4</v>
      </c>
      <c r="BA223" s="4"/>
      <c r="BB223" s="4"/>
      <c r="BC223" s="12" t="s">
        <v>18</v>
      </c>
      <c r="BD223" s="14">
        <v>995</v>
      </c>
      <c r="BE223" s="57">
        <v>47</v>
      </c>
      <c r="BF223" s="15">
        <v>1.1579999999999999</v>
      </c>
      <c r="BG223" s="7">
        <v>2096</v>
      </c>
      <c r="BH223" s="4"/>
      <c r="BI223" s="7"/>
      <c r="BM223"/>
    </row>
    <row r="224" spans="1:65" x14ac:dyDescent="0.3">
      <c r="A224" s="2" t="s">
        <v>43</v>
      </c>
      <c r="B224" s="59" t="s">
        <v>46</v>
      </c>
      <c r="C224" s="3">
        <v>45197</v>
      </c>
      <c r="D224" s="8">
        <v>6</v>
      </c>
      <c r="E224" s="3"/>
      <c r="F224" s="10" t="s">
        <v>22</v>
      </c>
      <c r="H224" s="7"/>
      <c r="L224" s="7">
        <v>0.1757</v>
      </c>
      <c r="O224" s="7">
        <v>57.9</v>
      </c>
      <c r="P224" s="7">
        <v>423</v>
      </c>
      <c r="Q224" s="7">
        <v>750</v>
      </c>
      <c r="R224" s="4" t="s">
        <v>15</v>
      </c>
      <c r="S224" s="4" t="s">
        <v>15</v>
      </c>
      <c r="T224" s="9"/>
      <c r="U224" s="9" t="s">
        <v>575</v>
      </c>
      <c r="V224" s="9"/>
      <c r="W224" s="9" t="s">
        <v>49</v>
      </c>
      <c r="X224" s="4" t="s">
        <v>78</v>
      </c>
      <c r="Y224" s="9"/>
      <c r="Z224" s="9"/>
      <c r="AA224" s="9"/>
      <c r="AB224" s="9"/>
      <c r="AC224" s="9"/>
      <c r="AD224" s="9"/>
      <c r="AE224" s="9"/>
      <c r="AF224" s="9"/>
      <c r="AG224" s="9"/>
      <c r="AH224" s="9"/>
      <c r="AI224" s="9"/>
      <c r="AJ224" s="9"/>
      <c r="AK224" s="9"/>
      <c r="AL224" s="9"/>
      <c r="AM224" s="9"/>
      <c r="AN224" s="9"/>
      <c r="AO224" s="9"/>
      <c r="AP224" s="9"/>
      <c r="AQ224" s="9"/>
      <c r="AR224" s="9"/>
      <c r="AS224" s="9"/>
      <c r="AT224" s="9"/>
      <c r="AU224" s="9"/>
      <c r="AV224" s="9">
        <v>63.5</v>
      </c>
      <c r="AW224" s="9">
        <v>8.1999999999999993</v>
      </c>
      <c r="AX224" s="9" t="e">
        <f>[1]!Track_TT23[[#This Row],[Bike weight ]]+[1]!Track_TT23[[#This Row],[Rider weight ]]</f>
        <v>#REF!</v>
      </c>
      <c r="AY224" s="7">
        <v>200</v>
      </c>
      <c r="AZ224" s="4">
        <v>109.7</v>
      </c>
      <c r="BA224" s="4"/>
      <c r="BB224" s="4"/>
      <c r="BC224" s="16">
        <v>24.8</v>
      </c>
      <c r="BD224" s="17">
        <v>997</v>
      </c>
      <c r="BE224" s="16">
        <v>45</v>
      </c>
      <c r="BF224" s="15"/>
      <c r="BG224" s="7">
        <v>2096</v>
      </c>
      <c r="BH224" s="13" t="s">
        <v>84</v>
      </c>
      <c r="BI224" s="7"/>
      <c r="BM224"/>
    </row>
    <row r="225" spans="1:65" x14ac:dyDescent="0.3">
      <c r="A225" s="2" t="s">
        <v>43</v>
      </c>
      <c r="B225" s="59" t="s">
        <v>45</v>
      </c>
      <c r="C225" s="3">
        <v>45219</v>
      </c>
      <c r="D225" s="8">
        <v>1</v>
      </c>
      <c r="E225" s="3" t="s">
        <v>115</v>
      </c>
      <c r="F225" s="2" t="s">
        <v>213</v>
      </c>
      <c r="H225" s="7"/>
      <c r="L225" s="7">
        <v>0.15809999999999999</v>
      </c>
      <c r="O225" s="7">
        <v>57.7</v>
      </c>
      <c r="P225" s="7">
        <v>426</v>
      </c>
      <c r="Q225" s="7">
        <v>750</v>
      </c>
      <c r="R225" s="4" t="s">
        <v>15</v>
      </c>
      <c r="S225" s="4" t="s">
        <v>15</v>
      </c>
      <c r="T225" s="4" t="s">
        <v>47</v>
      </c>
      <c r="U225" s="4" t="s">
        <v>225</v>
      </c>
      <c r="V225" s="4"/>
      <c r="W225" s="9" t="s">
        <v>49</v>
      </c>
      <c r="X225" s="4" t="s">
        <v>78</v>
      </c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>
        <v>72</v>
      </c>
      <c r="AW225" s="4">
        <v>7.9</v>
      </c>
      <c r="AX225" s="9"/>
      <c r="AY225" s="7">
        <v>200</v>
      </c>
      <c r="AZ225" s="4">
        <v>111.6</v>
      </c>
      <c r="BA225" s="4"/>
      <c r="BB225" s="4"/>
      <c r="BC225" s="18">
        <v>24.9</v>
      </c>
      <c r="BD225" s="19">
        <v>1013</v>
      </c>
      <c r="BE225" s="18">
        <v>52.4</v>
      </c>
      <c r="BF225" s="20"/>
      <c r="BG225" s="4"/>
      <c r="BH225" s="4"/>
      <c r="BI225" s="7"/>
      <c r="BM225"/>
    </row>
    <row r="226" spans="1:65" x14ac:dyDescent="0.3">
      <c r="A226" s="2" t="s">
        <v>43</v>
      </c>
      <c r="B226" s="59" t="s">
        <v>45</v>
      </c>
      <c r="C226" s="3">
        <v>45219</v>
      </c>
      <c r="D226" s="8">
        <v>2</v>
      </c>
      <c r="E226" s="3" t="s">
        <v>116</v>
      </c>
      <c r="F226" s="2" t="s">
        <v>581</v>
      </c>
      <c r="H226" s="7"/>
      <c r="L226" s="7">
        <v>0.16009999999999999</v>
      </c>
      <c r="O226" s="7">
        <v>59.6</v>
      </c>
      <c r="P226" s="7">
        <v>452</v>
      </c>
      <c r="Q226" s="7">
        <v>750</v>
      </c>
      <c r="R226" s="4" t="s">
        <v>15</v>
      </c>
      <c r="S226" s="4" t="s">
        <v>15</v>
      </c>
      <c r="T226" s="4" t="s">
        <v>47</v>
      </c>
      <c r="U226" s="4" t="s">
        <v>225</v>
      </c>
      <c r="V226" s="4"/>
      <c r="W226" s="9" t="s">
        <v>49</v>
      </c>
      <c r="X226" s="4" t="s">
        <v>78</v>
      </c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>
        <v>66.099999999999994</v>
      </c>
      <c r="AW226" s="4">
        <v>8</v>
      </c>
      <c r="AX226" s="9"/>
      <c r="AY226" s="7">
        <v>200</v>
      </c>
      <c r="AZ226" s="4">
        <v>111.6</v>
      </c>
      <c r="BA226" s="4"/>
      <c r="BB226" s="4"/>
      <c r="BC226" s="18">
        <v>24.9</v>
      </c>
      <c r="BD226" s="19">
        <v>1013</v>
      </c>
      <c r="BE226" s="19">
        <v>52.4</v>
      </c>
      <c r="BF226" s="20"/>
      <c r="BG226" s="4"/>
      <c r="BH226" s="4"/>
      <c r="BK226" s="7"/>
      <c r="BM226"/>
    </row>
    <row r="227" spans="1:65" x14ac:dyDescent="0.3">
      <c r="A227" s="2" t="s">
        <v>43</v>
      </c>
      <c r="B227" s="59" t="s">
        <v>45</v>
      </c>
      <c r="C227" s="3">
        <v>45219</v>
      </c>
      <c r="D227" s="8">
        <v>3</v>
      </c>
      <c r="E227" s="3" t="s">
        <v>117</v>
      </c>
      <c r="F227" s="2" t="s">
        <v>582</v>
      </c>
      <c r="H227" s="7"/>
      <c r="L227" s="7">
        <v>0.158</v>
      </c>
      <c r="O227" s="7">
        <v>59.3</v>
      </c>
      <c r="P227" s="7">
        <v>441</v>
      </c>
      <c r="Q227" s="7">
        <v>750</v>
      </c>
      <c r="R227" s="4" t="s">
        <v>15</v>
      </c>
      <c r="S227" s="4" t="s">
        <v>15</v>
      </c>
      <c r="T227" s="4" t="s">
        <v>47</v>
      </c>
      <c r="U227" s="4" t="s">
        <v>225</v>
      </c>
      <c r="V227" s="4"/>
      <c r="W227" s="9" t="s">
        <v>49</v>
      </c>
      <c r="X227" s="4" t="s">
        <v>78</v>
      </c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>
        <v>75.8</v>
      </c>
      <c r="AW227" s="4">
        <v>8.1</v>
      </c>
      <c r="AX227" s="9"/>
      <c r="AY227" s="7">
        <v>200</v>
      </c>
      <c r="AZ227" s="4"/>
      <c r="BA227" s="4"/>
      <c r="BB227" s="4"/>
      <c r="BC227" s="16">
        <v>24.9</v>
      </c>
      <c r="BD227" s="17">
        <v>1013</v>
      </c>
      <c r="BE227" s="17">
        <v>52.4</v>
      </c>
      <c r="BF227" s="15"/>
      <c r="BG227" s="4"/>
      <c r="BH227" s="4"/>
      <c r="BK227" s="7"/>
      <c r="BM227"/>
    </row>
    <row r="228" spans="1:65" x14ac:dyDescent="0.3">
      <c r="A228" s="2" t="s">
        <v>43</v>
      </c>
      <c r="B228" s="59" t="s">
        <v>45</v>
      </c>
      <c r="C228" s="3">
        <v>45219</v>
      </c>
      <c r="D228" s="8">
        <v>4</v>
      </c>
      <c r="E228" s="3" t="s">
        <v>118</v>
      </c>
      <c r="F228" s="2" t="s">
        <v>213</v>
      </c>
      <c r="H228" s="7"/>
      <c r="L228" s="7">
        <v>0.16170000000000001</v>
      </c>
      <c r="O228" s="7">
        <v>59.3</v>
      </c>
      <c r="P228" s="7">
        <v>432</v>
      </c>
      <c r="Q228" s="7">
        <v>750</v>
      </c>
      <c r="R228" s="4" t="s">
        <v>15</v>
      </c>
      <c r="S228" s="4" t="s">
        <v>15</v>
      </c>
      <c r="T228" s="4" t="s">
        <v>47</v>
      </c>
      <c r="U228" s="4" t="s">
        <v>225</v>
      </c>
      <c r="V228" s="4"/>
      <c r="W228" s="9" t="s">
        <v>49</v>
      </c>
      <c r="X228" s="4" t="s">
        <v>78</v>
      </c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>
        <v>72</v>
      </c>
      <c r="AW228" s="4">
        <v>7.9</v>
      </c>
      <c r="AX228" s="9"/>
      <c r="AY228" s="7">
        <v>200</v>
      </c>
      <c r="AZ228" s="4">
        <v>111.6</v>
      </c>
      <c r="BA228" s="4"/>
      <c r="BB228" s="4"/>
      <c r="BC228" s="18">
        <v>24.9</v>
      </c>
      <c r="BD228" s="19">
        <v>1013</v>
      </c>
      <c r="BE228" s="19">
        <v>52.4</v>
      </c>
      <c r="BF228" s="20"/>
      <c r="BG228" s="4"/>
      <c r="BH228" s="4"/>
      <c r="BK228" s="7"/>
      <c r="BM228"/>
    </row>
    <row r="229" spans="1:65" x14ac:dyDescent="0.3">
      <c r="A229" s="2" t="s">
        <v>43</v>
      </c>
      <c r="B229" s="59" t="s">
        <v>45</v>
      </c>
      <c r="C229" s="3">
        <v>45219</v>
      </c>
      <c r="D229" s="8">
        <v>5</v>
      </c>
      <c r="E229" s="3" t="s">
        <v>119</v>
      </c>
      <c r="F229" s="2" t="s">
        <v>581</v>
      </c>
      <c r="H229" s="7"/>
      <c r="L229" s="7">
        <v>0.1595</v>
      </c>
      <c r="O229" s="7">
        <v>59.6</v>
      </c>
      <c r="P229" s="7">
        <v>434</v>
      </c>
      <c r="Q229" s="7">
        <v>750</v>
      </c>
      <c r="R229" s="4" t="s">
        <v>15</v>
      </c>
      <c r="S229" s="4" t="s">
        <v>15</v>
      </c>
      <c r="T229" s="4" t="s">
        <v>47</v>
      </c>
      <c r="U229" s="4" t="s">
        <v>225</v>
      </c>
      <c r="V229" s="4"/>
      <c r="W229" s="9" t="s">
        <v>49</v>
      </c>
      <c r="X229" s="4" t="s">
        <v>78</v>
      </c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>
        <v>66.099999999999994</v>
      </c>
      <c r="AW229" s="4">
        <v>8</v>
      </c>
      <c r="AX229" s="9"/>
      <c r="AY229" s="7">
        <v>200</v>
      </c>
      <c r="AZ229" s="4">
        <v>111.6</v>
      </c>
      <c r="BA229" s="4"/>
      <c r="BB229" s="4"/>
      <c r="BC229" s="18">
        <v>24.9</v>
      </c>
      <c r="BD229" s="19">
        <v>1013</v>
      </c>
      <c r="BE229" s="19">
        <v>52.4</v>
      </c>
      <c r="BF229" s="20"/>
      <c r="BG229" s="4"/>
      <c r="BH229" s="4"/>
      <c r="BK229" s="7"/>
      <c r="BM229"/>
    </row>
    <row r="230" spans="1:65" x14ac:dyDescent="0.3">
      <c r="A230" s="2" t="s">
        <v>43</v>
      </c>
      <c r="B230" s="59" t="s">
        <v>45</v>
      </c>
      <c r="C230" s="3">
        <v>45219</v>
      </c>
      <c r="D230" s="8">
        <v>6</v>
      </c>
      <c r="E230" s="3" t="s">
        <v>120</v>
      </c>
      <c r="F230" s="2" t="s">
        <v>582</v>
      </c>
      <c r="H230" s="7"/>
      <c r="L230" s="7">
        <v>0.1603</v>
      </c>
      <c r="O230" s="7">
        <v>61</v>
      </c>
      <c r="P230" s="7">
        <v>455</v>
      </c>
      <c r="Q230" s="7">
        <v>750</v>
      </c>
      <c r="R230" s="4" t="s">
        <v>15</v>
      </c>
      <c r="S230" s="4" t="s">
        <v>15</v>
      </c>
      <c r="T230" s="4" t="s">
        <v>47</v>
      </c>
      <c r="U230" s="4" t="s">
        <v>225</v>
      </c>
      <c r="V230" s="4"/>
      <c r="W230" s="9" t="s">
        <v>49</v>
      </c>
      <c r="X230" s="4" t="s">
        <v>78</v>
      </c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>
        <v>75.599999999999994</v>
      </c>
      <c r="AW230" s="4">
        <v>8.1</v>
      </c>
      <c r="AX230" s="9"/>
      <c r="AY230" s="7">
        <v>200</v>
      </c>
      <c r="AZ230" s="4"/>
      <c r="BA230" s="4"/>
      <c r="BB230" s="4"/>
      <c r="BC230" s="16">
        <v>24.9</v>
      </c>
      <c r="BD230" s="17">
        <v>1013</v>
      </c>
      <c r="BE230" s="17">
        <v>52.4</v>
      </c>
      <c r="BF230" s="15"/>
      <c r="BG230" s="4"/>
      <c r="BH230" s="4"/>
      <c r="BK230" s="7"/>
      <c r="BM230"/>
    </row>
    <row r="231" spans="1:65" x14ac:dyDescent="0.3">
      <c r="A231" s="2" t="s">
        <v>43</v>
      </c>
      <c r="B231" s="59" t="s">
        <v>79</v>
      </c>
      <c r="C231" s="3">
        <v>45219</v>
      </c>
      <c r="D231" s="8">
        <v>1</v>
      </c>
      <c r="E231" s="3" t="s">
        <v>121</v>
      </c>
      <c r="F231" s="2" t="s">
        <v>543</v>
      </c>
      <c r="H231" s="7"/>
      <c r="L231" s="7">
        <v>0.1482</v>
      </c>
      <c r="O231" s="7">
        <v>59.2</v>
      </c>
      <c r="P231" s="7">
        <v>436</v>
      </c>
      <c r="Q231" s="7">
        <v>750</v>
      </c>
      <c r="R231" s="4" t="s">
        <v>15</v>
      </c>
      <c r="S231" s="4" t="s">
        <v>15</v>
      </c>
      <c r="T231" s="4" t="s">
        <v>23</v>
      </c>
      <c r="U231" s="4" t="s">
        <v>332</v>
      </c>
      <c r="V231" s="4"/>
      <c r="W231" s="9" t="s">
        <v>49</v>
      </c>
      <c r="X231" s="4" t="s">
        <v>78</v>
      </c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>
        <v>71.900000000000006</v>
      </c>
      <c r="AW231" s="4">
        <v>7.9</v>
      </c>
      <c r="AX231" s="9" t="e">
        <f>[1]!Track_TT23[[#This Row],[Bike weight ]]+[1]!Track_TT23[[#This Row],[Rider weight ]]</f>
        <v>#REF!</v>
      </c>
      <c r="AY231" s="7">
        <v>200</v>
      </c>
      <c r="AZ231" s="4">
        <v>111.6</v>
      </c>
      <c r="BA231" s="4"/>
      <c r="BB231" s="4"/>
      <c r="BC231" s="18">
        <v>25</v>
      </c>
      <c r="BD231" s="19">
        <v>1012</v>
      </c>
      <c r="BE231" s="19">
        <v>52.5</v>
      </c>
      <c r="BF231" s="20"/>
      <c r="BG231" s="4"/>
      <c r="BH231" s="4"/>
      <c r="BK231" s="7"/>
      <c r="BM231"/>
    </row>
    <row r="232" spans="1:65" x14ac:dyDescent="0.3">
      <c r="A232" s="2" t="s">
        <v>43</v>
      </c>
      <c r="B232" s="59" t="s">
        <v>79</v>
      </c>
      <c r="C232" s="3">
        <v>45219</v>
      </c>
      <c r="D232" s="8">
        <v>2</v>
      </c>
      <c r="E232" s="3" t="s">
        <v>107</v>
      </c>
      <c r="F232" s="2" t="s">
        <v>85</v>
      </c>
      <c r="H232" s="7"/>
      <c r="L232" s="7">
        <v>0.15210000000000001</v>
      </c>
      <c r="O232" s="7">
        <v>60.5</v>
      </c>
      <c r="P232" s="7">
        <v>460</v>
      </c>
      <c r="Q232" s="7">
        <v>750</v>
      </c>
      <c r="R232" s="4" t="s">
        <v>15</v>
      </c>
      <c r="S232" s="4" t="s">
        <v>15</v>
      </c>
      <c r="T232" s="4" t="s">
        <v>23</v>
      </c>
      <c r="U232" s="4" t="s">
        <v>332</v>
      </c>
      <c r="V232" s="4"/>
      <c r="W232" s="9" t="s">
        <v>49</v>
      </c>
      <c r="X232" s="4" t="s">
        <v>78</v>
      </c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>
        <v>66.099999999999994</v>
      </c>
      <c r="AW232" s="4">
        <v>8</v>
      </c>
      <c r="AX232" s="9" t="e">
        <f>[1]!Track_TT23[[#This Row],[Bike weight ]]+[1]!Track_TT23[[#This Row],[Rider weight ]]</f>
        <v>#REF!</v>
      </c>
      <c r="AY232" s="7">
        <v>200</v>
      </c>
      <c r="AZ232" s="4">
        <v>111.6</v>
      </c>
      <c r="BA232" s="4"/>
      <c r="BB232" s="4"/>
      <c r="BC232" s="18">
        <v>25</v>
      </c>
      <c r="BD232" s="19">
        <v>1012</v>
      </c>
      <c r="BE232" s="19">
        <v>52.5</v>
      </c>
      <c r="BF232" s="20"/>
      <c r="BG232" s="4"/>
      <c r="BH232" s="4"/>
      <c r="BK232" s="7"/>
      <c r="BM232"/>
    </row>
    <row r="233" spans="1:65" x14ac:dyDescent="0.3">
      <c r="A233" s="2" t="s">
        <v>43</v>
      </c>
      <c r="B233" s="59" t="s">
        <v>79</v>
      </c>
      <c r="C233" s="3">
        <v>45219</v>
      </c>
      <c r="D233" s="8">
        <v>3</v>
      </c>
      <c r="E233" s="3" t="s">
        <v>108</v>
      </c>
      <c r="F233" s="2" t="s">
        <v>213</v>
      </c>
      <c r="H233" s="7"/>
      <c r="L233" s="7">
        <v>0.15429999999999999</v>
      </c>
      <c r="O233" s="7">
        <v>59</v>
      </c>
      <c r="P233" s="7">
        <v>421</v>
      </c>
      <c r="Q233" s="7">
        <v>750</v>
      </c>
      <c r="R233" s="4" t="s">
        <v>15</v>
      </c>
      <c r="S233" s="4" t="s">
        <v>15</v>
      </c>
      <c r="T233" s="4" t="s">
        <v>23</v>
      </c>
      <c r="U233" s="4" t="s">
        <v>332</v>
      </c>
      <c r="V233" s="4"/>
      <c r="W233" s="9" t="s">
        <v>49</v>
      </c>
      <c r="X233" s="4" t="s">
        <v>78</v>
      </c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>
        <v>75.599999999999994</v>
      </c>
      <c r="AW233" s="4">
        <v>8.1</v>
      </c>
      <c r="AX233" s="9" t="e">
        <f>[1]!Track_TT23[[#This Row],[Bike weight ]]+[1]!Track_TT23[[#This Row],[Rider weight ]]</f>
        <v>#REF!</v>
      </c>
      <c r="AY233" s="7">
        <v>200</v>
      </c>
      <c r="AZ233" s="4"/>
      <c r="BA233" s="4"/>
      <c r="BB233" s="4"/>
      <c r="BC233" s="16">
        <v>25</v>
      </c>
      <c r="BD233" s="17">
        <v>1012</v>
      </c>
      <c r="BE233" s="17">
        <v>52.5</v>
      </c>
      <c r="BF233" s="15"/>
      <c r="BG233" s="4"/>
      <c r="BH233" s="4"/>
      <c r="BK233" s="7"/>
      <c r="BM233"/>
    </row>
    <row r="234" spans="1:65" x14ac:dyDescent="0.3">
      <c r="A234" s="2" t="s">
        <v>43</v>
      </c>
      <c r="B234" s="59" t="s">
        <v>79</v>
      </c>
      <c r="C234" s="3">
        <v>45219</v>
      </c>
      <c r="D234" s="8">
        <v>4</v>
      </c>
      <c r="E234" s="3" t="s">
        <v>109</v>
      </c>
      <c r="F234" s="2" t="s">
        <v>543</v>
      </c>
      <c r="H234" s="7"/>
      <c r="L234" s="7">
        <v>0.1469</v>
      </c>
      <c r="O234" s="7">
        <v>60</v>
      </c>
      <c r="P234" s="7">
        <v>414</v>
      </c>
      <c r="Q234" s="7">
        <v>750</v>
      </c>
      <c r="R234" s="4" t="s">
        <v>15</v>
      </c>
      <c r="S234" s="4" t="s">
        <v>15</v>
      </c>
      <c r="T234" s="4" t="s">
        <v>23</v>
      </c>
      <c r="U234" s="4" t="s">
        <v>332</v>
      </c>
      <c r="V234" s="4"/>
      <c r="W234" s="9" t="s">
        <v>49</v>
      </c>
      <c r="X234" s="4" t="s">
        <v>78</v>
      </c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>
        <v>71.900000000000006</v>
      </c>
      <c r="AW234" s="4">
        <v>7.9</v>
      </c>
      <c r="AX234" s="9" t="e">
        <f>[1]!Track_TT23[[#This Row],[Bike weight ]]+[1]!Track_TT23[[#This Row],[Rider weight ]]</f>
        <v>#REF!</v>
      </c>
      <c r="AY234" s="7">
        <v>200</v>
      </c>
      <c r="AZ234" s="4">
        <v>111.6</v>
      </c>
      <c r="BA234" s="4"/>
      <c r="BB234" s="4"/>
      <c r="BC234" s="18">
        <v>25.4</v>
      </c>
      <c r="BD234" s="19">
        <v>1012</v>
      </c>
      <c r="BE234" s="19">
        <v>52.9</v>
      </c>
      <c r="BF234" s="20"/>
      <c r="BG234" s="4"/>
      <c r="BH234" s="4"/>
      <c r="BK234" s="7"/>
      <c r="BM234"/>
    </row>
    <row r="235" spans="1:65" x14ac:dyDescent="0.3">
      <c r="A235" s="2" t="s">
        <v>43</v>
      </c>
      <c r="B235" s="59" t="s">
        <v>79</v>
      </c>
      <c r="C235" s="3">
        <v>45219</v>
      </c>
      <c r="D235" s="8">
        <v>5</v>
      </c>
      <c r="E235" s="3" t="s">
        <v>110</v>
      </c>
      <c r="F235" s="2" t="s">
        <v>85</v>
      </c>
      <c r="H235" s="7"/>
      <c r="L235" s="7">
        <v>0.15570000000000001</v>
      </c>
      <c r="O235" s="7">
        <v>60.1</v>
      </c>
      <c r="P235" s="7">
        <v>429</v>
      </c>
      <c r="Q235" s="7">
        <v>750</v>
      </c>
      <c r="R235" s="4" t="s">
        <v>15</v>
      </c>
      <c r="S235" s="4" t="s">
        <v>15</v>
      </c>
      <c r="T235" s="4" t="s">
        <v>23</v>
      </c>
      <c r="U235" s="4" t="s">
        <v>332</v>
      </c>
      <c r="V235" s="4"/>
      <c r="W235" s="9" t="s">
        <v>49</v>
      </c>
      <c r="X235" s="4" t="s">
        <v>78</v>
      </c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>
        <v>66</v>
      </c>
      <c r="AW235" s="4">
        <v>8</v>
      </c>
      <c r="AX235" s="9" t="e">
        <f>[1]!Track_TT23[[#This Row],[Bike weight ]]+[1]!Track_TT23[[#This Row],[Rider weight ]]</f>
        <v>#REF!</v>
      </c>
      <c r="AY235" s="7">
        <v>200</v>
      </c>
      <c r="AZ235" s="4">
        <v>111.6</v>
      </c>
      <c r="BA235" s="4"/>
      <c r="BB235" s="4"/>
      <c r="BC235" s="18">
        <v>25.4</v>
      </c>
      <c r="BD235" s="19">
        <v>1012</v>
      </c>
      <c r="BE235" s="19">
        <v>52.9</v>
      </c>
      <c r="BF235" s="20"/>
      <c r="BG235" s="4"/>
      <c r="BH235" s="4"/>
      <c r="BK235" s="7"/>
      <c r="BM235"/>
    </row>
    <row r="236" spans="1:65" x14ac:dyDescent="0.3">
      <c r="A236" s="2" t="s">
        <v>43</v>
      </c>
      <c r="B236" s="59" t="s">
        <v>79</v>
      </c>
      <c r="C236" s="3">
        <v>45219</v>
      </c>
      <c r="D236" s="8">
        <v>6</v>
      </c>
      <c r="E236" s="3" t="s">
        <v>111</v>
      </c>
      <c r="F236" s="2" t="s">
        <v>213</v>
      </c>
      <c r="H236" s="7"/>
      <c r="L236" s="7">
        <v>0.15429999999999999</v>
      </c>
      <c r="O236" s="7">
        <v>60.1</v>
      </c>
      <c r="P236" s="7">
        <v>411</v>
      </c>
      <c r="Q236" s="7">
        <v>750</v>
      </c>
      <c r="R236" s="4" t="s">
        <v>15</v>
      </c>
      <c r="S236" s="4" t="s">
        <v>15</v>
      </c>
      <c r="T236" s="4" t="s">
        <v>23</v>
      </c>
      <c r="U236" s="4" t="s">
        <v>332</v>
      </c>
      <c r="V236" s="4"/>
      <c r="W236" s="9" t="s">
        <v>49</v>
      </c>
      <c r="X236" s="4" t="s">
        <v>78</v>
      </c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>
        <v>75.7</v>
      </c>
      <c r="AW236" s="4">
        <v>8.1</v>
      </c>
      <c r="AX236" s="9" t="e">
        <f>[1]!Track_TT23[[#This Row],[Bike weight ]]+[1]!Track_TT23[[#This Row],[Rider weight ]]</f>
        <v>#REF!</v>
      </c>
      <c r="AY236" s="7">
        <v>200</v>
      </c>
      <c r="AZ236" s="4"/>
      <c r="BA236" s="4"/>
      <c r="BB236" s="4"/>
      <c r="BC236" s="16">
        <v>25.4</v>
      </c>
      <c r="BD236" s="17">
        <v>1012</v>
      </c>
      <c r="BE236" s="17">
        <v>52.9</v>
      </c>
      <c r="BF236" s="15"/>
      <c r="BG236" s="4"/>
      <c r="BH236" s="4"/>
      <c r="BK236" s="7"/>
      <c r="BM236"/>
    </row>
    <row r="237" spans="1:65" x14ac:dyDescent="0.3">
      <c r="A237" s="2" t="s">
        <v>43</v>
      </c>
      <c r="B237" s="59" t="s">
        <v>45</v>
      </c>
      <c r="C237" s="3">
        <v>45225</v>
      </c>
      <c r="D237" s="8">
        <v>1</v>
      </c>
      <c r="E237" s="3" t="s">
        <v>131</v>
      </c>
      <c r="F237" s="2" t="s">
        <v>214</v>
      </c>
      <c r="H237" s="7"/>
      <c r="L237" s="7">
        <v>0.15690000000000001</v>
      </c>
      <c r="O237" s="7">
        <v>59.4</v>
      </c>
      <c r="P237" s="7">
        <v>435</v>
      </c>
      <c r="Q237" s="7">
        <v>750</v>
      </c>
      <c r="R237" s="4" t="s">
        <v>15</v>
      </c>
      <c r="S237" s="4" t="s">
        <v>15</v>
      </c>
      <c r="T237" s="4"/>
      <c r="U237" s="4" t="s">
        <v>225</v>
      </c>
      <c r="V237" s="4"/>
      <c r="W237" s="9" t="s">
        <v>49</v>
      </c>
      <c r="X237" s="4" t="s">
        <v>78</v>
      </c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>
        <v>80.599999999999994</v>
      </c>
      <c r="AY237" s="7">
        <v>200</v>
      </c>
      <c r="AZ237" s="4">
        <v>111.6</v>
      </c>
      <c r="BA237" s="4"/>
      <c r="BB237" s="4"/>
      <c r="BC237" s="18">
        <v>24.8</v>
      </c>
      <c r="BD237" s="19">
        <v>1012</v>
      </c>
      <c r="BE237" s="19">
        <v>53.5</v>
      </c>
      <c r="BF237" s="20"/>
      <c r="BG237" s="4"/>
      <c r="BH237" s="4"/>
      <c r="BK237" s="7"/>
      <c r="BM237"/>
    </row>
    <row r="238" spans="1:65" x14ac:dyDescent="0.3">
      <c r="A238" s="2" t="s">
        <v>43</v>
      </c>
      <c r="B238" s="59" t="s">
        <v>45</v>
      </c>
      <c r="C238" s="3">
        <v>45225</v>
      </c>
      <c r="D238" s="8">
        <v>2</v>
      </c>
      <c r="E238" s="3" t="s">
        <v>132</v>
      </c>
      <c r="F238" s="2" t="s">
        <v>213</v>
      </c>
      <c r="H238" s="7"/>
      <c r="L238" s="7">
        <v>0.16109999999999999</v>
      </c>
      <c r="O238" s="7">
        <v>59</v>
      </c>
      <c r="P238" s="7">
        <v>440</v>
      </c>
      <c r="Q238" s="7">
        <v>750</v>
      </c>
      <c r="R238" s="4" t="s">
        <v>15</v>
      </c>
      <c r="S238" s="4" t="s">
        <v>15</v>
      </c>
      <c r="T238" s="4"/>
      <c r="U238" s="4" t="s">
        <v>225</v>
      </c>
      <c r="V238" s="4"/>
      <c r="W238" s="9" t="s">
        <v>49</v>
      </c>
      <c r="X238" s="4" t="s">
        <v>78</v>
      </c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>
        <v>85.7</v>
      </c>
      <c r="AY238" s="7">
        <v>200</v>
      </c>
      <c r="AZ238" s="4">
        <v>117</v>
      </c>
      <c r="BA238" s="4"/>
      <c r="BB238" s="4"/>
      <c r="BC238" s="4">
        <v>25</v>
      </c>
      <c r="BD238" s="14">
        <v>1012</v>
      </c>
      <c r="BE238" s="73">
        <v>53</v>
      </c>
      <c r="BF238" s="15">
        <v>1.1739999999999999</v>
      </c>
      <c r="BG238" s="4"/>
      <c r="BH238" s="4"/>
      <c r="BK238" s="7"/>
      <c r="BM238"/>
    </row>
    <row r="239" spans="1:65" x14ac:dyDescent="0.3">
      <c r="A239" s="2" t="s">
        <v>43</v>
      </c>
      <c r="B239" s="59" t="s">
        <v>45</v>
      </c>
      <c r="C239" s="3">
        <v>45225</v>
      </c>
      <c r="D239" s="8">
        <v>3</v>
      </c>
      <c r="E239" s="3" t="s">
        <v>133</v>
      </c>
      <c r="F239" s="2" t="s">
        <v>214</v>
      </c>
      <c r="H239" s="7"/>
      <c r="L239" s="7">
        <v>0.15529999999999999</v>
      </c>
      <c r="O239" s="7">
        <v>60.3</v>
      </c>
      <c r="P239" s="7">
        <v>448</v>
      </c>
      <c r="Q239" s="7">
        <v>750</v>
      </c>
      <c r="R239" s="4" t="s">
        <v>15</v>
      </c>
      <c r="S239" s="4" t="s">
        <v>15</v>
      </c>
      <c r="T239" s="4"/>
      <c r="U239" s="4" t="s">
        <v>225</v>
      </c>
      <c r="V239" s="4"/>
      <c r="W239" s="9" t="s">
        <v>49</v>
      </c>
      <c r="X239" s="4" t="s">
        <v>78</v>
      </c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>
        <v>74.400000000000006</v>
      </c>
      <c r="AY239" s="7">
        <v>200</v>
      </c>
      <c r="AZ239" s="4">
        <v>111.6</v>
      </c>
      <c r="BA239" s="4"/>
      <c r="BB239" s="4"/>
      <c r="BC239" s="18">
        <v>24.8</v>
      </c>
      <c r="BD239" s="19">
        <v>1012</v>
      </c>
      <c r="BE239" s="19">
        <v>53.5</v>
      </c>
      <c r="BF239" s="20"/>
      <c r="BG239" s="4"/>
      <c r="BH239" s="4"/>
      <c r="BK239" s="7"/>
      <c r="BM239"/>
    </row>
    <row r="240" spans="1:65" x14ac:dyDescent="0.3">
      <c r="A240" s="2" t="s">
        <v>43</v>
      </c>
      <c r="B240" s="59" t="s">
        <v>45</v>
      </c>
      <c r="C240" s="3">
        <v>45225</v>
      </c>
      <c r="D240" s="8">
        <v>4</v>
      </c>
      <c r="E240" s="3" t="s">
        <v>134</v>
      </c>
      <c r="F240" s="2" t="s">
        <v>213</v>
      </c>
      <c r="H240" s="7"/>
      <c r="L240" s="7">
        <v>0.16059999999999999</v>
      </c>
      <c r="O240" s="7">
        <v>59.7</v>
      </c>
      <c r="P240" s="7">
        <v>447</v>
      </c>
      <c r="Q240" s="7">
        <v>750</v>
      </c>
      <c r="R240" s="4" t="s">
        <v>15</v>
      </c>
      <c r="S240" s="4" t="s">
        <v>15</v>
      </c>
      <c r="T240" s="4"/>
      <c r="U240" s="4" t="s">
        <v>225</v>
      </c>
      <c r="V240" s="4"/>
      <c r="W240" s="9" t="s">
        <v>49</v>
      </c>
      <c r="X240" s="4" t="s">
        <v>78</v>
      </c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>
        <v>80.3</v>
      </c>
      <c r="AY240" s="7">
        <v>200</v>
      </c>
      <c r="AZ240" s="4">
        <v>117</v>
      </c>
      <c r="BA240" s="4"/>
      <c r="BB240" s="4"/>
      <c r="BC240" s="4">
        <v>25.1</v>
      </c>
      <c r="BD240" s="14">
        <v>1012</v>
      </c>
      <c r="BE240" s="73">
        <v>54</v>
      </c>
      <c r="BF240" s="15">
        <v>1.1739999999999999</v>
      </c>
      <c r="BG240" s="4"/>
      <c r="BH240" s="4"/>
      <c r="BK240" s="7"/>
      <c r="BM240"/>
    </row>
    <row r="241" spans="1:65" x14ac:dyDescent="0.3">
      <c r="A241" s="2" t="s">
        <v>43</v>
      </c>
      <c r="B241" s="59" t="s">
        <v>45</v>
      </c>
      <c r="C241" s="3">
        <v>45225</v>
      </c>
      <c r="D241" s="8">
        <v>5</v>
      </c>
      <c r="E241" s="3" t="s">
        <v>135</v>
      </c>
      <c r="F241" s="2" t="s">
        <v>213</v>
      </c>
      <c r="H241" s="7"/>
      <c r="L241" s="7">
        <v>0.16220000000000001</v>
      </c>
      <c r="O241" s="7">
        <v>59.9</v>
      </c>
      <c r="P241" s="7">
        <v>454</v>
      </c>
      <c r="Q241" s="7">
        <v>750</v>
      </c>
      <c r="R241" s="4" t="s">
        <v>15</v>
      </c>
      <c r="S241" s="4" t="s">
        <v>15</v>
      </c>
      <c r="T241" s="4"/>
      <c r="U241" s="4" t="s">
        <v>225</v>
      </c>
      <c r="V241" s="4"/>
      <c r="W241" s="9" t="s">
        <v>49</v>
      </c>
      <c r="X241" s="4" t="s">
        <v>78</v>
      </c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>
        <v>80.599999999999994</v>
      </c>
      <c r="AY241" s="7">
        <v>200</v>
      </c>
      <c r="AZ241" s="4">
        <v>111.6</v>
      </c>
      <c r="BA241" s="4"/>
      <c r="BB241" s="4"/>
      <c r="BC241" s="18">
        <v>25.1</v>
      </c>
      <c r="BD241" s="19">
        <v>1012</v>
      </c>
      <c r="BE241" s="19">
        <v>53</v>
      </c>
      <c r="BF241" s="21"/>
      <c r="BG241" s="4"/>
      <c r="BH241" s="4"/>
      <c r="BK241" s="7"/>
      <c r="BM241"/>
    </row>
    <row r="242" spans="1:65" x14ac:dyDescent="0.3">
      <c r="A242" s="2" t="s">
        <v>43</v>
      </c>
      <c r="B242" s="59" t="s">
        <v>45</v>
      </c>
      <c r="C242" s="3">
        <v>45225</v>
      </c>
      <c r="D242" s="8">
        <v>6</v>
      </c>
      <c r="E242" s="3" t="s">
        <v>136</v>
      </c>
      <c r="F242" s="2" t="s">
        <v>214</v>
      </c>
      <c r="H242" s="7"/>
      <c r="L242" s="7">
        <v>0.15939999999999999</v>
      </c>
      <c r="O242" s="7">
        <v>59.4</v>
      </c>
      <c r="P242" s="7">
        <v>445</v>
      </c>
      <c r="Q242" s="7">
        <v>750</v>
      </c>
      <c r="R242" s="4" t="s">
        <v>15</v>
      </c>
      <c r="S242" s="4" t="s">
        <v>15</v>
      </c>
      <c r="T242" s="4"/>
      <c r="U242" s="4" t="s">
        <v>225</v>
      </c>
      <c r="V242" s="4"/>
      <c r="W242" s="9" t="s">
        <v>49</v>
      </c>
      <c r="X242" s="4" t="s">
        <v>78</v>
      </c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>
        <v>85.8</v>
      </c>
      <c r="AY242" s="7">
        <v>200</v>
      </c>
      <c r="AZ242" s="4">
        <v>117</v>
      </c>
      <c r="BA242" s="4"/>
      <c r="BB242" s="4"/>
      <c r="BC242" s="4">
        <v>25.1</v>
      </c>
      <c r="BD242" s="14">
        <v>1012</v>
      </c>
      <c r="BE242" s="73">
        <v>53</v>
      </c>
      <c r="BF242" s="15">
        <v>1.1739999999999999</v>
      </c>
      <c r="BG242" s="4"/>
      <c r="BH242" s="4"/>
      <c r="BK242" s="7"/>
      <c r="BM242"/>
    </row>
    <row r="243" spans="1:65" x14ac:dyDescent="0.3">
      <c r="A243" s="2" t="s">
        <v>43</v>
      </c>
      <c r="B243" s="59" t="s">
        <v>79</v>
      </c>
      <c r="C243" s="3">
        <v>45225</v>
      </c>
      <c r="D243" s="8">
        <v>1</v>
      </c>
      <c r="E243" s="3" t="s">
        <v>145</v>
      </c>
      <c r="F243" s="2" t="s">
        <v>85</v>
      </c>
      <c r="H243" s="7"/>
      <c r="L243" s="7">
        <v>0.154</v>
      </c>
      <c r="O243" s="7">
        <v>59.4</v>
      </c>
      <c r="P243" s="7">
        <v>426</v>
      </c>
      <c r="Q243" s="7">
        <v>750</v>
      </c>
      <c r="R243" s="4" t="s">
        <v>15</v>
      </c>
      <c r="S243" s="4" t="s">
        <v>15</v>
      </c>
      <c r="T243" s="4"/>
      <c r="U243" s="4" t="s">
        <v>332</v>
      </c>
      <c r="V243" s="4"/>
      <c r="W243" s="9" t="s">
        <v>49</v>
      </c>
      <c r="X243" s="4" t="s">
        <v>78</v>
      </c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>
        <v>74.3</v>
      </c>
      <c r="AY243" s="7">
        <v>200</v>
      </c>
      <c r="AZ243" s="4">
        <v>111.6</v>
      </c>
      <c r="BA243" s="4"/>
      <c r="BB243" s="4"/>
      <c r="BC243" s="18">
        <v>25.1</v>
      </c>
      <c r="BD243" s="19">
        <v>1011</v>
      </c>
      <c r="BE243" s="19">
        <v>54.2</v>
      </c>
      <c r="BF243" s="21"/>
      <c r="BG243" s="4"/>
      <c r="BH243" s="4"/>
      <c r="BK243" s="7"/>
      <c r="BM243"/>
    </row>
    <row r="244" spans="1:65" x14ac:dyDescent="0.3">
      <c r="A244" s="2" t="s">
        <v>43</v>
      </c>
      <c r="B244" s="59" t="s">
        <v>79</v>
      </c>
      <c r="C244" s="3">
        <v>45225</v>
      </c>
      <c r="D244" s="8">
        <v>2</v>
      </c>
      <c r="E244" s="3" t="s">
        <v>146</v>
      </c>
      <c r="F244" s="2" t="s">
        <v>543</v>
      </c>
      <c r="H244" s="7"/>
      <c r="L244" s="7">
        <v>0.1444</v>
      </c>
      <c r="O244" s="7">
        <v>59.1</v>
      </c>
      <c r="P244" s="7">
        <v>405</v>
      </c>
      <c r="Q244" s="7">
        <v>750</v>
      </c>
      <c r="R244" s="4" t="s">
        <v>15</v>
      </c>
      <c r="S244" s="4" t="s">
        <v>15</v>
      </c>
      <c r="T244" s="4"/>
      <c r="U244" s="4" t="s">
        <v>332</v>
      </c>
      <c r="V244" s="4"/>
      <c r="W244" s="9" t="s">
        <v>49</v>
      </c>
      <c r="X244" s="4" t="s">
        <v>78</v>
      </c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>
        <v>80</v>
      </c>
      <c r="AY244" s="7">
        <v>200</v>
      </c>
      <c r="AZ244" s="4">
        <v>117</v>
      </c>
      <c r="BA244" s="4"/>
      <c r="BB244" s="4"/>
      <c r="BC244" s="4">
        <v>25.1</v>
      </c>
      <c r="BD244" s="14">
        <v>1011</v>
      </c>
      <c r="BE244" s="73">
        <v>54</v>
      </c>
      <c r="BF244" s="15">
        <v>1.173</v>
      </c>
      <c r="BG244" s="4"/>
      <c r="BH244" s="4"/>
      <c r="BK244" s="7"/>
      <c r="BM244"/>
    </row>
    <row r="245" spans="1:65" x14ac:dyDescent="0.3">
      <c r="A245" s="2" t="s">
        <v>43</v>
      </c>
      <c r="B245" s="59" t="s">
        <v>79</v>
      </c>
      <c r="C245" s="3">
        <v>45225</v>
      </c>
      <c r="D245" s="8">
        <v>3</v>
      </c>
      <c r="E245" s="3" t="s">
        <v>147</v>
      </c>
      <c r="F245" s="2" t="s">
        <v>85</v>
      </c>
      <c r="H245" s="7"/>
      <c r="L245" s="7">
        <v>0.15229999999999999</v>
      </c>
      <c r="O245" s="7">
        <v>59.8</v>
      </c>
      <c r="P245" s="7">
        <v>429</v>
      </c>
      <c r="Q245" s="7">
        <v>750</v>
      </c>
      <c r="R245" s="4" t="s">
        <v>15</v>
      </c>
      <c r="S245" s="4" t="s">
        <v>15</v>
      </c>
      <c r="T245" s="4"/>
      <c r="U245" s="4" t="s">
        <v>332</v>
      </c>
      <c r="V245" s="4"/>
      <c r="W245" s="9" t="s">
        <v>49</v>
      </c>
      <c r="X245" s="4" t="s">
        <v>78</v>
      </c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>
        <v>80</v>
      </c>
      <c r="AY245" s="7">
        <v>200</v>
      </c>
      <c r="AZ245" s="4">
        <v>111.6</v>
      </c>
      <c r="BA245" s="4"/>
      <c r="BB245" s="4"/>
      <c r="BC245" s="18">
        <v>25.1</v>
      </c>
      <c r="BD245" s="19">
        <v>1011</v>
      </c>
      <c r="BE245" s="19">
        <v>54.2</v>
      </c>
      <c r="BF245" s="21"/>
      <c r="BG245" s="4"/>
      <c r="BH245" s="4"/>
      <c r="BK245" s="7"/>
      <c r="BM245"/>
    </row>
    <row r="246" spans="1:65" x14ac:dyDescent="0.3">
      <c r="A246" s="2" t="s">
        <v>43</v>
      </c>
      <c r="B246" s="59" t="s">
        <v>79</v>
      </c>
      <c r="C246" s="3">
        <v>45225</v>
      </c>
      <c r="D246" s="8">
        <v>4</v>
      </c>
      <c r="E246" s="3" t="s">
        <v>148</v>
      </c>
      <c r="F246" s="2" t="s">
        <v>543</v>
      </c>
      <c r="H246" s="7"/>
      <c r="L246" s="7">
        <v>0.1477</v>
      </c>
      <c r="O246" s="7">
        <v>59.1</v>
      </c>
      <c r="P246" s="7">
        <v>402</v>
      </c>
      <c r="Q246" s="7">
        <v>750</v>
      </c>
      <c r="R246" s="4" t="s">
        <v>15</v>
      </c>
      <c r="S246" s="4" t="s">
        <v>15</v>
      </c>
      <c r="T246" s="4"/>
      <c r="U246" s="4" t="s">
        <v>332</v>
      </c>
      <c r="V246" s="4"/>
      <c r="W246" s="9" t="s">
        <v>49</v>
      </c>
      <c r="X246" s="4" t="s">
        <v>78</v>
      </c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>
        <v>85.6</v>
      </c>
      <c r="AY246" s="7">
        <v>200</v>
      </c>
      <c r="AZ246" s="4">
        <v>117</v>
      </c>
      <c r="BA246" s="4"/>
      <c r="BB246" s="4"/>
      <c r="BC246" s="4">
        <v>25.2</v>
      </c>
      <c r="BD246" s="14">
        <v>1011</v>
      </c>
      <c r="BE246" s="73">
        <v>54</v>
      </c>
      <c r="BF246" s="15">
        <v>1.173</v>
      </c>
      <c r="BG246" s="4"/>
      <c r="BH246" s="4"/>
      <c r="BK246" s="7"/>
      <c r="BM246"/>
    </row>
    <row r="247" spans="1:65" x14ac:dyDescent="0.3">
      <c r="A247" s="2" t="s">
        <v>43</v>
      </c>
      <c r="B247" s="59" t="s">
        <v>79</v>
      </c>
      <c r="C247" s="3">
        <v>45225</v>
      </c>
      <c r="D247" s="8">
        <v>5</v>
      </c>
      <c r="E247" s="3" t="s">
        <v>137</v>
      </c>
      <c r="F247" s="2" t="s">
        <v>85</v>
      </c>
      <c r="H247" s="7"/>
      <c r="L247" s="7">
        <v>0.15509999999999999</v>
      </c>
      <c r="O247" s="7">
        <v>59.8</v>
      </c>
      <c r="P247" s="7">
        <v>434</v>
      </c>
      <c r="Q247" s="7">
        <v>750</v>
      </c>
      <c r="R247" s="4" t="s">
        <v>15</v>
      </c>
      <c r="S247" s="4" t="s">
        <v>15</v>
      </c>
      <c r="T247" s="4"/>
      <c r="U247" s="4" t="s">
        <v>332</v>
      </c>
      <c r="V247" s="4"/>
      <c r="W247" s="9" t="s">
        <v>49</v>
      </c>
      <c r="X247" s="4" t="s">
        <v>78</v>
      </c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>
        <v>74.400000000000006</v>
      </c>
      <c r="AY247" s="7">
        <v>200</v>
      </c>
      <c r="AZ247" s="4">
        <v>111.6</v>
      </c>
      <c r="BA247" s="4"/>
      <c r="BB247" s="4"/>
      <c r="BC247" s="18">
        <v>25.1</v>
      </c>
      <c r="BD247" s="19">
        <v>1011</v>
      </c>
      <c r="BE247" s="19">
        <v>54.2</v>
      </c>
      <c r="BF247" s="21"/>
      <c r="BG247" s="4"/>
      <c r="BH247" s="4"/>
      <c r="BK247" s="7"/>
      <c r="BM247"/>
    </row>
    <row r="248" spans="1:65" x14ac:dyDescent="0.3">
      <c r="A248" s="2" t="s">
        <v>43</v>
      </c>
      <c r="B248" s="59" t="s">
        <v>79</v>
      </c>
      <c r="C248" s="3">
        <v>45225</v>
      </c>
      <c r="D248" s="8">
        <v>6</v>
      </c>
      <c r="E248" s="3" t="s">
        <v>138</v>
      </c>
      <c r="F248" s="2" t="s">
        <v>543</v>
      </c>
      <c r="H248" s="7"/>
      <c r="L248" s="7">
        <v>0.14940000000000001</v>
      </c>
      <c r="O248" s="7">
        <v>60.3</v>
      </c>
      <c r="P248" s="7">
        <v>424</v>
      </c>
      <c r="Q248" s="7">
        <v>750</v>
      </c>
      <c r="R248" s="4" t="s">
        <v>15</v>
      </c>
      <c r="S248" s="4" t="s">
        <v>15</v>
      </c>
      <c r="T248" s="4"/>
      <c r="U248" s="4" t="s">
        <v>332</v>
      </c>
      <c r="V248" s="4"/>
      <c r="W248" s="9" t="s">
        <v>49</v>
      </c>
      <c r="X248" s="4" t="s">
        <v>78</v>
      </c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>
        <v>80.099999999999994</v>
      </c>
      <c r="AY248" s="7">
        <v>200</v>
      </c>
      <c r="AZ248" s="4">
        <v>117</v>
      </c>
      <c r="BA248" s="4"/>
      <c r="BB248" s="4"/>
      <c r="BC248" s="4">
        <v>25.2</v>
      </c>
      <c r="BD248" s="14">
        <v>1011</v>
      </c>
      <c r="BE248" s="73">
        <v>54</v>
      </c>
      <c r="BF248" s="15">
        <v>1.173</v>
      </c>
      <c r="BG248" s="4"/>
      <c r="BH248" s="4"/>
      <c r="BK248" s="7"/>
      <c r="BM248"/>
    </row>
    <row r="249" spans="1:65" x14ac:dyDescent="0.3">
      <c r="A249" s="2" t="s">
        <v>43</v>
      </c>
      <c r="B249" s="59" t="s">
        <v>45</v>
      </c>
      <c r="C249" s="3">
        <v>45229</v>
      </c>
      <c r="D249" s="8">
        <v>1</v>
      </c>
      <c r="E249" s="3" t="s">
        <v>155</v>
      </c>
      <c r="F249" s="2" t="s">
        <v>213</v>
      </c>
      <c r="G249" s="7">
        <v>0.15820000000000001</v>
      </c>
      <c r="H249" s="7">
        <v>1.8E-3</v>
      </c>
      <c r="I249" s="7">
        <v>1.2695000000000001</v>
      </c>
      <c r="L249" s="7">
        <v>0.15709999999999999</v>
      </c>
      <c r="O249" s="7">
        <v>59.2</v>
      </c>
      <c r="P249" s="7">
        <v>430</v>
      </c>
      <c r="Q249" s="7">
        <v>750</v>
      </c>
      <c r="R249" s="4" t="s">
        <v>15</v>
      </c>
      <c r="S249" s="4" t="s">
        <v>15</v>
      </c>
      <c r="T249" s="4"/>
      <c r="U249" s="4" t="s">
        <v>225</v>
      </c>
      <c r="V249" s="4"/>
      <c r="W249" s="9" t="s">
        <v>49</v>
      </c>
      <c r="X249" s="4" t="s">
        <v>78</v>
      </c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>
        <v>79.099999999999994</v>
      </c>
      <c r="AY249" s="7">
        <v>200</v>
      </c>
      <c r="AZ249" s="4">
        <v>111.6</v>
      </c>
      <c r="BA249" s="4"/>
      <c r="BB249" s="4"/>
      <c r="BC249" s="18">
        <v>25.2</v>
      </c>
      <c r="BD249" s="19">
        <v>1005</v>
      </c>
      <c r="BE249" s="19">
        <v>41</v>
      </c>
      <c r="BF249" s="21"/>
      <c r="BG249" s="4"/>
      <c r="BH249" s="4"/>
      <c r="BK249" s="7"/>
      <c r="BM249"/>
    </row>
    <row r="250" spans="1:65" x14ac:dyDescent="0.3">
      <c r="A250" s="2" t="s">
        <v>43</v>
      </c>
      <c r="B250" s="59" t="s">
        <v>45</v>
      </c>
      <c r="C250" s="3">
        <v>45229</v>
      </c>
      <c r="D250" s="8">
        <v>2</v>
      </c>
      <c r="E250" s="3" t="s">
        <v>156</v>
      </c>
      <c r="F250" s="2" t="s">
        <v>558</v>
      </c>
      <c r="G250" s="7">
        <v>0.158</v>
      </c>
      <c r="H250" s="7">
        <v>3.0999999999999999E-3</v>
      </c>
      <c r="I250" s="7">
        <v>1.2695000000000001</v>
      </c>
      <c r="L250" s="7">
        <v>0.1573</v>
      </c>
      <c r="O250" s="7">
        <v>59.9</v>
      </c>
      <c r="P250" s="7">
        <v>442</v>
      </c>
      <c r="Q250" s="7">
        <v>750</v>
      </c>
      <c r="R250" s="4" t="s">
        <v>15</v>
      </c>
      <c r="S250" s="4" t="s">
        <v>15</v>
      </c>
      <c r="T250" s="4"/>
      <c r="U250" s="4" t="s">
        <v>225</v>
      </c>
      <c r="V250" s="4"/>
      <c r="W250" s="9" t="s">
        <v>49</v>
      </c>
      <c r="X250" s="4" t="s">
        <v>78</v>
      </c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>
        <v>85</v>
      </c>
      <c r="AY250" s="7">
        <v>200</v>
      </c>
      <c r="AZ250" s="22">
        <v>117</v>
      </c>
      <c r="BA250" s="4"/>
      <c r="BB250" s="4"/>
      <c r="BC250" s="16">
        <v>25.2</v>
      </c>
      <c r="BD250" s="17">
        <v>1005</v>
      </c>
      <c r="BE250" s="17">
        <v>41</v>
      </c>
      <c r="BF250" s="20"/>
      <c r="BG250" s="4"/>
      <c r="BH250" s="4"/>
      <c r="BK250" s="7"/>
      <c r="BM250"/>
    </row>
    <row r="251" spans="1:65" x14ac:dyDescent="0.3">
      <c r="A251" s="2" t="s">
        <v>43</v>
      </c>
      <c r="B251" s="59" t="s">
        <v>45</v>
      </c>
      <c r="C251" s="3">
        <v>45229</v>
      </c>
      <c r="D251" s="8">
        <v>3</v>
      </c>
      <c r="E251" s="3" t="s">
        <v>157</v>
      </c>
      <c r="F251" s="2" t="s">
        <v>558</v>
      </c>
      <c r="G251" s="7">
        <v>0.15559999999999999</v>
      </c>
      <c r="H251" s="7">
        <v>5.1000000000000004E-3</v>
      </c>
      <c r="I251" s="7">
        <v>1.2695000000000001</v>
      </c>
      <c r="Q251" s="7">
        <v>750</v>
      </c>
      <c r="R251" s="4" t="s">
        <v>15</v>
      </c>
      <c r="S251" s="4" t="s">
        <v>15</v>
      </c>
      <c r="T251" s="4"/>
      <c r="U251" s="4" t="s">
        <v>225</v>
      </c>
      <c r="V251" s="4"/>
      <c r="W251" s="9" t="s">
        <v>49</v>
      </c>
      <c r="X251" s="4" t="s">
        <v>78</v>
      </c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>
        <v>75.2</v>
      </c>
      <c r="AY251" s="7">
        <v>200</v>
      </c>
      <c r="AZ251" s="4">
        <v>111.6</v>
      </c>
      <c r="BA251" s="4"/>
      <c r="BB251" s="4"/>
      <c r="BC251" s="18">
        <v>25.2</v>
      </c>
      <c r="BD251" s="19">
        <v>1005</v>
      </c>
      <c r="BE251" s="19">
        <v>41</v>
      </c>
      <c r="BF251" s="21"/>
      <c r="BG251" s="4"/>
      <c r="BH251" s="4"/>
      <c r="BK251" s="7"/>
      <c r="BM251"/>
    </row>
    <row r="252" spans="1:65" x14ac:dyDescent="0.3">
      <c r="A252" s="2" t="s">
        <v>43</v>
      </c>
      <c r="B252" s="59" t="s">
        <v>45</v>
      </c>
      <c r="C252" s="3">
        <v>45229</v>
      </c>
      <c r="D252" s="8">
        <v>4</v>
      </c>
      <c r="E252" s="3" t="s">
        <v>158</v>
      </c>
      <c r="F252" s="2" t="s">
        <v>213</v>
      </c>
      <c r="G252" s="7">
        <v>0.16009999999999999</v>
      </c>
      <c r="H252" s="7">
        <v>2.2000000000000001E-3</v>
      </c>
      <c r="I252" s="7">
        <v>1.2695000000000001</v>
      </c>
      <c r="L252" s="7">
        <v>0.15870000000000001</v>
      </c>
      <c r="O252" s="7">
        <v>59.4</v>
      </c>
      <c r="P252" s="7">
        <v>442</v>
      </c>
      <c r="Q252" s="7">
        <v>750</v>
      </c>
      <c r="R252" s="4" t="s">
        <v>15</v>
      </c>
      <c r="S252" s="4" t="s">
        <v>15</v>
      </c>
      <c r="T252" s="4"/>
      <c r="U252" s="4" t="s">
        <v>225</v>
      </c>
      <c r="V252" s="4"/>
      <c r="W252" s="9" t="s">
        <v>49</v>
      </c>
      <c r="X252" s="4" t="s">
        <v>78</v>
      </c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>
        <v>79.900000000000006</v>
      </c>
      <c r="AY252" s="7">
        <v>200</v>
      </c>
      <c r="AZ252" s="22">
        <v>117</v>
      </c>
      <c r="BA252" s="4"/>
      <c r="BB252" s="4"/>
      <c r="BC252" s="18">
        <v>25.2</v>
      </c>
      <c r="BD252" s="19">
        <v>1005</v>
      </c>
      <c r="BE252" s="19">
        <v>41</v>
      </c>
      <c r="BF252" s="21"/>
      <c r="BG252" s="4"/>
      <c r="BH252" s="4"/>
      <c r="BK252" s="7"/>
      <c r="BM252"/>
    </row>
    <row r="253" spans="1:65" x14ac:dyDescent="0.3">
      <c r="A253" s="2" t="s">
        <v>43</v>
      </c>
      <c r="B253" s="59" t="s">
        <v>45</v>
      </c>
      <c r="C253" s="3">
        <v>45229</v>
      </c>
      <c r="D253" s="8">
        <v>5</v>
      </c>
      <c r="E253" s="3" t="s">
        <v>159</v>
      </c>
      <c r="F253" s="2" t="s">
        <v>558</v>
      </c>
      <c r="G253" s="7">
        <v>0.15820000000000001</v>
      </c>
      <c r="H253" s="7">
        <v>5.9999999999999995E-4</v>
      </c>
      <c r="I253" s="7">
        <v>1.2695000000000001</v>
      </c>
      <c r="L253" s="7">
        <v>0.15529999999999999</v>
      </c>
      <c r="O253" s="7">
        <v>59.4</v>
      </c>
      <c r="P253" s="7">
        <v>441</v>
      </c>
      <c r="Q253" s="7">
        <v>750</v>
      </c>
      <c r="R253" s="4" t="s">
        <v>15</v>
      </c>
      <c r="S253" s="4" t="s">
        <v>15</v>
      </c>
      <c r="T253" s="4"/>
      <c r="U253" s="4" t="s">
        <v>225</v>
      </c>
      <c r="V253" s="4"/>
      <c r="W253" s="9" t="s">
        <v>49</v>
      </c>
      <c r="X253" s="4" t="s">
        <v>78</v>
      </c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>
        <v>78.900000000000006</v>
      </c>
      <c r="AY253" s="7">
        <v>200</v>
      </c>
      <c r="AZ253" s="4">
        <v>111.6</v>
      </c>
      <c r="BA253" s="4"/>
      <c r="BB253" s="4"/>
      <c r="BC253" s="18">
        <v>25.2</v>
      </c>
      <c r="BD253" s="19">
        <v>1005</v>
      </c>
      <c r="BE253" s="19">
        <v>41</v>
      </c>
      <c r="BF253" s="21"/>
      <c r="BG253" s="4"/>
      <c r="BH253" s="4"/>
      <c r="BK253" s="7"/>
      <c r="BM253"/>
    </row>
    <row r="254" spans="1:65" x14ac:dyDescent="0.3">
      <c r="A254" s="2" t="s">
        <v>43</v>
      </c>
      <c r="B254" s="59" t="s">
        <v>45</v>
      </c>
      <c r="C254" s="3">
        <v>45229</v>
      </c>
      <c r="D254" s="8">
        <v>6</v>
      </c>
      <c r="E254" s="3" t="s">
        <v>160</v>
      </c>
      <c r="F254" s="2" t="s">
        <v>558</v>
      </c>
      <c r="G254" s="7">
        <v>0.15659999999999999</v>
      </c>
      <c r="H254" s="7">
        <v>3.0999999999999999E-3</v>
      </c>
      <c r="I254" s="7">
        <v>1.2695000000000001</v>
      </c>
      <c r="L254" s="7">
        <v>0.15690000000000001</v>
      </c>
      <c r="O254" s="7">
        <v>60</v>
      </c>
      <c r="P254" s="7">
        <v>442</v>
      </c>
      <c r="Q254" s="7">
        <v>750</v>
      </c>
      <c r="R254" s="4" t="s">
        <v>15</v>
      </c>
      <c r="S254" s="4" t="s">
        <v>15</v>
      </c>
      <c r="T254" s="4"/>
      <c r="U254" s="4" t="s">
        <v>225</v>
      </c>
      <c r="V254" s="4"/>
      <c r="W254" s="9" t="s">
        <v>49</v>
      </c>
      <c r="X254" s="4" t="s">
        <v>78</v>
      </c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>
        <v>84.8</v>
      </c>
      <c r="AY254" s="7">
        <v>200</v>
      </c>
      <c r="AZ254" s="22">
        <v>117</v>
      </c>
      <c r="BA254" s="4"/>
      <c r="BB254" s="4"/>
      <c r="BC254" s="16">
        <v>25.2</v>
      </c>
      <c r="BD254" s="17">
        <v>1005</v>
      </c>
      <c r="BE254" s="17">
        <v>41</v>
      </c>
      <c r="BF254" s="20"/>
      <c r="BG254" s="4"/>
      <c r="BH254" s="4"/>
      <c r="BK254" s="7"/>
      <c r="BM254"/>
    </row>
    <row r="255" spans="1:65" x14ac:dyDescent="0.3">
      <c r="A255" s="2" t="s">
        <v>43</v>
      </c>
      <c r="B255" s="59" t="s">
        <v>79</v>
      </c>
      <c r="C255" s="3">
        <v>45229</v>
      </c>
      <c r="D255" s="8">
        <v>1</v>
      </c>
      <c r="E255" s="3" t="s">
        <v>169</v>
      </c>
      <c r="F255" s="2" t="s">
        <v>549</v>
      </c>
      <c r="G255" s="7">
        <v>0.15110000000000001</v>
      </c>
      <c r="H255" s="7">
        <v>8.9999999999999993E-3</v>
      </c>
      <c r="I255" s="7">
        <v>1.2615000000000001</v>
      </c>
      <c r="L255" s="7">
        <v>0.1434</v>
      </c>
      <c r="O255" s="7">
        <v>57.9</v>
      </c>
      <c r="P255" s="7">
        <v>385</v>
      </c>
      <c r="Q255" s="7">
        <v>750</v>
      </c>
      <c r="R255" s="4" t="s">
        <v>15</v>
      </c>
      <c r="S255" s="4" t="s">
        <v>15</v>
      </c>
      <c r="T255" s="4"/>
      <c r="U255" s="4" t="s">
        <v>225</v>
      </c>
      <c r="V255" s="4"/>
      <c r="W255" s="9" t="s">
        <v>49</v>
      </c>
      <c r="X255" s="4" t="s">
        <v>78</v>
      </c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>
        <v>78.7</v>
      </c>
      <c r="AY255" s="4"/>
      <c r="AZ255" s="4">
        <v>111.6</v>
      </c>
      <c r="BA255" s="4"/>
      <c r="BB255" s="4"/>
      <c r="BC255" s="18">
        <v>25.1</v>
      </c>
      <c r="BD255" s="19">
        <v>1010</v>
      </c>
      <c r="BE255" s="19">
        <v>47.7</v>
      </c>
      <c r="BF255" s="20"/>
      <c r="BG255" s="4"/>
      <c r="BH255" s="4"/>
      <c r="BK255" s="7"/>
      <c r="BM255"/>
    </row>
    <row r="256" spans="1:65" x14ac:dyDescent="0.3">
      <c r="A256" s="2" t="s">
        <v>43</v>
      </c>
      <c r="B256" s="59" t="s">
        <v>79</v>
      </c>
      <c r="C256" s="3">
        <v>45229</v>
      </c>
      <c r="D256" s="8">
        <v>2</v>
      </c>
      <c r="E256" s="3" t="s">
        <v>170</v>
      </c>
      <c r="F256" s="2" t="s">
        <v>213</v>
      </c>
      <c r="G256" s="7">
        <v>0.1565</v>
      </c>
      <c r="H256" s="7">
        <v>1.8E-3</v>
      </c>
      <c r="I256" s="7">
        <v>1.2615000000000001</v>
      </c>
      <c r="L256" s="7">
        <v>0.14960000000000001</v>
      </c>
      <c r="O256" s="7">
        <v>60.2</v>
      </c>
      <c r="P256" s="7">
        <v>429</v>
      </c>
      <c r="Q256" s="7">
        <v>750</v>
      </c>
      <c r="R256" s="4" t="s">
        <v>15</v>
      </c>
      <c r="S256" s="4" t="s">
        <v>15</v>
      </c>
      <c r="T256" s="4"/>
      <c r="U256" s="4" t="s">
        <v>332</v>
      </c>
      <c r="V256" s="4"/>
      <c r="W256" s="9" t="s">
        <v>49</v>
      </c>
      <c r="X256" s="4" t="s">
        <v>78</v>
      </c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>
        <v>85.5</v>
      </c>
      <c r="AY256" s="4"/>
      <c r="AZ256" s="22">
        <v>117</v>
      </c>
      <c r="BA256" s="4"/>
      <c r="BB256" s="4"/>
      <c r="BC256" s="18">
        <v>25.1</v>
      </c>
      <c r="BD256" s="19">
        <v>1010</v>
      </c>
      <c r="BE256" s="19">
        <v>47.7</v>
      </c>
      <c r="BF256" s="20"/>
      <c r="BG256" s="4"/>
      <c r="BH256" s="4"/>
      <c r="BK256" s="7"/>
      <c r="BM256"/>
    </row>
    <row r="257" spans="1:65" x14ac:dyDescent="0.3">
      <c r="A257" s="2" t="s">
        <v>43</v>
      </c>
      <c r="B257" s="59" t="s">
        <v>79</v>
      </c>
      <c r="C257" s="3">
        <v>45229</v>
      </c>
      <c r="D257" s="8">
        <v>3</v>
      </c>
      <c r="E257" s="3" t="s">
        <v>171</v>
      </c>
      <c r="F257" s="2" t="s">
        <v>546</v>
      </c>
      <c r="G257" s="7">
        <v>0.1487</v>
      </c>
      <c r="H257" s="7">
        <v>4.4999999999999997E-3</v>
      </c>
      <c r="I257" s="7">
        <v>1.2615000000000001</v>
      </c>
      <c r="L257" s="7">
        <v>0.14299999999999999</v>
      </c>
      <c r="O257" s="7">
        <v>60.2</v>
      </c>
      <c r="P257" s="7">
        <v>421</v>
      </c>
      <c r="Q257" s="7">
        <v>750</v>
      </c>
      <c r="R257" s="4" t="s">
        <v>15</v>
      </c>
      <c r="S257" s="4" t="s">
        <v>15</v>
      </c>
      <c r="T257" s="4"/>
      <c r="U257" s="4" t="s">
        <v>225</v>
      </c>
      <c r="V257" s="4"/>
      <c r="W257" s="9" t="s">
        <v>49</v>
      </c>
      <c r="X257" s="4" t="s">
        <v>78</v>
      </c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>
        <v>74.900000000000006</v>
      </c>
      <c r="AY257" s="4"/>
      <c r="AZ257" s="4">
        <v>111.6</v>
      </c>
      <c r="BA257" s="4"/>
      <c r="BB257" s="4"/>
      <c r="BC257" s="18">
        <v>25.1</v>
      </c>
      <c r="BD257" s="19">
        <v>1010</v>
      </c>
      <c r="BE257" s="19">
        <v>47.7</v>
      </c>
      <c r="BF257" s="20"/>
      <c r="BG257" s="4"/>
      <c r="BH257" s="4"/>
      <c r="BK257" s="7"/>
      <c r="BM257"/>
    </row>
    <row r="258" spans="1:65" x14ac:dyDescent="0.3">
      <c r="A258" s="2" t="s">
        <v>43</v>
      </c>
      <c r="B258" s="59" t="s">
        <v>79</v>
      </c>
      <c r="C258" s="3">
        <v>45229</v>
      </c>
      <c r="D258" s="8">
        <v>4</v>
      </c>
      <c r="E258" s="3" t="s">
        <v>172</v>
      </c>
      <c r="F258" s="2" t="s">
        <v>549</v>
      </c>
      <c r="G258" s="7">
        <v>0.14530000000000001</v>
      </c>
      <c r="H258" s="7">
        <v>4.4999999999999997E-3</v>
      </c>
      <c r="I258" s="7">
        <v>1.2615000000000001</v>
      </c>
      <c r="L258" s="7">
        <v>0.1426</v>
      </c>
      <c r="O258" s="7">
        <v>59.6</v>
      </c>
      <c r="P258" s="7">
        <v>409</v>
      </c>
      <c r="Q258" s="7">
        <v>750</v>
      </c>
      <c r="R258" s="4" t="s">
        <v>15</v>
      </c>
      <c r="S258" s="4" t="s">
        <v>15</v>
      </c>
      <c r="T258" s="4"/>
      <c r="U258" s="4" t="s">
        <v>225</v>
      </c>
      <c r="V258" s="4"/>
      <c r="W258" s="9" t="s">
        <v>49</v>
      </c>
      <c r="X258" s="4" t="s">
        <v>78</v>
      </c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>
        <v>80</v>
      </c>
      <c r="AY258" s="4"/>
      <c r="AZ258" s="22">
        <v>117</v>
      </c>
      <c r="BA258" s="4"/>
      <c r="BB258" s="4"/>
      <c r="BC258" s="18">
        <v>25.1</v>
      </c>
      <c r="BD258" s="19">
        <v>1010</v>
      </c>
      <c r="BE258" s="19">
        <v>47.7</v>
      </c>
      <c r="BF258" s="21"/>
      <c r="BG258" s="4"/>
      <c r="BH258" s="4"/>
      <c r="BK258" s="7"/>
      <c r="BM258"/>
    </row>
    <row r="259" spans="1:65" x14ac:dyDescent="0.3">
      <c r="A259" s="2" t="s">
        <v>43</v>
      </c>
      <c r="B259" s="59" t="s">
        <v>79</v>
      </c>
      <c r="C259" s="3">
        <v>45229</v>
      </c>
      <c r="D259" s="8">
        <v>5</v>
      </c>
      <c r="E259" s="3" t="s">
        <v>161</v>
      </c>
      <c r="F259" s="2" t="s">
        <v>213</v>
      </c>
      <c r="G259" s="7">
        <v>0.15659999999999999</v>
      </c>
      <c r="H259" s="7">
        <v>3.8999999999999998E-3</v>
      </c>
      <c r="I259" s="7">
        <v>1.2615000000000001</v>
      </c>
      <c r="L259" s="7">
        <v>0.15029999999999999</v>
      </c>
      <c r="O259" s="7">
        <v>60.5</v>
      </c>
      <c r="P259" s="7">
        <v>445</v>
      </c>
      <c r="Q259" s="7">
        <v>750</v>
      </c>
      <c r="R259" s="4" t="s">
        <v>15</v>
      </c>
      <c r="S259" s="4" t="s">
        <v>15</v>
      </c>
      <c r="T259" s="4"/>
      <c r="U259" s="4" t="s">
        <v>332</v>
      </c>
      <c r="V259" s="4"/>
      <c r="W259" s="9" t="s">
        <v>49</v>
      </c>
      <c r="X259" s="4" t="s">
        <v>78</v>
      </c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>
        <v>78.599999999999994</v>
      </c>
      <c r="AY259" s="4"/>
      <c r="AZ259" s="4">
        <v>111.6</v>
      </c>
      <c r="BA259" s="4"/>
      <c r="BB259" s="4"/>
      <c r="BC259" s="18">
        <v>25.9</v>
      </c>
      <c r="BD259" s="19">
        <v>1010</v>
      </c>
      <c r="BE259" s="19">
        <v>47</v>
      </c>
      <c r="BF259" s="20"/>
      <c r="BG259" s="4"/>
      <c r="BH259" s="4"/>
      <c r="BK259" s="7"/>
      <c r="BM259"/>
    </row>
    <row r="260" spans="1:65" x14ac:dyDescent="0.3">
      <c r="A260" s="2" t="s">
        <v>43</v>
      </c>
      <c r="B260" s="59" t="s">
        <v>79</v>
      </c>
      <c r="C260" s="3">
        <v>45229</v>
      </c>
      <c r="D260" s="8">
        <v>6</v>
      </c>
      <c r="E260" s="3" t="s">
        <v>162</v>
      </c>
      <c r="F260" s="2" t="s">
        <v>546</v>
      </c>
      <c r="G260" s="7">
        <v>0.1492</v>
      </c>
      <c r="H260" s="7">
        <v>3.5999999999999999E-3</v>
      </c>
      <c r="I260" s="7">
        <v>1.2615000000000001</v>
      </c>
      <c r="L260" s="7">
        <v>0.1452</v>
      </c>
      <c r="O260" s="7">
        <v>60.4</v>
      </c>
      <c r="P260" s="7">
        <v>432</v>
      </c>
      <c r="Q260" s="7">
        <v>750</v>
      </c>
      <c r="R260" s="4" t="s">
        <v>15</v>
      </c>
      <c r="S260" s="4" t="s">
        <v>15</v>
      </c>
      <c r="T260" s="4"/>
      <c r="U260" s="4" t="s">
        <v>225</v>
      </c>
      <c r="V260" s="4"/>
      <c r="W260" s="9" t="s">
        <v>49</v>
      </c>
      <c r="X260" s="4" t="s">
        <v>78</v>
      </c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>
        <v>85.5</v>
      </c>
      <c r="AY260" s="4"/>
      <c r="AZ260" s="22">
        <v>117</v>
      </c>
      <c r="BA260" s="4"/>
      <c r="BB260" s="4"/>
      <c r="BC260" s="18">
        <v>25.9</v>
      </c>
      <c r="BD260" s="19">
        <v>1010</v>
      </c>
      <c r="BE260" s="19">
        <v>47</v>
      </c>
      <c r="BF260" s="20"/>
      <c r="BG260" s="4"/>
      <c r="BH260" s="4"/>
      <c r="BK260" s="7"/>
      <c r="BM260"/>
    </row>
    <row r="261" spans="1:65" x14ac:dyDescent="0.3">
      <c r="A261" s="2" t="s">
        <v>43</v>
      </c>
      <c r="B261" s="59" t="s">
        <v>45</v>
      </c>
      <c r="C261" s="3">
        <v>45232</v>
      </c>
      <c r="D261" s="8">
        <v>1</v>
      </c>
      <c r="E261" s="3" t="s">
        <v>180</v>
      </c>
      <c r="F261" s="2" t="s">
        <v>558</v>
      </c>
      <c r="G261" s="7">
        <v>0.15820000000000001</v>
      </c>
      <c r="H261" s="7">
        <v>1.2999999999999999E-3</v>
      </c>
      <c r="I261" s="7">
        <v>1.2769999999999999</v>
      </c>
      <c r="L261" s="7">
        <v>0.15570000000000001</v>
      </c>
      <c r="O261" s="7">
        <v>59.7</v>
      </c>
      <c r="P261" s="7">
        <v>437</v>
      </c>
      <c r="Q261" s="7">
        <v>750</v>
      </c>
      <c r="R261" s="4" t="s">
        <v>561</v>
      </c>
      <c r="S261" s="4" t="s">
        <v>15</v>
      </c>
      <c r="T261" s="4"/>
      <c r="U261" s="4" t="s">
        <v>225</v>
      </c>
      <c r="V261" s="4"/>
      <c r="W261" s="4"/>
      <c r="X261" s="4" t="s">
        <v>78</v>
      </c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>
        <v>78.7</v>
      </c>
      <c r="AY261" s="4"/>
      <c r="AZ261" s="4">
        <v>111.6</v>
      </c>
      <c r="BA261" s="4"/>
      <c r="BB261" s="4"/>
      <c r="BC261" s="18">
        <v>26.4</v>
      </c>
      <c r="BD261" s="19">
        <v>1010</v>
      </c>
      <c r="BE261" s="19">
        <v>46.5</v>
      </c>
      <c r="BF261" s="20"/>
      <c r="BG261" s="4"/>
      <c r="BH261" s="4"/>
      <c r="BK261" s="7"/>
      <c r="BM261"/>
    </row>
    <row r="262" spans="1:65" x14ac:dyDescent="0.3">
      <c r="A262" s="2" t="s">
        <v>43</v>
      </c>
      <c r="B262" s="59" t="s">
        <v>45</v>
      </c>
      <c r="C262" s="3">
        <v>45232</v>
      </c>
      <c r="D262" s="8">
        <v>2</v>
      </c>
      <c r="E262" s="3" t="s">
        <v>181</v>
      </c>
      <c r="F262" s="2" t="s">
        <v>558</v>
      </c>
      <c r="G262" s="7">
        <v>0.1593</v>
      </c>
      <c r="H262" s="7">
        <v>2E-3</v>
      </c>
      <c r="I262" s="7">
        <v>1.2769999999999999</v>
      </c>
      <c r="L262" s="7">
        <v>0.15909999999999999</v>
      </c>
      <c r="O262" s="7">
        <v>59.4</v>
      </c>
      <c r="P262" s="7">
        <v>434</v>
      </c>
      <c r="Q262" s="7">
        <v>750</v>
      </c>
      <c r="R262" s="4" t="s">
        <v>561</v>
      </c>
      <c r="S262" s="4" t="s">
        <v>15</v>
      </c>
      <c r="T262" s="4"/>
      <c r="U262" s="4" t="s">
        <v>573</v>
      </c>
      <c r="V262" s="4"/>
      <c r="W262" s="4"/>
      <c r="X262" s="4" t="s">
        <v>78</v>
      </c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>
        <v>85.3</v>
      </c>
      <c r="AY262" s="4"/>
      <c r="AZ262" s="22">
        <v>117</v>
      </c>
      <c r="BA262" s="4"/>
      <c r="BB262" s="4"/>
      <c r="BC262" s="18">
        <v>26.4</v>
      </c>
      <c r="BD262" s="19">
        <v>1010</v>
      </c>
      <c r="BE262" s="19">
        <v>46.5</v>
      </c>
      <c r="BF262" s="20"/>
      <c r="BG262" s="4"/>
      <c r="BH262" s="4" t="s">
        <v>90</v>
      </c>
      <c r="BK262" s="7"/>
      <c r="BM262"/>
    </row>
    <row r="263" spans="1:65" x14ac:dyDescent="0.3">
      <c r="A263" s="2" t="s">
        <v>43</v>
      </c>
      <c r="B263" s="59" t="s">
        <v>45</v>
      </c>
      <c r="C263" s="3">
        <v>45232</v>
      </c>
      <c r="D263" s="8">
        <v>3</v>
      </c>
      <c r="E263" s="3" t="s">
        <v>182</v>
      </c>
      <c r="F263" s="2" t="s">
        <v>558</v>
      </c>
      <c r="G263" s="7">
        <v>0.15809999999999999</v>
      </c>
      <c r="H263" s="7">
        <v>4.0000000000000001E-3</v>
      </c>
      <c r="I263" s="7">
        <v>1.2769999999999999</v>
      </c>
      <c r="L263" s="7">
        <v>0.15759999999999999</v>
      </c>
      <c r="O263" s="7">
        <v>58.9</v>
      </c>
      <c r="P263" s="7">
        <v>430</v>
      </c>
      <c r="Q263" s="7">
        <v>750</v>
      </c>
      <c r="R263" s="4" t="s">
        <v>561</v>
      </c>
      <c r="S263" s="4" t="s">
        <v>15</v>
      </c>
      <c r="T263" s="4"/>
      <c r="U263" s="9" t="s">
        <v>575</v>
      </c>
      <c r="V263" s="4"/>
      <c r="W263" s="4"/>
      <c r="X263" s="4" t="s">
        <v>78</v>
      </c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>
        <v>74.8</v>
      </c>
      <c r="AY263" s="4"/>
      <c r="AZ263" s="4">
        <v>111.6</v>
      </c>
      <c r="BA263" s="4"/>
      <c r="BB263" s="4"/>
      <c r="BC263" s="18">
        <v>26.4</v>
      </c>
      <c r="BD263" s="19">
        <v>1010</v>
      </c>
      <c r="BE263" s="19">
        <v>46.5</v>
      </c>
      <c r="BF263" s="20"/>
      <c r="BG263" s="4"/>
      <c r="BH263" s="4"/>
      <c r="BK263" s="7"/>
      <c r="BM263"/>
    </row>
    <row r="264" spans="1:65" x14ac:dyDescent="0.3">
      <c r="A264" s="2" t="s">
        <v>43</v>
      </c>
      <c r="B264" s="59" t="s">
        <v>45</v>
      </c>
      <c r="C264" s="3">
        <v>45232</v>
      </c>
      <c r="D264" s="8">
        <v>4</v>
      </c>
      <c r="E264" s="3" t="s">
        <v>183</v>
      </c>
      <c r="F264" s="2" t="s">
        <v>558</v>
      </c>
      <c r="G264" s="7">
        <v>0.1573</v>
      </c>
      <c r="H264" s="7">
        <v>2.5000000000000001E-3</v>
      </c>
      <c r="I264" s="7">
        <v>1.2769999999999999</v>
      </c>
      <c r="L264" s="7">
        <v>0.15809999999999999</v>
      </c>
      <c r="O264" s="7">
        <v>59.3</v>
      </c>
      <c r="P264" s="7">
        <v>434</v>
      </c>
      <c r="Q264" s="7">
        <v>750</v>
      </c>
      <c r="R264" s="4" t="s">
        <v>561</v>
      </c>
      <c r="S264" s="4" t="s">
        <v>15</v>
      </c>
      <c r="T264" s="4"/>
      <c r="U264" s="4" t="s">
        <v>225</v>
      </c>
      <c r="V264" s="4"/>
      <c r="W264" s="4"/>
      <c r="X264" s="4" t="s">
        <v>78</v>
      </c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>
        <v>80</v>
      </c>
      <c r="AY264" s="4"/>
      <c r="AZ264" s="22">
        <v>117</v>
      </c>
      <c r="BA264" s="4"/>
      <c r="BB264" s="4"/>
      <c r="BC264" s="18">
        <v>26.4</v>
      </c>
      <c r="BD264" s="19">
        <v>1010</v>
      </c>
      <c r="BE264" s="19">
        <v>46.5</v>
      </c>
      <c r="BF264" s="20"/>
      <c r="BG264" s="4"/>
      <c r="BH264" s="4"/>
      <c r="BK264" s="7"/>
      <c r="BM264"/>
    </row>
    <row r="265" spans="1:65" x14ac:dyDescent="0.3">
      <c r="A265" s="2" t="s">
        <v>43</v>
      </c>
      <c r="B265" s="59" t="s">
        <v>45</v>
      </c>
      <c r="C265" s="3">
        <v>45232</v>
      </c>
      <c r="D265" s="8">
        <v>5</v>
      </c>
      <c r="E265" s="3" t="s">
        <v>197</v>
      </c>
      <c r="F265" s="2" t="s">
        <v>558</v>
      </c>
      <c r="G265" s="7">
        <v>0.1585</v>
      </c>
      <c r="H265" s="7">
        <v>1.2999999999999999E-3</v>
      </c>
      <c r="I265" s="7">
        <v>1.2769999999999999</v>
      </c>
      <c r="L265" s="7">
        <v>0.157</v>
      </c>
      <c r="O265" s="7">
        <v>59.5</v>
      </c>
      <c r="P265" s="7">
        <v>431</v>
      </c>
      <c r="Q265" s="7">
        <v>750</v>
      </c>
      <c r="R265" s="4" t="s">
        <v>561</v>
      </c>
      <c r="S265" s="4" t="s">
        <v>15</v>
      </c>
      <c r="T265" s="4"/>
      <c r="U265" s="4" t="s">
        <v>573</v>
      </c>
      <c r="V265" s="4"/>
      <c r="W265" s="4"/>
      <c r="X265" s="4" t="s">
        <v>78</v>
      </c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>
        <v>78.5</v>
      </c>
      <c r="AY265" s="4"/>
      <c r="AZ265" s="4">
        <v>111.6</v>
      </c>
      <c r="BA265" s="4"/>
      <c r="BB265" s="4"/>
      <c r="BC265" s="18">
        <v>26.7</v>
      </c>
      <c r="BD265" s="19">
        <v>1010</v>
      </c>
      <c r="BE265" s="19">
        <v>46.7</v>
      </c>
      <c r="BF265" s="20"/>
      <c r="BG265" s="4"/>
      <c r="BH265" s="4"/>
      <c r="BK265" s="7"/>
      <c r="BM265"/>
    </row>
    <row r="266" spans="1:65" x14ac:dyDescent="0.3">
      <c r="A266" s="2" t="s">
        <v>43</v>
      </c>
      <c r="B266" s="59" t="s">
        <v>45</v>
      </c>
      <c r="C266" s="3">
        <v>45232</v>
      </c>
      <c r="D266" s="8">
        <v>6</v>
      </c>
      <c r="E266" s="3" t="s">
        <v>173</v>
      </c>
      <c r="F266" s="2" t="s">
        <v>558</v>
      </c>
      <c r="G266" s="7">
        <v>0.16059999999999999</v>
      </c>
      <c r="H266" s="7">
        <v>3.5000000000000001E-3</v>
      </c>
      <c r="I266" s="7">
        <v>1.2769999999999999</v>
      </c>
      <c r="L266" s="7">
        <v>0.16059999999999999</v>
      </c>
      <c r="O266" s="7">
        <v>59.5</v>
      </c>
      <c r="P266" s="7">
        <v>434</v>
      </c>
      <c r="Q266" s="7">
        <v>750</v>
      </c>
      <c r="R266" s="4" t="s">
        <v>561</v>
      </c>
      <c r="S266" s="4" t="s">
        <v>15</v>
      </c>
      <c r="T266" s="4"/>
      <c r="U266" s="9" t="s">
        <v>575</v>
      </c>
      <c r="V266" s="4"/>
      <c r="W266" s="4"/>
      <c r="X266" s="4" t="s">
        <v>78</v>
      </c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>
        <v>85.3</v>
      </c>
      <c r="AY266" s="4"/>
      <c r="AZ266" s="22">
        <v>117</v>
      </c>
      <c r="BA266" s="4"/>
      <c r="BB266" s="4"/>
      <c r="BC266" s="18">
        <v>26.7</v>
      </c>
      <c r="BD266" s="19">
        <v>1010</v>
      </c>
      <c r="BE266" s="19">
        <v>46.7</v>
      </c>
      <c r="BF266" s="20"/>
      <c r="BG266" s="4"/>
      <c r="BH266" s="4"/>
      <c r="BK266" s="7"/>
      <c r="BM266"/>
    </row>
    <row r="267" spans="1:65" x14ac:dyDescent="0.3">
      <c r="A267" s="2" t="s">
        <v>43</v>
      </c>
      <c r="B267" s="59" t="s">
        <v>79</v>
      </c>
      <c r="C267" s="3">
        <v>45232</v>
      </c>
      <c r="D267" s="8">
        <v>1</v>
      </c>
      <c r="E267" s="3" t="s">
        <v>193</v>
      </c>
      <c r="F267" s="2" t="s">
        <v>549</v>
      </c>
      <c r="G267" s="7">
        <v>0.1477</v>
      </c>
      <c r="H267" s="7">
        <v>1.2800000000000001E-2</v>
      </c>
      <c r="I267" s="7">
        <v>1.292</v>
      </c>
      <c r="L267" s="7">
        <v>0.1439</v>
      </c>
      <c r="O267" s="7">
        <v>60.5</v>
      </c>
      <c r="P267" s="7">
        <v>431</v>
      </c>
      <c r="Q267" s="7">
        <v>750</v>
      </c>
      <c r="R267" s="4" t="s">
        <v>564</v>
      </c>
      <c r="S267" s="4" t="s">
        <v>15</v>
      </c>
      <c r="T267" s="4"/>
      <c r="U267" s="4" t="s">
        <v>225</v>
      </c>
      <c r="V267" s="4"/>
      <c r="W267" s="4"/>
      <c r="X267" s="4" t="s">
        <v>78</v>
      </c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>
        <v>80.2</v>
      </c>
      <c r="AY267" s="4"/>
      <c r="AZ267" s="4">
        <v>111.6</v>
      </c>
      <c r="BA267" s="4"/>
      <c r="BB267" s="4"/>
      <c r="BC267" s="4">
        <v>23.9</v>
      </c>
      <c r="BD267" s="23">
        <v>1010</v>
      </c>
      <c r="BE267" s="73">
        <v>48.2</v>
      </c>
      <c r="BF267" s="74"/>
      <c r="BG267" s="4"/>
      <c r="BH267" s="4"/>
      <c r="BK267" s="7"/>
      <c r="BM267"/>
    </row>
    <row r="268" spans="1:65" x14ac:dyDescent="0.3">
      <c r="A268" s="2" t="s">
        <v>43</v>
      </c>
      <c r="B268" s="59" t="s">
        <v>79</v>
      </c>
      <c r="C268" s="3">
        <v>45232</v>
      </c>
      <c r="D268" s="8">
        <v>2</v>
      </c>
      <c r="E268" s="3" t="s">
        <v>194</v>
      </c>
      <c r="F268" s="2" t="s">
        <v>549</v>
      </c>
      <c r="G268" s="7">
        <v>0.14399999999999999</v>
      </c>
      <c r="H268" s="7">
        <v>1.8E-3</v>
      </c>
      <c r="I268" s="7">
        <v>1.292</v>
      </c>
      <c r="L268" s="7">
        <v>0.1457</v>
      </c>
      <c r="O268" s="7">
        <v>59</v>
      </c>
      <c r="P268" s="7">
        <v>395</v>
      </c>
      <c r="Q268" s="7">
        <v>750</v>
      </c>
      <c r="R268" s="4" t="s">
        <v>217</v>
      </c>
      <c r="S268" s="4" t="s">
        <v>15</v>
      </c>
      <c r="T268" s="4"/>
      <c r="U268" s="4" t="s">
        <v>225</v>
      </c>
      <c r="V268" s="4"/>
      <c r="W268" s="4"/>
      <c r="X268" s="4" t="s">
        <v>78</v>
      </c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>
        <v>85.5</v>
      </c>
      <c r="AY268" s="4"/>
      <c r="AZ268" s="22">
        <v>117</v>
      </c>
      <c r="BA268" s="4"/>
      <c r="BB268" s="4"/>
      <c r="BC268" s="4">
        <v>23.9</v>
      </c>
      <c r="BD268" s="23">
        <v>1010</v>
      </c>
      <c r="BE268" s="73">
        <v>48.2</v>
      </c>
      <c r="BF268" s="74"/>
      <c r="BG268" s="4"/>
      <c r="BH268" s="13" t="s">
        <v>95</v>
      </c>
      <c r="BM268"/>
    </row>
    <row r="269" spans="1:65" x14ac:dyDescent="0.3">
      <c r="A269" s="2" t="s">
        <v>43</v>
      </c>
      <c r="B269" s="59" t="s">
        <v>79</v>
      </c>
      <c r="C269" s="3">
        <v>45232</v>
      </c>
      <c r="D269" s="8">
        <v>3</v>
      </c>
      <c r="E269" s="3" t="s">
        <v>195</v>
      </c>
      <c r="F269" s="2" t="s">
        <v>549</v>
      </c>
      <c r="G269" s="7">
        <v>0.1454</v>
      </c>
      <c r="H269" s="7">
        <v>2.3999999999999998E-3</v>
      </c>
      <c r="I269" s="7">
        <v>1.292</v>
      </c>
      <c r="L269" s="7">
        <v>0.14610000000000001</v>
      </c>
      <c r="O269" s="7">
        <v>59.8</v>
      </c>
      <c r="P269" s="7">
        <v>411</v>
      </c>
      <c r="Q269" s="7">
        <v>750</v>
      </c>
      <c r="R269" s="4" t="s">
        <v>561</v>
      </c>
      <c r="S269" s="4" t="s">
        <v>15</v>
      </c>
      <c r="T269" s="4"/>
      <c r="U269" s="4" t="s">
        <v>225</v>
      </c>
      <c r="V269" s="4"/>
      <c r="W269" s="4"/>
      <c r="X269" s="4" t="s">
        <v>78</v>
      </c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>
        <v>75.5</v>
      </c>
      <c r="AY269" s="4"/>
      <c r="AZ269" s="4">
        <v>111.6</v>
      </c>
      <c r="BA269" s="4"/>
      <c r="BB269" s="4"/>
      <c r="BC269" s="4">
        <v>23.9</v>
      </c>
      <c r="BD269" s="23">
        <v>1010</v>
      </c>
      <c r="BE269" s="73">
        <v>48.2</v>
      </c>
      <c r="BF269" s="74"/>
      <c r="BG269" s="4"/>
      <c r="BH269" s="4"/>
      <c r="BM269"/>
    </row>
    <row r="270" spans="1:65" x14ac:dyDescent="0.3">
      <c r="A270" s="2" t="s">
        <v>43</v>
      </c>
      <c r="B270" s="59" t="s">
        <v>79</v>
      </c>
      <c r="C270" s="3">
        <v>45232</v>
      </c>
      <c r="D270" s="8">
        <v>4</v>
      </c>
      <c r="E270" s="3" t="s">
        <v>184</v>
      </c>
      <c r="F270" s="2" t="s">
        <v>549</v>
      </c>
      <c r="G270" s="52"/>
      <c r="H270" s="52"/>
      <c r="I270" s="7">
        <v>1.292</v>
      </c>
      <c r="L270" s="7">
        <v>0.1439</v>
      </c>
      <c r="O270" s="7">
        <v>60.1</v>
      </c>
      <c r="P270" s="7">
        <v>412</v>
      </c>
      <c r="Q270" s="7">
        <v>750</v>
      </c>
      <c r="R270" s="4" t="s">
        <v>564</v>
      </c>
      <c r="S270" s="4" t="s">
        <v>15</v>
      </c>
      <c r="T270" s="4"/>
      <c r="U270" s="4" t="s">
        <v>225</v>
      </c>
      <c r="V270" s="4"/>
      <c r="W270" s="4"/>
      <c r="X270" s="4" t="s">
        <v>78</v>
      </c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>
        <v>80.2</v>
      </c>
      <c r="AY270" s="4"/>
      <c r="AZ270" s="4">
        <v>111.6</v>
      </c>
      <c r="BA270" s="4"/>
      <c r="BB270" s="4"/>
      <c r="BC270" s="4">
        <v>24.1</v>
      </c>
      <c r="BD270" s="23">
        <v>1010</v>
      </c>
      <c r="BE270" s="73">
        <v>48.2</v>
      </c>
      <c r="BF270" s="74"/>
      <c r="BG270" s="4"/>
      <c r="BH270" s="4" t="s">
        <v>94</v>
      </c>
      <c r="BM270"/>
    </row>
    <row r="271" spans="1:65" x14ac:dyDescent="0.3">
      <c r="A271" s="2" t="s">
        <v>43</v>
      </c>
      <c r="B271" s="59" t="s">
        <v>79</v>
      </c>
      <c r="C271" s="3">
        <v>45232</v>
      </c>
      <c r="D271" s="8">
        <v>5</v>
      </c>
      <c r="E271" s="3" t="s">
        <v>185</v>
      </c>
      <c r="F271" s="2" t="s">
        <v>549</v>
      </c>
      <c r="G271" s="7">
        <v>0.14360000000000001</v>
      </c>
      <c r="H271" s="7">
        <v>2.5999999999999999E-3</v>
      </c>
      <c r="I271" s="7">
        <v>1.292</v>
      </c>
      <c r="L271" s="7">
        <v>0.14710000000000001</v>
      </c>
      <c r="O271" s="7">
        <v>60.4</v>
      </c>
      <c r="P271" s="7">
        <v>429</v>
      </c>
      <c r="Q271" s="7">
        <v>750</v>
      </c>
      <c r="R271" s="4" t="s">
        <v>217</v>
      </c>
      <c r="S271" s="4" t="s">
        <v>15</v>
      </c>
      <c r="T271" s="4"/>
      <c r="U271" s="4" t="s">
        <v>225</v>
      </c>
      <c r="V271" s="4"/>
      <c r="W271" s="4"/>
      <c r="X271" s="4" t="s">
        <v>78</v>
      </c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>
        <v>85.4</v>
      </c>
      <c r="AY271" s="4"/>
      <c r="AZ271" s="22">
        <v>117</v>
      </c>
      <c r="BA271" s="4"/>
      <c r="BB271" s="4"/>
      <c r="BC271" s="4">
        <v>24.1</v>
      </c>
      <c r="BD271" s="23">
        <v>1010</v>
      </c>
      <c r="BE271" s="73">
        <v>48.2</v>
      </c>
      <c r="BF271" s="74"/>
      <c r="BG271" s="4"/>
      <c r="BH271" s="4"/>
      <c r="BM271"/>
    </row>
    <row r="272" spans="1:65" x14ac:dyDescent="0.3">
      <c r="A272" s="2" t="s">
        <v>43</v>
      </c>
      <c r="B272" s="59" t="s">
        <v>79</v>
      </c>
      <c r="C272" s="3">
        <v>45232</v>
      </c>
      <c r="D272" s="8">
        <v>6</v>
      </c>
      <c r="E272" s="3" t="s">
        <v>186</v>
      </c>
      <c r="F272" s="2" t="s">
        <v>549</v>
      </c>
      <c r="G272" s="7">
        <v>0.14560000000000001</v>
      </c>
      <c r="H272" s="7">
        <v>1.9E-3</v>
      </c>
      <c r="I272" s="7">
        <v>1.292</v>
      </c>
      <c r="L272" s="7">
        <v>0.14660000000000001</v>
      </c>
      <c r="O272" s="7">
        <v>60.2</v>
      </c>
      <c r="P272" s="7">
        <v>418</v>
      </c>
      <c r="Q272" s="7">
        <v>750</v>
      </c>
      <c r="R272" s="4" t="s">
        <v>561</v>
      </c>
      <c r="S272" s="4" t="s">
        <v>15</v>
      </c>
      <c r="T272" s="4"/>
      <c r="U272" s="4" t="s">
        <v>225</v>
      </c>
      <c r="V272" s="4"/>
      <c r="W272" s="4"/>
      <c r="X272" s="4" t="s">
        <v>78</v>
      </c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>
        <v>75.400000000000006</v>
      </c>
      <c r="AY272" s="4"/>
      <c r="AZ272" s="4">
        <v>111.6</v>
      </c>
      <c r="BA272" s="4"/>
      <c r="BB272" s="4"/>
      <c r="BC272" s="4">
        <v>24.1</v>
      </c>
      <c r="BD272" s="23">
        <v>1010</v>
      </c>
      <c r="BE272" s="73">
        <v>48.2</v>
      </c>
      <c r="BF272" s="74"/>
      <c r="BG272" s="4"/>
      <c r="BH272" s="13" t="s">
        <v>97</v>
      </c>
      <c r="BM272"/>
    </row>
    <row r="273" spans="1:65" x14ac:dyDescent="0.3">
      <c r="A273" s="2" t="s">
        <v>43</v>
      </c>
      <c r="B273" s="59" t="s">
        <v>45</v>
      </c>
      <c r="C273" s="3">
        <v>45236</v>
      </c>
      <c r="D273" s="8">
        <v>1</v>
      </c>
      <c r="E273" s="3" t="s">
        <v>272</v>
      </c>
      <c r="F273" s="2" t="s">
        <v>558</v>
      </c>
      <c r="G273" s="7">
        <v>0.15939999999999999</v>
      </c>
      <c r="H273" s="7">
        <v>2.5000000000000001E-3</v>
      </c>
      <c r="I273" s="7">
        <v>1.2529999999999999</v>
      </c>
      <c r="J273" s="7">
        <v>508</v>
      </c>
      <c r="K273" s="7">
        <v>0.159</v>
      </c>
      <c r="L273" s="7">
        <v>0.15809999999999999</v>
      </c>
      <c r="O273" s="7">
        <v>60.1</v>
      </c>
      <c r="P273" s="7">
        <v>441</v>
      </c>
      <c r="Q273" s="7">
        <v>750</v>
      </c>
      <c r="R273" s="4" t="s">
        <v>93</v>
      </c>
      <c r="S273" s="4" t="s">
        <v>15</v>
      </c>
      <c r="T273" s="4"/>
      <c r="U273" s="4" t="s">
        <v>225</v>
      </c>
      <c r="V273" s="4"/>
      <c r="W273" s="4"/>
      <c r="X273" s="4" t="s">
        <v>78</v>
      </c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>
        <v>79.5</v>
      </c>
      <c r="AY273" s="4"/>
      <c r="AZ273" s="4">
        <v>111.6</v>
      </c>
      <c r="BA273" s="4"/>
      <c r="BB273" s="4"/>
      <c r="BC273" s="4">
        <v>25.2</v>
      </c>
      <c r="BD273" s="23">
        <v>1010</v>
      </c>
      <c r="BE273" s="73">
        <v>47</v>
      </c>
      <c r="BF273" s="74"/>
      <c r="BG273" s="4"/>
      <c r="BH273" s="4"/>
      <c r="BM273"/>
    </row>
    <row r="274" spans="1:65" x14ac:dyDescent="0.3">
      <c r="A274" s="2" t="s">
        <v>43</v>
      </c>
      <c r="B274" s="59" t="s">
        <v>45</v>
      </c>
      <c r="C274" s="3">
        <v>45236</v>
      </c>
      <c r="D274" s="8">
        <v>2</v>
      </c>
      <c r="E274" s="3" t="s">
        <v>273</v>
      </c>
      <c r="F274" s="2" t="s">
        <v>558</v>
      </c>
      <c r="G274" s="53"/>
      <c r="H274" s="53"/>
      <c r="I274" s="7">
        <v>1.2529999999999999</v>
      </c>
      <c r="J274" s="7">
        <v>508</v>
      </c>
      <c r="K274" s="7">
        <v>0.161</v>
      </c>
      <c r="Q274" s="7">
        <v>750</v>
      </c>
      <c r="R274" s="4" t="s">
        <v>217</v>
      </c>
      <c r="S274" s="4" t="s">
        <v>15</v>
      </c>
      <c r="T274" s="4"/>
      <c r="U274" s="4" t="s">
        <v>225</v>
      </c>
      <c r="V274" s="4"/>
      <c r="W274" s="4"/>
      <c r="X274" s="4" t="s">
        <v>78</v>
      </c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>
        <v>84.9</v>
      </c>
      <c r="AY274" s="4"/>
      <c r="AZ274" s="22">
        <v>117</v>
      </c>
      <c r="BA274" s="4"/>
      <c r="BB274" s="4"/>
      <c r="BC274" s="4">
        <v>25.2</v>
      </c>
      <c r="BD274" s="23">
        <v>1010</v>
      </c>
      <c r="BE274" s="73">
        <v>47</v>
      </c>
      <c r="BF274" s="74"/>
      <c r="BG274" s="4"/>
      <c r="BH274" s="13" t="s">
        <v>96</v>
      </c>
      <c r="BM274"/>
    </row>
    <row r="275" spans="1:65" x14ac:dyDescent="0.3">
      <c r="A275" s="2" t="s">
        <v>43</v>
      </c>
      <c r="B275" s="59" t="s">
        <v>45</v>
      </c>
      <c r="C275" s="3">
        <v>45236</v>
      </c>
      <c r="D275" s="8">
        <v>4</v>
      </c>
      <c r="E275" s="3" t="s">
        <v>270</v>
      </c>
      <c r="F275" s="2" t="s">
        <v>558</v>
      </c>
      <c r="G275" s="52"/>
      <c r="H275" s="52"/>
      <c r="I275" s="7">
        <v>1.2529999999999999</v>
      </c>
      <c r="J275" s="7">
        <v>508</v>
      </c>
      <c r="L275" s="7">
        <v>0.15390000000000001</v>
      </c>
      <c r="O275" s="7">
        <v>60.6</v>
      </c>
      <c r="P275" s="7">
        <v>457</v>
      </c>
      <c r="Q275" s="7">
        <v>750</v>
      </c>
      <c r="R275" s="4" t="s">
        <v>217</v>
      </c>
      <c r="S275" s="4" t="s">
        <v>15</v>
      </c>
      <c r="T275" s="4"/>
      <c r="U275" s="4" t="s">
        <v>225</v>
      </c>
      <c r="V275" s="4"/>
      <c r="W275" s="4"/>
      <c r="X275" s="4" t="s">
        <v>78</v>
      </c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>
        <v>79.5</v>
      </c>
      <c r="AY275" s="4"/>
      <c r="AZ275" s="4">
        <v>111.6</v>
      </c>
      <c r="BA275" s="4"/>
      <c r="BB275" s="4"/>
      <c r="BC275" s="4">
        <v>25.7</v>
      </c>
      <c r="BD275" s="23">
        <v>1009</v>
      </c>
      <c r="BE275" s="73">
        <v>46.3</v>
      </c>
      <c r="BF275" s="74"/>
      <c r="BG275" s="4"/>
      <c r="BH275" s="4"/>
      <c r="BM275"/>
    </row>
    <row r="276" spans="1:65" x14ac:dyDescent="0.3">
      <c r="A276" s="2" t="s">
        <v>43</v>
      </c>
      <c r="B276" s="59" t="s">
        <v>45</v>
      </c>
      <c r="C276" s="3">
        <v>45236</v>
      </c>
      <c r="D276" s="8">
        <v>5</v>
      </c>
      <c r="E276" s="3" t="s">
        <v>271</v>
      </c>
      <c r="F276" s="2" t="s">
        <v>558</v>
      </c>
      <c r="G276" s="7">
        <v>0.15770000000000001</v>
      </c>
      <c r="H276" s="7">
        <v>4.1999999999999997E-3</v>
      </c>
      <c r="I276" s="7">
        <v>1.2529999999999999</v>
      </c>
      <c r="J276" s="7">
        <v>508</v>
      </c>
      <c r="K276" s="7">
        <v>0.158</v>
      </c>
      <c r="L276" s="7">
        <v>0.15659999999999999</v>
      </c>
      <c r="O276" s="7">
        <v>60.1</v>
      </c>
      <c r="P276" s="7">
        <v>449</v>
      </c>
      <c r="Q276" s="7">
        <v>750</v>
      </c>
      <c r="R276" s="4" t="s">
        <v>93</v>
      </c>
      <c r="S276" s="4" t="s">
        <v>15</v>
      </c>
      <c r="T276" s="4"/>
      <c r="U276" s="4" t="s">
        <v>225</v>
      </c>
      <c r="V276" s="4"/>
      <c r="W276" s="4"/>
      <c r="X276" s="4" t="s">
        <v>78</v>
      </c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>
        <v>84.9</v>
      </c>
      <c r="AY276" s="4"/>
      <c r="AZ276" s="22">
        <v>117</v>
      </c>
      <c r="BA276" s="4"/>
      <c r="BB276" s="4"/>
      <c r="BC276" s="4">
        <v>25.7</v>
      </c>
      <c r="BD276" s="23">
        <v>1009</v>
      </c>
      <c r="BE276" s="73">
        <v>46.3</v>
      </c>
      <c r="BF276" s="74"/>
      <c r="BG276" s="4"/>
      <c r="BH276" s="4"/>
      <c r="BM276"/>
    </row>
    <row r="277" spans="1:65" x14ac:dyDescent="0.3">
      <c r="A277" s="2" t="s">
        <v>43</v>
      </c>
      <c r="B277" s="59" t="s">
        <v>45</v>
      </c>
      <c r="C277" s="3">
        <v>45236</v>
      </c>
      <c r="D277" s="8">
        <v>6</v>
      </c>
      <c r="E277" s="3" t="s">
        <v>196</v>
      </c>
      <c r="F277" s="2" t="s">
        <v>558</v>
      </c>
      <c r="G277" s="7">
        <v>0.15620000000000001</v>
      </c>
      <c r="H277" s="7">
        <v>2.5000000000000001E-3</v>
      </c>
      <c r="I277" s="7">
        <v>1.2529999999999999</v>
      </c>
      <c r="J277" s="7">
        <v>508</v>
      </c>
      <c r="K277" s="7">
        <v>0.159</v>
      </c>
      <c r="L277" s="7">
        <v>0.15479999999999999</v>
      </c>
      <c r="O277" s="7">
        <v>60.8</v>
      </c>
      <c r="P277" s="7">
        <v>459</v>
      </c>
      <c r="Q277" s="7">
        <v>750</v>
      </c>
      <c r="R277" s="4" t="s">
        <v>217</v>
      </c>
      <c r="S277" s="4" t="s">
        <v>15</v>
      </c>
      <c r="T277" s="4"/>
      <c r="U277" s="4" t="s">
        <v>225</v>
      </c>
      <c r="V277" s="4"/>
      <c r="W277" s="4"/>
      <c r="X277" s="4" t="s">
        <v>78</v>
      </c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>
        <v>75.099999999999994</v>
      </c>
      <c r="AY277" s="4"/>
      <c r="AZ277" s="4">
        <v>111.6</v>
      </c>
      <c r="BA277" s="4"/>
      <c r="BB277" s="4"/>
      <c r="BC277" s="4">
        <v>25.7</v>
      </c>
      <c r="BD277" s="23">
        <v>1009</v>
      </c>
      <c r="BE277" s="73">
        <v>46.3</v>
      </c>
      <c r="BF277" s="74"/>
      <c r="BG277" s="4"/>
      <c r="BH277" s="4"/>
      <c r="BM277"/>
    </row>
    <row r="278" spans="1:65" x14ac:dyDescent="0.3">
      <c r="A278" s="2" t="s">
        <v>43</v>
      </c>
      <c r="B278" s="59" t="s">
        <v>45</v>
      </c>
      <c r="C278" s="3">
        <v>45236</v>
      </c>
      <c r="D278" s="8">
        <v>8</v>
      </c>
      <c r="E278" s="3" t="s">
        <v>200</v>
      </c>
      <c r="F278" s="2" t="s">
        <v>558</v>
      </c>
      <c r="G278" s="7">
        <v>0.1573</v>
      </c>
      <c r="H278" s="7">
        <v>3.2000000000000002E-3</v>
      </c>
      <c r="I278" s="7">
        <v>1.2529999999999999</v>
      </c>
      <c r="J278" s="7">
        <v>508</v>
      </c>
      <c r="K278" s="7">
        <v>0.16</v>
      </c>
      <c r="L278" s="7">
        <v>0.15709999999999999</v>
      </c>
      <c r="O278" s="7">
        <v>60.6</v>
      </c>
      <c r="P278" s="7">
        <v>459</v>
      </c>
      <c r="Q278" s="7">
        <v>750</v>
      </c>
      <c r="R278" s="4" t="s">
        <v>217</v>
      </c>
      <c r="S278" s="4" t="s">
        <v>15</v>
      </c>
      <c r="T278" s="4"/>
      <c r="U278" s="4" t="s">
        <v>225</v>
      </c>
      <c r="V278" s="4"/>
      <c r="W278" s="4"/>
      <c r="X278" s="4" t="s">
        <v>78</v>
      </c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>
        <v>84.9</v>
      </c>
      <c r="AY278" s="4"/>
      <c r="AZ278" s="22">
        <v>117</v>
      </c>
      <c r="BA278" s="4"/>
      <c r="BB278" s="4"/>
      <c r="BC278" s="4">
        <v>25.8</v>
      </c>
      <c r="BD278" s="23">
        <v>1009</v>
      </c>
      <c r="BE278" s="73">
        <v>45.7</v>
      </c>
      <c r="BF278" s="74"/>
      <c r="BG278" s="4"/>
      <c r="BH278" s="4"/>
      <c r="BM278"/>
    </row>
    <row r="279" spans="1:65" x14ac:dyDescent="0.3">
      <c r="A279" s="2" t="s">
        <v>43</v>
      </c>
      <c r="B279" s="59" t="s">
        <v>45</v>
      </c>
      <c r="C279" s="3">
        <v>45236</v>
      </c>
      <c r="D279" s="8">
        <v>9</v>
      </c>
      <c r="E279" s="3" t="s">
        <v>201</v>
      </c>
      <c r="F279" s="2" t="s">
        <v>558</v>
      </c>
      <c r="G279" s="7">
        <v>0.15609999999999999</v>
      </c>
      <c r="H279" s="7">
        <v>2.8999999999999998E-3</v>
      </c>
      <c r="I279" s="7">
        <v>1.2529999999999999</v>
      </c>
      <c r="J279" s="7">
        <v>508</v>
      </c>
      <c r="K279" s="7">
        <v>0.161</v>
      </c>
      <c r="L279" s="7">
        <v>0.1547</v>
      </c>
      <c r="O279" s="7">
        <v>60.8</v>
      </c>
      <c r="P279" s="7">
        <v>454</v>
      </c>
      <c r="Q279" s="7">
        <v>750</v>
      </c>
      <c r="R279" s="4" t="s">
        <v>217</v>
      </c>
      <c r="S279" s="4" t="s">
        <v>15</v>
      </c>
      <c r="T279" s="4"/>
      <c r="U279" s="4" t="s">
        <v>225</v>
      </c>
      <c r="V279" s="4"/>
      <c r="W279" s="4"/>
      <c r="X279" s="4" t="s">
        <v>78</v>
      </c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>
        <v>74.900000000000006</v>
      </c>
      <c r="AY279" s="4"/>
      <c r="AZ279" s="4">
        <v>111.6</v>
      </c>
      <c r="BA279" s="4"/>
      <c r="BB279" s="4"/>
      <c r="BC279" s="4">
        <v>25.8</v>
      </c>
      <c r="BD279" s="23">
        <v>1009</v>
      </c>
      <c r="BE279" s="73">
        <v>45.7</v>
      </c>
      <c r="BF279" s="74"/>
      <c r="BG279" s="4"/>
      <c r="BH279" s="4"/>
      <c r="BM279"/>
    </row>
    <row r="280" spans="1:65" x14ac:dyDescent="0.3">
      <c r="A280" s="2" t="s">
        <v>43</v>
      </c>
      <c r="B280" s="59" t="s">
        <v>79</v>
      </c>
      <c r="C280" s="3">
        <v>45236</v>
      </c>
      <c r="D280" s="8">
        <v>1</v>
      </c>
      <c r="E280" s="3" t="s">
        <v>208</v>
      </c>
      <c r="F280" s="2" t="s">
        <v>549</v>
      </c>
      <c r="G280" s="7">
        <v>0.15010000000000001</v>
      </c>
      <c r="H280" s="7">
        <v>5.3E-3</v>
      </c>
      <c r="I280" s="7">
        <v>1.2404999999999999</v>
      </c>
      <c r="J280" s="7">
        <v>507</v>
      </c>
      <c r="K280" s="7">
        <v>0.151</v>
      </c>
      <c r="L280" s="7">
        <v>0.14660000000000001</v>
      </c>
      <c r="O280" s="7">
        <v>59.7</v>
      </c>
      <c r="P280" s="7">
        <v>418</v>
      </c>
      <c r="Q280" s="7">
        <v>750</v>
      </c>
      <c r="R280" s="4" t="s">
        <v>93</v>
      </c>
      <c r="S280" s="4" t="s">
        <v>15</v>
      </c>
      <c r="T280" s="4"/>
      <c r="U280" s="4" t="s">
        <v>225</v>
      </c>
      <c r="V280" s="4"/>
      <c r="W280" s="4"/>
      <c r="X280" s="4" t="s">
        <v>78</v>
      </c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>
        <v>75.5</v>
      </c>
      <c r="AY280" s="4"/>
      <c r="AZ280" s="4">
        <v>111.6</v>
      </c>
      <c r="BA280" s="4"/>
      <c r="BB280" s="4"/>
      <c r="BC280" s="16">
        <v>25.5</v>
      </c>
      <c r="BD280" s="17">
        <v>1012</v>
      </c>
      <c r="BE280" s="17">
        <v>39.4</v>
      </c>
      <c r="BF280" s="15"/>
      <c r="BG280" s="4"/>
      <c r="BH280" s="4"/>
      <c r="BM280"/>
    </row>
    <row r="281" spans="1:65" x14ac:dyDescent="0.3">
      <c r="A281" s="2" t="s">
        <v>43</v>
      </c>
      <c r="B281" s="59" t="s">
        <v>79</v>
      </c>
      <c r="C281" s="3">
        <v>45236</v>
      </c>
      <c r="D281" s="8">
        <v>2</v>
      </c>
      <c r="E281" s="3" t="s">
        <v>279</v>
      </c>
      <c r="F281" s="2" t="s">
        <v>549</v>
      </c>
      <c r="G281" s="7">
        <v>0.1457</v>
      </c>
      <c r="H281" s="7">
        <v>2.5000000000000001E-3</v>
      </c>
      <c r="I281" s="7">
        <v>1.2404999999999999</v>
      </c>
      <c r="J281" s="7">
        <v>507</v>
      </c>
      <c r="K281" s="7">
        <v>0.151</v>
      </c>
      <c r="L281" s="7">
        <v>0.14710000000000001</v>
      </c>
      <c r="O281" s="7">
        <v>58.6</v>
      </c>
      <c r="P281" s="7">
        <v>397</v>
      </c>
      <c r="Q281" s="7">
        <v>750</v>
      </c>
      <c r="R281" s="4" t="s">
        <v>217</v>
      </c>
      <c r="S281" s="4" t="s">
        <v>15</v>
      </c>
      <c r="T281" s="4"/>
      <c r="U281" s="4" t="s">
        <v>225</v>
      </c>
      <c r="V281" s="4"/>
      <c r="W281" s="4"/>
      <c r="X281" s="4" t="s">
        <v>78</v>
      </c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>
        <v>84.6</v>
      </c>
      <c r="AY281" s="4"/>
      <c r="AZ281" s="4">
        <v>120.6</v>
      </c>
      <c r="BA281" s="4"/>
      <c r="BB281" s="4"/>
      <c r="BC281" s="16">
        <v>25.5</v>
      </c>
      <c r="BD281" s="17">
        <v>1012</v>
      </c>
      <c r="BE281" s="17">
        <v>39.4</v>
      </c>
      <c r="BF281" s="15"/>
      <c r="BG281" s="4"/>
      <c r="BH281" s="4"/>
      <c r="BM281"/>
    </row>
    <row r="282" spans="1:65" x14ac:dyDescent="0.3">
      <c r="A282" s="2" t="s">
        <v>43</v>
      </c>
      <c r="B282" s="59" t="s">
        <v>79</v>
      </c>
      <c r="C282" s="3">
        <v>45236</v>
      </c>
      <c r="D282" s="8">
        <v>5</v>
      </c>
      <c r="E282" s="3" t="s">
        <v>282</v>
      </c>
      <c r="F282" s="2" t="s">
        <v>549</v>
      </c>
      <c r="G282" s="7">
        <v>0.14899999999999999</v>
      </c>
      <c r="H282" s="7">
        <v>4.0000000000000001E-3</v>
      </c>
      <c r="I282" s="7">
        <v>1.2404999999999999</v>
      </c>
      <c r="J282" s="7">
        <v>507</v>
      </c>
      <c r="K282" s="7">
        <v>0.14899999999999999</v>
      </c>
      <c r="L282" s="7">
        <v>0.14610000000000001</v>
      </c>
      <c r="O282" s="7">
        <v>60.3</v>
      </c>
      <c r="P282" s="7">
        <v>428</v>
      </c>
      <c r="Q282" s="7">
        <v>750</v>
      </c>
      <c r="R282" s="4" t="s">
        <v>93</v>
      </c>
      <c r="S282" s="4" t="s">
        <v>15</v>
      </c>
      <c r="T282" s="4"/>
      <c r="U282" s="4" t="s">
        <v>225</v>
      </c>
      <c r="V282" s="4"/>
      <c r="W282" s="4"/>
      <c r="X282" s="4" t="s">
        <v>78</v>
      </c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>
        <v>75.5</v>
      </c>
      <c r="AY282" s="4"/>
      <c r="AZ282" s="4">
        <v>111.6</v>
      </c>
      <c r="BA282" s="4"/>
      <c r="BB282" s="4"/>
      <c r="BC282" s="16">
        <v>26</v>
      </c>
      <c r="BD282" s="17">
        <v>1012</v>
      </c>
      <c r="BE282" s="17">
        <v>40</v>
      </c>
      <c r="BF282" s="15"/>
      <c r="BG282" s="4"/>
      <c r="BH282" s="4"/>
      <c r="BM282"/>
    </row>
    <row r="283" spans="1:65" x14ac:dyDescent="0.3">
      <c r="A283" s="2" t="s">
        <v>43</v>
      </c>
      <c r="B283" s="59" t="s">
        <v>79</v>
      </c>
      <c r="C283" s="3">
        <v>45236</v>
      </c>
      <c r="D283" s="8">
        <v>6</v>
      </c>
      <c r="E283" s="3" t="s">
        <v>276</v>
      </c>
      <c r="F283" s="2" t="s">
        <v>549</v>
      </c>
      <c r="G283" s="7">
        <v>0.14960000000000001</v>
      </c>
      <c r="H283" s="7">
        <v>1.6999999999999999E-3</v>
      </c>
      <c r="I283" s="7">
        <v>1.2404999999999999</v>
      </c>
      <c r="J283" s="7">
        <v>507</v>
      </c>
      <c r="K283" s="7">
        <v>0.15</v>
      </c>
      <c r="L283" s="7">
        <v>0.1462</v>
      </c>
      <c r="O283" s="7">
        <v>61.5</v>
      </c>
      <c r="P283" s="7">
        <v>444</v>
      </c>
      <c r="Q283" s="7">
        <v>750</v>
      </c>
      <c r="R283" s="4" t="s">
        <v>217</v>
      </c>
      <c r="S283" s="4" t="s">
        <v>15</v>
      </c>
      <c r="T283" s="4"/>
      <c r="U283" s="4" t="s">
        <v>225</v>
      </c>
      <c r="V283" s="4"/>
      <c r="W283" s="4"/>
      <c r="X283" s="4" t="s">
        <v>78</v>
      </c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>
        <v>84.3</v>
      </c>
      <c r="AY283" s="4"/>
      <c r="AZ283" s="4">
        <v>120.6</v>
      </c>
      <c r="BA283" s="4"/>
      <c r="BB283" s="4"/>
      <c r="BC283" s="16">
        <v>26</v>
      </c>
      <c r="BD283" s="17">
        <v>1012</v>
      </c>
      <c r="BE283" s="17">
        <v>40</v>
      </c>
      <c r="BF283" s="15"/>
      <c r="BG283" s="4"/>
      <c r="BH283" s="4"/>
      <c r="BM283"/>
    </row>
    <row r="284" spans="1:65" x14ac:dyDescent="0.3">
      <c r="A284" s="2" t="s">
        <v>43</v>
      </c>
      <c r="B284" s="59" t="s">
        <v>44</v>
      </c>
      <c r="C284" s="3">
        <v>45239</v>
      </c>
      <c r="D284" s="8">
        <v>1</v>
      </c>
      <c r="E284" s="3" t="s">
        <v>324</v>
      </c>
      <c r="F284" s="2" t="s">
        <v>213</v>
      </c>
      <c r="G284" s="7">
        <v>0.16550000000000001</v>
      </c>
      <c r="H284" s="7">
        <v>4.7999999999999996E-3</v>
      </c>
      <c r="I284" s="7">
        <v>1.302</v>
      </c>
      <c r="J284" s="7">
        <v>497</v>
      </c>
      <c r="K284" s="7">
        <v>0.16900000000000001</v>
      </c>
      <c r="L284" s="7">
        <v>0.16919999999999999</v>
      </c>
      <c r="O284" s="7">
        <v>59.1</v>
      </c>
      <c r="P284" s="7">
        <v>464</v>
      </c>
      <c r="Q284" s="7">
        <v>750</v>
      </c>
      <c r="R284" s="4" t="s">
        <v>15</v>
      </c>
      <c r="S284" s="4" t="s">
        <v>15</v>
      </c>
      <c r="T284" s="4"/>
      <c r="U284" s="4" t="s">
        <v>332</v>
      </c>
      <c r="V284" s="4"/>
      <c r="W284" s="4"/>
      <c r="X284" s="4" t="s">
        <v>78</v>
      </c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>
        <v>75.400000000000006</v>
      </c>
      <c r="AY284" s="4"/>
      <c r="AZ284" s="4">
        <v>111.6</v>
      </c>
      <c r="BA284" s="4"/>
      <c r="BB284" s="4"/>
      <c r="BC284" s="16">
        <v>26.3</v>
      </c>
      <c r="BD284" s="17">
        <v>1012</v>
      </c>
      <c r="BE284" s="17">
        <v>40</v>
      </c>
      <c r="BF284" s="15"/>
      <c r="BG284" s="4"/>
      <c r="BH284" s="4"/>
      <c r="BM284"/>
    </row>
    <row r="285" spans="1:65" x14ac:dyDescent="0.3">
      <c r="A285" s="2" t="s">
        <v>43</v>
      </c>
      <c r="B285" s="59" t="s">
        <v>44</v>
      </c>
      <c r="C285" s="3">
        <v>45239</v>
      </c>
      <c r="D285" s="8">
        <v>2</v>
      </c>
      <c r="E285" s="3" t="s">
        <v>323</v>
      </c>
      <c r="F285" s="2" t="s">
        <v>98</v>
      </c>
      <c r="G285" s="7">
        <v>0.16969999999999999</v>
      </c>
      <c r="H285" s="7">
        <v>2.5999999999999999E-3</v>
      </c>
      <c r="I285" s="7">
        <v>1.302</v>
      </c>
      <c r="J285" s="7">
        <v>497</v>
      </c>
      <c r="K285" s="7">
        <v>0.16800000000000001</v>
      </c>
      <c r="L285" s="7">
        <v>0.17069999999999999</v>
      </c>
      <c r="O285" s="7">
        <v>58.2</v>
      </c>
      <c r="P285" s="7">
        <v>434</v>
      </c>
      <c r="Q285" s="7">
        <v>750</v>
      </c>
      <c r="R285" s="4" t="s">
        <v>15</v>
      </c>
      <c r="S285" s="4" t="s">
        <v>15</v>
      </c>
      <c r="T285" s="4"/>
      <c r="U285" s="4" t="s">
        <v>332</v>
      </c>
      <c r="V285" s="4"/>
      <c r="W285" s="4"/>
      <c r="X285" s="4" t="s">
        <v>78</v>
      </c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>
        <v>84.6</v>
      </c>
      <c r="AY285" s="4"/>
      <c r="AZ285" s="4">
        <v>120.6</v>
      </c>
      <c r="BA285" s="4"/>
      <c r="BB285" s="4"/>
      <c r="BC285" s="16">
        <v>26.3</v>
      </c>
      <c r="BD285" s="17">
        <v>1012</v>
      </c>
      <c r="BE285" s="17">
        <v>40</v>
      </c>
      <c r="BF285" s="15"/>
      <c r="BG285" s="4"/>
      <c r="BH285" s="4"/>
      <c r="BM285"/>
    </row>
    <row r="286" spans="1:65" x14ac:dyDescent="0.3">
      <c r="A286" s="2" t="s">
        <v>43</v>
      </c>
      <c r="B286" s="59" t="s">
        <v>44</v>
      </c>
      <c r="C286" s="3">
        <v>45239</v>
      </c>
      <c r="D286" s="8">
        <v>3</v>
      </c>
      <c r="E286" s="3" t="s">
        <v>322</v>
      </c>
      <c r="F286" s="2" t="s">
        <v>214</v>
      </c>
      <c r="G286" s="7">
        <v>0.1633</v>
      </c>
      <c r="H286" s="7">
        <v>1.6999999999999999E-3</v>
      </c>
      <c r="I286" s="7">
        <v>1.302</v>
      </c>
      <c r="J286" s="7">
        <v>497</v>
      </c>
      <c r="K286" s="7">
        <v>0.16300000000000001</v>
      </c>
      <c r="L286" s="7">
        <v>0.16289999999999999</v>
      </c>
      <c r="O286" s="7">
        <v>58.6</v>
      </c>
      <c r="P286" s="7">
        <v>424</v>
      </c>
      <c r="Q286" s="7">
        <v>750</v>
      </c>
      <c r="R286" s="4" t="s">
        <v>15</v>
      </c>
      <c r="S286" s="4" t="s">
        <v>15</v>
      </c>
      <c r="T286" s="4"/>
      <c r="U286" s="4" t="s">
        <v>332</v>
      </c>
      <c r="V286" s="4"/>
      <c r="W286" s="4"/>
      <c r="X286" s="4" t="s">
        <v>78</v>
      </c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>
        <v>70.099999999999994</v>
      </c>
      <c r="AY286" s="4"/>
      <c r="AZ286" s="4">
        <v>111.6</v>
      </c>
      <c r="BA286" s="4"/>
      <c r="BB286" s="4"/>
      <c r="BC286" s="16">
        <v>26.3</v>
      </c>
      <c r="BD286" s="17">
        <v>1012</v>
      </c>
      <c r="BE286" s="17">
        <v>40</v>
      </c>
      <c r="BF286" s="15"/>
      <c r="BG286" s="4"/>
      <c r="BH286" s="4"/>
      <c r="BM286"/>
    </row>
    <row r="287" spans="1:65" x14ac:dyDescent="0.3">
      <c r="A287" s="2" t="s">
        <v>43</v>
      </c>
      <c r="B287" s="59" t="s">
        <v>44</v>
      </c>
      <c r="C287" s="3">
        <v>45239</v>
      </c>
      <c r="D287" s="8">
        <v>4</v>
      </c>
      <c r="E287" s="3" t="s">
        <v>321</v>
      </c>
      <c r="F287" s="2" t="s">
        <v>213</v>
      </c>
      <c r="G287" s="7">
        <v>0.16650000000000001</v>
      </c>
      <c r="H287" s="7">
        <v>4.0000000000000001E-3</v>
      </c>
      <c r="I287" s="7">
        <v>1.302</v>
      </c>
      <c r="J287" s="7">
        <v>497</v>
      </c>
      <c r="K287" s="7">
        <v>0.161</v>
      </c>
      <c r="L287" s="7">
        <v>0.16830000000000001</v>
      </c>
      <c r="O287" s="7">
        <v>58.7</v>
      </c>
      <c r="P287" s="7">
        <v>425</v>
      </c>
      <c r="Q287" s="7">
        <v>750</v>
      </c>
      <c r="R287" s="4" t="s">
        <v>15</v>
      </c>
      <c r="S287" s="4" t="s">
        <v>15</v>
      </c>
      <c r="T287" s="4"/>
      <c r="U287" s="4" t="s">
        <v>332</v>
      </c>
      <c r="V287" s="4"/>
      <c r="W287" s="4"/>
      <c r="X287" s="4" t="s">
        <v>78</v>
      </c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>
        <v>72.400000000000006</v>
      </c>
      <c r="AY287" s="4"/>
      <c r="AZ287" s="4">
        <v>111.6</v>
      </c>
      <c r="BA287" s="4"/>
      <c r="BB287" s="4"/>
      <c r="BC287" s="16">
        <v>26.3</v>
      </c>
      <c r="BD287" s="17">
        <v>1012</v>
      </c>
      <c r="BE287" s="17">
        <v>40</v>
      </c>
      <c r="BF287" s="15"/>
      <c r="BG287" s="4"/>
      <c r="BH287" s="4"/>
      <c r="BM287"/>
    </row>
    <row r="288" spans="1:65" x14ac:dyDescent="0.3">
      <c r="A288" s="2" t="s">
        <v>43</v>
      </c>
      <c r="B288" s="59" t="s">
        <v>44</v>
      </c>
      <c r="C288" s="3">
        <v>45239</v>
      </c>
      <c r="D288" s="8">
        <v>5</v>
      </c>
      <c r="E288" s="3" t="s">
        <v>320</v>
      </c>
      <c r="F288" s="2" t="s">
        <v>98</v>
      </c>
      <c r="G288" s="7">
        <v>0.1676</v>
      </c>
      <c r="H288" s="7">
        <v>2.0999999999999999E-3</v>
      </c>
      <c r="I288" s="7">
        <v>1.302</v>
      </c>
      <c r="J288" s="7">
        <v>497</v>
      </c>
      <c r="K288" s="7">
        <v>0.16200000000000001</v>
      </c>
      <c r="L288" s="7">
        <v>0.16789999999999999</v>
      </c>
      <c r="O288" s="7">
        <v>58.3</v>
      </c>
      <c r="P288" s="7">
        <v>420</v>
      </c>
      <c r="Q288" s="7">
        <v>750</v>
      </c>
      <c r="R288" s="4" t="s">
        <v>15</v>
      </c>
      <c r="S288" s="4" t="s">
        <v>15</v>
      </c>
      <c r="T288" s="4"/>
      <c r="U288" s="4" t="s">
        <v>332</v>
      </c>
      <c r="V288" s="4"/>
      <c r="W288" s="4"/>
      <c r="X288" s="4" t="s">
        <v>78</v>
      </c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>
        <v>75.5</v>
      </c>
      <c r="AY288" s="4"/>
      <c r="AZ288" s="4">
        <v>111.6</v>
      </c>
      <c r="BA288" s="4"/>
      <c r="BB288" s="4"/>
      <c r="BC288" s="16">
        <v>26.5</v>
      </c>
      <c r="BD288" s="17">
        <v>1011</v>
      </c>
      <c r="BE288" s="17">
        <v>40</v>
      </c>
      <c r="BF288" s="15"/>
      <c r="BG288" s="4"/>
      <c r="BH288" s="4"/>
      <c r="BM288"/>
    </row>
    <row r="289" spans="1:65" x14ac:dyDescent="0.3">
      <c r="A289" s="2" t="s">
        <v>43</v>
      </c>
      <c r="B289" s="59" t="s">
        <v>44</v>
      </c>
      <c r="C289" s="3">
        <v>45239</v>
      </c>
      <c r="D289" s="8">
        <v>6</v>
      </c>
      <c r="E289" s="3" t="s">
        <v>319</v>
      </c>
      <c r="F289" s="2" t="s">
        <v>214</v>
      </c>
      <c r="G289" s="7">
        <v>0.16350000000000001</v>
      </c>
      <c r="H289" s="7">
        <v>3.0000000000000001E-3</v>
      </c>
      <c r="I289" s="7">
        <v>1.302</v>
      </c>
      <c r="J289" s="7">
        <v>497</v>
      </c>
      <c r="K289" s="7">
        <v>0.16400000000000001</v>
      </c>
      <c r="L289" s="7">
        <v>0.16489999999999999</v>
      </c>
      <c r="O289" s="7">
        <v>59.5</v>
      </c>
      <c r="P289" s="7">
        <v>450</v>
      </c>
      <c r="Q289" s="7">
        <v>750</v>
      </c>
      <c r="R289" s="4" t="s">
        <v>15</v>
      </c>
      <c r="S289" s="4" t="s">
        <v>15</v>
      </c>
      <c r="T289" s="4"/>
      <c r="U289" s="4" t="s">
        <v>332</v>
      </c>
      <c r="V289" s="4"/>
      <c r="W289" s="4"/>
      <c r="X289" s="4" t="s">
        <v>78</v>
      </c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>
        <v>84.5</v>
      </c>
      <c r="AY289" s="4"/>
      <c r="AZ289" s="4">
        <v>120.6</v>
      </c>
      <c r="BA289" s="4"/>
      <c r="BB289" s="4"/>
      <c r="BC289" s="16">
        <v>26.5</v>
      </c>
      <c r="BD289" s="17">
        <v>1011</v>
      </c>
      <c r="BE289" s="17">
        <v>40</v>
      </c>
      <c r="BF289" s="15"/>
      <c r="BG289" s="4"/>
      <c r="BH289" s="4"/>
      <c r="BM289"/>
    </row>
    <row r="290" spans="1:65" x14ac:dyDescent="0.3">
      <c r="A290" s="2" t="s">
        <v>43</v>
      </c>
      <c r="B290" s="59" t="s">
        <v>99</v>
      </c>
      <c r="C290" s="3">
        <v>45239</v>
      </c>
      <c r="D290" s="8">
        <v>1</v>
      </c>
      <c r="E290" s="3" t="s">
        <v>311</v>
      </c>
      <c r="F290" s="2" t="s">
        <v>213</v>
      </c>
      <c r="G290" s="7">
        <v>0.16980000000000001</v>
      </c>
      <c r="H290" s="7">
        <v>4.3E-3</v>
      </c>
      <c r="I290" s="7">
        <v>1.2375</v>
      </c>
      <c r="J290" s="7">
        <v>511</v>
      </c>
      <c r="K290" s="7">
        <v>0.17199999999999999</v>
      </c>
      <c r="L290" s="7">
        <v>0.17119999999999999</v>
      </c>
      <c r="O290" s="7">
        <v>58.9</v>
      </c>
      <c r="P290" s="7">
        <v>462</v>
      </c>
      <c r="Q290" s="7">
        <v>750</v>
      </c>
      <c r="R290" s="4" t="s">
        <v>15</v>
      </c>
      <c r="S290" s="4" t="s">
        <v>15</v>
      </c>
      <c r="T290" s="4"/>
      <c r="U290" s="4" t="s">
        <v>332</v>
      </c>
      <c r="V290" s="4"/>
      <c r="W290" s="4"/>
      <c r="X290" s="4" t="s">
        <v>78</v>
      </c>
      <c r="Y290" s="4"/>
      <c r="Z290" s="4"/>
      <c r="AA290" s="4"/>
      <c r="AB290" s="4"/>
      <c r="AC290" s="4"/>
      <c r="AD290" s="9"/>
      <c r="AE290" s="9"/>
      <c r="AF290" s="9"/>
      <c r="AG290" s="9"/>
      <c r="AH290" s="9"/>
      <c r="AI290" s="9"/>
      <c r="AJ290" s="9"/>
      <c r="AK290" s="9"/>
      <c r="AL290" s="9"/>
      <c r="AM290" s="9"/>
      <c r="AN290" s="9"/>
      <c r="AO290" s="9"/>
      <c r="AP290" s="9"/>
      <c r="AQ290" s="9"/>
      <c r="AR290" s="9"/>
      <c r="AS290" s="9"/>
      <c r="AT290" s="9"/>
      <c r="AU290" s="9"/>
      <c r="AV290" s="9"/>
      <c r="AW290" s="9"/>
      <c r="AX290" s="9"/>
      <c r="AY290" s="9"/>
      <c r="AZ290" s="4">
        <v>113.4</v>
      </c>
      <c r="BA290" s="4"/>
      <c r="BB290" s="4"/>
      <c r="BC290" s="16">
        <v>24.5</v>
      </c>
      <c r="BD290" s="17">
        <v>1013</v>
      </c>
      <c r="BE290" s="17">
        <v>47.7</v>
      </c>
      <c r="BF290" s="15"/>
      <c r="BG290" s="7">
        <v>2096</v>
      </c>
      <c r="BH290" s="13" t="s">
        <v>103</v>
      </c>
      <c r="BM290"/>
    </row>
    <row r="291" spans="1:65" x14ac:dyDescent="0.3">
      <c r="A291" s="2" t="s">
        <v>43</v>
      </c>
      <c r="B291" s="59" t="s">
        <v>99</v>
      </c>
      <c r="C291" s="3">
        <v>45239</v>
      </c>
      <c r="D291" s="8">
        <v>2</v>
      </c>
      <c r="E291" s="3" t="s">
        <v>310</v>
      </c>
      <c r="F291" s="2" t="s">
        <v>213</v>
      </c>
      <c r="G291" s="7">
        <v>0.16669999999999999</v>
      </c>
      <c r="H291" s="7">
        <v>2.3999999999999998E-3</v>
      </c>
      <c r="I291" s="7">
        <v>1.2375</v>
      </c>
      <c r="J291" s="7">
        <v>511</v>
      </c>
      <c r="K291" s="7">
        <v>0.17599999999999999</v>
      </c>
      <c r="L291" s="7">
        <v>0.17150000000000001</v>
      </c>
      <c r="O291" s="7">
        <v>59.7</v>
      </c>
      <c r="P291" s="7">
        <v>485</v>
      </c>
      <c r="Q291" s="7">
        <v>750</v>
      </c>
      <c r="R291" s="4" t="s">
        <v>15</v>
      </c>
      <c r="S291" s="4" t="s">
        <v>15</v>
      </c>
      <c r="T291" s="4"/>
      <c r="U291" s="4" t="s">
        <v>332</v>
      </c>
      <c r="V291" s="4"/>
      <c r="W291" s="4"/>
      <c r="X291" s="4" t="s">
        <v>78</v>
      </c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>
        <v>113.4</v>
      </c>
      <c r="BA291" s="4"/>
      <c r="BB291" s="4"/>
      <c r="BC291" s="16">
        <v>24.5</v>
      </c>
      <c r="BD291" s="17">
        <v>1013</v>
      </c>
      <c r="BE291" s="17">
        <v>47.7</v>
      </c>
      <c r="BF291" s="15"/>
      <c r="BG291" s="7">
        <v>2096</v>
      </c>
      <c r="BH291" s="13" t="s">
        <v>105</v>
      </c>
      <c r="BM291"/>
    </row>
    <row r="292" spans="1:65" x14ac:dyDescent="0.3">
      <c r="A292" s="2" t="s">
        <v>43</v>
      </c>
      <c r="B292" s="59" t="s">
        <v>99</v>
      </c>
      <c r="C292" s="3">
        <v>45239</v>
      </c>
      <c r="D292" s="8">
        <v>3</v>
      </c>
      <c r="E292" s="3" t="s">
        <v>309</v>
      </c>
      <c r="F292" s="2" t="s">
        <v>214</v>
      </c>
      <c r="G292" s="7">
        <v>0.1646</v>
      </c>
      <c r="H292" s="7">
        <v>5.3E-3</v>
      </c>
      <c r="I292" s="7">
        <v>1.2375</v>
      </c>
      <c r="J292" s="7">
        <v>511</v>
      </c>
      <c r="K292" s="7">
        <v>0.16600000000000001</v>
      </c>
      <c r="L292" s="7">
        <v>0.16289999999999999</v>
      </c>
      <c r="O292" s="7">
        <v>57.5</v>
      </c>
      <c r="P292" s="7">
        <v>409</v>
      </c>
      <c r="Q292" s="7">
        <v>750</v>
      </c>
      <c r="R292" s="4" t="s">
        <v>15</v>
      </c>
      <c r="S292" s="4" t="s">
        <v>15</v>
      </c>
      <c r="T292" s="4"/>
      <c r="U292" s="4" t="s">
        <v>332</v>
      </c>
      <c r="V292" s="4"/>
      <c r="W292" s="4"/>
      <c r="X292" s="4" t="s">
        <v>78</v>
      </c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22">
        <v>117</v>
      </c>
      <c r="BA292" s="4"/>
      <c r="BB292" s="4"/>
      <c r="BC292" s="16">
        <v>24.5</v>
      </c>
      <c r="BD292" s="17">
        <v>1013</v>
      </c>
      <c r="BE292" s="17">
        <v>47.7</v>
      </c>
      <c r="BF292" s="15"/>
      <c r="BG292" s="7">
        <v>2096</v>
      </c>
      <c r="BH292" s="4"/>
      <c r="BM292"/>
    </row>
    <row r="293" spans="1:65" x14ac:dyDescent="0.3">
      <c r="A293" s="2" t="s">
        <v>43</v>
      </c>
      <c r="B293" s="59" t="s">
        <v>99</v>
      </c>
      <c r="C293" s="3">
        <v>45239</v>
      </c>
      <c r="D293" s="8">
        <v>4</v>
      </c>
      <c r="E293" s="3" t="s">
        <v>308</v>
      </c>
      <c r="F293" s="2" t="s">
        <v>215</v>
      </c>
      <c r="G293" s="7">
        <v>0.1656</v>
      </c>
      <c r="H293" s="7">
        <v>1E-3</v>
      </c>
      <c r="I293" s="7">
        <v>1.2375</v>
      </c>
      <c r="J293" s="7">
        <v>511</v>
      </c>
      <c r="K293" s="7">
        <v>0.16500000000000001</v>
      </c>
      <c r="L293" s="7">
        <v>0.16350000000000001</v>
      </c>
      <c r="O293" s="7">
        <v>57.7</v>
      </c>
      <c r="P293" s="7">
        <v>410</v>
      </c>
      <c r="Q293" s="7">
        <v>750</v>
      </c>
      <c r="R293" s="4" t="s">
        <v>15</v>
      </c>
      <c r="S293" s="4" t="s">
        <v>15</v>
      </c>
      <c r="T293" s="4"/>
      <c r="U293" s="4" t="s">
        <v>332</v>
      </c>
      <c r="V293" s="4"/>
      <c r="W293" s="4"/>
      <c r="X293" s="4" t="s">
        <v>78</v>
      </c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22">
        <v>117</v>
      </c>
      <c r="BA293" s="4"/>
      <c r="BB293" s="4"/>
      <c r="BC293" s="16">
        <v>24.5</v>
      </c>
      <c r="BD293" s="17">
        <v>1013</v>
      </c>
      <c r="BE293" s="17">
        <v>47.7</v>
      </c>
      <c r="BF293" s="15"/>
      <c r="BG293" s="7">
        <v>2096</v>
      </c>
      <c r="BH293" s="4"/>
      <c r="BM293"/>
    </row>
    <row r="294" spans="1:65" x14ac:dyDescent="0.3">
      <c r="A294" s="2" t="s">
        <v>43</v>
      </c>
      <c r="B294" s="59" t="s">
        <v>99</v>
      </c>
      <c r="C294" s="3">
        <v>45239</v>
      </c>
      <c r="D294" s="8">
        <v>5</v>
      </c>
      <c r="E294" s="3" t="s">
        <v>307</v>
      </c>
      <c r="F294" s="2" t="s">
        <v>214</v>
      </c>
      <c r="G294" s="7">
        <v>0.16830000000000001</v>
      </c>
      <c r="H294" s="7">
        <v>2.3E-3</v>
      </c>
      <c r="I294" s="7">
        <v>1.2375</v>
      </c>
      <c r="J294" s="7">
        <v>511</v>
      </c>
      <c r="K294" s="7">
        <v>0.16200000000000001</v>
      </c>
      <c r="L294" s="7">
        <v>0.1628</v>
      </c>
      <c r="O294" s="7">
        <v>58.2</v>
      </c>
      <c r="P294" s="7">
        <v>411</v>
      </c>
      <c r="Q294" s="7">
        <v>750</v>
      </c>
      <c r="R294" s="4" t="s">
        <v>15</v>
      </c>
      <c r="S294" s="4" t="s">
        <v>15</v>
      </c>
      <c r="T294" s="4"/>
      <c r="U294" s="4" t="s">
        <v>332</v>
      </c>
      <c r="V294" s="4"/>
      <c r="W294" s="4"/>
      <c r="X294" s="4" t="s">
        <v>78</v>
      </c>
      <c r="Y294" s="4"/>
      <c r="Z294" s="4"/>
      <c r="AA294" s="4"/>
      <c r="AB294" s="4"/>
      <c r="AC294" s="4"/>
      <c r="AD294" s="9"/>
      <c r="AE294" s="9"/>
      <c r="AF294" s="9"/>
      <c r="AG294" s="9"/>
      <c r="AH294" s="9"/>
      <c r="AI294" s="9"/>
      <c r="AJ294" s="9"/>
      <c r="AK294" s="9"/>
      <c r="AL294" s="9"/>
      <c r="AM294" s="9"/>
      <c r="AN294" s="9"/>
      <c r="AO294" s="9"/>
      <c r="AP294" s="9"/>
      <c r="AQ294" s="9"/>
      <c r="AR294" s="9"/>
      <c r="AS294" s="9"/>
      <c r="AT294" s="9"/>
      <c r="AU294" s="9"/>
      <c r="AV294" s="9"/>
      <c r="AW294" s="9"/>
      <c r="AX294" s="9"/>
      <c r="AY294" s="9"/>
      <c r="AZ294" s="4">
        <v>113.4</v>
      </c>
      <c r="BA294" s="4"/>
      <c r="BB294" s="4"/>
      <c r="BC294" s="16">
        <v>24.9</v>
      </c>
      <c r="BD294" s="17">
        <v>1012</v>
      </c>
      <c r="BE294" s="17">
        <v>45.5</v>
      </c>
      <c r="BF294" s="15"/>
      <c r="BG294" s="7">
        <v>2096</v>
      </c>
      <c r="BH294" s="13"/>
      <c r="BM294"/>
    </row>
    <row r="295" spans="1:65" x14ac:dyDescent="0.3">
      <c r="A295" s="2" t="s">
        <v>43</v>
      </c>
      <c r="B295" s="59" t="s">
        <v>99</v>
      </c>
      <c r="C295" s="3">
        <v>45239</v>
      </c>
      <c r="D295" s="8">
        <v>6</v>
      </c>
      <c r="E295" s="3" t="s">
        <v>318</v>
      </c>
      <c r="F295" s="2" t="s">
        <v>215</v>
      </c>
      <c r="G295" s="7">
        <v>0.16880000000000001</v>
      </c>
      <c r="H295" s="7">
        <v>3.7000000000000002E-3</v>
      </c>
      <c r="I295" s="7">
        <v>1.2375</v>
      </c>
      <c r="J295" s="7">
        <v>511</v>
      </c>
      <c r="K295" s="7">
        <v>0.16600000000000001</v>
      </c>
      <c r="L295" s="7">
        <v>0.16600000000000001</v>
      </c>
      <c r="O295" s="7">
        <v>58.6</v>
      </c>
      <c r="P295" s="7">
        <v>426</v>
      </c>
      <c r="Q295" s="7">
        <v>750</v>
      </c>
      <c r="R295" s="4" t="s">
        <v>15</v>
      </c>
      <c r="S295" s="4" t="s">
        <v>15</v>
      </c>
      <c r="T295" s="4"/>
      <c r="U295" s="4" t="s">
        <v>332</v>
      </c>
      <c r="V295" s="4"/>
      <c r="W295" s="4"/>
      <c r="X295" s="4" t="s">
        <v>78</v>
      </c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>
        <v>113.4</v>
      </c>
      <c r="BA295" s="4"/>
      <c r="BB295" s="4"/>
      <c r="BC295" s="16">
        <v>24.9</v>
      </c>
      <c r="BD295" s="17">
        <v>1012</v>
      </c>
      <c r="BE295" s="17">
        <v>45.5</v>
      </c>
      <c r="BF295" s="15"/>
      <c r="BG295" s="7">
        <v>2096</v>
      </c>
      <c r="BH295" s="13" t="s">
        <v>106</v>
      </c>
      <c r="BM295"/>
    </row>
    <row r="296" spans="1:65" x14ac:dyDescent="0.3">
      <c r="A296" s="2" t="s">
        <v>43</v>
      </c>
      <c r="B296" s="59" t="s">
        <v>46</v>
      </c>
      <c r="C296" s="3">
        <v>45239</v>
      </c>
      <c r="D296" s="8">
        <v>1</v>
      </c>
      <c r="E296" s="3" t="s">
        <v>317</v>
      </c>
      <c r="F296" s="2" t="s">
        <v>213</v>
      </c>
      <c r="G296" s="7">
        <v>0.17269999999999999</v>
      </c>
      <c r="H296" s="7">
        <v>5.4999999999999997E-3</v>
      </c>
      <c r="I296" s="7">
        <v>1.2785</v>
      </c>
      <c r="J296" s="7">
        <v>503</v>
      </c>
      <c r="L296" s="7">
        <v>0.1739</v>
      </c>
      <c r="O296" s="7">
        <v>56.7</v>
      </c>
      <c r="P296" s="7">
        <v>405</v>
      </c>
      <c r="Q296" s="7">
        <v>750</v>
      </c>
      <c r="R296" s="4" t="s">
        <v>15</v>
      </c>
      <c r="S296" s="4" t="s">
        <v>15</v>
      </c>
      <c r="T296" s="4"/>
      <c r="U296" s="4" t="s">
        <v>332</v>
      </c>
      <c r="V296" s="4"/>
      <c r="W296" s="4"/>
      <c r="X296" s="4" t="s">
        <v>78</v>
      </c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22">
        <v>117</v>
      </c>
      <c r="BA296" s="4"/>
      <c r="BB296" s="4"/>
      <c r="BC296" s="16">
        <v>24.9</v>
      </c>
      <c r="BD296" s="17">
        <v>1012</v>
      </c>
      <c r="BE296" s="17">
        <v>45.5</v>
      </c>
      <c r="BF296" s="15"/>
      <c r="BG296" s="7">
        <v>2096</v>
      </c>
      <c r="BH296" s="4"/>
      <c r="BM296"/>
    </row>
    <row r="297" spans="1:65" x14ac:dyDescent="0.3">
      <c r="A297" s="2" t="s">
        <v>43</v>
      </c>
      <c r="B297" s="59" t="s">
        <v>46</v>
      </c>
      <c r="C297" s="3">
        <v>45239</v>
      </c>
      <c r="D297" s="8">
        <v>2</v>
      </c>
      <c r="E297" s="3" t="s">
        <v>316</v>
      </c>
      <c r="F297" s="2" t="s">
        <v>213</v>
      </c>
      <c r="G297" s="7">
        <v>0.17399999999999999</v>
      </c>
      <c r="H297" s="7">
        <v>2.3999999999999998E-3</v>
      </c>
      <c r="I297" s="7">
        <v>1.2785</v>
      </c>
      <c r="J297" s="7">
        <v>503</v>
      </c>
      <c r="L297" s="7">
        <v>0.17610000000000001</v>
      </c>
      <c r="O297" s="7">
        <v>56.8</v>
      </c>
      <c r="P297" s="7">
        <v>422</v>
      </c>
      <c r="Q297" s="7">
        <v>750</v>
      </c>
      <c r="R297" s="4" t="s">
        <v>15</v>
      </c>
      <c r="S297" s="4" t="s">
        <v>15</v>
      </c>
      <c r="T297" s="4"/>
      <c r="U297" s="4" t="s">
        <v>380</v>
      </c>
      <c r="V297" s="4"/>
      <c r="W297" s="4"/>
      <c r="X297" s="4" t="s">
        <v>78</v>
      </c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22">
        <v>117</v>
      </c>
      <c r="BA297" s="4"/>
      <c r="BB297" s="4"/>
      <c r="BC297" s="16">
        <v>24.9</v>
      </c>
      <c r="BD297" s="17">
        <v>1012</v>
      </c>
      <c r="BE297" s="17">
        <v>45.5</v>
      </c>
      <c r="BF297" s="15"/>
      <c r="BG297" s="7">
        <v>2096</v>
      </c>
      <c r="BH297" s="4"/>
      <c r="BM297"/>
    </row>
    <row r="298" spans="1:65" x14ac:dyDescent="0.3">
      <c r="A298" s="2" t="s">
        <v>43</v>
      </c>
      <c r="B298" s="59" t="s">
        <v>46</v>
      </c>
      <c r="C298" s="3">
        <v>45239</v>
      </c>
      <c r="D298" s="8">
        <v>3</v>
      </c>
      <c r="E298" s="3" t="s">
        <v>315</v>
      </c>
      <c r="F298" s="2" t="s">
        <v>213</v>
      </c>
      <c r="G298" s="7">
        <v>0.1671</v>
      </c>
      <c r="H298" s="7">
        <v>3.0999999999999999E-3</v>
      </c>
      <c r="I298" s="7">
        <v>1.2785</v>
      </c>
      <c r="J298" s="7">
        <v>503</v>
      </c>
      <c r="L298" s="7">
        <v>0.16850000000000001</v>
      </c>
      <c r="O298" s="7">
        <v>57.4</v>
      </c>
      <c r="P298" s="7">
        <v>412</v>
      </c>
      <c r="Q298" s="7">
        <v>750</v>
      </c>
      <c r="R298" s="4" t="s">
        <v>15</v>
      </c>
      <c r="S298" s="4" t="s">
        <v>15</v>
      </c>
      <c r="T298" s="4"/>
      <c r="U298" s="4" t="s">
        <v>520</v>
      </c>
      <c r="V298" s="4"/>
      <c r="W298" s="4"/>
      <c r="X298" s="4" t="s">
        <v>78</v>
      </c>
      <c r="Y298" s="4"/>
      <c r="Z298" s="4"/>
      <c r="AA298" s="4"/>
      <c r="AB298" s="4"/>
      <c r="AC298" s="4"/>
      <c r="AD298" s="9"/>
      <c r="AE298" s="9"/>
      <c r="AF298" s="9"/>
      <c r="AG298" s="9"/>
      <c r="AH298" s="9"/>
      <c r="AI298" s="9"/>
      <c r="AJ298" s="9"/>
      <c r="AK298" s="9"/>
      <c r="AL298" s="9"/>
      <c r="AM298" s="9"/>
      <c r="AN298" s="9"/>
      <c r="AO298" s="9"/>
      <c r="AP298" s="9"/>
      <c r="AQ298" s="9"/>
      <c r="AR298" s="9"/>
      <c r="AS298" s="9"/>
      <c r="AT298" s="9"/>
      <c r="AU298" s="9"/>
      <c r="AV298" s="9"/>
      <c r="AW298" s="9"/>
      <c r="AX298" s="9"/>
      <c r="AY298" s="9"/>
      <c r="AZ298" s="4">
        <v>113.4</v>
      </c>
      <c r="BA298" s="4"/>
      <c r="BB298" s="4"/>
      <c r="BC298" s="16">
        <v>24.9</v>
      </c>
      <c r="BD298" s="17">
        <v>1012</v>
      </c>
      <c r="BE298" s="17">
        <v>45.5</v>
      </c>
      <c r="BF298" s="15"/>
      <c r="BG298" s="7">
        <v>2096</v>
      </c>
      <c r="BH298" s="13" t="s">
        <v>104</v>
      </c>
      <c r="BM298"/>
    </row>
    <row r="299" spans="1:65" x14ac:dyDescent="0.3">
      <c r="A299" s="2" t="s">
        <v>43</v>
      </c>
      <c r="B299" s="59" t="s">
        <v>46</v>
      </c>
      <c r="C299" s="3">
        <v>45239</v>
      </c>
      <c r="D299" s="8">
        <v>4</v>
      </c>
      <c r="E299" s="3" t="s">
        <v>314</v>
      </c>
      <c r="F299" s="2" t="s">
        <v>213</v>
      </c>
      <c r="G299" s="7">
        <v>0.17449999999999999</v>
      </c>
      <c r="H299" s="7">
        <v>1E-3</v>
      </c>
      <c r="I299" s="7">
        <v>1.2785</v>
      </c>
      <c r="J299" s="7">
        <v>503</v>
      </c>
      <c r="L299" s="7">
        <v>0.16850000000000001</v>
      </c>
      <c r="O299" s="7">
        <v>56.6</v>
      </c>
      <c r="P299" s="7">
        <v>405</v>
      </c>
      <c r="Q299" s="7">
        <v>750</v>
      </c>
      <c r="R299" s="4" t="s">
        <v>15</v>
      </c>
      <c r="S299" s="4" t="s">
        <v>15</v>
      </c>
      <c r="T299" s="4"/>
      <c r="U299" s="4" t="s">
        <v>332</v>
      </c>
      <c r="V299" s="4"/>
      <c r="W299" s="4"/>
      <c r="X299" s="4" t="s">
        <v>78</v>
      </c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>
        <v>113.4</v>
      </c>
      <c r="BA299" s="4"/>
      <c r="BB299" s="4"/>
      <c r="BC299" s="16">
        <v>24.9</v>
      </c>
      <c r="BD299" s="17">
        <v>1012</v>
      </c>
      <c r="BE299" s="17">
        <v>45.5</v>
      </c>
      <c r="BF299" s="15"/>
      <c r="BG299" s="7">
        <v>2096</v>
      </c>
      <c r="BH299" s="13" t="s">
        <v>106</v>
      </c>
      <c r="BM299"/>
    </row>
    <row r="300" spans="1:65" x14ac:dyDescent="0.3">
      <c r="A300" s="2" t="s">
        <v>43</v>
      </c>
      <c r="B300" s="59" t="s">
        <v>46</v>
      </c>
      <c r="C300" s="3">
        <v>45239</v>
      </c>
      <c r="D300" s="8">
        <v>5</v>
      </c>
      <c r="E300" s="3" t="s">
        <v>313</v>
      </c>
      <c r="F300" s="2" t="s">
        <v>213</v>
      </c>
      <c r="G300" s="7">
        <v>0.17319999999999999</v>
      </c>
      <c r="H300" s="7">
        <v>3.5999999999999999E-3</v>
      </c>
      <c r="I300" s="7">
        <v>1.2785</v>
      </c>
      <c r="J300" s="7">
        <v>503</v>
      </c>
      <c r="L300" s="7">
        <v>0.1736</v>
      </c>
      <c r="O300" s="7">
        <v>56.2</v>
      </c>
      <c r="P300" s="7">
        <v>375</v>
      </c>
      <c r="Q300" s="7">
        <v>750</v>
      </c>
      <c r="R300" s="4" t="s">
        <v>15</v>
      </c>
      <c r="S300" s="4" t="s">
        <v>15</v>
      </c>
      <c r="T300" s="4"/>
      <c r="U300" s="4" t="s">
        <v>380</v>
      </c>
      <c r="V300" s="4"/>
      <c r="W300" s="4"/>
      <c r="X300" s="4" t="s">
        <v>78</v>
      </c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22">
        <v>117</v>
      </c>
      <c r="BA300" s="4"/>
      <c r="BB300" s="4"/>
      <c r="BC300" s="16">
        <v>24.9</v>
      </c>
      <c r="BD300" s="17">
        <v>1012</v>
      </c>
      <c r="BE300" s="17">
        <v>45.5</v>
      </c>
      <c r="BF300" s="15"/>
      <c r="BG300" s="7">
        <v>2096</v>
      </c>
      <c r="BH300" s="4"/>
      <c r="BM300"/>
    </row>
    <row r="301" spans="1:65" x14ac:dyDescent="0.3">
      <c r="A301" s="2" t="s">
        <v>43</v>
      </c>
      <c r="B301" s="59" t="s">
        <v>46</v>
      </c>
      <c r="C301" s="3">
        <v>45239</v>
      </c>
      <c r="D301" s="8">
        <v>6</v>
      </c>
      <c r="E301" s="3" t="s">
        <v>312</v>
      </c>
      <c r="F301" s="2" t="s">
        <v>213</v>
      </c>
      <c r="G301" s="7">
        <v>0.16619999999999999</v>
      </c>
      <c r="H301" s="7">
        <v>3.3999999999999998E-3</v>
      </c>
      <c r="I301" s="7">
        <v>1.2785</v>
      </c>
      <c r="J301" s="7">
        <v>503</v>
      </c>
      <c r="L301" s="7">
        <v>0.1724</v>
      </c>
      <c r="O301" s="7">
        <v>57</v>
      </c>
      <c r="P301" s="7">
        <v>398</v>
      </c>
      <c r="Q301" s="7">
        <v>750</v>
      </c>
      <c r="R301" s="4" t="s">
        <v>15</v>
      </c>
      <c r="S301" s="4" t="s">
        <v>15</v>
      </c>
      <c r="T301" s="4"/>
      <c r="U301" s="4" t="s">
        <v>520</v>
      </c>
      <c r="V301" s="4"/>
      <c r="W301" s="4"/>
      <c r="X301" s="4" t="s">
        <v>78</v>
      </c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22">
        <v>117</v>
      </c>
      <c r="BA301" s="4"/>
      <c r="BB301" s="4"/>
      <c r="BC301" s="16">
        <v>24.9</v>
      </c>
      <c r="BD301" s="17">
        <v>1012</v>
      </c>
      <c r="BE301" s="17">
        <v>45.5</v>
      </c>
      <c r="BF301" s="15"/>
      <c r="BG301" s="7">
        <v>2096</v>
      </c>
      <c r="BH301" s="4"/>
      <c r="BM301"/>
    </row>
    <row r="302" spans="1:65" x14ac:dyDescent="0.3">
      <c r="A302" s="4" t="s">
        <v>43</v>
      </c>
      <c r="B302" s="59" t="s">
        <v>45</v>
      </c>
      <c r="C302" s="3">
        <v>45243</v>
      </c>
      <c r="D302" s="8">
        <v>1</v>
      </c>
      <c r="E302" s="3" t="s">
        <v>289</v>
      </c>
      <c r="F302" s="2" t="s">
        <v>213</v>
      </c>
      <c r="G302" s="7">
        <v>0.15759999999999999</v>
      </c>
      <c r="H302" s="7">
        <v>1E-3</v>
      </c>
      <c r="I302" s="7">
        <v>1.272</v>
      </c>
      <c r="L302" s="7">
        <v>0.1605</v>
      </c>
      <c r="O302" s="7">
        <v>60.6</v>
      </c>
      <c r="P302" s="7">
        <v>454</v>
      </c>
      <c r="Q302" s="7">
        <v>750</v>
      </c>
      <c r="R302" s="4" t="s">
        <v>15</v>
      </c>
      <c r="S302" s="4" t="s">
        <v>15</v>
      </c>
      <c r="T302" s="9"/>
      <c r="U302" s="9" t="s">
        <v>225</v>
      </c>
      <c r="V302" s="9"/>
      <c r="W302" s="9"/>
      <c r="X302" s="9"/>
      <c r="Y302" s="9"/>
      <c r="Z302" s="9"/>
      <c r="AA302" s="9"/>
      <c r="AB302" s="9"/>
      <c r="AC302" s="9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>
        <v>113.4</v>
      </c>
      <c r="BA302" s="4"/>
      <c r="BB302" s="4"/>
      <c r="BC302" s="16">
        <v>25.1</v>
      </c>
      <c r="BD302" s="17">
        <v>1012</v>
      </c>
      <c r="BE302" s="17">
        <v>44.6</v>
      </c>
      <c r="BF302" s="15"/>
      <c r="BG302" s="7">
        <v>2096</v>
      </c>
      <c r="BH302" s="13"/>
    </row>
    <row r="303" spans="1:65" x14ac:dyDescent="0.3">
      <c r="A303" s="4" t="s">
        <v>43</v>
      </c>
      <c r="B303" s="59" t="s">
        <v>45</v>
      </c>
      <c r="C303" s="3">
        <v>45243</v>
      </c>
      <c r="D303" s="8">
        <v>3</v>
      </c>
      <c r="E303" s="3" t="s">
        <v>287</v>
      </c>
      <c r="F303" s="2" t="s">
        <v>213</v>
      </c>
      <c r="G303" s="7">
        <v>0.159</v>
      </c>
      <c r="H303" s="7">
        <v>1E-4</v>
      </c>
      <c r="I303" s="7">
        <v>1.272</v>
      </c>
      <c r="L303" s="7">
        <v>0.159</v>
      </c>
      <c r="O303" s="7">
        <v>61</v>
      </c>
      <c r="P303" s="7">
        <v>469</v>
      </c>
      <c r="Q303" s="7">
        <v>750</v>
      </c>
      <c r="R303" s="4" t="s">
        <v>15</v>
      </c>
      <c r="S303" s="4" t="s">
        <v>15</v>
      </c>
      <c r="T303" s="9"/>
      <c r="U303" s="9" t="s">
        <v>225</v>
      </c>
      <c r="V303" s="9"/>
      <c r="W303" s="9"/>
      <c r="X303" s="9"/>
      <c r="Y303" s="9"/>
      <c r="Z303" s="9"/>
      <c r="AA303" s="9"/>
      <c r="AB303" s="9"/>
      <c r="AC303" s="9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22">
        <v>117</v>
      </c>
      <c r="BA303" s="4"/>
      <c r="BB303" s="4"/>
      <c r="BC303" s="16">
        <v>25.1</v>
      </c>
      <c r="BD303" s="17">
        <v>1012</v>
      </c>
      <c r="BE303" s="17">
        <v>44.6</v>
      </c>
      <c r="BF303" s="15"/>
      <c r="BG303" s="7">
        <v>2096</v>
      </c>
      <c r="BH303" s="4"/>
    </row>
    <row r="304" spans="1:65" x14ac:dyDescent="0.3">
      <c r="A304" s="4" t="s">
        <v>43</v>
      </c>
      <c r="B304" s="59" t="s">
        <v>45</v>
      </c>
      <c r="C304" s="3">
        <v>45243</v>
      </c>
      <c r="D304" s="8">
        <v>5</v>
      </c>
      <c r="E304" s="3" t="s">
        <v>285</v>
      </c>
      <c r="F304" s="2" t="s">
        <v>213</v>
      </c>
      <c r="G304" s="7">
        <v>0.1565</v>
      </c>
      <c r="H304" s="7">
        <v>1.6999999999999999E-3</v>
      </c>
      <c r="I304" s="7">
        <v>1.272</v>
      </c>
      <c r="L304" s="7">
        <v>0.1583</v>
      </c>
      <c r="O304" s="7">
        <v>61.1</v>
      </c>
      <c r="P304" s="7">
        <v>472</v>
      </c>
      <c r="Q304" s="7">
        <v>750</v>
      </c>
      <c r="R304" s="4" t="s">
        <v>15</v>
      </c>
      <c r="S304" s="4" t="s">
        <v>15</v>
      </c>
      <c r="T304" s="4"/>
      <c r="U304" s="9" t="s">
        <v>225</v>
      </c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>
        <v>113.4</v>
      </c>
      <c r="BA304" s="4"/>
      <c r="BB304" s="4"/>
      <c r="BC304" s="16">
        <v>25.3</v>
      </c>
      <c r="BD304" s="17">
        <v>1012</v>
      </c>
      <c r="BE304" s="17">
        <v>44.3</v>
      </c>
      <c r="BF304" s="15"/>
      <c r="BG304" s="7">
        <v>2096</v>
      </c>
      <c r="BH304" s="13" t="s">
        <v>103</v>
      </c>
    </row>
    <row r="305" spans="1:60" x14ac:dyDescent="0.3">
      <c r="A305" s="4" t="s">
        <v>43</v>
      </c>
      <c r="B305" s="59" t="s">
        <v>79</v>
      </c>
      <c r="C305" s="3">
        <v>45243</v>
      </c>
      <c r="D305" s="8">
        <v>1</v>
      </c>
      <c r="E305" s="3" t="s">
        <v>301</v>
      </c>
      <c r="F305" s="2" t="s">
        <v>585</v>
      </c>
      <c r="G305" s="7">
        <v>0.16719999999999999</v>
      </c>
      <c r="H305" s="7">
        <v>3.0000000000000001E-3</v>
      </c>
      <c r="I305" s="7">
        <v>1.2110000000000001</v>
      </c>
      <c r="L305" s="7">
        <v>0.1595</v>
      </c>
      <c r="O305" s="7">
        <v>60.7</v>
      </c>
      <c r="P305" s="7">
        <v>448</v>
      </c>
      <c r="Q305" s="7">
        <v>750</v>
      </c>
      <c r="R305" s="4" t="s">
        <v>15</v>
      </c>
      <c r="S305" s="4" t="s">
        <v>15</v>
      </c>
      <c r="T305" s="4"/>
      <c r="U305" s="4" t="s">
        <v>332</v>
      </c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22">
        <v>117</v>
      </c>
      <c r="BA305" s="4"/>
      <c r="BB305" s="4"/>
      <c r="BC305" s="22">
        <v>25.1</v>
      </c>
      <c r="BD305" s="14">
        <v>1012</v>
      </c>
      <c r="BE305" s="72">
        <v>53</v>
      </c>
      <c r="BF305" s="15">
        <v>1.1739999999999999</v>
      </c>
      <c r="BG305" s="4">
        <v>2096</v>
      </c>
      <c r="BH305" s="4"/>
    </row>
    <row r="306" spans="1:60" x14ac:dyDescent="0.3">
      <c r="A306" s="4" t="s">
        <v>43</v>
      </c>
      <c r="B306" s="59" t="s">
        <v>79</v>
      </c>
      <c r="C306" s="3">
        <v>45243</v>
      </c>
      <c r="D306" s="8">
        <v>2</v>
      </c>
      <c r="E306" s="3" t="s">
        <v>300</v>
      </c>
      <c r="F306" s="2" t="s">
        <v>215</v>
      </c>
      <c r="G306" s="7">
        <v>0.15640000000000001</v>
      </c>
      <c r="H306" s="7">
        <v>2.8999999999999998E-3</v>
      </c>
      <c r="I306" s="7">
        <v>1.2110000000000001</v>
      </c>
      <c r="L306" s="7">
        <v>0.15029999999999999</v>
      </c>
      <c r="O306" s="7">
        <v>61.2</v>
      </c>
      <c r="P306" s="7">
        <v>450</v>
      </c>
      <c r="Q306" s="7">
        <v>750</v>
      </c>
      <c r="R306" s="4" t="s">
        <v>217</v>
      </c>
      <c r="S306" s="4" t="s">
        <v>15</v>
      </c>
      <c r="T306" s="4"/>
      <c r="U306" s="4" t="s">
        <v>225</v>
      </c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22">
        <v>117</v>
      </c>
      <c r="BA306" s="4"/>
      <c r="BB306" s="4"/>
      <c r="BC306" s="22">
        <v>25.1</v>
      </c>
      <c r="BD306" s="14">
        <v>1012</v>
      </c>
      <c r="BE306" s="72">
        <v>53</v>
      </c>
      <c r="BF306" s="15">
        <v>1.1739999999999999</v>
      </c>
      <c r="BG306" s="4">
        <v>2096</v>
      </c>
      <c r="BH306" s="4"/>
    </row>
    <row r="307" spans="1:60" x14ac:dyDescent="0.3">
      <c r="A307" s="4" t="s">
        <v>43</v>
      </c>
      <c r="B307" s="59" t="s">
        <v>79</v>
      </c>
      <c r="C307" s="3">
        <v>45243</v>
      </c>
      <c r="D307" s="8">
        <v>3</v>
      </c>
      <c r="E307" s="3" t="s">
        <v>299</v>
      </c>
      <c r="F307" s="2" t="s">
        <v>585</v>
      </c>
      <c r="G307" s="7">
        <v>0.16370000000000001</v>
      </c>
      <c r="H307" s="7">
        <v>3.2000000000000002E-3</v>
      </c>
      <c r="I307" s="7">
        <v>1.2110000000000001</v>
      </c>
      <c r="L307" s="7">
        <v>0.15770000000000001</v>
      </c>
      <c r="O307" s="7">
        <v>60.9</v>
      </c>
      <c r="P307" s="7">
        <v>468</v>
      </c>
      <c r="Q307" s="7">
        <v>750</v>
      </c>
      <c r="R307" s="4" t="s">
        <v>15</v>
      </c>
      <c r="S307" s="4" t="s">
        <v>15</v>
      </c>
      <c r="T307" s="4"/>
      <c r="U307" s="4" t="s">
        <v>332</v>
      </c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22">
        <v>117</v>
      </c>
      <c r="BA307" s="4"/>
      <c r="BB307" s="4"/>
      <c r="BC307" s="22">
        <v>25.1</v>
      </c>
      <c r="BD307" s="14">
        <v>1012</v>
      </c>
      <c r="BE307" s="72">
        <v>53</v>
      </c>
      <c r="BF307" s="15">
        <v>1.1739999999999999</v>
      </c>
      <c r="BG307" s="4">
        <v>2096</v>
      </c>
      <c r="BH307" s="4"/>
    </row>
    <row r="308" spans="1:60" x14ac:dyDescent="0.3">
      <c r="A308" s="4" t="s">
        <v>43</v>
      </c>
      <c r="B308" s="59" t="s">
        <v>79</v>
      </c>
      <c r="C308" s="3">
        <v>45243</v>
      </c>
      <c r="D308" s="8">
        <v>4</v>
      </c>
      <c r="E308" s="3" t="s">
        <v>298</v>
      </c>
      <c r="F308" s="2" t="s">
        <v>215</v>
      </c>
      <c r="G308" s="7">
        <v>0.15290000000000001</v>
      </c>
      <c r="H308" s="7">
        <v>3.5000000000000001E-3</v>
      </c>
      <c r="I308" s="7">
        <v>1.2110000000000001</v>
      </c>
      <c r="L308" s="7">
        <v>0.14799999999999999</v>
      </c>
      <c r="O308" s="7">
        <v>61</v>
      </c>
      <c r="P308" s="7">
        <v>439</v>
      </c>
      <c r="Q308" s="7">
        <v>750</v>
      </c>
      <c r="R308" s="4" t="s">
        <v>217</v>
      </c>
      <c r="S308" s="4" t="s">
        <v>15</v>
      </c>
      <c r="T308" s="4"/>
      <c r="U308" s="4" t="s">
        <v>225</v>
      </c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22">
        <v>117</v>
      </c>
      <c r="BA308" s="4"/>
      <c r="BB308" s="4"/>
      <c r="BC308" s="22">
        <v>25.1</v>
      </c>
      <c r="BD308" s="14">
        <v>1012</v>
      </c>
      <c r="BE308" s="72">
        <v>54</v>
      </c>
      <c r="BF308" s="15">
        <v>1.1739999999999999</v>
      </c>
      <c r="BG308" s="4">
        <v>2096</v>
      </c>
      <c r="BH308" s="4"/>
    </row>
    <row r="309" spans="1:60" x14ac:dyDescent="0.3">
      <c r="A309" s="4" t="s">
        <v>43</v>
      </c>
      <c r="B309" s="59" t="s">
        <v>79</v>
      </c>
      <c r="C309" s="3">
        <v>45243</v>
      </c>
      <c r="D309" s="8">
        <v>5</v>
      </c>
      <c r="E309" s="3" t="s">
        <v>297</v>
      </c>
      <c r="F309" s="2" t="s">
        <v>585</v>
      </c>
      <c r="G309" s="7">
        <v>0.16446</v>
      </c>
      <c r="H309" s="7">
        <v>1.6000000000000001E-3</v>
      </c>
      <c r="I309" s="7">
        <v>1.2110000000000001</v>
      </c>
      <c r="L309" s="7">
        <v>0.1608</v>
      </c>
      <c r="O309" s="7">
        <v>60.7</v>
      </c>
      <c r="P309" s="7">
        <v>470</v>
      </c>
      <c r="Q309" s="7">
        <v>750</v>
      </c>
      <c r="R309" s="4" t="s">
        <v>15</v>
      </c>
      <c r="S309" s="4" t="s">
        <v>15</v>
      </c>
      <c r="T309" s="4"/>
      <c r="U309" s="4" t="s">
        <v>332</v>
      </c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22">
        <v>117</v>
      </c>
      <c r="BA309" s="4"/>
      <c r="BB309" s="4"/>
      <c r="BC309" s="22">
        <v>25.1</v>
      </c>
      <c r="BD309" s="14">
        <v>1012</v>
      </c>
      <c r="BE309" s="72">
        <v>54</v>
      </c>
      <c r="BF309" s="15">
        <v>1.175</v>
      </c>
      <c r="BG309" s="4">
        <v>2096</v>
      </c>
      <c r="BH309" s="4"/>
    </row>
    <row r="310" spans="1:60" x14ac:dyDescent="0.3">
      <c r="A310" s="4" t="s">
        <v>43</v>
      </c>
      <c r="B310" s="59" t="s">
        <v>79</v>
      </c>
      <c r="C310" s="3">
        <v>45243</v>
      </c>
      <c r="D310" s="8">
        <v>6</v>
      </c>
      <c r="E310" s="3" t="s">
        <v>306</v>
      </c>
      <c r="F310" s="2" t="s">
        <v>215</v>
      </c>
      <c r="G310" s="7">
        <v>0.15590000000000001</v>
      </c>
      <c r="H310" s="7">
        <v>4.4000000000000003E-3</v>
      </c>
      <c r="I310" s="7">
        <v>1.2110000000000001</v>
      </c>
      <c r="L310" s="7">
        <v>0.15010000000000001</v>
      </c>
      <c r="O310" s="7">
        <v>61.5</v>
      </c>
      <c r="P310" s="7">
        <v>451</v>
      </c>
      <c r="Q310" s="7">
        <v>750</v>
      </c>
      <c r="R310" s="4" t="s">
        <v>217</v>
      </c>
      <c r="S310" s="4" t="s">
        <v>15</v>
      </c>
      <c r="T310" s="4"/>
      <c r="U310" s="4" t="s">
        <v>225</v>
      </c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22">
        <v>117</v>
      </c>
      <c r="BA310" s="4"/>
      <c r="BB310" s="4"/>
      <c r="BC310" s="22">
        <v>25.1</v>
      </c>
      <c r="BD310" s="14">
        <v>1011</v>
      </c>
      <c r="BE310" s="72">
        <v>54</v>
      </c>
      <c r="BF310" s="15">
        <v>1.1739999999999999</v>
      </c>
      <c r="BG310" s="4">
        <v>2096</v>
      </c>
      <c r="BH310" s="4"/>
    </row>
    <row r="311" spans="1:60" x14ac:dyDescent="0.3">
      <c r="A311" s="2" t="s">
        <v>43</v>
      </c>
      <c r="B311" s="59" t="s">
        <v>44</v>
      </c>
      <c r="C311" s="3" t="s">
        <v>212</v>
      </c>
      <c r="D311" s="8">
        <v>1</v>
      </c>
      <c r="E311" s="3" t="s">
        <v>255</v>
      </c>
      <c r="F311" s="2" t="s">
        <v>213</v>
      </c>
      <c r="G311" s="7">
        <v>0.1686</v>
      </c>
      <c r="H311" s="7">
        <v>2E-3</v>
      </c>
      <c r="I311" s="7">
        <v>1.2955000000000001</v>
      </c>
      <c r="K311" s="7">
        <v>0.16600000000000001</v>
      </c>
      <c r="L311" s="7">
        <v>0.1678</v>
      </c>
      <c r="O311" s="7">
        <v>58.5</v>
      </c>
      <c r="P311" s="7">
        <v>439</v>
      </c>
      <c r="Q311" s="7">
        <v>754.9</v>
      </c>
      <c r="R311" s="4" t="s">
        <v>15</v>
      </c>
      <c r="S311" s="4" t="s">
        <v>15</v>
      </c>
      <c r="T311" s="4"/>
      <c r="U311" s="4" t="s">
        <v>332</v>
      </c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22">
        <v>111.6</v>
      </c>
      <c r="BA311" s="4"/>
      <c r="BB311" s="4"/>
      <c r="BC311" s="22">
        <v>24.3</v>
      </c>
      <c r="BD311" s="14">
        <v>1010</v>
      </c>
      <c r="BE311" s="72">
        <v>52</v>
      </c>
      <c r="BF311" s="15">
        <v>1.177</v>
      </c>
      <c r="BG311" s="4">
        <v>2096</v>
      </c>
      <c r="BH311" s="4"/>
    </row>
    <row r="312" spans="1:60" x14ac:dyDescent="0.3">
      <c r="A312" s="2" t="s">
        <v>43</v>
      </c>
      <c r="B312" s="59" t="s">
        <v>44</v>
      </c>
      <c r="C312" s="3" t="s">
        <v>212</v>
      </c>
      <c r="D312" s="8">
        <v>2</v>
      </c>
      <c r="E312" s="3" t="s">
        <v>256</v>
      </c>
      <c r="F312" s="2" t="s">
        <v>214</v>
      </c>
      <c r="G312" s="7">
        <v>0.16500000000000001</v>
      </c>
      <c r="H312" s="7">
        <v>3.0000000000000001E-3</v>
      </c>
      <c r="I312" s="7">
        <v>1.2955000000000001</v>
      </c>
      <c r="K312" s="7">
        <v>0.16500000000000001</v>
      </c>
      <c r="L312" s="7">
        <v>0.1663</v>
      </c>
      <c r="O312" s="7">
        <v>57.8</v>
      </c>
      <c r="P312" s="7">
        <v>432</v>
      </c>
      <c r="Q312" s="7">
        <v>754.7</v>
      </c>
      <c r="R312" s="4" t="s">
        <v>15</v>
      </c>
      <c r="S312" s="4" t="s">
        <v>15</v>
      </c>
      <c r="T312" s="4"/>
      <c r="U312" s="4" t="s">
        <v>332</v>
      </c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22">
        <v>111.6</v>
      </c>
      <c r="BA312" s="4"/>
      <c r="BB312" s="4"/>
      <c r="BC312" s="22">
        <v>24.5</v>
      </c>
      <c r="BD312" s="14">
        <v>1010</v>
      </c>
      <c r="BE312" s="72">
        <v>52</v>
      </c>
      <c r="BF312" s="15">
        <v>1.175</v>
      </c>
      <c r="BG312" s="4">
        <v>2096</v>
      </c>
      <c r="BH312" s="4"/>
    </row>
    <row r="313" spans="1:60" x14ac:dyDescent="0.3">
      <c r="A313" s="2" t="s">
        <v>43</v>
      </c>
      <c r="B313" s="59" t="s">
        <v>44</v>
      </c>
      <c r="C313" s="3" t="s">
        <v>212</v>
      </c>
      <c r="D313" s="8">
        <v>3</v>
      </c>
      <c r="E313" s="3" t="s">
        <v>258</v>
      </c>
      <c r="F313" s="2" t="s">
        <v>215</v>
      </c>
      <c r="G313" s="7">
        <v>0.16619999999999999</v>
      </c>
      <c r="H313" s="7">
        <v>2.5000000000000001E-3</v>
      </c>
      <c r="I313" s="7">
        <v>1.2955000000000001</v>
      </c>
      <c r="K313" s="7">
        <v>0.16800000000000001</v>
      </c>
      <c r="L313" s="7">
        <v>0.16400000000000001</v>
      </c>
      <c r="O313" s="7">
        <v>58.8</v>
      </c>
      <c r="P313" s="7">
        <v>446</v>
      </c>
      <c r="Q313" s="7">
        <v>755.2</v>
      </c>
      <c r="R313" s="4" t="s">
        <v>15</v>
      </c>
      <c r="S313" s="4" t="s">
        <v>15</v>
      </c>
      <c r="T313" s="4"/>
      <c r="U313" s="4" t="s">
        <v>332</v>
      </c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22">
        <v>111.6</v>
      </c>
      <c r="BA313" s="4"/>
      <c r="BB313" s="4"/>
      <c r="BC313" s="22">
        <v>24.8</v>
      </c>
      <c r="BD313" s="14">
        <v>1010</v>
      </c>
      <c r="BE313" s="72">
        <v>50</v>
      </c>
      <c r="BF313" s="15">
        <v>1.1739999999999999</v>
      </c>
      <c r="BG313" s="4">
        <v>2096</v>
      </c>
      <c r="BH313" s="4"/>
    </row>
    <row r="314" spans="1:60" x14ac:dyDescent="0.3">
      <c r="A314" s="2" t="s">
        <v>43</v>
      </c>
      <c r="B314" s="59" t="s">
        <v>44</v>
      </c>
      <c r="C314" s="3" t="s">
        <v>212</v>
      </c>
      <c r="D314" s="8">
        <v>4</v>
      </c>
      <c r="E314" s="3" t="s">
        <v>257</v>
      </c>
      <c r="F314" s="2" t="s">
        <v>213</v>
      </c>
      <c r="G314" s="7">
        <v>0.1691</v>
      </c>
      <c r="H314" s="7">
        <v>4.4000000000000003E-3</v>
      </c>
      <c r="I314" s="7">
        <v>1.2955000000000001</v>
      </c>
      <c r="K314" s="7">
        <v>0.16900000000000001</v>
      </c>
      <c r="L314" s="7">
        <v>0.16980000000000001</v>
      </c>
      <c r="O314" s="7">
        <v>58.4</v>
      </c>
      <c r="P314" s="7">
        <v>439</v>
      </c>
      <c r="Q314" s="7">
        <v>754.7</v>
      </c>
      <c r="R314" s="4" t="s">
        <v>15</v>
      </c>
      <c r="S314" s="4" t="s">
        <v>15</v>
      </c>
      <c r="T314" s="4"/>
      <c r="U314" s="4" t="s">
        <v>332</v>
      </c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67">
        <v>111.6</v>
      </c>
      <c r="BA314" s="4"/>
      <c r="BB314" s="4"/>
      <c r="BC314" s="22">
        <v>25.1</v>
      </c>
      <c r="BD314" s="14">
        <v>1010</v>
      </c>
      <c r="BE314" s="72">
        <v>51</v>
      </c>
      <c r="BF314" s="15">
        <v>1.173</v>
      </c>
      <c r="BG314" s="23">
        <v>2096</v>
      </c>
      <c r="BH314" s="4"/>
    </row>
    <row r="315" spans="1:60" x14ac:dyDescent="0.3">
      <c r="A315" s="2" t="s">
        <v>43</v>
      </c>
      <c r="B315" s="59" t="s">
        <v>44</v>
      </c>
      <c r="C315" s="3" t="s">
        <v>212</v>
      </c>
      <c r="D315" s="8">
        <v>5</v>
      </c>
      <c r="E315" s="3" t="s">
        <v>259</v>
      </c>
      <c r="F315" s="2" t="s">
        <v>214</v>
      </c>
      <c r="G315" s="7">
        <v>0.1681</v>
      </c>
      <c r="H315" s="7">
        <v>2E-3</v>
      </c>
      <c r="I315" s="7">
        <v>1.2955000000000001</v>
      </c>
      <c r="K315" s="7">
        <v>0.16700000000000001</v>
      </c>
      <c r="L315" s="7">
        <v>0.1653</v>
      </c>
      <c r="O315" s="7">
        <v>59.3</v>
      </c>
      <c r="P315" s="7">
        <v>456</v>
      </c>
      <c r="Q315" s="7">
        <v>755.7</v>
      </c>
      <c r="R315" s="4" t="s">
        <v>15</v>
      </c>
      <c r="S315" s="4" t="s">
        <v>15</v>
      </c>
      <c r="T315" s="4"/>
      <c r="U315" s="4" t="s">
        <v>332</v>
      </c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67">
        <v>111.6</v>
      </c>
      <c r="BA315" s="4"/>
      <c r="BB315" s="4"/>
      <c r="BC315" s="22">
        <v>25.1</v>
      </c>
      <c r="BD315" s="14">
        <v>1010</v>
      </c>
      <c r="BE315" s="72">
        <v>48</v>
      </c>
      <c r="BF315" s="15">
        <v>1.173</v>
      </c>
      <c r="BG315" s="23">
        <v>2096</v>
      </c>
      <c r="BH315" s="4"/>
    </row>
    <row r="316" spans="1:60" x14ac:dyDescent="0.3">
      <c r="A316" s="2" t="s">
        <v>43</v>
      </c>
      <c r="B316" s="59" t="s">
        <v>44</v>
      </c>
      <c r="C316" s="3" t="s">
        <v>212</v>
      </c>
      <c r="D316" s="8">
        <v>6</v>
      </c>
      <c r="E316" s="3" t="s">
        <v>260</v>
      </c>
      <c r="F316" s="2" t="s">
        <v>215</v>
      </c>
      <c r="G316" s="7">
        <v>0.16550000000000001</v>
      </c>
      <c r="H316" s="7">
        <v>5.1000000000000004E-3</v>
      </c>
      <c r="I316" s="7">
        <v>1.2955000000000001</v>
      </c>
      <c r="K316" s="7">
        <v>0.16400000000000001</v>
      </c>
      <c r="L316" s="7">
        <v>0.16600000000000001</v>
      </c>
      <c r="O316" s="7">
        <v>58.5</v>
      </c>
      <c r="P316" s="7">
        <v>435</v>
      </c>
      <c r="Q316" s="7">
        <v>755.3</v>
      </c>
      <c r="R316" s="4" t="s">
        <v>15</v>
      </c>
      <c r="S316" s="4" t="s">
        <v>15</v>
      </c>
      <c r="T316" s="4"/>
      <c r="U316" s="4" t="s">
        <v>332</v>
      </c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22">
        <v>111.6</v>
      </c>
      <c r="BA316" s="4"/>
      <c r="BB316" s="4"/>
      <c r="BC316" s="22">
        <v>25.3</v>
      </c>
      <c r="BD316" s="14">
        <v>1010</v>
      </c>
      <c r="BE316" s="72">
        <v>48</v>
      </c>
      <c r="BF316" s="15">
        <v>1.1719999999999999</v>
      </c>
      <c r="BG316" s="4">
        <v>2096</v>
      </c>
      <c r="BH316" s="4"/>
    </row>
    <row r="317" spans="1:60" x14ac:dyDescent="0.3">
      <c r="A317" s="2" t="s">
        <v>43</v>
      </c>
      <c r="B317" s="59" t="s">
        <v>79</v>
      </c>
      <c r="C317" s="3" t="s">
        <v>212</v>
      </c>
      <c r="D317" s="8">
        <v>1</v>
      </c>
      <c r="E317" s="3" t="s">
        <v>261</v>
      </c>
      <c r="F317" s="2" t="s">
        <v>216</v>
      </c>
      <c r="G317" s="7">
        <v>0.14849999999999999</v>
      </c>
      <c r="H317" s="7">
        <v>2.8999999999999998E-3</v>
      </c>
      <c r="I317" s="7">
        <v>1.2549999999999999</v>
      </c>
      <c r="K317" s="7">
        <v>0.14599999999999999</v>
      </c>
      <c r="L317" s="7">
        <v>0.1467</v>
      </c>
      <c r="O317" s="7">
        <v>59.6</v>
      </c>
      <c r="P317" s="7">
        <v>426</v>
      </c>
      <c r="Q317" s="7">
        <v>754</v>
      </c>
      <c r="R317" s="4" t="s">
        <v>217</v>
      </c>
      <c r="S317" s="4" t="s">
        <v>15</v>
      </c>
      <c r="T317" s="4"/>
      <c r="U317" s="4" t="s">
        <v>225</v>
      </c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22">
        <v>111.6</v>
      </c>
      <c r="BA317" s="4"/>
      <c r="BB317" s="4"/>
      <c r="BC317" s="22">
        <v>24.3</v>
      </c>
      <c r="BD317" s="14">
        <v>1010</v>
      </c>
      <c r="BE317" s="72">
        <v>52</v>
      </c>
      <c r="BF317" s="15">
        <v>1.177</v>
      </c>
      <c r="BG317" s="4">
        <v>2096</v>
      </c>
      <c r="BH317" s="4"/>
    </row>
    <row r="318" spans="1:60" x14ac:dyDescent="0.3">
      <c r="A318" s="2" t="s">
        <v>43</v>
      </c>
      <c r="B318" s="59" t="s">
        <v>79</v>
      </c>
      <c r="C318" s="3" t="s">
        <v>212</v>
      </c>
      <c r="D318" s="8">
        <v>2</v>
      </c>
      <c r="E318" s="3" t="s">
        <v>250</v>
      </c>
      <c r="F318" s="2" t="s">
        <v>218</v>
      </c>
      <c r="G318" s="7">
        <v>0.1502</v>
      </c>
      <c r="H318" s="7">
        <v>1.9E-3</v>
      </c>
      <c r="I318" s="7">
        <v>1.2549999999999999</v>
      </c>
      <c r="K318" s="7">
        <v>0.14599999999999999</v>
      </c>
      <c r="L318" s="7">
        <v>0.14849999999999999</v>
      </c>
      <c r="O318" s="7">
        <v>59.3</v>
      </c>
      <c r="P318" s="7">
        <v>415</v>
      </c>
      <c r="Q318" s="7">
        <v>754.3</v>
      </c>
      <c r="R318" s="4" t="s">
        <v>217</v>
      </c>
      <c r="S318" s="4" t="s">
        <v>15</v>
      </c>
      <c r="T318" s="4"/>
      <c r="U318" s="4" t="s">
        <v>225</v>
      </c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22">
        <v>111.6</v>
      </c>
      <c r="BA318" s="4"/>
      <c r="BB318" s="4"/>
      <c r="BC318" s="22">
        <v>24.5</v>
      </c>
      <c r="BD318" s="14">
        <v>1010</v>
      </c>
      <c r="BE318" s="72">
        <v>52</v>
      </c>
      <c r="BF318" s="15">
        <v>1.175</v>
      </c>
      <c r="BG318" s="23">
        <v>2096</v>
      </c>
      <c r="BH318" s="4"/>
    </row>
    <row r="319" spans="1:60" x14ac:dyDescent="0.3">
      <c r="A319" s="2" t="s">
        <v>43</v>
      </c>
      <c r="B319" s="59" t="s">
        <v>79</v>
      </c>
      <c r="C319" s="3" t="s">
        <v>212</v>
      </c>
      <c r="D319" s="8">
        <v>3</v>
      </c>
      <c r="E319" s="3" t="s">
        <v>251</v>
      </c>
      <c r="F319" s="2" t="s">
        <v>218</v>
      </c>
      <c r="G319" s="7">
        <v>0.14949999999999999</v>
      </c>
      <c r="H319" s="7">
        <v>1.1999999999999999E-3</v>
      </c>
      <c r="I319" s="7">
        <v>1.2549999999999999</v>
      </c>
      <c r="K319" s="7">
        <v>0.151</v>
      </c>
      <c r="L319" s="7">
        <v>0.14910000000000001</v>
      </c>
      <c r="O319" s="7">
        <v>59.8</v>
      </c>
      <c r="P319" s="7">
        <v>436</v>
      </c>
      <c r="Q319" s="7">
        <v>754.6</v>
      </c>
      <c r="R319" s="4" t="s">
        <v>217</v>
      </c>
      <c r="S319" s="4" t="s">
        <v>15</v>
      </c>
      <c r="T319" s="4"/>
      <c r="U319" s="4" t="s">
        <v>225</v>
      </c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22">
        <v>111.6</v>
      </c>
      <c r="BA319" s="4"/>
      <c r="BB319" s="4"/>
      <c r="BC319" s="22">
        <v>24.8</v>
      </c>
      <c r="BD319" s="14">
        <v>1010</v>
      </c>
      <c r="BE319" s="72">
        <v>50</v>
      </c>
      <c r="BF319" s="15">
        <v>1.1739999999999999</v>
      </c>
      <c r="BG319" s="23">
        <v>2096</v>
      </c>
      <c r="BH319" s="4"/>
    </row>
    <row r="320" spans="1:60" x14ac:dyDescent="0.3">
      <c r="A320" s="2" t="s">
        <v>43</v>
      </c>
      <c r="B320" s="59" t="s">
        <v>79</v>
      </c>
      <c r="C320" s="3" t="s">
        <v>212</v>
      </c>
      <c r="D320" s="8">
        <v>4</v>
      </c>
      <c r="E320" s="3" t="s">
        <v>252</v>
      </c>
      <c r="F320" s="2" t="s">
        <v>216</v>
      </c>
      <c r="G320" s="7">
        <v>0.14810000000000001</v>
      </c>
      <c r="H320" s="7">
        <v>5.4000000000000003E-3</v>
      </c>
      <c r="I320" s="7">
        <v>1.2549999999999999</v>
      </c>
      <c r="K320" s="7">
        <v>0.151</v>
      </c>
      <c r="L320" s="7">
        <v>0.14860000000000001</v>
      </c>
      <c r="O320" s="7">
        <v>60.3</v>
      </c>
      <c r="P320" s="7">
        <v>447</v>
      </c>
      <c r="Q320" s="7">
        <v>754</v>
      </c>
      <c r="R320" s="4" t="s">
        <v>217</v>
      </c>
      <c r="S320" s="4" t="s">
        <v>15</v>
      </c>
      <c r="T320" s="4"/>
      <c r="U320" s="4" t="s">
        <v>225</v>
      </c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22">
        <v>111.6</v>
      </c>
      <c r="BA320" s="4"/>
      <c r="BB320" s="4"/>
      <c r="BC320" s="22">
        <v>25.1</v>
      </c>
      <c r="BD320" s="14">
        <v>1010</v>
      </c>
      <c r="BE320" s="72">
        <v>48</v>
      </c>
      <c r="BF320" s="15">
        <v>1.173</v>
      </c>
      <c r="BG320" s="4">
        <v>2096</v>
      </c>
      <c r="BH320" s="4"/>
    </row>
    <row r="321" spans="1:60" x14ac:dyDescent="0.3">
      <c r="A321" s="2" t="s">
        <v>43</v>
      </c>
      <c r="B321" s="59" t="s">
        <v>79</v>
      </c>
      <c r="C321" s="3" t="s">
        <v>212</v>
      </c>
      <c r="D321" s="8">
        <v>5</v>
      </c>
      <c r="E321" s="3" t="s">
        <v>253</v>
      </c>
      <c r="F321" s="2" t="s">
        <v>218</v>
      </c>
      <c r="G321" s="7">
        <v>0.1492</v>
      </c>
      <c r="H321" s="7">
        <v>3.2000000000000002E-3</v>
      </c>
      <c r="I321" s="7">
        <v>1.2549999999999999</v>
      </c>
      <c r="K321" s="7">
        <v>0.15</v>
      </c>
      <c r="L321" s="7">
        <v>0.14949999999999999</v>
      </c>
      <c r="O321" s="7">
        <v>60.4</v>
      </c>
      <c r="P321" s="7">
        <v>444</v>
      </c>
      <c r="Q321" s="7">
        <v>754.1</v>
      </c>
      <c r="R321" s="4" t="s">
        <v>217</v>
      </c>
      <c r="S321" s="4" t="s">
        <v>15</v>
      </c>
      <c r="T321" s="4"/>
      <c r="U321" s="4" t="s">
        <v>225</v>
      </c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22">
        <v>111.6</v>
      </c>
      <c r="BA321" s="4"/>
      <c r="BB321" s="4"/>
      <c r="BC321" s="22">
        <v>25.3</v>
      </c>
      <c r="BD321" s="14">
        <v>1010</v>
      </c>
      <c r="BE321" s="72">
        <v>48</v>
      </c>
      <c r="BF321" s="15">
        <v>1.1719999999999999</v>
      </c>
      <c r="BG321" s="23">
        <v>2096</v>
      </c>
      <c r="BH321" s="4"/>
    </row>
    <row r="322" spans="1:60" x14ac:dyDescent="0.3">
      <c r="A322" s="2" t="s">
        <v>43</v>
      </c>
      <c r="B322" s="59" t="s">
        <v>79</v>
      </c>
      <c r="C322" s="3" t="s">
        <v>212</v>
      </c>
      <c r="D322" s="8">
        <v>6</v>
      </c>
      <c r="E322" s="3" t="s">
        <v>254</v>
      </c>
      <c r="F322" s="2" t="s">
        <v>218</v>
      </c>
      <c r="G322" s="7">
        <v>0.14760000000000001</v>
      </c>
      <c r="H322" s="7">
        <v>2.3999999999999998E-3</v>
      </c>
      <c r="I322" s="7">
        <v>1.2549999999999999</v>
      </c>
      <c r="K322" s="7">
        <v>0.151</v>
      </c>
      <c r="L322" s="7">
        <v>0.1497</v>
      </c>
      <c r="O322" s="7">
        <v>60.4</v>
      </c>
      <c r="P322" s="7">
        <v>452</v>
      </c>
      <c r="Q322" s="7">
        <v>754.1</v>
      </c>
      <c r="R322" s="4" t="s">
        <v>217</v>
      </c>
      <c r="S322" s="4" t="s">
        <v>15</v>
      </c>
      <c r="T322" s="4"/>
      <c r="U322" s="4" t="s">
        <v>225</v>
      </c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22">
        <v>111.6</v>
      </c>
      <c r="BA322" s="4"/>
      <c r="BB322" s="4"/>
      <c r="BC322" s="22">
        <v>25.6</v>
      </c>
      <c r="BD322" s="14">
        <v>1009</v>
      </c>
      <c r="BE322" s="72">
        <v>50</v>
      </c>
      <c r="BF322" s="15">
        <v>1.17</v>
      </c>
      <c r="BG322" s="23">
        <v>2096</v>
      </c>
      <c r="BH322" s="4"/>
    </row>
    <row r="323" spans="1:60" x14ac:dyDescent="0.3">
      <c r="A323" s="2" t="s">
        <v>43</v>
      </c>
      <c r="B323" s="59" t="s">
        <v>99</v>
      </c>
      <c r="C323" s="3" t="s">
        <v>212</v>
      </c>
      <c r="D323" s="8">
        <v>1</v>
      </c>
      <c r="E323" s="3" t="s">
        <v>266</v>
      </c>
      <c r="F323" s="2" t="s">
        <v>219</v>
      </c>
      <c r="G323" s="7">
        <v>0.1731</v>
      </c>
      <c r="H323" s="7">
        <v>3.0000000000000001E-3</v>
      </c>
      <c r="I323" s="7">
        <v>1.2725</v>
      </c>
      <c r="K323" s="7">
        <v>0.14799999999999999</v>
      </c>
      <c r="L323" s="7">
        <v>0.17050000000000001</v>
      </c>
      <c r="O323" s="7">
        <v>59.8</v>
      </c>
      <c r="P323" s="7">
        <v>474</v>
      </c>
      <c r="Q323" s="7">
        <v>757.2</v>
      </c>
      <c r="R323" s="4" t="s">
        <v>15</v>
      </c>
      <c r="S323" s="4" t="s">
        <v>15</v>
      </c>
      <c r="T323" s="4"/>
      <c r="U323" s="4" t="s">
        <v>332</v>
      </c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22">
        <v>111.6</v>
      </c>
      <c r="BA323" s="4"/>
      <c r="BB323" s="4"/>
      <c r="BC323" s="22">
        <v>24.3</v>
      </c>
      <c r="BD323" s="14">
        <v>1010</v>
      </c>
      <c r="BE323" s="72">
        <v>52</v>
      </c>
      <c r="BF323" s="15">
        <v>1.177</v>
      </c>
      <c r="BG323" s="4">
        <v>2096</v>
      </c>
      <c r="BH323" s="4"/>
    </row>
    <row r="324" spans="1:60" x14ac:dyDescent="0.3">
      <c r="A324" s="2" t="s">
        <v>43</v>
      </c>
      <c r="B324" s="59" t="s">
        <v>99</v>
      </c>
      <c r="C324" s="3" t="s">
        <v>212</v>
      </c>
      <c r="D324" s="8">
        <v>2</v>
      </c>
      <c r="E324" s="3" t="s">
        <v>267</v>
      </c>
      <c r="F324" s="2" t="s">
        <v>214</v>
      </c>
      <c r="G324" s="7">
        <v>0.16489999999999999</v>
      </c>
      <c r="H324" s="7">
        <v>4.7000000000000002E-3</v>
      </c>
      <c r="I324" s="7">
        <v>1.2515000000000001</v>
      </c>
      <c r="K324" s="7">
        <v>0.161</v>
      </c>
      <c r="L324" s="7">
        <v>0.15970000000000001</v>
      </c>
      <c r="O324" s="7">
        <v>56.9</v>
      </c>
      <c r="P324" s="7">
        <v>402</v>
      </c>
      <c r="Q324" s="7">
        <v>757.7</v>
      </c>
      <c r="R324" s="4" t="s">
        <v>15</v>
      </c>
      <c r="S324" s="4" t="s">
        <v>15</v>
      </c>
      <c r="T324" s="4"/>
      <c r="U324" s="4" t="s">
        <v>332</v>
      </c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22">
        <v>111.6</v>
      </c>
      <c r="BA324" s="4"/>
      <c r="BB324" s="4"/>
      <c r="BC324" s="22">
        <v>24.5</v>
      </c>
      <c r="BD324" s="14">
        <v>1010</v>
      </c>
      <c r="BE324" s="72">
        <v>52</v>
      </c>
      <c r="BF324" s="15">
        <v>1.175</v>
      </c>
      <c r="BG324" s="23">
        <v>2096</v>
      </c>
      <c r="BH324" s="4"/>
    </row>
    <row r="325" spans="1:60" x14ac:dyDescent="0.3">
      <c r="A325" s="2" t="s">
        <v>43</v>
      </c>
      <c r="B325" s="59" t="s">
        <v>99</v>
      </c>
      <c r="C325" s="3" t="s">
        <v>212</v>
      </c>
      <c r="D325" s="8">
        <v>3</v>
      </c>
      <c r="E325" s="3" t="s">
        <v>268</v>
      </c>
      <c r="F325" s="2" t="s">
        <v>214</v>
      </c>
      <c r="G325" s="7">
        <v>0.1651</v>
      </c>
      <c r="H325" s="7">
        <v>3.5999999999999999E-3</v>
      </c>
      <c r="I325" s="7">
        <v>1.2515000000000001</v>
      </c>
      <c r="K325" s="7">
        <v>0.161</v>
      </c>
      <c r="L325" s="7">
        <v>0.1598</v>
      </c>
      <c r="O325" s="7">
        <v>59.1</v>
      </c>
      <c r="P325" s="7">
        <v>441</v>
      </c>
      <c r="Q325" s="7">
        <v>757.9</v>
      </c>
      <c r="R325" s="4" t="s">
        <v>15</v>
      </c>
      <c r="S325" s="4" t="s">
        <v>15</v>
      </c>
      <c r="T325" s="4"/>
      <c r="U325" s="4" t="s">
        <v>225</v>
      </c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22">
        <v>111.6</v>
      </c>
      <c r="BA325" s="4"/>
      <c r="BB325" s="4"/>
      <c r="BC325" s="22">
        <v>25.1</v>
      </c>
      <c r="BD325" s="14">
        <v>1010</v>
      </c>
      <c r="BE325" s="72">
        <v>51</v>
      </c>
      <c r="BF325" s="15">
        <v>1.173</v>
      </c>
      <c r="BG325" s="23">
        <v>2096</v>
      </c>
      <c r="BH325" s="4"/>
    </row>
    <row r="326" spans="1:60" x14ac:dyDescent="0.3">
      <c r="A326" s="2" t="s">
        <v>43</v>
      </c>
      <c r="B326" s="59" t="s">
        <v>99</v>
      </c>
      <c r="C326" s="3" t="s">
        <v>212</v>
      </c>
      <c r="D326" s="8">
        <v>4</v>
      </c>
      <c r="E326" s="3" t="s">
        <v>262</v>
      </c>
      <c r="F326" s="2" t="s">
        <v>219</v>
      </c>
      <c r="G326" s="7">
        <v>0.17419999999999999</v>
      </c>
      <c r="H326" s="7">
        <v>1.5E-3</v>
      </c>
      <c r="I326" s="7">
        <v>1.2515000000000001</v>
      </c>
      <c r="L326" s="7">
        <v>0.17130000000000001</v>
      </c>
      <c r="O326" s="7">
        <v>58.6</v>
      </c>
      <c r="P326" s="7">
        <v>451</v>
      </c>
      <c r="Q326" s="7">
        <v>756.8</v>
      </c>
      <c r="R326" s="4" t="s">
        <v>15</v>
      </c>
      <c r="S326" s="4" t="s">
        <v>15</v>
      </c>
      <c r="T326" s="4"/>
      <c r="U326" s="4" t="s">
        <v>332</v>
      </c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22">
        <v>111.6</v>
      </c>
      <c r="BA326" s="4"/>
      <c r="BB326" s="4"/>
      <c r="BC326" s="22">
        <v>25.1</v>
      </c>
      <c r="BD326" s="14">
        <v>1010</v>
      </c>
      <c r="BE326" s="72">
        <v>48</v>
      </c>
      <c r="BF326" s="15">
        <v>1.173</v>
      </c>
      <c r="BG326" s="4">
        <v>2096</v>
      </c>
      <c r="BH326" s="4"/>
    </row>
    <row r="327" spans="1:60" x14ac:dyDescent="0.3">
      <c r="A327" s="2" t="s">
        <v>43</v>
      </c>
      <c r="B327" s="59" t="s">
        <v>99</v>
      </c>
      <c r="C327" s="3" t="s">
        <v>212</v>
      </c>
      <c r="D327" s="8">
        <v>5</v>
      </c>
      <c r="E327" s="3" t="s">
        <v>263</v>
      </c>
      <c r="F327" s="2" t="s">
        <v>214</v>
      </c>
      <c r="G327" s="7">
        <v>0.16400000000000001</v>
      </c>
      <c r="H327" s="7">
        <v>5.0000000000000001E-3</v>
      </c>
      <c r="I327" s="7">
        <v>1.2515000000000001</v>
      </c>
      <c r="K327" s="7">
        <v>0.16</v>
      </c>
      <c r="L327" s="7">
        <v>0.16239999999999999</v>
      </c>
      <c r="O327" s="7">
        <v>58</v>
      </c>
      <c r="P327" s="7">
        <v>416</v>
      </c>
      <c r="Q327" s="7">
        <v>757.3</v>
      </c>
      <c r="R327" s="4" t="s">
        <v>15</v>
      </c>
      <c r="S327" s="4" t="s">
        <v>15</v>
      </c>
      <c r="T327" s="4"/>
      <c r="U327" s="4" t="s">
        <v>332</v>
      </c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22">
        <v>111.6</v>
      </c>
      <c r="BA327" s="4"/>
      <c r="BB327" s="4"/>
      <c r="BC327" s="22">
        <v>25.6</v>
      </c>
      <c r="BD327" s="14">
        <v>1009</v>
      </c>
      <c r="BE327" s="72">
        <v>50</v>
      </c>
      <c r="BF327" s="15">
        <v>1.17</v>
      </c>
      <c r="BG327" s="23">
        <v>2096</v>
      </c>
      <c r="BH327" s="4"/>
    </row>
    <row r="328" spans="1:60" x14ac:dyDescent="0.3">
      <c r="A328" s="2" t="s">
        <v>43</v>
      </c>
      <c r="B328" s="59" t="s">
        <v>99</v>
      </c>
      <c r="C328" s="3" t="s">
        <v>212</v>
      </c>
      <c r="D328" s="8">
        <v>6</v>
      </c>
      <c r="E328" s="3" t="s">
        <v>264</v>
      </c>
      <c r="F328" s="2" t="s">
        <v>214</v>
      </c>
      <c r="G328" s="7">
        <v>0.16439999999999999</v>
      </c>
      <c r="H328" s="7">
        <v>5.3E-3</v>
      </c>
      <c r="I328" s="7">
        <v>1.2515000000000001</v>
      </c>
      <c r="K328" s="7">
        <v>0.16300000000000001</v>
      </c>
      <c r="L328" s="7">
        <v>0.16309999999999999</v>
      </c>
      <c r="O328" s="7">
        <v>58.6</v>
      </c>
      <c r="P328" s="7">
        <v>434</v>
      </c>
      <c r="Q328" s="7">
        <v>757.3</v>
      </c>
      <c r="R328" s="4" t="s">
        <v>15</v>
      </c>
      <c r="S328" s="4" t="s">
        <v>15</v>
      </c>
      <c r="T328" s="4"/>
      <c r="U328" s="4" t="s">
        <v>225</v>
      </c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22">
        <v>111.6</v>
      </c>
      <c r="BA328" s="4"/>
      <c r="BB328" s="4"/>
      <c r="BC328" s="22">
        <v>25.6</v>
      </c>
      <c r="BD328" s="14">
        <v>1009</v>
      </c>
      <c r="BE328" s="72">
        <v>50</v>
      </c>
      <c r="BF328" s="15">
        <v>1.17</v>
      </c>
      <c r="BG328" s="23">
        <v>2096</v>
      </c>
      <c r="BH328" s="4"/>
    </row>
    <row r="329" spans="1:60" x14ac:dyDescent="0.3">
      <c r="A329" s="2" t="s">
        <v>43</v>
      </c>
      <c r="B329" s="59" t="s">
        <v>99</v>
      </c>
      <c r="C329" s="3" t="s">
        <v>212</v>
      </c>
      <c r="D329" s="8">
        <v>7</v>
      </c>
      <c r="E329" s="3" t="s">
        <v>265</v>
      </c>
      <c r="F329" s="2" t="s">
        <v>219</v>
      </c>
      <c r="G329" s="7">
        <v>0.1736</v>
      </c>
      <c r="H329" s="7">
        <v>1.6999999999999999E-3</v>
      </c>
      <c r="I329" s="7">
        <v>1.2515000000000001</v>
      </c>
      <c r="K329" s="7">
        <v>0.16500000000000001</v>
      </c>
      <c r="L329" s="7">
        <v>0.17069999999999999</v>
      </c>
      <c r="O329" s="7">
        <v>58.7</v>
      </c>
      <c r="P329" s="7">
        <v>440</v>
      </c>
      <c r="Q329" s="7">
        <v>756.3</v>
      </c>
      <c r="R329" s="4" t="s">
        <v>15</v>
      </c>
      <c r="S329" s="4" t="s">
        <v>15</v>
      </c>
      <c r="T329" s="4"/>
      <c r="U329" s="4" t="s">
        <v>332</v>
      </c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22">
        <v>111.6</v>
      </c>
      <c r="BA329" s="4"/>
      <c r="BB329" s="4"/>
      <c r="BC329" s="22">
        <v>25.6</v>
      </c>
      <c r="BD329" s="14">
        <v>1009</v>
      </c>
      <c r="BE329" s="72">
        <v>50</v>
      </c>
      <c r="BF329" s="15">
        <v>1.17</v>
      </c>
      <c r="BG329" s="23">
        <v>2096</v>
      </c>
      <c r="BH329" s="4"/>
    </row>
    <row r="330" spans="1:60" x14ac:dyDescent="0.3">
      <c r="A330" s="2" t="s">
        <v>43</v>
      </c>
      <c r="B330" s="59" t="s">
        <v>44</v>
      </c>
      <c r="C330" s="3">
        <v>45264</v>
      </c>
      <c r="D330" s="8">
        <v>1</v>
      </c>
      <c r="E330" s="3" t="s">
        <v>341</v>
      </c>
      <c r="F330" s="2" t="s">
        <v>547</v>
      </c>
      <c r="G330" s="7">
        <v>0.157</v>
      </c>
      <c r="H330" s="54">
        <v>1.2999999999999999E-3</v>
      </c>
      <c r="I330" s="7">
        <v>1.298</v>
      </c>
      <c r="K330" s="7">
        <v>0.16200000000000001</v>
      </c>
      <c r="L330" s="7">
        <v>0.15939999999999999</v>
      </c>
      <c r="O330" s="7">
        <v>60.6</v>
      </c>
      <c r="P330" s="7">
        <v>473</v>
      </c>
      <c r="Q330" s="7">
        <v>756.1</v>
      </c>
      <c r="R330" s="4" t="s">
        <v>331</v>
      </c>
      <c r="S330" s="4" t="s">
        <v>15</v>
      </c>
      <c r="T330" s="4"/>
      <c r="U330" s="4" t="s">
        <v>332</v>
      </c>
      <c r="V330" s="4" t="s">
        <v>77</v>
      </c>
      <c r="W330" s="4"/>
      <c r="X330" s="4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  <c r="AT330" s="7"/>
      <c r="AU330" s="7"/>
      <c r="AV330" s="4"/>
      <c r="AW330" s="2"/>
      <c r="AX330" s="7"/>
      <c r="AY330" s="4"/>
      <c r="AZ330" s="22">
        <v>111.6</v>
      </c>
      <c r="BA330" s="2"/>
      <c r="BB330" s="2"/>
      <c r="BC330" s="41">
        <v>24.5</v>
      </c>
      <c r="BD330" s="43">
        <v>1004</v>
      </c>
      <c r="BE330" s="44">
        <v>64</v>
      </c>
      <c r="BF330" s="45">
        <v>1.167</v>
      </c>
      <c r="BG330" s="61">
        <v>2096</v>
      </c>
      <c r="BH330" s="2"/>
    </row>
    <row r="331" spans="1:60" x14ac:dyDescent="0.3">
      <c r="A331" s="2" t="s">
        <v>43</v>
      </c>
      <c r="B331" s="59" t="s">
        <v>44</v>
      </c>
      <c r="C331" s="3">
        <v>45264</v>
      </c>
      <c r="D331" s="8">
        <v>2</v>
      </c>
      <c r="E331" s="3" t="s">
        <v>342</v>
      </c>
      <c r="F331" s="2" t="s">
        <v>557</v>
      </c>
      <c r="G331" s="7">
        <v>0.16200000000000001</v>
      </c>
      <c r="H331" s="54">
        <v>5.0000000000000001E-3</v>
      </c>
      <c r="I331" s="7">
        <v>1.298</v>
      </c>
      <c r="K331" s="7">
        <v>0.161</v>
      </c>
      <c r="L331" s="7">
        <v>0.1603</v>
      </c>
      <c r="O331" s="7">
        <v>60.1</v>
      </c>
      <c r="P331" s="7">
        <v>449</v>
      </c>
      <c r="Q331" s="7">
        <v>756.8</v>
      </c>
      <c r="R331" s="4" t="s">
        <v>331</v>
      </c>
      <c r="S331" s="4" t="s">
        <v>15</v>
      </c>
      <c r="T331" s="4"/>
      <c r="U331" s="4" t="s">
        <v>332</v>
      </c>
      <c r="V331" s="4" t="s">
        <v>77</v>
      </c>
      <c r="W331" s="4"/>
      <c r="X331" s="4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  <c r="AT331" s="7"/>
      <c r="AU331" s="7"/>
      <c r="AV331" s="4"/>
      <c r="AW331" s="2"/>
      <c r="AX331" s="7"/>
      <c r="AY331" s="4"/>
      <c r="AZ331" s="22">
        <v>111.6</v>
      </c>
      <c r="BA331" s="2"/>
      <c r="BB331" s="2"/>
      <c r="BC331" s="41">
        <v>24.5</v>
      </c>
      <c r="BD331" s="43">
        <v>1004</v>
      </c>
      <c r="BE331" s="44">
        <v>64</v>
      </c>
      <c r="BF331" s="45">
        <v>1.167</v>
      </c>
      <c r="BG331" s="61">
        <v>2096</v>
      </c>
      <c r="BH331" s="2"/>
    </row>
    <row r="332" spans="1:60" x14ac:dyDescent="0.3">
      <c r="A332" s="2" t="s">
        <v>43</v>
      </c>
      <c r="B332" s="59" t="s">
        <v>44</v>
      </c>
      <c r="C332" s="3">
        <v>45264</v>
      </c>
      <c r="D332" s="8">
        <v>3</v>
      </c>
      <c r="E332" s="3" t="s">
        <v>336</v>
      </c>
      <c r="F332" s="2" t="s">
        <v>547</v>
      </c>
      <c r="G332" s="7">
        <v>0.16059999999999999</v>
      </c>
      <c r="H332" s="54">
        <v>2.5000000000000001E-3</v>
      </c>
      <c r="I332" s="7">
        <v>1.298</v>
      </c>
      <c r="L332" s="7">
        <v>0.16059999999999999</v>
      </c>
      <c r="O332" s="7">
        <v>60.4</v>
      </c>
      <c r="P332" s="7">
        <v>464</v>
      </c>
      <c r="Q332" s="7">
        <v>756.7</v>
      </c>
      <c r="R332" s="4" t="s">
        <v>331</v>
      </c>
      <c r="S332" s="4" t="s">
        <v>15</v>
      </c>
      <c r="T332" s="4"/>
      <c r="U332" s="4" t="s">
        <v>332</v>
      </c>
      <c r="V332" s="4" t="s">
        <v>77</v>
      </c>
      <c r="W332" s="4"/>
      <c r="X332" s="4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  <c r="AT332" s="7"/>
      <c r="AU332" s="7"/>
      <c r="AV332" s="4"/>
      <c r="AW332" s="2"/>
      <c r="AX332" s="7"/>
      <c r="AY332" s="4"/>
      <c r="AZ332" s="22">
        <v>111.6</v>
      </c>
      <c r="BA332" s="2"/>
      <c r="BB332" s="2"/>
      <c r="BC332" s="41">
        <v>25</v>
      </c>
      <c r="BD332" s="43">
        <v>1004</v>
      </c>
      <c r="BE332" s="44">
        <v>62</v>
      </c>
      <c r="BF332" s="45">
        <v>1.165</v>
      </c>
      <c r="BG332" s="61">
        <v>2096</v>
      </c>
      <c r="BH332" s="2"/>
    </row>
    <row r="333" spans="1:60" x14ac:dyDescent="0.3">
      <c r="A333" s="2" t="s">
        <v>43</v>
      </c>
      <c r="B333" s="59" t="s">
        <v>44</v>
      </c>
      <c r="C333" s="3">
        <v>45264</v>
      </c>
      <c r="D333" s="8">
        <v>4</v>
      </c>
      <c r="E333" s="3" t="s">
        <v>337</v>
      </c>
      <c r="F333" s="2" t="s">
        <v>557</v>
      </c>
      <c r="G333" s="7">
        <v>0.1605</v>
      </c>
      <c r="H333" s="54">
        <v>5.8999999999999999E-3</v>
      </c>
      <c r="I333" s="7">
        <v>1.298</v>
      </c>
      <c r="K333" s="7">
        <v>0.16200000000000001</v>
      </c>
      <c r="L333" s="7">
        <v>0.16270000000000001</v>
      </c>
      <c r="O333" s="7">
        <v>60.2</v>
      </c>
      <c r="P333" s="7">
        <v>466</v>
      </c>
      <c r="Q333" s="7">
        <v>756.2</v>
      </c>
      <c r="R333" s="4" t="s">
        <v>331</v>
      </c>
      <c r="S333" s="4" t="s">
        <v>15</v>
      </c>
      <c r="T333" s="4"/>
      <c r="U333" s="4" t="s">
        <v>332</v>
      </c>
      <c r="V333" s="4" t="s">
        <v>77</v>
      </c>
      <c r="W333" s="4"/>
      <c r="X333" s="4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  <c r="AT333" s="7"/>
      <c r="AU333" s="7"/>
      <c r="AV333" s="4"/>
      <c r="AW333" s="2"/>
      <c r="AX333" s="7"/>
      <c r="AY333" s="4"/>
      <c r="AZ333" s="22">
        <v>111.6</v>
      </c>
      <c r="BA333" s="2"/>
      <c r="BB333" s="2"/>
      <c r="BC333" s="41">
        <v>25</v>
      </c>
      <c r="BD333" s="43">
        <v>1004</v>
      </c>
      <c r="BE333" s="44">
        <v>62</v>
      </c>
      <c r="BF333" s="45">
        <v>1.165</v>
      </c>
      <c r="BG333" s="61">
        <v>2096</v>
      </c>
      <c r="BH333" s="2"/>
    </row>
    <row r="334" spans="1:60" x14ac:dyDescent="0.3">
      <c r="A334" s="2" t="s">
        <v>43</v>
      </c>
      <c r="B334" s="59" t="s">
        <v>44</v>
      </c>
      <c r="C334" s="3">
        <v>45264</v>
      </c>
      <c r="D334" s="8">
        <v>5</v>
      </c>
      <c r="E334" s="3" t="s">
        <v>338</v>
      </c>
      <c r="F334" s="2" t="s">
        <v>553</v>
      </c>
      <c r="G334" s="7">
        <v>0.16220000000000001</v>
      </c>
      <c r="H334" s="54">
        <v>2.5000000000000001E-3</v>
      </c>
      <c r="I334" s="7">
        <v>1.298</v>
      </c>
      <c r="K334" s="7">
        <v>0.16300000000000001</v>
      </c>
      <c r="L334" s="7">
        <v>0.16270000000000001</v>
      </c>
      <c r="O334" s="7">
        <v>59.9</v>
      </c>
      <c r="P334" s="7">
        <v>460</v>
      </c>
      <c r="Q334" s="7">
        <v>756.2</v>
      </c>
      <c r="R334" s="4" t="s">
        <v>331</v>
      </c>
      <c r="S334" s="4" t="s">
        <v>15</v>
      </c>
      <c r="T334" s="4"/>
      <c r="U334" s="4" t="s">
        <v>332</v>
      </c>
      <c r="V334" s="4" t="s">
        <v>77</v>
      </c>
      <c r="W334" s="4"/>
      <c r="X334" s="4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  <c r="AT334" s="7"/>
      <c r="AU334" s="7"/>
      <c r="AV334" s="4"/>
      <c r="AW334" s="2"/>
      <c r="AX334" s="7"/>
      <c r="AY334" s="4"/>
      <c r="AZ334" s="22">
        <v>111.6</v>
      </c>
      <c r="BA334" s="2"/>
      <c r="BB334" s="2"/>
      <c r="BC334" s="41">
        <v>25.3</v>
      </c>
      <c r="BD334" s="43">
        <v>1004</v>
      </c>
      <c r="BE334" s="44">
        <v>61</v>
      </c>
      <c r="BF334" s="45">
        <v>1.163</v>
      </c>
      <c r="BG334" s="61">
        <v>2096</v>
      </c>
      <c r="BH334" s="2"/>
    </row>
    <row r="335" spans="1:60" x14ac:dyDescent="0.3">
      <c r="A335" s="2" t="s">
        <v>43</v>
      </c>
      <c r="B335" s="59" t="s">
        <v>44</v>
      </c>
      <c r="C335" s="3">
        <v>45264</v>
      </c>
      <c r="D335" s="8">
        <v>6</v>
      </c>
      <c r="E335" s="3" t="s">
        <v>339</v>
      </c>
      <c r="F335" s="2" t="s">
        <v>547</v>
      </c>
      <c r="G335" s="7">
        <v>0.16250000000000001</v>
      </c>
      <c r="H335" s="54">
        <v>1.9E-3</v>
      </c>
      <c r="I335" s="7">
        <v>1.298</v>
      </c>
      <c r="K335" s="7">
        <v>0.16300000000000001</v>
      </c>
      <c r="L335" s="7">
        <v>0.16059999999999999</v>
      </c>
      <c r="O335" s="7">
        <v>60.8</v>
      </c>
      <c r="P335" s="7">
        <v>477</v>
      </c>
      <c r="Q335" s="7">
        <v>756.9</v>
      </c>
      <c r="R335" s="4" t="s">
        <v>331</v>
      </c>
      <c r="S335" s="4" t="s">
        <v>15</v>
      </c>
      <c r="T335" s="4"/>
      <c r="U335" s="4" t="s">
        <v>332</v>
      </c>
      <c r="V335" s="4" t="s">
        <v>77</v>
      </c>
      <c r="W335" s="4"/>
      <c r="X335" s="4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  <c r="AT335" s="7"/>
      <c r="AU335" s="7"/>
      <c r="AV335" s="4"/>
      <c r="AW335" s="2"/>
      <c r="AX335" s="7"/>
      <c r="AY335" s="4"/>
      <c r="AZ335" s="22">
        <v>111.6</v>
      </c>
      <c r="BA335" s="2"/>
      <c r="BB335" s="2"/>
      <c r="BC335" s="41">
        <v>25.6</v>
      </c>
      <c r="BD335" s="43">
        <v>1004</v>
      </c>
      <c r="BE335" s="44">
        <v>61</v>
      </c>
      <c r="BF335" s="45">
        <v>1.1619999999999999</v>
      </c>
      <c r="BG335" s="61">
        <v>2096</v>
      </c>
      <c r="BH335" s="2"/>
    </row>
    <row r="336" spans="1:60" x14ac:dyDescent="0.3">
      <c r="A336" s="2" t="s">
        <v>43</v>
      </c>
      <c r="B336" s="59" t="s">
        <v>44</v>
      </c>
      <c r="C336" s="3">
        <v>45264</v>
      </c>
      <c r="D336" s="8">
        <v>7</v>
      </c>
      <c r="E336" s="3" t="s">
        <v>340</v>
      </c>
      <c r="F336" s="2" t="s">
        <v>553</v>
      </c>
      <c r="G336" s="7">
        <v>0.1595</v>
      </c>
      <c r="H336" s="54">
        <v>2E-3</v>
      </c>
      <c r="I336" s="7">
        <v>1.298</v>
      </c>
      <c r="K336" s="7">
        <v>0.16300000000000001</v>
      </c>
      <c r="O336" s="7">
        <v>61.1</v>
      </c>
      <c r="P336" s="7">
        <v>488</v>
      </c>
      <c r="Q336" s="7">
        <v>756.5</v>
      </c>
      <c r="R336" s="4" t="s">
        <v>331</v>
      </c>
      <c r="S336" s="4" t="s">
        <v>15</v>
      </c>
      <c r="T336" s="4"/>
      <c r="U336" s="4" t="s">
        <v>332</v>
      </c>
      <c r="V336" s="4" t="s">
        <v>77</v>
      </c>
      <c r="W336" s="4"/>
      <c r="X336" s="4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  <c r="AT336" s="7"/>
      <c r="AU336" s="7"/>
      <c r="AV336" s="4"/>
      <c r="AW336" s="2"/>
      <c r="AX336" s="7"/>
      <c r="AY336" s="4"/>
      <c r="AZ336" s="22">
        <v>111.6</v>
      </c>
      <c r="BA336" s="2"/>
      <c r="BB336" s="2"/>
      <c r="BC336" s="41">
        <v>25.6</v>
      </c>
      <c r="BD336" s="43">
        <v>1004</v>
      </c>
      <c r="BE336" s="44">
        <v>61</v>
      </c>
      <c r="BF336" s="45">
        <v>1.1619999999999999</v>
      </c>
      <c r="BG336" s="61">
        <v>2096</v>
      </c>
      <c r="BH336" s="2"/>
    </row>
    <row r="337" spans="1:60" x14ac:dyDescent="0.3">
      <c r="A337" s="2" t="s">
        <v>43</v>
      </c>
      <c r="B337" s="59" t="s">
        <v>79</v>
      </c>
      <c r="C337" s="3">
        <v>45264</v>
      </c>
      <c r="D337" s="8">
        <v>1</v>
      </c>
      <c r="E337" s="3" t="s">
        <v>345</v>
      </c>
      <c r="F337" s="2" t="s">
        <v>214</v>
      </c>
      <c r="G337" s="7">
        <v>0.15629999999999999</v>
      </c>
      <c r="H337" s="54">
        <v>3.8E-3</v>
      </c>
      <c r="I337" s="7">
        <v>1.2395</v>
      </c>
      <c r="K337" s="7">
        <v>0.152</v>
      </c>
      <c r="L337" s="7">
        <v>0.15140000000000001</v>
      </c>
      <c r="O337" s="7">
        <v>61.8</v>
      </c>
      <c r="P337" s="7">
        <v>464</v>
      </c>
      <c r="Q337" s="7">
        <v>753.7</v>
      </c>
      <c r="R337" s="4" t="s">
        <v>333</v>
      </c>
      <c r="S337" s="4" t="s">
        <v>15</v>
      </c>
      <c r="T337" s="4"/>
      <c r="U337" s="4" t="s">
        <v>225</v>
      </c>
      <c r="V337" s="4" t="s">
        <v>48</v>
      </c>
      <c r="W337" s="4"/>
      <c r="X337" s="4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  <c r="AT337" s="7"/>
      <c r="AU337" s="7"/>
      <c r="AV337" s="4"/>
      <c r="AW337" s="2"/>
      <c r="AX337" s="7"/>
      <c r="AY337" s="4"/>
      <c r="AZ337" s="22">
        <v>113.4</v>
      </c>
      <c r="BA337" s="2"/>
      <c r="BB337" s="2"/>
      <c r="BC337" s="41">
        <v>24.4</v>
      </c>
      <c r="BD337" s="43">
        <v>1004</v>
      </c>
      <c r="BE337" s="44">
        <v>64</v>
      </c>
      <c r="BF337" s="45">
        <v>1.167</v>
      </c>
      <c r="BG337" s="61">
        <v>2096</v>
      </c>
      <c r="BH337" s="2"/>
    </row>
    <row r="338" spans="1:60" x14ac:dyDescent="0.3">
      <c r="A338" s="2" t="s">
        <v>43</v>
      </c>
      <c r="B338" s="59" t="s">
        <v>79</v>
      </c>
      <c r="C338" s="3">
        <v>45264</v>
      </c>
      <c r="D338" s="8">
        <v>4</v>
      </c>
      <c r="E338" s="3" t="s">
        <v>348</v>
      </c>
      <c r="F338" s="2" t="s">
        <v>214</v>
      </c>
      <c r="G338" s="7">
        <v>0.15329999999999999</v>
      </c>
      <c r="H338" s="54">
        <v>2.5000000000000001E-3</v>
      </c>
      <c r="I338" s="7">
        <v>1.2395</v>
      </c>
      <c r="K338" s="7">
        <v>0.154</v>
      </c>
      <c r="L338" s="7">
        <v>0.15160000000000001</v>
      </c>
      <c r="O338" s="7">
        <v>61.6</v>
      </c>
      <c r="P338" s="7">
        <v>469</v>
      </c>
      <c r="Q338" s="7">
        <v>753.8</v>
      </c>
      <c r="R338" s="4" t="s">
        <v>333</v>
      </c>
      <c r="S338" s="4" t="s">
        <v>15</v>
      </c>
      <c r="T338" s="4"/>
      <c r="U338" s="4" t="s">
        <v>225</v>
      </c>
      <c r="V338" s="4" t="s">
        <v>48</v>
      </c>
      <c r="W338" s="4"/>
      <c r="X338" s="4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  <c r="AT338" s="7"/>
      <c r="AU338" s="7"/>
      <c r="AV338" s="4"/>
      <c r="AW338" s="2"/>
      <c r="AX338" s="7"/>
      <c r="AY338" s="4"/>
      <c r="AZ338" s="22">
        <v>113.4</v>
      </c>
      <c r="BA338" s="2"/>
      <c r="BB338" s="2"/>
      <c r="BC338" s="41">
        <v>25</v>
      </c>
      <c r="BD338" s="43">
        <v>1004</v>
      </c>
      <c r="BE338" s="44">
        <v>62</v>
      </c>
      <c r="BF338" s="45">
        <v>1.165</v>
      </c>
      <c r="BG338" s="61">
        <v>2096</v>
      </c>
      <c r="BH338" s="2"/>
    </row>
    <row r="339" spans="1:60" x14ac:dyDescent="0.3">
      <c r="A339" s="2" t="s">
        <v>43</v>
      </c>
      <c r="B339" s="59" t="s">
        <v>44</v>
      </c>
      <c r="C339" s="3">
        <v>45267</v>
      </c>
      <c r="D339" s="8">
        <v>1</v>
      </c>
      <c r="E339" s="3" t="s">
        <v>358</v>
      </c>
      <c r="F339" s="2" t="s">
        <v>355</v>
      </c>
      <c r="G339" s="7">
        <v>0.16600000000000001</v>
      </c>
      <c r="H339" s="54">
        <v>1.6999999999999999E-3</v>
      </c>
      <c r="I339" s="7">
        <v>1.2905</v>
      </c>
      <c r="K339" s="7">
        <v>0.16</v>
      </c>
      <c r="L339" s="7">
        <v>0.16489999999999999</v>
      </c>
      <c r="O339" s="7">
        <v>60.8</v>
      </c>
      <c r="P339" s="7">
        <v>475</v>
      </c>
      <c r="Q339" s="7">
        <v>755.5</v>
      </c>
      <c r="R339" s="4" t="s">
        <v>331</v>
      </c>
      <c r="S339" s="4" t="s">
        <v>15</v>
      </c>
      <c r="T339" s="4"/>
      <c r="U339" s="4" t="s">
        <v>332</v>
      </c>
      <c r="V339" s="4" t="s">
        <v>77</v>
      </c>
      <c r="W339" s="4"/>
      <c r="X339" s="4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  <c r="AT339" s="7"/>
      <c r="AU339" s="7"/>
      <c r="AV339" s="4"/>
      <c r="AW339" s="2"/>
      <c r="AX339" s="7"/>
      <c r="AY339" s="4"/>
      <c r="AZ339" s="22">
        <v>111.6</v>
      </c>
      <c r="BA339" s="2"/>
      <c r="BB339" s="2"/>
      <c r="BC339" s="41">
        <v>24.4</v>
      </c>
      <c r="BD339" s="43">
        <v>1006</v>
      </c>
      <c r="BE339" s="44">
        <v>53</v>
      </c>
      <c r="BF339" s="45">
        <v>1.171</v>
      </c>
      <c r="BG339" s="61">
        <v>2096</v>
      </c>
      <c r="BH339" s="2"/>
    </row>
    <row r="340" spans="1:60" x14ac:dyDescent="0.3">
      <c r="A340" s="2" t="s">
        <v>43</v>
      </c>
      <c r="B340" s="59" t="s">
        <v>44</v>
      </c>
      <c r="C340" s="3">
        <v>45267</v>
      </c>
      <c r="D340" s="8">
        <v>2</v>
      </c>
      <c r="E340" s="3" t="s">
        <v>359</v>
      </c>
      <c r="F340" s="2" t="s">
        <v>553</v>
      </c>
      <c r="G340" s="7">
        <v>0.16</v>
      </c>
      <c r="H340" s="54">
        <v>1.5E-3</v>
      </c>
      <c r="I340" s="7">
        <v>1.2905</v>
      </c>
      <c r="K340" s="7">
        <v>0.159</v>
      </c>
      <c r="L340" s="7">
        <v>0.16139999999999999</v>
      </c>
      <c r="O340" s="7">
        <v>61.2</v>
      </c>
      <c r="P340" s="7">
        <v>487</v>
      </c>
      <c r="Q340" s="7">
        <v>755.3</v>
      </c>
      <c r="R340" s="4" t="s">
        <v>331</v>
      </c>
      <c r="S340" s="4" t="s">
        <v>15</v>
      </c>
      <c r="T340" s="4"/>
      <c r="U340" s="4" t="s">
        <v>332</v>
      </c>
      <c r="V340" s="4" t="s">
        <v>77</v>
      </c>
      <c r="W340" s="4"/>
      <c r="X340" s="4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  <c r="AT340" s="7"/>
      <c r="AU340" s="7"/>
      <c r="AV340" s="4"/>
      <c r="AW340" s="2"/>
      <c r="AX340" s="7"/>
      <c r="AY340" s="4"/>
      <c r="AZ340" s="22">
        <v>111.6</v>
      </c>
      <c r="BA340" s="2"/>
      <c r="BB340" s="2"/>
      <c r="BC340" s="41">
        <v>24.4</v>
      </c>
      <c r="BD340" s="43">
        <v>1006</v>
      </c>
      <c r="BE340" s="44">
        <v>53</v>
      </c>
      <c r="BF340" s="45">
        <v>1.17</v>
      </c>
      <c r="BG340" s="61">
        <v>2096</v>
      </c>
      <c r="BH340" s="2"/>
    </row>
    <row r="341" spans="1:60" x14ac:dyDescent="0.3">
      <c r="A341" s="2" t="s">
        <v>43</v>
      </c>
      <c r="B341" s="59" t="s">
        <v>44</v>
      </c>
      <c r="C341" s="3">
        <v>45267</v>
      </c>
      <c r="D341" s="8">
        <v>3</v>
      </c>
      <c r="E341" s="3" t="s">
        <v>360</v>
      </c>
      <c r="F341" s="2" t="s">
        <v>554</v>
      </c>
      <c r="G341" s="7">
        <v>0.1636</v>
      </c>
      <c r="H341" s="54">
        <v>8.9999999999999998E-4</v>
      </c>
      <c r="I341" s="7">
        <v>1.2905</v>
      </c>
      <c r="K341" s="7">
        <v>0.16300000000000001</v>
      </c>
      <c r="L341" s="7">
        <v>0.16200000000000001</v>
      </c>
      <c r="O341" s="7">
        <v>61.8</v>
      </c>
      <c r="P341" s="7">
        <v>497</v>
      </c>
      <c r="Q341" s="7">
        <v>756</v>
      </c>
      <c r="R341" s="4" t="s">
        <v>331</v>
      </c>
      <c r="S341" s="4" t="s">
        <v>15</v>
      </c>
      <c r="T341" s="4"/>
      <c r="U341" s="4" t="s">
        <v>332</v>
      </c>
      <c r="V341" s="4" t="s">
        <v>77</v>
      </c>
      <c r="W341" s="4"/>
      <c r="X341" s="4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  <c r="AT341" s="7"/>
      <c r="AU341" s="7"/>
      <c r="AV341" s="4"/>
      <c r="AW341" s="2"/>
      <c r="AX341" s="7"/>
      <c r="AY341" s="4"/>
      <c r="AZ341" s="22">
        <v>111.6</v>
      </c>
      <c r="BA341" s="2"/>
      <c r="BB341" s="2"/>
      <c r="BC341" s="41">
        <v>25.1</v>
      </c>
      <c r="BD341" s="43">
        <v>1005</v>
      </c>
      <c r="BE341" s="44">
        <v>51</v>
      </c>
      <c r="BF341" s="45">
        <v>1.167</v>
      </c>
      <c r="BG341" s="61">
        <v>2096</v>
      </c>
      <c r="BH341" s="2"/>
    </row>
    <row r="342" spans="1:60" x14ac:dyDescent="0.3">
      <c r="A342" s="2" t="s">
        <v>43</v>
      </c>
      <c r="B342" s="59" t="s">
        <v>44</v>
      </c>
      <c r="C342" s="3">
        <v>45267</v>
      </c>
      <c r="D342" s="8">
        <v>4</v>
      </c>
      <c r="E342" s="3" t="s">
        <v>361</v>
      </c>
      <c r="F342" s="2" t="s">
        <v>355</v>
      </c>
      <c r="G342" s="7">
        <v>0.1696</v>
      </c>
      <c r="H342" s="54">
        <v>1.4E-3</v>
      </c>
      <c r="I342" s="7">
        <v>1.2905</v>
      </c>
      <c r="K342" s="7">
        <v>0.16500000000000001</v>
      </c>
      <c r="L342" s="7">
        <v>0.16719999999999999</v>
      </c>
      <c r="O342" s="7">
        <v>61.4</v>
      </c>
      <c r="P342" s="7">
        <v>492</v>
      </c>
      <c r="Q342" s="7">
        <v>756.1</v>
      </c>
      <c r="R342" s="4" t="s">
        <v>331</v>
      </c>
      <c r="S342" s="4" t="s">
        <v>15</v>
      </c>
      <c r="T342" s="4"/>
      <c r="U342" s="4" t="s">
        <v>332</v>
      </c>
      <c r="V342" s="4" t="s">
        <v>77</v>
      </c>
      <c r="W342" s="4"/>
      <c r="X342" s="4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  <c r="AT342" s="7"/>
      <c r="AU342" s="7"/>
      <c r="AV342" s="4"/>
      <c r="AW342" s="2"/>
      <c r="AX342" s="7"/>
      <c r="AY342" s="4"/>
      <c r="AZ342" s="22">
        <v>111.6</v>
      </c>
      <c r="BA342" s="2"/>
      <c r="BB342" s="2"/>
      <c r="BC342" s="41">
        <v>25.7</v>
      </c>
      <c r="BD342" s="43">
        <v>1005</v>
      </c>
      <c r="BE342" s="44">
        <v>61</v>
      </c>
      <c r="BF342" s="45">
        <v>1.163</v>
      </c>
      <c r="BG342" s="61">
        <v>2096</v>
      </c>
      <c r="BH342" s="2"/>
    </row>
    <row r="343" spans="1:60" x14ac:dyDescent="0.3">
      <c r="A343" s="2" t="s">
        <v>43</v>
      </c>
      <c r="B343" s="59" t="s">
        <v>44</v>
      </c>
      <c r="C343" s="3">
        <v>45267</v>
      </c>
      <c r="D343" s="8">
        <v>5</v>
      </c>
      <c r="E343" s="3" t="s">
        <v>362</v>
      </c>
      <c r="F343" s="2" t="s">
        <v>553</v>
      </c>
      <c r="G343" s="7">
        <v>0.1605</v>
      </c>
      <c r="H343" s="54">
        <v>2E-3</v>
      </c>
      <c r="I343" s="7">
        <v>1.2905</v>
      </c>
      <c r="L343" s="7">
        <v>0.16109999999999999</v>
      </c>
      <c r="O343" s="7">
        <v>62.3</v>
      </c>
      <c r="P343" s="7">
        <v>506</v>
      </c>
      <c r="Q343" s="7">
        <v>756</v>
      </c>
      <c r="R343" s="4" t="s">
        <v>331</v>
      </c>
      <c r="S343" s="4" t="s">
        <v>15</v>
      </c>
      <c r="T343" s="4"/>
      <c r="U343" s="4" t="s">
        <v>332</v>
      </c>
      <c r="V343" s="4" t="s">
        <v>77</v>
      </c>
      <c r="W343" s="4"/>
      <c r="X343" s="4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  <c r="AT343" s="7"/>
      <c r="AU343" s="7"/>
      <c r="AV343" s="4"/>
      <c r="AW343" s="2"/>
      <c r="AX343" s="7"/>
      <c r="AY343" s="4"/>
      <c r="AZ343" s="22">
        <v>111.6</v>
      </c>
      <c r="BA343" s="2"/>
      <c r="BB343" s="2"/>
      <c r="BC343" s="41">
        <v>25.9</v>
      </c>
      <c r="BD343" s="43">
        <v>1005</v>
      </c>
      <c r="BE343" s="44">
        <v>56</v>
      </c>
      <c r="BF343" s="45">
        <v>1.1619999999999999</v>
      </c>
      <c r="BG343" s="61">
        <v>2096</v>
      </c>
      <c r="BH343" s="2"/>
    </row>
    <row r="344" spans="1:60" x14ac:dyDescent="0.3">
      <c r="A344" s="2" t="s">
        <v>43</v>
      </c>
      <c r="B344" s="59" t="s">
        <v>44</v>
      </c>
      <c r="C344" s="3">
        <v>45267</v>
      </c>
      <c r="D344" s="8">
        <v>6</v>
      </c>
      <c r="E344" s="3" t="s">
        <v>363</v>
      </c>
      <c r="F344" s="2" t="s">
        <v>554</v>
      </c>
      <c r="G344" s="7">
        <v>0.16189999999999999</v>
      </c>
      <c r="H344" s="54">
        <v>2.7000000000000001E-3</v>
      </c>
      <c r="I344" s="7">
        <v>1.2905</v>
      </c>
      <c r="L344" s="7">
        <v>0.16139999999999999</v>
      </c>
      <c r="O344" s="7">
        <v>63</v>
      </c>
      <c r="P344" s="7">
        <v>527</v>
      </c>
      <c r="Q344" s="7">
        <v>756.5</v>
      </c>
      <c r="R344" s="4" t="s">
        <v>331</v>
      </c>
      <c r="S344" s="4" t="s">
        <v>15</v>
      </c>
      <c r="T344" s="4"/>
      <c r="U344" s="4" t="s">
        <v>332</v>
      </c>
      <c r="V344" s="4" t="s">
        <v>77</v>
      </c>
      <c r="W344" s="4"/>
      <c r="X344" s="4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  <c r="AT344" s="7"/>
      <c r="AU344" s="7"/>
      <c r="AV344" s="4"/>
      <c r="AW344" s="2"/>
      <c r="AX344" s="7"/>
      <c r="AY344" s="4"/>
      <c r="AZ344" s="22">
        <v>111.6</v>
      </c>
      <c r="BA344" s="2"/>
      <c r="BB344" s="2"/>
      <c r="BC344" s="41">
        <v>26.4</v>
      </c>
      <c r="BD344" s="43">
        <v>1005</v>
      </c>
      <c r="BE344" s="44">
        <v>48</v>
      </c>
      <c r="BF344" s="45">
        <v>1.1619999999999999</v>
      </c>
      <c r="BG344" s="61">
        <v>2096</v>
      </c>
      <c r="BH344" s="2"/>
    </row>
    <row r="345" spans="1:60" x14ac:dyDescent="0.3">
      <c r="A345" s="2" t="s">
        <v>43</v>
      </c>
      <c r="B345" s="59" t="s">
        <v>99</v>
      </c>
      <c r="C345" s="3">
        <v>45267</v>
      </c>
      <c r="D345" s="8">
        <v>1</v>
      </c>
      <c r="E345" s="3" t="s">
        <v>377</v>
      </c>
      <c r="F345" s="2" t="s">
        <v>355</v>
      </c>
      <c r="G345" s="7">
        <v>0.18</v>
      </c>
      <c r="H345" s="54">
        <v>6.0000000000000001E-3</v>
      </c>
      <c r="I345" s="7">
        <v>1.2655000000000001</v>
      </c>
      <c r="K345" s="7">
        <v>0.17299999999999999</v>
      </c>
      <c r="L345" s="7">
        <v>0.17480000000000001</v>
      </c>
      <c r="O345" s="7">
        <v>59.4</v>
      </c>
      <c r="P345" s="7">
        <v>480</v>
      </c>
      <c r="Q345" s="7">
        <v>755.4</v>
      </c>
      <c r="R345" s="4" t="s">
        <v>334</v>
      </c>
      <c r="S345" s="4" t="s">
        <v>15</v>
      </c>
      <c r="T345" s="4"/>
      <c r="U345" s="4" t="s">
        <v>332</v>
      </c>
      <c r="V345" s="4" t="s">
        <v>48</v>
      </c>
      <c r="W345" s="4"/>
      <c r="X345" s="4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  <c r="AT345" s="7"/>
      <c r="AU345" s="7"/>
      <c r="AV345" s="4"/>
      <c r="AW345" s="2"/>
      <c r="AX345" s="7"/>
      <c r="AY345" s="4"/>
      <c r="AZ345" s="22">
        <v>111.6</v>
      </c>
      <c r="BA345" s="2"/>
      <c r="BB345" s="2"/>
      <c r="BC345" s="41">
        <v>24.4</v>
      </c>
      <c r="BD345" s="43">
        <v>1006</v>
      </c>
      <c r="BE345" s="44">
        <v>53</v>
      </c>
      <c r="BF345" s="45">
        <v>1.171</v>
      </c>
      <c r="BG345" s="61">
        <v>2096</v>
      </c>
      <c r="BH345" s="2"/>
    </row>
    <row r="346" spans="1:60" x14ac:dyDescent="0.3">
      <c r="A346" s="2" t="s">
        <v>43</v>
      </c>
      <c r="B346" s="59" t="s">
        <v>99</v>
      </c>
      <c r="C346" s="3">
        <v>45267</v>
      </c>
      <c r="D346" s="8">
        <v>2</v>
      </c>
      <c r="E346" s="3" t="s">
        <v>378</v>
      </c>
      <c r="F346" s="2" t="s">
        <v>214</v>
      </c>
      <c r="G346" s="7">
        <v>0.17219999999999999</v>
      </c>
      <c r="H346" s="54">
        <v>2.7000000000000001E-3</v>
      </c>
      <c r="I346" s="7">
        <v>1.2655000000000001</v>
      </c>
      <c r="K346" s="7">
        <v>0.17100000000000001</v>
      </c>
      <c r="L346" s="7">
        <v>0.16839999999999999</v>
      </c>
      <c r="O346" s="7">
        <v>57.9</v>
      </c>
      <c r="P346" s="7">
        <v>434</v>
      </c>
      <c r="Q346" s="7">
        <v>757.7</v>
      </c>
      <c r="R346" s="4" t="s">
        <v>334</v>
      </c>
      <c r="S346" s="4" t="s">
        <v>15</v>
      </c>
      <c r="T346" s="4"/>
      <c r="U346" s="4" t="s">
        <v>332</v>
      </c>
      <c r="V346" s="4" t="s">
        <v>48</v>
      </c>
      <c r="W346" s="4"/>
      <c r="X346" s="4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  <c r="AT346" s="7"/>
      <c r="AU346" s="7"/>
      <c r="AV346" s="4"/>
      <c r="AW346" s="2"/>
      <c r="AX346" s="7"/>
      <c r="AY346" s="4"/>
      <c r="AZ346" s="22">
        <v>111.6</v>
      </c>
      <c r="BA346" s="2"/>
      <c r="BB346" s="2"/>
      <c r="BC346" s="41">
        <v>24.8</v>
      </c>
      <c r="BD346" s="43">
        <v>1005</v>
      </c>
      <c r="BE346" s="44">
        <v>62</v>
      </c>
      <c r="BF346" s="45">
        <v>1.167</v>
      </c>
      <c r="BG346" s="61">
        <v>2096</v>
      </c>
      <c r="BH346" s="2"/>
    </row>
    <row r="347" spans="1:60" x14ac:dyDescent="0.3">
      <c r="A347" s="2" t="s">
        <v>43</v>
      </c>
      <c r="B347" s="59" t="s">
        <v>99</v>
      </c>
      <c r="C347" s="3">
        <v>45267</v>
      </c>
      <c r="D347" s="8">
        <v>3</v>
      </c>
      <c r="E347" s="3" t="s">
        <v>379</v>
      </c>
      <c r="F347" s="2" t="s">
        <v>552</v>
      </c>
      <c r="H347" s="54"/>
      <c r="I347" s="7">
        <v>1.2655000000000001</v>
      </c>
      <c r="K347" s="7">
        <v>0.16800000000000001</v>
      </c>
      <c r="L347" s="7">
        <v>0.16789999999999999</v>
      </c>
      <c r="O347" s="7">
        <v>59.1</v>
      </c>
      <c r="P347" s="7">
        <v>456</v>
      </c>
      <c r="Q347" s="7">
        <v>757</v>
      </c>
      <c r="R347" s="4" t="s">
        <v>334</v>
      </c>
      <c r="S347" s="4" t="s">
        <v>15</v>
      </c>
      <c r="T347" s="4"/>
      <c r="U347" s="4" t="s">
        <v>332</v>
      </c>
      <c r="V347" s="4" t="s">
        <v>48</v>
      </c>
      <c r="W347" s="4"/>
      <c r="X347" s="4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  <c r="AT347" s="7"/>
      <c r="AU347" s="7"/>
      <c r="AV347" s="4"/>
      <c r="AW347" s="2"/>
      <c r="AX347" s="7"/>
      <c r="AY347" s="4"/>
      <c r="AZ347" s="22">
        <v>111.6</v>
      </c>
      <c r="BA347" s="2"/>
      <c r="BB347" s="2"/>
      <c r="BC347" s="41">
        <v>25.1</v>
      </c>
      <c r="BD347" s="43">
        <v>1005</v>
      </c>
      <c r="BE347" s="44">
        <v>51</v>
      </c>
      <c r="BF347" s="45">
        <v>1.167</v>
      </c>
      <c r="BG347" s="61">
        <v>2096</v>
      </c>
      <c r="BH347" s="2"/>
    </row>
    <row r="348" spans="1:60" x14ac:dyDescent="0.3">
      <c r="A348" s="2" t="s">
        <v>43</v>
      </c>
      <c r="B348" s="59" t="s">
        <v>99</v>
      </c>
      <c r="C348" s="3">
        <v>45267</v>
      </c>
      <c r="D348" s="8">
        <v>4</v>
      </c>
      <c r="E348" s="3" t="s">
        <v>369</v>
      </c>
      <c r="F348" s="2" t="s">
        <v>355</v>
      </c>
      <c r="G348" s="7">
        <v>0.18160000000000001</v>
      </c>
      <c r="H348" s="54">
        <v>2.3E-3</v>
      </c>
      <c r="I348" s="7">
        <v>1.2655000000000001</v>
      </c>
      <c r="L348" s="7">
        <v>0.17519999999999999</v>
      </c>
      <c r="O348" s="7">
        <v>59.7</v>
      </c>
      <c r="P348" s="7">
        <v>472</v>
      </c>
      <c r="Q348" s="7">
        <v>755.7</v>
      </c>
      <c r="R348" s="4" t="s">
        <v>334</v>
      </c>
      <c r="S348" s="4" t="s">
        <v>15</v>
      </c>
      <c r="T348" s="4"/>
      <c r="U348" s="4" t="s">
        <v>332</v>
      </c>
      <c r="V348" s="4" t="s">
        <v>48</v>
      </c>
      <c r="W348" s="4"/>
      <c r="X348" s="4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  <c r="AT348" s="7"/>
      <c r="AU348" s="7"/>
      <c r="AV348" s="4"/>
      <c r="AW348" s="2"/>
      <c r="AX348" s="7"/>
      <c r="AY348" s="4"/>
      <c r="AZ348" s="22">
        <v>111.6</v>
      </c>
      <c r="BA348" s="2"/>
      <c r="BB348" s="2"/>
      <c r="BC348" s="41">
        <v>25.7</v>
      </c>
      <c r="BD348" s="43">
        <v>1005</v>
      </c>
      <c r="BE348" s="44">
        <v>61</v>
      </c>
      <c r="BF348" s="45">
        <v>1.163</v>
      </c>
      <c r="BG348" s="61">
        <v>2096</v>
      </c>
      <c r="BH348" s="2"/>
    </row>
    <row r="349" spans="1:60" x14ac:dyDescent="0.3">
      <c r="A349" s="2" t="s">
        <v>43</v>
      </c>
      <c r="B349" s="59" t="s">
        <v>99</v>
      </c>
      <c r="C349" s="3">
        <v>45267</v>
      </c>
      <c r="D349" s="8">
        <v>5</v>
      </c>
      <c r="E349" s="3" t="s">
        <v>370</v>
      </c>
      <c r="F349" s="2" t="s">
        <v>552</v>
      </c>
      <c r="G349" s="7">
        <v>0.17480000000000001</v>
      </c>
      <c r="H349" s="54">
        <v>3.2000000000000002E-3</v>
      </c>
      <c r="I349" s="7">
        <v>1.2655000000000001</v>
      </c>
      <c r="L349" s="7">
        <v>0.1668</v>
      </c>
      <c r="O349" s="7">
        <v>59.3</v>
      </c>
      <c r="P349" s="7">
        <v>454</v>
      </c>
      <c r="Q349" s="7">
        <v>757.2</v>
      </c>
      <c r="R349" s="4" t="s">
        <v>334</v>
      </c>
      <c r="S349" s="4" t="s">
        <v>15</v>
      </c>
      <c r="T349" s="4"/>
      <c r="U349" s="4" t="s">
        <v>332</v>
      </c>
      <c r="V349" s="4" t="s">
        <v>48</v>
      </c>
      <c r="W349" s="4"/>
      <c r="X349" s="4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  <c r="AT349" s="7"/>
      <c r="AU349" s="7"/>
      <c r="AV349" s="4"/>
      <c r="AW349" s="2"/>
      <c r="AX349" s="7"/>
      <c r="AY349" s="4"/>
      <c r="AZ349" s="22">
        <v>111.6</v>
      </c>
      <c r="BA349" s="2"/>
      <c r="BB349" s="2"/>
      <c r="BC349" s="41">
        <v>25.9</v>
      </c>
      <c r="BD349" s="43">
        <v>1005</v>
      </c>
      <c r="BE349" s="44">
        <v>56</v>
      </c>
      <c r="BF349" s="45">
        <v>1.1619999999999999</v>
      </c>
      <c r="BG349" s="61">
        <v>2096</v>
      </c>
      <c r="BH349" s="2"/>
    </row>
    <row r="350" spans="1:60" x14ac:dyDescent="0.3">
      <c r="A350" s="2" t="s">
        <v>43</v>
      </c>
      <c r="B350" s="59" t="s">
        <v>44</v>
      </c>
      <c r="C350" s="3">
        <v>45278</v>
      </c>
      <c r="D350" s="8">
        <v>1</v>
      </c>
      <c r="E350" s="3" t="s">
        <v>392</v>
      </c>
      <c r="F350" s="2" t="s">
        <v>355</v>
      </c>
      <c r="G350" s="7">
        <v>0.1694</v>
      </c>
      <c r="H350" s="54">
        <v>8.0000000000000004E-4</v>
      </c>
      <c r="I350" s="7">
        <v>1.276</v>
      </c>
      <c r="K350" s="7">
        <v>0.16700000000000001</v>
      </c>
      <c r="L350" s="7">
        <v>0.16980000000000001</v>
      </c>
      <c r="O350" s="7">
        <v>61.2</v>
      </c>
      <c r="P350" s="7">
        <v>497</v>
      </c>
      <c r="Q350" s="7">
        <v>755.8</v>
      </c>
      <c r="R350" s="4" t="s">
        <v>15</v>
      </c>
      <c r="S350" s="4" t="s">
        <v>15</v>
      </c>
      <c r="T350" s="4"/>
      <c r="U350" s="4" t="s">
        <v>332</v>
      </c>
      <c r="V350" s="4" t="s">
        <v>77</v>
      </c>
      <c r="W350" s="4"/>
      <c r="X350" s="4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  <c r="AT350" s="7"/>
      <c r="AU350" s="7"/>
      <c r="AV350" s="4"/>
      <c r="AW350" s="2"/>
      <c r="AX350" s="7"/>
      <c r="AY350" s="4"/>
      <c r="AZ350" s="4">
        <v>113.4</v>
      </c>
      <c r="BA350" s="2"/>
      <c r="BB350" s="2"/>
      <c r="BC350" s="2">
        <v>25.4</v>
      </c>
      <c r="BD350" s="43">
        <v>1013</v>
      </c>
      <c r="BE350" s="44">
        <v>58</v>
      </c>
      <c r="BF350" s="45">
        <v>1.1739999999999999</v>
      </c>
      <c r="BG350" s="61">
        <v>2096</v>
      </c>
      <c r="BH350" s="2"/>
    </row>
    <row r="351" spans="1:60" x14ac:dyDescent="0.3">
      <c r="A351" s="2" t="s">
        <v>43</v>
      </c>
      <c r="B351" s="59" t="s">
        <v>44</v>
      </c>
      <c r="C351" s="3">
        <v>45278</v>
      </c>
      <c r="D351" s="8">
        <v>4</v>
      </c>
      <c r="E351" s="3" t="s">
        <v>395</v>
      </c>
      <c r="F351" s="2" t="s">
        <v>355</v>
      </c>
      <c r="G351" s="7">
        <v>0.16900000000000001</v>
      </c>
      <c r="H351" s="54">
        <v>2.0999999999999999E-3</v>
      </c>
      <c r="I351" s="7">
        <v>1.276</v>
      </c>
      <c r="K351" s="7">
        <v>0.16700000000000001</v>
      </c>
      <c r="L351" s="7">
        <v>0.1681</v>
      </c>
      <c r="O351" s="7">
        <v>61.9</v>
      </c>
      <c r="P351" s="7">
        <v>513</v>
      </c>
      <c r="Q351" s="7">
        <v>756</v>
      </c>
      <c r="R351" s="4" t="s">
        <v>15</v>
      </c>
      <c r="S351" s="4" t="s">
        <v>15</v>
      </c>
      <c r="T351" s="4"/>
      <c r="U351" s="4" t="s">
        <v>332</v>
      </c>
      <c r="V351" s="4" t="s">
        <v>77</v>
      </c>
      <c r="W351" s="4"/>
      <c r="X351" s="4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  <c r="AT351" s="7"/>
      <c r="AU351" s="7"/>
      <c r="AV351" s="4"/>
      <c r="AW351" s="2"/>
      <c r="AX351" s="7"/>
      <c r="AY351" s="4"/>
      <c r="AZ351" s="4">
        <v>113.4</v>
      </c>
      <c r="BA351" s="2"/>
      <c r="BB351" s="2"/>
      <c r="BC351" s="2">
        <v>25.8</v>
      </c>
      <c r="BD351" s="43">
        <v>1013</v>
      </c>
      <c r="BE351" s="44">
        <v>58</v>
      </c>
      <c r="BF351" s="45">
        <v>1.1719999999999999</v>
      </c>
      <c r="BG351" s="61">
        <v>2096</v>
      </c>
      <c r="BH351" s="2"/>
    </row>
    <row r="352" spans="1:60" x14ac:dyDescent="0.3">
      <c r="A352" s="2" t="s">
        <v>43</v>
      </c>
      <c r="B352" s="59" t="s">
        <v>99</v>
      </c>
      <c r="C352" s="3">
        <v>45278</v>
      </c>
      <c r="D352" s="8">
        <v>1</v>
      </c>
      <c r="E352" s="3" t="s">
        <v>398</v>
      </c>
      <c r="F352" s="2" t="s">
        <v>552</v>
      </c>
      <c r="G352" s="7">
        <v>0.16919999999999999</v>
      </c>
      <c r="H352" s="54">
        <v>3.3999999999999998E-3</v>
      </c>
      <c r="I352" s="7">
        <v>1.266</v>
      </c>
      <c r="K352" s="7">
        <v>0.16600000000000001</v>
      </c>
      <c r="L352" s="7">
        <v>0.16789999999999999</v>
      </c>
      <c r="O352" s="7">
        <v>59</v>
      </c>
      <c r="P352" s="7">
        <v>448</v>
      </c>
      <c r="Q352" s="7">
        <v>754.2</v>
      </c>
      <c r="R352" s="4" t="s">
        <v>15</v>
      </c>
      <c r="S352" s="4" t="s">
        <v>15</v>
      </c>
      <c r="T352" s="4"/>
      <c r="U352" s="4" t="s">
        <v>332</v>
      </c>
      <c r="V352" s="4" t="s">
        <v>48</v>
      </c>
      <c r="W352" s="4"/>
      <c r="X352" s="4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  <c r="AT352" s="7"/>
      <c r="AU352" s="7"/>
      <c r="AV352" s="4"/>
      <c r="AW352" s="2"/>
      <c r="AX352" s="7"/>
      <c r="AY352" s="4"/>
      <c r="AZ352" s="4"/>
      <c r="BA352" s="2"/>
      <c r="BB352" s="2"/>
      <c r="BC352" s="2"/>
      <c r="BD352" s="43"/>
      <c r="BE352" s="44"/>
      <c r="BF352" s="45"/>
      <c r="BG352" s="61"/>
      <c r="BH352" s="2"/>
    </row>
    <row r="353" spans="1:65" x14ac:dyDescent="0.3">
      <c r="A353" s="2" t="s">
        <v>43</v>
      </c>
      <c r="B353" s="59" t="s">
        <v>99</v>
      </c>
      <c r="C353" s="3">
        <v>45278</v>
      </c>
      <c r="D353" s="8">
        <v>2</v>
      </c>
      <c r="E353" s="3" t="s">
        <v>386</v>
      </c>
      <c r="F353" s="2" t="s">
        <v>553</v>
      </c>
      <c r="G353" s="7">
        <v>0.1704</v>
      </c>
      <c r="H353" s="54">
        <v>4.3E-3</v>
      </c>
      <c r="I353" s="7">
        <v>1.266</v>
      </c>
      <c r="K353" s="7">
        <v>0.17</v>
      </c>
      <c r="L353" s="7">
        <v>0.16919999999999999</v>
      </c>
      <c r="O353" s="7">
        <v>58.4</v>
      </c>
      <c r="P353" s="7">
        <v>449</v>
      </c>
      <c r="Q353" s="7">
        <v>755.1</v>
      </c>
      <c r="R353" s="4" t="s">
        <v>15</v>
      </c>
      <c r="S353" s="4" t="s">
        <v>15</v>
      </c>
      <c r="T353" s="4"/>
      <c r="U353" s="4" t="s">
        <v>332</v>
      </c>
      <c r="V353" s="4" t="s">
        <v>48</v>
      </c>
      <c r="W353" s="4"/>
      <c r="X353" s="4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  <c r="AT353" s="7"/>
      <c r="AU353" s="7"/>
      <c r="AV353" s="4"/>
      <c r="AW353" s="2"/>
      <c r="AX353" s="7"/>
      <c r="AY353" s="4"/>
      <c r="AZ353" s="4"/>
      <c r="BA353" s="2"/>
      <c r="BB353" s="2"/>
      <c r="BC353" s="2"/>
      <c r="BD353" s="43"/>
      <c r="BE353" s="44"/>
      <c r="BF353" s="45"/>
      <c r="BG353" s="61"/>
      <c r="BH353" s="2"/>
    </row>
    <row r="354" spans="1:65" x14ac:dyDescent="0.3">
      <c r="A354" s="2" t="s">
        <v>43</v>
      </c>
      <c r="B354" s="59" t="s">
        <v>99</v>
      </c>
      <c r="C354" s="3">
        <v>45278</v>
      </c>
      <c r="D354" s="8">
        <v>3</v>
      </c>
      <c r="E354" s="3" t="s">
        <v>387</v>
      </c>
      <c r="F354" s="2" t="s">
        <v>554</v>
      </c>
      <c r="G354" s="7">
        <v>0.16889999999999999</v>
      </c>
      <c r="H354" s="54">
        <v>2E-3</v>
      </c>
      <c r="I354" s="7">
        <v>1.266</v>
      </c>
      <c r="K354" s="7">
        <v>0.16300000000000001</v>
      </c>
      <c r="L354" s="7">
        <v>0.1668</v>
      </c>
      <c r="O354" s="7">
        <v>58.8</v>
      </c>
      <c r="P354" s="7">
        <v>444</v>
      </c>
      <c r="Q354" s="7">
        <v>754.2</v>
      </c>
      <c r="R354" s="4" t="s">
        <v>15</v>
      </c>
      <c r="S354" s="4" t="s">
        <v>15</v>
      </c>
      <c r="T354" s="4"/>
      <c r="U354" s="4" t="s">
        <v>332</v>
      </c>
      <c r="V354" s="4" t="s">
        <v>48</v>
      </c>
      <c r="W354" s="4"/>
      <c r="X354" s="4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  <c r="AT354" s="7"/>
      <c r="AU354" s="7"/>
      <c r="AV354" s="4"/>
      <c r="AW354" s="2"/>
      <c r="AX354" s="7"/>
      <c r="AY354" s="4"/>
      <c r="AZ354" s="4"/>
      <c r="BA354" s="2"/>
      <c r="BB354" s="2"/>
      <c r="BC354" s="2"/>
      <c r="BD354" s="43"/>
      <c r="BE354" s="44"/>
      <c r="BF354" s="45"/>
      <c r="BG354" s="61"/>
      <c r="BH354" s="2"/>
    </row>
    <row r="355" spans="1:65" x14ac:dyDescent="0.3">
      <c r="A355" s="2" t="s">
        <v>43</v>
      </c>
      <c r="B355" s="59" t="s">
        <v>99</v>
      </c>
      <c r="C355" s="3">
        <v>45278</v>
      </c>
      <c r="D355" s="8">
        <v>4</v>
      </c>
      <c r="E355" s="3" t="s">
        <v>388</v>
      </c>
      <c r="F355" s="2" t="s">
        <v>552</v>
      </c>
      <c r="G355" s="7">
        <v>0.17100000000000001</v>
      </c>
      <c r="H355" s="54">
        <v>3.0999999999999999E-3</v>
      </c>
      <c r="I355" s="7">
        <v>1.266</v>
      </c>
      <c r="K355" s="7">
        <v>0.16700000000000001</v>
      </c>
      <c r="L355" s="7">
        <v>0.1676</v>
      </c>
      <c r="O355" s="7">
        <v>58.7</v>
      </c>
      <c r="P355" s="7">
        <v>443</v>
      </c>
      <c r="Q355" s="7">
        <v>754.3</v>
      </c>
      <c r="R355" s="4" t="s">
        <v>15</v>
      </c>
      <c r="S355" s="4" t="s">
        <v>15</v>
      </c>
      <c r="T355" s="4"/>
      <c r="U355" s="4" t="s">
        <v>332</v>
      </c>
      <c r="V355" s="4" t="s">
        <v>48</v>
      </c>
      <c r="W355" s="4"/>
      <c r="X355" s="4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  <c r="AT355" s="7"/>
      <c r="AU355" s="7"/>
      <c r="AV355" s="4"/>
      <c r="AW355" s="2"/>
      <c r="AX355" s="7"/>
      <c r="AY355" s="4"/>
      <c r="AZ355" s="4"/>
      <c r="BA355" s="2"/>
      <c r="BB355" s="2"/>
      <c r="BC355" s="2"/>
      <c r="BD355" s="43"/>
      <c r="BE355" s="44"/>
      <c r="BF355" s="45"/>
      <c r="BG355" s="61"/>
      <c r="BH355" s="2"/>
    </row>
    <row r="356" spans="1:65" x14ac:dyDescent="0.3">
      <c r="A356" s="2" t="s">
        <v>43</v>
      </c>
      <c r="B356" s="59" t="s">
        <v>99</v>
      </c>
      <c r="C356" s="3">
        <v>45278</v>
      </c>
      <c r="D356" s="8">
        <v>5</v>
      </c>
      <c r="E356" s="3" t="s">
        <v>389</v>
      </c>
      <c r="F356" s="2" t="s">
        <v>553</v>
      </c>
      <c r="G356" s="7">
        <v>0.17430000000000001</v>
      </c>
      <c r="H356" s="54">
        <v>3.3999999999999998E-3</v>
      </c>
      <c r="I356" s="7">
        <v>1.266</v>
      </c>
      <c r="L356" s="7">
        <v>0.17100000000000001</v>
      </c>
      <c r="O356" s="7">
        <v>59</v>
      </c>
      <c r="P356" s="7">
        <v>449</v>
      </c>
      <c r="Q356" s="7">
        <v>755</v>
      </c>
      <c r="R356" s="4" t="s">
        <v>15</v>
      </c>
      <c r="S356" s="4" t="s">
        <v>15</v>
      </c>
      <c r="T356" s="4"/>
      <c r="U356" s="4" t="s">
        <v>332</v>
      </c>
      <c r="V356" s="4" t="s">
        <v>48</v>
      </c>
      <c r="W356" s="4"/>
      <c r="X356" s="4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  <c r="AT356" s="7"/>
      <c r="AU356" s="7"/>
      <c r="AV356" s="4"/>
      <c r="AW356" s="2"/>
      <c r="AX356" s="7"/>
      <c r="AY356" s="4"/>
      <c r="AZ356" s="4"/>
      <c r="BA356" s="2"/>
      <c r="BB356" s="2"/>
      <c r="BC356" s="2"/>
      <c r="BD356" s="43"/>
      <c r="BE356" s="44"/>
      <c r="BF356" s="45"/>
      <c r="BG356" s="61"/>
      <c r="BH356" s="2"/>
    </row>
    <row r="357" spans="1:65" x14ac:dyDescent="0.3">
      <c r="A357" s="2" t="s">
        <v>43</v>
      </c>
      <c r="B357" s="59" t="s">
        <v>99</v>
      </c>
      <c r="C357" s="3">
        <v>45278</v>
      </c>
      <c r="D357" s="8">
        <v>6</v>
      </c>
      <c r="E357" s="3" t="s">
        <v>390</v>
      </c>
      <c r="F357" s="2" t="s">
        <v>554</v>
      </c>
      <c r="G357" s="7">
        <v>0.17030000000000001</v>
      </c>
      <c r="H357" s="54">
        <v>3.3999999999999998E-3</v>
      </c>
      <c r="I357" s="7">
        <v>1.266</v>
      </c>
      <c r="K357" s="7">
        <v>0.16500000000000001</v>
      </c>
      <c r="L357" s="7">
        <v>0.16950000000000001</v>
      </c>
      <c r="O357" s="7">
        <v>59.3</v>
      </c>
      <c r="P357" s="7">
        <v>453</v>
      </c>
      <c r="Q357" s="7">
        <v>754.9</v>
      </c>
      <c r="R357" s="4" t="s">
        <v>15</v>
      </c>
      <c r="S357" s="4" t="s">
        <v>15</v>
      </c>
      <c r="T357" s="4"/>
      <c r="U357" s="4" t="s">
        <v>332</v>
      </c>
      <c r="V357" s="4" t="s">
        <v>48</v>
      </c>
      <c r="W357" s="4"/>
      <c r="X357" s="4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  <c r="AT357" s="7"/>
      <c r="AU357" s="7"/>
      <c r="AV357" s="4"/>
      <c r="AW357" s="2"/>
      <c r="AX357" s="7"/>
      <c r="AY357" s="4"/>
      <c r="AZ357" s="4"/>
      <c r="BA357" s="2"/>
      <c r="BB357" s="2"/>
      <c r="BC357" s="2"/>
      <c r="BD357" s="43"/>
      <c r="BE357" s="44"/>
      <c r="BF357" s="45"/>
      <c r="BG357" s="61"/>
      <c r="BH357" s="2"/>
    </row>
    <row r="358" spans="1:65" x14ac:dyDescent="0.3">
      <c r="A358" s="2" t="s">
        <v>43</v>
      </c>
      <c r="B358" s="59" t="s">
        <v>99</v>
      </c>
      <c r="C358" s="3">
        <v>45278</v>
      </c>
      <c r="D358" s="8">
        <v>7</v>
      </c>
      <c r="E358" s="3" t="s">
        <v>391</v>
      </c>
      <c r="F358" s="2" t="s">
        <v>554</v>
      </c>
      <c r="G358" s="7">
        <v>0.17080000000000001</v>
      </c>
      <c r="H358" s="54">
        <v>1.4E-3</v>
      </c>
      <c r="I358" s="7">
        <v>1.266</v>
      </c>
      <c r="K358" s="7">
        <v>0.16700000000000001</v>
      </c>
      <c r="L358" s="7">
        <v>0.16850000000000001</v>
      </c>
      <c r="O358" s="7">
        <v>59</v>
      </c>
      <c r="P358" s="7">
        <v>453</v>
      </c>
      <c r="Q358" s="7">
        <v>754.7</v>
      </c>
      <c r="R358" s="4" t="s">
        <v>15</v>
      </c>
      <c r="S358" s="4" t="s">
        <v>15</v>
      </c>
      <c r="T358" s="4"/>
      <c r="U358" s="4" t="s">
        <v>332</v>
      </c>
      <c r="V358" s="4" t="s">
        <v>48</v>
      </c>
      <c r="W358" s="4"/>
      <c r="X358" s="4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  <c r="AT358" s="7"/>
      <c r="AU358" s="7"/>
      <c r="AV358" s="4"/>
      <c r="AW358" s="2"/>
      <c r="AX358" s="7"/>
      <c r="AY358" s="4"/>
      <c r="AZ358" s="4"/>
      <c r="BA358" s="2"/>
      <c r="BB358" s="2"/>
      <c r="BC358" s="2"/>
      <c r="BD358" s="43"/>
      <c r="BE358" s="44"/>
      <c r="BF358" s="45"/>
      <c r="BG358" s="61"/>
      <c r="BH358" s="2"/>
    </row>
    <row r="359" spans="1:65" x14ac:dyDescent="0.3">
      <c r="A359" s="2" t="s">
        <v>43</v>
      </c>
      <c r="B359" s="59" t="s">
        <v>385</v>
      </c>
      <c r="C359" s="3">
        <v>45281</v>
      </c>
      <c r="D359" s="8">
        <v>1</v>
      </c>
      <c r="E359" s="3" t="s">
        <v>428</v>
      </c>
      <c r="F359" s="2" t="s">
        <v>450</v>
      </c>
      <c r="G359" s="7">
        <v>0.1842</v>
      </c>
      <c r="H359" s="54">
        <v>2.0999999999999999E-3</v>
      </c>
      <c r="I359" s="7">
        <v>1.21</v>
      </c>
      <c r="K359" s="7">
        <v>0.18</v>
      </c>
      <c r="L359" s="7">
        <v>0.17960000000000001</v>
      </c>
      <c r="O359" s="7">
        <v>59.7</v>
      </c>
      <c r="P359" s="7">
        <v>503</v>
      </c>
      <c r="Q359" s="7">
        <v>754.8</v>
      </c>
      <c r="R359" s="4" t="s">
        <v>15</v>
      </c>
      <c r="S359" s="4" t="s">
        <v>15</v>
      </c>
      <c r="T359" s="4"/>
      <c r="U359" s="4" t="s">
        <v>332</v>
      </c>
      <c r="V359" s="4"/>
      <c r="W359" s="4"/>
      <c r="X359" s="4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  <c r="AT359" s="7"/>
      <c r="AU359" s="7"/>
      <c r="AV359" s="4"/>
      <c r="AW359" s="2"/>
      <c r="AX359" s="7"/>
      <c r="AY359" s="4"/>
      <c r="AZ359" s="4">
        <v>108</v>
      </c>
      <c r="BA359" s="2"/>
      <c r="BB359" s="2"/>
      <c r="BC359" s="10">
        <v>27.1</v>
      </c>
      <c r="BD359" s="43">
        <v>1018.2</v>
      </c>
      <c r="BE359" s="44">
        <v>53.6</v>
      </c>
      <c r="BF359" s="45"/>
      <c r="BG359" s="61">
        <v>2096</v>
      </c>
      <c r="BH359" s="2"/>
    </row>
    <row r="360" spans="1:65" x14ac:dyDescent="0.3">
      <c r="A360" s="2" t="s">
        <v>43</v>
      </c>
      <c r="B360" s="59" t="s">
        <v>385</v>
      </c>
      <c r="C360" s="3">
        <v>45281</v>
      </c>
      <c r="D360" s="8">
        <v>2</v>
      </c>
      <c r="E360" s="3" t="s">
        <v>434</v>
      </c>
      <c r="F360" s="2" t="s">
        <v>451</v>
      </c>
      <c r="G360" s="7">
        <v>0.19700000000000001</v>
      </c>
      <c r="H360" s="54">
        <v>4.5999999999999999E-3</v>
      </c>
      <c r="I360" s="7">
        <v>1.21</v>
      </c>
      <c r="K360" s="7">
        <v>0.191</v>
      </c>
      <c r="L360" s="7">
        <v>0.17780000000000001</v>
      </c>
      <c r="O360" s="7">
        <v>59.5</v>
      </c>
      <c r="P360" s="7">
        <v>494</v>
      </c>
      <c r="Q360" s="7">
        <v>754.2</v>
      </c>
      <c r="R360" s="4" t="s">
        <v>15</v>
      </c>
      <c r="S360" s="4" t="s">
        <v>15</v>
      </c>
      <c r="T360" s="4"/>
      <c r="U360" s="4" t="s">
        <v>332</v>
      </c>
      <c r="V360" s="4"/>
      <c r="W360" s="4"/>
      <c r="X360" s="4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  <c r="AT360" s="7"/>
      <c r="AU360" s="7"/>
      <c r="AV360" s="4"/>
      <c r="AW360" s="2"/>
      <c r="AX360" s="7"/>
      <c r="AY360" s="4"/>
      <c r="AZ360" s="4">
        <v>111.6</v>
      </c>
      <c r="BA360" s="2"/>
      <c r="BB360" s="2"/>
      <c r="BC360" s="10">
        <v>27.1</v>
      </c>
      <c r="BD360" s="43">
        <v>1018.2</v>
      </c>
      <c r="BE360" s="44">
        <v>53.6</v>
      </c>
      <c r="BF360" s="45"/>
      <c r="BG360" s="61">
        <v>2096</v>
      </c>
      <c r="BH360" s="2"/>
    </row>
    <row r="361" spans="1:65" x14ac:dyDescent="0.3">
      <c r="A361" s="2" t="s">
        <v>43</v>
      </c>
      <c r="B361" s="59" t="s">
        <v>385</v>
      </c>
      <c r="C361" s="3">
        <v>45281</v>
      </c>
      <c r="D361" s="8">
        <v>3</v>
      </c>
      <c r="E361" s="3" t="s">
        <v>422</v>
      </c>
      <c r="F361" s="2" t="s">
        <v>450</v>
      </c>
      <c r="G361" s="7">
        <v>0.1852</v>
      </c>
      <c r="H361" s="54">
        <v>2.9999999999999997E-4</v>
      </c>
      <c r="I361" s="7">
        <v>1.21</v>
      </c>
      <c r="L361" s="7">
        <v>0.17730000000000001</v>
      </c>
      <c r="O361" s="7">
        <v>59.7</v>
      </c>
      <c r="P361" s="7">
        <v>484</v>
      </c>
      <c r="Q361" s="7">
        <v>754.6</v>
      </c>
      <c r="R361" s="4" t="s">
        <v>331</v>
      </c>
      <c r="S361" s="4" t="s">
        <v>15</v>
      </c>
      <c r="T361" s="4"/>
      <c r="U361" s="4" t="s">
        <v>332</v>
      </c>
      <c r="V361" s="4"/>
      <c r="W361" s="4"/>
      <c r="X361" s="4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  <c r="AT361" s="7"/>
      <c r="AU361" s="7"/>
      <c r="AV361" s="4"/>
      <c r="AW361" s="2"/>
      <c r="AX361" s="7"/>
      <c r="AY361" s="4"/>
      <c r="AZ361" s="4"/>
      <c r="BA361" s="2"/>
      <c r="BB361" s="2"/>
      <c r="BC361" s="2"/>
      <c r="BD361" s="43"/>
      <c r="BE361" s="44"/>
      <c r="BF361" s="45"/>
      <c r="BG361" s="61">
        <v>2096</v>
      </c>
      <c r="BH361" s="2"/>
    </row>
    <row r="362" spans="1:65" x14ac:dyDescent="0.3">
      <c r="A362" s="2" t="s">
        <v>43</v>
      </c>
      <c r="B362" s="59" t="s">
        <v>385</v>
      </c>
      <c r="C362" s="3">
        <v>45281</v>
      </c>
      <c r="D362" s="8">
        <v>4</v>
      </c>
      <c r="E362" s="3" t="s">
        <v>426</v>
      </c>
      <c r="F362" s="2" t="s">
        <v>450</v>
      </c>
      <c r="G362" s="7">
        <v>0.18540000000000001</v>
      </c>
      <c r="H362" s="54">
        <v>2.8E-3</v>
      </c>
      <c r="I362" s="7">
        <v>1.21</v>
      </c>
      <c r="K362" s="7">
        <v>0.17799999999999999</v>
      </c>
      <c r="L362" s="7">
        <v>0.18240000000000001</v>
      </c>
      <c r="O362" s="7">
        <v>59.6</v>
      </c>
      <c r="P362" s="7">
        <v>491</v>
      </c>
      <c r="Q362" s="7">
        <v>754.7</v>
      </c>
      <c r="R362" s="4" t="s">
        <v>15</v>
      </c>
      <c r="S362" s="4" t="s">
        <v>15</v>
      </c>
      <c r="T362" s="4"/>
      <c r="U362" s="4" t="s">
        <v>332</v>
      </c>
      <c r="V362" s="4"/>
      <c r="W362" s="4"/>
      <c r="X362" s="4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  <c r="AT362" s="7"/>
      <c r="AU362" s="7"/>
      <c r="AV362" s="4"/>
      <c r="AW362" s="2"/>
      <c r="AX362" s="7"/>
      <c r="AY362" s="4"/>
      <c r="AZ362" s="4">
        <v>117</v>
      </c>
      <c r="BA362" s="2"/>
      <c r="BB362" s="2"/>
      <c r="BC362" s="2">
        <v>26.4</v>
      </c>
      <c r="BD362" s="43">
        <v>1018</v>
      </c>
      <c r="BE362" s="44">
        <v>55</v>
      </c>
      <c r="BF362" s="45">
        <v>1.1759999999999999</v>
      </c>
      <c r="BG362" s="61">
        <v>2096</v>
      </c>
      <c r="BH362" s="2"/>
    </row>
    <row r="363" spans="1:65" x14ac:dyDescent="0.3">
      <c r="A363" s="2" t="s">
        <v>43</v>
      </c>
      <c r="B363" s="59" t="s">
        <v>385</v>
      </c>
      <c r="C363" s="3">
        <v>45281</v>
      </c>
      <c r="D363" s="8">
        <v>5</v>
      </c>
      <c r="E363" s="3" t="s">
        <v>443</v>
      </c>
      <c r="F363" s="2" t="s">
        <v>451</v>
      </c>
      <c r="G363" s="7">
        <v>0.19950000000000001</v>
      </c>
      <c r="H363" s="54">
        <v>4.5999999999999999E-3</v>
      </c>
      <c r="I363" s="7">
        <v>1.21</v>
      </c>
      <c r="K363" s="7">
        <v>0.19</v>
      </c>
      <c r="R363" s="4" t="s">
        <v>15</v>
      </c>
      <c r="S363" s="4" t="s">
        <v>15</v>
      </c>
      <c r="T363" s="4"/>
      <c r="U363" s="4" t="s">
        <v>332</v>
      </c>
      <c r="V363" s="4"/>
      <c r="W363" s="4"/>
      <c r="X363" s="4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  <c r="AT363" s="7"/>
      <c r="AU363" s="7"/>
      <c r="AV363" s="4"/>
      <c r="AW363" s="2"/>
      <c r="AX363" s="7"/>
      <c r="AY363" s="4"/>
      <c r="AZ363" s="66">
        <v>108</v>
      </c>
      <c r="BA363" s="2"/>
      <c r="BB363" s="2"/>
      <c r="BC363" s="10">
        <v>27.5</v>
      </c>
      <c r="BD363" s="43">
        <v>1018.2</v>
      </c>
      <c r="BE363" s="44">
        <v>52.3</v>
      </c>
      <c r="BF363" s="45"/>
      <c r="BG363" s="61">
        <v>2096</v>
      </c>
      <c r="BH363" s="2"/>
    </row>
    <row r="364" spans="1:65" x14ac:dyDescent="0.3">
      <c r="A364" s="2" t="s">
        <v>43</v>
      </c>
      <c r="B364" s="59" t="s">
        <v>385</v>
      </c>
      <c r="C364" s="3">
        <v>45281</v>
      </c>
      <c r="D364" s="8">
        <v>6</v>
      </c>
      <c r="E364" s="3" t="s">
        <v>436</v>
      </c>
      <c r="F364" s="2" t="s">
        <v>450</v>
      </c>
      <c r="G364" s="7">
        <v>0.18429999999999999</v>
      </c>
      <c r="H364" s="54">
        <v>5.3E-3</v>
      </c>
      <c r="I364" s="7">
        <v>1.21</v>
      </c>
      <c r="R364" s="4" t="s">
        <v>331</v>
      </c>
      <c r="S364" s="4" t="s">
        <v>15</v>
      </c>
      <c r="T364" s="4"/>
      <c r="U364" s="4" t="s">
        <v>332</v>
      </c>
      <c r="V364" s="4"/>
      <c r="W364" s="4"/>
      <c r="X364" s="4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  <c r="AT364" s="7"/>
      <c r="AU364" s="7"/>
      <c r="AV364" s="4"/>
      <c r="AW364" s="2"/>
      <c r="AX364" s="7"/>
      <c r="AY364" s="4"/>
      <c r="AZ364" s="66"/>
      <c r="BA364" s="2"/>
      <c r="BB364" s="2"/>
      <c r="BC364" s="10">
        <v>27.5</v>
      </c>
      <c r="BD364" s="43">
        <v>1018.2</v>
      </c>
      <c r="BE364" s="44">
        <v>52.3</v>
      </c>
      <c r="BF364" s="45"/>
      <c r="BG364" s="61">
        <v>2096</v>
      </c>
      <c r="BH364" s="2"/>
      <c r="BK364" s="7"/>
      <c r="BM364"/>
    </row>
    <row r="365" spans="1:65" x14ac:dyDescent="0.3">
      <c r="A365" s="2" t="s">
        <v>43</v>
      </c>
      <c r="B365" s="59" t="s">
        <v>385</v>
      </c>
      <c r="C365" s="3">
        <v>45281</v>
      </c>
      <c r="D365" s="8">
        <v>7</v>
      </c>
      <c r="E365" s="3" t="s">
        <v>440</v>
      </c>
      <c r="F365" s="2" t="s">
        <v>452</v>
      </c>
      <c r="G365" s="7">
        <v>0.17530000000000001</v>
      </c>
      <c r="H365" s="54">
        <v>1.5E-3</v>
      </c>
      <c r="I365" s="7">
        <v>1.21</v>
      </c>
      <c r="K365" s="7">
        <v>0.17199999999999999</v>
      </c>
      <c r="R365" s="4" t="s">
        <v>15</v>
      </c>
      <c r="S365" s="4" t="s">
        <v>15</v>
      </c>
      <c r="T365" s="4"/>
      <c r="U365" s="4" t="s">
        <v>332</v>
      </c>
      <c r="V365" s="4"/>
      <c r="W365" s="4"/>
      <c r="X365" s="4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  <c r="AT365" s="7"/>
      <c r="AU365" s="7"/>
      <c r="AV365" s="4"/>
      <c r="AW365" s="2"/>
      <c r="AX365" s="7"/>
      <c r="AY365" s="4"/>
      <c r="AZ365" s="4">
        <v>111.6</v>
      </c>
      <c r="BA365" s="2"/>
      <c r="BB365" s="2"/>
      <c r="BC365" s="2">
        <v>27.1</v>
      </c>
      <c r="BD365" s="43">
        <v>1018</v>
      </c>
      <c r="BE365" s="44">
        <v>54</v>
      </c>
      <c r="BF365" s="45">
        <v>1.173</v>
      </c>
      <c r="BG365" s="61">
        <v>2096</v>
      </c>
      <c r="BH365" s="2"/>
      <c r="BK365" s="7"/>
      <c r="BM365"/>
    </row>
    <row r="366" spans="1:65" x14ac:dyDescent="0.3">
      <c r="A366" s="2" t="s">
        <v>43</v>
      </c>
      <c r="B366" s="59" t="s">
        <v>99</v>
      </c>
      <c r="C366" s="3">
        <v>45281</v>
      </c>
      <c r="D366" s="8">
        <v>1</v>
      </c>
      <c r="E366" s="3" t="s">
        <v>429</v>
      </c>
      <c r="F366" s="2" t="s">
        <v>553</v>
      </c>
      <c r="G366" s="7">
        <v>0.1671</v>
      </c>
      <c r="H366" s="54">
        <v>2.0999999999999999E-3</v>
      </c>
      <c r="I366" s="7">
        <v>1.2655000000000001</v>
      </c>
      <c r="K366" s="7">
        <v>0.16400000000000001</v>
      </c>
      <c r="R366" s="4" t="s">
        <v>334</v>
      </c>
      <c r="S366" s="4" t="s">
        <v>15</v>
      </c>
      <c r="T366" s="4"/>
      <c r="U366" s="4" t="s">
        <v>332</v>
      </c>
      <c r="V366" s="4"/>
      <c r="W366" s="4"/>
      <c r="X366" s="4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  <c r="AT366" s="7"/>
      <c r="AU366" s="7"/>
      <c r="AV366" s="4"/>
      <c r="AW366" s="2"/>
      <c r="AX366" s="7"/>
      <c r="AY366" s="4"/>
      <c r="AZ366" s="4">
        <v>117</v>
      </c>
      <c r="BA366" s="2"/>
      <c r="BB366" s="2"/>
      <c r="BC366" s="2">
        <v>27.1</v>
      </c>
      <c r="BD366" s="43">
        <v>1018</v>
      </c>
      <c r="BE366" s="44">
        <v>54</v>
      </c>
      <c r="BF366" s="45">
        <v>1.173</v>
      </c>
      <c r="BG366" s="61">
        <v>2096</v>
      </c>
      <c r="BH366" s="2"/>
      <c r="BK366" s="7"/>
      <c r="BM366"/>
    </row>
    <row r="367" spans="1:65" x14ac:dyDescent="0.3">
      <c r="A367" s="2" t="s">
        <v>43</v>
      </c>
      <c r="B367" s="59" t="s">
        <v>99</v>
      </c>
      <c r="C367" s="3">
        <v>45281</v>
      </c>
      <c r="D367" s="8">
        <v>2</v>
      </c>
      <c r="E367" s="3" t="s">
        <v>419</v>
      </c>
      <c r="F367" s="2" t="s">
        <v>555</v>
      </c>
      <c r="G367" s="7">
        <v>0.16209999999999999</v>
      </c>
      <c r="H367" s="54">
        <v>2.5999999999999999E-3</v>
      </c>
      <c r="I367" s="7">
        <v>1.2655000000000001</v>
      </c>
      <c r="K367" s="7">
        <v>0.16500000000000001</v>
      </c>
      <c r="L367" s="7">
        <v>0.16420000000000001</v>
      </c>
      <c r="O367" s="7">
        <v>60.2</v>
      </c>
      <c r="P367" s="7">
        <v>476</v>
      </c>
      <c r="Q367" s="7">
        <v>755</v>
      </c>
      <c r="R367" s="4" t="s">
        <v>334</v>
      </c>
      <c r="S367" s="4" t="s">
        <v>15</v>
      </c>
      <c r="T367" s="4"/>
      <c r="U367" s="4" t="s">
        <v>332</v>
      </c>
      <c r="V367" s="4"/>
      <c r="W367" s="4"/>
      <c r="X367" s="4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  <c r="AT367" s="7"/>
      <c r="AU367" s="7"/>
      <c r="AV367" s="4"/>
      <c r="AW367" s="2"/>
      <c r="AX367" s="7"/>
      <c r="AY367" s="4"/>
      <c r="AZ367" s="4">
        <v>108</v>
      </c>
      <c r="BA367" s="2"/>
      <c r="BB367" s="2"/>
      <c r="BC367" s="10">
        <v>28</v>
      </c>
      <c r="BD367" s="43">
        <v>1018</v>
      </c>
      <c r="BE367" s="44">
        <v>50.8</v>
      </c>
      <c r="BF367" s="45"/>
      <c r="BG367" s="61">
        <v>2096</v>
      </c>
      <c r="BH367" s="2"/>
      <c r="BK367" s="7"/>
      <c r="BM367"/>
    </row>
    <row r="368" spans="1:65" x14ac:dyDescent="0.3">
      <c r="A368" s="2" t="s">
        <v>43</v>
      </c>
      <c r="B368" s="59" t="s">
        <v>99</v>
      </c>
      <c r="C368" s="3">
        <v>45281</v>
      </c>
      <c r="D368" s="8">
        <v>3</v>
      </c>
      <c r="E368" s="3" t="s">
        <v>423</v>
      </c>
      <c r="F368" s="2" t="s">
        <v>556</v>
      </c>
      <c r="G368" s="7">
        <v>0.16170000000000001</v>
      </c>
      <c r="H368" s="54">
        <v>1.9E-3</v>
      </c>
      <c r="I368" s="7">
        <v>1.2655000000000001</v>
      </c>
      <c r="K368" s="7">
        <v>0.161</v>
      </c>
      <c r="L368" s="7">
        <v>0.16389999999999999</v>
      </c>
      <c r="O368" s="7">
        <v>59.5</v>
      </c>
      <c r="P368" s="7">
        <v>457</v>
      </c>
      <c r="Q368" s="7">
        <v>755.1</v>
      </c>
      <c r="R368" s="4" t="s">
        <v>334</v>
      </c>
      <c r="S368" s="4" t="s">
        <v>15</v>
      </c>
      <c r="T368" s="4"/>
      <c r="U368" s="4" t="s">
        <v>332</v>
      </c>
      <c r="V368" s="4"/>
      <c r="W368" s="4"/>
      <c r="X368" s="4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  <c r="AT368" s="7"/>
      <c r="AU368" s="7"/>
      <c r="AV368" s="4"/>
      <c r="AW368" s="2"/>
      <c r="AX368" s="7"/>
      <c r="AY368" s="4"/>
      <c r="AZ368" s="4">
        <v>111.6</v>
      </c>
      <c r="BA368" s="2"/>
      <c r="BB368" s="2"/>
      <c r="BC368" s="10">
        <v>28</v>
      </c>
      <c r="BD368" s="43">
        <v>1018</v>
      </c>
      <c r="BE368" s="44">
        <v>50.8</v>
      </c>
      <c r="BF368" s="45"/>
      <c r="BG368" s="61">
        <v>2096</v>
      </c>
      <c r="BH368" s="2"/>
      <c r="BK368" s="7"/>
      <c r="BM368"/>
    </row>
    <row r="369" spans="1:65" x14ac:dyDescent="0.3">
      <c r="A369" s="2" t="s">
        <v>43</v>
      </c>
      <c r="B369" s="59" t="s">
        <v>99</v>
      </c>
      <c r="C369" s="3">
        <v>45281</v>
      </c>
      <c r="D369" s="8">
        <v>4</v>
      </c>
      <c r="E369" s="3" t="s">
        <v>427</v>
      </c>
      <c r="F369" s="2" t="s">
        <v>553</v>
      </c>
      <c r="G369" s="7">
        <v>0.16600000000000001</v>
      </c>
      <c r="H369" s="54">
        <v>2.2000000000000001E-3</v>
      </c>
      <c r="I369" s="7">
        <v>1.2655000000000001</v>
      </c>
      <c r="K369" s="7">
        <v>0.16400000000000001</v>
      </c>
      <c r="L369" s="7">
        <v>0.16589999999999999</v>
      </c>
      <c r="O369" s="7">
        <v>60.4</v>
      </c>
      <c r="P369" s="7">
        <v>476</v>
      </c>
      <c r="Q369" s="7">
        <v>755.2</v>
      </c>
      <c r="R369" s="4" t="s">
        <v>334</v>
      </c>
      <c r="S369" s="4" t="s">
        <v>15</v>
      </c>
      <c r="T369" s="4"/>
      <c r="U369" s="4" t="s">
        <v>332</v>
      </c>
      <c r="V369" s="4"/>
      <c r="W369" s="4"/>
      <c r="X369" s="4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  <c r="AT369" s="7"/>
      <c r="AU369" s="7"/>
      <c r="AV369" s="4"/>
      <c r="AW369" s="2"/>
      <c r="AX369" s="7"/>
      <c r="AY369" s="4"/>
      <c r="AZ369" s="4"/>
      <c r="BA369" s="2"/>
      <c r="BB369" s="2"/>
      <c r="BC369" s="2">
        <v>27.5</v>
      </c>
      <c r="BD369" s="43">
        <v>1018</v>
      </c>
      <c r="BE369" s="44">
        <v>52</v>
      </c>
      <c r="BF369" s="45">
        <v>1.171</v>
      </c>
      <c r="BG369" s="61">
        <v>2096</v>
      </c>
      <c r="BH369" s="2"/>
      <c r="BK369" s="7"/>
      <c r="BM369"/>
    </row>
    <row r="370" spans="1:65" ht="15" customHeight="1" x14ac:dyDescent="0.3">
      <c r="A370" s="2" t="s">
        <v>43</v>
      </c>
      <c r="B370" s="59" t="s">
        <v>99</v>
      </c>
      <c r="C370" s="3">
        <v>45281</v>
      </c>
      <c r="D370" s="8">
        <v>5</v>
      </c>
      <c r="E370" s="3" t="s">
        <v>431</v>
      </c>
      <c r="F370" s="2" t="s">
        <v>555</v>
      </c>
      <c r="G370" s="7">
        <v>0.1643</v>
      </c>
      <c r="H370" s="54">
        <v>2.3E-3</v>
      </c>
      <c r="I370" s="7">
        <v>1.2655000000000001</v>
      </c>
      <c r="K370" s="7">
        <v>0.16</v>
      </c>
      <c r="L370" s="7">
        <v>0.16619999999999999</v>
      </c>
      <c r="O370" s="7">
        <v>60.5</v>
      </c>
      <c r="P370" s="7">
        <v>467</v>
      </c>
      <c r="Q370" s="7">
        <v>755.7</v>
      </c>
      <c r="R370" s="4" t="s">
        <v>334</v>
      </c>
      <c r="S370" s="4" t="s">
        <v>15</v>
      </c>
      <c r="T370" s="4"/>
      <c r="U370" s="4" t="s">
        <v>332</v>
      </c>
      <c r="V370" s="4"/>
      <c r="W370" s="4"/>
      <c r="X370" s="4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  <c r="AT370" s="7"/>
      <c r="AU370" s="7"/>
      <c r="AV370" s="4"/>
      <c r="AW370" s="2"/>
      <c r="AX370" s="7"/>
      <c r="AY370" s="4"/>
      <c r="AZ370" s="4">
        <v>117</v>
      </c>
      <c r="BA370" s="2"/>
      <c r="BB370" s="2"/>
      <c r="BC370" s="2">
        <v>27.5</v>
      </c>
      <c r="BD370" s="43">
        <v>1018</v>
      </c>
      <c r="BE370" s="44">
        <v>52</v>
      </c>
      <c r="BF370" s="45">
        <v>1.171</v>
      </c>
      <c r="BG370" s="61">
        <v>2096</v>
      </c>
      <c r="BH370" s="2"/>
      <c r="BM370"/>
    </row>
    <row r="371" spans="1:65" ht="15" customHeight="1" x14ac:dyDescent="0.3">
      <c r="A371" s="2" t="s">
        <v>43</v>
      </c>
      <c r="B371" s="59" t="s">
        <v>99</v>
      </c>
      <c r="C371" s="3">
        <v>45281</v>
      </c>
      <c r="D371" s="8">
        <v>6</v>
      </c>
      <c r="E371" s="3" t="s">
        <v>437</v>
      </c>
      <c r="F371" s="2" t="s">
        <v>556</v>
      </c>
      <c r="G371" s="7">
        <v>0.1605</v>
      </c>
      <c r="H371" s="54">
        <v>2.7000000000000001E-3</v>
      </c>
      <c r="I371" s="7">
        <v>1.2655000000000001</v>
      </c>
      <c r="K371" s="7">
        <v>0.161</v>
      </c>
      <c r="L371" s="7">
        <v>0.16239999999999999</v>
      </c>
      <c r="O371" s="7">
        <v>59.7</v>
      </c>
      <c r="P371" s="7">
        <v>453</v>
      </c>
      <c r="Q371" s="7">
        <v>755.6</v>
      </c>
      <c r="R371" s="4" t="s">
        <v>334</v>
      </c>
      <c r="S371" s="4" t="s">
        <v>15</v>
      </c>
      <c r="T371" s="4"/>
      <c r="U371" s="4" t="s">
        <v>332</v>
      </c>
      <c r="V371" s="4"/>
      <c r="W371" s="4"/>
      <c r="X371" s="4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  <c r="AT371" s="7"/>
      <c r="AU371" s="7"/>
      <c r="AV371" s="4"/>
      <c r="AW371" s="2"/>
      <c r="AX371" s="7"/>
      <c r="AY371" s="4"/>
      <c r="AZ371" s="60">
        <v>108</v>
      </c>
      <c r="BA371" s="2"/>
      <c r="BB371" s="2"/>
      <c r="BC371" s="10">
        <v>28.6</v>
      </c>
      <c r="BD371" s="43">
        <v>1017.4</v>
      </c>
      <c r="BE371" s="44">
        <v>48.4</v>
      </c>
      <c r="BF371" s="45"/>
      <c r="BG371" s="43">
        <v>2096</v>
      </c>
      <c r="BH371" s="2"/>
      <c r="BM371"/>
    </row>
    <row r="372" spans="1:65" ht="15" customHeight="1" x14ac:dyDescent="0.3">
      <c r="A372" s="2" t="s">
        <v>43</v>
      </c>
      <c r="B372" s="59" t="s">
        <v>46</v>
      </c>
      <c r="C372" s="3">
        <v>45281</v>
      </c>
      <c r="D372" s="8">
        <v>1</v>
      </c>
      <c r="E372" s="3" t="s">
        <v>430</v>
      </c>
      <c r="F372" s="2" t="s">
        <v>22</v>
      </c>
      <c r="G372" s="7">
        <v>0.17460000000000001</v>
      </c>
      <c r="H372" s="54">
        <v>2.7000000000000001E-3</v>
      </c>
      <c r="I372" s="7">
        <v>1.2255</v>
      </c>
      <c r="K372" s="7">
        <v>0.17</v>
      </c>
      <c r="L372" s="7">
        <v>0.17169999999999999</v>
      </c>
      <c r="O372" s="7">
        <v>57.6</v>
      </c>
      <c r="P372" s="7">
        <v>445</v>
      </c>
      <c r="Q372" s="7">
        <v>756.2</v>
      </c>
      <c r="R372" s="4" t="s">
        <v>15</v>
      </c>
      <c r="S372" s="4" t="s">
        <v>15</v>
      </c>
      <c r="T372" s="4"/>
      <c r="U372" s="4" t="s">
        <v>332</v>
      </c>
      <c r="V372" s="4"/>
      <c r="W372" s="4"/>
      <c r="X372" s="4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  <c r="AT372" s="7"/>
      <c r="AU372" s="7"/>
      <c r="AV372" s="4"/>
      <c r="AW372" s="2"/>
      <c r="AX372" s="7"/>
      <c r="AY372" s="4"/>
      <c r="AZ372" s="4">
        <v>111.6</v>
      </c>
      <c r="BA372" s="2"/>
      <c r="BB372" s="2"/>
      <c r="BC372" s="10">
        <v>28.6</v>
      </c>
      <c r="BD372" s="43">
        <v>1017.4</v>
      </c>
      <c r="BE372" s="44">
        <v>48.4</v>
      </c>
      <c r="BF372" s="45"/>
      <c r="BG372" s="43">
        <v>2096</v>
      </c>
      <c r="BH372" s="2"/>
      <c r="BM372"/>
    </row>
    <row r="373" spans="1:65" ht="15" customHeight="1" x14ac:dyDescent="0.3">
      <c r="A373" s="2" t="s">
        <v>43</v>
      </c>
      <c r="B373" s="59" t="s">
        <v>46</v>
      </c>
      <c r="C373" s="3">
        <v>45281</v>
      </c>
      <c r="D373" s="8">
        <v>2</v>
      </c>
      <c r="E373" s="3" t="s">
        <v>421</v>
      </c>
      <c r="F373" s="2" t="s">
        <v>214</v>
      </c>
      <c r="G373" s="7">
        <v>0.17269999999999999</v>
      </c>
      <c r="H373" s="54">
        <v>3.5000000000000001E-3</v>
      </c>
      <c r="I373" s="7">
        <v>1.2255</v>
      </c>
      <c r="K373" s="7">
        <v>0.16400000000000001</v>
      </c>
      <c r="L373" s="7">
        <v>0.1653</v>
      </c>
      <c r="O373" s="7">
        <v>57.8</v>
      </c>
      <c r="P373" s="7">
        <v>423</v>
      </c>
      <c r="Q373" s="7">
        <v>756.7</v>
      </c>
      <c r="R373" s="4" t="s">
        <v>15</v>
      </c>
      <c r="S373" s="4" t="s">
        <v>15</v>
      </c>
      <c r="T373" s="4"/>
      <c r="U373" s="4" t="s">
        <v>332</v>
      </c>
      <c r="V373" s="4"/>
      <c r="W373" s="4"/>
      <c r="X373" s="4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  <c r="AT373" s="7"/>
      <c r="AU373" s="7"/>
      <c r="AV373" s="4"/>
      <c r="AW373" s="2"/>
      <c r="AX373" s="7"/>
      <c r="AY373" s="4"/>
      <c r="AZ373" s="4">
        <v>111.6</v>
      </c>
      <c r="BA373" s="2"/>
      <c r="BB373" s="2"/>
      <c r="BC373" s="2">
        <v>27.5</v>
      </c>
      <c r="BD373" s="43">
        <v>1018</v>
      </c>
      <c r="BE373" s="44">
        <v>52</v>
      </c>
      <c r="BF373" s="45">
        <v>1.171</v>
      </c>
      <c r="BG373" s="61">
        <v>2096</v>
      </c>
      <c r="BH373" s="2"/>
      <c r="BM373"/>
    </row>
    <row r="374" spans="1:65" ht="15" customHeight="1" x14ac:dyDescent="0.3">
      <c r="A374" s="2" t="s">
        <v>43</v>
      </c>
      <c r="B374" s="59" t="s">
        <v>46</v>
      </c>
      <c r="C374" s="3">
        <v>45281</v>
      </c>
      <c r="D374" s="8">
        <v>3</v>
      </c>
      <c r="E374" s="3" t="s">
        <v>424</v>
      </c>
      <c r="F374" s="2" t="s">
        <v>215</v>
      </c>
      <c r="G374" s="7">
        <v>0.17319999999999999</v>
      </c>
      <c r="H374" s="54">
        <v>2.8999999999999998E-3</v>
      </c>
      <c r="I374" s="7">
        <v>1.2255</v>
      </c>
      <c r="K374" s="7">
        <v>0.16700000000000001</v>
      </c>
      <c r="L374" s="7">
        <v>0.17199999999999999</v>
      </c>
      <c r="O374" s="7">
        <v>57.7</v>
      </c>
      <c r="P374" s="7">
        <v>439</v>
      </c>
      <c r="Q374" s="7">
        <v>756.9</v>
      </c>
      <c r="R374" s="4" t="s">
        <v>15</v>
      </c>
      <c r="S374" s="4" t="s">
        <v>15</v>
      </c>
      <c r="T374" s="4"/>
      <c r="U374" s="4" t="s">
        <v>332</v>
      </c>
      <c r="V374" s="4"/>
      <c r="W374" s="4"/>
      <c r="X374" s="4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  <c r="AT374" s="7"/>
      <c r="AU374" s="7"/>
      <c r="AV374" s="4"/>
      <c r="AW374" s="2"/>
      <c r="AX374" s="7"/>
      <c r="AY374" s="4"/>
      <c r="AZ374" s="4">
        <v>117</v>
      </c>
      <c r="BA374" s="2"/>
      <c r="BB374" s="2"/>
      <c r="BC374" s="2">
        <v>27.5</v>
      </c>
      <c r="BD374" s="43">
        <v>1018</v>
      </c>
      <c r="BE374" s="44">
        <v>52</v>
      </c>
      <c r="BF374" s="45">
        <v>1.171</v>
      </c>
      <c r="BG374" s="61">
        <v>2096</v>
      </c>
      <c r="BH374" s="2"/>
      <c r="BM374"/>
    </row>
    <row r="375" spans="1:65" ht="15" customHeight="1" x14ac:dyDescent="0.3">
      <c r="A375" s="2" t="s">
        <v>43</v>
      </c>
      <c r="B375" s="59" t="s">
        <v>46</v>
      </c>
      <c r="C375" s="3">
        <v>45281</v>
      </c>
      <c r="D375" s="8">
        <v>4</v>
      </c>
      <c r="E375" s="3" t="s">
        <v>441</v>
      </c>
      <c r="F375" s="2" t="s">
        <v>22</v>
      </c>
      <c r="G375" s="7">
        <v>0.17649999999999999</v>
      </c>
      <c r="H375" s="54">
        <v>3.7000000000000002E-3</v>
      </c>
      <c r="I375" s="7">
        <v>1.2255</v>
      </c>
      <c r="K375" s="7">
        <v>0.17</v>
      </c>
      <c r="L375" s="7">
        <v>0.17430000000000001</v>
      </c>
      <c r="O375" s="7">
        <v>58.2</v>
      </c>
      <c r="P375" s="7">
        <v>454</v>
      </c>
      <c r="Q375" s="7">
        <v>755.8</v>
      </c>
      <c r="R375" s="4" t="s">
        <v>15</v>
      </c>
      <c r="S375" s="4" t="s">
        <v>15</v>
      </c>
      <c r="T375" s="4"/>
      <c r="U375" s="4" t="s">
        <v>332</v>
      </c>
      <c r="V375" s="4"/>
      <c r="W375" s="4"/>
      <c r="X375" s="4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  <c r="AT375" s="7"/>
      <c r="AU375" s="7"/>
      <c r="AV375" s="4"/>
      <c r="AW375" s="2"/>
      <c r="AX375" s="7"/>
      <c r="AY375" s="4"/>
      <c r="AZ375" s="4"/>
      <c r="BA375" s="2"/>
      <c r="BB375" s="2"/>
      <c r="BC375" s="2"/>
      <c r="BD375" s="43"/>
      <c r="BE375" s="44"/>
      <c r="BF375" s="45"/>
      <c r="BG375" s="43">
        <v>2096</v>
      </c>
      <c r="BH375" s="2"/>
      <c r="BM375"/>
    </row>
    <row r="376" spans="1:65" ht="15" customHeight="1" x14ac:dyDescent="0.3">
      <c r="A376" s="2" t="s">
        <v>43</v>
      </c>
      <c r="B376" s="59" t="s">
        <v>46</v>
      </c>
      <c r="C376" s="3">
        <v>45281</v>
      </c>
      <c r="D376" s="8">
        <v>5</v>
      </c>
      <c r="E376" s="3" t="s">
        <v>432</v>
      </c>
      <c r="F376" s="2" t="s">
        <v>214</v>
      </c>
      <c r="G376" s="7">
        <v>0.17860000000000001</v>
      </c>
      <c r="H376" s="54">
        <v>4.0000000000000001E-3</v>
      </c>
      <c r="I376" s="7">
        <v>1.2255</v>
      </c>
      <c r="K376" s="7">
        <v>0.16600000000000001</v>
      </c>
      <c r="R376" s="4" t="s">
        <v>15</v>
      </c>
      <c r="S376" s="4" t="s">
        <v>15</v>
      </c>
      <c r="T376" s="4"/>
      <c r="U376" s="4" t="s">
        <v>332</v>
      </c>
      <c r="V376" s="4"/>
      <c r="W376" s="4"/>
      <c r="X376" s="4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  <c r="AT376" s="7"/>
      <c r="AU376" s="7"/>
      <c r="AV376" s="4"/>
      <c r="AW376" s="2"/>
      <c r="AX376" s="7"/>
      <c r="AY376" s="4"/>
      <c r="AZ376" s="4"/>
      <c r="BA376" s="2"/>
      <c r="BB376" s="2"/>
      <c r="BC376" s="2"/>
      <c r="BD376" s="43"/>
      <c r="BE376" s="44"/>
      <c r="BF376" s="45"/>
      <c r="BG376" s="43">
        <v>2096</v>
      </c>
      <c r="BH376" s="2"/>
      <c r="BM376"/>
    </row>
    <row r="377" spans="1:65" ht="15" customHeight="1" x14ac:dyDescent="0.3">
      <c r="A377" s="2" t="s">
        <v>43</v>
      </c>
      <c r="B377" s="59" t="s">
        <v>46</v>
      </c>
      <c r="C377" s="3">
        <v>45281</v>
      </c>
      <c r="D377" s="8">
        <v>6</v>
      </c>
      <c r="E377" s="3" t="s">
        <v>438</v>
      </c>
      <c r="F377" s="2" t="s">
        <v>215</v>
      </c>
      <c r="G377" s="7">
        <v>0.1794</v>
      </c>
      <c r="H377" s="54">
        <v>5.7999999999999996E-3</v>
      </c>
      <c r="I377" s="7">
        <v>1.2255</v>
      </c>
      <c r="K377" s="7">
        <v>0.17</v>
      </c>
      <c r="R377" s="4" t="s">
        <v>15</v>
      </c>
      <c r="S377" s="4" t="s">
        <v>15</v>
      </c>
      <c r="T377" s="4"/>
      <c r="U377" s="4" t="s">
        <v>332</v>
      </c>
      <c r="V377" s="4"/>
      <c r="W377" s="4"/>
      <c r="X377" s="4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  <c r="AT377" s="7"/>
      <c r="AU377" s="7"/>
      <c r="AV377" s="4"/>
      <c r="AW377" s="2"/>
      <c r="AX377" s="7"/>
      <c r="AY377" s="4"/>
      <c r="AZ377" s="4">
        <v>111.6</v>
      </c>
      <c r="BA377" s="2"/>
      <c r="BB377" s="2"/>
      <c r="BC377" s="2">
        <v>28.7</v>
      </c>
      <c r="BD377" s="43">
        <v>1017</v>
      </c>
      <c r="BE377" s="44">
        <v>48</v>
      </c>
      <c r="BF377" s="45">
        <v>1.1659999999999999</v>
      </c>
      <c r="BG377" s="61">
        <v>2096</v>
      </c>
      <c r="BH377" s="2"/>
      <c r="BM377"/>
    </row>
    <row r="378" spans="1:65" ht="15" customHeight="1" x14ac:dyDescent="0.3">
      <c r="A378" s="2" t="s">
        <v>43</v>
      </c>
      <c r="B378" s="59" t="s">
        <v>99</v>
      </c>
      <c r="C378" s="3">
        <v>45302</v>
      </c>
      <c r="D378" s="8">
        <v>1</v>
      </c>
      <c r="E378" s="3" t="s">
        <v>466</v>
      </c>
      <c r="F378" s="2" t="s">
        <v>22</v>
      </c>
      <c r="G378" s="7">
        <v>0.18010000000000001</v>
      </c>
      <c r="H378" s="54">
        <v>2.0999999999999999E-3</v>
      </c>
      <c r="I378" s="7">
        <v>1.2324999999999999</v>
      </c>
      <c r="L378" s="7">
        <v>0.17780000000000001</v>
      </c>
      <c r="O378" s="7">
        <v>59.7</v>
      </c>
      <c r="P378" s="7">
        <v>464</v>
      </c>
      <c r="Q378" s="7">
        <v>756.7</v>
      </c>
      <c r="R378" s="4" t="s">
        <v>15</v>
      </c>
      <c r="S378" s="4" t="s">
        <v>15</v>
      </c>
      <c r="T378" s="4"/>
      <c r="U378" s="4" t="s">
        <v>332</v>
      </c>
      <c r="V378" s="4"/>
      <c r="W378" s="4"/>
      <c r="X378" s="4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  <c r="AT378" s="7"/>
      <c r="AU378" s="7"/>
      <c r="AV378" s="4"/>
      <c r="AW378" s="2"/>
      <c r="AX378" s="7"/>
      <c r="AY378" s="4"/>
      <c r="AZ378" s="4">
        <v>111.6</v>
      </c>
      <c r="BA378" s="2"/>
      <c r="BB378" s="2"/>
      <c r="BC378" s="42">
        <v>26.8</v>
      </c>
      <c r="BD378" s="43">
        <v>1020</v>
      </c>
      <c r="BE378" s="44">
        <v>58</v>
      </c>
      <c r="BF378" s="45"/>
      <c r="BG378" s="43">
        <v>2096</v>
      </c>
      <c r="BH378" s="2" t="s">
        <v>448</v>
      </c>
      <c r="BM378"/>
    </row>
    <row r="379" spans="1:65" ht="15" customHeight="1" x14ac:dyDescent="0.3">
      <c r="A379" s="2" t="s">
        <v>43</v>
      </c>
      <c r="B379" s="59" t="s">
        <v>99</v>
      </c>
      <c r="C379" s="3">
        <v>45302</v>
      </c>
      <c r="D379" s="8">
        <v>3</v>
      </c>
      <c r="E379" s="3" t="s">
        <v>464</v>
      </c>
      <c r="F379" s="2" t="s">
        <v>22</v>
      </c>
      <c r="G379" s="7">
        <v>0.18179999999999999</v>
      </c>
      <c r="H379" s="54">
        <v>3.0000000000000001E-3</v>
      </c>
      <c r="I379" s="7">
        <v>1.2324999999999999</v>
      </c>
      <c r="L379" s="7">
        <v>0.17449999999999999</v>
      </c>
      <c r="O379" s="7">
        <v>55.8</v>
      </c>
      <c r="P379" s="7">
        <v>484</v>
      </c>
      <c r="Q379" s="7">
        <v>755.5</v>
      </c>
      <c r="R379" s="4" t="s">
        <v>15</v>
      </c>
      <c r="S379" s="4" t="s">
        <v>15</v>
      </c>
      <c r="T379" s="4"/>
      <c r="U379" s="4" t="s">
        <v>332</v>
      </c>
      <c r="V379" s="4"/>
      <c r="W379" s="4"/>
      <c r="X379" s="4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  <c r="AT379" s="7"/>
      <c r="AU379" s="7"/>
      <c r="AV379" s="4"/>
      <c r="AW379" s="2"/>
      <c r="AX379" s="7"/>
      <c r="AY379" s="4"/>
      <c r="AZ379" s="4">
        <v>111.6</v>
      </c>
      <c r="BA379" s="2"/>
      <c r="BB379" s="2"/>
      <c r="BC379" s="42">
        <v>27.5</v>
      </c>
      <c r="BD379" s="43">
        <v>1021</v>
      </c>
      <c r="BE379" s="44">
        <v>54</v>
      </c>
      <c r="BF379" s="45"/>
      <c r="BG379" s="43">
        <v>2096</v>
      </c>
      <c r="BH379" s="2"/>
      <c r="BM379"/>
    </row>
    <row r="380" spans="1:65" ht="15" customHeight="1" x14ac:dyDescent="0.3">
      <c r="A380" s="2" t="s">
        <v>43</v>
      </c>
      <c r="B380" s="59" t="s">
        <v>99</v>
      </c>
      <c r="C380" s="3">
        <v>45302</v>
      </c>
      <c r="D380" s="8">
        <v>5</v>
      </c>
      <c r="E380" s="3" t="s">
        <v>462</v>
      </c>
      <c r="F380" s="2" t="s">
        <v>22</v>
      </c>
      <c r="G380" s="7">
        <v>0.18099999999999999</v>
      </c>
      <c r="H380" s="54">
        <v>5.9999999999999995E-4</v>
      </c>
      <c r="I380" s="7">
        <v>1.2324999999999999</v>
      </c>
      <c r="L380" s="7">
        <v>0.17499999999999999</v>
      </c>
      <c r="O380" s="7">
        <v>59.2</v>
      </c>
      <c r="P380" s="7">
        <v>475</v>
      </c>
      <c r="Q380" s="7">
        <v>755.5</v>
      </c>
      <c r="R380" s="4" t="s">
        <v>15</v>
      </c>
      <c r="S380" s="4" t="s">
        <v>15</v>
      </c>
      <c r="T380" s="4"/>
      <c r="U380" s="4" t="s">
        <v>332</v>
      </c>
      <c r="V380" s="4"/>
      <c r="W380" s="4"/>
      <c r="X380" s="4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  <c r="AT380" s="7"/>
      <c r="AU380" s="7"/>
      <c r="AV380" s="4"/>
      <c r="AW380" s="2"/>
      <c r="AX380" s="7"/>
      <c r="AY380" s="4"/>
      <c r="AZ380" s="4">
        <v>111.6</v>
      </c>
      <c r="BA380" s="2"/>
      <c r="BB380" s="2"/>
      <c r="BC380" s="42">
        <v>27.8</v>
      </c>
      <c r="BD380" s="43">
        <v>1019.3</v>
      </c>
      <c r="BE380" s="44">
        <v>52.8</v>
      </c>
      <c r="BF380" s="45"/>
      <c r="BG380" s="43">
        <v>2096</v>
      </c>
      <c r="BH380" s="2"/>
      <c r="BM380"/>
    </row>
    <row r="381" spans="1:65" ht="15" customHeight="1" x14ac:dyDescent="0.3">
      <c r="A381" s="2" t="s">
        <v>43</v>
      </c>
      <c r="B381" s="59" t="s">
        <v>46</v>
      </c>
      <c r="C381" s="3">
        <v>45302</v>
      </c>
      <c r="D381" s="8">
        <v>1</v>
      </c>
      <c r="E381" s="3" t="s">
        <v>472</v>
      </c>
      <c r="F381" s="2" t="s">
        <v>22</v>
      </c>
      <c r="G381" s="7">
        <v>0.1774</v>
      </c>
      <c r="H381" s="54">
        <v>2.8E-3</v>
      </c>
      <c r="I381" s="7">
        <v>1.2144999999999999</v>
      </c>
      <c r="K381" s="7">
        <v>0.16600000000000001</v>
      </c>
      <c r="L381" s="7">
        <v>0.1757</v>
      </c>
      <c r="M381" s="7">
        <f>AVERAGE(L381,L383,L385)</f>
        <v>0.1777</v>
      </c>
      <c r="O381" s="7">
        <v>59.2</v>
      </c>
      <c r="P381" s="7">
        <v>489</v>
      </c>
      <c r="Q381" s="7">
        <v>755.9</v>
      </c>
      <c r="R381" s="4" t="s">
        <v>15</v>
      </c>
      <c r="S381" s="4" t="s">
        <v>15</v>
      </c>
      <c r="T381" s="4"/>
      <c r="U381" s="4" t="s">
        <v>332</v>
      </c>
      <c r="V381" s="4"/>
      <c r="W381" s="4"/>
      <c r="X381" s="4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  <c r="AT381" s="7"/>
      <c r="AU381" s="7"/>
      <c r="AV381" s="4"/>
      <c r="AW381" s="2"/>
      <c r="AX381" s="7"/>
      <c r="AY381" s="4"/>
      <c r="AZ381" s="4">
        <v>111.6</v>
      </c>
      <c r="BA381" s="2"/>
      <c r="BB381" s="2"/>
      <c r="BC381" s="10">
        <v>26.8</v>
      </c>
      <c r="BD381" s="43">
        <v>1020</v>
      </c>
      <c r="BE381" s="44">
        <v>58</v>
      </c>
      <c r="BF381" s="45"/>
      <c r="BG381" s="43">
        <v>2096</v>
      </c>
      <c r="BH381" s="2"/>
      <c r="BM381"/>
    </row>
    <row r="382" spans="1:65" ht="15" customHeight="1" x14ac:dyDescent="0.3">
      <c r="A382" s="2" t="s">
        <v>43</v>
      </c>
      <c r="B382" s="59" t="s">
        <v>46</v>
      </c>
      <c r="C382" s="3">
        <v>45302</v>
      </c>
      <c r="D382" s="8">
        <v>2</v>
      </c>
      <c r="E382" s="3" t="s">
        <v>471</v>
      </c>
      <c r="F382" s="2" t="s">
        <v>214</v>
      </c>
      <c r="G382" s="7">
        <v>0.17879999999999999</v>
      </c>
      <c r="H382" s="54">
        <v>2.7000000000000001E-3</v>
      </c>
      <c r="I382" s="7">
        <v>1.2144999999999999</v>
      </c>
      <c r="K382" s="7">
        <v>0.17100000000000001</v>
      </c>
      <c r="L382" s="7">
        <v>0.1741</v>
      </c>
      <c r="M382" s="7">
        <f>AVERAGE(L382,L384,L386)</f>
        <v>0.17430000000000001</v>
      </c>
      <c r="O382" s="7">
        <v>57.8</v>
      </c>
      <c r="P382" s="7">
        <v>452</v>
      </c>
      <c r="Q382" s="7">
        <v>756.2</v>
      </c>
      <c r="R382" s="4" t="s">
        <v>15</v>
      </c>
      <c r="S382" s="4" t="s">
        <v>15</v>
      </c>
      <c r="T382" s="4"/>
      <c r="U382" s="4" t="s">
        <v>332</v>
      </c>
      <c r="V382" s="4"/>
      <c r="W382" s="4"/>
      <c r="X382" s="4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  <c r="AT382" s="7"/>
      <c r="AU382" s="7"/>
      <c r="AV382" s="4"/>
      <c r="AW382" s="2"/>
      <c r="AX382" s="7"/>
      <c r="AY382" s="4"/>
      <c r="AZ382" s="4">
        <v>111.6</v>
      </c>
      <c r="BA382" s="2"/>
      <c r="BB382" s="2"/>
      <c r="BC382" s="10">
        <v>27</v>
      </c>
      <c r="BD382" s="43">
        <v>1020</v>
      </c>
      <c r="BE382" s="44">
        <v>56</v>
      </c>
      <c r="BF382" s="45"/>
      <c r="BG382" s="43">
        <v>2096</v>
      </c>
      <c r="BH382" s="2" t="s">
        <v>449</v>
      </c>
      <c r="BM382"/>
    </row>
    <row r="383" spans="1:65" ht="15" customHeight="1" x14ac:dyDescent="0.3">
      <c r="A383" s="2" t="s">
        <v>43</v>
      </c>
      <c r="B383" s="59" t="s">
        <v>46</v>
      </c>
      <c r="C383" s="3">
        <v>45302</v>
      </c>
      <c r="D383" s="8">
        <v>3</v>
      </c>
      <c r="E383" s="3" t="s">
        <v>470</v>
      </c>
      <c r="F383" s="2" t="s">
        <v>22</v>
      </c>
      <c r="G383" s="7">
        <v>0.17680000000000001</v>
      </c>
      <c r="H383" s="54">
        <v>2.7000000000000001E-3</v>
      </c>
      <c r="I383" s="7">
        <v>1.2144999999999999</v>
      </c>
      <c r="K383" s="7">
        <v>0.16200000000000001</v>
      </c>
      <c r="L383" s="7">
        <v>0.17519999999999999</v>
      </c>
      <c r="O383" s="7">
        <v>58.7</v>
      </c>
      <c r="P383" s="7">
        <v>484</v>
      </c>
      <c r="Q383" s="7">
        <v>755.9</v>
      </c>
      <c r="R383" s="4" t="s">
        <v>15</v>
      </c>
      <c r="S383" s="4" t="s">
        <v>15</v>
      </c>
      <c r="T383" s="4"/>
      <c r="U383" s="4" t="s">
        <v>332</v>
      </c>
      <c r="V383" s="4"/>
      <c r="W383" s="4"/>
      <c r="X383" s="4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  <c r="AT383" s="7"/>
      <c r="AU383" s="7"/>
      <c r="AV383" s="4"/>
      <c r="AW383" s="2"/>
      <c r="AX383" s="7"/>
      <c r="AY383" s="4"/>
      <c r="AZ383" s="4">
        <v>111.6</v>
      </c>
      <c r="BA383" s="2"/>
      <c r="BB383" s="2"/>
      <c r="BC383" s="10">
        <v>27.5</v>
      </c>
      <c r="BD383" s="43">
        <v>1020</v>
      </c>
      <c r="BE383" s="44">
        <v>55</v>
      </c>
      <c r="BF383" s="45"/>
      <c r="BG383" s="43">
        <v>2096</v>
      </c>
      <c r="BH383" s="2" t="s">
        <v>449</v>
      </c>
      <c r="BM383"/>
    </row>
    <row r="384" spans="1:65" ht="15" customHeight="1" x14ac:dyDescent="0.3">
      <c r="A384" s="2" t="s">
        <v>43</v>
      </c>
      <c r="B384" s="59" t="s">
        <v>46</v>
      </c>
      <c r="C384" s="3">
        <v>45302</v>
      </c>
      <c r="D384" s="8">
        <v>4</v>
      </c>
      <c r="E384" s="3" t="s">
        <v>469</v>
      </c>
      <c r="F384" s="2" t="s">
        <v>214</v>
      </c>
      <c r="G384" s="7">
        <v>0.17829999999999999</v>
      </c>
      <c r="H384" s="54">
        <v>8.9999999999999998E-4</v>
      </c>
      <c r="I384" s="7">
        <v>1.2144999999999999</v>
      </c>
      <c r="K384" s="7">
        <v>0.16600000000000001</v>
      </c>
      <c r="L384" s="7">
        <v>0.1754</v>
      </c>
      <c r="O384" s="7">
        <v>58.4</v>
      </c>
      <c r="P384" s="7">
        <v>465</v>
      </c>
      <c r="Q384" s="7">
        <v>756.6</v>
      </c>
      <c r="R384" s="4" t="s">
        <v>15</v>
      </c>
      <c r="S384" s="4" t="s">
        <v>15</v>
      </c>
      <c r="T384" s="4"/>
      <c r="U384" s="4" t="s">
        <v>332</v>
      </c>
      <c r="V384" s="4"/>
      <c r="W384" s="4"/>
      <c r="X384" s="4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  <c r="AT384" s="7"/>
      <c r="AU384" s="7"/>
      <c r="AV384" s="4"/>
      <c r="AW384" s="2"/>
      <c r="AX384" s="7"/>
      <c r="AY384" s="4"/>
      <c r="AZ384" s="4">
        <v>111.6</v>
      </c>
      <c r="BA384" s="2"/>
      <c r="BB384" s="2"/>
      <c r="BC384" s="10">
        <v>27.7</v>
      </c>
      <c r="BD384" s="43">
        <v>1020</v>
      </c>
      <c r="BE384" s="44">
        <v>54</v>
      </c>
      <c r="BF384" s="45"/>
      <c r="BG384" s="43">
        <v>2096</v>
      </c>
      <c r="BH384" s="2"/>
      <c r="BM384"/>
    </row>
    <row r="385" spans="1:65" ht="15" customHeight="1" x14ac:dyDescent="0.3">
      <c r="A385" s="2" t="s">
        <v>43</v>
      </c>
      <c r="B385" s="59" t="s">
        <v>46</v>
      </c>
      <c r="C385" s="3">
        <v>45302</v>
      </c>
      <c r="D385" s="8">
        <v>5</v>
      </c>
      <c r="E385" s="3" t="s">
        <v>468</v>
      </c>
      <c r="F385" s="2" t="s">
        <v>22</v>
      </c>
      <c r="G385" s="7">
        <v>0.17660000000000001</v>
      </c>
      <c r="H385" s="54">
        <v>4.1999999999999997E-3</v>
      </c>
      <c r="I385" s="7">
        <v>1.2144999999999999</v>
      </c>
      <c r="K385" s="7">
        <v>0.161</v>
      </c>
      <c r="L385" s="7">
        <v>0.1822</v>
      </c>
      <c r="O385" s="7">
        <v>58.4</v>
      </c>
      <c r="P385" s="7">
        <v>477</v>
      </c>
      <c r="Q385" s="7">
        <v>756.4</v>
      </c>
      <c r="R385" s="4" t="s">
        <v>15</v>
      </c>
      <c r="S385" s="4" t="s">
        <v>15</v>
      </c>
      <c r="T385" s="4"/>
      <c r="U385" s="4" t="s">
        <v>332</v>
      </c>
      <c r="V385" s="4"/>
      <c r="W385" s="4"/>
      <c r="X385" s="4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  <c r="AT385" s="7"/>
      <c r="AU385" s="7"/>
      <c r="AV385" s="4"/>
      <c r="AW385" s="2"/>
      <c r="AX385" s="7"/>
      <c r="AY385" s="4"/>
      <c r="AZ385" s="4">
        <v>111.6</v>
      </c>
      <c r="BA385" s="2"/>
      <c r="BB385" s="2"/>
      <c r="BC385" s="10">
        <v>27.9</v>
      </c>
      <c r="BD385" s="43">
        <v>1020</v>
      </c>
      <c r="BE385" s="44">
        <v>52</v>
      </c>
      <c r="BF385" s="45"/>
      <c r="BG385" s="43">
        <v>2096</v>
      </c>
      <c r="BH385" s="2" t="s">
        <v>448</v>
      </c>
      <c r="BM385"/>
    </row>
    <row r="386" spans="1:65" ht="15" customHeight="1" x14ac:dyDescent="0.3">
      <c r="A386" s="2" t="s">
        <v>43</v>
      </c>
      <c r="B386" s="59" t="s">
        <v>46</v>
      </c>
      <c r="C386" s="3">
        <v>45302</v>
      </c>
      <c r="D386" s="8">
        <v>6</v>
      </c>
      <c r="E386" s="3" t="s">
        <v>467</v>
      </c>
      <c r="F386" s="2" t="s">
        <v>214</v>
      </c>
      <c r="G386" s="7">
        <v>0.17449999999999999</v>
      </c>
      <c r="H386" s="54">
        <v>1.1000000000000001E-3</v>
      </c>
      <c r="I386" s="7">
        <v>1.2144999999999999</v>
      </c>
      <c r="K386" s="7">
        <v>0.16</v>
      </c>
      <c r="L386" s="7">
        <v>0.1734</v>
      </c>
      <c r="O386" s="7">
        <v>58.9</v>
      </c>
      <c r="P386" s="7">
        <v>470</v>
      </c>
      <c r="Q386" s="7">
        <v>757.1</v>
      </c>
      <c r="R386" s="4" t="s">
        <v>15</v>
      </c>
      <c r="S386" s="4" t="s">
        <v>15</v>
      </c>
      <c r="T386" s="4"/>
      <c r="U386" s="4" t="s">
        <v>332</v>
      </c>
      <c r="V386" s="4"/>
      <c r="W386" s="4"/>
      <c r="X386" s="4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  <c r="AT386" s="7"/>
      <c r="AU386" s="7"/>
      <c r="AV386" s="4"/>
      <c r="AW386" s="2"/>
      <c r="AX386" s="7"/>
      <c r="AY386" s="4"/>
      <c r="AZ386" s="4">
        <v>111.6</v>
      </c>
      <c r="BA386" s="2"/>
      <c r="BB386" s="2"/>
      <c r="BC386" s="10">
        <v>28.1</v>
      </c>
      <c r="BD386" s="43">
        <v>1020</v>
      </c>
      <c r="BE386" s="44">
        <v>52</v>
      </c>
      <c r="BF386" s="45"/>
      <c r="BG386" s="43">
        <v>2096</v>
      </c>
      <c r="BH386" s="2" t="s">
        <v>449</v>
      </c>
      <c r="BM386"/>
    </row>
    <row r="387" spans="1:65" ht="15" customHeight="1" x14ac:dyDescent="0.3">
      <c r="A387" s="2" t="s">
        <v>43</v>
      </c>
      <c r="B387" s="59" t="s">
        <v>210</v>
      </c>
      <c r="C387" s="3">
        <v>45309</v>
      </c>
      <c r="D387" s="8">
        <v>1</v>
      </c>
      <c r="E387" s="3" t="s">
        <v>474</v>
      </c>
      <c r="F387" s="2" t="s">
        <v>22</v>
      </c>
      <c r="G387" s="7">
        <v>0.17749999999999999</v>
      </c>
      <c r="H387" s="54">
        <v>2.8999999999999998E-3</v>
      </c>
      <c r="I387" s="7">
        <v>1.2264999999999999</v>
      </c>
      <c r="K387" s="7">
        <v>0.17299999999999999</v>
      </c>
      <c r="L387" s="7">
        <v>0.17680000000000001</v>
      </c>
      <c r="O387" s="7">
        <v>57.4</v>
      </c>
      <c r="P387" s="7">
        <v>446</v>
      </c>
      <c r="Q387" s="7">
        <v>755.9</v>
      </c>
      <c r="R387" s="4" t="s">
        <v>15</v>
      </c>
      <c r="S387" s="4" t="s">
        <v>15</v>
      </c>
      <c r="T387" s="4"/>
      <c r="U387" s="4" t="s">
        <v>332</v>
      </c>
      <c r="V387" s="4"/>
      <c r="W387" s="4"/>
      <c r="X387" s="4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  <c r="AT387" s="7"/>
      <c r="AU387" s="7"/>
      <c r="AV387" s="4"/>
      <c r="AW387" s="2"/>
      <c r="AX387" s="7"/>
      <c r="AY387" s="4"/>
      <c r="AZ387" s="4">
        <v>111.6</v>
      </c>
      <c r="BA387" s="2"/>
      <c r="BB387" s="2"/>
      <c r="BC387" s="10">
        <v>28</v>
      </c>
      <c r="BD387" s="43">
        <v>1015</v>
      </c>
      <c r="BE387" s="44">
        <v>59</v>
      </c>
      <c r="BF387" s="45">
        <v>1.1639999999999999</v>
      </c>
      <c r="BG387" s="43">
        <v>2096</v>
      </c>
      <c r="BH387" s="2"/>
      <c r="BM387"/>
    </row>
    <row r="388" spans="1:65" ht="15" customHeight="1" x14ac:dyDescent="0.3">
      <c r="A388" s="2" t="s">
        <v>43</v>
      </c>
      <c r="B388" s="59" t="s">
        <v>210</v>
      </c>
      <c r="C388" s="3">
        <v>45309</v>
      </c>
      <c r="D388" s="8">
        <v>2</v>
      </c>
      <c r="E388" s="39" t="s">
        <v>473</v>
      </c>
      <c r="F388" s="2" t="s">
        <v>215</v>
      </c>
      <c r="G388" s="7">
        <v>0.1646</v>
      </c>
      <c r="H388" s="54">
        <v>3.5999999999999999E-3</v>
      </c>
      <c r="I388" s="7">
        <v>1.2264999999999999</v>
      </c>
      <c r="K388" s="7">
        <v>0.16300000000000001</v>
      </c>
      <c r="L388" s="7">
        <v>0.1666</v>
      </c>
      <c r="O388" s="7">
        <v>57</v>
      </c>
      <c r="P388" s="7">
        <v>411</v>
      </c>
      <c r="Q388" s="7">
        <v>755.8</v>
      </c>
      <c r="R388" s="4" t="s">
        <v>15</v>
      </c>
      <c r="S388" s="4" t="s">
        <v>15</v>
      </c>
      <c r="T388" s="4"/>
      <c r="U388" s="4" t="s">
        <v>332</v>
      </c>
      <c r="V388" s="4"/>
      <c r="W388" s="4"/>
      <c r="X388" s="4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  <c r="AT388" s="7"/>
      <c r="AU388" s="7"/>
      <c r="AV388" s="4"/>
      <c r="AW388" s="2"/>
      <c r="AX388" s="7"/>
      <c r="AY388" s="4"/>
      <c r="AZ388" s="4">
        <v>111.6</v>
      </c>
      <c r="BA388" s="2"/>
      <c r="BB388" s="2"/>
      <c r="BC388" s="10">
        <v>28</v>
      </c>
      <c r="BD388" s="43">
        <v>1015</v>
      </c>
      <c r="BE388" s="44">
        <v>59</v>
      </c>
      <c r="BF388" s="45">
        <v>1.1639999999999999</v>
      </c>
      <c r="BG388" s="43">
        <v>2096</v>
      </c>
      <c r="BH388" s="2" t="s">
        <v>447</v>
      </c>
      <c r="BM388"/>
    </row>
    <row r="389" spans="1:65" ht="15" customHeight="1" x14ac:dyDescent="0.3">
      <c r="A389" s="2" t="s">
        <v>43</v>
      </c>
      <c r="B389" s="59" t="s">
        <v>210</v>
      </c>
      <c r="C389" s="3">
        <v>45309</v>
      </c>
      <c r="D389" s="8">
        <v>3</v>
      </c>
      <c r="E389" s="3" t="s">
        <v>478</v>
      </c>
      <c r="F389" s="2" t="s">
        <v>551</v>
      </c>
      <c r="G389" s="7">
        <v>0.16450000000000001</v>
      </c>
      <c r="H389" s="54">
        <v>3.3E-3</v>
      </c>
      <c r="I389" s="7">
        <v>1.2264999999999999</v>
      </c>
      <c r="K389" s="7">
        <v>0.16300000000000001</v>
      </c>
      <c r="L389" s="7">
        <v>0.16270000000000001</v>
      </c>
      <c r="O389" s="7">
        <v>57.2</v>
      </c>
      <c r="P389" s="7">
        <v>414</v>
      </c>
      <c r="Q389" s="7">
        <v>755.8</v>
      </c>
      <c r="R389" s="4" t="s">
        <v>15</v>
      </c>
      <c r="S389" s="4" t="s">
        <v>15</v>
      </c>
      <c r="T389" s="4"/>
      <c r="U389" s="4" t="s">
        <v>332</v>
      </c>
      <c r="V389" s="4"/>
      <c r="W389" s="4"/>
      <c r="X389" s="4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  <c r="AT389" s="7"/>
      <c r="AU389" s="7"/>
      <c r="AV389" s="4"/>
      <c r="AW389" s="2"/>
      <c r="AX389" s="7"/>
      <c r="AY389" s="4"/>
      <c r="AZ389" s="4">
        <v>111.6</v>
      </c>
      <c r="BA389" s="2"/>
      <c r="BB389" s="2"/>
      <c r="BC389" s="10">
        <v>28</v>
      </c>
      <c r="BD389" s="43">
        <v>1015</v>
      </c>
      <c r="BE389" s="44">
        <v>59</v>
      </c>
      <c r="BF389" s="45">
        <v>1.1639999999999999</v>
      </c>
      <c r="BG389" s="43">
        <v>2096</v>
      </c>
      <c r="BH389" s="2" t="s">
        <v>447</v>
      </c>
      <c r="BM389"/>
    </row>
    <row r="390" spans="1:65" ht="15" customHeight="1" x14ac:dyDescent="0.3">
      <c r="A390" s="2" t="s">
        <v>43</v>
      </c>
      <c r="B390" s="59" t="s">
        <v>210</v>
      </c>
      <c r="C390" s="3">
        <v>45309</v>
      </c>
      <c r="D390" s="8">
        <v>4</v>
      </c>
      <c r="E390" s="3" t="s">
        <v>477</v>
      </c>
      <c r="F390" s="2" t="s">
        <v>22</v>
      </c>
      <c r="G390" s="7">
        <v>0.17510000000000001</v>
      </c>
      <c r="H390" s="54">
        <v>1.8E-3</v>
      </c>
      <c r="I390" s="7">
        <v>1.2264999999999999</v>
      </c>
      <c r="K390" s="7">
        <v>0.17199999999999999</v>
      </c>
      <c r="L390" s="7">
        <v>0.1731</v>
      </c>
      <c r="O390" s="7">
        <v>57.5</v>
      </c>
      <c r="P390" s="7">
        <v>440</v>
      </c>
      <c r="Q390" s="7">
        <v>755.7</v>
      </c>
      <c r="R390" s="4" t="s">
        <v>15</v>
      </c>
      <c r="S390" s="4" t="s">
        <v>15</v>
      </c>
      <c r="T390" s="4"/>
      <c r="U390" s="4" t="s">
        <v>332</v>
      </c>
      <c r="V390" s="4"/>
      <c r="W390" s="4"/>
      <c r="X390" s="4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  <c r="AT390" s="7"/>
      <c r="AU390" s="7"/>
      <c r="AV390" s="4"/>
      <c r="AW390" s="2"/>
      <c r="AX390" s="7"/>
      <c r="AY390" s="4"/>
      <c r="AZ390" s="4">
        <v>111.6</v>
      </c>
      <c r="BA390" s="2"/>
      <c r="BB390" s="2"/>
      <c r="BC390" s="10">
        <v>28</v>
      </c>
      <c r="BD390" s="43">
        <v>1015</v>
      </c>
      <c r="BE390" s="44">
        <v>59</v>
      </c>
      <c r="BF390" s="45">
        <v>1.1639999999999999</v>
      </c>
      <c r="BG390" s="43">
        <v>2096</v>
      </c>
      <c r="BH390" s="2" t="s">
        <v>447</v>
      </c>
      <c r="BM390"/>
    </row>
    <row r="391" spans="1:65" ht="15" customHeight="1" x14ac:dyDescent="0.3">
      <c r="A391" s="2" t="s">
        <v>43</v>
      </c>
      <c r="B391" s="59" t="s">
        <v>210</v>
      </c>
      <c r="C391" s="3">
        <v>45309</v>
      </c>
      <c r="D391" s="8">
        <v>5</v>
      </c>
      <c r="E391" s="3" t="s">
        <v>476</v>
      </c>
      <c r="F391" s="2" t="s">
        <v>215</v>
      </c>
      <c r="G391" s="7">
        <v>0.16300000000000001</v>
      </c>
      <c r="H391" s="54">
        <v>2.8E-3</v>
      </c>
      <c r="I391" s="7">
        <v>1.2264999999999999</v>
      </c>
      <c r="K391" s="7">
        <v>0.16400000000000001</v>
      </c>
      <c r="L391" s="7">
        <v>0.16450000000000001</v>
      </c>
      <c r="O391" s="7">
        <v>57.1</v>
      </c>
      <c r="P391" s="7">
        <v>410</v>
      </c>
      <c r="Q391" s="7">
        <v>755.9</v>
      </c>
      <c r="R391" s="4" t="s">
        <v>15</v>
      </c>
      <c r="S391" s="4" t="s">
        <v>15</v>
      </c>
      <c r="T391" s="4"/>
      <c r="U391" s="4" t="s">
        <v>332</v>
      </c>
      <c r="V391" s="4"/>
      <c r="W391" s="4"/>
      <c r="X391" s="4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  <c r="AT391" s="7"/>
      <c r="AU391" s="7"/>
      <c r="AV391" s="4"/>
      <c r="AW391" s="2"/>
      <c r="AX391" s="7"/>
      <c r="AY391" s="4"/>
      <c r="AZ391" s="4">
        <v>111.6</v>
      </c>
      <c r="BA391" s="2"/>
      <c r="BB391" s="2"/>
      <c r="BC391" s="10">
        <v>28</v>
      </c>
      <c r="BD391" s="43">
        <v>1015</v>
      </c>
      <c r="BE391" s="44">
        <v>59</v>
      </c>
      <c r="BF391" s="45">
        <v>1.1639999999999999</v>
      </c>
      <c r="BG391" s="43">
        <v>2096</v>
      </c>
      <c r="BH391" s="2" t="s">
        <v>448</v>
      </c>
      <c r="BM391"/>
    </row>
    <row r="392" spans="1:65" ht="15" customHeight="1" x14ac:dyDescent="0.3">
      <c r="A392" s="2" t="s">
        <v>43</v>
      </c>
      <c r="B392" s="59" t="s">
        <v>210</v>
      </c>
      <c r="C392" s="3">
        <v>45309</v>
      </c>
      <c r="D392" s="8">
        <v>6</v>
      </c>
      <c r="E392" s="3" t="s">
        <v>475</v>
      </c>
      <c r="F392" s="2" t="s">
        <v>551</v>
      </c>
      <c r="G392" s="7">
        <v>0.16689999999999999</v>
      </c>
      <c r="H392" s="54">
        <v>2.8999999999999998E-3</v>
      </c>
      <c r="I392" s="7">
        <v>1.2264999999999999</v>
      </c>
      <c r="K392" s="7">
        <v>0.16700000000000001</v>
      </c>
      <c r="L392" s="7">
        <v>0.16470000000000001</v>
      </c>
      <c r="O392" s="7">
        <v>56.8</v>
      </c>
      <c r="P392" s="7">
        <v>411</v>
      </c>
      <c r="Q392" s="7">
        <v>756.1</v>
      </c>
      <c r="R392" s="4" t="s">
        <v>15</v>
      </c>
      <c r="S392" s="4" t="s">
        <v>15</v>
      </c>
      <c r="T392" s="4"/>
      <c r="U392" s="4" t="s">
        <v>332</v>
      </c>
      <c r="V392" s="4"/>
      <c r="W392" s="4"/>
      <c r="X392" s="4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  <c r="AT392" s="7"/>
      <c r="AU392" s="7"/>
      <c r="AV392" s="4"/>
      <c r="AW392" s="2"/>
      <c r="AX392" s="7"/>
      <c r="AY392" s="4"/>
      <c r="AZ392" s="4">
        <v>111.6</v>
      </c>
      <c r="BA392" s="2"/>
      <c r="BB392" s="2"/>
      <c r="BC392" s="10">
        <v>28</v>
      </c>
      <c r="BD392" s="43">
        <v>1015</v>
      </c>
      <c r="BE392" s="44">
        <v>59</v>
      </c>
      <c r="BF392" s="45">
        <v>1.1639999999999999</v>
      </c>
      <c r="BG392" s="43">
        <v>2096</v>
      </c>
      <c r="BH392" s="2" t="s">
        <v>447</v>
      </c>
      <c r="BM392"/>
    </row>
    <row r="393" spans="1:65" ht="15" customHeight="1" x14ac:dyDescent="0.3">
      <c r="A393" s="2" t="s">
        <v>13</v>
      </c>
      <c r="B393" s="59" t="s">
        <v>25</v>
      </c>
      <c r="C393" s="3">
        <v>45313</v>
      </c>
      <c r="D393" s="8">
        <v>1</v>
      </c>
      <c r="E393" s="3" t="s">
        <v>481</v>
      </c>
      <c r="F393" s="2" t="s">
        <v>22</v>
      </c>
      <c r="G393" s="7">
        <v>0.15110000000000001</v>
      </c>
      <c r="H393" s="54">
        <v>3.3999999999999998E-3</v>
      </c>
      <c r="I393" s="7">
        <v>1.2909999999999999</v>
      </c>
      <c r="L393" s="7">
        <v>0.1542</v>
      </c>
      <c r="O393" s="7">
        <v>61.9</v>
      </c>
      <c r="P393" s="7">
        <v>473</v>
      </c>
      <c r="Q393" s="7">
        <v>756.5</v>
      </c>
      <c r="R393" s="4" t="s">
        <v>15</v>
      </c>
      <c r="S393" s="4" t="s">
        <v>15</v>
      </c>
      <c r="T393" s="4"/>
      <c r="U393" s="4" t="s">
        <v>225</v>
      </c>
      <c r="V393" s="4"/>
      <c r="W393" s="4"/>
      <c r="X393" s="4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  <c r="AT393" s="7"/>
      <c r="AU393" s="7"/>
      <c r="AV393" s="4"/>
      <c r="AW393" s="2"/>
      <c r="AX393" s="7">
        <v>81</v>
      </c>
      <c r="AY393" s="4"/>
      <c r="AZ393" s="4">
        <v>117</v>
      </c>
      <c r="BA393" s="2"/>
      <c r="BB393" s="2"/>
      <c r="BC393" s="2">
        <v>28.8</v>
      </c>
      <c r="BD393" s="43">
        <v>1000</v>
      </c>
      <c r="BE393" s="44">
        <v>59</v>
      </c>
      <c r="BF393" s="45">
        <v>1.1439999999999999</v>
      </c>
      <c r="BG393" s="43">
        <v>2096</v>
      </c>
      <c r="BH393" s="2"/>
      <c r="BM393"/>
    </row>
    <row r="394" spans="1:65" ht="15" customHeight="1" x14ac:dyDescent="0.3">
      <c r="A394" s="2" t="s">
        <v>13</v>
      </c>
      <c r="B394" s="59" t="s">
        <v>25</v>
      </c>
      <c r="C394" s="3">
        <v>45313</v>
      </c>
      <c r="D394" s="8">
        <v>2</v>
      </c>
      <c r="E394" s="3" t="s">
        <v>480</v>
      </c>
      <c r="F394" s="2" t="s">
        <v>446</v>
      </c>
      <c r="G394" s="7">
        <v>0.15229999999999999</v>
      </c>
      <c r="H394" s="54">
        <v>2.3E-3</v>
      </c>
      <c r="I394" s="7">
        <v>1.2909999999999999</v>
      </c>
      <c r="L394" s="7">
        <v>0.15240000000000001</v>
      </c>
      <c r="O394" s="7">
        <v>61.4</v>
      </c>
      <c r="P394" s="7">
        <v>459</v>
      </c>
      <c r="Q394" s="7">
        <v>757.1</v>
      </c>
      <c r="R394" s="4" t="s">
        <v>15</v>
      </c>
      <c r="S394" s="4" t="s">
        <v>15</v>
      </c>
      <c r="T394" s="4"/>
      <c r="U394" s="4" t="s">
        <v>225</v>
      </c>
      <c r="V394" s="4"/>
      <c r="W394" s="4"/>
      <c r="X394" s="4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  <c r="AT394" s="7"/>
      <c r="AU394" s="7"/>
      <c r="AV394" s="4"/>
      <c r="AW394" s="2"/>
      <c r="AX394" s="7">
        <v>81.099999999999994</v>
      </c>
      <c r="AY394" s="4"/>
      <c r="AZ394" s="4">
        <v>117</v>
      </c>
      <c r="BA394" s="2"/>
      <c r="BB394" s="2"/>
      <c r="BC394" s="2">
        <v>29</v>
      </c>
      <c r="BD394" s="43">
        <v>999</v>
      </c>
      <c r="BE394" s="44">
        <v>58</v>
      </c>
      <c r="BF394" s="45">
        <v>1.1419999999999999</v>
      </c>
      <c r="BG394" s="43">
        <v>2096</v>
      </c>
      <c r="BH394" s="2"/>
      <c r="BM394"/>
    </row>
    <row r="395" spans="1:65" ht="15" customHeight="1" x14ac:dyDescent="0.3">
      <c r="A395" s="2" t="s">
        <v>13</v>
      </c>
      <c r="B395" s="59" t="s">
        <v>25</v>
      </c>
      <c r="C395" s="3">
        <v>45313</v>
      </c>
      <c r="D395" s="8">
        <v>3</v>
      </c>
      <c r="E395" s="3" t="s">
        <v>479</v>
      </c>
      <c r="F395" s="2" t="s">
        <v>215</v>
      </c>
      <c r="G395" s="7">
        <v>0.1525</v>
      </c>
      <c r="H395" s="54">
        <v>4.8999999999999998E-3</v>
      </c>
      <c r="I395" s="7">
        <v>1.2909999999999999</v>
      </c>
      <c r="L395" s="7">
        <v>0.15040000000000001</v>
      </c>
      <c r="O395" s="7">
        <v>61.8</v>
      </c>
      <c r="P395" s="7">
        <v>472</v>
      </c>
      <c r="Q395" s="7">
        <v>757.5</v>
      </c>
      <c r="R395" s="4" t="s">
        <v>15</v>
      </c>
      <c r="S395" s="4" t="s">
        <v>15</v>
      </c>
      <c r="T395" s="4"/>
      <c r="U395" s="4" t="s">
        <v>225</v>
      </c>
      <c r="V395" s="4"/>
      <c r="W395" s="4"/>
      <c r="X395" s="4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  <c r="AT395" s="7"/>
      <c r="AU395" s="7"/>
      <c r="AV395" s="4"/>
      <c r="AW395" s="2"/>
      <c r="AX395" s="7">
        <v>81.2</v>
      </c>
      <c r="AY395" s="4"/>
      <c r="AZ395" s="4">
        <v>117</v>
      </c>
      <c r="BA395" s="2"/>
      <c r="BB395" s="2"/>
      <c r="BC395" s="2">
        <v>29</v>
      </c>
      <c r="BD395" s="43">
        <v>999</v>
      </c>
      <c r="BE395" s="44">
        <v>58</v>
      </c>
      <c r="BF395" s="45">
        <v>1.1419999999999999</v>
      </c>
      <c r="BG395" s="43">
        <v>2096</v>
      </c>
      <c r="BH395" s="2"/>
      <c r="BM395"/>
    </row>
    <row r="396" spans="1:65" ht="15" customHeight="1" x14ac:dyDescent="0.3">
      <c r="A396" s="2" t="s">
        <v>13</v>
      </c>
      <c r="B396" s="59" t="s">
        <v>25</v>
      </c>
      <c r="C396" s="3">
        <v>45313</v>
      </c>
      <c r="D396" s="8">
        <v>4</v>
      </c>
      <c r="E396" s="3" t="s">
        <v>485</v>
      </c>
      <c r="F396" s="2" t="s">
        <v>22</v>
      </c>
      <c r="G396" s="7">
        <v>0.15429999999999999</v>
      </c>
      <c r="H396" s="54">
        <v>2.5999999999999999E-3</v>
      </c>
      <c r="I396" s="7">
        <v>1.2909999999999999</v>
      </c>
      <c r="L396" s="7">
        <v>0.15459999999999999</v>
      </c>
      <c r="O396" s="7">
        <v>62.5</v>
      </c>
      <c r="P396" s="7">
        <v>494</v>
      </c>
      <c r="Q396" s="7">
        <v>757.5</v>
      </c>
      <c r="R396" s="4" t="s">
        <v>15</v>
      </c>
      <c r="S396" s="4" t="s">
        <v>15</v>
      </c>
      <c r="T396" s="4"/>
      <c r="U396" s="4" t="s">
        <v>225</v>
      </c>
      <c r="V396" s="4"/>
      <c r="W396" s="4"/>
      <c r="X396" s="4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  <c r="AT396" s="7"/>
      <c r="AU396" s="7"/>
      <c r="AV396" s="4"/>
      <c r="AW396" s="2"/>
      <c r="AX396" s="7">
        <v>81.099999999999994</v>
      </c>
      <c r="AY396" s="4"/>
      <c r="AZ396" s="4">
        <v>117</v>
      </c>
      <c r="BA396" s="2"/>
      <c r="BB396" s="2"/>
      <c r="BC396" s="2">
        <v>29</v>
      </c>
      <c r="BD396" s="43">
        <v>999</v>
      </c>
      <c r="BE396" s="44">
        <v>58</v>
      </c>
      <c r="BF396" s="45">
        <v>1.1419999999999999</v>
      </c>
      <c r="BG396" s="43">
        <v>2096</v>
      </c>
      <c r="BH396" s="2"/>
      <c r="BM396"/>
    </row>
    <row r="397" spans="1:65" ht="15" customHeight="1" x14ac:dyDescent="0.3">
      <c r="A397" s="2" t="s">
        <v>13</v>
      </c>
      <c r="B397" s="59" t="s">
        <v>25</v>
      </c>
      <c r="C397" s="3">
        <v>45313</v>
      </c>
      <c r="D397" s="8">
        <v>5</v>
      </c>
      <c r="E397" s="39" t="s">
        <v>484</v>
      </c>
      <c r="F397" s="2" t="s">
        <v>446</v>
      </c>
      <c r="G397" s="7">
        <v>0.15129999999999999</v>
      </c>
      <c r="H397" s="54">
        <v>5.1999999999999998E-3</v>
      </c>
      <c r="I397" s="7">
        <v>1.2909999999999999</v>
      </c>
      <c r="L397" s="7">
        <v>0.1517</v>
      </c>
      <c r="O397" s="7">
        <v>63.4</v>
      </c>
      <c r="P397" s="7">
        <v>505</v>
      </c>
      <c r="Q397" s="7">
        <v>757.5</v>
      </c>
      <c r="R397" s="4" t="s">
        <v>15</v>
      </c>
      <c r="S397" s="4" t="s">
        <v>15</v>
      </c>
      <c r="T397" s="4"/>
      <c r="U397" s="4" t="s">
        <v>225</v>
      </c>
      <c r="V397" s="4"/>
      <c r="W397" s="4"/>
      <c r="X397" s="4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  <c r="AT397" s="7"/>
      <c r="AU397" s="7"/>
      <c r="AV397" s="4"/>
      <c r="AW397" s="2"/>
      <c r="AX397" s="7">
        <v>81.2</v>
      </c>
      <c r="AY397" s="4"/>
      <c r="AZ397" s="4">
        <v>117</v>
      </c>
      <c r="BA397" s="2"/>
      <c r="BB397" s="2"/>
      <c r="BC397" s="2">
        <v>29</v>
      </c>
      <c r="BD397" s="43">
        <v>999</v>
      </c>
      <c r="BE397" s="44">
        <v>58</v>
      </c>
      <c r="BF397" s="45">
        <v>1.1419999999999999</v>
      </c>
      <c r="BG397" s="43">
        <v>2096</v>
      </c>
      <c r="BH397" s="2"/>
      <c r="BM397"/>
    </row>
    <row r="398" spans="1:65" ht="15" customHeight="1" x14ac:dyDescent="0.3">
      <c r="A398" s="2" t="s">
        <v>13</v>
      </c>
      <c r="B398" s="59" t="s">
        <v>25</v>
      </c>
      <c r="C398" s="3">
        <v>45313</v>
      </c>
      <c r="D398" s="8">
        <v>6</v>
      </c>
      <c r="E398" s="3" t="s">
        <v>483</v>
      </c>
      <c r="F398" s="2" t="s">
        <v>215</v>
      </c>
      <c r="G398" s="7">
        <v>0.15310000000000001</v>
      </c>
      <c r="H398" s="54">
        <v>1.9E-3</v>
      </c>
      <c r="I398" s="7">
        <v>1.2909999999999999</v>
      </c>
      <c r="L398" s="7">
        <v>0.15340000000000001</v>
      </c>
      <c r="O398" s="7">
        <v>62.6</v>
      </c>
      <c r="P398" s="7">
        <v>493</v>
      </c>
      <c r="Q398" s="7">
        <v>757.4</v>
      </c>
      <c r="R398" s="4" t="s">
        <v>15</v>
      </c>
      <c r="S398" s="4" t="s">
        <v>15</v>
      </c>
      <c r="T398" s="4"/>
      <c r="U398" s="4" t="s">
        <v>225</v>
      </c>
      <c r="V398" s="4"/>
      <c r="W398" s="4"/>
      <c r="X398" s="4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  <c r="AT398" s="7"/>
      <c r="AU398" s="7"/>
      <c r="AV398" s="4"/>
      <c r="AW398" s="2"/>
      <c r="AX398" s="7">
        <v>81</v>
      </c>
      <c r="AY398" s="4"/>
      <c r="AZ398" s="4">
        <v>117</v>
      </c>
      <c r="BA398" s="2"/>
      <c r="BB398" s="2"/>
      <c r="BC398" s="2">
        <v>29.8</v>
      </c>
      <c r="BD398" s="43">
        <v>998</v>
      </c>
      <c r="BE398" s="44">
        <v>58</v>
      </c>
      <c r="BF398" s="45">
        <v>1.137</v>
      </c>
      <c r="BG398" s="43">
        <v>2096</v>
      </c>
      <c r="BH398" s="2"/>
      <c r="BM398"/>
    </row>
    <row r="399" spans="1:65" ht="15" customHeight="1" x14ac:dyDescent="0.3">
      <c r="A399" s="2" t="s">
        <v>13</v>
      </c>
      <c r="B399" s="59" t="s">
        <v>25</v>
      </c>
      <c r="C399" s="3">
        <v>45313</v>
      </c>
      <c r="D399" s="8">
        <v>7</v>
      </c>
      <c r="E399" s="3" t="s">
        <v>482</v>
      </c>
      <c r="F399" s="2" t="s">
        <v>550</v>
      </c>
      <c r="G399" s="7">
        <v>0.15154999999999999</v>
      </c>
      <c r="H399" s="54">
        <v>6.1999999999999998E-3</v>
      </c>
      <c r="I399" s="7">
        <v>1.2909999999999999</v>
      </c>
      <c r="L399" s="7">
        <v>0.15290000000000001</v>
      </c>
      <c r="O399" s="7">
        <v>62.4</v>
      </c>
      <c r="P399" s="7">
        <v>492</v>
      </c>
      <c r="Q399" s="7">
        <v>756.8</v>
      </c>
      <c r="R399" s="4" t="s">
        <v>15</v>
      </c>
      <c r="S399" s="4" t="s">
        <v>15</v>
      </c>
      <c r="T399" s="4"/>
      <c r="U399" s="4" t="s">
        <v>225</v>
      </c>
      <c r="V399" s="4"/>
      <c r="W399" s="4"/>
      <c r="X399" s="4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  <c r="AT399" s="7"/>
      <c r="AU399" s="7"/>
      <c r="AV399" s="4"/>
      <c r="AW399" s="2"/>
      <c r="AX399" s="7"/>
      <c r="AY399" s="4"/>
      <c r="AZ399" s="4">
        <v>117</v>
      </c>
      <c r="BA399" s="2"/>
      <c r="BB399" s="2"/>
      <c r="BC399" s="2">
        <v>29.8</v>
      </c>
      <c r="BD399" s="43">
        <v>998</v>
      </c>
      <c r="BE399" s="44">
        <v>58</v>
      </c>
      <c r="BF399" s="45">
        <v>1.137</v>
      </c>
      <c r="BG399" s="43">
        <v>2096</v>
      </c>
      <c r="BH399" s="2"/>
      <c r="BM399"/>
    </row>
    <row r="400" spans="1:65" ht="15" customHeight="1" x14ac:dyDescent="0.3">
      <c r="A400" s="2" t="s">
        <v>13</v>
      </c>
      <c r="B400" s="59" t="s">
        <v>24</v>
      </c>
      <c r="C400" s="3">
        <v>45316</v>
      </c>
      <c r="D400" s="8">
        <v>1</v>
      </c>
      <c r="E400" s="3" t="s">
        <v>495</v>
      </c>
      <c r="F400" s="2" t="s">
        <v>22</v>
      </c>
      <c r="G400" s="7">
        <v>0.17680000000000001</v>
      </c>
      <c r="H400" s="54">
        <v>3.0000000000000001E-3</v>
      </c>
      <c r="I400" s="7">
        <v>1.244</v>
      </c>
      <c r="K400" s="7">
        <v>0.17799999999999999</v>
      </c>
      <c r="L400" s="7">
        <v>0.18110000000000001</v>
      </c>
      <c r="O400" s="7">
        <v>60.4</v>
      </c>
      <c r="P400" s="7">
        <v>515</v>
      </c>
      <c r="Q400" s="7">
        <v>756.6</v>
      </c>
      <c r="R400" s="4" t="s">
        <v>15</v>
      </c>
      <c r="S400" s="4" t="s">
        <v>15</v>
      </c>
      <c r="T400" s="4"/>
      <c r="U400" s="4" t="s">
        <v>225</v>
      </c>
      <c r="V400" s="4"/>
      <c r="W400" s="4"/>
      <c r="X400" s="4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  <c r="AT400" s="7"/>
      <c r="AU400" s="7"/>
      <c r="AV400" s="4"/>
      <c r="AW400" s="2"/>
      <c r="AX400" s="7"/>
      <c r="AY400" s="4"/>
      <c r="AZ400" s="4">
        <v>117</v>
      </c>
      <c r="BA400" s="2"/>
      <c r="BB400" s="2"/>
      <c r="BC400" s="2">
        <v>25.7</v>
      </c>
      <c r="BD400" s="43">
        <v>1006</v>
      </c>
      <c r="BE400" s="44">
        <v>49</v>
      </c>
      <c r="BF400" s="45">
        <v>1.1659999999999999</v>
      </c>
      <c r="BG400" s="43">
        <v>2096</v>
      </c>
      <c r="BH400" s="2"/>
      <c r="BM400"/>
    </row>
    <row r="401" spans="1:65" ht="15" customHeight="1" x14ac:dyDescent="0.3">
      <c r="A401" s="2" t="s">
        <v>13</v>
      </c>
      <c r="B401" s="59" t="s">
        <v>24</v>
      </c>
      <c r="C401" s="3">
        <v>45316</v>
      </c>
      <c r="D401" s="8">
        <v>2</v>
      </c>
      <c r="E401" s="3" t="s">
        <v>496</v>
      </c>
      <c r="F401" s="2" t="s">
        <v>214</v>
      </c>
      <c r="G401" s="7">
        <v>0.17319999999999999</v>
      </c>
      <c r="H401" s="54">
        <v>4.3E-3</v>
      </c>
      <c r="I401" s="7">
        <v>1.244</v>
      </c>
      <c r="K401" s="7">
        <v>0.17799999999999999</v>
      </c>
      <c r="L401" s="7">
        <v>0.17499999999999999</v>
      </c>
      <c r="O401" s="7">
        <v>64</v>
      </c>
      <c r="P401" s="7">
        <v>527</v>
      </c>
      <c r="Q401" s="7">
        <v>758.4</v>
      </c>
      <c r="R401" s="4" t="s">
        <v>15</v>
      </c>
      <c r="S401" s="4" t="s">
        <v>15</v>
      </c>
      <c r="T401" s="4"/>
      <c r="U401" s="4" t="s">
        <v>225</v>
      </c>
      <c r="V401" s="4"/>
      <c r="W401" s="4"/>
      <c r="X401" s="4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  <c r="AT401" s="7"/>
      <c r="AU401" s="7"/>
      <c r="AV401" s="4"/>
      <c r="AW401" s="2"/>
      <c r="AX401" s="7"/>
      <c r="AY401" s="4"/>
      <c r="AZ401" s="4">
        <v>117</v>
      </c>
      <c r="BA401" s="2"/>
      <c r="BB401" s="2"/>
      <c r="BC401" s="2">
        <v>25.7</v>
      </c>
      <c r="BD401" s="43">
        <v>1006</v>
      </c>
      <c r="BE401" s="44">
        <v>49</v>
      </c>
      <c r="BF401" s="45">
        <v>1.1659999999999999</v>
      </c>
      <c r="BG401" s="43">
        <v>2096</v>
      </c>
      <c r="BH401" s="2"/>
      <c r="BM401"/>
    </row>
    <row r="402" spans="1:65" ht="15" customHeight="1" x14ac:dyDescent="0.3">
      <c r="A402" s="2" t="s">
        <v>13</v>
      </c>
      <c r="B402" s="59" t="s">
        <v>24</v>
      </c>
      <c r="C402" s="3">
        <v>45316</v>
      </c>
      <c r="D402" s="8">
        <v>3</v>
      </c>
      <c r="E402" s="3" t="s">
        <v>491</v>
      </c>
      <c r="F402" s="2" t="s">
        <v>215</v>
      </c>
      <c r="G402" s="7">
        <v>0.17369999999999999</v>
      </c>
      <c r="H402" s="54">
        <v>2.5000000000000001E-3</v>
      </c>
      <c r="I402" s="7">
        <v>1.244</v>
      </c>
      <c r="K402" s="7">
        <v>0.17899999999999999</v>
      </c>
      <c r="L402" s="7">
        <v>0.1729</v>
      </c>
      <c r="O402" s="7">
        <v>61.5</v>
      </c>
      <c r="P402" s="7">
        <v>539</v>
      </c>
      <c r="Q402" s="7">
        <v>758.4</v>
      </c>
      <c r="R402" s="4" t="s">
        <v>15</v>
      </c>
      <c r="S402" s="4" t="s">
        <v>15</v>
      </c>
      <c r="T402" s="4"/>
      <c r="U402" s="4" t="s">
        <v>225</v>
      </c>
      <c r="V402" s="4"/>
      <c r="W402" s="4"/>
      <c r="X402" s="4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  <c r="AT402" s="7"/>
      <c r="AU402" s="7"/>
      <c r="AV402" s="4"/>
      <c r="AW402" s="2"/>
      <c r="AX402" s="7"/>
      <c r="AY402" s="4"/>
      <c r="AZ402" s="4">
        <v>117</v>
      </c>
      <c r="BA402" s="2"/>
      <c r="BB402" s="2"/>
      <c r="BC402" s="2">
        <v>25.7</v>
      </c>
      <c r="BD402" s="43">
        <v>1006</v>
      </c>
      <c r="BE402" s="44">
        <v>49</v>
      </c>
      <c r="BF402" s="45">
        <v>1.1659999999999999</v>
      </c>
      <c r="BG402" s="43">
        <v>2096</v>
      </c>
      <c r="BH402" s="2"/>
      <c r="BM402"/>
    </row>
    <row r="403" spans="1:65" ht="15" customHeight="1" x14ac:dyDescent="0.3">
      <c r="A403" s="2" t="s">
        <v>13</v>
      </c>
      <c r="B403" s="59" t="s">
        <v>24</v>
      </c>
      <c r="C403" s="3">
        <v>45316</v>
      </c>
      <c r="D403" s="8">
        <v>4</v>
      </c>
      <c r="E403" s="3" t="s">
        <v>493</v>
      </c>
      <c r="F403" s="2" t="s">
        <v>22</v>
      </c>
      <c r="G403" s="7">
        <v>0.17419999999999999</v>
      </c>
      <c r="H403" s="54">
        <v>4.0000000000000001E-3</v>
      </c>
      <c r="I403" s="7">
        <v>1.244</v>
      </c>
      <c r="K403" s="7">
        <v>0.17799999999999999</v>
      </c>
      <c r="L403" s="7">
        <v>0.1777</v>
      </c>
      <c r="O403" s="7">
        <v>61.3</v>
      </c>
      <c r="P403" s="7">
        <v>538</v>
      </c>
      <c r="Q403" s="7">
        <v>756.8</v>
      </c>
      <c r="R403" s="4" t="s">
        <v>15</v>
      </c>
      <c r="S403" s="4" t="s">
        <v>15</v>
      </c>
      <c r="T403" s="4"/>
      <c r="U403" s="4" t="s">
        <v>225</v>
      </c>
      <c r="V403" s="4"/>
      <c r="W403" s="4"/>
      <c r="X403" s="4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  <c r="AT403" s="7"/>
      <c r="AU403" s="7"/>
      <c r="AV403" s="4"/>
      <c r="AW403" s="2"/>
      <c r="AX403" s="7"/>
      <c r="AY403" s="4"/>
      <c r="AZ403" s="4">
        <v>117</v>
      </c>
      <c r="BA403" s="2"/>
      <c r="BB403" s="2"/>
      <c r="BC403" s="2">
        <v>25.7</v>
      </c>
      <c r="BD403" s="43">
        <v>1006</v>
      </c>
      <c r="BE403" s="44">
        <v>49</v>
      </c>
      <c r="BF403" s="45">
        <v>1.1659999999999999</v>
      </c>
      <c r="BG403" s="43">
        <v>2096</v>
      </c>
      <c r="BH403" s="2"/>
      <c r="BM403"/>
    </row>
    <row r="404" spans="1:65" ht="15" customHeight="1" x14ac:dyDescent="0.3">
      <c r="A404" s="2" t="s">
        <v>13</v>
      </c>
      <c r="B404" s="59" t="s">
        <v>24</v>
      </c>
      <c r="C404" s="3">
        <v>45316</v>
      </c>
      <c r="D404" s="8">
        <v>5</v>
      </c>
      <c r="E404" s="3" t="s">
        <v>492</v>
      </c>
      <c r="F404" s="2" t="s">
        <v>214</v>
      </c>
      <c r="G404" s="7">
        <v>0.17319999999999999</v>
      </c>
      <c r="H404" s="54">
        <v>2.0999999999999999E-3</v>
      </c>
      <c r="I404" s="7">
        <v>1.244</v>
      </c>
      <c r="K404" s="7">
        <v>0.17899999999999999</v>
      </c>
      <c r="L404" s="7">
        <v>0.17519999999999999</v>
      </c>
      <c r="O404" s="7">
        <v>61.3</v>
      </c>
      <c r="P404" s="7">
        <v>540</v>
      </c>
      <c r="Q404" s="7">
        <v>757.8</v>
      </c>
      <c r="R404" s="4" t="s">
        <v>15</v>
      </c>
      <c r="S404" s="4" t="s">
        <v>15</v>
      </c>
      <c r="T404" s="4"/>
      <c r="U404" s="4" t="s">
        <v>225</v>
      </c>
      <c r="V404" s="4"/>
      <c r="W404" s="4"/>
      <c r="X404" s="4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  <c r="AT404" s="7"/>
      <c r="AU404" s="7"/>
      <c r="AV404" s="4"/>
      <c r="AW404" s="2"/>
      <c r="AX404" s="7"/>
      <c r="AY404" s="4"/>
      <c r="AZ404" s="4">
        <v>117</v>
      </c>
      <c r="BA404" s="2"/>
      <c r="BB404" s="2"/>
      <c r="BC404" s="2">
        <v>26.4</v>
      </c>
      <c r="BD404" s="43">
        <v>1006</v>
      </c>
      <c r="BE404" s="44">
        <v>47</v>
      </c>
      <c r="BF404" s="45">
        <v>1.1619999999999999</v>
      </c>
      <c r="BG404" s="43">
        <v>2096</v>
      </c>
      <c r="BH404" s="2"/>
      <c r="BM404"/>
    </row>
    <row r="405" spans="1:65" ht="15" customHeight="1" x14ac:dyDescent="0.3">
      <c r="A405" s="2" t="s">
        <v>13</v>
      </c>
      <c r="B405" s="59" t="s">
        <v>24</v>
      </c>
      <c r="C405" s="3">
        <v>45316</v>
      </c>
      <c r="D405" s="8">
        <v>6</v>
      </c>
      <c r="E405" s="3" t="s">
        <v>494</v>
      </c>
      <c r="F405" s="2" t="s">
        <v>215</v>
      </c>
      <c r="G405" s="7">
        <v>0.17199999999999999</v>
      </c>
      <c r="H405" s="54">
        <v>2.3999999999999998E-3</v>
      </c>
      <c r="I405" s="7">
        <v>1.244</v>
      </c>
      <c r="K405" s="7">
        <v>0.17699999999999999</v>
      </c>
      <c r="L405" s="7">
        <v>0.17449999999999999</v>
      </c>
      <c r="R405" s="4" t="s">
        <v>15</v>
      </c>
      <c r="S405" s="4" t="s">
        <v>15</v>
      </c>
      <c r="T405" s="4"/>
      <c r="U405" s="4" t="s">
        <v>225</v>
      </c>
      <c r="V405" s="4"/>
      <c r="W405" s="4"/>
      <c r="X405" s="4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  <c r="AT405" s="7"/>
      <c r="AU405" s="7"/>
      <c r="AV405" s="4"/>
      <c r="AW405" s="2"/>
      <c r="AX405" s="7"/>
      <c r="AY405" s="4"/>
      <c r="AZ405" s="4">
        <v>117</v>
      </c>
      <c r="BA405" s="2"/>
      <c r="BB405" s="2"/>
      <c r="BC405" s="2">
        <v>26.4</v>
      </c>
      <c r="BD405" s="43">
        <v>1006</v>
      </c>
      <c r="BE405" s="44">
        <v>47</v>
      </c>
      <c r="BF405" s="45">
        <v>1.1619999999999999</v>
      </c>
      <c r="BG405" s="43">
        <v>2096</v>
      </c>
      <c r="BH405" s="2"/>
      <c r="BM405"/>
    </row>
    <row r="406" spans="1:65" ht="15" customHeight="1" x14ac:dyDescent="0.3">
      <c r="A406" s="2" t="s">
        <v>43</v>
      </c>
      <c r="B406" s="59" t="s">
        <v>210</v>
      </c>
      <c r="C406" s="3">
        <v>45323</v>
      </c>
      <c r="D406" s="8">
        <v>1</v>
      </c>
      <c r="E406" s="3"/>
      <c r="F406" s="2" t="s">
        <v>547</v>
      </c>
      <c r="G406" s="7">
        <v>0.17599999999999999</v>
      </c>
      <c r="H406" s="54">
        <v>2.8999999999999998E-3</v>
      </c>
      <c r="I406" s="7">
        <v>1.2544999999999999</v>
      </c>
      <c r="L406" s="7">
        <v>0.17019999999999999</v>
      </c>
      <c r="O406" s="7">
        <v>57.6</v>
      </c>
      <c r="P406" s="7">
        <v>410</v>
      </c>
      <c r="Q406" s="7">
        <v>755.6</v>
      </c>
      <c r="R406" s="4" t="s">
        <v>15</v>
      </c>
      <c r="S406" s="4" t="s">
        <v>15</v>
      </c>
      <c r="T406" s="4"/>
      <c r="U406" s="4" t="s">
        <v>332</v>
      </c>
      <c r="V406" s="4"/>
      <c r="W406" s="4"/>
      <c r="X406" s="4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  <c r="AT406" s="7"/>
      <c r="AU406" s="7"/>
      <c r="AV406" s="4"/>
      <c r="AW406" s="2"/>
      <c r="AX406" s="7"/>
      <c r="AY406" s="4"/>
      <c r="AZ406" s="4">
        <v>111.6</v>
      </c>
      <c r="BA406" s="2"/>
      <c r="BB406" s="2"/>
      <c r="BC406" s="2">
        <v>27.7</v>
      </c>
      <c r="BD406" s="43">
        <v>996</v>
      </c>
      <c r="BE406" s="44">
        <v>55</v>
      </c>
      <c r="BF406" s="45">
        <v>1.145</v>
      </c>
      <c r="BG406" s="43">
        <v>2096</v>
      </c>
      <c r="BH406" s="2"/>
      <c r="BM406"/>
    </row>
    <row r="407" spans="1:65" ht="15" customHeight="1" x14ac:dyDescent="0.3">
      <c r="A407" s="2" t="s">
        <v>43</v>
      </c>
      <c r="B407" s="59" t="s">
        <v>210</v>
      </c>
      <c r="C407" s="3">
        <v>45323</v>
      </c>
      <c r="D407" s="8">
        <v>2</v>
      </c>
      <c r="E407" s="3"/>
      <c r="F407" s="2" t="s">
        <v>547</v>
      </c>
      <c r="G407" s="7">
        <v>0.17199999999999999</v>
      </c>
      <c r="H407" s="54">
        <v>4.4999999999999997E-3</v>
      </c>
      <c r="I407" s="7">
        <v>1.2544999999999999</v>
      </c>
      <c r="L407" s="7">
        <v>0.1716</v>
      </c>
      <c r="O407" s="7">
        <v>56.9</v>
      </c>
      <c r="P407" s="7">
        <v>417</v>
      </c>
      <c r="Q407" s="7">
        <v>755.3</v>
      </c>
      <c r="R407" s="4" t="s">
        <v>15</v>
      </c>
      <c r="S407" s="4" t="s">
        <v>15</v>
      </c>
      <c r="T407" s="4"/>
      <c r="U407" s="4" t="s">
        <v>332</v>
      </c>
      <c r="V407" s="4"/>
      <c r="W407" s="4"/>
      <c r="X407" s="4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  <c r="AT407" s="7"/>
      <c r="AU407" s="7"/>
      <c r="AV407" s="4"/>
      <c r="AW407" s="2"/>
      <c r="AX407" s="7"/>
      <c r="AY407" s="4"/>
      <c r="AZ407" s="4">
        <v>111.6</v>
      </c>
      <c r="BA407" s="2"/>
      <c r="BB407" s="2"/>
      <c r="BC407" s="2">
        <v>27.7</v>
      </c>
      <c r="BD407" s="43">
        <v>996</v>
      </c>
      <c r="BE407" s="44">
        <v>55</v>
      </c>
      <c r="BF407" s="45">
        <v>1.145</v>
      </c>
      <c r="BG407" s="43">
        <v>2096</v>
      </c>
      <c r="BH407" s="2"/>
      <c r="BM407"/>
    </row>
    <row r="408" spans="1:65" ht="15" customHeight="1" x14ac:dyDescent="0.3">
      <c r="A408" s="2" t="s">
        <v>43</v>
      </c>
      <c r="B408" s="59" t="s">
        <v>210</v>
      </c>
      <c r="C408" s="3">
        <v>45323</v>
      </c>
      <c r="D408" s="8">
        <v>3</v>
      </c>
      <c r="E408" s="3"/>
      <c r="F408" s="2" t="s">
        <v>215</v>
      </c>
      <c r="G408" s="7">
        <v>0.17979999999999999</v>
      </c>
      <c r="H408" s="54">
        <v>4.1000000000000003E-3</v>
      </c>
      <c r="I408" s="7">
        <v>1.2544999999999999</v>
      </c>
      <c r="L408" s="7">
        <v>0.17580000000000001</v>
      </c>
      <c r="O408" s="7">
        <v>57</v>
      </c>
      <c r="P408" s="7">
        <v>416</v>
      </c>
      <c r="Q408" s="7">
        <v>754.9</v>
      </c>
      <c r="R408" s="4" t="s">
        <v>15</v>
      </c>
      <c r="S408" s="4" t="s">
        <v>15</v>
      </c>
      <c r="T408" s="4"/>
      <c r="U408" s="4" t="s">
        <v>332</v>
      </c>
      <c r="V408" s="4"/>
      <c r="W408" s="4"/>
      <c r="X408" s="4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  <c r="AT408" s="7"/>
      <c r="AU408" s="7"/>
      <c r="AV408" s="4"/>
      <c r="AW408" s="2"/>
      <c r="AX408" s="7"/>
      <c r="AY408" s="4"/>
      <c r="AZ408" s="4">
        <v>111.6</v>
      </c>
      <c r="BA408" s="2"/>
      <c r="BB408" s="2"/>
      <c r="BC408" s="2">
        <v>28</v>
      </c>
      <c r="BD408" s="43">
        <v>995</v>
      </c>
      <c r="BE408" s="44">
        <v>53</v>
      </c>
      <c r="BF408" s="45">
        <v>1.143</v>
      </c>
      <c r="BG408" s="43">
        <v>2096</v>
      </c>
      <c r="BH408" s="2"/>
      <c r="BM408"/>
    </row>
    <row r="409" spans="1:65" ht="15" customHeight="1" x14ac:dyDescent="0.3">
      <c r="A409" s="2" t="s">
        <v>43</v>
      </c>
      <c r="B409" s="59" t="s">
        <v>210</v>
      </c>
      <c r="C409" s="3">
        <v>45323</v>
      </c>
      <c r="D409" s="8">
        <v>4</v>
      </c>
      <c r="E409" s="3"/>
      <c r="F409" s="2" t="s">
        <v>215</v>
      </c>
      <c r="G409" s="7">
        <v>0.18049999999999999</v>
      </c>
      <c r="H409" s="54">
        <v>4.0000000000000001E-3</v>
      </c>
      <c r="I409" s="7">
        <v>1.2544999999999999</v>
      </c>
      <c r="L409" s="7">
        <v>0.17319999999999999</v>
      </c>
      <c r="O409" s="7">
        <v>57.5</v>
      </c>
      <c r="P409" s="7">
        <v>426</v>
      </c>
      <c r="Q409" s="7">
        <v>755.5</v>
      </c>
      <c r="R409" s="4" t="s">
        <v>15</v>
      </c>
      <c r="S409" s="4" t="s">
        <v>15</v>
      </c>
      <c r="T409" s="4"/>
      <c r="U409" s="4" t="s">
        <v>332</v>
      </c>
      <c r="V409" s="4"/>
      <c r="W409" s="4"/>
      <c r="X409" s="4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  <c r="AT409" s="7"/>
      <c r="AU409" s="7"/>
      <c r="AV409" s="4"/>
      <c r="AW409" s="2"/>
      <c r="AX409" s="7"/>
      <c r="AY409" s="4"/>
      <c r="AZ409" s="4">
        <v>111.6</v>
      </c>
      <c r="BA409" s="2"/>
      <c r="BB409" s="2"/>
      <c r="BC409" s="2">
        <v>28.2</v>
      </c>
      <c r="BD409" s="43">
        <v>995</v>
      </c>
      <c r="BE409" s="44">
        <v>53</v>
      </c>
      <c r="BF409" s="45">
        <v>1.1419999999999999</v>
      </c>
      <c r="BG409" s="43">
        <v>2096</v>
      </c>
      <c r="BH409" s="2"/>
      <c r="BM409"/>
    </row>
    <row r="410" spans="1:65" ht="15" customHeight="1" x14ac:dyDescent="0.3">
      <c r="A410" s="2" t="s">
        <v>43</v>
      </c>
      <c r="B410" s="59" t="s">
        <v>99</v>
      </c>
      <c r="C410" s="3">
        <v>45330</v>
      </c>
      <c r="D410" s="8">
        <v>1</v>
      </c>
      <c r="E410" s="3" t="s">
        <v>530</v>
      </c>
      <c r="F410" s="2" t="s">
        <v>355</v>
      </c>
      <c r="G410" s="7">
        <v>0.1754</v>
      </c>
      <c r="H410" s="54">
        <v>6.7000000000000002E-3</v>
      </c>
      <c r="I410" s="7">
        <v>1.2090000000000001</v>
      </c>
      <c r="K410" s="7">
        <v>0.16700000000000001</v>
      </c>
      <c r="L410" s="7">
        <v>0.1704</v>
      </c>
      <c r="O410" s="7">
        <v>60.9</v>
      </c>
      <c r="P410" s="7">
        <v>513</v>
      </c>
      <c r="Q410" s="7">
        <v>756.7</v>
      </c>
      <c r="R410" s="4" t="s">
        <v>15</v>
      </c>
      <c r="S410" s="4" t="s">
        <v>15</v>
      </c>
      <c r="T410" s="4"/>
      <c r="U410" s="4" t="s">
        <v>332</v>
      </c>
      <c r="V410" s="4"/>
      <c r="W410" s="4"/>
      <c r="X410" s="4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  <c r="AT410" s="7"/>
      <c r="AU410" s="7"/>
      <c r="AV410" s="4"/>
      <c r="AW410" s="2"/>
      <c r="AX410" s="7"/>
      <c r="AY410" s="4"/>
      <c r="AZ410" s="4">
        <v>113.4</v>
      </c>
      <c r="BA410" s="2"/>
      <c r="BB410" s="2"/>
      <c r="BC410" s="10">
        <v>24</v>
      </c>
      <c r="BD410" s="43">
        <v>1012.8</v>
      </c>
      <c r="BE410" s="44">
        <v>51.7</v>
      </c>
      <c r="BF410" s="45"/>
      <c r="BG410" s="43">
        <v>2096</v>
      </c>
      <c r="BH410" s="2"/>
      <c r="BM410"/>
    </row>
    <row r="411" spans="1:65" ht="15" customHeight="1" x14ac:dyDescent="0.3">
      <c r="A411" s="2" t="s">
        <v>43</v>
      </c>
      <c r="B411" s="59" t="s">
        <v>99</v>
      </c>
      <c r="C411" s="3">
        <v>45330</v>
      </c>
      <c r="D411" s="8">
        <v>4</v>
      </c>
      <c r="E411" s="3" t="s">
        <v>542</v>
      </c>
      <c r="F411" s="2" t="s">
        <v>355</v>
      </c>
      <c r="G411" s="7">
        <v>0.18110000000000001</v>
      </c>
      <c r="H411" s="54">
        <v>4.3E-3</v>
      </c>
      <c r="I411" s="7">
        <v>1.2090000000000001</v>
      </c>
      <c r="K411" s="7">
        <v>0.17299999999999999</v>
      </c>
      <c r="L411" s="7">
        <v>0.1736</v>
      </c>
      <c r="O411" s="7">
        <v>61.4</v>
      </c>
      <c r="P411" s="7">
        <v>519</v>
      </c>
      <c r="Q411" s="7">
        <v>756.5</v>
      </c>
      <c r="R411" s="4" t="s">
        <v>15</v>
      </c>
      <c r="S411" s="4" t="s">
        <v>15</v>
      </c>
      <c r="T411" s="4"/>
      <c r="U411" s="4" t="s">
        <v>332</v>
      </c>
      <c r="V411" s="4"/>
      <c r="W411" s="4"/>
      <c r="X411" s="4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  <c r="AT411" s="7"/>
      <c r="AU411" s="7"/>
      <c r="AV411" s="4"/>
      <c r="AW411" s="2"/>
      <c r="AX411" s="7"/>
      <c r="AY411" s="4"/>
      <c r="AZ411" s="4">
        <v>113.4</v>
      </c>
      <c r="BA411" s="2"/>
      <c r="BB411" s="2"/>
      <c r="BC411" s="10">
        <v>24.1</v>
      </c>
      <c r="BD411" s="43">
        <v>1012</v>
      </c>
      <c r="BE411" s="44">
        <v>50.2</v>
      </c>
      <c r="BF411" s="45"/>
      <c r="BG411" s="43">
        <v>2096</v>
      </c>
      <c r="BH411" s="2" t="s">
        <v>503</v>
      </c>
      <c r="BM411"/>
    </row>
    <row r="412" spans="1:65" ht="15" customHeight="1" x14ac:dyDescent="0.3">
      <c r="A412" s="2" t="s">
        <v>43</v>
      </c>
      <c r="B412" s="59" t="s">
        <v>210</v>
      </c>
      <c r="C412" s="3">
        <v>45330</v>
      </c>
      <c r="D412" s="8">
        <v>1</v>
      </c>
      <c r="E412" s="3" t="s">
        <v>524</v>
      </c>
      <c r="F412" s="2" t="s">
        <v>355</v>
      </c>
      <c r="G412" s="7">
        <v>0.18379999999999999</v>
      </c>
      <c r="H412" s="54">
        <v>3.5999999999999999E-3</v>
      </c>
      <c r="I412" s="7">
        <v>1.2144999999999999</v>
      </c>
      <c r="K412" s="7">
        <v>0.183</v>
      </c>
      <c r="L412" s="7">
        <v>0.1812</v>
      </c>
      <c r="O412" s="7">
        <v>59.9</v>
      </c>
      <c r="P412" s="7">
        <v>523</v>
      </c>
      <c r="Q412" s="7">
        <v>756.6</v>
      </c>
      <c r="R412" s="4" t="s">
        <v>15</v>
      </c>
      <c r="S412" s="4" t="s">
        <v>15</v>
      </c>
      <c r="T412" s="4"/>
      <c r="U412" s="4" t="s">
        <v>332</v>
      </c>
      <c r="V412" s="4"/>
      <c r="W412" s="4"/>
      <c r="X412" s="4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  <c r="AT412" s="7"/>
      <c r="AU412" s="7"/>
      <c r="AV412" s="4"/>
      <c r="AW412" s="2"/>
      <c r="AX412" s="7"/>
      <c r="AY412" s="4"/>
      <c r="AZ412" s="4">
        <v>113.4</v>
      </c>
      <c r="BA412" s="2"/>
      <c r="BB412" s="2"/>
      <c r="BC412" s="10">
        <v>24</v>
      </c>
      <c r="BD412" s="43">
        <v>1012.8</v>
      </c>
      <c r="BE412" s="44">
        <v>51.7</v>
      </c>
      <c r="BF412" s="45"/>
      <c r="BG412" s="43">
        <v>2096</v>
      </c>
      <c r="BH412" s="2" t="s">
        <v>509</v>
      </c>
      <c r="BM412"/>
    </row>
    <row r="413" spans="1:65" ht="15" customHeight="1" x14ac:dyDescent="0.3">
      <c r="A413" s="2" t="s">
        <v>43</v>
      </c>
      <c r="B413" s="59" t="s">
        <v>210</v>
      </c>
      <c r="C413" s="3">
        <v>45330</v>
      </c>
      <c r="D413" s="8">
        <v>4</v>
      </c>
      <c r="E413" s="3" t="s">
        <v>527</v>
      </c>
      <c r="F413" s="64" t="s">
        <v>355</v>
      </c>
      <c r="G413" s="7">
        <v>0.18</v>
      </c>
      <c r="H413" s="54">
        <v>2.8E-3</v>
      </c>
      <c r="I413" s="7">
        <v>1.2144999999999999</v>
      </c>
      <c r="K413" s="7">
        <v>0.182</v>
      </c>
      <c r="L413" s="7">
        <v>0.17879999999999999</v>
      </c>
      <c r="O413" s="7">
        <v>58.5</v>
      </c>
      <c r="P413" s="7">
        <v>503</v>
      </c>
      <c r="Q413" s="7">
        <v>756.5</v>
      </c>
      <c r="R413" s="4" t="s">
        <v>15</v>
      </c>
      <c r="S413" s="4" t="s">
        <v>15</v>
      </c>
      <c r="T413" s="4"/>
      <c r="U413" s="4" t="s">
        <v>332</v>
      </c>
      <c r="V413" s="4"/>
      <c r="W413" s="4"/>
      <c r="X413" s="4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  <c r="AT413" s="7"/>
      <c r="AU413" s="7"/>
      <c r="AV413" s="4"/>
      <c r="AW413" s="2"/>
      <c r="AX413" s="7"/>
      <c r="AY413" s="4"/>
      <c r="AZ413" s="4">
        <v>113.4</v>
      </c>
      <c r="BA413" s="2"/>
      <c r="BB413" s="2"/>
      <c r="BC413" s="10">
        <v>27.2</v>
      </c>
      <c r="BD413" s="46">
        <v>1011.3</v>
      </c>
      <c r="BE413" s="47">
        <v>58.9</v>
      </c>
      <c r="BF413" s="48"/>
      <c r="BG413" s="46">
        <v>2096</v>
      </c>
      <c r="BH413" s="2" t="s">
        <v>513</v>
      </c>
      <c r="BM413"/>
    </row>
    <row r="414" spans="1:65" ht="15" customHeight="1" x14ac:dyDescent="0.3">
      <c r="A414" s="2" t="s">
        <v>43</v>
      </c>
      <c r="B414" s="59" t="s">
        <v>79</v>
      </c>
      <c r="C414" s="3">
        <v>45264</v>
      </c>
      <c r="D414" s="8">
        <v>3</v>
      </c>
      <c r="E414" s="3" t="s">
        <v>347</v>
      </c>
      <c r="F414" s="61" t="s">
        <v>214</v>
      </c>
      <c r="G414" s="7">
        <v>0.15640000000000001</v>
      </c>
      <c r="H414" s="54">
        <v>5.7999999999999996E-3</v>
      </c>
      <c r="I414" s="7">
        <v>1.2395</v>
      </c>
      <c r="K414" s="7">
        <v>0.156</v>
      </c>
      <c r="L414" s="7">
        <v>0.15290000000000001</v>
      </c>
      <c r="O414" s="7">
        <v>61.5</v>
      </c>
      <c r="P414" s="7">
        <v>467</v>
      </c>
      <c r="Q414" s="7">
        <v>753.6</v>
      </c>
      <c r="R414" s="4" t="s">
        <v>333</v>
      </c>
      <c r="S414" s="4" t="s">
        <v>335</v>
      </c>
      <c r="T414" s="4"/>
      <c r="U414" s="4" t="s">
        <v>225</v>
      </c>
      <c r="V414" s="4" t="s">
        <v>48</v>
      </c>
      <c r="W414" s="4"/>
      <c r="X414" s="4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  <c r="AT414" s="7"/>
      <c r="AU414" s="7"/>
      <c r="AV414" s="4"/>
      <c r="AW414" s="2"/>
      <c r="AX414" s="7"/>
      <c r="AY414" s="4"/>
      <c r="AZ414" s="22">
        <v>113.4</v>
      </c>
      <c r="BA414" s="2"/>
      <c r="BB414" s="2"/>
      <c r="BC414" s="41">
        <v>24.8</v>
      </c>
      <c r="BD414" s="43">
        <v>1004</v>
      </c>
      <c r="BE414" s="44">
        <v>64</v>
      </c>
      <c r="BF414" s="45">
        <v>1.165</v>
      </c>
      <c r="BG414" s="76">
        <v>2096</v>
      </c>
      <c r="BH414" s="2"/>
      <c r="BM414"/>
    </row>
    <row r="415" spans="1:65" ht="15" customHeight="1" x14ac:dyDescent="0.3">
      <c r="A415" s="2" t="s">
        <v>43</v>
      </c>
      <c r="B415" s="59" t="s">
        <v>79</v>
      </c>
      <c r="C415" s="3">
        <v>45264</v>
      </c>
      <c r="D415" s="8">
        <v>6</v>
      </c>
      <c r="E415" s="3" t="s">
        <v>350</v>
      </c>
      <c r="F415" s="2" t="s">
        <v>214</v>
      </c>
      <c r="G415" s="7">
        <v>0.1575</v>
      </c>
      <c r="H415" s="54">
        <v>2.8999999999999998E-3</v>
      </c>
      <c r="I415" s="7">
        <v>1.2395</v>
      </c>
      <c r="K415" s="7">
        <v>0.159</v>
      </c>
      <c r="L415" s="7">
        <v>0.15229999999999999</v>
      </c>
      <c r="O415" s="7">
        <v>61</v>
      </c>
      <c r="P415" s="7">
        <v>466</v>
      </c>
      <c r="Q415" s="7">
        <v>753.8</v>
      </c>
      <c r="R415" s="4" t="s">
        <v>333</v>
      </c>
      <c r="S415" s="4" t="s">
        <v>335</v>
      </c>
      <c r="T415" s="4"/>
      <c r="U415" s="4" t="s">
        <v>225</v>
      </c>
      <c r="V415" s="4" t="s">
        <v>48</v>
      </c>
      <c r="W415" s="4"/>
      <c r="X415" s="4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  <c r="AT415" s="7"/>
      <c r="AU415" s="7"/>
      <c r="AV415" s="4"/>
      <c r="AW415" s="2"/>
      <c r="AX415" s="7"/>
      <c r="AY415" s="4"/>
      <c r="AZ415" s="22">
        <v>113.4</v>
      </c>
      <c r="BA415" s="2"/>
      <c r="BB415" s="2"/>
      <c r="BC415" s="41">
        <v>25.3</v>
      </c>
      <c r="BD415" s="43">
        <v>1004</v>
      </c>
      <c r="BE415" s="44">
        <v>61</v>
      </c>
      <c r="BF415" s="45">
        <v>1.163</v>
      </c>
      <c r="BG415" s="76">
        <v>2096</v>
      </c>
      <c r="BH415" s="2"/>
      <c r="BM415"/>
    </row>
    <row r="416" spans="1:65" ht="15" customHeight="1" x14ac:dyDescent="0.3">
      <c r="A416" s="2" t="s">
        <v>43</v>
      </c>
      <c r="B416" s="59" t="s">
        <v>79</v>
      </c>
      <c r="C416" s="3">
        <v>45197</v>
      </c>
      <c r="D416" s="8">
        <v>1</v>
      </c>
      <c r="E416" s="3"/>
      <c r="F416" s="10" t="s">
        <v>22</v>
      </c>
      <c r="H416" s="7"/>
      <c r="L416" s="7">
        <v>0.15840000000000001</v>
      </c>
      <c r="O416" s="7">
        <v>58.9</v>
      </c>
      <c r="P416" s="7">
        <v>430</v>
      </c>
      <c r="Q416" s="7">
        <v>756.7</v>
      </c>
      <c r="R416" s="4" t="s">
        <v>15</v>
      </c>
      <c r="S416" s="4" t="s">
        <v>587</v>
      </c>
      <c r="T416" s="9" t="s">
        <v>23</v>
      </c>
      <c r="U416" s="4" t="s">
        <v>332</v>
      </c>
      <c r="V416" s="9"/>
      <c r="W416" s="9" t="s">
        <v>49</v>
      </c>
      <c r="X416" s="4" t="s">
        <v>78</v>
      </c>
      <c r="Y416" s="9"/>
      <c r="Z416" s="9"/>
      <c r="AA416" s="9"/>
      <c r="AB416" s="9"/>
      <c r="AC416" s="9"/>
      <c r="AD416" s="9"/>
      <c r="AE416" s="9"/>
      <c r="AF416" s="9"/>
      <c r="AG416" s="9"/>
      <c r="AH416" s="9"/>
      <c r="AI416" s="9"/>
      <c r="AJ416" s="9"/>
      <c r="AK416" s="9"/>
      <c r="AL416" s="9"/>
      <c r="AM416" s="9"/>
      <c r="AN416" s="9"/>
      <c r="AO416" s="9"/>
      <c r="AP416" s="9"/>
      <c r="AQ416" s="9"/>
      <c r="AR416" s="9"/>
      <c r="AS416" s="9"/>
      <c r="AT416" s="9"/>
      <c r="AU416" s="9"/>
      <c r="AV416" s="9">
        <v>71.7</v>
      </c>
      <c r="AW416" s="9">
        <v>8.1999999999999993</v>
      </c>
      <c r="AX416" s="9" t="e">
        <f>[1]!Track_TT23[[#This Row],[Bike weight ]]+[1]!Track_TT23[[#This Row],[Rider weight ]]</f>
        <v>#REF!</v>
      </c>
      <c r="AY416" s="7">
        <v>200</v>
      </c>
      <c r="AZ416" s="4">
        <v>111.4</v>
      </c>
      <c r="BA416" s="4"/>
      <c r="BB416" s="4"/>
      <c r="BC416" s="12" t="s">
        <v>21</v>
      </c>
      <c r="BD416" s="14">
        <v>996</v>
      </c>
      <c r="BE416" s="73">
        <v>49</v>
      </c>
      <c r="BF416" s="15">
        <v>1.159</v>
      </c>
      <c r="BG416" s="75">
        <v>2096</v>
      </c>
      <c r="BH416" s="4"/>
      <c r="BM416"/>
    </row>
    <row r="417" spans="1:65" ht="15" customHeight="1" x14ac:dyDescent="0.3">
      <c r="A417" s="2" t="s">
        <v>43</v>
      </c>
      <c r="B417" s="59" t="s">
        <v>79</v>
      </c>
      <c r="C417" s="3">
        <v>45197</v>
      </c>
      <c r="D417" s="8">
        <v>2</v>
      </c>
      <c r="E417" s="3"/>
      <c r="F417" s="10" t="s">
        <v>22</v>
      </c>
      <c r="H417" s="7"/>
      <c r="L417" s="7">
        <v>0.15759999999999999</v>
      </c>
      <c r="O417" s="7">
        <v>58.7</v>
      </c>
      <c r="P417" s="7">
        <v>421</v>
      </c>
      <c r="Q417" s="7">
        <v>755.6</v>
      </c>
      <c r="R417" s="4" t="s">
        <v>15</v>
      </c>
      <c r="S417" s="4" t="s">
        <v>587</v>
      </c>
      <c r="T417" s="9" t="s">
        <v>23</v>
      </c>
      <c r="U417" s="4" t="s">
        <v>576</v>
      </c>
      <c r="V417" s="9"/>
      <c r="W417" s="9" t="s">
        <v>49</v>
      </c>
      <c r="X417" s="4" t="s">
        <v>78</v>
      </c>
      <c r="Y417" s="9"/>
      <c r="Z417" s="9"/>
      <c r="AA417" s="9"/>
      <c r="AB417" s="9"/>
      <c r="AC417" s="9"/>
      <c r="AD417" s="9"/>
      <c r="AE417" s="9"/>
      <c r="AF417" s="9"/>
      <c r="AG417" s="9"/>
      <c r="AH417" s="9"/>
      <c r="AI417" s="9"/>
      <c r="AJ417" s="9"/>
      <c r="AK417" s="9"/>
      <c r="AL417" s="9"/>
      <c r="AM417" s="9"/>
      <c r="AN417" s="9"/>
      <c r="AO417" s="9"/>
      <c r="AP417" s="9"/>
      <c r="AQ417" s="9"/>
      <c r="AR417" s="9"/>
      <c r="AS417" s="9"/>
      <c r="AT417" s="9"/>
      <c r="AU417" s="9"/>
      <c r="AV417" s="9">
        <v>65.8</v>
      </c>
      <c r="AW417" s="9">
        <v>8</v>
      </c>
      <c r="AX417" s="9" t="e">
        <f>[1]!Track_TT23[[#This Row],[Bike weight ]]+[1]!Track_TT23[[#This Row],[Rider weight ]]</f>
        <v>#REF!</v>
      </c>
      <c r="AY417" s="7">
        <v>200</v>
      </c>
      <c r="AZ417" s="4">
        <v>111.4</v>
      </c>
      <c r="BA417" s="4"/>
      <c r="BB417" s="4"/>
      <c r="BC417" s="12" t="s">
        <v>20</v>
      </c>
      <c r="BD417" s="14">
        <v>997</v>
      </c>
      <c r="BE417" s="73">
        <v>49</v>
      </c>
      <c r="BF417" s="15">
        <v>1.1599999999999999</v>
      </c>
      <c r="BG417" s="75">
        <v>2096</v>
      </c>
      <c r="BH417" s="4"/>
      <c r="BM417"/>
    </row>
    <row r="418" spans="1:65" ht="15" customHeight="1" x14ac:dyDescent="0.3">
      <c r="A418" s="2" t="s">
        <v>43</v>
      </c>
      <c r="B418" s="59" t="s">
        <v>79</v>
      </c>
      <c r="C418" s="3">
        <v>45197</v>
      </c>
      <c r="D418" s="8">
        <v>3</v>
      </c>
      <c r="E418" s="3"/>
      <c r="F418" s="65" t="s">
        <v>22</v>
      </c>
      <c r="H418" s="7"/>
      <c r="L418" s="7">
        <v>0.15540000000000001</v>
      </c>
      <c r="O418" s="7">
        <v>59.6</v>
      </c>
      <c r="P418" s="7">
        <v>424</v>
      </c>
      <c r="Q418" s="7">
        <v>756.2</v>
      </c>
      <c r="R418" s="4" t="s">
        <v>15</v>
      </c>
      <c r="S418" s="4" t="s">
        <v>587</v>
      </c>
      <c r="T418" s="9" t="s">
        <v>23</v>
      </c>
      <c r="U418" s="4" t="s">
        <v>225</v>
      </c>
      <c r="V418" s="9"/>
      <c r="W418" s="9" t="s">
        <v>49</v>
      </c>
      <c r="X418" s="4" t="s">
        <v>78</v>
      </c>
      <c r="Y418" s="9"/>
      <c r="Z418" s="9"/>
      <c r="AA418" s="9"/>
      <c r="AB418" s="9"/>
      <c r="AC418" s="9"/>
      <c r="AD418" s="9"/>
      <c r="AE418" s="9"/>
      <c r="AF418" s="9"/>
      <c r="AG418" s="9"/>
      <c r="AH418" s="9"/>
      <c r="AI418" s="9"/>
      <c r="AJ418" s="9"/>
      <c r="AK418" s="9"/>
      <c r="AL418" s="9"/>
      <c r="AM418" s="9"/>
      <c r="AN418" s="9"/>
      <c r="AO418" s="9"/>
      <c r="AP418" s="9"/>
      <c r="AQ418" s="9"/>
      <c r="AR418" s="9"/>
      <c r="AS418" s="9"/>
      <c r="AT418" s="9"/>
      <c r="AU418" s="9"/>
      <c r="AV418" s="9">
        <v>63.6</v>
      </c>
      <c r="AW418" s="9">
        <v>8.1999999999999993</v>
      </c>
      <c r="AX418" s="9"/>
      <c r="AY418" s="7">
        <v>200</v>
      </c>
      <c r="AZ418" s="4">
        <v>109.7</v>
      </c>
      <c r="BA418" s="4"/>
      <c r="BB418" s="4"/>
      <c r="BC418" s="16">
        <v>24.6</v>
      </c>
      <c r="BD418" s="17">
        <v>997</v>
      </c>
      <c r="BE418" s="17">
        <v>47</v>
      </c>
      <c r="BF418" s="15"/>
      <c r="BG418" s="75">
        <v>2096</v>
      </c>
      <c r="BH418" s="13" t="s">
        <v>82</v>
      </c>
      <c r="BM418"/>
    </row>
    <row r="419" spans="1:65" ht="15" customHeight="1" x14ac:dyDescent="0.3">
      <c r="A419" s="2" t="s">
        <v>43</v>
      </c>
      <c r="B419" s="59" t="s">
        <v>79</v>
      </c>
      <c r="C419" s="3">
        <v>45197</v>
      </c>
      <c r="D419" s="8">
        <v>4</v>
      </c>
      <c r="E419" s="3"/>
      <c r="F419" s="10" t="s">
        <v>22</v>
      </c>
      <c r="H419" s="7"/>
      <c r="L419" s="7">
        <v>0.1575</v>
      </c>
      <c r="O419" s="7">
        <v>60.4</v>
      </c>
      <c r="P419" s="7">
        <v>442</v>
      </c>
      <c r="Q419" s="7">
        <v>756.3</v>
      </c>
      <c r="R419" s="4" t="s">
        <v>15</v>
      </c>
      <c r="S419" s="4" t="s">
        <v>587</v>
      </c>
      <c r="T419" s="9" t="s">
        <v>23</v>
      </c>
      <c r="U419" s="4" t="s">
        <v>332</v>
      </c>
      <c r="V419" s="9"/>
      <c r="W419" s="9" t="s">
        <v>49</v>
      </c>
      <c r="X419" s="4" t="s">
        <v>78</v>
      </c>
      <c r="Y419" s="9"/>
      <c r="Z419" s="9"/>
      <c r="AA419" s="9"/>
      <c r="AB419" s="9"/>
      <c r="AC419" s="9"/>
      <c r="AD419" s="9"/>
      <c r="AE419" s="9"/>
      <c r="AF419" s="9"/>
      <c r="AG419" s="9"/>
      <c r="AH419" s="9"/>
      <c r="AI419" s="9"/>
      <c r="AJ419" s="9"/>
      <c r="AK419" s="9"/>
      <c r="AL419" s="9"/>
      <c r="AM419" s="9"/>
      <c r="AN419" s="9"/>
      <c r="AO419" s="9"/>
      <c r="AP419" s="9"/>
      <c r="AQ419" s="9"/>
      <c r="AR419" s="9"/>
      <c r="AS419" s="9"/>
      <c r="AT419" s="9"/>
      <c r="AU419" s="9"/>
      <c r="AV419" s="9">
        <v>71.599999999999994</v>
      </c>
      <c r="AW419" s="9">
        <v>8.1999999999999993</v>
      </c>
      <c r="AX419" s="9" t="e">
        <f>[1]!Track_TT23[[#This Row],[Bike weight ]]+[1]!Track_TT23[[#This Row],[Rider weight ]]</f>
        <v>#REF!</v>
      </c>
      <c r="AY419" s="7">
        <v>200</v>
      </c>
      <c r="AZ419" s="4">
        <v>111.4</v>
      </c>
      <c r="BA419" s="4"/>
      <c r="BB419" s="4"/>
      <c r="BC419" s="12" t="s">
        <v>18</v>
      </c>
      <c r="BD419" s="14">
        <v>996</v>
      </c>
      <c r="BE419" s="73">
        <v>47</v>
      </c>
      <c r="BF419" s="15">
        <v>1.1579999999999999</v>
      </c>
      <c r="BG419" s="75">
        <v>2096</v>
      </c>
      <c r="BH419" s="4"/>
      <c r="BM419"/>
    </row>
    <row r="420" spans="1:65" ht="15" customHeight="1" x14ac:dyDescent="0.3">
      <c r="A420" s="2" t="s">
        <v>43</v>
      </c>
      <c r="B420" s="59" t="s">
        <v>79</v>
      </c>
      <c r="C420" s="3">
        <v>45197</v>
      </c>
      <c r="D420" s="8">
        <v>5</v>
      </c>
      <c r="E420" s="3"/>
      <c r="F420" s="10" t="s">
        <v>22</v>
      </c>
      <c r="H420" s="7"/>
      <c r="L420" s="7">
        <v>0.15909999999999999</v>
      </c>
      <c r="O420" s="7">
        <v>60</v>
      </c>
      <c r="P420" s="7">
        <v>436</v>
      </c>
      <c r="Q420" s="7">
        <v>756.1</v>
      </c>
      <c r="R420" s="4" t="s">
        <v>15</v>
      </c>
      <c r="S420" s="4" t="s">
        <v>587</v>
      </c>
      <c r="T420" s="9" t="s">
        <v>23</v>
      </c>
      <c r="U420" s="4" t="s">
        <v>576</v>
      </c>
      <c r="V420" s="9"/>
      <c r="W420" s="9" t="s">
        <v>49</v>
      </c>
      <c r="X420" s="4" t="s">
        <v>78</v>
      </c>
      <c r="Y420" s="9"/>
      <c r="Z420" s="9"/>
      <c r="AA420" s="9"/>
      <c r="AB420" s="9"/>
      <c r="AC420" s="9"/>
      <c r="AD420" s="9"/>
      <c r="AE420" s="9"/>
      <c r="AF420" s="9"/>
      <c r="AG420" s="9"/>
      <c r="AH420" s="9"/>
      <c r="AI420" s="9"/>
      <c r="AJ420" s="9"/>
      <c r="AK420" s="9"/>
      <c r="AL420" s="9"/>
      <c r="AM420" s="9"/>
      <c r="AN420" s="9"/>
      <c r="AO420" s="9"/>
      <c r="AP420" s="9"/>
      <c r="AQ420" s="9"/>
      <c r="AR420" s="9"/>
      <c r="AS420" s="9"/>
      <c r="AT420" s="9"/>
      <c r="AU420" s="9"/>
      <c r="AV420" s="9">
        <v>65.7</v>
      </c>
      <c r="AW420" s="9">
        <v>8</v>
      </c>
      <c r="AX420" s="9" t="e">
        <f>[1]!Track_TT23[[#This Row],[Bike weight ]]+[1]!Track_TT23[[#This Row],[Rider weight ]]</f>
        <v>#REF!</v>
      </c>
      <c r="AY420" s="7">
        <v>200</v>
      </c>
      <c r="AZ420" s="4">
        <v>111.4</v>
      </c>
      <c r="BA420" s="4"/>
      <c r="BB420" s="4"/>
      <c r="BC420" s="12" t="s">
        <v>18</v>
      </c>
      <c r="BD420" s="14">
        <v>996</v>
      </c>
      <c r="BE420" s="73">
        <v>47</v>
      </c>
      <c r="BF420" s="15">
        <v>1.159</v>
      </c>
      <c r="BG420" s="75">
        <v>2096</v>
      </c>
      <c r="BH420" s="4"/>
      <c r="BM420"/>
    </row>
    <row r="421" spans="1:65" ht="15" customHeight="1" x14ac:dyDescent="0.3">
      <c r="A421" s="2" t="s">
        <v>43</v>
      </c>
      <c r="B421" s="59" t="s">
        <v>79</v>
      </c>
      <c r="C421" s="3">
        <v>45197</v>
      </c>
      <c r="D421" s="8">
        <v>6</v>
      </c>
      <c r="E421" s="3"/>
      <c r="F421" s="10" t="s">
        <v>22</v>
      </c>
      <c r="H421" s="7"/>
      <c r="L421" s="7">
        <v>0.15659999999999999</v>
      </c>
      <c r="O421" s="7">
        <v>59.3</v>
      </c>
      <c r="P421" s="7">
        <v>419</v>
      </c>
      <c r="Q421" s="7">
        <v>756.3</v>
      </c>
      <c r="R421" s="4" t="s">
        <v>15</v>
      </c>
      <c r="S421" s="4" t="s">
        <v>587</v>
      </c>
      <c r="T421" s="9" t="s">
        <v>23</v>
      </c>
      <c r="U421" s="4" t="s">
        <v>225</v>
      </c>
      <c r="V421" s="9"/>
      <c r="W421" s="9" t="s">
        <v>49</v>
      </c>
      <c r="X421" s="4" t="s">
        <v>78</v>
      </c>
      <c r="Y421" s="9"/>
      <c r="Z421" s="9"/>
      <c r="AA421" s="9"/>
      <c r="AB421" s="9"/>
      <c r="AC421" s="9"/>
      <c r="AD421" s="9"/>
      <c r="AE421" s="9"/>
      <c r="AF421" s="9"/>
      <c r="AG421" s="9"/>
      <c r="AH421" s="9"/>
      <c r="AI421" s="9"/>
      <c r="AJ421" s="9"/>
      <c r="AK421" s="9"/>
      <c r="AL421" s="9"/>
      <c r="AM421" s="9"/>
      <c r="AN421" s="9"/>
      <c r="AO421" s="9"/>
      <c r="AP421" s="9"/>
      <c r="AQ421" s="9"/>
      <c r="AR421" s="9"/>
      <c r="AS421" s="9"/>
      <c r="AT421" s="9"/>
      <c r="AU421" s="9"/>
      <c r="AV421" s="9">
        <v>63.5</v>
      </c>
      <c r="AW421" s="9">
        <v>8.1999999999999993</v>
      </c>
      <c r="AX421" s="9"/>
      <c r="AY421" s="7">
        <v>200</v>
      </c>
      <c r="AZ421" s="4">
        <v>109.7</v>
      </c>
      <c r="BA421" s="4"/>
      <c r="BB421" s="4"/>
      <c r="BC421" s="16">
        <v>24.7</v>
      </c>
      <c r="BD421" s="17">
        <v>997</v>
      </c>
      <c r="BE421" s="17">
        <v>47</v>
      </c>
      <c r="BF421" s="15"/>
      <c r="BG421" s="75">
        <v>2096</v>
      </c>
      <c r="BH421" s="13" t="s">
        <v>83</v>
      </c>
      <c r="BM421"/>
    </row>
  </sheetData>
  <phoneticPr fontId="6" type="noConversion"/>
  <hyperlinks>
    <hyperlink ref="E397" r:id="rId1" xr:uid="{6596E01C-9682-4904-A1BC-CD3834CCD465}"/>
    <hyperlink ref="E14" r:id="rId2" xr:uid="{F14812B7-86E1-4BAB-8679-1BED4C4AA90E}"/>
    <hyperlink ref="E124" r:id="rId3" xr:uid="{C20FA2C3-3FB6-4D0D-A526-E90340385B15}"/>
  </hyperlinks>
  <pageMargins left="0.7" right="0.7" top="0.75" bottom="0.75" header="0.3" footer="0.3"/>
  <pageSetup paperSize="9" orientation="portrait"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F1ECC6B2649324CB24C079D2C04510D" ma:contentTypeVersion="17" ma:contentTypeDescription="Create a new document." ma:contentTypeScope="" ma:versionID="608b5d954c2eb0ac10393708da8d34af">
  <xsd:schema xmlns:xsd="http://www.w3.org/2001/XMLSchema" xmlns:xs="http://www.w3.org/2001/XMLSchema" xmlns:p="http://schemas.microsoft.com/office/2006/metadata/properties" xmlns:ns2="65551c38-962b-4cee-924d-ef2df1bb8b98" xmlns:ns3="ec750ee3-7d64-422f-9b1f-0ca7238893a8" targetNamespace="http://schemas.microsoft.com/office/2006/metadata/properties" ma:root="true" ma:fieldsID="af171f03bd4cf151e3e856a6839c0cc7" ns2:_="" ns3:_="">
    <xsd:import namespace="65551c38-962b-4cee-924d-ef2df1bb8b98"/>
    <xsd:import namespace="ec750ee3-7d64-422f-9b1f-0ca7238893a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3:SharedWithUsers" minOccurs="0"/>
                <xsd:element ref="ns3:SharedWithDetails" minOccurs="0"/>
                <xsd:element ref="ns2:Campaign" minOccurs="0"/>
                <xsd:element ref="ns2:Year" minOccurs="0"/>
                <xsd:element ref="ns2:Squad" minOccurs="0"/>
                <xsd:element ref="ns2:MediaLengthInSecond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5551c38-962b-4cee-924d-ef2df1bb8b9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4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5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Campaign" ma:index="19" nillable="true" ma:displayName="Campaign" ma:description="What is the major Campaign that the document relates to?" ma:format="Dropdown" ma:internalName="Campaign">
      <xsd:simpleType>
        <xsd:restriction base="dms:Text">
          <xsd:maxLength value="255"/>
        </xsd:restriction>
      </xsd:simpleType>
    </xsd:element>
    <xsd:element name="Year" ma:index="20" nillable="true" ma:displayName="Year" ma:description="The year in which the document refers to." ma:format="Dropdown" ma:internalName="Year">
      <xsd:simpleType>
        <xsd:restriction base="dms:Text">
          <xsd:maxLength value="255"/>
        </xsd:restriction>
      </xsd:simpleType>
    </xsd:element>
    <xsd:element name="Squad" ma:index="21" nillable="true" ma:displayName="Squad" ma:format="Dropdown" ma:internalName="Squad">
      <xsd:simpleType>
        <xsd:restriction base="dms:Choice">
          <xsd:enumeration value="Elite"/>
          <xsd:enumeration value="Elite Development"/>
        </xsd:restriction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c750ee3-7d64-422f-9b1f-0ca7238893a8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ampaign xmlns="65551c38-962b-4cee-924d-ef2df1bb8b98" xsi:nil="true"/>
    <Year xmlns="65551c38-962b-4cee-924d-ef2df1bb8b98" xsi:nil="true"/>
    <Squad xmlns="65551c38-962b-4cee-924d-ef2df1bb8b9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DCC068A-FED0-450E-AAE1-E4245F13E99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5551c38-962b-4cee-924d-ef2df1bb8b98"/>
    <ds:schemaRef ds:uri="ec750ee3-7d64-422f-9b1f-0ca7238893a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2E8B3F5-660B-4A23-B643-F4910670CCFF}">
  <ds:schemaRefs>
    <ds:schemaRef ds:uri="http://purl.org/dc/dcmitype/"/>
    <ds:schemaRef ds:uri="http://purl.org/dc/elements/1.1/"/>
    <ds:schemaRef ds:uri="65551c38-962b-4cee-924d-ef2df1bb8b98"/>
    <ds:schemaRef ds:uri="http://www.w3.org/XML/1998/namespac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ec750ee3-7d64-422f-9b1f-0ca7238893a8"/>
    <ds:schemaRef ds:uri="http://schemas.microsoft.com/office/2006/metadata/propertie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2AA00597-2AFA-4BE4-9EEA-BCD198E427C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CdA Track Testing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Shem Rodger</dc:creator>
  <cp:keywords/>
  <dc:description/>
  <cp:lastModifiedBy>Sam Bremer</cp:lastModifiedBy>
  <cp:revision/>
  <dcterms:created xsi:type="dcterms:W3CDTF">2021-03-14T20:41:43Z</dcterms:created>
  <dcterms:modified xsi:type="dcterms:W3CDTF">2024-02-28T01:02:31Z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0x0101004F1ECC6B2649324CB24C079D2C04510D</vt:lpwstr>
  </property>
  <property fmtid="{D5CDD505-2E9C-101B-9397-08002B2CF9AE}" pid="3" name="Squad">
    <vt:lpwstr/>
  </property>
  <property fmtid="{D5CDD505-2E9C-101B-9397-08002B2CF9AE}" pid="4" name="Athlete">
    <vt:lpwstr/>
  </property>
</Properties>
</file>