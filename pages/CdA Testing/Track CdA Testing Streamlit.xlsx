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5467FA80-78E0-4BDF-87E5-BE3A84591AF9}" xr6:coauthVersionLast="47" xr6:coauthVersionMax="47" xr10:uidLastSave="{00000000-0000-0000-0000-000000000000}"/>
  <bookViews>
    <workbookView minimized="1" xWindow="15" yWindow="1005" windowWidth="19185" windowHeight="10995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2" i="12" l="1"/>
  <c r="R341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<sst xmlns="http://schemas.openxmlformats.org/spreadsheetml/2006/main" count="3893" uniqueCount="666">
  <si>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</si>
  <si>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</si>
  <si>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</si>
  <si>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</si>
  <si>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</si>
  <si>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</si>
  <si>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</si>
  <si>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</si>
  <si>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</si>
  <si>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</si>
  <si>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</si>
  <si>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</si>
  <si>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</si>
  <si>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</si>
  <si>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</si>
  <si>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</si>
  <si>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</si>
  <si>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</si>
  <si>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</si>
  <si>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</si>
  <si>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</si>
  <si>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</si>
  <si>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</si>
  <si>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</si>
  <si>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</si>
  <si>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</si>
  <si>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</si>
  <si>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</si>
  <si>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</si>
  <si>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</si>
  <si>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</si>
  <si>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</si>
  <si>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</si>
  <si>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</si>
  <si>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</si>
  <si>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</si>
  <si>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</si>
  <si>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</si>
  <si>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</si>
  <si>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</si>
  <si>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</si>
  <si>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</si>
  <si>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</si>
  <si>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</si>
  <si>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</si>
  <si>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</si>
  <si>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</si>
  <si>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</si>
  <si>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</si>
  <si>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</si>
  <si>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</si>
  <si>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</si>
  <si>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</si>
  <si>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</si>
  <si>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</si>
  <si>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</si>
  <si>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</si>
  <si>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</si>
  <si>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</si>
  <si>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</si>
  <si>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</si>
  <si>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</si>
  <si>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</si>
  <si>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</si>
  <si>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</si>
  <si>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</si>
  <si>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</si>
  <si>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</si>
  <si>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</si>
  <si>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</si>
  <si>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</si>
  <si>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</si>
  <si>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</si>
  <si>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</si>
  <si>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</si>
  <si>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</si>
  <si>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</si>
  <si>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</si>
  <si>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</si>
  <si>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</si>
  <si>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</si>
  <si>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</si>
  <si>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</si>
  <si>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</si>
  <si>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</si>
  <si>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</si>
  <si>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</si>
  <si>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</si>
  <si>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</si>
  <si>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</si>
  <si>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</si>
  <si>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</si>
  <si>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</si>
  <si>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</si>
  <si>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</si>
  <si>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</si>
  <si>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</si>
  <si>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</si>
  <si>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</si>
  <si>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</si>
  <si>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</si>
  <si>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</si>
  <si>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</si>
  <si>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</si>
  <si>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</si>
  <si>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</si>
  <si>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</si>
  <si>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</si>
  <si>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</si>
  <si>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</si>
  <si>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</si>
  <si>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</si>
  <si>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</si>
  <si>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</si>
  <si>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</si>
  <si>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</si>
  <si>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</si>
  <si>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</si>
  <si>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</si>
  <si>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</si>
  <si>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</si>
  <si>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</si>
  <si>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</si>
  <si>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</si>
  <si>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</si>
  <si>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</si>
  <si>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</si>
  <si>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</si>
  <si>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</si>
  <si>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</si>
  <si>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</si>
  <si>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</si>
  <si>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</si>
  <si>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</si>
  <si>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</si>
  <si>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</si>
  <si>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</si>
  <si>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</si>
  <si>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</si>
  <si>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</si>
  <si>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</si>
  <si>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</si>
  <si>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</si>
  <si>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</si>
  <si>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</si>
  <si>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</si>
  <si>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</si>
  <si>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</si>
  <si>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</si>
  <si>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</si>
  <si>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</si>
  <si>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</si>
  <si>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</si>
  <si>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</si>
  <si>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</si>
  <si>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</si>
  <si>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</si>
  <si>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</si>
  <si>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</si>
  <si>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</si>
  <si>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</si>
  <si>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</si>
  <si>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</si>
  <si>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</si>
  <si>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</si>
  <si>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</si>
  <si>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</si>
  <si>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</si>
  <si>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</si>
  <si>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</si>
  <si>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</si>
  <si>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</si>
  <si>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</si>
  <si>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</si>
  <si>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</si>
  <si>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</si>
  <si>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</si>
  <si>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</si>
  <si>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</si>
  <si>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</si>
  <si>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</si>
  <si>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</si>
  <si>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</si>
  <si>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</si>
  <si>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</si>
  <si>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</si>
  <si>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</si>
  <si>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</si>
  <si>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</si>
  <si>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</si>
  <si>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</si>
  <si>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</si>
  <si>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</si>
  <si>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</si>
  <si>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</si>
  <si>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</si>
  <si>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</si>
  <si>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</si>
  <si>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</si>
  <si>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</si>
  <si>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</si>
  <si>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</si>
  <si>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</si>
  <si>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</si>
  <si>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</si>
  <si>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</si>
  <si>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</si>
  <si>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</si>
  <si>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</si>
  <si>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</si>
  <si>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</si>
  <si>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</si>
  <si>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</si>
  <si>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</si>
  <si>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</si>
  <si>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</si>
  <si>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</si>
  <si>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</si>
  <si>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</si>
  <si>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</si>
  <si>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</si>
  <si>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</si>
  <si>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</si>
  <si>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</si>
  <si>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</si>
  <si>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</si>
  <si>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</si>
  <si>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</si>
  <si>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</si>
  <si>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</si>
  <si>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</si>
  <si>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</si>
  <si>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</si>
  <si>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</si>
  <si>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</si>
  <si>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</si>
  <si>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</si>
  <si>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</si>
  <si>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</si>
  <si>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</si>
  <si>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</si>
  <si>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</si>
  <si>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</si>
  <si>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</si>
  <si>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</si>
  <si>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</si>
  <si>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</si>
  <si>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</si>
  <si>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</si>
  <si>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</si>
  <si>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</si>
  <si>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</si>
  <si>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</si>
  <si>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</si>
  <si>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</si>
  <si>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</si>
  <si>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</si>
  <si>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</si>
  <si>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</si>
  <si>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</si>
  <si>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</si>
  <si>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</si>
  <si>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</si>
  <si>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</si>
  <si>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</si>
  <si>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</si>
  <si>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</si>
  <si>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</si>
  <si>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</si>
  <si>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</si>
  <si>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</si>
  <si>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</si>
  <si>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</si>
  <si>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</si>
  <si>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</si>
  <si>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</si>
  <si>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</si>
  <si>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</si>
  <si>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</si>
  <si>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</si>
  <si>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</si>
  <si>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</si>
  <si>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</si>
  <si>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</si>
  <si>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</si>
  <si>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</si>
  <si>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</si>
  <si>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</si>
  <si>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</si>
  <si>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</si>
  <si>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</si>
  <si>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</si>
  <si>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</si>
  <si>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</si>
  <si>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</si>
  <si>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</si>
  <si>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</si>
  <si>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</si>
  <si>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</si>
  <si>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</si>
  <si>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</si>
  <si>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</si>
  <si>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</si>
  <si>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</si>
  <si>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</si>
  <si>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</si>
  <si>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</si>
  <si>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</si>
  <si>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</si>
  <si>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</si>
  <si>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</si>
  <si>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</si>
  <si>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</si>
  <si>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</si>
  <si>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</si>
  <si>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</si>
  <si>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</si>
  <si>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</si>
  <si>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</si>
  <si>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</si>
  <si>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</si>
  <si>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</si>
  <si>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</si>
  <si>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</si>
  <si>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</si>
  <si>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</si>
  <si>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</si>
  <si>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</si>
  <si>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</si>
  <si>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</si>
  <si>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</si>
  <si>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</si>
  <si>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</si>
  <si>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</si>
  <si>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</si>
  <si>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</si>
  <si>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</si>
  <si>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</si>
  <si>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</si>
  <si>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</si>
  <si>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</si>
  <si>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</si>
  <si>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</si>
  <si>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</si>
  <si>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</si>
  <si>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</si>
  <si>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</si>
  <si>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</si>
  <si>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</si>
  <si>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</si>
  <si>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</si>
  <si>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</si>
  <si>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</si>
  <si>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</si>
  <si>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</si>
  <si>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</si>
  <si>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</si>
  <si>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</si>
  <si>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</si>
  <si>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</si>
  <si>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</si>
  <si>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</si>
  <si>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</si>
  <si>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</si>
  <si>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</si>
  <si>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</si>
  <si>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</si>
  <si>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</si>
  <si>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</si>
  <si>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</si>
  <si>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</si>
  <si>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</si>
  <si>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</si>
  <si>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</si>
  <si>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</si>
  <si>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</si>
  <si>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</si>
  <si>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</si>
  <si>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</si>
  <si>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</si>
  <si>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</si>
  <si>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</si>
  <si>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</si>
  <si>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</si>
  <si>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</si>
  <si>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</si>
  <si>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</si>
  <si>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</si>
  <si>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</si>
  <si>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</si>
  <si>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</si>
  <si>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</si>
  <si>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</si>
  <si>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</si>
  <si>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</si>
  <si>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</si>
  <si>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</si>
  <si>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</si>
  <si>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</si>
  <si>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</si>
  <si>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</si>
  <si>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</si>
  <si>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</si>
  <si>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</si>
  <si>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</si>
  <si>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</si>
  <si>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</si>
  <si>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</si>
  <si>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</si>
  <si>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</si>
  <si>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</si>
  <si>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</si>
  <si>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</si>
  <si>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</si>
  <si>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</si>
  <si>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</si>
  <si>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</si>
  <si>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</si>
  <si>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</si>
  <si>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</si>
  <si>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</si>
  <si>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</si>
  <si>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</si>
  <si>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</si>
  <si>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</si>
  <si>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</si>
  <si>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</si>
  <si>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</si>
  <si>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</si>
  <si>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</si>
  <si>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</si>
  <si>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</si>
  <si>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</si>
  <si>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</si>
  <si>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</si>
  <si>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</si>
  <si>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</si>
  <si>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</si>
  <si>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</si>
  <si>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</si>
  <si>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</si>
  <si>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</si>
  <si>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</si>
  <si>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</si>
  <si>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</si>
  <si>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</si>
  <si>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</si>
  <si>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</si>
  <si>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</si>
  <si>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</si>
  <si>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</si>
  <si>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</si>
  <si>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</si>
  <si>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</si>
  <si>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</si>
  <si>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</si>
  <si>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</si>
  <si>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</si>
  <si>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</si>
  <si>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</si>
  <si>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</si>
  <si>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</si>
  <si>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</si>
  <si>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</si>
  <si>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</si>
  <si>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</si>
  <si>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</si>
  <si>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</si>
  <si>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</si>
  <si>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</si>
  <si>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</si>
  <si>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</si>
  <si>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</si>
  <si>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</si>
  <si>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</si>
  <si>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</si>
  <si>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</si>
  <si>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</si>
  <si>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</si>
  <si>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</si>
  <si>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</si>
  <si>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</si>
  <si>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</si>
  <si>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</si>
  <si>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</si>
  <si>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</si>
  <si>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</si>
  <si>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</si>
  <si>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</si>
  <si>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</si>
  <si>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</si>
  <si>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</si>
  <si>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</si>
  <si>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</si>
  <si>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</si>
  <si>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</si>
  <si>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</si>
  <si>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</si>
  <si>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</si>
  <si>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</si>
  <si>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</si>
  <si>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</si>
  <si>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</si>
  <si>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</si>
  <si>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</si>
  <si>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</si>
  <si>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</si>
  <si>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</si>
  <si>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</si>
  <si>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</si>
  <si>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</si>
  <si>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</si>
  <si>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</si>
  <si>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</si>
  <si>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</si>
  <si>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</si>
  <si>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</si>
  <si>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</si>
  <si>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</si>
  <si>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</si>
  <si>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</si>
  <si>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</si>
  <si>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</si>
  <si>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</si>
  <si>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</si>
  <si>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</si>
  <si>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</si>
  <si>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</si>
  <si>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</si>
  <si>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</si>
  <si>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</si>
  <si>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</si>
  <si>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</si>
  <si>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</si>
  <si>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</si>
  <si>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</si>
  <si>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</si>
  <si>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</si>
  <si>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</si>
  <si>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</si>
  <si>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</si>
  <si>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</si>
  <si>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</si>
  <si>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</si>
  <si>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</si>
  <si>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</si>
  <si>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</si>
  <si>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</si>
  <si>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</si>
  <si>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</si>
  <si>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</si>
  <si>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</si>
  <si>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</si>
  <si>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</si>
  <si>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</si>
  <si>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</si>
  <si>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</si>
  <si>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</si>
  <si>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</si>
  <si>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</si>
  <si>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</si>
  <si>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</si>
  <si>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</si>
  <si>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</si>
  <si>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</si>
  <si>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</si>
  <si>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</si>
  <si>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</si>
  <si>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</si>
  <si>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</si>
  <si>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</si>
  <si>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</si>
  <si>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</si>
  <si>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</si>
  <si>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</si>
  <si>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</si>
  <si>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</si>
  <si>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</si>
  <si>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</si>
  <si>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</si>
  <si>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</si>
  <si>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</si>
  <si>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</si>
  <si>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FW - B +10mm</t>
  </si>
  <si>
    <t>None</t>
  </si>
  <si>
    <t>CdA - GM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</si>
  <si>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</si>
  <si>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</si>
  <si>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</si>
  <si>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</si>
  <si>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</si>
  <si>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</si>
  <si>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</si>
  <si>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</si>
  <si>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</si>
  <si>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</si>
  <si>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</si>
  <si>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</si>
  <si>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</si>
  <si>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</si>
  <si>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</si>
  <si>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</si>
  <si>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</si>
  <si>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</si>
  <si>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</si>
  <si>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</si>
  <si>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</si>
  <si>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</si>
  <si>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</si>
  <si>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</si>
  <si>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</si>
  <si>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</si>
  <si>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</si>
  <si>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</si>
  <si>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</si>
  <si>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</si>
  <si>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</si>
  <si>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</si>
  <si>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</si>
  <si>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</si>
  <si>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</si>
  <si>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</si>
  <si>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</si>
  <si>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</si>
  <si>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</si>
  <si>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</si>
  <si>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</si>
  <si>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</si>
  <si>
    <t>Sprint</t>
  </si>
  <si>
    <t>Sam Dakin</t>
  </si>
  <si>
    <t>Rebecca Petch</t>
  </si>
  <si>
    <t>Olivia King</t>
  </si>
  <si>
    <t>Shaane Fulton</t>
  </si>
  <si>
    <t>No undershirt</t>
  </si>
  <si>
    <t>Undershirt</t>
  </si>
  <si>
    <t>ImpSport</t>
  </si>
  <si>
    <t>https://youtu.be/Tm55Q0Z7lTY</t>
  </si>
  <si>
    <t>https://youtu.be/7IxSf81pmKk</t>
  </si>
  <si>
    <t>https://youtu.be/zr4iTJpofDs</t>
  </si>
  <si>
    <t>https://youtu.be/1QharRGYKl8</t>
  </si>
  <si>
    <t>https://youtu.be/5nzGR1qW9oQ</t>
  </si>
  <si>
    <t>https://youtu.be/V7UzDJsIToo</t>
  </si>
  <si>
    <t>https://youtu.be/8RbjqVWBJ7U</t>
  </si>
  <si>
    <t>https://youtu.be/zbuH3HLxEyI</t>
  </si>
  <si>
    <t>https://youtu.be/l0jTige5c8Q</t>
  </si>
  <si>
    <t>https://youtu.be/MDWRcf3T2RM</t>
  </si>
  <si>
    <t>https://youtu.be/Gpimn50EVQg</t>
  </si>
  <si>
    <t>https://youtu.be/u-tDLHyqAcU</t>
  </si>
  <si>
    <t>https://youtu.be/8j2DO97oJzw</t>
  </si>
  <si>
    <t>https://youtu.be/dEESiNgApDk</t>
  </si>
  <si>
    <t>https://youtu.be/0022t1lU2bY</t>
  </si>
  <si>
    <t>https://youtu.be/sNw6bftJbHQ</t>
  </si>
  <si>
    <t>https://youtu.be/jFcLDGfHqmM</t>
  </si>
  <si>
    <t>https://youtu.be/J4odUNtd08c</t>
  </si>
  <si>
    <t>https://youtu.be/qEKv3gvECd8</t>
  </si>
  <si>
    <t>https://youtu.be/l5NzvuzbDCQ</t>
  </si>
  <si>
    <t>https://youtu.be/4OTX8yorhks</t>
  </si>
  <si>
    <t>https://youtu.be/W3Yx8SH2na0</t>
  </si>
  <si>
    <t>https://youtu.be/HQx_hy7Vd5c</t>
  </si>
  <si>
    <t>https://youtu.be/aajyGxQ6UMg</t>
  </si>
  <si>
    <t>https://youtu.be/751O7nXMSZo</t>
  </si>
  <si>
    <t>https://youtu.be/WDSqiLucKDY</t>
  </si>
  <si>
    <t>https://youtu.be/ZIGl7AtFRJA</t>
  </si>
  <si>
    <t>https://youtu.be/KTD5bQbm2zA</t>
  </si>
  <si>
    <t>https://youtu.be/8FdBT4m6gAU</t>
  </si>
  <si>
    <t>https://youtu.be/RPw-oaPsoiI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</si>
</sst>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vertical="top" wrapText="1"/>
    </xf>
    <xf numFmtId="14" fontId="14" fillId="0" borderId="0" xfId="0" applyNumberFormat="1" applyFont="1" applyAlignment="1">
      <alignment horizontal="left" vertical="top" wrapText="1"/>
    </xf>
    <xf numFmtId="1" fontId="14" fillId="0" borderId="0" xfId="0" applyNumberFormat="1" applyFont="1" applyAlignment="1">
      <alignment horizontal="center" vertical="center" wrapText="1"/>
    </xf>
    <xf numFmtId="0" fontId="15" fillId="3" borderId="2" xfId="0" applyFont="1" applyFill="1" applyBorder="1" applyAlignment="1">
      <alignment horizontal="left" vertical="top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3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left" vertical="top" wrapText="1"/>
    </xf>
    <xf numFmtId="0" fontId="14" fillId="0" borderId="0" xfId="0" applyFont="1" applyAlignment="1">
      <alignment horizontal="left" wrapText="1"/>
    </xf>
    <xf numFmtId="0" fontId="14" fillId="8" borderId="0" xfId="0" applyFont="1" applyFill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0" borderId="0" xfId="0" applyFont="1"/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509" totalsRowShown="0" headerRowDxfId="63" dataDxfId="62">
  <autoFilter ref="A1:BJ509" xr:uid="{00000000-0009-0000-0100-000002000000}"/>
  <sortState xmlns:xlrd2="http://schemas.microsoft.com/office/spreadsheetml/2017/richdata2" ref="A2:BJ447">
    <sortCondition ref="C1:C447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509"/>
  <sheetViews>
    <sheetView showGridLines="0" tabSelected="1" zoomScale="85" zoomScaleNormal="85" workbookViewId="0">
      <pane ySplit="1" topLeftCell="A476" activePane="bottomLeft" state="frozen"/>
      <selection activeCell="AD1" sqref="AD1"/>
      <selection pane="bottomLeft" activeCell="I481" sqref="I481:I483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495</v>
      </c>
      <c r="G1" s="26" t="s">
        <v>496</v>
      </c>
      <c r="H1" s="26" t="s">
        <v>6</v>
      </c>
      <c r="I1" s="47" t="s">
        <v>50</v>
      </c>
      <c r="J1" s="47" t="s">
        <v>595</v>
      </c>
      <c r="K1" s="47" t="s">
        <v>209</v>
      </c>
      <c r="L1" s="47" t="s">
        <v>32</v>
      </c>
      <c r="M1" s="47" t="s">
        <v>585</v>
      </c>
      <c r="N1" s="47" t="s">
        <v>594</v>
      </c>
      <c r="O1" s="26" t="s">
        <v>497</v>
      </c>
      <c r="P1" s="47" t="s">
        <v>51</v>
      </c>
      <c r="Q1" s="47" t="s">
        <v>52</v>
      </c>
      <c r="R1" s="47" t="s">
        <v>498</v>
      </c>
      <c r="S1" s="47" t="s">
        <v>499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223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3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330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 t="e">
        <f>[1]!Track_TT23[[#This Row],[Bike weight ]]+[1]!Track_TT23[[#This Row],[Rider weight ]]</f>
        <v>#REF!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3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574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 t="e">
        <f>[1]!Track_TT23[[#This Row],[Bike weight ]]+[1]!Track_TT23[[#This Row],[Rider weight ]]</f>
        <v>#REF!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223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3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573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 t="e">
        <f>[1]!Track_TT23[[#This Row],[Bike weight ]]+[1]!Track_TT23[[#This Row],[Rider weight ]]</f>
        <v>#REF!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63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574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 t="e">
        <f>[1]!Track_TT23[[#This Row],[Bike weight ]]+[1]!Track_TT23[[#This Row],[Rider weight ]]</f>
        <v>#REF!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16">
        <v>48</v>
      </c>
      <c r="BG7" s="15"/>
      <c r="BH7" s="7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584</v>
      </c>
      <c r="H8" s="4" t="s">
        <v>330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 t="e">
        <f>[1]!Track_TT23[[#This Row],[Bike weight ]]+[1]!Track_TT23[[#This Row],[Rider weight ]]</f>
        <v>#REF!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3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584</v>
      </c>
      <c r="H9" s="4" t="s">
        <v>574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 t="e">
        <f>[1]!Track_TT23[[#This Row],[Bike weight ]]+[1]!Track_TT23[[#This Row],[Rider weight ]]</f>
        <v>#REF!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3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584</v>
      </c>
      <c r="H10" s="4" t="s">
        <v>223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584</v>
      </c>
      <c r="H11" s="4" t="s">
        <v>330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 t="e">
        <f>[1]!Track_TT23[[#This Row],[Bike weight ]]+[1]!Track_TT23[[#This Row],[Rider weight ]]</f>
        <v>#REF!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3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584</v>
      </c>
      <c r="H12" s="4" t="s">
        <v>574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 t="e">
        <f>[1]!Track_TT23[[#This Row],[Bike weight ]]+[1]!Track_TT23[[#This Row],[Rider weight ]]</f>
        <v>#REF!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63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584</v>
      </c>
      <c r="H13" s="4" t="s">
        <v>223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16">
        <v>47</v>
      </c>
      <c r="BG13" s="15"/>
      <c r="BH13" s="7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330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 t="e">
        <f>[1]!Track_TT23[[#This Row],[Bike weight ]]+[1]!Track_TT23[[#This Row],[Rider weight ]]</f>
        <v>#REF!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63">
        <v>47</v>
      </c>
      <c r="BG14" s="15">
        <v>1.157</v>
      </c>
      <c r="BH14" s="7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572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 t="e">
        <f>[1]!Track_TT23[[#This Row],[Bike weight ]]+[1]!Track_TT23[[#This Row],[Rider weight ]]</f>
        <v>#REF!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63">
        <v>47</v>
      </c>
      <c r="BG15" s="15">
        <v>1.157</v>
      </c>
      <c r="BH15" s="7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573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 t="e">
        <f>[1]!Track_TT23[[#This Row],[Bike weight ]]+[1]!Track_TT23[[#This Row],[Rider weight ]]</f>
        <v>#REF!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16">
        <v>45</v>
      </c>
      <c r="BG16" s="15"/>
      <c r="BH16" s="7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330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 t="e">
        <f>[1]!Track_TT23[[#This Row],[Bike weight ]]+[1]!Track_TT23[[#This Row],[Rider weight ]]</f>
        <v>#REF!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63">
        <v>47</v>
      </c>
      <c r="BG17" s="15">
        <v>1.157</v>
      </c>
      <c r="BH17" s="7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572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 t="e">
        <f>[1]!Track_TT23[[#This Row],[Bike weight ]]+[1]!Track_TT23[[#This Row],[Rider weight ]]</f>
        <v>#REF!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63">
        <v>47</v>
      </c>
      <c r="BG18" s="15">
        <v>1.1579999999999999</v>
      </c>
      <c r="BH18" s="7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573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 t="e">
        <f>[1]!Track_TT23[[#This Row],[Bike weight ]]+[1]!Track_TT23[[#This Row],[Rider weight ]]</f>
        <v>#REF!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16">
        <v>45</v>
      </c>
      <c r="BG19" s="15"/>
      <c r="BH19" s="7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212</v>
      </c>
      <c r="F20" s="4" t="s">
        <v>15</v>
      </c>
      <c r="G20" s="4" t="s">
        <v>15</v>
      </c>
      <c r="H20" s="4" t="s">
        <v>223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579</v>
      </c>
      <c r="F21" s="4" t="s">
        <v>15</v>
      </c>
      <c r="G21" s="4" t="s">
        <v>15</v>
      </c>
      <c r="H21" s="4" t="s">
        <v>223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580</v>
      </c>
      <c r="F22" s="4" t="s">
        <v>15</v>
      </c>
      <c r="G22" s="4" t="s">
        <v>15</v>
      </c>
      <c r="H22" s="4" t="s">
        <v>223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212</v>
      </c>
      <c r="F23" s="4" t="s">
        <v>15</v>
      </c>
      <c r="G23" s="4" t="s">
        <v>15</v>
      </c>
      <c r="H23" s="4" t="s">
        <v>223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579</v>
      </c>
      <c r="F24" s="4" t="s">
        <v>15</v>
      </c>
      <c r="G24" s="4" t="s">
        <v>15</v>
      </c>
      <c r="H24" s="4" t="s">
        <v>223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18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580</v>
      </c>
      <c r="F25" s="4" t="s">
        <v>15</v>
      </c>
      <c r="G25" s="4" t="s">
        <v>15</v>
      </c>
      <c r="H25" s="4" t="s">
        <v>223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16">
        <v>52.4</v>
      </c>
      <c r="BG25" s="15"/>
      <c r="BH25" s="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541</v>
      </c>
      <c r="F26" s="4" t="s">
        <v>15</v>
      </c>
      <c r="G26" s="4" t="s">
        <v>15</v>
      </c>
      <c r="H26" s="4" t="s">
        <v>330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 t="e">
        <f>[1]!Track_TT23[[#This Row],[Bike weight ]]+[1]!Track_TT23[[#This Row],[Rider weight ]]</f>
        <v>#REF!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330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 t="e">
        <f>[1]!Track_TT23[[#This Row],[Bike weight ]]+[1]!Track_TT23[[#This Row],[Rider weight ]]</f>
        <v>#REF!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212</v>
      </c>
      <c r="F28" s="4" t="s">
        <v>15</v>
      </c>
      <c r="G28" s="4" t="s">
        <v>15</v>
      </c>
      <c r="H28" s="4" t="s">
        <v>330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 t="e">
        <f>[1]!Track_TT23[[#This Row],[Bike weight ]]+[1]!Track_TT23[[#This Row],[Rider weight ]]</f>
        <v>#REF!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541</v>
      </c>
      <c r="F29" s="4" t="s">
        <v>15</v>
      </c>
      <c r="G29" s="4" t="s">
        <v>15</v>
      </c>
      <c r="H29" s="4" t="s">
        <v>330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 t="e">
        <f>[1]!Track_TT23[[#This Row],[Bike weight ]]+[1]!Track_TT23[[#This Row],[Rider weight ]]</f>
        <v>#REF!</v>
      </c>
      <c r="AZ29" s="7">
        <v>200</v>
      </c>
      <c r="BA29" s="4">
        <v>111.6</v>
      </c>
      <c r="BB29" s="4"/>
      <c r="BC29" s="4"/>
      <c r="BD29" s="18">
        <v>25.4</v>
      </c>
      <c r="BE29" s="18">
        <v>1012</v>
      </c>
      <c r="BF29" s="18">
        <v>52.9</v>
      </c>
      <c r="BG29" s="4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330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 t="e">
        <f>[1]!Track_TT23[[#This Row],[Bike weight ]]+[1]!Track_TT23[[#This Row],[Rider weight ]]</f>
        <v>#REF!</v>
      </c>
      <c r="AZ30" s="7">
        <v>200</v>
      </c>
      <c r="BA30" s="4">
        <v>111.6</v>
      </c>
      <c r="BB30" s="4"/>
      <c r="BC30" s="4"/>
      <c r="BD30" s="18">
        <v>25.4</v>
      </c>
      <c r="BE30" s="18">
        <v>1012</v>
      </c>
      <c r="BF30" s="18">
        <v>52.9</v>
      </c>
      <c r="BG30" s="4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212</v>
      </c>
      <c r="F31" s="4" t="s">
        <v>15</v>
      </c>
      <c r="G31" s="4" t="s">
        <v>15</v>
      </c>
      <c r="H31" s="4" t="s">
        <v>330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 t="e">
        <f>[1]!Track_TT23[[#This Row],[Bike weight ]]+[1]!Track_TT23[[#This Row],[Rider weight ]]</f>
        <v>#REF!</v>
      </c>
      <c r="AZ31" s="7">
        <v>200</v>
      </c>
      <c r="BA31" s="4"/>
      <c r="BB31" s="4"/>
      <c r="BC31" s="4"/>
      <c r="BD31" s="16">
        <v>25.4</v>
      </c>
      <c r="BE31" s="16">
        <v>1012</v>
      </c>
      <c r="BF31" s="16">
        <v>52.9</v>
      </c>
      <c r="BG31" s="59"/>
      <c r="BH31" s="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212</v>
      </c>
      <c r="F32" s="4" t="s">
        <v>15</v>
      </c>
      <c r="G32" s="4" t="s">
        <v>577</v>
      </c>
      <c r="H32" s="4" t="s">
        <v>223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18">
        <v>1012</v>
      </c>
      <c r="BF32" s="18">
        <v>51.8</v>
      </c>
      <c r="BG32" s="4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577</v>
      </c>
      <c r="H33" s="4" t="s">
        <v>223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 t="e">
        <f>[1]!Track_TT23[[#This Row],[Bike weight ]]+[1]!Track_TT23[[#This Row],[Rider weight ]]</f>
        <v>#REF!</v>
      </c>
      <c r="AZ33" s="7">
        <v>200</v>
      </c>
      <c r="BA33" s="4">
        <v>111.6</v>
      </c>
      <c r="BB33" s="4"/>
      <c r="BC33" s="4"/>
      <c r="BD33" s="18">
        <v>25.8</v>
      </c>
      <c r="BE33" s="18">
        <v>1012</v>
      </c>
      <c r="BF33" s="18">
        <v>51.8</v>
      </c>
      <c r="BG33" s="4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212</v>
      </c>
      <c r="F34" s="4" t="s">
        <v>15</v>
      </c>
      <c r="G34" s="4" t="s">
        <v>577</v>
      </c>
      <c r="H34" s="4" t="s">
        <v>223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16">
        <v>1012</v>
      </c>
      <c r="BF34" s="16">
        <v>51.8</v>
      </c>
      <c r="BG34" s="59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577</v>
      </c>
      <c r="H35" s="4" t="s">
        <v>223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 t="e">
        <f>[1]!Track_TT23[[#This Row],[Bike weight ]]+[1]!Track_TT23[[#This Row],[Rider weight ]]</f>
        <v>#REF!</v>
      </c>
      <c r="AZ35" s="7">
        <v>200</v>
      </c>
      <c r="BA35" s="4">
        <v>111.6</v>
      </c>
      <c r="BB35" s="4"/>
      <c r="BC35" s="4"/>
      <c r="BD35" s="18">
        <v>26.3</v>
      </c>
      <c r="BE35" s="18">
        <v>1012</v>
      </c>
      <c r="BF35" s="18">
        <v>51.3</v>
      </c>
      <c r="BG35" s="4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577</v>
      </c>
      <c r="H36" s="4" t="s">
        <v>223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 t="e">
        <f>[1]!Track_TT23[[#This Row],[Bike weight ]]+[1]!Track_TT23[[#This Row],[Rider weight ]]</f>
        <v>#REF!</v>
      </c>
      <c r="AZ36" s="7">
        <v>200</v>
      </c>
      <c r="BA36" s="4">
        <v>111.6</v>
      </c>
      <c r="BB36" s="4"/>
      <c r="BC36" s="4"/>
      <c r="BD36" s="18">
        <v>26.3</v>
      </c>
      <c r="BE36" s="18">
        <v>1012</v>
      </c>
      <c r="BF36" s="18">
        <v>51.3</v>
      </c>
      <c r="BG36" s="4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212</v>
      </c>
      <c r="F37" s="4" t="s">
        <v>15</v>
      </c>
      <c r="G37" s="4" t="s">
        <v>577</v>
      </c>
      <c r="H37" s="4" t="s">
        <v>223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16">
        <v>1012</v>
      </c>
      <c r="BF37" s="16">
        <v>51.3</v>
      </c>
      <c r="BG37" s="59"/>
      <c r="BH37" s="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213</v>
      </c>
      <c r="F38" s="4" t="s">
        <v>15</v>
      </c>
      <c r="G38" s="4" t="s">
        <v>15</v>
      </c>
      <c r="H38" s="4" t="s">
        <v>223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18">
        <v>1012</v>
      </c>
      <c r="BF38" s="18">
        <v>53.5</v>
      </c>
      <c r="BG38" s="4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212</v>
      </c>
      <c r="F39" s="4" t="s">
        <v>15</v>
      </c>
      <c r="G39" s="4" t="s">
        <v>15</v>
      </c>
      <c r="H39" s="4" t="s">
        <v>223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59">
        <v>1012</v>
      </c>
      <c r="BF39" s="63">
        <v>53</v>
      </c>
      <c r="BG39" s="59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213</v>
      </c>
      <c r="F40" s="4" t="s">
        <v>15</v>
      </c>
      <c r="G40" s="4" t="s">
        <v>15</v>
      </c>
      <c r="H40" s="4" t="s">
        <v>223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18">
        <v>1012</v>
      </c>
      <c r="BF40" s="18">
        <v>53.5</v>
      </c>
      <c r="BG40" s="4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212</v>
      </c>
      <c r="F41" s="4" t="s">
        <v>15</v>
      </c>
      <c r="G41" s="4" t="s">
        <v>15</v>
      </c>
      <c r="H41" s="4" t="s">
        <v>223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3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212</v>
      </c>
      <c r="F42" s="4" t="s">
        <v>15</v>
      </c>
      <c r="G42" s="4" t="s">
        <v>15</v>
      </c>
      <c r="H42" s="4" t="s">
        <v>223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18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213</v>
      </c>
      <c r="F43" s="4" t="s">
        <v>15</v>
      </c>
      <c r="G43" s="4" t="s">
        <v>15</v>
      </c>
      <c r="H43" s="4" t="s">
        <v>223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63">
        <v>53</v>
      </c>
      <c r="BG43" s="15">
        <v>1.1739999999999999</v>
      </c>
      <c r="BH43" s="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577</v>
      </c>
      <c r="H44" s="4" t="s">
        <v>571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212</v>
      </c>
      <c r="F45" s="4" t="s">
        <v>15</v>
      </c>
      <c r="G45" s="4" t="s">
        <v>577</v>
      </c>
      <c r="H45" s="4" t="s">
        <v>571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3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556</v>
      </c>
      <c r="F46" s="4" t="s">
        <v>15</v>
      </c>
      <c r="G46" s="4" t="s">
        <v>577</v>
      </c>
      <c r="H46" s="4" t="s">
        <v>571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577</v>
      </c>
      <c r="H47" s="4" t="s">
        <v>571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3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556</v>
      </c>
      <c r="F48" s="4" t="s">
        <v>15</v>
      </c>
      <c r="G48" s="4" t="s">
        <v>577</v>
      </c>
      <c r="H48" s="4" t="s">
        <v>571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18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212</v>
      </c>
      <c r="F49" s="4" t="s">
        <v>15</v>
      </c>
      <c r="G49" s="4" t="s">
        <v>577</v>
      </c>
      <c r="H49" s="4" t="s">
        <v>571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63">
        <v>54</v>
      </c>
      <c r="BG49" s="15">
        <v>1.1739999999999999</v>
      </c>
      <c r="BH49" s="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330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18">
        <v>1011</v>
      </c>
      <c r="BF50" s="18">
        <v>54.2</v>
      </c>
      <c r="BG50" s="64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541</v>
      </c>
      <c r="F51" s="4" t="s">
        <v>15</v>
      </c>
      <c r="G51" s="4" t="s">
        <v>15</v>
      </c>
      <c r="H51" s="4" t="s">
        <v>330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59">
        <v>1011</v>
      </c>
      <c r="BF51" s="63">
        <v>54</v>
      </c>
      <c r="BG51" s="59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330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18">
        <v>1011</v>
      </c>
      <c r="BF52" s="18">
        <v>54.2</v>
      </c>
      <c r="BG52" s="64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541</v>
      </c>
      <c r="F53" s="4" t="s">
        <v>15</v>
      </c>
      <c r="G53" s="4" t="s">
        <v>15</v>
      </c>
      <c r="H53" s="4" t="s">
        <v>330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59">
        <v>1011</v>
      </c>
      <c r="BF53" s="63">
        <v>54</v>
      </c>
      <c r="BG53" s="59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330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18">
        <v>1011</v>
      </c>
      <c r="BF54" s="18">
        <v>54.2</v>
      </c>
      <c r="BG54" s="64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541</v>
      </c>
      <c r="F55" s="4" t="s">
        <v>15</v>
      </c>
      <c r="G55" s="4" t="s">
        <v>15</v>
      </c>
      <c r="H55" s="4" t="s">
        <v>330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59">
        <v>1011</v>
      </c>
      <c r="BF55" s="63">
        <v>54</v>
      </c>
      <c r="BG55" s="59">
        <v>1.173</v>
      </c>
      <c r="BH55" s="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543</v>
      </c>
      <c r="F56" s="4" t="s">
        <v>15</v>
      </c>
      <c r="G56" s="4" t="s">
        <v>577</v>
      </c>
      <c r="H56" s="4" t="s">
        <v>571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18">
        <v>1005</v>
      </c>
      <c r="BF56" s="18">
        <v>41</v>
      </c>
      <c r="BG56" s="64"/>
      <c r="BH56" s="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212</v>
      </c>
      <c r="F57" s="4" t="s">
        <v>15</v>
      </c>
      <c r="G57" s="4" t="s">
        <v>577</v>
      </c>
      <c r="H57" s="4" t="s">
        <v>571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18">
        <v>1005</v>
      </c>
      <c r="BF57" s="18">
        <v>41</v>
      </c>
      <c r="BG57" s="64"/>
      <c r="BH57" s="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212</v>
      </c>
      <c r="F58" s="4" t="s">
        <v>15</v>
      </c>
      <c r="G58" s="4" t="s">
        <v>577</v>
      </c>
      <c r="H58" s="4" t="s">
        <v>571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18">
        <v>1005</v>
      </c>
      <c r="BF58" s="18">
        <v>41</v>
      </c>
      <c r="BG58" s="64"/>
      <c r="BH58" s="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543</v>
      </c>
      <c r="F59" s="4" t="s">
        <v>15</v>
      </c>
      <c r="G59" s="4" t="s">
        <v>577</v>
      </c>
      <c r="H59" s="4" t="s">
        <v>571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16">
        <v>1005</v>
      </c>
      <c r="BF59" s="16">
        <v>41</v>
      </c>
      <c r="BG59" s="4"/>
      <c r="BH59" s="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212</v>
      </c>
      <c r="F60" s="4" t="s">
        <v>15</v>
      </c>
      <c r="G60" s="4" t="s">
        <v>577</v>
      </c>
      <c r="H60" s="4" t="s">
        <v>571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18">
        <v>1005</v>
      </c>
      <c r="BF60" s="18">
        <v>41</v>
      </c>
      <c r="BG60" s="64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543</v>
      </c>
      <c r="F61" s="4" t="s">
        <v>15</v>
      </c>
      <c r="G61" s="4" t="s">
        <v>577</v>
      </c>
      <c r="H61" s="4" t="s">
        <v>571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18">
        <v>1005</v>
      </c>
      <c r="BF61" s="18">
        <v>41</v>
      </c>
      <c r="BG61" s="64"/>
      <c r="BH61" s="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43</v>
      </c>
      <c r="B62" s="54" t="s">
        <v>45</v>
      </c>
      <c r="C62" s="3">
        <v>45229</v>
      </c>
      <c r="D62" s="8">
        <v>1</v>
      </c>
      <c r="E62" s="2" t="s">
        <v>212</v>
      </c>
      <c r="F62" s="4" t="s">
        <v>15</v>
      </c>
      <c r="G62" s="4" t="s">
        <v>15</v>
      </c>
      <c r="H62" s="4" t="s">
        <v>223</v>
      </c>
      <c r="I62" s="7">
        <v>0.15820000000000001</v>
      </c>
      <c r="J62" s="7">
        <v>0.15820000000000001</v>
      </c>
      <c r="K62" s="7">
        <v>1.8E-3</v>
      </c>
      <c r="L62" s="7"/>
      <c r="M62" s="7">
        <v>0.15709999999999999</v>
      </c>
      <c r="N62" s="7">
        <v>-0.52</v>
      </c>
      <c r="O62" s="4"/>
      <c r="P62" s="7">
        <v>1.2695000000000001</v>
      </c>
      <c r="T62" s="7">
        <v>59.2</v>
      </c>
      <c r="U62" s="7">
        <v>430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79.099999999999994</v>
      </c>
      <c r="AZ62" s="7">
        <v>200</v>
      </c>
      <c r="BA62" s="4">
        <v>111.6</v>
      </c>
      <c r="BB62" s="4"/>
      <c r="BC62" s="4"/>
      <c r="BD62" s="18">
        <v>25.2</v>
      </c>
      <c r="BE62" s="18">
        <v>1005</v>
      </c>
      <c r="BF62" s="18">
        <v>41</v>
      </c>
      <c r="BG62" s="64"/>
      <c r="BH62" s="4"/>
      <c r="BI62" s="4"/>
      <c r="BJ62" s="3" t="s">
        <v>155</v>
      </c>
      <c r="BK62"/>
      <c r="BL62"/>
      <c r="BM62"/>
      <c r="BR62"/>
    </row>
    <row r="63" spans="1:70" ht="28.5" x14ac:dyDescent="0.45">
      <c r="A63" s="2" t="s">
        <v>43</v>
      </c>
      <c r="B63" s="54" t="s">
        <v>45</v>
      </c>
      <c r="C63" s="3">
        <v>45229</v>
      </c>
      <c r="D63" s="8">
        <v>2</v>
      </c>
      <c r="E63" s="2" t="s">
        <v>556</v>
      </c>
      <c r="F63" s="4" t="s">
        <v>15</v>
      </c>
      <c r="G63" s="4" t="s">
        <v>15</v>
      </c>
      <c r="H63" s="4" t="s">
        <v>223</v>
      </c>
      <c r="I63" s="7">
        <v>0.158</v>
      </c>
      <c r="J63" s="7">
        <v>0.158</v>
      </c>
      <c r="K63" s="7">
        <v>3.0999999999999999E-3</v>
      </c>
      <c r="L63" s="7"/>
      <c r="M63" s="7">
        <v>0.1573</v>
      </c>
      <c r="N63" s="7">
        <v>-0.57999999999999996</v>
      </c>
      <c r="O63" s="4"/>
      <c r="P63" s="7">
        <v>1.2695000000000001</v>
      </c>
      <c r="T63" s="7">
        <v>59.9</v>
      </c>
      <c r="U63" s="7">
        <v>442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85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156</v>
      </c>
      <c r="BK63"/>
      <c r="BL63"/>
      <c r="BM63"/>
      <c r="BR63"/>
    </row>
    <row r="64" spans="1:70" ht="28.5" x14ac:dyDescent="0.45">
      <c r="A64" s="2" t="s">
        <v>43</v>
      </c>
      <c r="B64" s="54" t="s">
        <v>45</v>
      </c>
      <c r="C64" s="3">
        <v>45229</v>
      </c>
      <c r="D64" s="8">
        <v>3</v>
      </c>
      <c r="E64" s="2" t="s">
        <v>556</v>
      </c>
      <c r="F64" s="4" t="s">
        <v>15</v>
      </c>
      <c r="G64" s="4" t="s">
        <v>15</v>
      </c>
      <c r="H64" s="4" t="s">
        <v>223</v>
      </c>
      <c r="I64" s="7">
        <v>0.15559999999999999</v>
      </c>
      <c r="J64" s="7">
        <v>0.15559999999999999</v>
      </c>
      <c r="K64" s="7">
        <v>5.1000000000000004E-3</v>
      </c>
      <c r="L64" s="7"/>
      <c r="N64" s="7">
        <v>-0.56000000000000005</v>
      </c>
      <c r="O64" s="4"/>
      <c r="P64" s="7">
        <v>1.2695000000000001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75.2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64"/>
      <c r="BH64" s="4"/>
      <c r="BI64" s="4"/>
      <c r="BJ64" s="3" t="s">
        <v>157</v>
      </c>
      <c r="BK64"/>
      <c r="BL64"/>
      <c r="BM64"/>
      <c r="BR64"/>
    </row>
    <row r="65" spans="1:70" ht="28.5" x14ac:dyDescent="0.45">
      <c r="A65" s="2" t="s">
        <v>43</v>
      </c>
      <c r="B65" s="54" t="s">
        <v>45</v>
      </c>
      <c r="C65" s="3">
        <v>45229</v>
      </c>
      <c r="D65" s="8">
        <v>4</v>
      </c>
      <c r="E65" s="2" t="s">
        <v>212</v>
      </c>
      <c r="F65" s="4" t="s">
        <v>15</v>
      </c>
      <c r="G65" s="4" t="s">
        <v>15</v>
      </c>
      <c r="H65" s="4" t="s">
        <v>223</v>
      </c>
      <c r="I65" s="7">
        <v>0.16009999999999999</v>
      </c>
      <c r="J65" s="7">
        <v>0.16009999999999999</v>
      </c>
      <c r="K65" s="7">
        <v>2.2000000000000001E-3</v>
      </c>
      <c r="L65" s="7"/>
      <c r="M65" s="7">
        <v>0.15870000000000001</v>
      </c>
      <c r="N65" s="7">
        <v>-0.48</v>
      </c>
      <c r="O65" s="4"/>
      <c r="P65" s="7">
        <v>1.2695000000000001</v>
      </c>
      <c r="T65" s="7">
        <v>59.4</v>
      </c>
      <c r="U65" s="7">
        <v>442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79.900000000000006</v>
      </c>
      <c r="AZ65" s="7">
        <v>200</v>
      </c>
      <c r="BA65" s="22">
        <v>117</v>
      </c>
      <c r="BB65" s="4"/>
      <c r="BC65" s="4"/>
      <c r="BD65" s="18">
        <v>25.2</v>
      </c>
      <c r="BE65" s="18">
        <v>1005</v>
      </c>
      <c r="BF65" s="18">
        <v>41</v>
      </c>
      <c r="BG65" s="64"/>
      <c r="BH65" s="4"/>
      <c r="BI65" s="4"/>
      <c r="BJ65" s="3" t="s">
        <v>158</v>
      </c>
      <c r="BK65"/>
      <c r="BL65"/>
      <c r="BM65"/>
      <c r="BR65"/>
    </row>
    <row r="66" spans="1:70" ht="28.5" x14ac:dyDescent="0.45">
      <c r="A66" s="2" t="s">
        <v>43</v>
      </c>
      <c r="B66" s="54" t="s">
        <v>45</v>
      </c>
      <c r="C66" s="3">
        <v>45229</v>
      </c>
      <c r="D66" s="8">
        <v>5</v>
      </c>
      <c r="E66" s="2" t="s">
        <v>556</v>
      </c>
      <c r="F66" s="4" t="s">
        <v>15</v>
      </c>
      <c r="G66" s="4" t="s">
        <v>15</v>
      </c>
      <c r="H66" s="4" t="s">
        <v>223</v>
      </c>
      <c r="I66" s="7">
        <v>0.15820000000000001</v>
      </c>
      <c r="J66" s="7">
        <v>0.15820000000000001</v>
      </c>
      <c r="K66" s="7">
        <v>5.9999999999999995E-4</v>
      </c>
      <c r="L66" s="7"/>
      <c r="M66" s="7">
        <v>0.15529999999999999</v>
      </c>
      <c r="N66" s="7">
        <v>-0.56000000000000005</v>
      </c>
      <c r="O66" s="4"/>
      <c r="P66" s="7">
        <v>1.2695000000000001</v>
      </c>
      <c r="T66" s="7">
        <v>59.4</v>
      </c>
      <c r="U66" s="7">
        <v>441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78.900000000000006</v>
      </c>
      <c r="AZ66" s="7">
        <v>200</v>
      </c>
      <c r="BA66" s="4">
        <v>111.6</v>
      </c>
      <c r="BB66" s="4"/>
      <c r="BC66" s="4"/>
      <c r="BD66" s="18">
        <v>25.2</v>
      </c>
      <c r="BE66" s="18">
        <v>1005</v>
      </c>
      <c r="BF66" s="18">
        <v>41</v>
      </c>
      <c r="BG66" s="64"/>
      <c r="BH66" s="4"/>
      <c r="BI66" s="4"/>
      <c r="BJ66" s="3" t="s">
        <v>159</v>
      </c>
      <c r="BK66"/>
      <c r="BL66"/>
      <c r="BM66"/>
      <c r="BR66"/>
    </row>
    <row r="67" spans="1:70" ht="28.5" x14ac:dyDescent="0.45">
      <c r="A67" s="2" t="s">
        <v>43</v>
      </c>
      <c r="B67" s="54" t="s">
        <v>45</v>
      </c>
      <c r="C67" s="3">
        <v>45229</v>
      </c>
      <c r="D67" s="8">
        <v>6</v>
      </c>
      <c r="E67" s="2" t="s">
        <v>556</v>
      </c>
      <c r="F67" s="4" t="s">
        <v>15</v>
      </c>
      <c r="G67" s="4" t="s">
        <v>15</v>
      </c>
      <c r="H67" s="4" t="s">
        <v>223</v>
      </c>
      <c r="I67" s="7">
        <v>0.15659999999999999</v>
      </c>
      <c r="J67" s="7">
        <v>0.15659999999999999</v>
      </c>
      <c r="K67" s="7">
        <v>3.0999999999999999E-3</v>
      </c>
      <c r="L67" s="7"/>
      <c r="M67" s="7">
        <v>0.15690000000000001</v>
      </c>
      <c r="N67" s="7">
        <v>-0.57999999999999996</v>
      </c>
      <c r="O67" s="4"/>
      <c r="P67" s="7">
        <v>1.2695000000000001</v>
      </c>
      <c r="T67" s="7">
        <v>60</v>
      </c>
      <c r="U67" s="7">
        <v>442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84.8</v>
      </c>
      <c r="AZ67" s="7">
        <v>200</v>
      </c>
      <c r="BA67" s="22">
        <v>117</v>
      </c>
      <c r="BB67" s="4"/>
      <c r="BC67" s="4"/>
      <c r="BD67" s="16">
        <v>25.2</v>
      </c>
      <c r="BE67" s="16">
        <v>1005</v>
      </c>
      <c r="BF67" s="16">
        <v>41</v>
      </c>
      <c r="BG67" s="4"/>
      <c r="BH67" s="4"/>
      <c r="BI67" s="4"/>
      <c r="BJ67" s="3" t="s">
        <v>160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1</v>
      </c>
      <c r="E68" s="2" t="s">
        <v>546</v>
      </c>
      <c r="F68" s="4" t="s">
        <v>15</v>
      </c>
      <c r="G68" s="4" t="s">
        <v>577</v>
      </c>
      <c r="H68" s="4" t="s">
        <v>571</v>
      </c>
      <c r="I68" s="7">
        <v>0.17499999999999999</v>
      </c>
      <c r="J68" s="7">
        <v>0.17499999999999999</v>
      </c>
      <c r="K68" s="7">
        <v>5.0000000000000001E-3</v>
      </c>
      <c r="L68" s="7"/>
      <c r="M68" s="7">
        <v>0.1744</v>
      </c>
      <c r="N68" s="7">
        <v>-0.68</v>
      </c>
      <c r="O68" s="4"/>
      <c r="P68" s="7">
        <v>1.282</v>
      </c>
      <c r="T68" s="7">
        <v>61.9</v>
      </c>
      <c r="U68" s="7">
        <v>538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</v>
      </c>
      <c r="AZ68" s="7">
        <v>200</v>
      </c>
      <c r="BA68" s="4">
        <v>111.6</v>
      </c>
      <c r="BB68" s="4"/>
      <c r="BC68" s="4"/>
      <c r="BD68" s="18">
        <v>25.2</v>
      </c>
      <c r="BE68" s="18">
        <v>1005</v>
      </c>
      <c r="BF68" s="18">
        <v>41</v>
      </c>
      <c r="BG68" s="64"/>
      <c r="BH68" s="4"/>
      <c r="BI68" s="4"/>
      <c r="BJ68" s="3" t="s">
        <v>149</v>
      </c>
      <c r="BK68"/>
      <c r="BL68"/>
      <c r="BM68"/>
      <c r="BR68"/>
    </row>
    <row r="69" spans="1:70" ht="28.5" x14ac:dyDescent="0.45">
      <c r="A69" s="2" t="s">
        <v>13</v>
      </c>
      <c r="B69" s="54" t="s">
        <v>17</v>
      </c>
      <c r="C69" s="3">
        <v>45229</v>
      </c>
      <c r="D69" s="8">
        <v>2</v>
      </c>
      <c r="E69" s="2" t="s">
        <v>212</v>
      </c>
      <c r="F69" s="4" t="s">
        <v>15</v>
      </c>
      <c r="G69" s="4" t="s">
        <v>577</v>
      </c>
      <c r="H69" s="4" t="s">
        <v>571</v>
      </c>
      <c r="I69" s="48"/>
      <c r="J69" s="48"/>
      <c r="K69" s="48"/>
      <c r="L69" s="7"/>
      <c r="M69" s="7">
        <v>0.1696</v>
      </c>
      <c r="O69" s="4"/>
      <c r="P69" s="7">
        <v>1.282</v>
      </c>
      <c r="T69" s="7">
        <v>63.3</v>
      </c>
      <c r="U69" s="7">
        <v>561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79.900000000000006</v>
      </c>
      <c r="AZ69" s="7">
        <v>200</v>
      </c>
      <c r="BA69" s="22">
        <v>117</v>
      </c>
      <c r="BB69" s="4"/>
      <c r="BC69" s="4"/>
      <c r="BD69" s="18">
        <v>25.2</v>
      </c>
      <c r="BE69" s="18">
        <v>1005</v>
      </c>
      <c r="BF69" s="18">
        <v>41</v>
      </c>
      <c r="BG69" s="64"/>
      <c r="BH69" s="4"/>
      <c r="BI69" s="4"/>
      <c r="BJ69" s="3" t="s">
        <v>150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212</v>
      </c>
      <c r="F70" s="4" t="s">
        <v>15</v>
      </c>
      <c r="G70" s="4" t="s">
        <v>577</v>
      </c>
      <c r="H70" s="4" t="s">
        <v>571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18">
        <v>1005</v>
      </c>
      <c r="BF70" s="18">
        <v>41</v>
      </c>
      <c r="BG70" s="64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17</v>
      </c>
      <c r="C71" s="3">
        <v>45229</v>
      </c>
      <c r="D71" s="8">
        <v>4</v>
      </c>
      <c r="E71" s="2" t="s">
        <v>546</v>
      </c>
      <c r="F71" s="4" t="s">
        <v>15</v>
      </c>
      <c r="G71" s="4" t="s">
        <v>577</v>
      </c>
      <c r="H71" s="4" t="s">
        <v>571</v>
      </c>
      <c r="I71" s="7">
        <v>0.17760000000000001</v>
      </c>
      <c r="J71" s="7">
        <v>0.17760000000000001</v>
      </c>
      <c r="K71" s="7">
        <v>3.8999999999999998E-3</v>
      </c>
      <c r="L71" s="7"/>
      <c r="M71" s="7">
        <v>0.1729</v>
      </c>
      <c r="N71" s="7">
        <v>-0.72</v>
      </c>
      <c r="O71" s="4"/>
      <c r="P71" s="7">
        <v>1.282</v>
      </c>
      <c r="T71" s="7">
        <v>64</v>
      </c>
      <c r="U71" s="7">
        <v>592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84.6</v>
      </c>
      <c r="AZ71" s="7">
        <v>200</v>
      </c>
      <c r="BA71" s="22">
        <v>117</v>
      </c>
      <c r="BB71" s="4"/>
      <c r="BC71" s="4"/>
      <c r="BD71" s="16">
        <v>25.2</v>
      </c>
      <c r="BE71" s="16">
        <v>1005</v>
      </c>
      <c r="BF71" s="16">
        <v>41</v>
      </c>
      <c r="BG71" s="4"/>
      <c r="BH71" s="4"/>
      <c r="BI71" s="4"/>
      <c r="BJ71" s="3" t="s">
        <v>152</v>
      </c>
      <c r="BK71"/>
      <c r="BL71"/>
      <c r="BM71"/>
      <c r="BR71"/>
    </row>
    <row r="72" spans="1:70" ht="28.5" x14ac:dyDescent="0.45">
      <c r="A72" s="2" t="s">
        <v>13</v>
      </c>
      <c r="B72" s="54" t="s">
        <v>17</v>
      </c>
      <c r="C72" s="3">
        <v>45229</v>
      </c>
      <c r="D72" s="8">
        <v>5</v>
      </c>
      <c r="E72" s="2" t="s">
        <v>212</v>
      </c>
      <c r="F72" s="4" t="s">
        <v>15</v>
      </c>
      <c r="G72" s="4" t="s">
        <v>577</v>
      </c>
      <c r="H72" s="4" t="s">
        <v>571</v>
      </c>
      <c r="I72" s="7">
        <v>0.1699</v>
      </c>
      <c r="J72" s="7">
        <v>0.1699</v>
      </c>
      <c r="K72" s="7">
        <v>2.2000000000000001E-3</v>
      </c>
      <c r="L72" s="7"/>
      <c r="M72" s="7">
        <v>0.1676</v>
      </c>
      <c r="N72" s="7">
        <v>-0.66</v>
      </c>
      <c r="O72" s="4"/>
      <c r="P72" s="7">
        <v>1.282</v>
      </c>
      <c r="T72" s="7">
        <v>64.400000000000006</v>
      </c>
      <c r="U72" s="7">
        <v>593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75.099999999999994</v>
      </c>
      <c r="AZ72" s="7">
        <v>200</v>
      </c>
      <c r="BA72" s="4">
        <v>111.6</v>
      </c>
      <c r="BB72" s="4"/>
      <c r="BC72" s="4"/>
      <c r="BD72" s="18">
        <v>25.2</v>
      </c>
      <c r="BE72" s="18">
        <v>1005</v>
      </c>
      <c r="BF72" s="18">
        <v>41</v>
      </c>
      <c r="BG72" s="64"/>
      <c r="BH72" s="4"/>
      <c r="BI72" s="4"/>
      <c r="BJ72" s="3" t="s">
        <v>153</v>
      </c>
      <c r="BK72"/>
      <c r="BL72"/>
      <c r="BM72"/>
      <c r="BR72"/>
    </row>
    <row r="73" spans="1:70" ht="28.5" x14ac:dyDescent="0.45">
      <c r="A73" s="2" t="s">
        <v>13</v>
      </c>
      <c r="B73" s="54" t="s">
        <v>17</v>
      </c>
      <c r="C73" s="3">
        <v>45229</v>
      </c>
      <c r="D73" s="8">
        <v>6</v>
      </c>
      <c r="E73" s="2" t="s">
        <v>546</v>
      </c>
      <c r="F73" s="4" t="s">
        <v>15</v>
      </c>
      <c r="G73" s="4" t="s">
        <v>577</v>
      </c>
      <c r="H73" s="4" t="s">
        <v>571</v>
      </c>
      <c r="I73" s="7">
        <v>0.17979999999999999</v>
      </c>
      <c r="J73" s="7">
        <v>0.17979999999999999</v>
      </c>
      <c r="K73" s="7">
        <v>5.5999999999999999E-3</v>
      </c>
      <c r="L73" s="7"/>
      <c r="M73" s="7">
        <v>0.1749</v>
      </c>
      <c r="N73" s="7">
        <v>-0.69</v>
      </c>
      <c r="O73" s="4"/>
      <c r="P73" s="7">
        <v>1.282</v>
      </c>
      <c r="T73" s="7">
        <v>63.2</v>
      </c>
      <c r="U73" s="7">
        <v>580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18">
        <v>1005</v>
      </c>
      <c r="BF73" s="18">
        <v>41</v>
      </c>
      <c r="BG73" s="64"/>
      <c r="BH73" s="4"/>
      <c r="BI73" s="4"/>
      <c r="BJ73" s="3" t="s">
        <v>154</v>
      </c>
      <c r="BK73"/>
      <c r="BL73"/>
      <c r="BM73"/>
      <c r="BR73"/>
    </row>
    <row r="74" spans="1:70" ht="28.5" x14ac:dyDescent="0.45">
      <c r="A74" s="2" t="s">
        <v>43</v>
      </c>
      <c r="B74" s="54" t="s">
        <v>79</v>
      </c>
      <c r="C74" s="3">
        <v>45229</v>
      </c>
      <c r="D74" s="8">
        <v>1</v>
      </c>
      <c r="E74" s="2" t="s">
        <v>547</v>
      </c>
      <c r="F74" s="4" t="s">
        <v>15</v>
      </c>
      <c r="G74" s="4" t="s">
        <v>15</v>
      </c>
      <c r="H74" s="4" t="s">
        <v>223</v>
      </c>
      <c r="I74" s="7">
        <v>0.15110000000000001</v>
      </c>
      <c r="J74" s="7">
        <v>0.15110000000000001</v>
      </c>
      <c r="K74" s="7">
        <v>8.9999999999999993E-3</v>
      </c>
      <c r="L74" s="7"/>
      <c r="M74" s="7">
        <v>0.1434</v>
      </c>
      <c r="N74" s="7">
        <v>-0.69</v>
      </c>
      <c r="O74" s="4"/>
      <c r="P74" s="7">
        <v>1.2615000000000001</v>
      </c>
      <c r="T74" s="7">
        <v>57.9</v>
      </c>
      <c r="U74" s="7">
        <v>385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78.7</v>
      </c>
      <c r="AZ74" s="4"/>
      <c r="BA74" s="4">
        <v>111.6</v>
      </c>
      <c r="BB74" s="4"/>
      <c r="BC74" s="4"/>
      <c r="BD74" s="18">
        <v>25.1</v>
      </c>
      <c r="BE74" s="18">
        <v>1010</v>
      </c>
      <c r="BF74" s="18">
        <v>47.7</v>
      </c>
      <c r="BG74" s="4"/>
      <c r="BH74" s="4"/>
      <c r="BI74" s="4"/>
      <c r="BJ74" s="3" t="s">
        <v>169</v>
      </c>
      <c r="BK74"/>
      <c r="BL74"/>
      <c r="BM74"/>
      <c r="BR74"/>
    </row>
    <row r="75" spans="1:70" ht="28.5" x14ac:dyDescent="0.45">
      <c r="A75" s="2" t="s">
        <v>43</v>
      </c>
      <c r="B75" s="54" t="s">
        <v>79</v>
      </c>
      <c r="C75" s="3">
        <v>45229</v>
      </c>
      <c r="D75" s="8">
        <v>2</v>
      </c>
      <c r="E75" s="2" t="s">
        <v>212</v>
      </c>
      <c r="F75" s="4" t="s">
        <v>15</v>
      </c>
      <c r="G75" s="4" t="s">
        <v>15</v>
      </c>
      <c r="H75" s="4" t="s">
        <v>330</v>
      </c>
      <c r="I75" s="7">
        <v>0.1545</v>
      </c>
      <c r="J75" s="7">
        <v>0.1565</v>
      </c>
      <c r="K75" s="7">
        <v>1.8E-3</v>
      </c>
      <c r="L75" s="7"/>
      <c r="M75" s="7">
        <v>0.14960000000000001</v>
      </c>
      <c r="N75" s="7">
        <v>-0.61</v>
      </c>
      <c r="O75" s="4"/>
      <c r="P75" s="7">
        <v>1.2615000000000001</v>
      </c>
      <c r="T75" s="7">
        <v>60.2</v>
      </c>
      <c r="U75" s="7">
        <v>429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85.5</v>
      </c>
      <c r="AZ75" s="4"/>
      <c r="BA75" s="22">
        <v>117</v>
      </c>
      <c r="BB75" s="4"/>
      <c r="BC75" s="4"/>
      <c r="BD75" s="18">
        <v>25.1</v>
      </c>
      <c r="BE75" s="18">
        <v>1010</v>
      </c>
      <c r="BF75" s="18">
        <v>47.7</v>
      </c>
      <c r="BG75" s="4"/>
      <c r="BH75" s="4"/>
      <c r="BI75" s="4"/>
      <c r="BJ75" s="3" t="s">
        <v>170</v>
      </c>
      <c r="BK75"/>
      <c r="BL75"/>
      <c r="BM75"/>
      <c r="BR75"/>
    </row>
    <row r="76" spans="1:70" ht="28.5" x14ac:dyDescent="0.45">
      <c r="A76" s="2" t="s">
        <v>43</v>
      </c>
      <c r="B76" s="54" t="s">
        <v>79</v>
      </c>
      <c r="C76" s="3">
        <v>45229</v>
      </c>
      <c r="D76" s="8">
        <v>3</v>
      </c>
      <c r="E76" s="2" t="s">
        <v>544</v>
      </c>
      <c r="F76" s="4" t="s">
        <v>15</v>
      </c>
      <c r="G76" s="4" t="s">
        <v>15</v>
      </c>
      <c r="H76" s="4" t="s">
        <v>223</v>
      </c>
      <c r="I76" s="7">
        <v>0.14810000000000001</v>
      </c>
      <c r="J76" s="7">
        <v>0.1487</v>
      </c>
      <c r="K76" s="7">
        <v>4.4999999999999997E-3</v>
      </c>
      <c r="L76" s="7"/>
      <c r="M76" s="7">
        <v>0.14299999999999999</v>
      </c>
      <c r="N76" s="7">
        <v>-0.67</v>
      </c>
      <c r="O76" s="4"/>
      <c r="P76" s="7">
        <v>1.2615000000000001</v>
      </c>
      <c r="T76" s="7">
        <v>60.2</v>
      </c>
      <c r="U76" s="7">
        <v>421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74.900000000000006</v>
      </c>
      <c r="AZ76" s="4"/>
      <c r="BA76" s="4">
        <v>111.6</v>
      </c>
      <c r="BB76" s="4"/>
      <c r="BC76" s="4"/>
      <c r="BD76" s="18">
        <v>25.1</v>
      </c>
      <c r="BE76" s="18">
        <v>1010</v>
      </c>
      <c r="BF76" s="18">
        <v>47.7</v>
      </c>
      <c r="BG76" s="4"/>
      <c r="BH76" s="4"/>
      <c r="BI76" s="4"/>
      <c r="BJ76" s="3" t="s">
        <v>171</v>
      </c>
      <c r="BK76"/>
      <c r="BL76"/>
      <c r="BM76"/>
      <c r="BR76"/>
    </row>
    <row r="77" spans="1:70" ht="28.5" x14ac:dyDescent="0.45">
      <c r="A77" s="2" t="s">
        <v>43</v>
      </c>
      <c r="B77" s="54" t="s">
        <v>79</v>
      </c>
      <c r="C77" s="3">
        <v>45229</v>
      </c>
      <c r="D77" s="8">
        <v>4</v>
      </c>
      <c r="E77" s="2" t="s">
        <v>547</v>
      </c>
      <c r="F77" s="4" t="s">
        <v>15</v>
      </c>
      <c r="G77" s="4" t="s">
        <v>15</v>
      </c>
      <c r="H77" s="4" t="s">
        <v>223</v>
      </c>
      <c r="I77" s="7">
        <v>0.14530000000000001</v>
      </c>
      <c r="J77" s="7">
        <v>0.14530000000000001</v>
      </c>
      <c r="K77" s="7">
        <v>4.4999999999999997E-3</v>
      </c>
      <c r="L77" s="7"/>
      <c r="M77" s="7">
        <v>0.1426</v>
      </c>
      <c r="N77" s="7">
        <v>-0.69</v>
      </c>
      <c r="O77" s="4"/>
      <c r="P77" s="7">
        <v>1.2615000000000001</v>
      </c>
      <c r="T77" s="7">
        <v>59.6</v>
      </c>
      <c r="U77" s="7">
        <v>409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80</v>
      </c>
      <c r="AZ77" s="4"/>
      <c r="BA77" s="22">
        <v>117</v>
      </c>
      <c r="BB77" s="4"/>
      <c r="BC77" s="4"/>
      <c r="BD77" s="18">
        <v>25.1</v>
      </c>
      <c r="BE77" s="18">
        <v>1010</v>
      </c>
      <c r="BF77" s="18">
        <v>47.7</v>
      </c>
      <c r="BG77" s="64"/>
      <c r="BH77" s="4"/>
      <c r="BI77" s="4"/>
      <c r="BJ77" s="3" t="s">
        <v>172</v>
      </c>
      <c r="BK77"/>
      <c r="BL77"/>
      <c r="BM77"/>
      <c r="BR77"/>
    </row>
    <row r="78" spans="1:70" ht="28.5" x14ac:dyDescent="0.45">
      <c r="A78" s="2" t="s">
        <v>43</v>
      </c>
      <c r="B78" s="54" t="s">
        <v>79</v>
      </c>
      <c r="C78" s="3">
        <v>45229</v>
      </c>
      <c r="D78" s="8">
        <v>5</v>
      </c>
      <c r="E78" s="2" t="s">
        <v>212</v>
      </c>
      <c r="F78" s="4" t="s">
        <v>15</v>
      </c>
      <c r="G78" s="4" t="s">
        <v>15</v>
      </c>
      <c r="H78" s="4" t="s">
        <v>330</v>
      </c>
      <c r="I78" s="7">
        <v>0.15459999999999999</v>
      </c>
      <c r="J78" s="7">
        <v>0.15659999999999999</v>
      </c>
      <c r="K78" s="7">
        <v>3.8999999999999998E-3</v>
      </c>
      <c r="L78" s="7"/>
      <c r="M78" s="7">
        <v>0.15029999999999999</v>
      </c>
      <c r="N78" s="7">
        <v>-0.56999999999999995</v>
      </c>
      <c r="O78" s="4"/>
      <c r="P78" s="7">
        <v>1.2615000000000001</v>
      </c>
      <c r="T78" s="7">
        <v>60.5</v>
      </c>
      <c r="U78" s="7">
        <v>445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78.599999999999994</v>
      </c>
      <c r="AZ78" s="4"/>
      <c r="BA78" s="4">
        <v>111.6</v>
      </c>
      <c r="BB78" s="4"/>
      <c r="BC78" s="4"/>
      <c r="BD78" s="18">
        <v>25.9</v>
      </c>
      <c r="BE78" s="18">
        <v>1010</v>
      </c>
      <c r="BF78" s="18">
        <v>47</v>
      </c>
      <c r="BG78" s="4"/>
      <c r="BH78" s="4"/>
      <c r="BI78" s="4"/>
      <c r="BJ78" s="3" t="s">
        <v>161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6</v>
      </c>
      <c r="E79" s="2" t="s">
        <v>544</v>
      </c>
      <c r="F79" s="4" t="s">
        <v>15</v>
      </c>
      <c r="G79" s="4" t="s">
        <v>15</v>
      </c>
      <c r="H79" s="4" t="s">
        <v>223</v>
      </c>
      <c r="I79" s="7">
        <v>0.14860000000000001</v>
      </c>
      <c r="J79" s="7">
        <v>0.1492</v>
      </c>
      <c r="K79" s="7">
        <v>3.5999999999999999E-3</v>
      </c>
      <c r="L79" s="7"/>
      <c r="M79" s="7">
        <v>0.1452</v>
      </c>
      <c r="N79" s="7">
        <v>-0.65</v>
      </c>
      <c r="O79" s="4"/>
      <c r="P79" s="7">
        <v>1.2615000000000001</v>
      </c>
      <c r="T79" s="7">
        <v>60.4</v>
      </c>
      <c r="U79" s="7">
        <v>432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85.5</v>
      </c>
      <c r="AZ79" s="4"/>
      <c r="BA79" s="22">
        <v>117</v>
      </c>
      <c r="BB79" s="4"/>
      <c r="BC79" s="4"/>
      <c r="BD79" s="18">
        <v>25.9</v>
      </c>
      <c r="BE79" s="18">
        <v>1010</v>
      </c>
      <c r="BF79" s="18">
        <v>47</v>
      </c>
      <c r="BG79" s="4"/>
      <c r="BH79" s="4"/>
      <c r="BI79" s="4"/>
      <c r="BJ79" s="3" t="s">
        <v>162</v>
      </c>
      <c r="BK79"/>
      <c r="BL79"/>
      <c r="BM79"/>
      <c r="BR79"/>
    </row>
    <row r="80" spans="1:70" ht="28.5" x14ac:dyDescent="0.45">
      <c r="A80" s="2" t="s">
        <v>13</v>
      </c>
      <c r="B80" s="54" t="s">
        <v>28</v>
      </c>
      <c r="C80" s="3">
        <v>45229</v>
      </c>
      <c r="D80" s="8">
        <v>1</v>
      </c>
      <c r="E80" s="2" t="s">
        <v>542</v>
      </c>
      <c r="F80" s="4" t="s">
        <v>15</v>
      </c>
      <c r="G80" s="4" t="s">
        <v>577</v>
      </c>
      <c r="H80" s="4" t="s">
        <v>571</v>
      </c>
      <c r="I80" s="7">
        <v>0.1658</v>
      </c>
      <c r="J80" s="7">
        <v>0.1658</v>
      </c>
      <c r="K80" s="7">
        <v>3.3E-3</v>
      </c>
      <c r="L80" s="7"/>
      <c r="M80" s="7">
        <v>0.1623</v>
      </c>
      <c r="N80" s="7">
        <v>-0.74</v>
      </c>
      <c r="O80" s="4"/>
      <c r="P80" s="7">
        <v>1.2150000000000001</v>
      </c>
      <c r="T80" s="7">
        <v>64.400000000000006</v>
      </c>
      <c r="U80" s="7">
        <v>565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74.900000000000006</v>
      </c>
      <c r="AZ80" s="4"/>
      <c r="BA80" s="4">
        <v>111.6</v>
      </c>
      <c r="BB80" s="4"/>
      <c r="BC80" s="4"/>
      <c r="BD80" s="18">
        <v>25.9</v>
      </c>
      <c r="BE80" s="18">
        <v>1010</v>
      </c>
      <c r="BF80" s="18">
        <v>47</v>
      </c>
      <c r="BG80" s="4"/>
      <c r="BH80" s="4"/>
      <c r="BI80" s="18" t="s">
        <v>91</v>
      </c>
      <c r="BJ80" s="3" t="s">
        <v>163</v>
      </c>
      <c r="BK80"/>
      <c r="BL80"/>
      <c r="BM80"/>
      <c r="BR80"/>
    </row>
    <row r="81" spans="1:70" ht="28.5" x14ac:dyDescent="0.45">
      <c r="A81" s="2" t="s">
        <v>13</v>
      </c>
      <c r="B81" s="54" t="s">
        <v>28</v>
      </c>
      <c r="C81" s="3">
        <v>45229</v>
      </c>
      <c r="D81" s="8">
        <v>2</v>
      </c>
      <c r="E81" s="2" t="s">
        <v>542</v>
      </c>
      <c r="F81" s="4" t="s">
        <v>15</v>
      </c>
      <c r="G81" s="4" t="s">
        <v>577</v>
      </c>
      <c r="H81" s="4" t="s">
        <v>574</v>
      </c>
      <c r="I81" s="7">
        <v>0.1719</v>
      </c>
      <c r="J81" s="7">
        <v>0.1719</v>
      </c>
      <c r="K81" s="7">
        <v>4.7999999999999996E-3</v>
      </c>
      <c r="L81" s="7"/>
      <c r="M81" s="7">
        <v>0.16739999999999999</v>
      </c>
      <c r="N81" s="7">
        <v>-0.78</v>
      </c>
      <c r="O81" s="4"/>
      <c r="P81" s="7">
        <v>1.2150000000000001</v>
      </c>
      <c r="T81" s="7">
        <v>63.9</v>
      </c>
      <c r="U81" s="7">
        <v>568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80.099999999999994</v>
      </c>
      <c r="AZ81" s="4"/>
      <c r="BA81" s="22">
        <v>117</v>
      </c>
      <c r="BB81" s="4"/>
      <c r="BC81" s="4"/>
      <c r="BD81" s="18">
        <v>25.9</v>
      </c>
      <c r="BE81" s="18">
        <v>1010</v>
      </c>
      <c r="BF81" s="18">
        <v>47</v>
      </c>
      <c r="BG81" s="64"/>
      <c r="BH81" s="4"/>
      <c r="BI81" s="18" t="s">
        <v>92</v>
      </c>
      <c r="BJ81" s="3" t="s">
        <v>164</v>
      </c>
      <c r="BK81"/>
      <c r="BL81"/>
      <c r="BM81"/>
      <c r="BR81"/>
    </row>
    <row r="82" spans="1:70" ht="28.5" x14ac:dyDescent="0.45">
      <c r="A82" s="2" t="s">
        <v>13</v>
      </c>
      <c r="B82" s="54" t="s">
        <v>28</v>
      </c>
      <c r="C82" s="3">
        <v>45229</v>
      </c>
      <c r="D82" s="8">
        <v>3</v>
      </c>
      <c r="E82" s="2" t="s">
        <v>542</v>
      </c>
      <c r="F82" s="4" t="s">
        <v>15</v>
      </c>
      <c r="G82" s="4" t="s">
        <v>577</v>
      </c>
      <c r="H82" s="9" t="s">
        <v>573</v>
      </c>
      <c r="I82" s="7">
        <v>0.1696</v>
      </c>
      <c r="J82" s="7">
        <v>0.1696</v>
      </c>
      <c r="K82" s="7">
        <v>4.4000000000000003E-3</v>
      </c>
      <c r="L82" s="7"/>
      <c r="M82" s="7">
        <v>0.1676</v>
      </c>
      <c r="N82" s="7">
        <v>-0.7</v>
      </c>
      <c r="O82" s="4"/>
      <c r="P82" s="7">
        <v>1.2150000000000001</v>
      </c>
      <c r="T82" s="7">
        <v>64.2</v>
      </c>
      <c r="U82" s="7">
        <v>564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78.7</v>
      </c>
      <c r="AZ82" s="4"/>
      <c r="BA82" s="4">
        <v>111.6</v>
      </c>
      <c r="BB82" s="4"/>
      <c r="BC82" s="4"/>
      <c r="BD82" s="18">
        <v>26.4</v>
      </c>
      <c r="BE82" s="18">
        <v>1010</v>
      </c>
      <c r="BF82" s="18">
        <v>46.5</v>
      </c>
      <c r="BG82" s="4"/>
      <c r="BH82" s="4"/>
      <c r="BI82" s="4"/>
      <c r="BJ82" s="3" t="s">
        <v>165</v>
      </c>
      <c r="BK82"/>
      <c r="BL82"/>
      <c r="BM82"/>
      <c r="BR82"/>
    </row>
    <row r="83" spans="1:70" ht="28.5" x14ac:dyDescent="0.45">
      <c r="A83" s="2" t="s">
        <v>13</v>
      </c>
      <c r="B83" s="54" t="s">
        <v>28</v>
      </c>
      <c r="C83" s="3">
        <v>45229</v>
      </c>
      <c r="D83" s="8">
        <v>4</v>
      </c>
      <c r="E83" s="2" t="s">
        <v>542</v>
      </c>
      <c r="F83" s="4" t="s">
        <v>15</v>
      </c>
      <c r="G83" s="4" t="s">
        <v>577</v>
      </c>
      <c r="H83" s="4" t="s">
        <v>223</v>
      </c>
      <c r="I83" s="7">
        <v>0.16819999999999999</v>
      </c>
      <c r="J83" s="7">
        <v>0.16819999999999999</v>
      </c>
      <c r="K83" s="7">
        <v>3.7000000000000002E-3</v>
      </c>
      <c r="L83" s="7"/>
      <c r="M83" s="7">
        <v>0.16220000000000001</v>
      </c>
      <c r="N83" s="7">
        <v>-0.8</v>
      </c>
      <c r="O83" s="4"/>
      <c r="P83" s="7">
        <v>1.2150000000000001</v>
      </c>
      <c r="T83" s="7">
        <v>64.900000000000006</v>
      </c>
      <c r="U83" s="7">
        <v>573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85.2</v>
      </c>
      <c r="AZ83" s="4"/>
      <c r="BA83" s="22">
        <v>117</v>
      </c>
      <c r="BB83" s="4"/>
      <c r="BC83" s="4"/>
      <c r="BD83" s="18">
        <v>26.4</v>
      </c>
      <c r="BE83" s="18">
        <v>1010</v>
      </c>
      <c r="BF83" s="18">
        <v>46.5</v>
      </c>
      <c r="BG83" s="4"/>
      <c r="BH83" s="4"/>
      <c r="BI83" s="4"/>
      <c r="BJ83" s="3" t="s">
        <v>166</v>
      </c>
      <c r="BK83"/>
      <c r="BL83"/>
      <c r="BM83"/>
      <c r="BR83"/>
    </row>
    <row r="84" spans="1:70" ht="28.5" x14ac:dyDescent="0.45">
      <c r="A84" s="2" t="s">
        <v>13</v>
      </c>
      <c r="B84" s="54" t="s">
        <v>28</v>
      </c>
      <c r="C84" s="3">
        <v>45229</v>
      </c>
      <c r="D84" s="8">
        <v>5</v>
      </c>
      <c r="E84" s="2" t="s">
        <v>542</v>
      </c>
      <c r="F84" s="4" t="s">
        <v>15</v>
      </c>
      <c r="G84" s="4" t="s">
        <v>577</v>
      </c>
      <c r="H84" s="4" t="s">
        <v>574</v>
      </c>
      <c r="I84" s="7">
        <v>0.17169999999999999</v>
      </c>
      <c r="J84" s="7">
        <v>0.17169999999999999</v>
      </c>
      <c r="K84" s="7">
        <v>3.0999999999999999E-3</v>
      </c>
      <c r="L84" s="7"/>
      <c r="M84" s="7">
        <v>0.1666</v>
      </c>
      <c r="N84" s="7">
        <v>-0.78</v>
      </c>
      <c r="O84" s="4"/>
      <c r="P84" s="7">
        <v>1.2150000000000001</v>
      </c>
      <c r="T84" s="7">
        <v>64</v>
      </c>
      <c r="U84" s="7">
        <v>574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74.7</v>
      </c>
      <c r="AZ84" s="4"/>
      <c r="BA84" s="4">
        <v>111.6</v>
      </c>
      <c r="BB84" s="4"/>
      <c r="BC84" s="4"/>
      <c r="BD84" s="18">
        <v>26.4</v>
      </c>
      <c r="BE84" s="18">
        <v>1010</v>
      </c>
      <c r="BF84" s="18">
        <v>46.5</v>
      </c>
      <c r="BG84" s="4"/>
      <c r="BH84" s="4"/>
      <c r="BI84" s="4"/>
      <c r="BJ84" s="3" t="s">
        <v>167</v>
      </c>
      <c r="BK84"/>
      <c r="BL84"/>
      <c r="BM84"/>
      <c r="BR84"/>
    </row>
    <row r="85" spans="1:70" ht="28.5" x14ac:dyDescent="0.45">
      <c r="A85" s="2" t="s">
        <v>13</v>
      </c>
      <c r="B85" s="54" t="s">
        <v>28</v>
      </c>
      <c r="C85" s="3">
        <v>45229</v>
      </c>
      <c r="D85" s="8">
        <v>6</v>
      </c>
      <c r="E85" s="2" t="s">
        <v>542</v>
      </c>
      <c r="F85" s="4" t="s">
        <v>15</v>
      </c>
      <c r="G85" s="4" t="s">
        <v>577</v>
      </c>
      <c r="H85" s="9" t="s">
        <v>573</v>
      </c>
      <c r="I85" s="7">
        <v>0.1701</v>
      </c>
      <c r="J85" s="7">
        <v>0.1701</v>
      </c>
      <c r="K85" s="7">
        <v>6.4999999999999997E-3</v>
      </c>
      <c r="L85" s="7"/>
      <c r="M85" s="7">
        <v>0.16639999999999999</v>
      </c>
      <c r="N85" s="7">
        <v>-0.75</v>
      </c>
      <c r="O85" s="4"/>
      <c r="P85" s="7">
        <v>1.2150000000000001</v>
      </c>
      <c r="T85" s="7">
        <v>63.8</v>
      </c>
      <c r="U85" s="7">
        <v>555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80.2</v>
      </c>
      <c r="AZ85" s="4"/>
      <c r="BA85" s="22">
        <v>117</v>
      </c>
      <c r="BB85" s="4"/>
      <c r="BC85" s="4"/>
      <c r="BD85" s="18">
        <v>26.4</v>
      </c>
      <c r="BE85" s="18">
        <v>1010</v>
      </c>
      <c r="BF85" s="18">
        <v>46.5</v>
      </c>
      <c r="BG85" s="4"/>
      <c r="BH85" s="4"/>
      <c r="BI85" s="4"/>
      <c r="BJ85" s="3" t="s">
        <v>168</v>
      </c>
      <c r="BK85"/>
      <c r="BL85"/>
      <c r="BM85"/>
      <c r="BR85"/>
    </row>
    <row r="86" spans="1:70" ht="28.5" x14ac:dyDescent="0.45">
      <c r="A86" s="2" t="s">
        <v>43</v>
      </c>
      <c r="B86" s="54" t="s">
        <v>45</v>
      </c>
      <c r="C86" s="3">
        <v>45232</v>
      </c>
      <c r="D86" s="8">
        <v>1</v>
      </c>
      <c r="E86" s="2" t="s">
        <v>556</v>
      </c>
      <c r="F86" s="4" t="s">
        <v>559</v>
      </c>
      <c r="G86" s="4" t="s">
        <v>15</v>
      </c>
      <c r="H86" s="4" t="s">
        <v>223</v>
      </c>
      <c r="I86" s="7">
        <v>0.15820000000000001</v>
      </c>
      <c r="J86" s="7">
        <v>0.15820000000000001</v>
      </c>
      <c r="K86" s="7">
        <v>1.2999999999999999E-3</v>
      </c>
      <c r="L86" s="7"/>
      <c r="M86" s="7">
        <v>0.15570000000000001</v>
      </c>
      <c r="N86" s="7">
        <v>-0.36</v>
      </c>
      <c r="O86" s="4"/>
      <c r="P86" s="7">
        <v>1.2769999999999999</v>
      </c>
      <c r="T86" s="7">
        <v>59.7</v>
      </c>
      <c r="U86" s="7">
        <v>437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78.7</v>
      </c>
      <c r="AZ86" s="4"/>
      <c r="BA86" s="4">
        <v>111.6</v>
      </c>
      <c r="BB86" s="4"/>
      <c r="BC86" s="4"/>
      <c r="BD86" s="18">
        <v>26.4</v>
      </c>
      <c r="BE86" s="18">
        <v>1010</v>
      </c>
      <c r="BF86" s="18">
        <v>46.5</v>
      </c>
      <c r="BG86" s="4"/>
      <c r="BH86" s="4"/>
      <c r="BI86" s="4"/>
      <c r="BJ86" s="3" t="s">
        <v>180</v>
      </c>
      <c r="BK86"/>
      <c r="BL86"/>
      <c r="BM86"/>
      <c r="BR86"/>
    </row>
    <row r="87" spans="1:70" ht="28.5" x14ac:dyDescent="0.45">
      <c r="A87" s="2" t="s">
        <v>43</v>
      </c>
      <c r="B87" s="54" t="s">
        <v>45</v>
      </c>
      <c r="C87" s="3">
        <v>45232</v>
      </c>
      <c r="D87" s="8">
        <v>2</v>
      </c>
      <c r="E87" s="2" t="s">
        <v>556</v>
      </c>
      <c r="F87" s="4" t="s">
        <v>559</v>
      </c>
      <c r="G87" s="4" t="s">
        <v>15</v>
      </c>
      <c r="H87" s="4" t="s">
        <v>571</v>
      </c>
      <c r="I87" s="7">
        <v>0.1593</v>
      </c>
      <c r="J87" s="7">
        <v>0.1593</v>
      </c>
      <c r="K87" s="7">
        <v>2E-3</v>
      </c>
      <c r="L87" s="7"/>
      <c r="M87" s="7">
        <v>0.15909999999999999</v>
      </c>
      <c r="N87" s="7">
        <v>-0.3</v>
      </c>
      <c r="O87" s="4"/>
      <c r="P87" s="7">
        <v>1.2769999999999999</v>
      </c>
      <c r="T87" s="7">
        <v>59.4</v>
      </c>
      <c r="U87" s="7">
        <v>434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26.4</v>
      </c>
      <c r="BE87" s="18">
        <v>1010</v>
      </c>
      <c r="BF87" s="18">
        <v>46.5</v>
      </c>
      <c r="BG87" s="4"/>
      <c r="BH87" s="4"/>
      <c r="BI87" s="4" t="s">
        <v>90</v>
      </c>
      <c r="BJ87" s="3" t="s">
        <v>181</v>
      </c>
      <c r="BK87"/>
      <c r="BL87"/>
      <c r="BM87"/>
      <c r="BR87"/>
    </row>
    <row r="88" spans="1:70" ht="28.5" x14ac:dyDescent="0.45">
      <c r="A88" s="2" t="s">
        <v>43</v>
      </c>
      <c r="B88" s="54" t="s">
        <v>45</v>
      </c>
      <c r="C88" s="3">
        <v>45232</v>
      </c>
      <c r="D88" s="8">
        <v>3</v>
      </c>
      <c r="E88" s="2" t="s">
        <v>556</v>
      </c>
      <c r="F88" s="4" t="s">
        <v>559</v>
      </c>
      <c r="G88" s="4" t="s">
        <v>15</v>
      </c>
      <c r="H88" s="9" t="s">
        <v>573</v>
      </c>
      <c r="I88" s="7">
        <v>0.15809999999999999</v>
      </c>
      <c r="J88" s="7">
        <v>0.15809999999999999</v>
      </c>
      <c r="K88" s="7">
        <v>4.0000000000000001E-3</v>
      </c>
      <c r="L88" s="7"/>
      <c r="M88" s="7">
        <v>0.15759999999999999</v>
      </c>
      <c r="N88" s="7">
        <v>-0.33</v>
      </c>
      <c r="O88" s="4"/>
      <c r="P88" s="7">
        <v>1.2769999999999999</v>
      </c>
      <c r="T88" s="7">
        <v>58.9</v>
      </c>
      <c r="U88" s="7">
        <v>430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74.8</v>
      </c>
      <c r="AZ88" s="4"/>
      <c r="BA88" s="4">
        <v>111.6</v>
      </c>
      <c r="BB88" s="4"/>
      <c r="BC88" s="4"/>
      <c r="BD88" s="18">
        <v>26.4</v>
      </c>
      <c r="BE88" s="18">
        <v>1010</v>
      </c>
      <c r="BF88" s="18">
        <v>46.5</v>
      </c>
      <c r="BG88" s="4"/>
      <c r="BH88" s="4"/>
      <c r="BI88" s="4"/>
      <c r="BJ88" s="3" t="s">
        <v>182</v>
      </c>
      <c r="BK88"/>
      <c r="BL88"/>
      <c r="BM88"/>
      <c r="BR88"/>
    </row>
    <row r="89" spans="1:70" ht="28.5" x14ac:dyDescent="0.45">
      <c r="A89" s="2" t="s">
        <v>43</v>
      </c>
      <c r="B89" s="54" t="s">
        <v>45</v>
      </c>
      <c r="C89" s="3">
        <v>45232</v>
      </c>
      <c r="D89" s="8">
        <v>4</v>
      </c>
      <c r="E89" s="2" t="s">
        <v>556</v>
      </c>
      <c r="F89" s="4" t="s">
        <v>559</v>
      </c>
      <c r="G89" s="4" t="s">
        <v>15</v>
      </c>
      <c r="H89" s="4" t="s">
        <v>223</v>
      </c>
      <c r="I89" s="7">
        <v>0.1573</v>
      </c>
      <c r="J89" s="7">
        <v>0.1573</v>
      </c>
      <c r="K89" s="7">
        <v>2.5000000000000001E-3</v>
      </c>
      <c r="L89" s="7"/>
      <c r="M89" s="7">
        <v>0.15809999999999999</v>
      </c>
      <c r="N89" s="7">
        <v>-0.34</v>
      </c>
      <c r="O89" s="4"/>
      <c r="P89" s="7">
        <v>1.2769999999999999</v>
      </c>
      <c r="T89" s="7">
        <v>59.3</v>
      </c>
      <c r="U89" s="7">
        <v>434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80</v>
      </c>
      <c r="AZ89" s="4"/>
      <c r="BA89" s="22">
        <v>117</v>
      </c>
      <c r="BB89" s="4"/>
      <c r="BC89" s="4"/>
      <c r="BD89" s="18">
        <v>26.4</v>
      </c>
      <c r="BE89" s="18">
        <v>1010</v>
      </c>
      <c r="BF89" s="18">
        <v>46.5</v>
      </c>
      <c r="BG89" s="4"/>
      <c r="BH89" s="4"/>
      <c r="BI89" s="4"/>
      <c r="BJ89" s="3" t="s">
        <v>183</v>
      </c>
      <c r="BK89"/>
      <c r="BL89"/>
      <c r="BM89"/>
      <c r="BR89"/>
    </row>
    <row r="90" spans="1:70" ht="28.5" x14ac:dyDescent="0.45">
      <c r="A90" s="2" t="s">
        <v>43</v>
      </c>
      <c r="B90" s="54" t="s">
        <v>45</v>
      </c>
      <c r="C90" s="3">
        <v>45232</v>
      </c>
      <c r="D90" s="8">
        <v>5</v>
      </c>
      <c r="E90" s="2" t="s">
        <v>556</v>
      </c>
      <c r="F90" s="4" t="s">
        <v>559</v>
      </c>
      <c r="G90" s="4" t="s">
        <v>15</v>
      </c>
      <c r="H90" s="4" t="s">
        <v>571</v>
      </c>
      <c r="I90" s="7">
        <v>0.1585</v>
      </c>
      <c r="J90" s="7">
        <v>0.1585</v>
      </c>
      <c r="K90" s="7">
        <v>1.2999999999999999E-3</v>
      </c>
      <c r="L90" s="7"/>
      <c r="M90" s="7">
        <v>0.157</v>
      </c>
      <c r="N90" s="7">
        <v>-0.35</v>
      </c>
      <c r="O90" s="4"/>
      <c r="P90" s="7">
        <v>1.2769999999999999</v>
      </c>
      <c r="T90" s="7">
        <v>59.5</v>
      </c>
      <c r="U90" s="7">
        <v>431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78.5</v>
      </c>
      <c r="AZ90" s="4"/>
      <c r="BA90" s="4">
        <v>111.6</v>
      </c>
      <c r="BB90" s="4"/>
      <c r="BC90" s="4"/>
      <c r="BD90" s="18">
        <v>26.7</v>
      </c>
      <c r="BE90" s="18">
        <v>1010</v>
      </c>
      <c r="BF90" s="18">
        <v>46.7</v>
      </c>
      <c r="BG90" s="4"/>
      <c r="BH90" s="4"/>
      <c r="BI90" s="4"/>
      <c r="BJ90" s="3" t="s">
        <v>197</v>
      </c>
      <c r="BK90"/>
      <c r="BL90"/>
      <c r="BM90"/>
      <c r="BR90"/>
    </row>
    <row r="91" spans="1:70" ht="28.5" x14ac:dyDescent="0.45">
      <c r="A91" s="2" t="s">
        <v>43</v>
      </c>
      <c r="B91" s="54" t="s">
        <v>45</v>
      </c>
      <c r="C91" s="3">
        <v>45232</v>
      </c>
      <c r="D91" s="8">
        <v>6</v>
      </c>
      <c r="E91" s="2" t="s">
        <v>556</v>
      </c>
      <c r="F91" s="4" t="s">
        <v>559</v>
      </c>
      <c r="G91" s="4" t="s">
        <v>15</v>
      </c>
      <c r="H91" s="9" t="s">
        <v>573</v>
      </c>
      <c r="I91" s="7">
        <v>0.16059999999999999</v>
      </c>
      <c r="J91" s="7">
        <v>0.16059999999999999</v>
      </c>
      <c r="K91" s="7">
        <v>3.5000000000000001E-3</v>
      </c>
      <c r="L91" s="7"/>
      <c r="M91" s="7">
        <v>0.16059999999999999</v>
      </c>
      <c r="N91" s="7">
        <v>-0.28999999999999998</v>
      </c>
      <c r="O91" s="4"/>
      <c r="P91" s="7">
        <v>1.2769999999999999</v>
      </c>
      <c r="T91" s="7">
        <v>59.5</v>
      </c>
      <c r="U91" s="7">
        <v>434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85.3</v>
      </c>
      <c r="AZ91" s="4"/>
      <c r="BA91" s="22">
        <v>117</v>
      </c>
      <c r="BB91" s="4"/>
      <c r="BC91" s="4"/>
      <c r="BD91" s="18">
        <v>26.7</v>
      </c>
      <c r="BE91" s="18">
        <v>1010</v>
      </c>
      <c r="BF91" s="18">
        <v>46.7</v>
      </c>
      <c r="BG91" s="4"/>
      <c r="BH91" s="4"/>
      <c r="BI91" s="4"/>
      <c r="BJ91" s="3" t="s">
        <v>173</v>
      </c>
      <c r="BK91"/>
      <c r="BL91"/>
      <c r="BM91"/>
      <c r="BR91"/>
    </row>
    <row r="92" spans="1:70" ht="28.5" x14ac:dyDescent="0.45">
      <c r="A92" s="2" t="s">
        <v>13</v>
      </c>
      <c r="B92" s="54" t="s">
        <v>17</v>
      </c>
      <c r="C92" s="3">
        <v>45232</v>
      </c>
      <c r="D92" s="8">
        <v>1</v>
      </c>
      <c r="E92" s="2" t="s">
        <v>212</v>
      </c>
      <c r="F92" s="4" t="s">
        <v>89</v>
      </c>
      <c r="G92" s="4" t="s">
        <v>577</v>
      </c>
      <c r="H92" s="4" t="s">
        <v>571</v>
      </c>
      <c r="I92" s="7">
        <v>0.1668</v>
      </c>
      <c r="J92" s="7">
        <v>0.1668</v>
      </c>
      <c r="K92" s="7">
        <v>4.4999999999999997E-3</v>
      </c>
      <c r="L92" s="7"/>
      <c r="M92" s="7">
        <v>0.1671</v>
      </c>
      <c r="N92" s="7">
        <v>-0.32</v>
      </c>
      <c r="O92" s="4"/>
      <c r="P92" s="7">
        <v>1.2755000000000001</v>
      </c>
      <c r="T92" s="7">
        <v>64.400000000000006</v>
      </c>
      <c r="U92" s="7">
        <v>594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74.599999999999994</v>
      </c>
      <c r="AZ92" s="4"/>
      <c r="BA92" s="4">
        <v>111.6</v>
      </c>
      <c r="BB92" s="4"/>
      <c r="BC92" s="4"/>
      <c r="BD92" s="18">
        <v>26.7</v>
      </c>
      <c r="BE92" s="18">
        <v>1010</v>
      </c>
      <c r="BF92" s="18">
        <v>46.7</v>
      </c>
      <c r="BG92" s="4"/>
      <c r="BH92" s="4"/>
      <c r="BI92" s="4"/>
      <c r="BJ92" s="3" t="s">
        <v>175</v>
      </c>
      <c r="BK92"/>
      <c r="BL92"/>
      <c r="BM92"/>
      <c r="BR92"/>
    </row>
    <row r="93" spans="1:70" ht="28.5" x14ac:dyDescent="0.45">
      <c r="A93" s="2" t="s">
        <v>13</v>
      </c>
      <c r="B93" s="54" t="s">
        <v>17</v>
      </c>
      <c r="C93" s="3">
        <v>45232</v>
      </c>
      <c r="D93" s="8">
        <v>2</v>
      </c>
      <c r="E93" s="2" t="s">
        <v>212</v>
      </c>
      <c r="F93" s="4" t="s">
        <v>89</v>
      </c>
      <c r="G93" s="4" t="s">
        <v>577</v>
      </c>
      <c r="H93" s="4" t="s">
        <v>378</v>
      </c>
      <c r="I93" s="7">
        <v>0.16520000000000001</v>
      </c>
      <c r="J93" s="7">
        <v>0.16520000000000001</v>
      </c>
      <c r="K93" s="7">
        <v>4.0000000000000001E-3</v>
      </c>
      <c r="L93" s="7"/>
      <c r="M93" s="7">
        <v>0.16719999999999999</v>
      </c>
      <c r="N93" s="7">
        <v>-0.28999999999999998</v>
      </c>
      <c r="O93" s="4"/>
      <c r="P93" s="7">
        <v>1.2755000000000001</v>
      </c>
      <c r="T93" s="7">
        <v>63.7</v>
      </c>
      <c r="U93" s="7">
        <v>580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80.099999999999994</v>
      </c>
      <c r="AZ93" s="4"/>
      <c r="BA93" s="22">
        <v>117</v>
      </c>
      <c r="BB93" s="4"/>
      <c r="BC93" s="4"/>
      <c r="BD93" s="18">
        <v>26.7</v>
      </c>
      <c r="BE93" s="18">
        <v>1010</v>
      </c>
      <c r="BF93" s="18">
        <v>46.7</v>
      </c>
      <c r="BG93" s="4"/>
      <c r="BH93" s="4"/>
      <c r="BI93" s="4"/>
      <c r="BJ93" s="3" t="s">
        <v>174</v>
      </c>
      <c r="BK93"/>
      <c r="BL93"/>
      <c r="BM93"/>
      <c r="BR93"/>
    </row>
    <row r="94" spans="1:70" ht="28.5" x14ac:dyDescent="0.45">
      <c r="A94" s="2" t="s">
        <v>13</v>
      </c>
      <c r="B94" s="54" t="s">
        <v>17</v>
      </c>
      <c r="C94" s="3">
        <v>45232</v>
      </c>
      <c r="D94" s="8">
        <v>3</v>
      </c>
      <c r="E94" s="2" t="s">
        <v>212</v>
      </c>
      <c r="F94" s="4" t="s">
        <v>89</v>
      </c>
      <c r="G94" s="4" t="s">
        <v>577</v>
      </c>
      <c r="H94" s="4" t="s">
        <v>223</v>
      </c>
      <c r="I94" s="7">
        <v>0.16739999999999999</v>
      </c>
      <c r="J94" s="7">
        <v>0.16739999999999999</v>
      </c>
      <c r="K94" s="7">
        <v>3.5000000000000001E-3</v>
      </c>
      <c r="L94" s="7"/>
      <c r="M94" s="7">
        <v>0.16889999999999999</v>
      </c>
      <c r="N94" s="7">
        <v>-0.35</v>
      </c>
      <c r="O94" s="4"/>
      <c r="P94" s="7">
        <v>1.2755000000000001</v>
      </c>
      <c r="T94" s="7">
        <v>64.5</v>
      </c>
      <c r="U94" s="7">
        <v>584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18">
        <v>1010</v>
      </c>
      <c r="BF94" s="18">
        <v>46.7</v>
      </c>
      <c r="BG94" s="4"/>
      <c r="BH94" s="4"/>
      <c r="BI94" s="4"/>
      <c r="BJ94" s="3" t="s">
        <v>176</v>
      </c>
      <c r="BK94"/>
      <c r="BL94"/>
      <c r="BM94"/>
      <c r="BR94"/>
    </row>
    <row r="95" spans="1:70" ht="28.5" x14ac:dyDescent="0.45">
      <c r="A95" s="2" t="s">
        <v>13</v>
      </c>
      <c r="B95" s="54" t="s">
        <v>17</v>
      </c>
      <c r="C95" s="3">
        <v>45232</v>
      </c>
      <c r="D95" s="8">
        <v>4</v>
      </c>
      <c r="E95" s="2" t="s">
        <v>212</v>
      </c>
      <c r="F95" s="4" t="s">
        <v>89</v>
      </c>
      <c r="G95" s="4" t="s">
        <v>577</v>
      </c>
      <c r="H95" s="4" t="s">
        <v>571</v>
      </c>
      <c r="I95" s="48"/>
      <c r="J95" s="48"/>
      <c r="K95" s="48"/>
      <c r="L95" s="7"/>
      <c r="M95" s="7">
        <v>0.16839999999999999</v>
      </c>
      <c r="O95" s="4"/>
      <c r="P95" s="7">
        <v>1.2755000000000001</v>
      </c>
      <c r="T95" s="7">
        <v>64.8</v>
      </c>
      <c r="U95" s="7">
        <v>609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85.3</v>
      </c>
      <c r="AZ95" s="4"/>
      <c r="BA95" s="22">
        <v>117</v>
      </c>
      <c r="BB95" s="4"/>
      <c r="BC95" s="4"/>
      <c r="BD95" s="18">
        <v>26.7</v>
      </c>
      <c r="BE95" s="18">
        <v>1010</v>
      </c>
      <c r="BF95" s="18">
        <v>46.7</v>
      </c>
      <c r="BG95" s="4"/>
      <c r="BH95" s="4"/>
      <c r="BI95" s="4"/>
      <c r="BJ95" s="3" t="s">
        <v>177</v>
      </c>
      <c r="BK95"/>
      <c r="BL95"/>
      <c r="BM95"/>
      <c r="BR95"/>
    </row>
    <row r="96" spans="1:70" ht="28.5" x14ac:dyDescent="0.45">
      <c r="A96" s="2" t="s">
        <v>13</v>
      </c>
      <c r="B96" s="54" t="s">
        <v>17</v>
      </c>
      <c r="C96" s="3">
        <v>45232</v>
      </c>
      <c r="D96" s="8">
        <v>5</v>
      </c>
      <c r="E96" s="2" t="s">
        <v>212</v>
      </c>
      <c r="F96" s="4" t="s">
        <v>89</v>
      </c>
      <c r="G96" s="4" t="s">
        <v>577</v>
      </c>
      <c r="H96" s="4" t="s">
        <v>378</v>
      </c>
      <c r="I96" s="7">
        <v>0.16719999999999999</v>
      </c>
      <c r="J96" s="7">
        <v>0.16719999999999999</v>
      </c>
      <c r="K96" s="7">
        <v>6.3E-3</v>
      </c>
      <c r="L96" s="7"/>
      <c r="M96" s="7">
        <v>0.16980000000000001</v>
      </c>
      <c r="N96" s="7">
        <v>-0.34</v>
      </c>
      <c r="O96" s="4"/>
      <c r="P96" s="7">
        <v>1.2755000000000001</v>
      </c>
      <c r="T96" s="7">
        <v>64.2</v>
      </c>
      <c r="U96" s="7">
        <v>600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26.7</v>
      </c>
      <c r="BE96" s="18">
        <v>1010</v>
      </c>
      <c r="BF96" s="18">
        <v>46.7</v>
      </c>
      <c r="BG96" s="4"/>
      <c r="BH96" s="4"/>
      <c r="BI96" s="4"/>
      <c r="BJ96" s="3" t="s">
        <v>198</v>
      </c>
      <c r="BK96"/>
      <c r="BL96"/>
      <c r="BM96"/>
      <c r="BR96"/>
    </row>
    <row r="97" spans="1:70" ht="28.5" x14ac:dyDescent="0.45">
      <c r="A97" s="2" t="s">
        <v>13</v>
      </c>
      <c r="B97" s="54" t="s">
        <v>17</v>
      </c>
      <c r="C97" s="3">
        <v>45232</v>
      </c>
      <c r="D97" s="8">
        <v>6</v>
      </c>
      <c r="E97" s="2" t="s">
        <v>212</v>
      </c>
      <c r="F97" s="4" t="s">
        <v>89</v>
      </c>
      <c r="G97" s="4" t="s">
        <v>577</v>
      </c>
      <c r="H97" s="4" t="s">
        <v>223</v>
      </c>
      <c r="I97" s="7">
        <v>0.17050000000000001</v>
      </c>
      <c r="J97" s="7">
        <v>0.17050000000000001</v>
      </c>
      <c r="K97" s="7">
        <v>5.3E-3</v>
      </c>
      <c r="L97" s="7"/>
      <c r="M97" s="7">
        <v>0.1691</v>
      </c>
      <c r="N97" s="7">
        <v>-0.33</v>
      </c>
      <c r="O97" s="4"/>
      <c r="P97" s="7">
        <v>1.2755000000000001</v>
      </c>
      <c r="T97" s="7">
        <v>65.2</v>
      </c>
      <c r="U97" s="7">
        <v>590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79.900000000000006</v>
      </c>
      <c r="AZ97" s="4"/>
      <c r="BA97" s="22">
        <v>117</v>
      </c>
      <c r="BB97" s="4"/>
      <c r="BC97" s="4"/>
      <c r="BD97" s="18">
        <v>26.7</v>
      </c>
      <c r="BE97" s="18">
        <v>1010</v>
      </c>
      <c r="BF97" s="18">
        <v>46.7</v>
      </c>
      <c r="BG97" s="4"/>
      <c r="BH97" s="4"/>
      <c r="BI97" s="4"/>
      <c r="BJ97" s="3" t="s">
        <v>178</v>
      </c>
      <c r="BK97"/>
      <c r="BL97"/>
      <c r="BM97"/>
      <c r="BR97"/>
    </row>
    <row r="98" spans="1:70" ht="28.5" x14ac:dyDescent="0.45">
      <c r="A98" s="2" t="s">
        <v>13</v>
      </c>
      <c r="B98" s="54" t="s">
        <v>17</v>
      </c>
      <c r="C98" s="3">
        <v>45232</v>
      </c>
      <c r="D98" s="8">
        <v>7</v>
      </c>
      <c r="E98" s="2" t="s">
        <v>212</v>
      </c>
      <c r="F98" s="4" t="s">
        <v>89</v>
      </c>
      <c r="G98" s="4" t="s">
        <v>577</v>
      </c>
      <c r="H98" s="4" t="s">
        <v>571</v>
      </c>
      <c r="I98" s="7">
        <v>0.16789999999999999</v>
      </c>
      <c r="J98" s="7">
        <v>0.16789999999999999</v>
      </c>
      <c r="K98" s="7">
        <v>2.3E-3</v>
      </c>
      <c r="L98" s="7"/>
      <c r="M98" s="7">
        <v>0.1699</v>
      </c>
      <c r="N98" s="7">
        <v>-0.3</v>
      </c>
      <c r="O98" s="4"/>
      <c r="P98" s="7">
        <v>1.2755000000000001</v>
      </c>
      <c r="T98" s="7">
        <v>65.2</v>
      </c>
      <c r="U98" s="7">
        <v>605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85.3</v>
      </c>
      <c r="AZ98" s="4"/>
      <c r="BA98" s="22">
        <v>117</v>
      </c>
      <c r="BB98" s="4"/>
      <c r="BC98" s="4"/>
      <c r="BD98" s="18">
        <v>26.7</v>
      </c>
      <c r="BE98" s="18">
        <v>1010</v>
      </c>
      <c r="BF98" s="18">
        <v>46.7</v>
      </c>
      <c r="BG98" s="4"/>
      <c r="BH98" s="4"/>
      <c r="BI98" s="4"/>
      <c r="BJ98" s="3" t="s">
        <v>179</v>
      </c>
      <c r="BK98"/>
      <c r="BL98"/>
      <c r="BM98"/>
      <c r="BR98"/>
    </row>
    <row r="99" spans="1:70" ht="28.5" x14ac:dyDescent="0.45">
      <c r="A99" s="2" t="s">
        <v>43</v>
      </c>
      <c r="B99" s="54" t="s">
        <v>79</v>
      </c>
      <c r="C99" s="3">
        <v>45232</v>
      </c>
      <c r="D99" s="8">
        <v>1</v>
      </c>
      <c r="E99" s="2" t="s">
        <v>547</v>
      </c>
      <c r="F99" s="4" t="s">
        <v>562</v>
      </c>
      <c r="G99" s="4" t="s">
        <v>15</v>
      </c>
      <c r="H99" s="4" t="s">
        <v>223</v>
      </c>
      <c r="I99" s="7">
        <v>0.1477</v>
      </c>
      <c r="J99" s="7">
        <v>0.1477</v>
      </c>
      <c r="K99" s="7">
        <v>1.2800000000000001E-2</v>
      </c>
      <c r="L99" s="7"/>
      <c r="M99" s="7">
        <v>0.1439</v>
      </c>
      <c r="N99" s="7">
        <v>-0.35</v>
      </c>
      <c r="O99" s="4"/>
      <c r="P99" s="7">
        <v>1.292</v>
      </c>
      <c r="T99" s="7">
        <v>60.5</v>
      </c>
      <c r="U99" s="7">
        <v>431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80.2</v>
      </c>
      <c r="AZ99" s="4"/>
      <c r="BA99" s="4">
        <v>111.6</v>
      </c>
      <c r="BB99" s="4"/>
      <c r="BC99" s="4"/>
      <c r="BD99" s="4">
        <v>23.9</v>
      </c>
      <c r="BE99" s="4">
        <v>1010</v>
      </c>
      <c r="BF99" s="63">
        <v>48.2</v>
      </c>
      <c r="BG99" s="63"/>
      <c r="BH99" s="4"/>
      <c r="BI99" s="4"/>
      <c r="BJ99" s="3" t="s">
        <v>193</v>
      </c>
      <c r="BK99"/>
      <c r="BL99"/>
      <c r="BM99"/>
      <c r="BR99"/>
    </row>
    <row r="100" spans="1:70" ht="28.5" x14ac:dyDescent="0.45">
      <c r="A100" s="2" t="s">
        <v>43</v>
      </c>
      <c r="B100" s="54" t="s">
        <v>79</v>
      </c>
      <c r="C100" s="3">
        <v>45232</v>
      </c>
      <c r="D100" s="8">
        <v>2</v>
      </c>
      <c r="E100" s="2" t="s">
        <v>547</v>
      </c>
      <c r="F100" s="4" t="s">
        <v>216</v>
      </c>
      <c r="G100" s="4" t="s">
        <v>15</v>
      </c>
      <c r="H100" s="4" t="s">
        <v>223</v>
      </c>
      <c r="I100" s="7">
        <v>0.14399999999999999</v>
      </c>
      <c r="J100" s="7">
        <v>0.14399999999999999</v>
      </c>
      <c r="K100" s="7">
        <v>1.8E-3</v>
      </c>
      <c r="L100" s="7"/>
      <c r="M100" s="7">
        <v>0.1457</v>
      </c>
      <c r="N100" s="7">
        <v>-0.35</v>
      </c>
      <c r="O100" s="4"/>
      <c r="P100" s="7">
        <v>1.292</v>
      </c>
      <c r="T100" s="7">
        <v>59</v>
      </c>
      <c r="U100" s="7">
        <v>395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85.5</v>
      </c>
      <c r="AZ100" s="4"/>
      <c r="BA100" s="22">
        <v>117</v>
      </c>
      <c r="BB100" s="4"/>
      <c r="BC100" s="4"/>
      <c r="BD100" s="4">
        <v>23.9</v>
      </c>
      <c r="BE100" s="4">
        <v>1010</v>
      </c>
      <c r="BF100" s="63">
        <v>48.2</v>
      </c>
      <c r="BG100" s="63"/>
      <c r="BH100" s="4"/>
      <c r="BI100" s="13" t="s">
        <v>95</v>
      </c>
      <c r="BJ100" s="3" t="s">
        <v>194</v>
      </c>
      <c r="BK100"/>
      <c r="BL100"/>
      <c r="BM100"/>
      <c r="BR100"/>
    </row>
    <row r="101" spans="1:70" ht="28.5" x14ac:dyDescent="0.45">
      <c r="A101" s="2" t="s">
        <v>43</v>
      </c>
      <c r="B101" s="54" t="s">
        <v>79</v>
      </c>
      <c r="C101" s="3">
        <v>45232</v>
      </c>
      <c r="D101" s="8">
        <v>3</v>
      </c>
      <c r="E101" s="2" t="s">
        <v>547</v>
      </c>
      <c r="F101" s="4" t="s">
        <v>559</v>
      </c>
      <c r="G101" s="4" t="s">
        <v>15</v>
      </c>
      <c r="H101" s="4" t="s">
        <v>223</v>
      </c>
      <c r="I101" s="7">
        <v>0.1454</v>
      </c>
      <c r="J101" s="7">
        <v>0.1454</v>
      </c>
      <c r="K101" s="7">
        <v>2.3999999999999998E-3</v>
      </c>
      <c r="L101" s="7"/>
      <c r="M101" s="7">
        <v>0.14610000000000001</v>
      </c>
      <c r="N101" s="7">
        <v>-0.32</v>
      </c>
      <c r="O101" s="4"/>
      <c r="P101" s="7">
        <v>1.292</v>
      </c>
      <c r="T101" s="7">
        <v>59.8</v>
      </c>
      <c r="U101" s="7">
        <v>411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75.5</v>
      </c>
      <c r="AZ101" s="4"/>
      <c r="BA101" s="4">
        <v>111.6</v>
      </c>
      <c r="BB101" s="4"/>
      <c r="BC101" s="4"/>
      <c r="BD101" s="4">
        <v>23.9</v>
      </c>
      <c r="BE101" s="4">
        <v>1010</v>
      </c>
      <c r="BF101" s="63">
        <v>48.2</v>
      </c>
      <c r="BG101" s="63"/>
      <c r="BH101" s="4"/>
      <c r="BI101" s="4"/>
      <c r="BJ101" s="3" t="s">
        <v>195</v>
      </c>
      <c r="BK101"/>
      <c r="BL101"/>
      <c r="BM101"/>
      <c r="BR101"/>
    </row>
    <row r="102" spans="1:70" ht="42.75" x14ac:dyDescent="0.45">
      <c r="A102" s="2" t="s">
        <v>43</v>
      </c>
      <c r="B102" s="54" t="s">
        <v>79</v>
      </c>
      <c r="C102" s="3">
        <v>45232</v>
      </c>
      <c r="D102" s="8">
        <v>4</v>
      </c>
      <c r="E102" s="2" t="s">
        <v>547</v>
      </c>
      <c r="F102" s="4" t="s">
        <v>562</v>
      </c>
      <c r="G102" s="4" t="s">
        <v>15</v>
      </c>
      <c r="H102" s="4" t="s">
        <v>223</v>
      </c>
      <c r="I102" s="48"/>
      <c r="J102" s="48"/>
      <c r="K102" s="48"/>
      <c r="L102" s="7"/>
      <c r="M102" s="7">
        <v>0.1439</v>
      </c>
      <c r="O102" s="4"/>
      <c r="P102" s="7">
        <v>1.292</v>
      </c>
      <c r="T102" s="7">
        <v>60.1</v>
      </c>
      <c r="U102" s="7">
        <v>412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80.2</v>
      </c>
      <c r="AZ102" s="4"/>
      <c r="BA102" s="4">
        <v>111.6</v>
      </c>
      <c r="BB102" s="4"/>
      <c r="BC102" s="4"/>
      <c r="BD102" s="4">
        <v>24.1</v>
      </c>
      <c r="BE102" s="4">
        <v>1010</v>
      </c>
      <c r="BF102" s="63">
        <v>48.2</v>
      </c>
      <c r="BG102" s="63"/>
      <c r="BH102" s="4"/>
      <c r="BI102" s="4" t="s">
        <v>94</v>
      </c>
      <c r="BJ102" s="3" t="s">
        <v>184</v>
      </c>
      <c r="BK102"/>
      <c r="BL102"/>
      <c r="BM102"/>
      <c r="BR102"/>
    </row>
    <row r="103" spans="1:70" ht="28.5" x14ac:dyDescent="0.45">
      <c r="A103" s="2" t="s">
        <v>43</v>
      </c>
      <c r="B103" s="54" t="s">
        <v>79</v>
      </c>
      <c r="C103" s="3">
        <v>45232</v>
      </c>
      <c r="D103" s="8">
        <v>5</v>
      </c>
      <c r="E103" s="2" t="s">
        <v>547</v>
      </c>
      <c r="F103" s="4" t="s">
        <v>216</v>
      </c>
      <c r="G103" s="4" t="s">
        <v>15</v>
      </c>
      <c r="H103" s="4" t="s">
        <v>223</v>
      </c>
      <c r="I103" s="7">
        <v>0.14360000000000001</v>
      </c>
      <c r="J103" s="7">
        <v>0.14360000000000001</v>
      </c>
      <c r="K103" s="7">
        <v>2.5999999999999999E-3</v>
      </c>
      <c r="L103" s="7"/>
      <c r="M103" s="7">
        <v>0.14710000000000001</v>
      </c>
      <c r="N103" s="7">
        <v>-0.32</v>
      </c>
      <c r="O103" s="4"/>
      <c r="P103" s="7">
        <v>1.292</v>
      </c>
      <c r="T103" s="7">
        <v>60.4</v>
      </c>
      <c r="U103" s="7">
        <v>429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85.4</v>
      </c>
      <c r="AZ103" s="4"/>
      <c r="BA103" s="22">
        <v>117</v>
      </c>
      <c r="BB103" s="4"/>
      <c r="BC103" s="4"/>
      <c r="BD103" s="4">
        <v>24.1</v>
      </c>
      <c r="BE103" s="4">
        <v>1010</v>
      </c>
      <c r="BF103" s="63">
        <v>48.2</v>
      </c>
      <c r="BG103" s="63"/>
      <c r="BH103" s="4"/>
      <c r="BI103" s="4"/>
      <c r="BJ103" s="3" t="s">
        <v>185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6</v>
      </c>
      <c r="E104" s="2" t="s">
        <v>547</v>
      </c>
      <c r="F104" s="4" t="s">
        <v>559</v>
      </c>
      <c r="G104" s="4" t="s">
        <v>15</v>
      </c>
      <c r="H104" s="4" t="s">
        <v>223</v>
      </c>
      <c r="I104" s="7">
        <v>0.14560000000000001</v>
      </c>
      <c r="J104" s="7">
        <v>0.14560000000000001</v>
      </c>
      <c r="K104" s="7">
        <v>1.9E-3</v>
      </c>
      <c r="L104" s="7"/>
      <c r="M104" s="7">
        <v>0.14660000000000001</v>
      </c>
      <c r="N104" s="7">
        <v>-0.31</v>
      </c>
      <c r="O104" s="4"/>
      <c r="P104" s="7">
        <v>1.292</v>
      </c>
      <c r="T104" s="7">
        <v>60.2</v>
      </c>
      <c r="U104" s="7">
        <v>418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75.400000000000006</v>
      </c>
      <c r="AZ104" s="4"/>
      <c r="BA104" s="4">
        <v>111.6</v>
      </c>
      <c r="BB104" s="4"/>
      <c r="BC104" s="4"/>
      <c r="BD104" s="4">
        <v>24.1</v>
      </c>
      <c r="BE104" s="4">
        <v>1010</v>
      </c>
      <c r="BF104" s="63">
        <v>48.2</v>
      </c>
      <c r="BG104" s="63"/>
      <c r="BH104" s="4"/>
      <c r="BI104" s="13" t="s">
        <v>97</v>
      </c>
      <c r="BJ104" s="3" t="s">
        <v>186</v>
      </c>
      <c r="BK104"/>
      <c r="BL104"/>
      <c r="BM104"/>
      <c r="BR104"/>
    </row>
    <row r="105" spans="1:70" ht="28.5" x14ac:dyDescent="0.45">
      <c r="A105" s="2" t="s">
        <v>13</v>
      </c>
      <c r="B105" s="54" t="s">
        <v>28</v>
      </c>
      <c r="C105" s="3">
        <v>45232</v>
      </c>
      <c r="D105" s="8">
        <v>1</v>
      </c>
      <c r="E105" s="2" t="s">
        <v>212</v>
      </c>
      <c r="F105" s="4" t="s">
        <v>15</v>
      </c>
      <c r="G105" s="4" t="s">
        <v>577</v>
      </c>
      <c r="H105" s="4" t="s">
        <v>571</v>
      </c>
      <c r="I105" s="7">
        <v>0.15620000000000001</v>
      </c>
      <c r="J105" s="7">
        <v>0.15620000000000001</v>
      </c>
      <c r="K105" s="7">
        <v>2.7000000000000001E-3</v>
      </c>
      <c r="L105" s="7"/>
      <c r="M105" s="7">
        <v>0.15770000000000001</v>
      </c>
      <c r="N105" s="7">
        <v>-0.28999999999999998</v>
      </c>
      <c r="O105" s="4"/>
      <c r="P105" s="7">
        <v>1.26</v>
      </c>
      <c r="T105" s="7">
        <v>65.5</v>
      </c>
      <c r="U105" s="7">
        <v>595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79.900000000000006</v>
      </c>
      <c r="AZ105" s="4"/>
      <c r="BA105" s="4">
        <v>111.6</v>
      </c>
      <c r="BB105" s="4"/>
      <c r="BC105" s="4"/>
      <c r="BD105" s="4">
        <v>24.8</v>
      </c>
      <c r="BE105" s="4">
        <v>1010</v>
      </c>
      <c r="BF105" s="63">
        <v>47</v>
      </c>
      <c r="BG105" s="63"/>
      <c r="BH105" s="4"/>
      <c r="BI105" s="4"/>
      <c r="BJ105" s="3" t="s">
        <v>187</v>
      </c>
      <c r="BK105"/>
      <c r="BL105"/>
      <c r="BM105"/>
      <c r="BR105"/>
    </row>
    <row r="106" spans="1:70" ht="28.5" x14ac:dyDescent="0.45">
      <c r="A106" s="2" t="s">
        <v>13</v>
      </c>
      <c r="B106" s="54" t="s">
        <v>28</v>
      </c>
      <c r="C106" s="3">
        <v>45232</v>
      </c>
      <c r="D106" s="8">
        <v>2</v>
      </c>
      <c r="E106" s="2" t="s">
        <v>213</v>
      </c>
      <c r="F106" s="4" t="s">
        <v>15</v>
      </c>
      <c r="G106" s="4" t="s">
        <v>577</v>
      </c>
      <c r="H106" s="4" t="s">
        <v>571</v>
      </c>
      <c r="I106" s="7">
        <v>0.15720000000000001</v>
      </c>
      <c r="J106" s="7">
        <v>0.1535</v>
      </c>
      <c r="K106" s="7">
        <v>3.5999999999999999E-3</v>
      </c>
      <c r="L106" s="7"/>
      <c r="M106" s="7">
        <v>0.15590000000000001</v>
      </c>
      <c r="N106" s="7">
        <v>-0.47</v>
      </c>
      <c r="O106" s="4"/>
      <c r="P106" s="7">
        <v>1.26</v>
      </c>
      <c r="T106" s="7">
        <v>65.2</v>
      </c>
      <c r="U106" s="7">
        <v>551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85.4</v>
      </c>
      <c r="AZ106" s="4"/>
      <c r="BA106" s="22">
        <v>117</v>
      </c>
      <c r="BB106" s="4"/>
      <c r="BC106" s="4"/>
      <c r="BD106" s="4">
        <v>24.8</v>
      </c>
      <c r="BE106" s="4">
        <v>1010</v>
      </c>
      <c r="BF106" s="63">
        <v>47</v>
      </c>
      <c r="BG106" s="63"/>
      <c r="BH106" s="4"/>
      <c r="BI106" s="4"/>
      <c r="BJ106" s="3" t="s">
        <v>188</v>
      </c>
      <c r="BK106"/>
      <c r="BL106"/>
      <c r="BM106"/>
      <c r="BR106"/>
    </row>
    <row r="107" spans="1:70" ht="28.5" x14ac:dyDescent="0.45">
      <c r="A107" s="2" t="s">
        <v>13</v>
      </c>
      <c r="B107" s="54" t="s">
        <v>28</v>
      </c>
      <c r="C107" s="3">
        <v>45232</v>
      </c>
      <c r="D107" s="8">
        <v>3</v>
      </c>
      <c r="E107" s="2" t="s">
        <v>214</v>
      </c>
      <c r="F107" s="4" t="s">
        <v>15</v>
      </c>
      <c r="G107" s="4" t="s">
        <v>577</v>
      </c>
      <c r="H107" s="4" t="s">
        <v>571</v>
      </c>
      <c r="I107" s="7">
        <v>0.1552</v>
      </c>
      <c r="J107" s="7">
        <v>0.15179999999999999</v>
      </c>
      <c r="K107" s="7">
        <v>2.5000000000000001E-3</v>
      </c>
      <c r="L107" s="7"/>
      <c r="M107" s="7">
        <v>0.15570000000000001</v>
      </c>
      <c r="N107" s="7">
        <v>-0.43</v>
      </c>
      <c r="O107" s="4"/>
      <c r="P107" s="7">
        <v>1.26</v>
      </c>
      <c r="T107" s="7">
        <v>65.2</v>
      </c>
      <c r="U107" s="7">
        <v>568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75.3</v>
      </c>
      <c r="AZ107" s="4"/>
      <c r="BA107" s="4">
        <v>111.6</v>
      </c>
      <c r="BB107" s="4"/>
      <c r="BC107" s="4"/>
      <c r="BD107" s="4">
        <v>24.8</v>
      </c>
      <c r="BE107" s="4">
        <v>1010</v>
      </c>
      <c r="BF107" s="63">
        <v>47</v>
      </c>
      <c r="BG107" s="63"/>
      <c r="BH107" s="4"/>
      <c r="BI107" s="4"/>
      <c r="BJ107" s="3" t="s">
        <v>189</v>
      </c>
      <c r="BK107"/>
      <c r="BL107"/>
      <c r="BM107"/>
      <c r="BR107"/>
    </row>
    <row r="108" spans="1:70" ht="28.5" x14ac:dyDescent="0.45">
      <c r="A108" s="2" t="s">
        <v>13</v>
      </c>
      <c r="B108" s="54" t="s">
        <v>28</v>
      </c>
      <c r="C108" s="3">
        <v>45232</v>
      </c>
      <c r="D108" s="8">
        <v>4</v>
      </c>
      <c r="E108" s="2" t="s">
        <v>212</v>
      </c>
      <c r="F108" s="4" t="s">
        <v>15</v>
      </c>
      <c r="G108" s="4" t="s">
        <v>577</v>
      </c>
      <c r="H108" s="4" t="s">
        <v>571</v>
      </c>
      <c r="I108" s="7">
        <v>0.158</v>
      </c>
      <c r="J108" s="7">
        <v>0.158</v>
      </c>
      <c r="K108" s="7">
        <v>3.3999999999999998E-3</v>
      </c>
      <c r="L108" s="7"/>
      <c r="M108" s="7">
        <v>0.16070000000000001</v>
      </c>
      <c r="N108" s="7">
        <v>-0.26</v>
      </c>
      <c r="O108" s="4"/>
      <c r="P108" s="7">
        <v>1.26</v>
      </c>
      <c r="T108" s="7">
        <v>65.2</v>
      </c>
      <c r="U108" s="7">
        <v>588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79.8</v>
      </c>
      <c r="AZ108" s="4"/>
      <c r="BA108" s="4">
        <v>111.6</v>
      </c>
      <c r="BB108" s="4"/>
      <c r="BC108" s="4"/>
      <c r="BD108" s="4">
        <v>24.8</v>
      </c>
      <c r="BE108" s="4">
        <v>1010</v>
      </c>
      <c r="BF108" s="63">
        <v>47</v>
      </c>
      <c r="BG108" s="63"/>
      <c r="BH108" s="4"/>
      <c r="BI108" s="4"/>
      <c r="BJ108" s="3" t="s">
        <v>190</v>
      </c>
      <c r="BK108"/>
      <c r="BL108"/>
      <c r="BM108"/>
      <c r="BR108"/>
    </row>
    <row r="109" spans="1:70" ht="28.5" x14ac:dyDescent="0.45">
      <c r="A109" s="2" t="s">
        <v>13</v>
      </c>
      <c r="B109" s="54" t="s">
        <v>28</v>
      </c>
      <c r="C109" s="3">
        <v>45232</v>
      </c>
      <c r="D109" s="8">
        <v>5</v>
      </c>
      <c r="E109" s="2" t="s">
        <v>213</v>
      </c>
      <c r="F109" s="4" t="s">
        <v>15</v>
      </c>
      <c r="G109" s="4" t="s">
        <v>577</v>
      </c>
      <c r="H109" s="4" t="s">
        <v>571</v>
      </c>
      <c r="I109" s="7">
        <v>0.15709999999999999</v>
      </c>
      <c r="J109" s="7">
        <v>0.15340000000000001</v>
      </c>
      <c r="K109" s="7">
        <v>5.4999999999999997E-3</v>
      </c>
      <c r="L109" s="7"/>
      <c r="M109" s="7">
        <v>0.15529999999999999</v>
      </c>
      <c r="N109" s="7">
        <v>-0.45</v>
      </c>
      <c r="O109" s="4"/>
      <c r="P109" s="7">
        <v>1.26</v>
      </c>
      <c r="T109" s="7">
        <v>64.7</v>
      </c>
      <c r="U109" s="7">
        <v>546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85.2</v>
      </c>
      <c r="AZ109" s="4"/>
      <c r="BA109" s="22">
        <v>117</v>
      </c>
      <c r="BB109" s="4"/>
      <c r="BC109" s="4"/>
      <c r="BD109" s="4">
        <v>24.8</v>
      </c>
      <c r="BE109" s="4">
        <v>1010</v>
      </c>
      <c r="BF109" s="63">
        <v>47</v>
      </c>
      <c r="BG109" s="63"/>
      <c r="BH109" s="4"/>
      <c r="BI109" s="4"/>
      <c r="BJ109" s="3" t="s">
        <v>191</v>
      </c>
      <c r="BK109"/>
      <c r="BL109"/>
      <c r="BM109"/>
      <c r="BR109"/>
    </row>
    <row r="110" spans="1:70" ht="28.5" x14ac:dyDescent="0.45">
      <c r="A110" s="2" t="s">
        <v>13</v>
      </c>
      <c r="B110" s="54" t="s">
        <v>28</v>
      </c>
      <c r="C110" s="3">
        <v>45232</v>
      </c>
      <c r="D110" s="8">
        <v>6</v>
      </c>
      <c r="E110" s="2" t="s">
        <v>214</v>
      </c>
      <c r="F110" s="4" t="s">
        <v>15</v>
      </c>
      <c r="G110" s="4" t="s">
        <v>577</v>
      </c>
      <c r="H110" s="4" t="s">
        <v>571</v>
      </c>
      <c r="I110" s="7">
        <v>0.15620000000000001</v>
      </c>
      <c r="J110" s="7">
        <v>0.15279999999999999</v>
      </c>
      <c r="K110" s="7">
        <v>1.2999999999999999E-3</v>
      </c>
      <c r="L110" s="7"/>
      <c r="M110" s="7">
        <v>0.15540000000000001</v>
      </c>
      <c r="N110" s="7">
        <v>-0.46</v>
      </c>
      <c r="O110" s="4"/>
      <c r="P110" s="7">
        <v>1.26</v>
      </c>
      <c r="T110" s="7">
        <v>65.400000000000006</v>
      </c>
      <c r="U110" s="7">
        <v>553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75.2</v>
      </c>
      <c r="AZ110" s="4"/>
      <c r="BA110" s="4">
        <v>111.6</v>
      </c>
      <c r="BB110" s="4"/>
      <c r="BC110" s="4"/>
      <c r="BD110" s="4">
        <v>24.8</v>
      </c>
      <c r="BE110" s="4">
        <v>1010</v>
      </c>
      <c r="BF110" s="63">
        <v>47</v>
      </c>
      <c r="BG110" s="63"/>
      <c r="BH110" s="4"/>
      <c r="BI110" s="13" t="s">
        <v>97</v>
      </c>
      <c r="BJ110" s="3" t="s">
        <v>192</v>
      </c>
      <c r="BK110"/>
      <c r="BL110"/>
      <c r="BM110"/>
      <c r="BR110"/>
    </row>
    <row r="111" spans="1:70" ht="28.5" x14ac:dyDescent="0.45">
      <c r="A111" s="2" t="s">
        <v>43</v>
      </c>
      <c r="B111" s="54" t="s">
        <v>45</v>
      </c>
      <c r="C111" s="3">
        <v>45236</v>
      </c>
      <c r="D111" s="8">
        <v>1</v>
      </c>
      <c r="E111" s="2" t="s">
        <v>556</v>
      </c>
      <c r="F111" s="4" t="s">
        <v>93</v>
      </c>
      <c r="G111" s="4" t="s">
        <v>15</v>
      </c>
      <c r="H111" s="4" t="s">
        <v>223</v>
      </c>
      <c r="I111" s="7">
        <v>0.15939999999999999</v>
      </c>
      <c r="J111" s="7">
        <v>0.15939999999999999</v>
      </c>
      <c r="K111" s="7">
        <v>2.5000000000000001E-3</v>
      </c>
      <c r="L111" s="7">
        <v>0.159</v>
      </c>
      <c r="M111" s="7">
        <v>0.15809999999999999</v>
      </c>
      <c r="N111" s="7">
        <v>-0.49</v>
      </c>
      <c r="O111" s="4"/>
      <c r="P111" s="7">
        <v>1.2529999999999999</v>
      </c>
      <c r="Q111" s="7">
        <v>508</v>
      </c>
      <c r="T111" s="7">
        <v>60.1</v>
      </c>
      <c r="U111" s="7">
        <v>441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79.5</v>
      </c>
      <c r="AZ111" s="4"/>
      <c r="BA111" s="4">
        <v>111.6</v>
      </c>
      <c r="BB111" s="4"/>
      <c r="BC111" s="4"/>
      <c r="BD111" s="4">
        <v>25.2</v>
      </c>
      <c r="BE111" s="4">
        <v>1010</v>
      </c>
      <c r="BF111" s="63">
        <v>47</v>
      </c>
      <c r="BG111" s="63"/>
      <c r="BH111" s="4"/>
      <c r="BI111" s="4"/>
      <c r="BJ111" s="3" t="s">
        <v>270</v>
      </c>
      <c r="BK111"/>
      <c r="BL111"/>
      <c r="BM111"/>
      <c r="BR111"/>
    </row>
    <row r="112" spans="1:70" ht="28.5" x14ac:dyDescent="0.45">
      <c r="A112" s="2" t="s">
        <v>43</v>
      </c>
      <c r="B112" s="54" t="s">
        <v>45</v>
      </c>
      <c r="C112" s="3">
        <v>45236</v>
      </c>
      <c r="D112" s="8">
        <v>2</v>
      </c>
      <c r="E112" s="2" t="s">
        <v>556</v>
      </c>
      <c r="F112" s="4" t="s">
        <v>216</v>
      </c>
      <c r="G112" s="4" t="s">
        <v>15</v>
      </c>
      <c r="H112" s="4" t="s">
        <v>223</v>
      </c>
      <c r="I112" s="49"/>
      <c r="J112" s="49"/>
      <c r="K112" s="49"/>
      <c r="L112" s="7">
        <v>0.161</v>
      </c>
      <c r="O112" s="4"/>
      <c r="P112" s="7">
        <v>1.2529999999999999</v>
      </c>
      <c r="Q112" s="7">
        <v>508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84.9</v>
      </c>
      <c r="AZ112" s="4"/>
      <c r="BA112" s="22">
        <v>117</v>
      </c>
      <c r="BB112" s="4"/>
      <c r="BC112" s="4"/>
      <c r="BD112" s="4">
        <v>25.2</v>
      </c>
      <c r="BE112" s="4">
        <v>1010</v>
      </c>
      <c r="BF112" s="63">
        <v>47</v>
      </c>
      <c r="BG112" s="63"/>
      <c r="BH112" s="4"/>
      <c r="BI112" s="13" t="s">
        <v>96</v>
      </c>
      <c r="BJ112" s="3" t="s">
        <v>271</v>
      </c>
      <c r="BK112"/>
      <c r="BL112"/>
      <c r="BM112"/>
      <c r="BR112"/>
    </row>
    <row r="113" spans="1:70" ht="28.5" x14ac:dyDescent="0.45">
      <c r="A113" s="2" t="s">
        <v>43</v>
      </c>
      <c r="B113" s="54" t="s">
        <v>45</v>
      </c>
      <c r="C113" s="3">
        <v>45236</v>
      </c>
      <c r="D113" s="8">
        <v>3</v>
      </c>
      <c r="E113" s="2" t="s">
        <v>556</v>
      </c>
      <c r="F113" s="4" t="s">
        <v>216</v>
      </c>
      <c r="G113" s="4" t="s">
        <v>578</v>
      </c>
      <c r="H113" s="4" t="s">
        <v>223</v>
      </c>
      <c r="I113" s="7">
        <v>0.154</v>
      </c>
      <c r="J113" s="7">
        <v>0.154</v>
      </c>
      <c r="K113" s="7">
        <v>4.3E-3</v>
      </c>
      <c r="L113" s="7">
        <v>0.158</v>
      </c>
      <c r="M113" s="7">
        <v>0.15559999999999999</v>
      </c>
      <c r="N113" s="7">
        <v>-0.49</v>
      </c>
      <c r="O113" s="4"/>
      <c r="P113" s="7">
        <v>1.2529999999999999</v>
      </c>
      <c r="Q113" s="7">
        <v>508</v>
      </c>
      <c r="T113" s="7">
        <v>60.1</v>
      </c>
      <c r="U113" s="7">
        <v>453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75.099999999999994</v>
      </c>
      <c r="AZ113" s="4"/>
      <c r="BA113" s="4">
        <v>111.6</v>
      </c>
      <c r="BB113" s="4"/>
      <c r="BC113" s="4"/>
      <c r="BD113" s="4">
        <v>25.2</v>
      </c>
      <c r="BE113" s="4">
        <v>1010</v>
      </c>
      <c r="BF113" s="63">
        <v>47</v>
      </c>
      <c r="BG113" s="63"/>
      <c r="BH113" s="4"/>
      <c r="BI113" s="4"/>
      <c r="BJ113" s="3" t="s">
        <v>267</v>
      </c>
      <c r="BK113"/>
      <c r="BL113"/>
      <c r="BM113"/>
      <c r="BR113"/>
    </row>
    <row r="114" spans="1:70" ht="28.5" x14ac:dyDescent="0.45">
      <c r="A114" s="2" t="s">
        <v>43</v>
      </c>
      <c r="B114" s="54" t="s">
        <v>45</v>
      </c>
      <c r="C114" s="3">
        <v>45236</v>
      </c>
      <c r="D114" s="8">
        <v>4</v>
      </c>
      <c r="E114" s="2" t="s">
        <v>556</v>
      </c>
      <c r="F114" s="4" t="s">
        <v>216</v>
      </c>
      <c r="G114" s="4" t="s">
        <v>15</v>
      </c>
      <c r="H114" s="4" t="s">
        <v>223</v>
      </c>
      <c r="I114" s="48"/>
      <c r="J114" s="48"/>
      <c r="K114" s="48"/>
      <c r="L114" s="7"/>
      <c r="M114" s="7">
        <v>0.15390000000000001</v>
      </c>
      <c r="O114" s="4"/>
      <c r="P114" s="7">
        <v>1.2529999999999999</v>
      </c>
      <c r="Q114" s="7">
        <v>508</v>
      </c>
      <c r="T114" s="7">
        <v>60.6</v>
      </c>
      <c r="U114" s="7">
        <v>457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79.5</v>
      </c>
      <c r="AZ114" s="4"/>
      <c r="BA114" s="4">
        <v>111.6</v>
      </c>
      <c r="BB114" s="4"/>
      <c r="BC114" s="4"/>
      <c r="BD114" s="4">
        <v>25.7</v>
      </c>
      <c r="BE114" s="4">
        <v>1009</v>
      </c>
      <c r="BF114" s="63">
        <v>46.3</v>
      </c>
      <c r="BG114" s="63"/>
      <c r="BH114" s="4"/>
      <c r="BI114" s="4"/>
      <c r="BJ114" s="3" t="s">
        <v>268</v>
      </c>
      <c r="BK114"/>
      <c r="BL114"/>
      <c r="BM114"/>
      <c r="BR114"/>
    </row>
    <row r="115" spans="1:70" ht="28.5" x14ac:dyDescent="0.45">
      <c r="A115" s="2" t="s">
        <v>43</v>
      </c>
      <c r="B115" s="54" t="s">
        <v>45</v>
      </c>
      <c r="C115" s="3">
        <v>45236</v>
      </c>
      <c r="D115" s="8">
        <v>5</v>
      </c>
      <c r="E115" s="2" t="s">
        <v>556</v>
      </c>
      <c r="F115" s="4" t="s">
        <v>93</v>
      </c>
      <c r="G115" s="4" t="s">
        <v>15</v>
      </c>
      <c r="H115" s="4" t="s">
        <v>223</v>
      </c>
      <c r="I115" s="7">
        <v>0.15770000000000001</v>
      </c>
      <c r="J115" s="7">
        <v>0.15770000000000001</v>
      </c>
      <c r="K115" s="7">
        <v>4.1999999999999997E-3</v>
      </c>
      <c r="L115" s="7">
        <v>0.158</v>
      </c>
      <c r="M115" s="7">
        <v>0.15659999999999999</v>
      </c>
      <c r="N115" s="7">
        <v>-0.53</v>
      </c>
      <c r="O115" s="4"/>
      <c r="P115" s="7">
        <v>1.2529999999999999</v>
      </c>
      <c r="Q115" s="7">
        <v>508</v>
      </c>
      <c r="T115" s="7">
        <v>60.1</v>
      </c>
      <c r="U115" s="7">
        <v>449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84.9</v>
      </c>
      <c r="AZ115" s="4"/>
      <c r="BA115" s="22">
        <v>117</v>
      </c>
      <c r="BB115" s="4"/>
      <c r="BC115" s="4"/>
      <c r="BD115" s="4">
        <v>25.7</v>
      </c>
      <c r="BE115" s="4">
        <v>1009</v>
      </c>
      <c r="BF115" s="63">
        <v>46.3</v>
      </c>
      <c r="BG115" s="63"/>
      <c r="BH115" s="4"/>
      <c r="BI115" s="4"/>
      <c r="BJ115" s="3" t="s">
        <v>269</v>
      </c>
      <c r="BK115"/>
      <c r="BL115"/>
      <c r="BM115"/>
      <c r="BR115"/>
    </row>
    <row r="116" spans="1:70" ht="28.5" x14ac:dyDescent="0.45">
      <c r="A116" s="2" t="s">
        <v>43</v>
      </c>
      <c r="B116" s="54" t="s">
        <v>45</v>
      </c>
      <c r="C116" s="3">
        <v>45236</v>
      </c>
      <c r="D116" s="8">
        <v>6</v>
      </c>
      <c r="E116" s="2" t="s">
        <v>556</v>
      </c>
      <c r="F116" s="4" t="s">
        <v>216</v>
      </c>
      <c r="G116" s="4" t="s">
        <v>15</v>
      </c>
      <c r="H116" s="4" t="s">
        <v>223</v>
      </c>
      <c r="I116" s="7">
        <v>0.15620000000000001</v>
      </c>
      <c r="J116" s="7">
        <v>0.15620000000000001</v>
      </c>
      <c r="K116" s="7">
        <v>2.5000000000000001E-3</v>
      </c>
      <c r="L116" s="7">
        <v>0.159</v>
      </c>
      <c r="M116" s="7">
        <v>0.15479999999999999</v>
      </c>
      <c r="N116" s="7">
        <v>-0.49</v>
      </c>
      <c r="O116" s="4"/>
      <c r="P116" s="7">
        <v>1.2529999999999999</v>
      </c>
      <c r="Q116" s="7">
        <v>508</v>
      </c>
      <c r="T116" s="7">
        <v>60.8</v>
      </c>
      <c r="U116" s="7">
        <v>459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75.099999999999994</v>
      </c>
      <c r="AZ116" s="4"/>
      <c r="BA116" s="4">
        <v>111.6</v>
      </c>
      <c r="BB116" s="4"/>
      <c r="BC116" s="4"/>
      <c r="BD116" s="4">
        <v>25.7</v>
      </c>
      <c r="BE116" s="4">
        <v>1009</v>
      </c>
      <c r="BF116" s="63">
        <v>46.3</v>
      </c>
      <c r="BG116" s="63"/>
      <c r="BH116" s="4"/>
      <c r="BI116" s="4"/>
      <c r="BJ116" s="3" t="s">
        <v>196</v>
      </c>
      <c r="BK116"/>
      <c r="BL116"/>
      <c r="BM116"/>
      <c r="BR116"/>
    </row>
    <row r="117" spans="1:70" ht="28.5" x14ac:dyDescent="0.45">
      <c r="A117" s="2" t="s">
        <v>43</v>
      </c>
      <c r="B117" s="54" t="s">
        <v>45</v>
      </c>
      <c r="C117" s="3">
        <v>45236</v>
      </c>
      <c r="D117" s="8">
        <v>7</v>
      </c>
      <c r="E117" s="2" t="s">
        <v>556</v>
      </c>
      <c r="F117" s="4" t="s">
        <v>216</v>
      </c>
      <c r="G117" s="4" t="s">
        <v>578</v>
      </c>
      <c r="H117" s="4" t="s">
        <v>223</v>
      </c>
      <c r="I117" s="7">
        <v>0.1522</v>
      </c>
      <c r="J117" s="7">
        <v>0.1522</v>
      </c>
      <c r="K117" s="7">
        <v>2E-3</v>
      </c>
      <c r="L117" s="7">
        <v>0.156</v>
      </c>
      <c r="M117" s="7">
        <v>0.15240000000000001</v>
      </c>
      <c r="N117" s="7">
        <v>-0.51</v>
      </c>
      <c r="O117" s="4"/>
      <c r="P117" s="7">
        <v>1.2529999999999999</v>
      </c>
      <c r="Q117" s="7">
        <v>508</v>
      </c>
      <c r="T117" s="7">
        <v>61</v>
      </c>
      <c r="U117" s="7">
        <v>458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79.5</v>
      </c>
      <c r="AZ117" s="4"/>
      <c r="BA117" s="4">
        <v>111.6</v>
      </c>
      <c r="BB117" s="4"/>
      <c r="BC117" s="4"/>
      <c r="BD117" s="4">
        <v>25.8</v>
      </c>
      <c r="BE117" s="4">
        <v>1009</v>
      </c>
      <c r="BF117" s="63">
        <v>45.7</v>
      </c>
      <c r="BG117" s="63"/>
      <c r="BH117" s="4"/>
      <c r="BI117" s="4"/>
      <c r="BJ117" s="3" t="s">
        <v>199</v>
      </c>
      <c r="BK117"/>
      <c r="BL117"/>
      <c r="BM117"/>
      <c r="BR117"/>
    </row>
    <row r="118" spans="1:70" ht="28.5" x14ac:dyDescent="0.45">
      <c r="A118" s="2" t="s">
        <v>43</v>
      </c>
      <c r="B118" s="54" t="s">
        <v>45</v>
      </c>
      <c r="C118" s="3">
        <v>45236</v>
      </c>
      <c r="D118" s="8">
        <v>8</v>
      </c>
      <c r="E118" s="2" t="s">
        <v>556</v>
      </c>
      <c r="F118" s="4" t="s">
        <v>216</v>
      </c>
      <c r="G118" s="4" t="s">
        <v>15</v>
      </c>
      <c r="H118" s="4" t="s">
        <v>223</v>
      </c>
      <c r="I118" s="7">
        <v>0.1573</v>
      </c>
      <c r="J118" s="7">
        <v>0.1573</v>
      </c>
      <c r="K118" s="7">
        <v>3.2000000000000002E-3</v>
      </c>
      <c r="L118" s="7">
        <v>0.16</v>
      </c>
      <c r="M118" s="7">
        <v>0.15709999999999999</v>
      </c>
      <c r="N118" s="7">
        <v>-0.49</v>
      </c>
      <c r="O118" s="4"/>
      <c r="P118" s="7">
        <v>1.2529999999999999</v>
      </c>
      <c r="Q118" s="7">
        <v>508</v>
      </c>
      <c r="T118" s="7">
        <v>60.6</v>
      </c>
      <c r="U118" s="7">
        <v>459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84.9</v>
      </c>
      <c r="AZ118" s="4"/>
      <c r="BA118" s="22">
        <v>117</v>
      </c>
      <c r="BB118" s="4"/>
      <c r="BC118" s="4"/>
      <c r="BD118" s="4">
        <v>25.8</v>
      </c>
      <c r="BE118" s="4">
        <v>1009</v>
      </c>
      <c r="BF118" s="63">
        <v>45.7</v>
      </c>
      <c r="BG118" s="63"/>
      <c r="BH118" s="4"/>
      <c r="BI118" s="4"/>
      <c r="BJ118" s="3" t="s">
        <v>200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9</v>
      </c>
      <c r="E119" s="2" t="s">
        <v>556</v>
      </c>
      <c r="F119" s="4" t="s">
        <v>216</v>
      </c>
      <c r="G119" s="4" t="s">
        <v>15</v>
      </c>
      <c r="H119" s="4" t="s">
        <v>223</v>
      </c>
      <c r="I119" s="7">
        <v>0.15609999999999999</v>
      </c>
      <c r="J119" s="7">
        <v>0.15609999999999999</v>
      </c>
      <c r="K119" s="7">
        <v>2.8999999999999998E-3</v>
      </c>
      <c r="L119" s="7">
        <v>0.161</v>
      </c>
      <c r="M119" s="7">
        <v>0.1547</v>
      </c>
      <c r="N119" s="7">
        <v>-0.51</v>
      </c>
      <c r="O119" s="4"/>
      <c r="P119" s="7">
        <v>1.2529999999999999</v>
      </c>
      <c r="Q119" s="7">
        <v>508</v>
      </c>
      <c r="T119" s="7">
        <v>60.8</v>
      </c>
      <c r="U119" s="7">
        <v>454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74.900000000000006</v>
      </c>
      <c r="AZ119" s="4"/>
      <c r="BA119" s="4">
        <v>111.6</v>
      </c>
      <c r="BB119" s="4"/>
      <c r="BC119" s="4"/>
      <c r="BD119" s="4">
        <v>25.8</v>
      </c>
      <c r="BE119" s="4">
        <v>1009</v>
      </c>
      <c r="BF119" s="63">
        <v>45.7</v>
      </c>
      <c r="BG119" s="63"/>
      <c r="BH119" s="4"/>
      <c r="BI119" s="4"/>
      <c r="BJ119" s="3" t="s">
        <v>201</v>
      </c>
      <c r="BK119"/>
      <c r="BL119"/>
      <c r="BM119"/>
      <c r="BR119"/>
    </row>
    <row r="120" spans="1:70" ht="28.5" x14ac:dyDescent="0.45">
      <c r="A120" s="2" t="s">
        <v>13</v>
      </c>
      <c r="B120" s="54" t="s">
        <v>17</v>
      </c>
      <c r="C120" s="3">
        <v>45236</v>
      </c>
      <c r="D120" s="8">
        <v>1</v>
      </c>
      <c r="E120" s="2" t="s">
        <v>212</v>
      </c>
      <c r="F120" s="4" t="s">
        <v>89</v>
      </c>
      <c r="G120" s="4" t="s">
        <v>577</v>
      </c>
      <c r="H120" s="4" t="s">
        <v>378</v>
      </c>
      <c r="I120" s="18">
        <v>0.16750000000000001</v>
      </c>
      <c r="J120" s="18">
        <v>0.16750000000000001</v>
      </c>
      <c r="K120" s="18">
        <v>2.3999999999999998E-3</v>
      </c>
      <c r="L120" s="7">
        <v>0.16700000000000001</v>
      </c>
      <c r="M120" s="7">
        <v>0.16600000000000001</v>
      </c>
      <c r="N120" s="7">
        <v>-0.41</v>
      </c>
      <c r="O120" s="4"/>
      <c r="P120" s="7">
        <v>1.2609999999999999</v>
      </c>
      <c r="Q120" s="7">
        <v>502</v>
      </c>
      <c r="T120" s="7">
        <v>63.3</v>
      </c>
      <c r="U120" s="7">
        <v>559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79.400000000000006</v>
      </c>
      <c r="AZ120" s="4"/>
      <c r="BA120" s="4">
        <v>111.6</v>
      </c>
      <c r="BB120" s="4"/>
      <c r="BC120" s="4"/>
      <c r="BD120" s="4">
        <v>26.1</v>
      </c>
      <c r="BE120" s="4">
        <v>1009</v>
      </c>
      <c r="BF120" s="63">
        <v>45.2</v>
      </c>
      <c r="BG120" s="63"/>
      <c r="BH120" s="4"/>
      <c r="BI120" s="4"/>
      <c r="BJ120" s="3" t="s">
        <v>202</v>
      </c>
      <c r="BK120"/>
      <c r="BL120"/>
      <c r="BM120"/>
      <c r="BR120"/>
    </row>
    <row r="121" spans="1:70" ht="28.5" x14ac:dyDescent="0.45">
      <c r="A121" s="2" t="s">
        <v>13</v>
      </c>
      <c r="B121" s="54" t="s">
        <v>17</v>
      </c>
      <c r="C121" s="3">
        <v>45236</v>
      </c>
      <c r="D121" s="8">
        <v>2</v>
      </c>
      <c r="E121" s="2" t="s">
        <v>212</v>
      </c>
      <c r="F121" s="4" t="s">
        <v>563</v>
      </c>
      <c r="G121" s="4" t="s">
        <v>577</v>
      </c>
      <c r="H121" s="4" t="s">
        <v>378</v>
      </c>
      <c r="I121" s="7">
        <v>0.1656</v>
      </c>
      <c r="J121" s="7">
        <v>0.1656</v>
      </c>
      <c r="K121" s="7">
        <v>2.8E-3</v>
      </c>
      <c r="L121" s="7">
        <v>0.17</v>
      </c>
      <c r="M121" s="7">
        <v>0.1696</v>
      </c>
      <c r="N121" s="7">
        <v>-0.4</v>
      </c>
      <c r="O121" s="4"/>
      <c r="P121" s="7">
        <v>1.2609999999999999</v>
      </c>
      <c r="Q121" s="7">
        <v>502</v>
      </c>
      <c r="T121" s="7">
        <v>63.1</v>
      </c>
      <c r="U121" s="7">
        <v>563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84.8</v>
      </c>
      <c r="AZ121" s="4"/>
      <c r="BA121" s="22">
        <v>117</v>
      </c>
      <c r="BB121" s="4"/>
      <c r="BC121" s="4"/>
      <c r="BD121" s="4">
        <v>26.1</v>
      </c>
      <c r="BE121" s="4">
        <v>1009</v>
      </c>
      <c r="BF121" s="63">
        <v>45.2</v>
      </c>
      <c r="BG121" s="63"/>
      <c r="BH121" s="4"/>
      <c r="BI121" s="4"/>
      <c r="BJ121" s="3" t="s">
        <v>203</v>
      </c>
      <c r="BK121"/>
      <c r="BL121"/>
      <c r="BM121"/>
      <c r="BR121"/>
    </row>
    <row r="122" spans="1:70" ht="28.5" x14ac:dyDescent="0.45">
      <c r="A122" s="2" t="s">
        <v>13</v>
      </c>
      <c r="B122" s="54" t="s">
        <v>17</v>
      </c>
      <c r="C122" s="3">
        <v>45236</v>
      </c>
      <c r="D122" s="8">
        <v>3</v>
      </c>
      <c r="E122" s="2" t="s">
        <v>212</v>
      </c>
      <c r="F122" s="4" t="s">
        <v>564</v>
      </c>
      <c r="G122" s="4" t="s">
        <v>577</v>
      </c>
      <c r="H122" s="4" t="s">
        <v>378</v>
      </c>
      <c r="I122" s="7">
        <v>0.16969999999999999</v>
      </c>
      <c r="J122" s="7">
        <v>0.16969999999999999</v>
      </c>
      <c r="K122" s="7">
        <v>2.8999999999999998E-3</v>
      </c>
      <c r="L122" s="7"/>
      <c r="M122" s="7">
        <v>0.1701</v>
      </c>
      <c r="N122" s="7">
        <v>-0.37</v>
      </c>
      <c r="O122" s="4"/>
      <c r="P122" s="7">
        <v>1.2609999999999999</v>
      </c>
      <c r="Q122" s="7">
        <v>502</v>
      </c>
      <c r="T122" s="7">
        <v>63.3</v>
      </c>
      <c r="U122" s="7">
        <v>569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</v>
      </c>
      <c r="AZ122" s="4"/>
      <c r="BA122" s="4">
        <v>111.6</v>
      </c>
      <c r="BB122" s="4"/>
      <c r="BC122" s="4"/>
      <c r="BD122" s="4">
        <v>26.1</v>
      </c>
      <c r="BE122" s="4">
        <v>1009</v>
      </c>
      <c r="BF122" s="63">
        <v>45.2</v>
      </c>
      <c r="BG122" s="63"/>
      <c r="BH122" s="4"/>
      <c r="BI122" s="4"/>
      <c r="BJ122" s="3" t="s">
        <v>204</v>
      </c>
      <c r="BK122"/>
      <c r="BL122"/>
      <c r="BM122"/>
      <c r="BR122"/>
    </row>
    <row r="123" spans="1:70" ht="28.5" x14ac:dyDescent="0.45">
      <c r="A123" s="2" t="s">
        <v>13</v>
      </c>
      <c r="B123" s="54" t="s">
        <v>17</v>
      </c>
      <c r="C123" s="3">
        <v>45236</v>
      </c>
      <c r="D123" s="8">
        <v>4</v>
      </c>
      <c r="E123" s="2" t="s">
        <v>212</v>
      </c>
      <c r="F123" s="4" t="s">
        <v>563</v>
      </c>
      <c r="G123" s="4" t="s">
        <v>577</v>
      </c>
      <c r="H123" s="4" t="s">
        <v>378</v>
      </c>
      <c r="I123" s="7">
        <v>0.17119999999999999</v>
      </c>
      <c r="J123" s="7">
        <v>0.17119999999999999</v>
      </c>
      <c r="K123" s="7">
        <v>3.8999999999999998E-3</v>
      </c>
      <c r="L123" s="7"/>
      <c r="M123" s="7">
        <v>0.16919999999999999</v>
      </c>
      <c r="N123" s="7">
        <v>-0.36</v>
      </c>
      <c r="O123" s="4"/>
      <c r="P123" s="7">
        <v>1.2609999999999999</v>
      </c>
      <c r="Q123" s="7">
        <v>502</v>
      </c>
      <c r="T123" s="7">
        <v>63.6</v>
      </c>
      <c r="U123" s="7">
        <v>571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79.3</v>
      </c>
      <c r="AZ123" s="4"/>
      <c r="BA123" s="4">
        <v>111.6</v>
      </c>
      <c r="BB123" s="4"/>
      <c r="BC123" s="4"/>
      <c r="BD123" s="4">
        <v>26.4</v>
      </c>
      <c r="BE123" s="4">
        <v>1008</v>
      </c>
      <c r="BF123" s="63">
        <v>44.4</v>
      </c>
      <c r="BG123" s="63"/>
      <c r="BH123" s="4"/>
      <c r="BI123" s="4"/>
      <c r="BJ123" s="3" t="s">
        <v>205</v>
      </c>
      <c r="BK123"/>
      <c r="BL123"/>
      <c r="BM123"/>
      <c r="BR123"/>
    </row>
    <row r="124" spans="1:70" ht="28.5" x14ac:dyDescent="0.45">
      <c r="A124" s="2" t="s">
        <v>13</v>
      </c>
      <c r="B124" s="54" t="s">
        <v>17</v>
      </c>
      <c r="C124" s="3">
        <v>45236</v>
      </c>
      <c r="D124" s="8">
        <v>5</v>
      </c>
      <c r="E124" s="2" t="s">
        <v>212</v>
      </c>
      <c r="F124" s="4" t="s">
        <v>89</v>
      </c>
      <c r="G124" s="4" t="s">
        <v>577</v>
      </c>
      <c r="H124" s="4" t="s">
        <v>378</v>
      </c>
      <c r="I124" s="7">
        <v>0.1678</v>
      </c>
      <c r="J124" s="7">
        <v>0.1678</v>
      </c>
      <c r="K124" s="7">
        <v>3.5000000000000001E-3</v>
      </c>
      <c r="L124" s="7"/>
      <c r="M124" s="7">
        <v>0.1699</v>
      </c>
      <c r="N124" s="7">
        <v>-0.33</v>
      </c>
      <c r="O124" s="4"/>
      <c r="P124" s="7">
        <v>1.2609999999999999</v>
      </c>
      <c r="Q124" s="7">
        <v>502</v>
      </c>
      <c r="T124" s="7">
        <v>63.7</v>
      </c>
      <c r="U124" s="7">
        <v>577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75.599999999999994</v>
      </c>
      <c r="AZ124" s="4"/>
      <c r="BA124" s="4">
        <v>111.6</v>
      </c>
      <c r="BB124" s="4"/>
      <c r="BC124" s="4"/>
      <c r="BD124" s="16">
        <v>25.5</v>
      </c>
      <c r="BE124" s="16">
        <v>1012</v>
      </c>
      <c r="BF124" s="16">
        <v>39.4</v>
      </c>
      <c r="BG124" s="63"/>
      <c r="BH124" s="4"/>
      <c r="BI124" s="4"/>
      <c r="BJ124" s="3" t="s">
        <v>206</v>
      </c>
      <c r="BK124"/>
      <c r="BL124"/>
      <c r="BM124"/>
      <c r="BR124"/>
    </row>
    <row r="125" spans="1:70" ht="28.5" x14ac:dyDescent="0.45">
      <c r="A125" s="2" t="s">
        <v>13</v>
      </c>
      <c r="B125" s="54" t="s">
        <v>17</v>
      </c>
      <c r="C125" s="3">
        <v>45236</v>
      </c>
      <c r="D125" s="8">
        <v>6</v>
      </c>
      <c r="E125" s="2" t="s">
        <v>212</v>
      </c>
      <c r="F125" s="4" t="s">
        <v>563</v>
      </c>
      <c r="G125" s="4" t="s">
        <v>577</v>
      </c>
      <c r="H125" s="4" t="s">
        <v>378</v>
      </c>
      <c r="I125" s="7">
        <v>0.16850000000000001</v>
      </c>
      <c r="J125" s="7">
        <v>0.16850000000000001</v>
      </c>
      <c r="K125" s="7">
        <v>3.3E-3</v>
      </c>
      <c r="L125" s="7"/>
      <c r="M125" s="7">
        <v>0.1686</v>
      </c>
      <c r="N125" s="7">
        <v>-0.35</v>
      </c>
      <c r="O125" s="4"/>
      <c r="P125" s="7">
        <v>1.2609999999999999</v>
      </c>
      <c r="Q125" s="7">
        <v>502</v>
      </c>
      <c r="T125" s="7">
        <v>64.2</v>
      </c>
      <c r="U125" s="7">
        <v>571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84.4</v>
      </c>
      <c r="AZ125" s="4"/>
      <c r="BA125" s="4">
        <v>120.6</v>
      </c>
      <c r="BB125" s="4"/>
      <c r="BC125" s="4"/>
      <c r="BD125" s="16">
        <v>25.5</v>
      </c>
      <c r="BE125" s="16">
        <v>1012</v>
      </c>
      <c r="BF125" s="16">
        <v>39.4</v>
      </c>
      <c r="BG125" s="59"/>
      <c r="BH125" s="4"/>
      <c r="BI125" s="4"/>
      <c r="BJ125" s="3" t="s">
        <v>207</v>
      </c>
      <c r="BK125"/>
      <c r="BL125"/>
      <c r="BM125"/>
      <c r="BR125"/>
    </row>
    <row r="126" spans="1:70" ht="28.5" x14ac:dyDescent="0.45">
      <c r="A126" s="2" t="s">
        <v>13</v>
      </c>
      <c r="B126" s="54" t="s">
        <v>17</v>
      </c>
      <c r="C126" s="3">
        <v>45236</v>
      </c>
      <c r="D126" s="8">
        <v>7</v>
      </c>
      <c r="E126" s="2" t="s">
        <v>212</v>
      </c>
      <c r="F126" s="4" t="s">
        <v>564</v>
      </c>
      <c r="G126" s="4" t="s">
        <v>577</v>
      </c>
      <c r="H126" s="4" t="s">
        <v>378</v>
      </c>
      <c r="I126" s="7">
        <v>0.16539999999999999</v>
      </c>
      <c r="J126" s="7">
        <v>0.16539999999999999</v>
      </c>
      <c r="K126" s="7">
        <v>1.6999999999999999E-3</v>
      </c>
      <c r="L126" s="7"/>
      <c r="M126" s="7">
        <v>0.16869999999999999</v>
      </c>
      <c r="N126" s="7">
        <v>-0.31</v>
      </c>
      <c r="O126" s="4"/>
      <c r="P126" s="7">
        <v>1.2609999999999999</v>
      </c>
      <c r="Q126" s="7">
        <v>502</v>
      </c>
      <c r="T126" s="7">
        <v>63.4</v>
      </c>
      <c r="U126" s="7">
        <v>567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70.5</v>
      </c>
      <c r="AZ126" s="4"/>
      <c r="BA126" s="4">
        <v>111.6</v>
      </c>
      <c r="BB126" s="4"/>
      <c r="BC126" s="4"/>
      <c r="BD126" s="16">
        <v>25.5</v>
      </c>
      <c r="BE126" s="16">
        <v>1012</v>
      </c>
      <c r="BF126" s="16">
        <v>39.4</v>
      </c>
      <c r="BG126" s="59"/>
      <c r="BH126" s="4"/>
      <c r="BI126" s="4"/>
      <c r="BJ126" s="3" t="s">
        <v>272</v>
      </c>
      <c r="BK126"/>
      <c r="BL126"/>
      <c r="BM126"/>
      <c r="BR126"/>
    </row>
    <row r="127" spans="1:70" ht="28.5" x14ac:dyDescent="0.45">
      <c r="A127" s="2" t="s">
        <v>13</v>
      </c>
      <c r="B127" s="54" t="s">
        <v>17</v>
      </c>
      <c r="C127" s="3">
        <v>45236</v>
      </c>
      <c r="D127" s="8">
        <v>8</v>
      </c>
      <c r="E127" s="2" t="s">
        <v>212</v>
      </c>
      <c r="F127" s="4" t="s">
        <v>563</v>
      </c>
      <c r="G127" s="4" t="s">
        <v>577</v>
      </c>
      <c r="H127" s="4" t="s">
        <v>378</v>
      </c>
      <c r="I127" s="7">
        <v>0.16739999999999999</v>
      </c>
      <c r="J127" s="7">
        <v>0.16739999999999999</v>
      </c>
      <c r="K127" s="7">
        <v>4.1999999999999997E-3</v>
      </c>
      <c r="L127" s="7"/>
      <c r="M127" s="7">
        <v>0.1704</v>
      </c>
      <c r="N127" s="7">
        <v>-0.3</v>
      </c>
      <c r="O127" s="4"/>
      <c r="P127" s="7">
        <v>1.2609999999999999</v>
      </c>
      <c r="Q127" s="7">
        <v>502</v>
      </c>
      <c r="T127" s="7">
        <v>63.5</v>
      </c>
      <c r="U127" s="7">
        <v>567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72.3</v>
      </c>
      <c r="AZ127" s="4"/>
      <c r="BA127" s="4">
        <v>111.6</v>
      </c>
      <c r="BB127" s="4"/>
      <c r="BC127" s="4"/>
      <c r="BD127" s="16">
        <v>25.5</v>
      </c>
      <c r="BE127" s="16">
        <v>1012</v>
      </c>
      <c r="BF127" s="16">
        <v>39.4</v>
      </c>
      <c r="BG127" s="59"/>
      <c r="BH127" s="4"/>
      <c r="BI127" s="4"/>
      <c r="BJ127" s="3" t="s">
        <v>273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1</v>
      </c>
      <c r="E128" s="2" t="s">
        <v>547</v>
      </c>
      <c r="F128" s="4" t="s">
        <v>93</v>
      </c>
      <c r="G128" s="4" t="s">
        <v>15</v>
      </c>
      <c r="H128" s="4" t="s">
        <v>223</v>
      </c>
      <c r="I128" s="7">
        <v>0.15010000000000001</v>
      </c>
      <c r="J128" s="7">
        <v>0.15010000000000001</v>
      </c>
      <c r="K128" s="7">
        <v>5.3E-3</v>
      </c>
      <c r="L128" s="7">
        <v>0.151</v>
      </c>
      <c r="M128" s="7">
        <v>0.14660000000000001</v>
      </c>
      <c r="N128" s="7">
        <v>-0.6</v>
      </c>
      <c r="O128" s="4"/>
      <c r="P128" s="7">
        <v>1.2404999999999999</v>
      </c>
      <c r="Q128" s="7">
        <v>507</v>
      </c>
      <c r="T128" s="7">
        <v>59.7</v>
      </c>
      <c r="U128" s="7">
        <v>418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75.5</v>
      </c>
      <c r="AZ128" s="4"/>
      <c r="BA128" s="4">
        <v>111.6</v>
      </c>
      <c r="BB128" s="4"/>
      <c r="BC128" s="4"/>
      <c r="BD128" s="16">
        <v>25.5</v>
      </c>
      <c r="BE128" s="17">
        <v>1012</v>
      </c>
      <c r="BF128" s="16">
        <v>39.4</v>
      </c>
      <c r="BG128" s="15"/>
      <c r="BH128" s="4"/>
      <c r="BI128" s="4"/>
      <c r="BJ128" s="3" t="s">
        <v>208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2</v>
      </c>
      <c r="E129" s="2" t="s">
        <v>547</v>
      </c>
      <c r="F129" s="4" t="s">
        <v>216</v>
      </c>
      <c r="G129" s="4" t="s">
        <v>15</v>
      </c>
      <c r="H129" s="4" t="s">
        <v>223</v>
      </c>
      <c r="I129" s="7">
        <v>0.1457</v>
      </c>
      <c r="J129" s="7">
        <v>0.1457</v>
      </c>
      <c r="K129" s="7">
        <v>2.5000000000000001E-3</v>
      </c>
      <c r="L129" s="7">
        <v>0.151</v>
      </c>
      <c r="M129" s="7">
        <v>0.14710000000000001</v>
      </c>
      <c r="N129" s="7">
        <v>-0.65</v>
      </c>
      <c r="O129" s="4"/>
      <c r="P129" s="7">
        <v>1.2404999999999999</v>
      </c>
      <c r="Q129" s="7">
        <v>507</v>
      </c>
      <c r="T129" s="7">
        <v>58.6</v>
      </c>
      <c r="U129" s="7">
        <v>397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84.6</v>
      </c>
      <c r="AZ129" s="4"/>
      <c r="BA129" s="4">
        <v>120.6</v>
      </c>
      <c r="BB129" s="4"/>
      <c r="BC129" s="4"/>
      <c r="BD129" s="16">
        <v>25.5</v>
      </c>
      <c r="BE129" s="17">
        <v>1012</v>
      </c>
      <c r="BF129" s="16">
        <v>39.4</v>
      </c>
      <c r="BG129" s="15"/>
      <c r="BH129" s="4"/>
      <c r="BI129" s="4"/>
      <c r="BJ129" s="3" t="s">
        <v>277</v>
      </c>
      <c r="BK129"/>
      <c r="BL129"/>
      <c r="BM129"/>
      <c r="BR129"/>
    </row>
    <row r="130" spans="1:70" ht="57" x14ac:dyDescent="0.45">
      <c r="A130" s="2" t="s">
        <v>43</v>
      </c>
      <c r="B130" s="54" t="s">
        <v>79</v>
      </c>
      <c r="C130" s="3">
        <v>45236</v>
      </c>
      <c r="D130" s="8">
        <v>3</v>
      </c>
      <c r="E130" s="2" t="s">
        <v>547</v>
      </c>
      <c r="F130" s="4" t="s">
        <v>216</v>
      </c>
      <c r="G130" s="4" t="s">
        <v>578</v>
      </c>
      <c r="H130" s="4" t="s">
        <v>223</v>
      </c>
      <c r="I130" s="7">
        <v>0.14879999999999999</v>
      </c>
      <c r="J130" s="7">
        <v>0.14879999999999999</v>
      </c>
      <c r="K130" s="7">
        <v>4.5999999999999999E-3</v>
      </c>
      <c r="L130" s="7">
        <v>0.155</v>
      </c>
      <c r="M130" s="7">
        <v>0.14699999999999999</v>
      </c>
      <c r="N130" s="7">
        <v>-0.62</v>
      </c>
      <c r="O130" s="4"/>
      <c r="P130" s="7">
        <v>1.2404999999999999</v>
      </c>
      <c r="Q130" s="7">
        <v>507</v>
      </c>
      <c r="T130" s="7">
        <v>60.9</v>
      </c>
      <c r="U130" s="7">
        <v>448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70.3</v>
      </c>
      <c r="AZ130" s="4"/>
      <c r="BA130" s="4">
        <v>111.6</v>
      </c>
      <c r="BB130" s="4"/>
      <c r="BC130" s="4"/>
      <c r="BD130" s="16">
        <v>25.5</v>
      </c>
      <c r="BE130" s="17">
        <v>1012</v>
      </c>
      <c r="BF130" s="16">
        <v>39.4</v>
      </c>
      <c r="BG130" s="15"/>
      <c r="BH130" s="4"/>
      <c r="BI130" s="4" t="s">
        <v>100</v>
      </c>
      <c r="BJ130" s="3" t="s">
        <v>278</v>
      </c>
      <c r="BK130"/>
      <c r="BL130"/>
      <c r="BM130"/>
      <c r="BR130"/>
    </row>
    <row r="131" spans="1:70" ht="28.5" x14ac:dyDescent="0.45">
      <c r="A131" s="2" t="s">
        <v>43</v>
      </c>
      <c r="B131" s="54" t="s">
        <v>79</v>
      </c>
      <c r="C131" s="3">
        <v>45236</v>
      </c>
      <c r="D131" s="8">
        <v>4</v>
      </c>
      <c r="E131" s="2" t="s">
        <v>547</v>
      </c>
      <c r="F131" s="4" t="s">
        <v>216</v>
      </c>
      <c r="G131" s="4" t="s">
        <v>578</v>
      </c>
      <c r="H131" s="4" t="s">
        <v>330</v>
      </c>
      <c r="I131" s="7">
        <v>0.15029999999999999</v>
      </c>
      <c r="J131" s="7">
        <v>0.15029999999999999</v>
      </c>
      <c r="K131" s="7">
        <v>4.4000000000000003E-3</v>
      </c>
      <c r="L131" s="7">
        <v>0.154</v>
      </c>
      <c r="M131" s="7">
        <v>0.1487</v>
      </c>
      <c r="N131" s="7">
        <v>-0.62</v>
      </c>
      <c r="O131" s="4"/>
      <c r="P131" s="7">
        <v>1.2404999999999999</v>
      </c>
      <c r="Q131" s="7">
        <v>507</v>
      </c>
      <c r="T131" s="7">
        <v>60.3</v>
      </c>
      <c r="U131" s="7">
        <v>431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72.400000000000006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16">
        <v>39.4</v>
      </c>
      <c r="BG131" s="15"/>
      <c r="BH131" s="4"/>
      <c r="BI131" s="4"/>
      <c r="BJ131" s="3" t="s">
        <v>279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5</v>
      </c>
      <c r="E132" s="2" t="s">
        <v>547</v>
      </c>
      <c r="F132" s="4" t="s">
        <v>93</v>
      </c>
      <c r="G132" s="4" t="s">
        <v>15</v>
      </c>
      <c r="H132" s="4" t="s">
        <v>223</v>
      </c>
      <c r="I132" s="7">
        <v>0.14899999999999999</v>
      </c>
      <c r="J132" s="7">
        <v>0.14899999999999999</v>
      </c>
      <c r="K132" s="7">
        <v>4.0000000000000001E-3</v>
      </c>
      <c r="L132" s="7">
        <v>0.14899999999999999</v>
      </c>
      <c r="M132" s="7">
        <v>0.14610000000000001</v>
      </c>
      <c r="N132" s="7">
        <v>-0.56999999999999995</v>
      </c>
      <c r="O132" s="4"/>
      <c r="P132" s="7">
        <v>1.2404999999999999</v>
      </c>
      <c r="Q132" s="7">
        <v>507</v>
      </c>
      <c r="T132" s="7">
        <v>60.3</v>
      </c>
      <c r="U132" s="7">
        <v>428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75.5</v>
      </c>
      <c r="AZ132" s="4"/>
      <c r="BA132" s="4">
        <v>111.6</v>
      </c>
      <c r="BB132" s="4"/>
      <c r="BC132" s="4"/>
      <c r="BD132" s="16">
        <v>26</v>
      </c>
      <c r="BE132" s="62">
        <v>1012</v>
      </c>
      <c r="BF132" s="16">
        <v>40</v>
      </c>
      <c r="BG132" s="58"/>
      <c r="BH132" s="4"/>
      <c r="BI132" s="4"/>
      <c r="BJ132" s="3" t="s">
        <v>280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6</v>
      </c>
      <c r="E133" s="2" t="s">
        <v>547</v>
      </c>
      <c r="F133" s="4" t="s">
        <v>216</v>
      </c>
      <c r="G133" s="4" t="s">
        <v>15</v>
      </c>
      <c r="H133" s="4" t="s">
        <v>223</v>
      </c>
      <c r="I133" s="7">
        <v>0.14960000000000001</v>
      </c>
      <c r="J133" s="7">
        <v>0.14960000000000001</v>
      </c>
      <c r="K133" s="7">
        <v>1.6999999999999999E-3</v>
      </c>
      <c r="L133" s="7">
        <v>0.15</v>
      </c>
      <c r="M133" s="7">
        <v>0.1462</v>
      </c>
      <c r="N133" s="7">
        <v>-0.65</v>
      </c>
      <c r="O133" s="4"/>
      <c r="P133" s="7">
        <v>1.2404999999999999</v>
      </c>
      <c r="Q133" s="7">
        <v>507</v>
      </c>
      <c r="T133" s="7">
        <v>61.5</v>
      </c>
      <c r="U133" s="7">
        <v>444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84.3</v>
      </c>
      <c r="AZ133" s="4"/>
      <c r="BA133" s="4">
        <v>120.6</v>
      </c>
      <c r="BB133" s="4"/>
      <c r="BC133" s="4"/>
      <c r="BD133" s="16">
        <v>26</v>
      </c>
      <c r="BE133" s="17">
        <v>1012</v>
      </c>
      <c r="BF133" s="16">
        <v>40</v>
      </c>
      <c r="BG133" s="15"/>
      <c r="BH133" s="4"/>
      <c r="BI133" s="4"/>
      <c r="BJ133" s="3" t="s">
        <v>274</v>
      </c>
      <c r="BK133"/>
      <c r="BL133"/>
      <c r="BM133"/>
      <c r="BR133"/>
    </row>
    <row r="134" spans="1:70" ht="28.5" x14ac:dyDescent="0.45">
      <c r="A134" s="2" t="s">
        <v>43</v>
      </c>
      <c r="B134" s="54" t="s">
        <v>79</v>
      </c>
      <c r="C134" s="3">
        <v>45236</v>
      </c>
      <c r="D134" s="8">
        <v>7</v>
      </c>
      <c r="E134" s="2" t="s">
        <v>547</v>
      </c>
      <c r="F134" s="4" t="s">
        <v>216</v>
      </c>
      <c r="G134" s="4" t="s">
        <v>578</v>
      </c>
      <c r="H134" s="4" t="s">
        <v>223</v>
      </c>
      <c r="I134" s="7">
        <v>0.1482</v>
      </c>
      <c r="J134" s="7">
        <v>0.1482</v>
      </c>
      <c r="K134" s="7">
        <v>3.7000000000000002E-3</v>
      </c>
      <c r="L134" s="7">
        <v>0.155</v>
      </c>
      <c r="M134" s="7">
        <v>0.1472</v>
      </c>
      <c r="N134" s="7">
        <v>-0.59</v>
      </c>
      <c r="O134" s="4"/>
      <c r="P134" s="7">
        <v>1.2404999999999999</v>
      </c>
      <c r="Q134" s="7">
        <v>507</v>
      </c>
      <c r="T134" s="7">
        <v>60.8</v>
      </c>
      <c r="U134" s="7">
        <v>446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70.2</v>
      </c>
      <c r="AZ134" s="4"/>
      <c r="BA134" s="4">
        <v>111.6</v>
      </c>
      <c r="BB134" s="4"/>
      <c r="BC134" s="4"/>
      <c r="BD134" s="16">
        <v>26</v>
      </c>
      <c r="BE134" s="17">
        <v>1012</v>
      </c>
      <c r="BF134" s="16">
        <v>40</v>
      </c>
      <c r="BG134" s="15"/>
      <c r="BH134" s="4"/>
      <c r="BI134" s="4"/>
      <c r="BJ134" s="3" t="s">
        <v>275</v>
      </c>
      <c r="BK134"/>
      <c r="BL134"/>
      <c r="BM134"/>
      <c r="BR134"/>
    </row>
    <row r="135" spans="1:70" ht="28.5" x14ac:dyDescent="0.45">
      <c r="A135" s="2" t="s">
        <v>43</v>
      </c>
      <c r="B135" s="54" t="s">
        <v>79</v>
      </c>
      <c r="C135" s="3">
        <v>45236</v>
      </c>
      <c r="D135" s="8">
        <v>8</v>
      </c>
      <c r="E135" s="2" t="s">
        <v>547</v>
      </c>
      <c r="F135" s="4" t="s">
        <v>216</v>
      </c>
      <c r="G135" s="4" t="s">
        <v>578</v>
      </c>
      <c r="H135" s="4" t="s">
        <v>330</v>
      </c>
      <c r="I135" s="7">
        <v>0.1489</v>
      </c>
      <c r="J135" s="7">
        <v>0.1489</v>
      </c>
      <c r="K135" s="7">
        <v>3.8E-3</v>
      </c>
      <c r="L135" s="7">
        <v>0.156</v>
      </c>
      <c r="M135" s="7">
        <v>0.14799999999999999</v>
      </c>
      <c r="N135" s="7">
        <v>-0.61</v>
      </c>
      <c r="O135" s="4"/>
      <c r="P135" s="7">
        <v>1.2404999999999999</v>
      </c>
      <c r="Q135" s="7">
        <v>507</v>
      </c>
      <c r="T135" s="7">
        <v>61.1</v>
      </c>
      <c r="U135" s="7">
        <v>454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72.5</v>
      </c>
      <c r="AZ135" s="4"/>
      <c r="BA135" s="4">
        <v>111.6</v>
      </c>
      <c r="BB135" s="4"/>
      <c r="BC135" s="4"/>
      <c r="BD135" s="16">
        <v>26</v>
      </c>
      <c r="BE135" s="17">
        <v>1012</v>
      </c>
      <c r="BF135" s="16">
        <v>40</v>
      </c>
      <c r="BG135" s="15"/>
      <c r="BH135" s="4"/>
      <c r="BI135" s="4"/>
      <c r="BJ135" s="3" t="s">
        <v>276</v>
      </c>
      <c r="BK135"/>
      <c r="BL135"/>
      <c r="BM135"/>
      <c r="BR135"/>
    </row>
    <row r="136" spans="1:70" ht="28.5" x14ac:dyDescent="0.45">
      <c r="A136" s="2" t="s">
        <v>43</v>
      </c>
      <c r="B136" s="54" t="s">
        <v>44</v>
      </c>
      <c r="C136" s="3">
        <v>45239</v>
      </c>
      <c r="D136" s="8">
        <v>1</v>
      </c>
      <c r="E136" s="2" t="s">
        <v>212</v>
      </c>
      <c r="F136" s="4" t="s">
        <v>15</v>
      </c>
      <c r="G136" s="4" t="s">
        <v>15</v>
      </c>
      <c r="H136" s="4" t="s">
        <v>330</v>
      </c>
      <c r="I136" s="7">
        <v>0.16550000000000001</v>
      </c>
      <c r="J136" s="7">
        <v>0.16550000000000001</v>
      </c>
      <c r="K136" s="7">
        <v>4.7999999999999996E-3</v>
      </c>
      <c r="L136" s="7">
        <v>0.16900000000000001</v>
      </c>
      <c r="M136" s="7">
        <v>0.16919999999999999</v>
      </c>
      <c r="N136" s="7">
        <v>-0.45</v>
      </c>
      <c r="O136" s="4"/>
      <c r="P136" s="7">
        <v>1.302</v>
      </c>
      <c r="Q136" s="7">
        <v>497</v>
      </c>
      <c r="T136" s="7">
        <v>59.1</v>
      </c>
      <c r="U136" s="7">
        <v>464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>
        <v>75.400000000000006</v>
      </c>
      <c r="AZ136" s="4"/>
      <c r="BA136" s="4">
        <v>111.6</v>
      </c>
      <c r="BB136" s="4"/>
      <c r="BC136" s="4"/>
      <c r="BD136" s="16">
        <v>26.3</v>
      </c>
      <c r="BE136" s="17">
        <v>1012</v>
      </c>
      <c r="BF136" s="16">
        <v>40</v>
      </c>
      <c r="BG136" s="15"/>
      <c r="BH136" s="4"/>
      <c r="BI136" s="4"/>
      <c r="BJ136" s="3" t="s">
        <v>322</v>
      </c>
      <c r="BK136"/>
      <c r="BL136"/>
      <c r="BM136"/>
      <c r="BR136"/>
    </row>
    <row r="137" spans="1:70" ht="28.5" x14ac:dyDescent="0.45">
      <c r="A137" s="2" t="s">
        <v>43</v>
      </c>
      <c r="B137" s="54" t="s">
        <v>44</v>
      </c>
      <c r="C137" s="3">
        <v>45239</v>
      </c>
      <c r="D137" s="8">
        <v>2</v>
      </c>
      <c r="E137" s="2" t="s">
        <v>98</v>
      </c>
      <c r="F137" s="4" t="s">
        <v>15</v>
      </c>
      <c r="G137" s="4" t="s">
        <v>15</v>
      </c>
      <c r="H137" s="4" t="s">
        <v>330</v>
      </c>
      <c r="I137" s="7">
        <v>0.16969999999999999</v>
      </c>
      <c r="J137" s="7">
        <v>0.16969999999999999</v>
      </c>
      <c r="K137" s="7">
        <v>2.5999999999999999E-3</v>
      </c>
      <c r="L137" s="7">
        <v>0.16800000000000001</v>
      </c>
      <c r="M137" s="7">
        <v>0.17069999999999999</v>
      </c>
      <c r="N137" s="7">
        <v>-0.46</v>
      </c>
      <c r="O137" s="4"/>
      <c r="P137" s="7">
        <v>1.302</v>
      </c>
      <c r="Q137" s="7">
        <v>497</v>
      </c>
      <c r="T137" s="7">
        <v>58.2</v>
      </c>
      <c r="U137" s="7">
        <v>434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>
        <v>84.6</v>
      </c>
      <c r="AZ137" s="4"/>
      <c r="BA137" s="4">
        <v>120.6</v>
      </c>
      <c r="BB137" s="4"/>
      <c r="BC137" s="4"/>
      <c r="BD137" s="16">
        <v>26.3</v>
      </c>
      <c r="BE137" s="17">
        <v>1012</v>
      </c>
      <c r="BF137" s="16">
        <v>40</v>
      </c>
      <c r="BG137" s="15"/>
      <c r="BH137" s="4"/>
      <c r="BI137" s="4"/>
      <c r="BJ137" s="3" t="s">
        <v>321</v>
      </c>
      <c r="BK137"/>
      <c r="BL137"/>
      <c r="BM137"/>
      <c r="BR137"/>
    </row>
    <row r="138" spans="1:70" ht="28.5" x14ac:dyDescent="0.45">
      <c r="A138" s="2" t="s">
        <v>43</v>
      </c>
      <c r="B138" s="54" t="s">
        <v>44</v>
      </c>
      <c r="C138" s="3">
        <v>45239</v>
      </c>
      <c r="D138" s="8">
        <v>3</v>
      </c>
      <c r="E138" s="2" t="s">
        <v>213</v>
      </c>
      <c r="F138" s="4" t="s">
        <v>15</v>
      </c>
      <c r="G138" s="4" t="s">
        <v>15</v>
      </c>
      <c r="H138" s="4" t="s">
        <v>330</v>
      </c>
      <c r="I138" s="7">
        <v>0.1633</v>
      </c>
      <c r="J138" s="7">
        <v>0.1633</v>
      </c>
      <c r="K138" s="7">
        <v>1.6999999999999999E-3</v>
      </c>
      <c r="L138" s="7">
        <v>0.16300000000000001</v>
      </c>
      <c r="M138" s="7">
        <v>0.16289999999999999</v>
      </c>
      <c r="N138" s="7">
        <v>-0.52</v>
      </c>
      <c r="O138" s="4"/>
      <c r="P138" s="7">
        <v>1.302</v>
      </c>
      <c r="Q138" s="7">
        <v>497</v>
      </c>
      <c r="T138" s="7">
        <v>58.6</v>
      </c>
      <c r="U138" s="7">
        <v>424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>
        <v>70.099999999999994</v>
      </c>
      <c r="AZ138" s="4"/>
      <c r="BA138" s="4">
        <v>111.6</v>
      </c>
      <c r="BB138" s="4"/>
      <c r="BC138" s="4"/>
      <c r="BD138" s="16">
        <v>26.3</v>
      </c>
      <c r="BE138" s="62">
        <v>1012</v>
      </c>
      <c r="BF138" s="16">
        <v>40</v>
      </c>
      <c r="BG138" s="58"/>
      <c r="BH138" s="4"/>
      <c r="BI138" s="4"/>
      <c r="BJ138" s="3" t="s">
        <v>320</v>
      </c>
      <c r="BK138"/>
      <c r="BL138"/>
      <c r="BM138"/>
      <c r="BR138"/>
    </row>
    <row r="139" spans="1:70" ht="28.5" x14ac:dyDescent="0.45">
      <c r="A139" s="2" t="s">
        <v>43</v>
      </c>
      <c r="B139" s="54" t="s">
        <v>44</v>
      </c>
      <c r="C139" s="3">
        <v>45239</v>
      </c>
      <c r="D139" s="8">
        <v>4</v>
      </c>
      <c r="E139" s="2" t="s">
        <v>212</v>
      </c>
      <c r="F139" s="4" t="s">
        <v>15</v>
      </c>
      <c r="G139" s="4" t="s">
        <v>15</v>
      </c>
      <c r="H139" s="4" t="s">
        <v>330</v>
      </c>
      <c r="I139" s="7">
        <v>0.16650000000000001</v>
      </c>
      <c r="J139" s="7">
        <v>0.16650000000000001</v>
      </c>
      <c r="K139" s="7">
        <v>4.0000000000000001E-3</v>
      </c>
      <c r="L139" s="7">
        <v>0.161</v>
      </c>
      <c r="M139" s="7">
        <v>0.16830000000000001</v>
      </c>
      <c r="N139" s="7">
        <v>-0.48</v>
      </c>
      <c r="O139" s="4"/>
      <c r="P139" s="7">
        <v>1.302</v>
      </c>
      <c r="Q139" s="7">
        <v>497</v>
      </c>
      <c r="T139" s="7">
        <v>58.7</v>
      </c>
      <c r="U139" s="7">
        <v>425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>
        <v>72.400000000000006</v>
      </c>
      <c r="AZ139" s="4"/>
      <c r="BA139" s="4">
        <v>111.6</v>
      </c>
      <c r="BB139" s="4"/>
      <c r="BC139" s="4"/>
      <c r="BD139" s="16">
        <v>26.3</v>
      </c>
      <c r="BE139" s="17">
        <v>1012</v>
      </c>
      <c r="BF139" s="16">
        <v>40</v>
      </c>
      <c r="BG139" s="15"/>
      <c r="BH139" s="4"/>
      <c r="BI139" s="4"/>
      <c r="BJ139" s="3" t="s">
        <v>319</v>
      </c>
      <c r="BK139"/>
      <c r="BL139"/>
      <c r="BM139"/>
      <c r="BR139"/>
    </row>
    <row r="140" spans="1:70" ht="28.5" x14ac:dyDescent="0.45">
      <c r="A140" s="2" t="s">
        <v>43</v>
      </c>
      <c r="B140" s="54" t="s">
        <v>44</v>
      </c>
      <c r="C140" s="3">
        <v>45239</v>
      </c>
      <c r="D140" s="8">
        <v>5</v>
      </c>
      <c r="E140" s="2" t="s">
        <v>98</v>
      </c>
      <c r="F140" s="4" t="s">
        <v>15</v>
      </c>
      <c r="G140" s="4" t="s">
        <v>15</v>
      </c>
      <c r="H140" s="4" t="s">
        <v>330</v>
      </c>
      <c r="I140" s="7">
        <v>0.1676</v>
      </c>
      <c r="J140" s="7">
        <v>0.1676</v>
      </c>
      <c r="K140" s="7">
        <v>2.0999999999999999E-3</v>
      </c>
      <c r="L140" s="7">
        <v>0.16200000000000001</v>
      </c>
      <c r="M140" s="7">
        <v>0.16789999999999999</v>
      </c>
      <c r="N140" s="7">
        <v>-0.46</v>
      </c>
      <c r="O140" s="4"/>
      <c r="P140" s="7">
        <v>1.302</v>
      </c>
      <c r="Q140" s="7">
        <v>497</v>
      </c>
      <c r="T140" s="7">
        <v>58.3</v>
      </c>
      <c r="U140" s="7">
        <v>420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75.5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16">
        <v>40</v>
      </c>
      <c r="BG140" s="15"/>
      <c r="BH140" s="4"/>
      <c r="BI140" s="4"/>
      <c r="BJ140" s="3" t="s">
        <v>318</v>
      </c>
      <c r="BK140"/>
      <c r="BL140"/>
      <c r="BM140"/>
      <c r="BR140"/>
    </row>
    <row r="141" spans="1:70" ht="28.5" x14ac:dyDescent="0.45">
      <c r="A141" s="2" t="s">
        <v>43</v>
      </c>
      <c r="B141" s="54" t="s">
        <v>44</v>
      </c>
      <c r="C141" s="3">
        <v>45239</v>
      </c>
      <c r="D141" s="8">
        <v>6</v>
      </c>
      <c r="E141" s="2" t="s">
        <v>213</v>
      </c>
      <c r="F141" s="4" t="s">
        <v>15</v>
      </c>
      <c r="G141" s="4" t="s">
        <v>15</v>
      </c>
      <c r="H141" s="4" t="s">
        <v>330</v>
      </c>
      <c r="I141" s="7">
        <v>0.16350000000000001</v>
      </c>
      <c r="J141" s="7">
        <v>0.16350000000000001</v>
      </c>
      <c r="K141" s="7">
        <v>3.0000000000000001E-3</v>
      </c>
      <c r="L141" s="7">
        <v>0.16400000000000001</v>
      </c>
      <c r="M141" s="7">
        <v>0.16489999999999999</v>
      </c>
      <c r="N141" s="7">
        <v>-0.46</v>
      </c>
      <c r="O141" s="4"/>
      <c r="P141" s="7">
        <v>1.302</v>
      </c>
      <c r="Q141" s="7">
        <v>497</v>
      </c>
      <c r="T141" s="7">
        <v>59.5</v>
      </c>
      <c r="U141" s="7">
        <v>450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84.5</v>
      </c>
      <c r="AZ141" s="4"/>
      <c r="BA141" s="4">
        <v>120.6</v>
      </c>
      <c r="BB141" s="4"/>
      <c r="BC141" s="4"/>
      <c r="BD141" s="16">
        <v>26.5</v>
      </c>
      <c r="BE141" s="17">
        <v>1011</v>
      </c>
      <c r="BF141" s="16">
        <v>40</v>
      </c>
      <c r="BG141" s="15"/>
      <c r="BH141" s="4"/>
      <c r="BI141" s="4"/>
      <c r="BJ141" s="3" t="s">
        <v>317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1</v>
      </c>
      <c r="E142" s="2" t="s">
        <v>212</v>
      </c>
      <c r="F142" s="4" t="s">
        <v>15</v>
      </c>
      <c r="G142" s="4" t="s">
        <v>577</v>
      </c>
      <c r="H142" s="4" t="s">
        <v>571</v>
      </c>
      <c r="I142" s="7">
        <v>0.17219999999999999</v>
      </c>
      <c r="J142" s="7">
        <v>0.17219999999999999</v>
      </c>
      <c r="K142" s="7">
        <v>6.8999999999999999E-3</v>
      </c>
      <c r="L142" s="7"/>
      <c r="M142" s="7">
        <v>0.17199999999999999</v>
      </c>
      <c r="N142" s="7">
        <v>-0.47</v>
      </c>
      <c r="O142" s="4"/>
      <c r="P142" s="7">
        <v>1.2515000000000001</v>
      </c>
      <c r="Q142" s="7">
        <v>504</v>
      </c>
      <c r="T142" s="7">
        <v>66.5</v>
      </c>
      <c r="U142" s="7">
        <v>614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70.099999999999994</v>
      </c>
      <c r="AZ142" s="4"/>
      <c r="BA142" s="4">
        <v>111.6</v>
      </c>
      <c r="BB142" s="4"/>
      <c r="BC142" s="4"/>
      <c r="BD142" s="16">
        <v>26.5</v>
      </c>
      <c r="BE142" s="17">
        <v>1011</v>
      </c>
      <c r="BF142" s="16">
        <v>40</v>
      </c>
      <c r="BG142" s="15"/>
      <c r="BH142" s="4"/>
      <c r="BI142" s="13" t="s">
        <v>101</v>
      </c>
      <c r="BJ142" s="3" t="s">
        <v>323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2</v>
      </c>
      <c r="E143" s="2" t="s">
        <v>212</v>
      </c>
      <c r="F143" s="4" t="s">
        <v>567</v>
      </c>
      <c r="G143" s="4" t="s">
        <v>578</v>
      </c>
      <c r="H143" s="4" t="s">
        <v>378</v>
      </c>
      <c r="I143" s="7">
        <v>0.17</v>
      </c>
      <c r="J143" s="7">
        <v>0.17</v>
      </c>
      <c r="K143" s="7">
        <v>2.5999999999999999E-3</v>
      </c>
      <c r="L143" s="7"/>
      <c r="M143" s="7">
        <v>0.17169999999999999</v>
      </c>
      <c r="N143" s="7">
        <v>-0.41</v>
      </c>
      <c r="O143" s="4"/>
      <c r="P143" s="7">
        <v>1.2515000000000001</v>
      </c>
      <c r="Q143" s="7">
        <v>504</v>
      </c>
      <c r="T143" s="7">
        <v>66.099999999999994</v>
      </c>
      <c r="U143" s="7">
        <v>630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72.3</v>
      </c>
      <c r="AZ143" s="4"/>
      <c r="BA143" s="4">
        <v>111.6</v>
      </c>
      <c r="BB143" s="4"/>
      <c r="BC143" s="4"/>
      <c r="BD143" s="16">
        <v>26.5</v>
      </c>
      <c r="BE143" s="17">
        <v>1011</v>
      </c>
      <c r="BF143" s="16">
        <v>40</v>
      </c>
      <c r="BG143" s="15"/>
      <c r="BH143" s="13"/>
      <c r="BI143" s="13" t="s">
        <v>102</v>
      </c>
      <c r="BJ143" s="3" t="s">
        <v>324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3</v>
      </c>
      <c r="E144" s="2" t="s">
        <v>212</v>
      </c>
      <c r="F144" s="4" t="s">
        <v>15</v>
      </c>
      <c r="G144" s="4" t="s">
        <v>577</v>
      </c>
      <c r="H144" s="4" t="s">
        <v>571</v>
      </c>
      <c r="I144" s="7">
        <v>0.1691</v>
      </c>
      <c r="J144" s="7">
        <v>0.1691</v>
      </c>
      <c r="K144" s="7">
        <v>3.8E-3</v>
      </c>
      <c r="L144" s="7"/>
      <c r="M144" s="7">
        <v>0.16930000000000001</v>
      </c>
      <c r="N144" s="7">
        <v>-0.43</v>
      </c>
      <c r="O144" s="4"/>
      <c r="P144" s="7">
        <v>1.2515000000000001</v>
      </c>
      <c r="Q144" s="7">
        <v>504</v>
      </c>
      <c r="T144" s="7">
        <v>65.2</v>
      </c>
      <c r="U144" s="7">
        <v>609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75.5</v>
      </c>
      <c r="AZ144" s="4"/>
      <c r="BA144" s="4">
        <v>111.6</v>
      </c>
      <c r="BB144" s="4"/>
      <c r="BC144" s="4"/>
      <c r="BD144" s="16">
        <v>26.7</v>
      </c>
      <c r="BE144" s="62">
        <v>1011</v>
      </c>
      <c r="BF144" s="16">
        <v>39.6</v>
      </c>
      <c r="BG144" s="58"/>
      <c r="BH144" s="4"/>
      <c r="BI144" s="4"/>
      <c r="BJ144" s="3" t="s">
        <v>325</v>
      </c>
      <c r="BK144"/>
      <c r="BL144"/>
      <c r="BM144"/>
      <c r="BR144"/>
    </row>
    <row r="145" spans="1:70" ht="28.5" x14ac:dyDescent="0.45">
      <c r="A145" s="2" t="s">
        <v>13</v>
      </c>
      <c r="B145" s="54" t="s">
        <v>17</v>
      </c>
      <c r="C145" s="3">
        <v>45239</v>
      </c>
      <c r="D145" s="8">
        <v>4</v>
      </c>
      <c r="E145" s="2" t="s">
        <v>212</v>
      </c>
      <c r="F145" s="4" t="s">
        <v>567</v>
      </c>
      <c r="G145" s="4" t="s">
        <v>578</v>
      </c>
      <c r="H145" s="4" t="s">
        <v>378</v>
      </c>
      <c r="I145" s="7">
        <v>0.1719</v>
      </c>
      <c r="J145" s="7">
        <v>0.1719</v>
      </c>
      <c r="K145" s="7">
        <v>3.3999999999999998E-3</v>
      </c>
      <c r="L145" s="7"/>
      <c r="M145" s="7">
        <v>0.1714</v>
      </c>
      <c r="N145" s="7">
        <v>-0.45</v>
      </c>
      <c r="O145" s="4"/>
      <c r="P145" s="7">
        <v>1.2515000000000001</v>
      </c>
      <c r="Q145" s="7">
        <v>504</v>
      </c>
      <c r="T145" s="7">
        <v>65.900000000000006</v>
      </c>
      <c r="U145" s="7">
        <v>619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>
        <v>84.7</v>
      </c>
      <c r="AZ145" s="4"/>
      <c r="BA145" s="4">
        <v>120.6</v>
      </c>
      <c r="BB145" s="4"/>
      <c r="BC145" s="4"/>
      <c r="BD145" s="16">
        <v>26.7</v>
      </c>
      <c r="BE145" s="17">
        <v>1011</v>
      </c>
      <c r="BF145" s="16">
        <v>39.6</v>
      </c>
      <c r="BG145" s="15"/>
      <c r="BH145" s="4"/>
      <c r="BI145" s="4"/>
      <c r="BJ145" s="3" t="s">
        <v>326</v>
      </c>
      <c r="BK145"/>
      <c r="BL145"/>
      <c r="BM145"/>
      <c r="BR145"/>
    </row>
    <row r="146" spans="1:70" ht="28.5" x14ac:dyDescent="0.45">
      <c r="A146" s="2" t="s">
        <v>13</v>
      </c>
      <c r="B146" s="54" t="s">
        <v>17</v>
      </c>
      <c r="C146" s="3">
        <v>45239</v>
      </c>
      <c r="D146" s="8">
        <v>5</v>
      </c>
      <c r="E146" s="2" t="s">
        <v>212</v>
      </c>
      <c r="F146" s="4" t="s">
        <v>15</v>
      </c>
      <c r="G146" s="4" t="s">
        <v>577</v>
      </c>
      <c r="H146" s="4" t="s">
        <v>571</v>
      </c>
      <c r="I146" s="7">
        <v>0.17080000000000001</v>
      </c>
      <c r="J146" s="7">
        <v>0.17080000000000001</v>
      </c>
      <c r="K146" s="7">
        <v>2.0999999999999999E-3</v>
      </c>
      <c r="L146" s="7"/>
      <c r="M146" s="7">
        <v>0.1711</v>
      </c>
      <c r="N146" s="7">
        <v>-0.45</v>
      </c>
      <c r="O146" s="4"/>
      <c r="P146" s="7">
        <v>1.2515000000000001</v>
      </c>
      <c r="Q146" s="7">
        <v>504</v>
      </c>
      <c r="T146" s="7">
        <v>65.400000000000006</v>
      </c>
      <c r="U146" s="7">
        <v>605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70</v>
      </c>
      <c r="AZ146" s="4"/>
      <c r="BA146" s="4">
        <v>111.6</v>
      </c>
      <c r="BB146" s="4"/>
      <c r="BC146" s="4"/>
      <c r="BD146" s="16">
        <v>26.7</v>
      </c>
      <c r="BE146" s="17">
        <v>1011</v>
      </c>
      <c r="BF146" s="16">
        <v>39.6</v>
      </c>
      <c r="BG146" s="15"/>
      <c r="BH146" s="4"/>
      <c r="BI146" s="4"/>
      <c r="BJ146" s="3" t="s">
        <v>327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6</v>
      </c>
      <c r="E147" s="2" t="s">
        <v>212</v>
      </c>
      <c r="F147" s="4" t="s">
        <v>567</v>
      </c>
      <c r="G147" s="4" t="s">
        <v>578</v>
      </c>
      <c r="H147" s="4" t="s">
        <v>378</v>
      </c>
      <c r="I147" s="7">
        <v>0.1711</v>
      </c>
      <c r="J147" s="7">
        <v>0.1711</v>
      </c>
      <c r="K147" s="7">
        <v>4.4999999999999997E-3</v>
      </c>
      <c r="L147" s="7"/>
      <c r="M147" s="7">
        <v>0.17199999999999999</v>
      </c>
      <c r="N147" s="7">
        <v>-0.42</v>
      </c>
      <c r="O147" s="4"/>
      <c r="P147" s="7">
        <v>1.2515000000000001</v>
      </c>
      <c r="Q147" s="7">
        <v>504</v>
      </c>
      <c r="T147" s="7">
        <v>65.5</v>
      </c>
      <c r="U147" s="7">
        <v>613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72.2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16">
        <v>39.6</v>
      </c>
      <c r="BG147" s="15"/>
      <c r="BH147" s="4"/>
      <c r="BI147" s="4"/>
      <c r="BJ147" s="3" t="s">
        <v>328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1</v>
      </c>
      <c r="E148" s="2" t="s">
        <v>212</v>
      </c>
      <c r="F148" s="4" t="s">
        <v>15</v>
      </c>
      <c r="G148" s="4" t="s">
        <v>15</v>
      </c>
      <c r="H148" s="4" t="s">
        <v>330</v>
      </c>
      <c r="I148" s="7">
        <v>0.16980000000000001</v>
      </c>
      <c r="J148" s="7">
        <v>0.16980000000000001</v>
      </c>
      <c r="K148" s="7">
        <v>4.3E-3</v>
      </c>
      <c r="L148" s="7">
        <v>0.17199999999999999</v>
      </c>
      <c r="M148" s="7">
        <v>0.17119999999999999</v>
      </c>
      <c r="O148" s="4"/>
      <c r="P148" s="7">
        <v>1.2375</v>
      </c>
      <c r="Q148" s="7">
        <v>511</v>
      </c>
      <c r="T148" s="7">
        <v>58.9</v>
      </c>
      <c r="U148" s="7">
        <v>462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4">
        <v>113.4</v>
      </c>
      <c r="BB148" s="4"/>
      <c r="BC148" s="4"/>
      <c r="BD148" s="16">
        <v>24.5</v>
      </c>
      <c r="BE148" s="16">
        <v>1013</v>
      </c>
      <c r="BF148" s="16">
        <v>47.7</v>
      </c>
      <c r="BG148" s="15"/>
      <c r="BH148" s="7">
        <v>2096</v>
      </c>
      <c r="BI148" s="13" t="s">
        <v>103</v>
      </c>
      <c r="BJ148" s="3" t="s">
        <v>309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2</v>
      </c>
      <c r="E149" s="2" t="s">
        <v>212</v>
      </c>
      <c r="F149" s="4" t="s">
        <v>15</v>
      </c>
      <c r="G149" s="4" t="s">
        <v>15</v>
      </c>
      <c r="H149" s="4" t="s">
        <v>330</v>
      </c>
      <c r="I149" s="7">
        <v>0.16669999999999999</v>
      </c>
      <c r="J149" s="7">
        <v>0.16669999999999999</v>
      </c>
      <c r="K149" s="7">
        <v>2.3999999999999998E-3</v>
      </c>
      <c r="L149" s="7">
        <v>0.17599999999999999</v>
      </c>
      <c r="M149" s="7">
        <v>0.17150000000000001</v>
      </c>
      <c r="O149" s="4"/>
      <c r="P149" s="7">
        <v>1.2375</v>
      </c>
      <c r="Q149" s="7">
        <v>511</v>
      </c>
      <c r="T149" s="7">
        <v>59.7</v>
      </c>
      <c r="U149" s="7">
        <v>485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>
        <v>113.4</v>
      </c>
      <c r="BB149" s="4"/>
      <c r="BC149" s="4"/>
      <c r="BD149" s="16">
        <v>24.5</v>
      </c>
      <c r="BE149" s="16">
        <v>1013</v>
      </c>
      <c r="BF149" s="16">
        <v>47.7</v>
      </c>
      <c r="BG149" s="15"/>
      <c r="BH149" s="7">
        <v>2096</v>
      </c>
      <c r="BI149" s="13" t="s">
        <v>105</v>
      </c>
      <c r="BJ149" s="3" t="s">
        <v>308</v>
      </c>
      <c r="BK149"/>
      <c r="BL149"/>
      <c r="BM149"/>
      <c r="BR149"/>
    </row>
    <row r="150" spans="1:70" ht="28.5" x14ac:dyDescent="0.45">
      <c r="A150" s="2" t="s">
        <v>43</v>
      </c>
      <c r="B150" s="54" t="s">
        <v>99</v>
      </c>
      <c r="C150" s="3">
        <v>45239</v>
      </c>
      <c r="D150" s="8">
        <v>3</v>
      </c>
      <c r="E150" s="2" t="s">
        <v>213</v>
      </c>
      <c r="F150" s="4" t="s">
        <v>15</v>
      </c>
      <c r="G150" s="4" t="s">
        <v>15</v>
      </c>
      <c r="H150" s="4" t="s">
        <v>330</v>
      </c>
      <c r="I150" s="7">
        <v>0.1646</v>
      </c>
      <c r="J150" s="7">
        <v>0.1646</v>
      </c>
      <c r="K150" s="7">
        <v>5.3E-3</v>
      </c>
      <c r="L150" s="7">
        <v>0.16600000000000001</v>
      </c>
      <c r="M150" s="7">
        <v>0.16289999999999999</v>
      </c>
      <c r="O150" s="4"/>
      <c r="P150" s="7">
        <v>1.2375</v>
      </c>
      <c r="Q150" s="7">
        <v>511</v>
      </c>
      <c r="T150" s="7">
        <v>57.5</v>
      </c>
      <c r="U150" s="7">
        <v>409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22">
        <v>117</v>
      </c>
      <c r="BB150" s="4"/>
      <c r="BC150" s="4"/>
      <c r="BD150" s="16">
        <v>24.5</v>
      </c>
      <c r="BE150" s="16">
        <v>1013</v>
      </c>
      <c r="BF150" s="16">
        <v>47.7</v>
      </c>
      <c r="BG150" s="58"/>
      <c r="BH150" s="7">
        <v>2096</v>
      </c>
      <c r="BI150" s="4"/>
      <c r="BJ150" s="3" t="s">
        <v>307</v>
      </c>
      <c r="BK150"/>
      <c r="BL150"/>
      <c r="BM150"/>
      <c r="BR150"/>
    </row>
    <row r="151" spans="1:70" ht="28.5" x14ac:dyDescent="0.45">
      <c r="A151" s="2" t="s">
        <v>43</v>
      </c>
      <c r="B151" s="54" t="s">
        <v>99</v>
      </c>
      <c r="C151" s="3">
        <v>45239</v>
      </c>
      <c r="D151" s="8">
        <v>4</v>
      </c>
      <c r="E151" s="2" t="s">
        <v>214</v>
      </c>
      <c r="F151" s="4" t="s">
        <v>15</v>
      </c>
      <c r="G151" s="4" t="s">
        <v>15</v>
      </c>
      <c r="H151" s="4" t="s">
        <v>330</v>
      </c>
      <c r="I151" s="7">
        <v>0.1656</v>
      </c>
      <c r="J151" s="7">
        <v>0.1656</v>
      </c>
      <c r="K151" s="7">
        <v>1E-3</v>
      </c>
      <c r="L151" s="7">
        <v>0.16500000000000001</v>
      </c>
      <c r="M151" s="7">
        <v>0.16350000000000001</v>
      </c>
      <c r="O151" s="4"/>
      <c r="P151" s="7">
        <v>1.2375</v>
      </c>
      <c r="Q151" s="7">
        <v>511</v>
      </c>
      <c r="T151" s="7">
        <v>57.7</v>
      </c>
      <c r="U151" s="7">
        <v>410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22">
        <v>117</v>
      </c>
      <c r="BB151" s="4"/>
      <c r="BC151" s="4"/>
      <c r="BD151" s="16">
        <v>24.5</v>
      </c>
      <c r="BE151" s="16">
        <v>1013</v>
      </c>
      <c r="BF151" s="16">
        <v>47.7</v>
      </c>
      <c r="BG151" s="15"/>
      <c r="BH151" s="7">
        <v>2096</v>
      </c>
      <c r="BI151" s="4"/>
      <c r="BJ151" s="3" t="s">
        <v>306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5</v>
      </c>
      <c r="E152" s="2" t="s">
        <v>213</v>
      </c>
      <c r="F152" s="4" t="s">
        <v>15</v>
      </c>
      <c r="G152" s="4" t="s">
        <v>15</v>
      </c>
      <c r="H152" s="4" t="s">
        <v>330</v>
      </c>
      <c r="I152" s="7">
        <v>0.16830000000000001</v>
      </c>
      <c r="J152" s="7">
        <v>0.16830000000000001</v>
      </c>
      <c r="K152" s="7">
        <v>2.3E-3</v>
      </c>
      <c r="L152" s="7">
        <v>0.16200000000000001</v>
      </c>
      <c r="M152" s="7">
        <v>0.1628</v>
      </c>
      <c r="O152" s="4"/>
      <c r="P152" s="7">
        <v>1.2375</v>
      </c>
      <c r="Q152" s="7">
        <v>511</v>
      </c>
      <c r="T152" s="7">
        <v>58.2</v>
      </c>
      <c r="U152" s="7">
        <v>411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4">
        <v>113.4</v>
      </c>
      <c r="BB152" s="4"/>
      <c r="BC152" s="4"/>
      <c r="BD152" s="16">
        <v>24.9</v>
      </c>
      <c r="BE152" s="16">
        <v>1012</v>
      </c>
      <c r="BF152" s="16">
        <v>45.5</v>
      </c>
      <c r="BG152" s="15"/>
      <c r="BH152" s="7">
        <v>2096</v>
      </c>
      <c r="BI152" s="13"/>
      <c r="BJ152" s="3" t="s">
        <v>305</v>
      </c>
      <c r="BK152"/>
      <c r="BL152"/>
      <c r="BM152"/>
      <c r="BR152"/>
    </row>
    <row r="153" spans="1:70" ht="28.5" x14ac:dyDescent="0.45">
      <c r="A153" s="2" t="s">
        <v>43</v>
      </c>
      <c r="B153" s="54" t="s">
        <v>99</v>
      </c>
      <c r="C153" s="3">
        <v>45239</v>
      </c>
      <c r="D153" s="8">
        <v>6</v>
      </c>
      <c r="E153" s="2" t="s">
        <v>214</v>
      </c>
      <c r="F153" s="4" t="s">
        <v>15</v>
      </c>
      <c r="G153" s="4" t="s">
        <v>15</v>
      </c>
      <c r="H153" s="4" t="s">
        <v>330</v>
      </c>
      <c r="I153" s="7">
        <v>0.16880000000000001</v>
      </c>
      <c r="J153" s="7">
        <v>0.16880000000000001</v>
      </c>
      <c r="K153" s="7">
        <v>3.7000000000000002E-3</v>
      </c>
      <c r="L153" s="7">
        <v>0.16600000000000001</v>
      </c>
      <c r="M153" s="7">
        <v>0.16600000000000001</v>
      </c>
      <c r="O153" s="4"/>
      <c r="P153" s="7">
        <v>1.2375</v>
      </c>
      <c r="Q153" s="7">
        <v>511</v>
      </c>
      <c r="T153" s="7">
        <v>58.6</v>
      </c>
      <c r="U153" s="7">
        <v>426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>
        <v>113.4</v>
      </c>
      <c r="BB153" s="4"/>
      <c r="BC153" s="4"/>
      <c r="BD153" s="16">
        <v>24.9</v>
      </c>
      <c r="BE153" s="16">
        <v>1012</v>
      </c>
      <c r="BF153" s="16">
        <v>45.5</v>
      </c>
      <c r="BG153" s="15"/>
      <c r="BH153" s="7">
        <v>2096</v>
      </c>
      <c r="BI153" s="13" t="s">
        <v>106</v>
      </c>
      <c r="BJ153" s="3" t="s">
        <v>316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1</v>
      </c>
      <c r="E154" s="2" t="s">
        <v>212</v>
      </c>
      <c r="F154" s="4" t="s">
        <v>15</v>
      </c>
      <c r="G154" s="4" t="s">
        <v>15</v>
      </c>
      <c r="H154" s="4" t="s">
        <v>330</v>
      </c>
      <c r="I154" s="7">
        <v>0.17269999999999999</v>
      </c>
      <c r="J154" s="7">
        <v>0.17269999999999999</v>
      </c>
      <c r="K154" s="7">
        <v>5.4999999999999997E-3</v>
      </c>
      <c r="L154" s="7"/>
      <c r="M154" s="7">
        <v>0.1739</v>
      </c>
      <c r="N154" s="7">
        <v>-0.41</v>
      </c>
      <c r="O154" s="4"/>
      <c r="P154" s="7">
        <v>1.2785</v>
      </c>
      <c r="Q154" s="7">
        <v>503</v>
      </c>
      <c r="T154" s="7">
        <v>56.7</v>
      </c>
      <c r="U154" s="7">
        <v>405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16">
        <v>1012</v>
      </c>
      <c r="BF154" s="16">
        <v>45.5</v>
      </c>
      <c r="BG154" s="58"/>
      <c r="BH154" s="7">
        <v>2096</v>
      </c>
      <c r="BI154" s="4"/>
      <c r="BJ154" s="3" t="s">
        <v>315</v>
      </c>
      <c r="BK154"/>
      <c r="BL154"/>
      <c r="BM154"/>
      <c r="BR154"/>
    </row>
    <row r="155" spans="1:70" ht="28.5" x14ac:dyDescent="0.45">
      <c r="A155" s="2" t="s">
        <v>43</v>
      </c>
      <c r="B155" s="54" t="s">
        <v>46</v>
      </c>
      <c r="C155" s="3">
        <v>45239</v>
      </c>
      <c r="D155" s="8">
        <v>2</v>
      </c>
      <c r="E155" s="2" t="s">
        <v>212</v>
      </c>
      <c r="F155" s="4" t="s">
        <v>15</v>
      </c>
      <c r="G155" s="4" t="s">
        <v>15</v>
      </c>
      <c r="H155" s="4" t="s">
        <v>378</v>
      </c>
      <c r="I155" s="7">
        <v>0.17399999999999999</v>
      </c>
      <c r="J155" s="7">
        <v>0.17399999999999999</v>
      </c>
      <c r="K155" s="7">
        <v>2.3999999999999998E-3</v>
      </c>
      <c r="L155" s="7"/>
      <c r="M155" s="7">
        <v>0.17610000000000001</v>
      </c>
      <c r="N155" s="7">
        <v>-0.3</v>
      </c>
      <c r="O155" s="4"/>
      <c r="P155" s="7">
        <v>1.2785</v>
      </c>
      <c r="Q155" s="7">
        <v>503</v>
      </c>
      <c r="T155" s="7">
        <v>56.8</v>
      </c>
      <c r="U155" s="7">
        <v>422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24.9</v>
      </c>
      <c r="BE155" s="16">
        <v>1012</v>
      </c>
      <c r="BF155" s="16">
        <v>45.5</v>
      </c>
      <c r="BG155" s="15"/>
      <c r="BH155" s="7">
        <v>2096</v>
      </c>
      <c r="BI155" s="4"/>
      <c r="BJ155" s="3" t="s">
        <v>314</v>
      </c>
      <c r="BK155"/>
      <c r="BL155"/>
      <c r="BM155"/>
      <c r="BR155"/>
    </row>
    <row r="156" spans="1:70" ht="28.5" x14ac:dyDescent="0.45">
      <c r="A156" s="2" t="s">
        <v>43</v>
      </c>
      <c r="B156" s="54" t="s">
        <v>46</v>
      </c>
      <c r="C156" s="3">
        <v>45239</v>
      </c>
      <c r="D156" s="8">
        <v>3</v>
      </c>
      <c r="E156" s="2" t="s">
        <v>212</v>
      </c>
      <c r="F156" s="4" t="s">
        <v>15</v>
      </c>
      <c r="G156" s="4" t="s">
        <v>15</v>
      </c>
      <c r="H156" s="4" t="s">
        <v>518</v>
      </c>
      <c r="I156" s="7">
        <v>0.1671</v>
      </c>
      <c r="J156" s="7">
        <v>0.1671</v>
      </c>
      <c r="K156" s="7">
        <v>3.0999999999999999E-3</v>
      </c>
      <c r="L156" s="7"/>
      <c r="M156" s="7">
        <v>0.16850000000000001</v>
      </c>
      <c r="N156" s="7">
        <v>-0.32</v>
      </c>
      <c r="O156" s="4"/>
      <c r="P156" s="7">
        <v>1.2785</v>
      </c>
      <c r="Q156" s="7">
        <v>503</v>
      </c>
      <c r="T156" s="7">
        <v>57.4</v>
      </c>
      <c r="U156" s="7">
        <v>412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4">
        <v>113.4</v>
      </c>
      <c r="BB156" s="4"/>
      <c r="BC156" s="4"/>
      <c r="BD156" s="16">
        <v>24.9</v>
      </c>
      <c r="BE156" s="16">
        <v>1012</v>
      </c>
      <c r="BF156" s="16">
        <v>45.5</v>
      </c>
      <c r="BG156" s="15"/>
      <c r="BH156" s="7">
        <v>2096</v>
      </c>
      <c r="BI156" s="13" t="s">
        <v>104</v>
      </c>
      <c r="BJ156" s="3" t="s">
        <v>313</v>
      </c>
      <c r="BK156"/>
      <c r="BL156"/>
      <c r="BM156"/>
      <c r="BR156"/>
    </row>
    <row r="157" spans="1:70" ht="28.5" x14ac:dyDescent="0.45">
      <c r="A157" s="2" t="s">
        <v>43</v>
      </c>
      <c r="B157" s="54" t="s">
        <v>46</v>
      </c>
      <c r="C157" s="3">
        <v>45239</v>
      </c>
      <c r="D157" s="8">
        <v>4</v>
      </c>
      <c r="E157" s="2" t="s">
        <v>212</v>
      </c>
      <c r="F157" s="4" t="s">
        <v>15</v>
      </c>
      <c r="G157" s="4" t="s">
        <v>15</v>
      </c>
      <c r="H157" s="4" t="s">
        <v>330</v>
      </c>
      <c r="I157" s="7">
        <v>0.17449999999999999</v>
      </c>
      <c r="J157" s="7">
        <v>0.17449999999999999</v>
      </c>
      <c r="K157" s="7">
        <v>1E-3</v>
      </c>
      <c r="L157" s="7"/>
      <c r="M157" s="7">
        <v>0.16850000000000001</v>
      </c>
      <c r="N157" s="7">
        <v>-0.34</v>
      </c>
      <c r="O157" s="4"/>
      <c r="P157" s="7">
        <v>1.2785</v>
      </c>
      <c r="Q157" s="7">
        <v>503</v>
      </c>
      <c r="T157" s="7">
        <v>56.6</v>
      </c>
      <c r="U157" s="7">
        <v>405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>
        <v>113.4</v>
      </c>
      <c r="BB157" s="4"/>
      <c r="BC157" s="4"/>
      <c r="BD157" s="16">
        <v>24.9</v>
      </c>
      <c r="BE157" s="16">
        <v>1012</v>
      </c>
      <c r="BF157" s="16">
        <v>45.5</v>
      </c>
      <c r="BG157" s="15"/>
      <c r="BH157" s="7">
        <v>2096</v>
      </c>
      <c r="BI157" s="13" t="s">
        <v>106</v>
      </c>
      <c r="BJ157" s="3" t="s">
        <v>312</v>
      </c>
      <c r="BK157"/>
      <c r="BL157"/>
      <c r="BM157"/>
      <c r="BR157"/>
    </row>
    <row r="158" spans="1:70" ht="28.5" x14ac:dyDescent="0.45">
      <c r="A158" s="2" t="s">
        <v>43</v>
      </c>
      <c r="B158" s="54" t="s">
        <v>46</v>
      </c>
      <c r="C158" s="3">
        <v>45239</v>
      </c>
      <c r="D158" s="8">
        <v>5</v>
      </c>
      <c r="E158" s="2" t="s">
        <v>212</v>
      </c>
      <c r="F158" s="4" t="s">
        <v>15</v>
      </c>
      <c r="G158" s="4" t="s">
        <v>15</v>
      </c>
      <c r="H158" s="4" t="s">
        <v>378</v>
      </c>
      <c r="I158" s="7">
        <v>0.17319999999999999</v>
      </c>
      <c r="J158" s="7">
        <v>0.17319999999999999</v>
      </c>
      <c r="K158" s="7">
        <v>3.5999999999999999E-3</v>
      </c>
      <c r="L158" s="7"/>
      <c r="M158" s="7">
        <v>0.1736</v>
      </c>
      <c r="N158" s="7">
        <v>-0.38</v>
      </c>
      <c r="O158" s="4"/>
      <c r="P158" s="7">
        <v>1.2785</v>
      </c>
      <c r="Q158" s="7">
        <v>503</v>
      </c>
      <c r="T158" s="7">
        <v>56.2</v>
      </c>
      <c r="U158" s="7">
        <v>375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22">
        <v>117</v>
      </c>
      <c r="BB158" s="4"/>
      <c r="BC158" s="4"/>
      <c r="BD158" s="16">
        <v>24.9</v>
      </c>
      <c r="BE158" s="16">
        <v>1012</v>
      </c>
      <c r="BF158" s="16">
        <v>45.5</v>
      </c>
      <c r="BG158" s="15"/>
      <c r="BH158" s="7">
        <v>2096</v>
      </c>
      <c r="BI158" s="4"/>
      <c r="BJ158" s="3" t="s">
        <v>311</v>
      </c>
      <c r="BK158"/>
      <c r="BL158"/>
      <c r="BM158"/>
      <c r="BR158"/>
    </row>
    <row r="159" spans="1:70" ht="28.5" x14ac:dyDescent="0.45">
      <c r="A159" s="2" t="s">
        <v>43</v>
      </c>
      <c r="B159" s="54" t="s">
        <v>46</v>
      </c>
      <c r="C159" s="3">
        <v>45239</v>
      </c>
      <c r="D159" s="8">
        <v>6</v>
      </c>
      <c r="E159" s="2" t="s">
        <v>212</v>
      </c>
      <c r="F159" s="4" t="s">
        <v>15</v>
      </c>
      <c r="G159" s="4" t="s">
        <v>15</v>
      </c>
      <c r="H159" s="4" t="s">
        <v>518</v>
      </c>
      <c r="I159" s="7">
        <v>0.16619999999999999</v>
      </c>
      <c r="J159" s="7">
        <v>0.16619999999999999</v>
      </c>
      <c r="K159" s="7">
        <v>3.3999999999999998E-3</v>
      </c>
      <c r="L159" s="7"/>
      <c r="M159" s="7">
        <v>0.1724</v>
      </c>
      <c r="N159" s="7">
        <v>-0.32</v>
      </c>
      <c r="O159" s="4"/>
      <c r="P159" s="7">
        <v>1.2785</v>
      </c>
      <c r="Q159" s="7">
        <v>503</v>
      </c>
      <c r="T159" s="7">
        <v>57</v>
      </c>
      <c r="U159" s="7">
        <v>398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22">
        <v>117</v>
      </c>
      <c r="BB159" s="4"/>
      <c r="BC159" s="4"/>
      <c r="BD159" s="16">
        <v>24.9</v>
      </c>
      <c r="BE159" s="16">
        <v>1012</v>
      </c>
      <c r="BF159" s="16">
        <v>45.5</v>
      </c>
      <c r="BG159" s="15"/>
      <c r="BH159" s="7">
        <v>2096</v>
      </c>
      <c r="BI159" s="4"/>
      <c r="BJ159" s="3" t="s">
        <v>310</v>
      </c>
      <c r="BK159"/>
      <c r="BL159"/>
      <c r="BM159"/>
      <c r="BR159"/>
    </row>
    <row r="160" spans="1:70" ht="28.5" x14ac:dyDescent="0.45">
      <c r="A160" s="4" t="s">
        <v>43</v>
      </c>
      <c r="B160" s="54" t="s">
        <v>45</v>
      </c>
      <c r="C160" s="3">
        <v>45243</v>
      </c>
      <c r="D160" s="8">
        <v>1</v>
      </c>
      <c r="E160" s="2" t="s">
        <v>212</v>
      </c>
      <c r="F160" s="4" t="s">
        <v>15</v>
      </c>
      <c r="G160" s="4" t="s">
        <v>15</v>
      </c>
      <c r="H160" s="9" t="s">
        <v>223</v>
      </c>
      <c r="I160" s="7">
        <v>0.15759999999999999</v>
      </c>
      <c r="J160" s="7">
        <v>0.15759999999999999</v>
      </c>
      <c r="K160" s="7">
        <v>1E-3</v>
      </c>
      <c r="L160" s="7"/>
      <c r="M160" s="7">
        <v>0.1605</v>
      </c>
      <c r="N160" s="7">
        <v>-0.13</v>
      </c>
      <c r="O160" s="9"/>
      <c r="P160" s="7">
        <v>1.272</v>
      </c>
      <c r="T160" s="7">
        <v>60.6</v>
      </c>
      <c r="U160" s="7">
        <v>454</v>
      </c>
      <c r="V160" s="7">
        <v>750</v>
      </c>
      <c r="W160" s="9"/>
      <c r="X160" s="9"/>
      <c r="Y160" s="9"/>
      <c r="Z160" s="9"/>
      <c r="AA160" s="9"/>
      <c r="AB160" s="9"/>
      <c r="AC160" s="9"/>
      <c r="AD160" s="9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25.1</v>
      </c>
      <c r="BE160" s="16">
        <v>1012</v>
      </c>
      <c r="BF160" s="16">
        <v>44.6</v>
      </c>
      <c r="BG160" s="58"/>
      <c r="BH160" s="7">
        <v>2096</v>
      </c>
      <c r="BI160" s="13"/>
      <c r="BJ160" s="3" t="s">
        <v>287</v>
      </c>
      <c r="BK160"/>
      <c r="BL160"/>
      <c r="BM160"/>
      <c r="BR160"/>
    </row>
    <row r="161" spans="1:70" ht="28.5" x14ac:dyDescent="0.45">
      <c r="A161" s="4" t="s">
        <v>43</v>
      </c>
      <c r="B161" s="54" t="s">
        <v>45</v>
      </c>
      <c r="C161" s="3">
        <v>45243</v>
      </c>
      <c r="D161" s="8">
        <v>2</v>
      </c>
      <c r="E161" s="10" t="s">
        <v>213</v>
      </c>
      <c r="F161" s="9" t="s">
        <v>216</v>
      </c>
      <c r="G161" s="9" t="s">
        <v>578</v>
      </c>
      <c r="H161" s="9" t="s">
        <v>223</v>
      </c>
      <c r="I161" s="7">
        <v>0.15190000000000001</v>
      </c>
      <c r="J161" s="7">
        <v>0.15190000000000001</v>
      </c>
      <c r="K161" s="7">
        <v>2.7000000000000001E-3</v>
      </c>
      <c r="L161" s="7"/>
      <c r="M161" s="7">
        <v>0.156</v>
      </c>
      <c r="N161" s="7">
        <v>-0.17</v>
      </c>
      <c r="O161" s="9"/>
      <c r="P161" s="7">
        <v>1.272</v>
      </c>
      <c r="T161" s="7">
        <v>61.4</v>
      </c>
      <c r="U161" s="7">
        <v>459</v>
      </c>
      <c r="V161" s="7">
        <v>750</v>
      </c>
      <c r="W161" s="9"/>
      <c r="X161" s="9"/>
      <c r="Y161" s="9"/>
      <c r="Z161" s="9"/>
      <c r="AA161" s="9"/>
      <c r="AB161" s="9"/>
      <c r="AC161" s="9"/>
      <c r="AD161" s="9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>
        <v>113.4</v>
      </c>
      <c r="BB161" s="4"/>
      <c r="BC161" s="4"/>
      <c r="BD161" s="16">
        <v>25.1</v>
      </c>
      <c r="BE161" s="16">
        <v>1012</v>
      </c>
      <c r="BF161" s="16">
        <v>44.6</v>
      </c>
      <c r="BG161" s="15"/>
      <c r="BH161" s="7">
        <v>2096</v>
      </c>
      <c r="BI161" s="4"/>
      <c r="BJ161" s="3" t="s">
        <v>286</v>
      </c>
      <c r="BK161"/>
      <c r="BL161"/>
      <c r="BM161"/>
      <c r="BR161"/>
    </row>
    <row r="162" spans="1:70" ht="28.5" x14ac:dyDescent="0.45">
      <c r="A162" s="4" t="s">
        <v>43</v>
      </c>
      <c r="B162" s="54" t="s">
        <v>45</v>
      </c>
      <c r="C162" s="3">
        <v>45243</v>
      </c>
      <c r="D162" s="8">
        <v>3</v>
      </c>
      <c r="E162" s="2" t="s">
        <v>212</v>
      </c>
      <c r="F162" s="4" t="s">
        <v>15</v>
      </c>
      <c r="G162" s="4" t="s">
        <v>15</v>
      </c>
      <c r="H162" s="9" t="s">
        <v>223</v>
      </c>
      <c r="I162" s="7">
        <v>0.159</v>
      </c>
      <c r="J162" s="7">
        <v>0.159</v>
      </c>
      <c r="K162" s="7">
        <v>1E-4</v>
      </c>
      <c r="L162" s="7"/>
      <c r="M162" s="7">
        <v>0.159</v>
      </c>
      <c r="N162" s="7">
        <v>-0.28000000000000003</v>
      </c>
      <c r="O162" s="9"/>
      <c r="P162" s="7">
        <v>1.272</v>
      </c>
      <c r="T162" s="7">
        <v>61</v>
      </c>
      <c r="U162" s="7">
        <v>469</v>
      </c>
      <c r="V162" s="7">
        <v>750</v>
      </c>
      <c r="W162" s="9"/>
      <c r="X162" s="9"/>
      <c r="Y162" s="9"/>
      <c r="Z162" s="9"/>
      <c r="AA162" s="9"/>
      <c r="AB162" s="9"/>
      <c r="AC162" s="9"/>
      <c r="AD162" s="9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22">
        <v>117</v>
      </c>
      <c r="BB162" s="4"/>
      <c r="BC162" s="4"/>
      <c r="BD162" s="16">
        <v>25.1</v>
      </c>
      <c r="BE162" s="16">
        <v>1012</v>
      </c>
      <c r="BF162" s="16">
        <v>44.6</v>
      </c>
      <c r="BG162" s="15"/>
      <c r="BH162" s="7">
        <v>2096</v>
      </c>
      <c r="BI162" s="4"/>
      <c r="BJ162" s="3" t="s">
        <v>285</v>
      </c>
      <c r="BK162"/>
      <c r="BL162"/>
      <c r="BM162"/>
      <c r="BR162"/>
    </row>
    <row r="163" spans="1:70" ht="28.5" x14ac:dyDescent="0.45">
      <c r="A163" s="4" t="s">
        <v>43</v>
      </c>
      <c r="B163" s="54" t="s">
        <v>45</v>
      </c>
      <c r="C163" s="3">
        <v>45243</v>
      </c>
      <c r="D163" s="8">
        <v>4</v>
      </c>
      <c r="E163" s="10" t="s">
        <v>213</v>
      </c>
      <c r="F163" s="9" t="s">
        <v>216</v>
      </c>
      <c r="G163" s="9" t="s">
        <v>578</v>
      </c>
      <c r="H163" s="9" t="s">
        <v>223</v>
      </c>
      <c r="I163" s="7">
        <v>0.15049999999999999</v>
      </c>
      <c r="J163" s="7">
        <v>0.15049999999999999</v>
      </c>
      <c r="K163" s="7">
        <v>1.8E-3</v>
      </c>
      <c r="L163" s="7"/>
      <c r="M163" s="7">
        <v>0.15329999999999999</v>
      </c>
      <c r="N163" s="7">
        <v>-0.25</v>
      </c>
      <c r="O163" s="4"/>
      <c r="P163" s="7">
        <v>1.272</v>
      </c>
      <c r="T163" s="7">
        <v>61.5</v>
      </c>
      <c r="U163" s="7">
        <v>467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16">
        <v>25.1</v>
      </c>
      <c r="BE163" s="16">
        <v>1012</v>
      </c>
      <c r="BF163" s="16">
        <v>44.6</v>
      </c>
      <c r="BG163" s="15"/>
      <c r="BH163" s="7">
        <v>2096</v>
      </c>
      <c r="BI163" s="4"/>
      <c r="BJ163" s="3" t="s">
        <v>284</v>
      </c>
      <c r="BK163"/>
      <c r="BL163"/>
      <c r="BM163"/>
      <c r="BR163"/>
    </row>
    <row r="164" spans="1:70" ht="28.5" x14ac:dyDescent="0.45">
      <c r="A164" s="4" t="s">
        <v>43</v>
      </c>
      <c r="B164" s="54" t="s">
        <v>45</v>
      </c>
      <c r="C164" s="3">
        <v>45243</v>
      </c>
      <c r="D164" s="8">
        <v>5</v>
      </c>
      <c r="E164" s="2" t="s">
        <v>212</v>
      </c>
      <c r="F164" s="4" t="s">
        <v>15</v>
      </c>
      <c r="G164" s="4" t="s">
        <v>15</v>
      </c>
      <c r="H164" s="9" t="s">
        <v>223</v>
      </c>
      <c r="I164" s="7">
        <v>0.1565</v>
      </c>
      <c r="J164" s="7">
        <v>0.1565</v>
      </c>
      <c r="K164" s="7">
        <v>1.6999999999999999E-3</v>
      </c>
      <c r="L164" s="7"/>
      <c r="M164" s="7">
        <v>0.1583</v>
      </c>
      <c r="N164" s="7">
        <v>-0.15</v>
      </c>
      <c r="O164" s="4"/>
      <c r="P164" s="7">
        <v>1.272</v>
      </c>
      <c r="T164" s="7">
        <v>61.1</v>
      </c>
      <c r="U164" s="7">
        <v>472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>
        <v>113.4</v>
      </c>
      <c r="BB164" s="4"/>
      <c r="BC164" s="4"/>
      <c r="BD164" s="16">
        <v>25.3</v>
      </c>
      <c r="BE164" s="16">
        <v>1012</v>
      </c>
      <c r="BF164" s="16">
        <v>44.3</v>
      </c>
      <c r="BG164" s="15"/>
      <c r="BH164" s="7">
        <v>2096</v>
      </c>
      <c r="BI164" s="13" t="s">
        <v>103</v>
      </c>
      <c r="BJ164" s="3" t="s">
        <v>283</v>
      </c>
      <c r="BK164"/>
      <c r="BL164"/>
      <c r="BM164"/>
      <c r="BR164"/>
    </row>
    <row r="165" spans="1:70" ht="28.5" x14ac:dyDescent="0.45">
      <c r="A165" s="4" t="s">
        <v>43</v>
      </c>
      <c r="B165" s="54" t="s">
        <v>45</v>
      </c>
      <c r="C165" s="3">
        <v>45243</v>
      </c>
      <c r="D165" s="8">
        <v>6</v>
      </c>
      <c r="E165" s="10" t="s">
        <v>213</v>
      </c>
      <c r="F165" s="9" t="s">
        <v>216</v>
      </c>
      <c r="G165" s="9" t="s">
        <v>578</v>
      </c>
      <c r="H165" s="9" t="s">
        <v>223</v>
      </c>
      <c r="I165" s="7">
        <v>0.15059</v>
      </c>
      <c r="J165" s="7">
        <v>0.15059</v>
      </c>
      <c r="K165" s="7">
        <v>2.3E-3</v>
      </c>
      <c r="L165" s="7"/>
      <c r="M165" s="7">
        <v>0.15310000000000001</v>
      </c>
      <c r="N165" s="7">
        <v>-0.23</v>
      </c>
      <c r="O165" s="4"/>
      <c r="P165" s="7">
        <v>1.272</v>
      </c>
      <c r="T165" s="7">
        <v>62.1</v>
      </c>
      <c r="U165" s="7">
        <v>473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>
        <v>113.4</v>
      </c>
      <c r="BB165" s="4"/>
      <c r="BC165" s="4"/>
      <c r="BD165" s="16">
        <v>25.3</v>
      </c>
      <c r="BE165" s="16">
        <v>1012</v>
      </c>
      <c r="BF165" s="16">
        <v>44.3</v>
      </c>
      <c r="BG165" s="15"/>
      <c r="BH165" s="7">
        <v>2096</v>
      </c>
      <c r="BI165" s="4"/>
      <c r="BJ165" s="3" t="s">
        <v>281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1</v>
      </c>
      <c r="E166" s="2" t="s">
        <v>212</v>
      </c>
      <c r="F166" s="4" t="s">
        <v>15</v>
      </c>
      <c r="G166" s="4" t="s">
        <v>577</v>
      </c>
      <c r="H166" s="4" t="s">
        <v>571</v>
      </c>
      <c r="I166" s="7">
        <v>0.17380000000000001</v>
      </c>
      <c r="J166" s="7">
        <v>0.17380000000000001</v>
      </c>
      <c r="K166" s="7">
        <v>1.5E-3</v>
      </c>
      <c r="L166" s="7"/>
      <c r="M166" s="7">
        <v>0.1719</v>
      </c>
      <c r="O166" s="4"/>
      <c r="P166" s="7">
        <v>1.2370000000000001</v>
      </c>
      <c r="T166" s="7">
        <v>63.1</v>
      </c>
      <c r="U166" s="7">
        <v>558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25.3</v>
      </c>
      <c r="BE166" s="16">
        <v>1012</v>
      </c>
      <c r="BF166" s="16">
        <v>44.3</v>
      </c>
      <c r="BG166" s="15"/>
      <c r="BH166" s="7">
        <v>2096</v>
      </c>
      <c r="BI166" s="4"/>
      <c r="BJ166" s="3" t="s">
        <v>282</v>
      </c>
      <c r="BK166"/>
      <c r="BL166"/>
      <c r="BM166"/>
      <c r="BR166"/>
    </row>
    <row r="167" spans="1:70" ht="28.5" x14ac:dyDescent="0.45">
      <c r="A167" s="4" t="s">
        <v>13</v>
      </c>
      <c r="B167" s="54" t="s">
        <v>17</v>
      </c>
      <c r="C167" s="3">
        <v>45243</v>
      </c>
      <c r="D167" s="8">
        <v>2</v>
      </c>
      <c r="E167" s="10" t="s">
        <v>213</v>
      </c>
      <c r="F167" s="4" t="s">
        <v>564</v>
      </c>
      <c r="G167" s="4" t="s">
        <v>578</v>
      </c>
      <c r="H167" s="4" t="s">
        <v>378</v>
      </c>
      <c r="I167" s="7">
        <v>0.17699999999999999</v>
      </c>
      <c r="J167" s="7">
        <v>0.17699999999999999</v>
      </c>
      <c r="K167" s="7">
        <v>2.5000000000000001E-3</v>
      </c>
      <c r="L167" s="7"/>
      <c r="M167" s="7">
        <v>0.17599999999999999</v>
      </c>
      <c r="O167" s="4"/>
      <c r="P167" s="7">
        <v>1.2370000000000001</v>
      </c>
      <c r="T167" s="7">
        <v>63.2</v>
      </c>
      <c r="U167" s="7">
        <v>574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>
        <v>113.4</v>
      </c>
      <c r="BB167" s="4"/>
      <c r="BC167" s="4"/>
      <c r="BD167" s="16">
        <v>25.6</v>
      </c>
      <c r="BE167" s="16">
        <v>1011</v>
      </c>
      <c r="BF167" s="16">
        <v>44.1</v>
      </c>
      <c r="BG167" s="15"/>
      <c r="BH167" s="7">
        <v>2096</v>
      </c>
      <c r="BI167" s="4"/>
      <c r="BJ167" s="3" t="s">
        <v>294</v>
      </c>
      <c r="BK167"/>
      <c r="BL167"/>
      <c r="BM167"/>
      <c r="BR167"/>
    </row>
    <row r="168" spans="1:70" ht="28.5" x14ac:dyDescent="0.45">
      <c r="A168" s="4" t="s">
        <v>13</v>
      </c>
      <c r="B168" s="54" t="s">
        <v>17</v>
      </c>
      <c r="C168" s="3">
        <v>45243</v>
      </c>
      <c r="D168" s="8">
        <v>3</v>
      </c>
      <c r="E168" s="2" t="s">
        <v>583</v>
      </c>
      <c r="F168" s="4" t="s">
        <v>564</v>
      </c>
      <c r="G168" s="4" t="s">
        <v>578</v>
      </c>
      <c r="H168" s="4" t="s">
        <v>378</v>
      </c>
      <c r="I168" s="7">
        <v>0.1777</v>
      </c>
      <c r="J168" s="7">
        <v>0.1777</v>
      </c>
      <c r="K168" s="7">
        <v>2.5000000000000001E-3</v>
      </c>
      <c r="L168" s="7"/>
      <c r="M168" s="7">
        <v>0.17929999999999999</v>
      </c>
      <c r="O168" s="4"/>
      <c r="P168" s="7">
        <v>1.2370000000000001</v>
      </c>
      <c r="T168" s="7">
        <v>63.1</v>
      </c>
      <c r="U168" s="7">
        <v>588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>
        <v>113.4</v>
      </c>
      <c r="BB168" s="4"/>
      <c r="BC168" s="4"/>
      <c r="BD168" s="16">
        <v>25.6</v>
      </c>
      <c r="BE168" s="16">
        <v>1011</v>
      </c>
      <c r="BF168" s="16">
        <v>44.1</v>
      </c>
      <c r="BG168" s="15"/>
      <c r="BH168" s="7">
        <v>2096</v>
      </c>
      <c r="BI168" s="4"/>
      <c r="BJ168" s="3" t="s">
        <v>293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4</v>
      </c>
      <c r="E169" s="2" t="s">
        <v>549</v>
      </c>
      <c r="F169" s="4" t="s">
        <v>564</v>
      </c>
      <c r="G169" s="4" t="s">
        <v>578</v>
      </c>
      <c r="H169" s="4" t="s">
        <v>378</v>
      </c>
      <c r="I169" s="7">
        <v>0.16769999999999999</v>
      </c>
      <c r="J169" s="7">
        <v>0.16769999999999999</v>
      </c>
      <c r="K169" s="7">
        <v>2.8999999999999998E-3</v>
      </c>
      <c r="L169" s="7"/>
      <c r="M169" s="7">
        <v>0.16639999999999999</v>
      </c>
      <c r="O169" s="4"/>
      <c r="P169" s="7">
        <v>1.2370000000000001</v>
      </c>
      <c r="T169" s="7">
        <v>63.7</v>
      </c>
      <c r="U169" s="7">
        <v>577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25.6</v>
      </c>
      <c r="BE169" s="16">
        <v>1011</v>
      </c>
      <c r="BF169" s="16">
        <v>44.1</v>
      </c>
      <c r="BG169" s="15"/>
      <c r="BH169" s="7">
        <v>2096</v>
      </c>
      <c r="BI169" s="4"/>
      <c r="BJ169" s="3" t="s">
        <v>292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5</v>
      </c>
      <c r="E170" s="2" t="s">
        <v>212</v>
      </c>
      <c r="F170" s="4" t="s">
        <v>15</v>
      </c>
      <c r="G170" s="4" t="s">
        <v>577</v>
      </c>
      <c r="H170" s="4" t="s">
        <v>571</v>
      </c>
      <c r="I170" s="7">
        <v>0.16919999999999999</v>
      </c>
      <c r="J170" s="7">
        <v>0.16919999999999999</v>
      </c>
      <c r="K170" s="7">
        <v>3.5999999999999999E-3</v>
      </c>
      <c r="L170" s="7"/>
      <c r="M170" s="7">
        <v>0.16930000000000001</v>
      </c>
      <c r="O170" s="4"/>
      <c r="P170" s="7">
        <v>1.2370000000000001</v>
      </c>
      <c r="T170" s="7">
        <v>63.3</v>
      </c>
      <c r="U170" s="7">
        <v>573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26</v>
      </c>
      <c r="BE170" s="16">
        <v>1012</v>
      </c>
      <c r="BF170" s="16">
        <v>43</v>
      </c>
      <c r="BG170" s="15"/>
      <c r="BH170" s="7">
        <v>2096</v>
      </c>
      <c r="BI170" s="4"/>
      <c r="BJ170" s="3" t="s">
        <v>291</v>
      </c>
      <c r="BK170"/>
      <c r="BL170"/>
      <c r="BM170"/>
      <c r="BR170"/>
    </row>
    <row r="171" spans="1:70" ht="28.5" x14ac:dyDescent="0.45">
      <c r="A171" s="4" t="s">
        <v>13</v>
      </c>
      <c r="B171" s="54" t="s">
        <v>17</v>
      </c>
      <c r="C171" s="3">
        <v>45243</v>
      </c>
      <c r="D171" s="8">
        <v>6</v>
      </c>
      <c r="E171" s="10" t="s">
        <v>213</v>
      </c>
      <c r="F171" s="4" t="s">
        <v>564</v>
      </c>
      <c r="G171" s="4" t="s">
        <v>578</v>
      </c>
      <c r="H171" s="4" t="s">
        <v>378</v>
      </c>
      <c r="I171" s="7">
        <v>0.1736</v>
      </c>
      <c r="J171" s="7">
        <v>0.1736</v>
      </c>
      <c r="K171" s="7">
        <v>4.8999999999999998E-3</v>
      </c>
      <c r="L171" s="7"/>
      <c r="M171" s="7">
        <v>0.17499999999999999</v>
      </c>
      <c r="O171" s="4"/>
      <c r="P171" s="7">
        <v>1.2370000000000001</v>
      </c>
      <c r="T171" s="7">
        <v>63.1</v>
      </c>
      <c r="U171" s="7">
        <v>582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16">
        <v>26</v>
      </c>
      <c r="BE171" s="16">
        <v>1012</v>
      </c>
      <c r="BF171" s="16">
        <v>43</v>
      </c>
      <c r="BG171" s="15"/>
      <c r="BH171" s="7">
        <v>2096</v>
      </c>
      <c r="BI171" s="4"/>
      <c r="BJ171" s="3" t="s">
        <v>290</v>
      </c>
      <c r="BK171"/>
      <c r="BL171"/>
      <c r="BM171"/>
      <c r="BR171"/>
    </row>
    <row r="172" spans="1:70" ht="28.5" x14ac:dyDescent="0.45">
      <c r="A172" s="4" t="s">
        <v>13</v>
      </c>
      <c r="B172" s="54" t="s">
        <v>17</v>
      </c>
      <c r="C172" s="3">
        <v>45243</v>
      </c>
      <c r="D172" s="8">
        <v>7</v>
      </c>
      <c r="E172" s="2" t="s">
        <v>214</v>
      </c>
      <c r="F172" s="4" t="s">
        <v>564</v>
      </c>
      <c r="G172" s="4" t="s">
        <v>578</v>
      </c>
      <c r="H172" s="4" t="s">
        <v>378</v>
      </c>
      <c r="I172" s="7">
        <v>0.1772</v>
      </c>
      <c r="J172" s="7">
        <v>0.1772</v>
      </c>
      <c r="K172" s="7">
        <v>2E-3</v>
      </c>
      <c r="L172" s="7"/>
      <c r="M172" s="7">
        <v>0.1769</v>
      </c>
      <c r="O172" s="4"/>
      <c r="P172" s="7">
        <v>1.2370000000000001</v>
      </c>
      <c r="T172" s="7">
        <v>63.5</v>
      </c>
      <c r="U172" s="7">
        <v>596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</v>
      </c>
      <c r="BE172" s="14">
        <v>1012</v>
      </c>
      <c r="BF172" s="61">
        <v>54</v>
      </c>
      <c r="BG172" s="15">
        <v>1.1739999999999999</v>
      </c>
      <c r="BH172" s="4">
        <v>2096</v>
      </c>
      <c r="BI172" s="4"/>
      <c r="BJ172" s="3" t="s">
        <v>289</v>
      </c>
      <c r="BK172"/>
      <c r="BL172"/>
      <c r="BM172"/>
      <c r="BR172"/>
    </row>
    <row r="173" spans="1:70" ht="28.5" x14ac:dyDescent="0.45">
      <c r="A173" s="4" t="s">
        <v>13</v>
      </c>
      <c r="B173" s="54" t="s">
        <v>17</v>
      </c>
      <c r="C173" s="3">
        <v>45243</v>
      </c>
      <c r="D173" s="8">
        <v>8</v>
      </c>
      <c r="E173" s="2" t="s">
        <v>549</v>
      </c>
      <c r="F173" s="4" t="s">
        <v>564</v>
      </c>
      <c r="G173" s="4" t="s">
        <v>578</v>
      </c>
      <c r="H173" s="4" t="s">
        <v>378</v>
      </c>
      <c r="I173" s="48"/>
      <c r="J173" s="48"/>
      <c r="K173" s="48"/>
      <c r="L173" s="7"/>
      <c r="M173" s="7">
        <v>0.16850000000000001</v>
      </c>
      <c r="O173" s="4"/>
      <c r="T173" s="7">
        <v>63.9</v>
      </c>
      <c r="U173" s="7">
        <v>589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0">
        <v>1012</v>
      </c>
      <c r="BF173" s="61">
        <v>54</v>
      </c>
      <c r="BG173" s="58">
        <v>1.1739999999999999</v>
      </c>
      <c r="BH173" s="4">
        <v>2096</v>
      </c>
      <c r="BI173" s="4"/>
      <c r="BJ173" s="3" t="s">
        <v>288</v>
      </c>
      <c r="BK173"/>
      <c r="BL173"/>
      <c r="BM173"/>
      <c r="BR173"/>
    </row>
    <row r="174" spans="1:70" ht="28.5" x14ac:dyDescent="0.45">
      <c r="A174" s="4" t="s">
        <v>43</v>
      </c>
      <c r="B174" s="54" t="s">
        <v>79</v>
      </c>
      <c r="C174" s="3">
        <v>45243</v>
      </c>
      <c r="D174" s="8">
        <v>1</v>
      </c>
      <c r="E174" s="2" t="s">
        <v>212</v>
      </c>
      <c r="F174" s="4" t="s">
        <v>15</v>
      </c>
      <c r="G174" s="4" t="s">
        <v>15</v>
      </c>
      <c r="H174" s="4" t="s">
        <v>330</v>
      </c>
      <c r="I174" s="7">
        <v>0.16719999999999999</v>
      </c>
      <c r="J174" s="7">
        <v>0.16719999999999999</v>
      </c>
      <c r="K174" s="7">
        <v>3.0000000000000001E-3</v>
      </c>
      <c r="L174" s="7"/>
      <c r="M174" s="7">
        <v>0.1595</v>
      </c>
      <c r="N174" s="7">
        <v>-0.64</v>
      </c>
      <c r="O174" s="4"/>
      <c r="P174" s="7">
        <v>1.2110000000000001</v>
      </c>
      <c r="T174" s="7">
        <v>60.7</v>
      </c>
      <c r="U174" s="7">
        <v>448</v>
      </c>
      <c r="V174" s="7">
        <v>750</v>
      </c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22">
        <v>25.1</v>
      </c>
      <c r="BE174" s="14">
        <v>1012</v>
      </c>
      <c r="BF174" s="61">
        <v>53</v>
      </c>
      <c r="BG174" s="15">
        <v>1.1739999999999999</v>
      </c>
      <c r="BH174" s="4">
        <v>2096</v>
      </c>
      <c r="BI174" s="4"/>
      <c r="BJ174" s="3" t="s">
        <v>299</v>
      </c>
      <c r="BK174"/>
      <c r="BL174"/>
      <c r="BM174"/>
      <c r="BR174"/>
    </row>
    <row r="175" spans="1:70" ht="28.5" x14ac:dyDescent="0.45">
      <c r="A175" s="4" t="s">
        <v>43</v>
      </c>
      <c r="B175" s="54" t="s">
        <v>79</v>
      </c>
      <c r="C175" s="3">
        <v>45243</v>
      </c>
      <c r="D175" s="8">
        <v>2</v>
      </c>
      <c r="E175" s="2" t="s">
        <v>214</v>
      </c>
      <c r="F175" s="4" t="s">
        <v>216</v>
      </c>
      <c r="G175" s="4" t="s">
        <v>15</v>
      </c>
      <c r="H175" s="4" t="s">
        <v>223</v>
      </c>
      <c r="I175" s="7">
        <v>0.15640000000000001</v>
      </c>
      <c r="J175" s="7">
        <v>0.15640000000000001</v>
      </c>
      <c r="K175" s="7">
        <v>2.8999999999999998E-3</v>
      </c>
      <c r="L175" s="7"/>
      <c r="M175" s="7">
        <v>0.15029999999999999</v>
      </c>
      <c r="N175" s="7">
        <v>-0.61</v>
      </c>
      <c r="O175" s="4"/>
      <c r="P175" s="7">
        <v>1.2110000000000001</v>
      </c>
      <c r="T175" s="7">
        <v>61.2</v>
      </c>
      <c r="U175" s="7">
        <v>450</v>
      </c>
      <c r="V175" s="7">
        <v>750</v>
      </c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22">
        <v>117</v>
      </c>
      <c r="BB175" s="4"/>
      <c r="BC175" s="4"/>
      <c r="BD175" s="22">
        <v>25.1</v>
      </c>
      <c r="BE175" s="14">
        <v>1012</v>
      </c>
      <c r="BF175" s="61">
        <v>53</v>
      </c>
      <c r="BG175" s="15">
        <v>1.1739999999999999</v>
      </c>
      <c r="BH175" s="4">
        <v>2096</v>
      </c>
      <c r="BI175" s="4"/>
      <c r="BJ175" s="3" t="s">
        <v>298</v>
      </c>
      <c r="BK175"/>
      <c r="BL175"/>
      <c r="BM175"/>
      <c r="BR175"/>
    </row>
    <row r="176" spans="1:70" ht="28.5" x14ac:dyDescent="0.45">
      <c r="A176" s="4" t="s">
        <v>43</v>
      </c>
      <c r="B176" s="54" t="s">
        <v>79</v>
      </c>
      <c r="C176" s="3">
        <v>45243</v>
      </c>
      <c r="D176" s="8">
        <v>3</v>
      </c>
      <c r="E176" s="2" t="s">
        <v>212</v>
      </c>
      <c r="F176" s="4" t="s">
        <v>15</v>
      </c>
      <c r="G176" s="4" t="s">
        <v>15</v>
      </c>
      <c r="H176" s="4" t="s">
        <v>330</v>
      </c>
      <c r="I176" s="7">
        <v>0.16370000000000001</v>
      </c>
      <c r="J176" s="7">
        <v>0.16370000000000001</v>
      </c>
      <c r="K176" s="7">
        <v>3.2000000000000002E-3</v>
      </c>
      <c r="L176" s="7"/>
      <c r="M176" s="7">
        <v>0.15770000000000001</v>
      </c>
      <c r="N176" s="7">
        <v>-0.6</v>
      </c>
      <c r="O176" s="4"/>
      <c r="P176" s="7">
        <v>1.2110000000000001</v>
      </c>
      <c r="T176" s="7">
        <v>60.9</v>
      </c>
      <c r="U176" s="7">
        <v>468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22">
        <v>117</v>
      </c>
      <c r="BB176" s="4"/>
      <c r="BC176" s="4"/>
      <c r="BD176" s="22">
        <v>25.1</v>
      </c>
      <c r="BE176" s="14">
        <v>1012</v>
      </c>
      <c r="BF176" s="61">
        <v>53</v>
      </c>
      <c r="BG176" s="15">
        <v>1.1739999999999999</v>
      </c>
      <c r="BH176" s="4">
        <v>2096</v>
      </c>
      <c r="BI176" s="4"/>
      <c r="BJ176" s="3" t="s">
        <v>297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4</v>
      </c>
      <c r="E177" s="2" t="s">
        <v>214</v>
      </c>
      <c r="F177" s="4" t="s">
        <v>216</v>
      </c>
      <c r="G177" s="4" t="s">
        <v>15</v>
      </c>
      <c r="H177" s="4" t="s">
        <v>223</v>
      </c>
      <c r="I177" s="7">
        <v>0.15290000000000001</v>
      </c>
      <c r="J177" s="7">
        <v>0.15290000000000001</v>
      </c>
      <c r="K177" s="7">
        <v>3.5000000000000001E-3</v>
      </c>
      <c r="L177" s="7"/>
      <c r="M177" s="7">
        <v>0.14799999999999999</v>
      </c>
      <c r="N177" s="7">
        <v>-0.64</v>
      </c>
      <c r="O177" s="4"/>
      <c r="P177" s="7">
        <v>1.2110000000000001</v>
      </c>
      <c r="T177" s="7">
        <v>61</v>
      </c>
      <c r="U177" s="7">
        <v>439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61">
        <v>54</v>
      </c>
      <c r="BG177" s="15">
        <v>1.1739999999999999</v>
      </c>
      <c r="BH177" s="4">
        <v>2096</v>
      </c>
      <c r="BI177" s="4"/>
      <c r="BJ177" s="3" t="s">
        <v>296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5</v>
      </c>
      <c r="E178" s="2" t="s">
        <v>212</v>
      </c>
      <c r="F178" s="4" t="s">
        <v>15</v>
      </c>
      <c r="G178" s="4" t="s">
        <v>15</v>
      </c>
      <c r="H178" s="4" t="s">
        <v>330</v>
      </c>
      <c r="I178" s="7">
        <v>0.16446</v>
      </c>
      <c r="J178" s="7">
        <v>0.16446</v>
      </c>
      <c r="K178" s="7">
        <v>1.6000000000000001E-3</v>
      </c>
      <c r="L178" s="7"/>
      <c r="M178" s="7">
        <v>0.1608</v>
      </c>
      <c r="N178" s="7">
        <v>-0.55000000000000004</v>
      </c>
      <c r="O178" s="4"/>
      <c r="P178" s="7">
        <v>1.2110000000000001</v>
      </c>
      <c r="T178" s="7">
        <v>60.7</v>
      </c>
      <c r="U178" s="7">
        <v>470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1012</v>
      </c>
      <c r="BF178" s="61">
        <v>54</v>
      </c>
      <c r="BG178" s="15">
        <v>1.175</v>
      </c>
      <c r="BH178" s="4">
        <v>2096</v>
      </c>
      <c r="BI178" s="4"/>
      <c r="BJ178" s="3" t="s">
        <v>295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6</v>
      </c>
      <c r="E179" s="2" t="s">
        <v>214</v>
      </c>
      <c r="F179" s="4" t="s">
        <v>216</v>
      </c>
      <c r="G179" s="4" t="s">
        <v>15</v>
      </c>
      <c r="H179" s="4" t="s">
        <v>223</v>
      </c>
      <c r="I179" s="7">
        <v>0.15590000000000001</v>
      </c>
      <c r="J179" s="7">
        <v>0.15590000000000001</v>
      </c>
      <c r="K179" s="7">
        <v>4.4000000000000003E-3</v>
      </c>
      <c r="L179" s="7"/>
      <c r="M179" s="7">
        <v>0.15010000000000001</v>
      </c>
      <c r="N179" s="7">
        <v>-0.56999999999999995</v>
      </c>
      <c r="O179" s="4"/>
      <c r="P179" s="7">
        <v>1.2110000000000001</v>
      </c>
      <c r="T179" s="7">
        <v>61.5</v>
      </c>
      <c r="U179" s="7">
        <v>451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1011</v>
      </c>
      <c r="BF179" s="61">
        <v>54</v>
      </c>
      <c r="BG179" s="15">
        <v>1.1739999999999999</v>
      </c>
      <c r="BH179" s="4">
        <v>2096</v>
      </c>
      <c r="BI179" s="4"/>
      <c r="BJ179" s="3" t="s">
        <v>304</v>
      </c>
      <c r="BK179"/>
      <c r="BL179"/>
      <c r="BM179"/>
      <c r="BR179"/>
    </row>
    <row r="180" spans="1:70" ht="28.5" x14ac:dyDescent="0.45">
      <c r="A180" s="4" t="s">
        <v>13</v>
      </c>
      <c r="B180" s="54" t="s">
        <v>28</v>
      </c>
      <c r="C180" s="3">
        <v>45243</v>
      </c>
      <c r="D180" s="8">
        <v>1</v>
      </c>
      <c r="E180" s="2" t="s">
        <v>581</v>
      </c>
      <c r="F180" s="4" t="s">
        <v>15</v>
      </c>
      <c r="G180" s="4" t="s">
        <v>577</v>
      </c>
      <c r="H180" s="4" t="s">
        <v>571</v>
      </c>
      <c r="I180" s="7">
        <v>0.16969999999999999</v>
      </c>
      <c r="J180" s="7">
        <v>0.16969999999999999</v>
      </c>
      <c r="K180" s="7">
        <v>6.0000000000000001E-3</v>
      </c>
      <c r="L180" s="7"/>
      <c r="M180" s="7">
        <v>0.16200000000000001</v>
      </c>
      <c r="N180" s="7">
        <v>-0.93</v>
      </c>
      <c r="O180" s="4"/>
      <c r="P180" s="7">
        <v>1.163</v>
      </c>
      <c r="T180" s="7">
        <v>66</v>
      </c>
      <c r="U180" s="7">
        <v>616</v>
      </c>
      <c r="V180" s="7">
        <v>750</v>
      </c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22">
        <v>117</v>
      </c>
      <c r="BB180" s="4"/>
      <c r="BC180" s="4"/>
      <c r="BD180" s="22">
        <v>25.1</v>
      </c>
      <c r="BE180" s="14">
        <v>1011</v>
      </c>
      <c r="BF180" s="61">
        <v>54</v>
      </c>
      <c r="BG180" s="15">
        <v>1.173</v>
      </c>
      <c r="BH180" s="4">
        <v>2096</v>
      </c>
      <c r="BI180" s="4"/>
      <c r="BJ180" s="3" t="s">
        <v>303</v>
      </c>
      <c r="BK180"/>
      <c r="BL180"/>
      <c r="BM180"/>
      <c r="BR180"/>
    </row>
    <row r="181" spans="1:70" ht="28.5" x14ac:dyDescent="0.45">
      <c r="A181" s="4" t="s">
        <v>13</v>
      </c>
      <c r="B181" s="54" t="s">
        <v>28</v>
      </c>
      <c r="C181" s="3">
        <v>45243</v>
      </c>
      <c r="D181" s="8">
        <v>2</v>
      </c>
      <c r="E181" s="2" t="s">
        <v>582</v>
      </c>
      <c r="F181" s="4" t="s">
        <v>15</v>
      </c>
      <c r="G181" s="4" t="s">
        <v>577</v>
      </c>
      <c r="H181" s="4" t="s">
        <v>571</v>
      </c>
      <c r="I181" s="7">
        <v>0.1704</v>
      </c>
      <c r="J181" s="7">
        <v>0.1704</v>
      </c>
      <c r="K181" s="7">
        <v>7.7999999999999996E-3</v>
      </c>
      <c r="L181" s="7"/>
      <c r="M181" s="7">
        <v>0.161</v>
      </c>
      <c r="N181" s="7">
        <v>-0.99</v>
      </c>
      <c r="O181" s="4"/>
      <c r="P181" s="7">
        <v>1.163</v>
      </c>
      <c r="T181" s="7">
        <v>65.099999999999994</v>
      </c>
      <c r="U181" s="7">
        <v>575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22">
        <v>117</v>
      </c>
      <c r="BB181" s="4"/>
      <c r="BC181" s="4"/>
      <c r="BD181" s="22">
        <v>25.1</v>
      </c>
      <c r="BE181" s="14">
        <v>1011</v>
      </c>
      <c r="BF181" s="61">
        <v>54</v>
      </c>
      <c r="BG181" s="15">
        <v>1.173</v>
      </c>
      <c r="BH181" s="4">
        <v>2096</v>
      </c>
      <c r="BI181" s="4"/>
      <c r="BJ181" s="3" t="s">
        <v>302</v>
      </c>
      <c r="BK181"/>
      <c r="BL181"/>
      <c r="BM181"/>
      <c r="BR181"/>
    </row>
    <row r="182" spans="1:70" ht="28.5" x14ac:dyDescent="0.45">
      <c r="A182" s="4" t="s">
        <v>13</v>
      </c>
      <c r="B182" s="54" t="s">
        <v>28</v>
      </c>
      <c r="C182" s="3">
        <v>45243</v>
      </c>
      <c r="D182" s="8">
        <v>3</v>
      </c>
      <c r="E182" s="2" t="s">
        <v>581</v>
      </c>
      <c r="F182" s="4" t="s">
        <v>15</v>
      </c>
      <c r="G182" s="4" t="s">
        <v>577</v>
      </c>
      <c r="H182" s="4" t="s">
        <v>571</v>
      </c>
      <c r="I182" s="7">
        <v>0.17510000000000001</v>
      </c>
      <c r="J182" s="7">
        <v>0.17510000000000001</v>
      </c>
      <c r="K182" s="7">
        <v>6.7999999999999996E-3</v>
      </c>
      <c r="L182" s="7"/>
      <c r="M182" s="7">
        <v>0.16669999999999999</v>
      </c>
      <c r="N182" s="7">
        <v>-1.01</v>
      </c>
      <c r="O182" s="4"/>
      <c r="P182" s="7">
        <v>1.1565000000000001</v>
      </c>
      <c r="T182" s="7">
        <v>65</v>
      </c>
      <c r="U182" s="7">
        <v>611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22">
        <v>25.2</v>
      </c>
      <c r="BE182" s="14">
        <v>1011</v>
      </c>
      <c r="BF182" s="61">
        <v>54</v>
      </c>
      <c r="BG182" s="15">
        <v>1.173</v>
      </c>
      <c r="BH182" s="4">
        <v>2096</v>
      </c>
      <c r="BI182" s="4"/>
      <c r="BJ182" s="3" t="s">
        <v>301</v>
      </c>
      <c r="BK182"/>
      <c r="BL182"/>
      <c r="BM182"/>
      <c r="BR182"/>
    </row>
    <row r="183" spans="1:70" ht="28.5" x14ac:dyDescent="0.45">
      <c r="A183" s="4" t="s">
        <v>13</v>
      </c>
      <c r="B183" s="54" t="s">
        <v>28</v>
      </c>
      <c r="C183" s="3">
        <v>45243</v>
      </c>
      <c r="D183" s="8">
        <v>4</v>
      </c>
      <c r="E183" s="2" t="s">
        <v>582</v>
      </c>
      <c r="F183" s="4" t="s">
        <v>15</v>
      </c>
      <c r="G183" s="4" t="s">
        <v>577</v>
      </c>
      <c r="H183" s="4" t="s">
        <v>571</v>
      </c>
      <c r="I183" s="7">
        <v>0.17510000000000001</v>
      </c>
      <c r="J183" s="7">
        <v>0.17510000000000001</v>
      </c>
      <c r="K183" s="7">
        <v>3.3E-3</v>
      </c>
      <c r="L183" s="7"/>
      <c r="M183" s="7">
        <v>0.16070000000000001</v>
      </c>
      <c r="N183" s="7">
        <v>-1.1399999999999999</v>
      </c>
      <c r="O183" s="4"/>
      <c r="P183" s="7">
        <v>1.1565000000000001</v>
      </c>
      <c r="T183" s="7">
        <v>65.400000000000006</v>
      </c>
      <c r="U183" s="7">
        <v>595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25.2</v>
      </c>
      <c r="BE183" s="14">
        <v>1011</v>
      </c>
      <c r="BF183" s="61">
        <v>54</v>
      </c>
      <c r="BG183" s="15">
        <v>1.173</v>
      </c>
      <c r="BH183" s="4">
        <v>2096</v>
      </c>
      <c r="BI183" s="4"/>
      <c r="BJ183" s="3" t="s">
        <v>300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45246</v>
      </c>
      <c r="D184" s="8">
        <v>1</v>
      </c>
      <c r="E184" s="2" t="s">
        <v>212</v>
      </c>
      <c r="F184" s="4" t="s">
        <v>15</v>
      </c>
      <c r="G184" s="4" t="s">
        <v>15</v>
      </c>
      <c r="H184" s="4" t="s">
        <v>330</v>
      </c>
      <c r="I184" s="7">
        <v>0.1686</v>
      </c>
      <c r="J184" s="7">
        <v>0.1686</v>
      </c>
      <c r="K184" s="7">
        <v>2E-3</v>
      </c>
      <c r="L184" s="7">
        <v>0.16600000000000001</v>
      </c>
      <c r="M184" s="7">
        <v>0.1678</v>
      </c>
      <c r="N184" s="7">
        <v>-0.4</v>
      </c>
      <c r="O184" s="4"/>
      <c r="P184" s="7">
        <v>1.2955000000000001</v>
      </c>
      <c r="T184" s="7">
        <v>58.5</v>
      </c>
      <c r="U184" s="7">
        <v>439</v>
      </c>
      <c r="V184" s="7">
        <v>754.9</v>
      </c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22">
        <v>111.6</v>
      </c>
      <c r="BB184" s="4"/>
      <c r="BC184" s="4"/>
      <c r="BD184" s="22">
        <v>24.3</v>
      </c>
      <c r="BE184" s="14">
        <v>1010</v>
      </c>
      <c r="BF184" s="61">
        <v>52</v>
      </c>
      <c r="BG184" s="15">
        <v>1.177</v>
      </c>
      <c r="BH184" s="4">
        <v>2096</v>
      </c>
      <c r="BI184" s="4"/>
      <c r="BJ184" s="3" t="s">
        <v>253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45246</v>
      </c>
      <c r="D185" s="8">
        <v>2</v>
      </c>
      <c r="E185" s="2" t="s">
        <v>213</v>
      </c>
      <c r="F185" s="4" t="s">
        <v>15</v>
      </c>
      <c r="G185" s="4" t="s">
        <v>15</v>
      </c>
      <c r="H185" s="4" t="s">
        <v>330</v>
      </c>
      <c r="I185" s="7">
        <v>0.16500000000000001</v>
      </c>
      <c r="J185" s="7">
        <v>0.16500000000000001</v>
      </c>
      <c r="K185" s="7">
        <v>3.0000000000000001E-3</v>
      </c>
      <c r="L185" s="7">
        <v>0.16500000000000001</v>
      </c>
      <c r="M185" s="7">
        <v>0.1663</v>
      </c>
      <c r="N185" s="7">
        <v>-0.41</v>
      </c>
      <c r="O185" s="4"/>
      <c r="P185" s="7">
        <v>1.2955000000000001</v>
      </c>
      <c r="T185" s="7">
        <v>57.8</v>
      </c>
      <c r="U185" s="7">
        <v>432</v>
      </c>
      <c r="V185" s="7">
        <v>754.7</v>
      </c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22">
        <v>111.6</v>
      </c>
      <c r="BB185" s="4"/>
      <c r="BC185" s="4"/>
      <c r="BD185" s="22">
        <v>24.5</v>
      </c>
      <c r="BE185" s="14">
        <v>1010</v>
      </c>
      <c r="BF185" s="61">
        <v>52</v>
      </c>
      <c r="BG185" s="15">
        <v>1.175</v>
      </c>
      <c r="BH185" s="4">
        <v>2096</v>
      </c>
      <c r="BI185" s="4"/>
      <c r="BJ185" s="3" t="s">
        <v>254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45246</v>
      </c>
      <c r="D186" s="8">
        <v>3</v>
      </c>
      <c r="E186" s="2" t="s">
        <v>214</v>
      </c>
      <c r="F186" s="4" t="s">
        <v>15</v>
      </c>
      <c r="G186" s="4" t="s">
        <v>15</v>
      </c>
      <c r="H186" s="4" t="s">
        <v>330</v>
      </c>
      <c r="I186" s="7">
        <v>0.16619999999999999</v>
      </c>
      <c r="J186" s="7">
        <v>0.1648</v>
      </c>
      <c r="K186" s="7">
        <v>2.5000000000000001E-3</v>
      </c>
      <c r="L186" s="7">
        <v>0.16800000000000001</v>
      </c>
      <c r="M186" s="7">
        <v>0.16400000000000001</v>
      </c>
      <c r="N186" s="7">
        <v>-0.5</v>
      </c>
      <c r="O186" s="4"/>
      <c r="P186" s="7">
        <v>1.2955000000000001</v>
      </c>
      <c r="T186" s="7">
        <v>58.8</v>
      </c>
      <c r="U186" s="7">
        <v>446</v>
      </c>
      <c r="V186" s="7">
        <v>755.2</v>
      </c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22">
        <v>111.6</v>
      </c>
      <c r="BB186" s="4"/>
      <c r="BC186" s="4"/>
      <c r="BD186" s="22">
        <v>24.8</v>
      </c>
      <c r="BE186" s="14">
        <v>1010</v>
      </c>
      <c r="BF186" s="61">
        <v>50</v>
      </c>
      <c r="BG186" s="15">
        <v>1.1739999999999999</v>
      </c>
      <c r="BH186" s="4">
        <v>2096</v>
      </c>
      <c r="BI186" s="4"/>
      <c r="BJ186" s="3" t="s">
        <v>256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45246</v>
      </c>
      <c r="D187" s="8">
        <v>4</v>
      </c>
      <c r="E187" s="2" t="s">
        <v>212</v>
      </c>
      <c r="F187" s="4" t="s">
        <v>15</v>
      </c>
      <c r="G187" s="4" t="s">
        <v>15</v>
      </c>
      <c r="H187" s="4" t="s">
        <v>330</v>
      </c>
      <c r="I187" s="7">
        <v>0.1691</v>
      </c>
      <c r="J187" s="7">
        <v>0.1691</v>
      </c>
      <c r="K187" s="7">
        <v>4.4000000000000003E-3</v>
      </c>
      <c r="L187" s="7">
        <v>0.16900000000000001</v>
      </c>
      <c r="M187" s="7">
        <v>0.16980000000000001</v>
      </c>
      <c r="N187" s="7">
        <v>-0.43</v>
      </c>
      <c r="O187" s="4"/>
      <c r="P187" s="7">
        <v>1.2955000000000001</v>
      </c>
      <c r="T187" s="7">
        <v>58.4</v>
      </c>
      <c r="U187" s="7">
        <v>439</v>
      </c>
      <c r="V187" s="7">
        <v>754.7</v>
      </c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22">
        <v>111.6</v>
      </c>
      <c r="BB187" s="4"/>
      <c r="BC187" s="4"/>
      <c r="BD187" s="22">
        <v>25.1</v>
      </c>
      <c r="BE187" s="14">
        <v>1010</v>
      </c>
      <c r="BF187" s="61">
        <v>51</v>
      </c>
      <c r="BG187" s="15">
        <v>1.173</v>
      </c>
      <c r="BH187" s="4">
        <v>2096</v>
      </c>
      <c r="BI187" s="4"/>
      <c r="BJ187" s="3" t="s">
        <v>255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45246</v>
      </c>
      <c r="D188" s="8">
        <v>5</v>
      </c>
      <c r="E188" s="2" t="s">
        <v>213</v>
      </c>
      <c r="F188" s="4" t="s">
        <v>15</v>
      </c>
      <c r="G188" s="4" t="s">
        <v>15</v>
      </c>
      <c r="H188" s="4" t="s">
        <v>330</v>
      </c>
      <c r="I188" s="7">
        <v>0.1681</v>
      </c>
      <c r="J188" s="7">
        <v>0.1681</v>
      </c>
      <c r="K188" s="7">
        <v>2E-3</v>
      </c>
      <c r="L188" s="7">
        <v>0.16700000000000001</v>
      </c>
      <c r="M188" s="7">
        <v>0.1653</v>
      </c>
      <c r="N188" s="7">
        <v>-0.5</v>
      </c>
      <c r="O188" s="4"/>
      <c r="P188" s="7">
        <v>1.2955000000000001</v>
      </c>
      <c r="T188" s="7">
        <v>59.3</v>
      </c>
      <c r="U188" s="7">
        <v>456</v>
      </c>
      <c r="V188" s="7">
        <v>755.7</v>
      </c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22">
        <v>111.6</v>
      </c>
      <c r="BB188" s="4"/>
      <c r="BC188" s="4"/>
      <c r="BD188" s="22">
        <v>25.1</v>
      </c>
      <c r="BE188" s="14">
        <v>1010</v>
      </c>
      <c r="BF188" s="61">
        <v>48</v>
      </c>
      <c r="BG188" s="15">
        <v>1.173</v>
      </c>
      <c r="BH188" s="4">
        <v>2096</v>
      </c>
      <c r="BI188" s="4"/>
      <c r="BJ188" s="3" t="s">
        <v>257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45246</v>
      </c>
      <c r="D189" s="8">
        <v>6</v>
      </c>
      <c r="E189" s="2" t="s">
        <v>214</v>
      </c>
      <c r="F189" s="4" t="s">
        <v>15</v>
      </c>
      <c r="G189" s="4" t="s">
        <v>15</v>
      </c>
      <c r="H189" s="4" t="s">
        <v>330</v>
      </c>
      <c r="I189" s="7">
        <v>0.16550000000000001</v>
      </c>
      <c r="J189" s="7">
        <v>0.1641</v>
      </c>
      <c r="K189" s="7">
        <v>5.1000000000000004E-3</v>
      </c>
      <c r="L189" s="7">
        <v>0.16400000000000001</v>
      </c>
      <c r="M189" s="7">
        <v>0.16600000000000001</v>
      </c>
      <c r="N189" s="7">
        <v>-0.47</v>
      </c>
      <c r="O189" s="4"/>
      <c r="P189" s="7">
        <v>1.2955000000000001</v>
      </c>
      <c r="T189" s="7">
        <v>58.5</v>
      </c>
      <c r="U189" s="7">
        <v>435</v>
      </c>
      <c r="V189" s="7">
        <v>755.3</v>
      </c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22">
        <v>111.6</v>
      </c>
      <c r="BB189" s="4"/>
      <c r="BC189" s="4"/>
      <c r="BD189" s="22">
        <v>25.3</v>
      </c>
      <c r="BE189" s="14">
        <v>1010</v>
      </c>
      <c r="BF189" s="61">
        <v>48</v>
      </c>
      <c r="BG189" s="15">
        <v>1.1719999999999999</v>
      </c>
      <c r="BH189" s="4">
        <v>2096</v>
      </c>
      <c r="BI189" s="4"/>
      <c r="BJ189" s="3" t="s">
        <v>258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79</v>
      </c>
      <c r="C190" s="3">
        <v>45246</v>
      </c>
      <c r="D190" s="8">
        <v>1</v>
      </c>
      <c r="E190" s="2" t="s">
        <v>215</v>
      </c>
      <c r="F190" s="4" t="s">
        <v>216</v>
      </c>
      <c r="G190" s="4" t="s">
        <v>15</v>
      </c>
      <c r="H190" s="4" t="s">
        <v>223</v>
      </c>
      <c r="I190" s="7">
        <v>0.14849999999999999</v>
      </c>
      <c r="J190" s="7">
        <v>0.14849999999999999</v>
      </c>
      <c r="K190" s="7">
        <v>2.8999999999999998E-3</v>
      </c>
      <c r="L190" s="7">
        <v>0.14599999999999999</v>
      </c>
      <c r="M190" s="7">
        <v>0.1467</v>
      </c>
      <c r="N190" s="7">
        <v>-0.47</v>
      </c>
      <c r="O190" s="4"/>
      <c r="P190" s="7">
        <v>1.2549999999999999</v>
      </c>
      <c r="T190" s="7">
        <v>59.6</v>
      </c>
      <c r="U190" s="7">
        <v>426</v>
      </c>
      <c r="V190" s="7">
        <v>754</v>
      </c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22">
        <v>111.6</v>
      </c>
      <c r="BB190" s="4"/>
      <c r="BC190" s="4"/>
      <c r="BD190" s="22">
        <v>24.3</v>
      </c>
      <c r="BE190" s="14">
        <v>1010</v>
      </c>
      <c r="BF190" s="61">
        <v>52</v>
      </c>
      <c r="BG190" s="15">
        <v>1.177</v>
      </c>
      <c r="BH190" s="4">
        <v>2096</v>
      </c>
      <c r="BI190" s="4"/>
      <c r="BJ190" s="3" t="s">
        <v>259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45246</v>
      </c>
      <c r="D191" s="8">
        <v>2</v>
      </c>
      <c r="E191" s="2" t="s">
        <v>217</v>
      </c>
      <c r="F191" s="4" t="s">
        <v>216</v>
      </c>
      <c r="G191" s="4" t="s">
        <v>15</v>
      </c>
      <c r="H191" s="4" t="s">
        <v>223</v>
      </c>
      <c r="I191" s="7">
        <v>0.1502</v>
      </c>
      <c r="J191" s="7">
        <v>0.1502</v>
      </c>
      <c r="K191" s="7">
        <v>1.9E-3</v>
      </c>
      <c r="L191" s="7">
        <v>0.14599999999999999</v>
      </c>
      <c r="M191" s="7">
        <v>0.14849999999999999</v>
      </c>
      <c r="N191" s="7">
        <v>-0.44</v>
      </c>
      <c r="O191" s="4"/>
      <c r="P191" s="7">
        <v>1.2549999999999999</v>
      </c>
      <c r="T191" s="7">
        <v>59.3</v>
      </c>
      <c r="U191" s="7">
        <v>415</v>
      </c>
      <c r="V191" s="7">
        <v>754.3</v>
      </c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22">
        <v>111.6</v>
      </c>
      <c r="BB191" s="4"/>
      <c r="BC191" s="4"/>
      <c r="BD191" s="22">
        <v>24.5</v>
      </c>
      <c r="BE191" s="14">
        <v>1010</v>
      </c>
      <c r="BF191" s="61">
        <v>52</v>
      </c>
      <c r="BG191" s="15">
        <v>1.175</v>
      </c>
      <c r="BH191" s="4">
        <v>2096</v>
      </c>
      <c r="BI191" s="4"/>
      <c r="BJ191" s="3" t="s">
        <v>248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79</v>
      </c>
      <c r="C192" s="3">
        <v>45246</v>
      </c>
      <c r="D192" s="8">
        <v>3</v>
      </c>
      <c r="E192" s="2" t="s">
        <v>217</v>
      </c>
      <c r="F192" s="4" t="s">
        <v>216</v>
      </c>
      <c r="G192" s="4" t="s">
        <v>15</v>
      </c>
      <c r="H192" s="4" t="s">
        <v>223</v>
      </c>
      <c r="I192" s="7">
        <v>0.14949999999999999</v>
      </c>
      <c r="J192" s="7">
        <v>0.14949999999999999</v>
      </c>
      <c r="K192" s="7">
        <v>1.1999999999999999E-3</v>
      </c>
      <c r="L192" s="7">
        <v>0.151</v>
      </c>
      <c r="M192" s="7">
        <v>0.14910000000000001</v>
      </c>
      <c r="N192" s="7">
        <v>-0.37</v>
      </c>
      <c r="O192" s="4"/>
      <c r="P192" s="7">
        <v>1.2549999999999999</v>
      </c>
      <c r="T192" s="7">
        <v>59.8</v>
      </c>
      <c r="U192" s="7">
        <v>436</v>
      </c>
      <c r="V192" s="7">
        <v>754.6</v>
      </c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22">
        <v>111.6</v>
      </c>
      <c r="BB192" s="4"/>
      <c r="BC192" s="4"/>
      <c r="BD192" s="22">
        <v>24.8</v>
      </c>
      <c r="BE192" s="14">
        <v>1010</v>
      </c>
      <c r="BF192" s="61">
        <v>50</v>
      </c>
      <c r="BG192" s="15">
        <v>1.1739999999999999</v>
      </c>
      <c r="BH192" s="4">
        <v>2096</v>
      </c>
      <c r="BI192" s="4"/>
      <c r="BJ192" s="3" t="s">
        <v>249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79</v>
      </c>
      <c r="C193" s="3">
        <v>45246</v>
      </c>
      <c r="D193" s="8">
        <v>4</v>
      </c>
      <c r="E193" s="2" t="s">
        <v>215</v>
      </c>
      <c r="F193" s="4" t="s">
        <v>216</v>
      </c>
      <c r="G193" s="4" t="s">
        <v>15</v>
      </c>
      <c r="H193" s="4" t="s">
        <v>223</v>
      </c>
      <c r="I193" s="7">
        <v>0.14810000000000001</v>
      </c>
      <c r="J193" s="7">
        <v>0.14810000000000001</v>
      </c>
      <c r="K193" s="7">
        <v>5.4000000000000003E-3</v>
      </c>
      <c r="L193" s="7">
        <v>0.151</v>
      </c>
      <c r="M193" s="7">
        <v>0.14860000000000001</v>
      </c>
      <c r="N193" s="7">
        <v>-0.39</v>
      </c>
      <c r="O193" s="4"/>
      <c r="P193" s="7">
        <v>1.2549999999999999</v>
      </c>
      <c r="T193" s="7">
        <v>60.3</v>
      </c>
      <c r="U193" s="7">
        <v>447</v>
      </c>
      <c r="V193" s="7">
        <v>754</v>
      </c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22">
        <v>111.6</v>
      </c>
      <c r="BB193" s="4"/>
      <c r="BC193" s="4"/>
      <c r="BD193" s="22">
        <v>25.1</v>
      </c>
      <c r="BE193" s="14">
        <v>1010</v>
      </c>
      <c r="BF193" s="61">
        <v>48</v>
      </c>
      <c r="BG193" s="15">
        <v>1.173</v>
      </c>
      <c r="BH193" s="4">
        <v>2096</v>
      </c>
      <c r="BI193" s="4"/>
      <c r="BJ193" s="3" t="s">
        <v>250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79</v>
      </c>
      <c r="C194" s="3">
        <v>45246</v>
      </c>
      <c r="D194" s="8">
        <v>5</v>
      </c>
      <c r="E194" s="2" t="s">
        <v>217</v>
      </c>
      <c r="F194" s="4" t="s">
        <v>216</v>
      </c>
      <c r="G194" s="4" t="s">
        <v>15</v>
      </c>
      <c r="H194" s="4" t="s">
        <v>223</v>
      </c>
      <c r="I194" s="7">
        <v>0.1492</v>
      </c>
      <c r="J194" s="7">
        <v>0.1492</v>
      </c>
      <c r="K194" s="7">
        <v>3.2000000000000002E-3</v>
      </c>
      <c r="L194" s="7">
        <v>0.15</v>
      </c>
      <c r="M194" s="7">
        <v>0.14949999999999999</v>
      </c>
      <c r="N194" s="7">
        <v>-0.37</v>
      </c>
      <c r="O194" s="4"/>
      <c r="P194" s="7">
        <v>1.2549999999999999</v>
      </c>
      <c r="T194" s="7">
        <v>60.4</v>
      </c>
      <c r="U194" s="7">
        <v>444</v>
      </c>
      <c r="V194" s="7">
        <v>754.1</v>
      </c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22">
        <v>111.6</v>
      </c>
      <c r="BB194" s="4"/>
      <c r="BC194" s="4"/>
      <c r="BD194" s="22">
        <v>25.3</v>
      </c>
      <c r="BE194" s="14">
        <v>1010</v>
      </c>
      <c r="BF194" s="61">
        <v>48</v>
      </c>
      <c r="BG194" s="15">
        <v>1.1719999999999999</v>
      </c>
      <c r="BH194" s="4">
        <v>2096</v>
      </c>
      <c r="BI194" s="4"/>
      <c r="BJ194" s="3" t="s">
        <v>251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79</v>
      </c>
      <c r="C195" s="3">
        <v>45246</v>
      </c>
      <c r="D195" s="8">
        <v>6</v>
      </c>
      <c r="E195" s="2" t="s">
        <v>217</v>
      </c>
      <c r="F195" s="4" t="s">
        <v>216</v>
      </c>
      <c r="G195" s="4" t="s">
        <v>15</v>
      </c>
      <c r="H195" s="4" t="s">
        <v>223</v>
      </c>
      <c r="I195" s="7">
        <v>0.14760000000000001</v>
      </c>
      <c r="J195" s="7">
        <v>0.14760000000000001</v>
      </c>
      <c r="K195" s="7">
        <v>2.3999999999999998E-3</v>
      </c>
      <c r="L195" s="7">
        <v>0.151</v>
      </c>
      <c r="M195" s="7">
        <v>0.1497</v>
      </c>
      <c r="N195" s="7">
        <v>-0.33</v>
      </c>
      <c r="O195" s="4"/>
      <c r="P195" s="7">
        <v>1.2549999999999999</v>
      </c>
      <c r="T195" s="7">
        <v>60.4</v>
      </c>
      <c r="U195" s="7">
        <v>452</v>
      </c>
      <c r="V195" s="7">
        <v>754.1</v>
      </c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22">
        <v>111.6</v>
      </c>
      <c r="BB195" s="4"/>
      <c r="BC195" s="4"/>
      <c r="BD195" s="22">
        <v>25.6</v>
      </c>
      <c r="BE195" s="14">
        <v>1009</v>
      </c>
      <c r="BF195" s="61">
        <v>50</v>
      </c>
      <c r="BG195" s="15">
        <v>1.17</v>
      </c>
      <c r="BH195" s="4">
        <v>2096</v>
      </c>
      <c r="BI195" s="4"/>
      <c r="BJ195" s="3" t="s">
        <v>252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99</v>
      </c>
      <c r="C196" s="3">
        <v>45246</v>
      </c>
      <c r="D196" s="8">
        <v>1</v>
      </c>
      <c r="E196" s="2" t="s">
        <v>218</v>
      </c>
      <c r="F196" s="4" t="s">
        <v>15</v>
      </c>
      <c r="G196" s="4" t="s">
        <v>15</v>
      </c>
      <c r="H196" s="4" t="s">
        <v>330</v>
      </c>
      <c r="I196" s="7">
        <v>0.1731</v>
      </c>
      <c r="J196" s="7">
        <v>0.1731</v>
      </c>
      <c r="K196" s="7">
        <v>3.0000000000000001E-3</v>
      </c>
      <c r="L196" s="7">
        <v>0.14799999999999999</v>
      </c>
      <c r="M196" s="7">
        <v>0.17050000000000001</v>
      </c>
      <c r="O196" s="4"/>
      <c r="P196" s="7">
        <v>1.2725</v>
      </c>
      <c r="T196" s="7">
        <v>59.8</v>
      </c>
      <c r="U196" s="7">
        <v>474</v>
      </c>
      <c r="V196" s="7">
        <v>757.2</v>
      </c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22">
        <v>111.6</v>
      </c>
      <c r="BB196" s="4"/>
      <c r="BC196" s="4"/>
      <c r="BD196" s="22">
        <v>24.3</v>
      </c>
      <c r="BE196" s="14">
        <v>1010</v>
      </c>
      <c r="BF196" s="61">
        <v>52</v>
      </c>
      <c r="BG196" s="15">
        <v>1.177</v>
      </c>
      <c r="BH196" s="4">
        <v>2096</v>
      </c>
      <c r="BI196" s="4"/>
      <c r="BJ196" s="3" t="s">
        <v>264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99</v>
      </c>
      <c r="C197" s="3">
        <v>45246</v>
      </c>
      <c r="D197" s="8">
        <v>2</v>
      </c>
      <c r="E197" s="2" t="s">
        <v>213</v>
      </c>
      <c r="F197" s="4" t="s">
        <v>15</v>
      </c>
      <c r="G197" s="4" t="s">
        <v>15</v>
      </c>
      <c r="H197" s="4" t="s">
        <v>330</v>
      </c>
      <c r="I197" s="7">
        <v>0.16489999999999999</v>
      </c>
      <c r="J197" s="7">
        <v>0.16400000000000001</v>
      </c>
      <c r="K197" s="7">
        <v>4.7000000000000002E-3</v>
      </c>
      <c r="L197" s="7">
        <v>0.161</v>
      </c>
      <c r="M197" s="7">
        <v>0.15970000000000001</v>
      </c>
      <c r="N197" s="7">
        <v>-0.51</v>
      </c>
      <c r="O197" s="4"/>
      <c r="P197" s="7">
        <v>1.2515000000000001</v>
      </c>
      <c r="T197" s="7">
        <v>56.9</v>
      </c>
      <c r="U197" s="7">
        <v>402</v>
      </c>
      <c r="V197" s="7">
        <v>757.7</v>
      </c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22">
        <v>111.6</v>
      </c>
      <c r="BB197" s="4"/>
      <c r="BC197" s="4"/>
      <c r="BD197" s="22">
        <v>24.5</v>
      </c>
      <c r="BE197" s="14">
        <v>1010</v>
      </c>
      <c r="BF197" s="61">
        <v>52</v>
      </c>
      <c r="BG197" s="15">
        <v>1.175</v>
      </c>
      <c r="BH197" s="4">
        <v>2096</v>
      </c>
      <c r="BI197" s="4"/>
      <c r="BJ197" s="3" t="s">
        <v>265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99</v>
      </c>
      <c r="C198" s="3">
        <v>45246</v>
      </c>
      <c r="D198" s="8">
        <v>3</v>
      </c>
      <c r="E198" s="2" t="s">
        <v>213</v>
      </c>
      <c r="F198" s="4" t="s">
        <v>15</v>
      </c>
      <c r="G198" s="4" t="s">
        <v>15</v>
      </c>
      <c r="H198" s="4" t="s">
        <v>223</v>
      </c>
      <c r="I198" s="7">
        <v>0.1651</v>
      </c>
      <c r="J198" s="7">
        <v>0.1638</v>
      </c>
      <c r="K198" s="7">
        <v>3.5999999999999999E-3</v>
      </c>
      <c r="L198" s="7">
        <v>0.161</v>
      </c>
      <c r="M198" s="7">
        <v>0.1598</v>
      </c>
      <c r="N198" s="7">
        <v>-0.52</v>
      </c>
      <c r="O198" s="4"/>
      <c r="P198" s="7">
        <v>1.2515000000000001</v>
      </c>
      <c r="T198" s="7">
        <v>59.1</v>
      </c>
      <c r="U198" s="7">
        <v>441</v>
      </c>
      <c r="V198" s="7">
        <v>757.9</v>
      </c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22">
        <v>111.6</v>
      </c>
      <c r="BB198" s="4"/>
      <c r="BC198" s="4"/>
      <c r="BD198" s="22">
        <v>25.1</v>
      </c>
      <c r="BE198" s="14">
        <v>1010</v>
      </c>
      <c r="BF198" s="61">
        <v>51</v>
      </c>
      <c r="BG198" s="15">
        <v>1.173</v>
      </c>
      <c r="BH198" s="4">
        <v>2096</v>
      </c>
      <c r="BI198" s="4"/>
      <c r="BJ198" s="3" t="s">
        <v>266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99</v>
      </c>
      <c r="C199" s="3">
        <v>45246</v>
      </c>
      <c r="D199" s="8">
        <v>4</v>
      </c>
      <c r="E199" s="2" t="s">
        <v>218</v>
      </c>
      <c r="F199" s="4" t="s">
        <v>15</v>
      </c>
      <c r="G199" s="4" t="s">
        <v>15</v>
      </c>
      <c r="H199" s="4" t="s">
        <v>330</v>
      </c>
      <c r="I199" s="7">
        <v>0.17419999999999999</v>
      </c>
      <c r="J199" s="7">
        <v>0.17419999999999999</v>
      </c>
      <c r="K199" s="7">
        <v>1.5E-3</v>
      </c>
      <c r="L199" s="7"/>
      <c r="M199" s="7">
        <v>0.17130000000000001</v>
      </c>
      <c r="N199" s="7">
        <v>-0.49</v>
      </c>
      <c r="O199" s="4"/>
      <c r="P199" s="7">
        <v>1.2515000000000001</v>
      </c>
      <c r="T199" s="7">
        <v>58.6</v>
      </c>
      <c r="U199" s="7">
        <v>451</v>
      </c>
      <c r="V199" s="7">
        <v>756.8</v>
      </c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22">
        <v>111.6</v>
      </c>
      <c r="BB199" s="4"/>
      <c r="BC199" s="4"/>
      <c r="BD199" s="22">
        <v>25.1</v>
      </c>
      <c r="BE199" s="14">
        <v>1010</v>
      </c>
      <c r="BF199" s="61">
        <v>48</v>
      </c>
      <c r="BG199" s="15">
        <v>1.173</v>
      </c>
      <c r="BH199" s="4">
        <v>2096</v>
      </c>
      <c r="BI199" s="4"/>
      <c r="BJ199" s="3" t="s">
        <v>260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99</v>
      </c>
      <c r="C200" s="3">
        <v>45246</v>
      </c>
      <c r="D200" s="8">
        <v>5</v>
      </c>
      <c r="E200" s="2" t="s">
        <v>213</v>
      </c>
      <c r="F200" s="4" t="s">
        <v>15</v>
      </c>
      <c r="G200" s="4" t="s">
        <v>15</v>
      </c>
      <c r="H200" s="4" t="s">
        <v>330</v>
      </c>
      <c r="I200" s="7">
        <v>0.16400000000000001</v>
      </c>
      <c r="J200" s="7">
        <v>0.16309999999999999</v>
      </c>
      <c r="K200" s="7">
        <v>5.0000000000000001E-3</v>
      </c>
      <c r="L200" s="7">
        <v>0.16</v>
      </c>
      <c r="M200" s="7">
        <v>0.16239999999999999</v>
      </c>
      <c r="N200" s="7">
        <v>-0.52</v>
      </c>
      <c r="O200" s="4"/>
      <c r="P200" s="7">
        <v>1.2515000000000001</v>
      </c>
      <c r="T200" s="7">
        <v>58</v>
      </c>
      <c r="U200" s="7">
        <v>416</v>
      </c>
      <c r="V200" s="7">
        <v>757.3</v>
      </c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22">
        <v>111.6</v>
      </c>
      <c r="BB200" s="4"/>
      <c r="BC200" s="4"/>
      <c r="BD200" s="22">
        <v>25.6</v>
      </c>
      <c r="BE200" s="14">
        <v>1009</v>
      </c>
      <c r="BF200" s="61">
        <v>50</v>
      </c>
      <c r="BG200" s="15">
        <v>1.17</v>
      </c>
      <c r="BH200" s="4">
        <v>2096</v>
      </c>
      <c r="BI200" s="4"/>
      <c r="BJ200" s="3" t="s">
        <v>261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99</v>
      </c>
      <c r="C201" s="3">
        <v>45246</v>
      </c>
      <c r="D201" s="8">
        <v>6</v>
      </c>
      <c r="E201" s="2" t="s">
        <v>213</v>
      </c>
      <c r="F201" s="4" t="s">
        <v>15</v>
      </c>
      <c r="G201" s="4" t="s">
        <v>15</v>
      </c>
      <c r="H201" s="4" t="s">
        <v>223</v>
      </c>
      <c r="I201" s="7">
        <v>0.16439999999999999</v>
      </c>
      <c r="J201" s="7">
        <v>0.16300000000000001</v>
      </c>
      <c r="K201" s="7">
        <v>5.3E-3</v>
      </c>
      <c r="L201" s="7">
        <v>0.16300000000000001</v>
      </c>
      <c r="M201" s="7">
        <v>0.16309999999999999</v>
      </c>
      <c r="N201" s="7">
        <v>-0.55000000000000004</v>
      </c>
      <c r="O201" s="4"/>
      <c r="P201" s="7">
        <v>1.2515000000000001</v>
      </c>
      <c r="T201" s="7">
        <v>58.6</v>
      </c>
      <c r="U201" s="7">
        <v>434</v>
      </c>
      <c r="V201" s="7">
        <v>757.3</v>
      </c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22">
        <v>111.6</v>
      </c>
      <c r="BB201" s="4"/>
      <c r="BC201" s="4"/>
      <c r="BD201" s="22">
        <v>25.6</v>
      </c>
      <c r="BE201" s="14">
        <v>1009</v>
      </c>
      <c r="BF201" s="61">
        <v>50</v>
      </c>
      <c r="BG201" s="15">
        <v>1.17</v>
      </c>
      <c r="BH201" s="4">
        <v>2096</v>
      </c>
      <c r="BI201" s="4"/>
      <c r="BJ201" s="3" t="s">
        <v>262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99</v>
      </c>
      <c r="C202" s="3">
        <v>45246</v>
      </c>
      <c r="D202" s="8">
        <v>7</v>
      </c>
      <c r="E202" s="2" t="s">
        <v>218</v>
      </c>
      <c r="F202" s="4" t="s">
        <v>15</v>
      </c>
      <c r="G202" s="4" t="s">
        <v>15</v>
      </c>
      <c r="H202" s="4" t="s">
        <v>330</v>
      </c>
      <c r="I202" s="7">
        <v>0.1736</v>
      </c>
      <c r="J202" s="7">
        <v>0.1736</v>
      </c>
      <c r="K202" s="7">
        <v>1.6999999999999999E-3</v>
      </c>
      <c r="L202" s="7">
        <v>0.16500000000000001</v>
      </c>
      <c r="M202" s="7">
        <v>0.17069999999999999</v>
      </c>
      <c r="N202" s="7">
        <v>-0.49</v>
      </c>
      <c r="O202" s="4"/>
      <c r="P202" s="7">
        <v>1.2515000000000001</v>
      </c>
      <c r="T202" s="7">
        <v>58.7</v>
      </c>
      <c r="U202" s="7">
        <v>440</v>
      </c>
      <c r="V202" s="7">
        <v>756.3</v>
      </c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22">
        <v>111.6</v>
      </c>
      <c r="BB202" s="4"/>
      <c r="BC202" s="4"/>
      <c r="BD202" s="22">
        <v>25.6</v>
      </c>
      <c r="BE202" s="14">
        <v>1009</v>
      </c>
      <c r="BF202" s="61">
        <v>50</v>
      </c>
      <c r="BG202" s="15">
        <v>1.17</v>
      </c>
      <c r="BH202" s="4">
        <v>2096</v>
      </c>
      <c r="BI202" s="4"/>
      <c r="BJ202" s="3" t="s">
        <v>263</v>
      </c>
      <c r="BK202" s="7"/>
      <c r="BL202"/>
      <c r="BM202"/>
      <c r="BR202"/>
    </row>
    <row r="203" spans="1:70" ht="28.5" x14ac:dyDescent="0.45">
      <c r="A203" s="2" t="s">
        <v>13</v>
      </c>
      <c r="B203" s="54" t="s">
        <v>219</v>
      </c>
      <c r="C203" s="3">
        <v>45250</v>
      </c>
      <c r="D203" s="8">
        <v>1</v>
      </c>
      <c r="E203" s="2" t="s">
        <v>220</v>
      </c>
      <c r="F203" s="4" t="s">
        <v>15</v>
      </c>
      <c r="G203" s="4" t="s">
        <v>577</v>
      </c>
      <c r="H203" s="4" t="s">
        <v>575</v>
      </c>
      <c r="I203" s="7">
        <v>0.1971</v>
      </c>
      <c r="J203" s="7">
        <v>0.1971</v>
      </c>
      <c r="K203" s="7">
        <v>4.0000000000000001E-3</v>
      </c>
      <c r="L203" s="7">
        <v>0.19700000000000001</v>
      </c>
      <c r="M203" s="7">
        <v>0.19700000000000001</v>
      </c>
      <c r="N203" s="7">
        <v>-0.49</v>
      </c>
      <c r="O203" s="4"/>
      <c r="P203" s="7">
        <v>1.2569999999999999</v>
      </c>
      <c r="T203" s="7">
        <v>57.5</v>
      </c>
      <c r="U203" s="7">
        <v>500</v>
      </c>
      <c r="V203" s="7">
        <v>753.2</v>
      </c>
      <c r="W203" s="4" t="s">
        <v>16</v>
      </c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22">
        <v>108</v>
      </c>
      <c r="BB203" s="4"/>
      <c r="BC203" s="4"/>
      <c r="BD203" s="22">
        <v>23.8</v>
      </c>
      <c r="BE203" s="14">
        <v>1009</v>
      </c>
      <c r="BF203" s="61">
        <v>61</v>
      </c>
      <c r="BG203" s="15">
        <v>1.1759999999999999</v>
      </c>
      <c r="BH203" s="4">
        <v>2096</v>
      </c>
      <c r="BI203" s="4"/>
      <c r="BJ203" s="3" t="s">
        <v>226</v>
      </c>
      <c r="BK203" s="7"/>
      <c r="BL203"/>
      <c r="BM203"/>
      <c r="BR203"/>
    </row>
    <row r="204" spans="1:70" ht="28.5" x14ac:dyDescent="0.45">
      <c r="A204" s="2" t="s">
        <v>13</v>
      </c>
      <c r="B204" s="54" t="s">
        <v>219</v>
      </c>
      <c r="C204" s="3">
        <v>45250</v>
      </c>
      <c r="D204" s="8">
        <v>2</v>
      </c>
      <c r="E204" s="2" t="s">
        <v>220</v>
      </c>
      <c r="F204" s="4" t="s">
        <v>89</v>
      </c>
      <c r="G204" s="4" t="s">
        <v>577</v>
      </c>
      <c r="H204" s="4" t="s">
        <v>575</v>
      </c>
      <c r="I204" s="7">
        <v>0.19309999999999999</v>
      </c>
      <c r="J204" s="7">
        <v>0.19309999999999999</v>
      </c>
      <c r="K204" s="7">
        <v>2E-3</v>
      </c>
      <c r="L204" s="7">
        <v>0.19800000000000001</v>
      </c>
      <c r="M204" s="7">
        <v>0.19359999999999999</v>
      </c>
      <c r="N204" s="7">
        <v>-0.49</v>
      </c>
      <c r="O204" s="4"/>
      <c r="P204" s="7">
        <v>1.2569999999999999</v>
      </c>
      <c r="T204" s="7">
        <v>60.9</v>
      </c>
      <c r="U204" s="7">
        <v>584</v>
      </c>
      <c r="V204" s="7">
        <v>754.3</v>
      </c>
      <c r="W204" s="4" t="s">
        <v>16</v>
      </c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22">
        <v>108</v>
      </c>
      <c r="BB204" s="4"/>
      <c r="BC204" s="4"/>
      <c r="BD204" s="22">
        <v>24</v>
      </c>
      <c r="BE204" s="14">
        <v>1009</v>
      </c>
      <c r="BF204" s="61">
        <v>62</v>
      </c>
      <c r="BG204" s="15">
        <v>1.175</v>
      </c>
      <c r="BH204" s="4">
        <v>2096</v>
      </c>
      <c r="BI204" s="4"/>
      <c r="BJ204" s="3" t="s">
        <v>227</v>
      </c>
      <c r="BK204" s="7"/>
      <c r="BL204"/>
      <c r="BM204"/>
      <c r="BR204"/>
    </row>
    <row r="205" spans="1:70" ht="28.5" x14ac:dyDescent="0.45">
      <c r="A205" s="2" t="s">
        <v>13</v>
      </c>
      <c r="B205" s="54" t="s">
        <v>219</v>
      </c>
      <c r="C205" s="3">
        <v>45250</v>
      </c>
      <c r="D205" s="8">
        <v>3</v>
      </c>
      <c r="E205" s="2" t="s">
        <v>221</v>
      </c>
      <c r="F205" s="4" t="s">
        <v>89</v>
      </c>
      <c r="G205" s="4" t="s">
        <v>577</v>
      </c>
      <c r="H205" s="4" t="s">
        <v>575</v>
      </c>
      <c r="I205" s="7">
        <v>0.19719999999999999</v>
      </c>
      <c r="J205" s="7">
        <v>0.19719999999999999</v>
      </c>
      <c r="K205" s="7">
        <v>6.9999999999999999E-4</v>
      </c>
      <c r="L205" s="7">
        <v>0.20100000000000001</v>
      </c>
      <c r="M205" s="7">
        <v>0.1946</v>
      </c>
      <c r="N205" s="7">
        <v>-0.55000000000000004</v>
      </c>
      <c r="O205" s="4"/>
      <c r="P205" s="7">
        <v>1.2569999999999999</v>
      </c>
      <c r="T205" s="7">
        <v>60.4</v>
      </c>
      <c r="U205" s="7">
        <v>573</v>
      </c>
      <c r="V205" s="7">
        <v>754.3</v>
      </c>
      <c r="W205" s="4" t="s">
        <v>16</v>
      </c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22">
        <v>108</v>
      </c>
      <c r="BB205" s="4"/>
      <c r="BC205" s="4"/>
      <c r="BD205" s="22">
        <v>24.2</v>
      </c>
      <c r="BE205" s="14">
        <v>1009</v>
      </c>
      <c r="BF205" s="61">
        <v>60</v>
      </c>
      <c r="BG205" s="15">
        <v>1.1739999999999999</v>
      </c>
      <c r="BH205" s="4">
        <v>2096</v>
      </c>
      <c r="BI205" s="4"/>
      <c r="BJ205" s="3" t="s">
        <v>228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219</v>
      </c>
      <c r="C206" s="3">
        <v>45250</v>
      </c>
      <c r="D206" s="8">
        <v>4</v>
      </c>
      <c r="E206" s="2" t="s">
        <v>222</v>
      </c>
      <c r="F206" s="4" t="s">
        <v>89</v>
      </c>
      <c r="G206" s="4" t="s">
        <v>577</v>
      </c>
      <c r="H206" s="4" t="s">
        <v>575</v>
      </c>
      <c r="I206" s="7">
        <v>0.19819999999999999</v>
      </c>
      <c r="J206" s="7">
        <v>0.19819999999999999</v>
      </c>
      <c r="K206" s="7">
        <v>2.5999999999999999E-3</v>
      </c>
      <c r="L206" s="7">
        <v>0.20200000000000001</v>
      </c>
      <c r="M206" s="7">
        <v>0.19409999999999999</v>
      </c>
      <c r="N206" s="7">
        <v>-0.64</v>
      </c>
      <c r="O206" s="4"/>
      <c r="P206" s="7">
        <v>1.2569999999999999</v>
      </c>
      <c r="T206" s="7">
        <v>60.2</v>
      </c>
      <c r="U206" s="7">
        <v>562</v>
      </c>
      <c r="V206" s="7">
        <v>754.1</v>
      </c>
      <c r="W206" s="4" t="s">
        <v>16</v>
      </c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22">
        <v>108</v>
      </c>
      <c r="BB206" s="4"/>
      <c r="BC206" s="4"/>
      <c r="BD206" s="22">
        <v>24.4</v>
      </c>
      <c r="BE206" s="14">
        <v>1009</v>
      </c>
      <c r="BF206" s="61">
        <v>59</v>
      </c>
      <c r="BG206" s="15">
        <v>1.1739999999999999</v>
      </c>
      <c r="BH206" s="4">
        <v>2096</v>
      </c>
      <c r="BI206" s="4"/>
      <c r="BJ206" s="3" t="s">
        <v>229</v>
      </c>
      <c r="BK206" s="7"/>
      <c r="BL206"/>
      <c r="BM206"/>
      <c r="BR206"/>
    </row>
    <row r="207" spans="1:70" ht="28.5" x14ac:dyDescent="0.45">
      <c r="A207" s="2" t="s">
        <v>13</v>
      </c>
      <c r="B207" s="54" t="s">
        <v>219</v>
      </c>
      <c r="C207" s="3">
        <v>45250</v>
      </c>
      <c r="D207" s="8">
        <v>5</v>
      </c>
      <c r="E207" s="2" t="s">
        <v>220</v>
      </c>
      <c r="F207" s="4" t="s">
        <v>15</v>
      </c>
      <c r="G207" s="4" t="s">
        <v>577</v>
      </c>
      <c r="H207" s="4" t="s">
        <v>575</v>
      </c>
      <c r="I207" s="7">
        <v>0.20569999999999999</v>
      </c>
      <c r="J207" s="7">
        <v>0.20569999999999999</v>
      </c>
      <c r="K207" s="7">
        <v>2.3E-3</v>
      </c>
      <c r="L207" s="7">
        <v>0.20399999999999999</v>
      </c>
      <c r="M207" s="7">
        <v>0.19750000000000001</v>
      </c>
      <c r="N207" s="7">
        <v>-0.72</v>
      </c>
      <c r="O207" s="4"/>
      <c r="P207" s="7">
        <v>1.2569999999999999</v>
      </c>
      <c r="T207" s="7">
        <v>59.9</v>
      </c>
      <c r="U207" s="7">
        <v>556</v>
      </c>
      <c r="V207" s="7">
        <v>754.2</v>
      </c>
      <c r="W207" s="4" t="s">
        <v>16</v>
      </c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22">
        <v>108</v>
      </c>
      <c r="BB207" s="4"/>
      <c r="BC207" s="4"/>
      <c r="BD207" s="22">
        <v>24.6</v>
      </c>
      <c r="BE207" s="14">
        <v>1009</v>
      </c>
      <c r="BF207" s="61">
        <v>60</v>
      </c>
      <c r="BG207" s="15">
        <v>1.173</v>
      </c>
      <c r="BH207" s="4">
        <v>2096</v>
      </c>
      <c r="BI207" s="4"/>
      <c r="BJ207" s="3" t="s">
        <v>230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219</v>
      </c>
      <c r="C208" s="3">
        <v>45250</v>
      </c>
      <c r="D208" s="8">
        <v>6</v>
      </c>
      <c r="E208" s="2" t="s">
        <v>220</v>
      </c>
      <c r="F208" s="4" t="s">
        <v>89</v>
      </c>
      <c r="G208" s="4" t="s">
        <v>577</v>
      </c>
      <c r="H208" s="4" t="s">
        <v>575</v>
      </c>
      <c r="I208" s="7">
        <v>0.19750000000000001</v>
      </c>
      <c r="J208" s="7">
        <v>0.19750000000000001</v>
      </c>
      <c r="K208" s="7">
        <v>1.2999999999999999E-3</v>
      </c>
      <c r="L208" s="7">
        <v>0.19900000000000001</v>
      </c>
      <c r="M208" s="7">
        <v>0.191</v>
      </c>
      <c r="N208" s="7">
        <v>-0.69</v>
      </c>
      <c r="O208" s="4"/>
      <c r="P208" s="7">
        <v>1.2569999999999999</v>
      </c>
      <c r="T208" s="7">
        <v>60.6</v>
      </c>
      <c r="U208" s="7">
        <v>561</v>
      </c>
      <c r="V208" s="7">
        <v>754.4</v>
      </c>
      <c r="W208" s="4" t="s">
        <v>16</v>
      </c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22">
        <v>108</v>
      </c>
      <c r="BB208" s="4"/>
      <c r="BC208" s="4"/>
      <c r="BD208" s="22">
        <v>24.9</v>
      </c>
      <c r="BE208" s="14">
        <v>1009</v>
      </c>
      <c r="BF208" s="61">
        <v>58</v>
      </c>
      <c r="BG208" s="15">
        <v>1.171</v>
      </c>
      <c r="BH208" s="4">
        <v>2096</v>
      </c>
      <c r="BI208" s="4"/>
      <c r="BJ208" s="3" t="s">
        <v>231</v>
      </c>
      <c r="BK208" s="7"/>
      <c r="BL208"/>
      <c r="BM208"/>
      <c r="BR208"/>
    </row>
    <row r="209" spans="1:70" x14ac:dyDescent="0.45">
      <c r="A209" s="2" t="s">
        <v>13</v>
      </c>
      <c r="B209" s="54" t="s">
        <v>219</v>
      </c>
      <c r="C209" s="3">
        <v>45250</v>
      </c>
      <c r="D209" s="8">
        <v>7</v>
      </c>
      <c r="E209" s="2" t="s">
        <v>221</v>
      </c>
      <c r="F209" s="4" t="s">
        <v>89</v>
      </c>
      <c r="G209" s="4" t="s">
        <v>577</v>
      </c>
      <c r="H209" s="4" t="s">
        <v>575</v>
      </c>
      <c r="I209" s="7">
        <v>0.1996</v>
      </c>
      <c r="J209" s="7">
        <v>0.1996</v>
      </c>
      <c r="K209" s="7">
        <v>8.9999999999999998E-4</v>
      </c>
      <c r="L209" s="7">
        <v>0.20300000000000001</v>
      </c>
      <c r="M209" s="7">
        <v>0.19070000000000001</v>
      </c>
      <c r="N209" s="7">
        <v>-0.76</v>
      </c>
      <c r="O209" s="4"/>
      <c r="P209" s="7">
        <v>1.2569999999999999</v>
      </c>
      <c r="T209" s="7">
        <v>61</v>
      </c>
      <c r="U209" s="7">
        <v>570</v>
      </c>
      <c r="V209" s="7">
        <v>754.5</v>
      </c>
      <c r="W209" s="4" t="s">
        <v>16</v>
      </c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22">
        <v>108</v>
      </c>
      <c r="BB209" s="4"/>
      <c r="BC209" s="4"/>
      <c r="BD209" s="22">
        <v>25</v>
      </c>
      <c r="BE209" s="14">
        <v>1009</v>
      </c>
      <c r="BF209" s="61">
        <v>58</v>
      </c>
      <c r="BG209" s="15">
        <v>1.171</v>
      </c>
      <c r="BH209" s="4">
        <v>2096</v>
      </c>
      <c r="BI209" s="4"/>
      <c r="BJ209" s="3"/>
      <c r="BK209" s="7"/>
      <c r="BL209"/>
      <c r="BM209"/>
      <c r="BR209"/>
    </row>
    <row r="210" spans="1:70" ht="28.5" x14ac:dyDescent="0.45">
      <c r="A210" s="2" t="s">
        <v>13</v>
      </c>
      <c r="B210" s="54" t="s">
        <v>219</v>
      </c>
      <c r="C210" s="3">
        <v>45250</v>
      </c>
      <c r="D210" s="8">
        <v>8</v>
      </c>
      <c r="E210" s="2" t="s">
        <v>222</v>
      </c>
      <c r="F210" s="4" t="s">
        <v>89</v>
      </c>
      <c r="G210" s="4" t="s">
        <v>577</v>
      </c>
      <c r="H210" s="4" t="s">
        <v>575</v>
      </c>
      <c r="I210" s="7">
        <v>0.19550000000000001</v>
      </c>
      <c r="J210" s="7">
        <v>0.19550000000000001</v>
      </c>
      <c r="K210" s="7">
        <v>1.9E-3</v>
      </c>
      <c r="L210" s="7">
        <v>0.20100000000000001</v>
      </c>
      <c r="M210" s="7">
        <v>0.19040000000000001</v>
      </c>
      <c r="N210" s="7">
        <v>-0.61</v>
      </c>
      <c r="O210" s="4"/>
      <c r="P210" s="7">
        <v>1.2569999999999999</v>
      </c>
      <c r="T210" s="7">
        <v>61</v>
      </c>
      <c r="U210" s="7">
        <v>570</v>
      </c>
      <c r="V210" s="7">
        <v>754.2</v>
      </c>
      <c r="W210" s="4" t="s">
        <v>16</v>
      </c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22">
        <v>108</v>
      </c>
      <c r="BB210" s="4"/>
      <c r="BC210" s="4"/>
      <c r="BD210" s="22">
        <v>25.2</v>
      </c>
      <c r="BE210" s="14">
        <v>1009</v>
      </c>
      <c r="BF210" s="61">
        <v>58</v>
      </c>
      <c r="BG210" s="15">
        <v>1.17</v>
      </c>
      <c r="BH210" s="4">
        <v>2096</v>
      </c>
      <c r="BI210" s="4"/>
      <c r="BJ210" s="3" t="s">
        <v>232</v>
      </c>
      <c r="BK210" s="7"/>
      <c r="BL210"/>
      <c r="BM210"/>
      <c r="BR210"/>
    </row>
    <row r="211" spans="1:70" ht="28.5" x14ac:dyDescent="0.45">
      <c r="A211" s="2" t="s">
        <v>13</v>
      </c>
      <c r="B211" s="54" t="s">
        <v>26</v>
      </c>
      <c r="C211" s="3">
        <v>45250</v>
      </c>
      <c r="D211" s="8">
        <v>1</v>
      </c>
      <c r="E211" s="2" t="s">
        <v>212</v>
      </c>
      <c r="F211" s="4" t="s">
        <v>15</v>
      </c>
      <c r="G211" s="4" t="s">
        <v>577</v>
      </c>
      <c r="H211" s="4" t="s">
        <v>223</v>
      </c>
      <c r="I211" s="7">
        <v>0.1716</v>
      </c>
      <c r="J211" s="7">
        <v>0.1716</v>
      </c>
      <c r="K211" s="7">
        <v>5.1000000000000004E-3</v>
      </c>
      <c r="L211" s="7">
        <v>0.17399999999999999</v>
      </c>
      <c r="M211" s="7">
        <v>0.17330000000000001</v>
      </c>
      <c r="N211" s="7">
        <v>-0.5</v>
      </c>
      <c r="O211" s="4"/>
      <c r="P211" s="7">
        <v>1.2645</v>
      </c>
      <c r="T211" s="7">
        <v>63.7</v>
      </c>
      <c r="U211" s="7">
        <v>594</v>
      </c>
      <c r="V211" s="7">
        <v>757.2</v>
      </c>
      <c r="W211" s="4" t="s">
        <v>224</v>
      </c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22">
        <v>117</v>
      </c>
      <c r="BB211" s="4"/>
      <c r="BC211" s="4"/>
      <c r="BD211" s="22">
        <v>24</v>
      </c>
      <c r="BE211" s="14">
        <v>1009</v>
      </c>
      <c r="BF211" s="61">
        <v>62</v>
      </c>
      <c r="BG211" s="15">
        <v>1.175</v>
      </c>
      <c r="BH211" s="4">
        <v>2096</v>
      </c>
      <c r="BI211" s="4"/>
      <c r="BJ211" s="3" t="s">
        <v>233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26</v>
      </c>
      <c r="C212" s="3">
        <v>45250</v>
      </c>
      <c r="D212" s="8">
        <v>2</v>
      </c>
      <c r="E212" s="2" t="s">
        <v>213</v>
      </c>
      <c r="F212" s="4" t="s">
        <v>15</v>
      </c>
      <c r="G212" s="4" t="s">
        <v>577</v>
      </c>
      <c r="H212" s="4" t="s">
        <v>223</v>
      </c>
      <c r="I212" s="7">
        <v>0.17069999999999999</v>
      </c>
      <c r="J212" s="7">
        <v>0.17069999999999999</v>
      </c>
      <c r="K212" s="7">
        <v>4.7000000000000002E-3</v>
      </c>
      <c r="L212" s="7">
        <v>0.17100000000000001</v>
      </c>
      <c r="N212" s="7">
        <v>-0.59</v>
      </c>
      <c r="O212" s="4"/>
      <c r="P212" s="7">
        <v>1.2645</v>
      </c>
      <c r="W212" s="4" t="s">
        <v>224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22">
        <v>117</v>
      </c>
      <c r="BB212" s="4"/>
      <c r="BC212" s="4"/>
      <c r="BD212" s="22">
        <v>24.1</v>
      </c>
      <c r="BE212" s="14">
        <v>1009</v>
      </c>
      <c r="BF212" s="61">
        <v>61</v>
      </c>
      <c r="BG212" s="15">
        <v>1.175</v>
      </c>
      <c r="BH212" s="4">
        <v>2096</v>
      </c>
      <c r="BI212" s="4" t="s">
        <v>225</v>
      </c>
      <c r="BJ212" s="3" t="s">
        <v>234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26</v>
      </c>
      <c r="C213" s="3">
        <v>45250</v>
      </c>
      <c r="D213" s="8">
        <v>3</v>
      </c>
      <c r="E213" s="2" t="s">
        <v>214</v>
      </c>
      <c r="F213" s="4" t="s">
        <v>15</v>
      </c>
      <c r="G213" s="4" t="s">
        <v>577</v>
      </c>
      <c r="H213" s="4" t="s">
        <v>223</v>
      </c>
      <c r="I213" s="7">
        <v>0.17349999999999999</v>
      </c>
      <c r="J213" s="7">
        <v>0.17349999999999999</v>
      </c>
      <c r="K213" s="7">
        <v>1.5E-3</v>
      </c>
      <c r="L213" s="7">
        <v>0.17299999999999999</v>
      </c>
      <c r="M213" s="7">
        <v>0.1694</v>
      </c>
      <c r="N213" s="7">
        <v>-0.65</v>
      </c>
      <c r="O213" s="4"/>
      <c r="P213" s="7">
        <v>1.2645</v>
      </c>
      <c r="T213" s="7">
        <v>63</v>
      </c>
      <c r="U213" s="7">
        <v>564</v>
      </c>
      <c r="V213" s="7">
        <v>757.5</v>
      </c>
      <c r="W213" s="4" t="s">
        <v>224</v>
      </c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22">
        <v>117</v>
      </c>
      <c r="BB213" s="4"/>
      <c r="BC213" s="4"/>
      <c r="BD213" s="22">
        <v>24.2</v>
      </c>
      <c r="BE213" s="14">
        <v>1009</v>
      </c>
      <c r="BF213" s="61">
        <v>60</v>
      </c>
      <c r="BG213" s="15">
        <v>1.1739999999999999</v>
      </c>
      <c r="BH213" s="4">
        <v>2096</v>
      </c>
      <c r="BI213" s="4"/>
      <c r="BJ213" s="3" t="s">
        <v>235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26</v>
      </c>
      <c r="C214" s="3">
        <v>45250</v>
      </c>
      <c r="D214" s="8">
        <v>4</v>
      </c>
      <c r="E214" s="2" t="s">
        <v>212</v>
      </c>
      <c r="F214" s="4" t="s">
        <v>15</v>
      </c>
      <c r="G214" s="4" t="s">
        <v>577</v>
      </c>
      <c r="H214" s="4" t="s">
        <v>223</v>
      </c>
      <c r="I214" s="7">
        <v>0.1731</v>
      </c>
      <c r="J214" s="7">
        <v>0.1731</v>
      </c>
      <c r="K214" s="7">
        <v>4.7999999999999996E-3</v>
      </c>
      <c r="L214" s="7">
        <v>0.17499999999999999</v>
      </c>
      <c r="M214" s="7">
        <v>0.1739</v>
      </c>
      <c r="N214" s="7">
        <v>-0.53</v>
      </c>
      <c r="O214" s="4"/>
      <c r="P214" s="7">
        <v>1.2645</v>
      </c>
      <c r="T214" s="7">
        <v>63</v>
      </c>
      <c r="U214" s="7">
        <v>570</v>
      </c>
      <c r="V214" s="7">
        <v>755.8</v>
      </c>
      <c r="W214" s="4" t="s">
        <v>224</v>
      </c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22">
        <v>117</v>
      </c>
      <c r="BB214" s="4"/>
      <c r="BC214" s="4"/>
      <c r="BD214" s="22">
        <v>24.6</v>
      </c>
      <c r="BE214" s="14">
        <v>1009</v>
      </c>
      <c r="BF214" s="61">
        <v>60</v>
      </c>
      <c r="BG214" s="15">
        <v>1.173</v>
      </c>
      <c r="BH214" s="4">
        <v>2096</v>
      </c>
      <c r="BI214" s="4"/>
      <c r="BJ214" s="3" t="s">
        <v>236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26</v>
      </c>
      <c r="C215" s="3">
        <v>45250</v>
      </c>
      <c r="D215" s="8">
        <v>5</v>
      </c>
      <c r="E215" s="2" t="s">
        <v>213</v>
      </c>
      <c r="F215" s="4" t="s">
        <v>15</v>
      </c>
      <c r="G215" s="4" t="s">
        <v>577</v>
      </c>
      <c r="H215" s="4" t="s">
        <v>223</v>
      </c>
      <c r="I215" s="7">
        <v>0.1754</v>
      </c>
      <c r="J215" s="7">
        <v>0.1754</v>
      </c>
      <c r="K215" s="7">
        <v>3.3999999999999998E-3</v>
      </c>
      <c r="L215" s="7">
        <v>0.17399999999999999</v>
      </c>
      <c r="M215" s="7">
        <v>0.17150000000000001</v>
      </c>
      <c r="N215" s="7">
        <v>-0.61</v>
      </c>
      <c r="O215" s="4"/>
      <c r="P215" s="7">
        <v>1.2645</v>
      </c>
      <c r="T215" s="7">
        <v>63.7</v>
      </c>
      <c r="U215" s="7">
        <v>575</v>
      </c>
      <c r="V215" s="7">
        <v>756.3</v>
      </c>
      <c r="W215" s="4" t="s">
        <v>224</v>
      </c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22">
        <v>117</v>
      </c>
      <c r="BB215" s="4"/>
      <c r="BC215" s="4"/>
      <c r="BD215" s="22">
        <v>24.6</v>
      </c>
      <c r="BE215" s="14">
        <v>1009</v>
      </c>
      <c r="BF215" s="61">
        <v>60</v>
      </c>
      <c r="BG215" s="15">
        <v>1.173</v>
      </c>
      <c r="BH215" s="4">
        <v>2096</v>
      </c>
      <c r="BI215" s="4"/>
      <c r="BJ215" s="3" t="s">
        <v>237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26</v>
      </c>
      <c r="C216" s="3">
        <v>45250</v>
      </c>
      <c r="D216" s="8">
        <v>6</v>
      </c>
      <c r="E216" s="2" t="s">
        <v>214</v>
      </c>
      <c r="F216" s="4" t="s">
        <v>89</v>
      </c>
      <c r="G216" s="4" t="s">
        <v>577</v>
      </c>
      <c r="H216" s="4" t="s">
        <v>223</v>
      </c>
      <c r="I216" s="7">
        <v>0.17180000000000001</v>
      </c>
      <c r="J216" s="7">
        <v>0.17180000000000001</v>
      </c>
      <c r="K216" s="7">
        <v>4.1999999999999997E-3</v>
      </c>
      <c r="L216" s="7">
        <v>0.17599999999999999</v>
      </c>
      <c r="M216" s="7">
        <v>0.17030000000000001</v>
      </c>
      <c r="N216" s="7">
        <v>-0.72</v>
      </c>
      <c r="O216" s="4"/>
      <c r="P216" s="7">
        <v>1.2645</v>
      </c>
      <c r="T216" s="7">
        <v>63.1</v>
      </c>
      <c r="U216" s="7">
        <v>552</v>
      </c>
      <c r="V216" s="7">
        <v>757.2</v>
      </c>
      <c r="W216" s="4" t="s">
        <v>224</v>
      </c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22">
        <v>117</v>
      </c>
      <c r="BB216" s="4"/>
      <c r="BC216" s="4"/>
      <c r="BD216" s="22">
        <v>24.9</v>
      </c>
      <c r="BE216" s="14">
        <v>1009</v>
      </c>
      <c r="BF216" s="61">
        <v>58</v>
      </c>
      <c r="BG216" s="15">
        <v>1.171</v>
      </c>
      <c r="BH216" s="4">
        <v>2096</v>
      </c>
      <c r="BI216" s="4"/>
      <c r="BJ216" s="3" t="s">
        <v>238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45250</v>
      </c>
      <c r="D217" s="8">
        <v>1</v>
      </c>
      <c r="E217" s="2" t="s">
        <v>214</v>
      </c>
      <c r="F217" s="4" t="s">
        <v>15</v>
      </c>
      <c r="G217" s="4" t="s">
        <v>577</v>
      </c>
      <c r="H217" s="4" t="s">
        <v>571</v>
      </c>
      <c r="I217" s="7">
        <v>0.158</v>
      </c>
      <c r="J217" s="7">
        <v>0.158</v>
      </c>
      <c r="K217" s="7">
        <v>1.9E-3</v>
      </c>
      <c r="L217" s="7">
        <v>0.16300000000000001</v>
      </c>
      <c r="M217" s="7">
        <v>0.15820000000000001</v>
      </c>
      <c r="N217" s="7">
        <v>-0.55000000000000004</v>
      </c>
      <c r="O217" s="4"/>
      <c r="P217" s="7">
        <v>1.272</v>
      </c>
      <c r="T217" s="7">
        <v>65.099999999999994</v>
      </c>
      <c r="U217" s="7">
        <v>580</v>
      </c>
      <c r="V217" s="7">
        <v>755.8</v>
      </c>
      <c r="W217" s="4" t="s">
        <v>224</v>
      </c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22">
        <v>117</v>
      </c>
      <c r="BB217" s="4"/>
      <c r="BC217" s="4"/>
      <c r="BD217" s="22">
        <v>23.8</v>
      </c>
      <c r="BE217" s="14">
        <v>1009</v>
      </c>
      <c r="BF217" s="61">
        <v>61</v>
      </c>
      <c r="BG217" s="15">
        <v>1.1759999999999999</v>
      </c>
      <c r="BH217" s="4">
        <v>2096</v>
      </c>
      <c r="BI217" s="4"/>
      <c r="BJ217" s="3" t="s">
        <v>239</v>
      </c>
      <c r="BK217" s="7"/>
      <c r="BL217"/>
      <c r="BM217"/>
      <c r="BR217"/>
    </row>
    <row r="218" spans="1:70" ht="28.5" x14ac:dyDescent="0.45">
      <c r="A218" s="2" t="s">
        <v>13</v>
      </c>
      <c r="B218" s="54" t="s">
        <v>28</v>
      </c>
      <c r="C218" s="3">
        <v>45250</v>
      </c>
      <c r="D218" s="8">
        <v>2</v>
      </c>
      <c r="E218" s="2" t="s">
        <v>214</v>
      </c>
      <c r="F218" s="4" t="s">
        <v>561</v>
      </c>
      <c r="G218" s="4" t="s">
        <v>577</v>
      </c>
      <c r="H218" s="4" t="s">
        <v>571</v>
      </c>
      <c r="I218" s="7">
        <v>0.1613</v>
      </c>
      <c r="J218" s="7">
        <v>0.1613</v>
      </c>
      <c r="K218" s="7">
        <v>2.8999999999999998E-3</v>
      </c>
      <c r="L218" s="7">
        <v>0.16500000000000001</v>
      </c>
      <c r="M218" s="7">
        <v>0.1608</v>
      </c>
      <c r="N218" s="7">
        <v>-0.62</v>
      </c>
      <c r="O218" s="4"/>
      <c r="P218" s="7">
        <v>1.272</v>
      </c>
      <c r="T218" s="7">
        <v>65.7</v>
      </c>
      <c r="U218" s="7">
        <v>604</v>
      </c>
      <c r="V218" s="7">
        <v>754.8</v>
      </c>
      <c r="W218" s="4" t="s">
        <v>224</v>
      </c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22">
        <v>117</v>
      </c>
      <c r="BB218" s="4"/>
      <c r="BC218" s="4"/>
      <c r="BD218" s="22">
        <v>24</v>
      </c>
      <c r="BE218" s="14">
        <v>1009</v>
      </c>
      <c r="BF218" s="61">
        <v>62</v>
      </c>
      <c r="BG218" s="15">
        <v>1.175</v>
      </c>
      <c r="BH218" s="4">
        <v>2096</v>
      </c>
      <c r="BI218" s="4"/>
      <c r="BJ218" s="3" t="s">
        <v>240</v>
      </c>
      <c r="BK218" s="7"/>
      <c r="BL218"/>
      <c r="BM218"/>
      <c r="BR218"/>
    </row>
    <row r="219" spans="1:70" ht="28.5" x14ac:dyDescent="0.45">
      <c r="A219" s="2" t="s">
        <v>13</v>
      </c>
      <c r="B219" s="54" t="s">
        <v>28</v>
      </c>
      <c r="C219" s="3">
        <v>45250</v>
      </c>
      <c r="D219" s="8">
        <v>3</v>
      </c>
      <c r="E219" s="2" t="s">
        <v>214</v>
      </c>
      <c r="F219" s="4" t="s">
        <v>568</v>
      </c>
      <c r="G219" s="4" t="s">
        <v>577</v>
      </c>
      <c r="H219" s="4" t="s">
        <v>571</v>
      </c>
      <c r="I219" s="7">
        <v>0.15959999999999999</v>
      </c>
      <c r="J219" s="7">
        <v>0.15959999999999999</v>
      </c>
      <c r="K219" s="7">
        <v>2.3E-3</v>
      </c>
      <c r="L219" s="7">
        <v>0.16200000000000001</v>
      </c>
      <c r="M219" s="7">
        <v>0.15920000000000001</v>
      </c>
      <c r="N219" s="7">
        <v>-0.57999999999999996</v>
      </c>
      <c r="O219" s="4"/>
      <c r="P219" s="7">
        <v>1.272</v>
      </c>
      <c r="T219" s="7">
        <v>66.5</v>
      </c>
      <c r="U219" s="7">
        <v>621</v>
      </c>
      <c r="V219" s="7">
        <v>755.5</v>
      </c>
      <c r="W219" s="4" t="s">
        <v>224</v>
      </c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22">
        <v>117</v>
      </c>
      <c r="BB219" s="4"/>
      <c r="BC219" s="4"/>
      <c r="BD219" s="22">
        <v>24.1</v>
      </c>
      <c r="BE219" s="14">
        <v>1009</v>
      </c>
      <c r="BF219" s="61">
        <v>61</v>
      </c>
      <c r="BG219" s="15">
        <v>1.175</v>
      </c>
      <c r="BH219" s="4">
        <v>2096</v>
      </c>
      <c r="BI219" s="4"/>
      <c r="BJ219" s="3" t="s">
        <v>241</v>
      </c>
      <c r="BK219" s="7"/>
      <c r="BL219"/>
      <c r="BM219"/>
      <c r="BR219"/>
    </row>
    <row r="220" spans="1:70" ht="28.5" x14ac:dyDescent="0.45">
      <c r="A220" s="2" t="s">
        <v>13</v>
      </c>
      <c r="B220" s="54" t="s">
        <v>28</v>
      </c>
      <c r="C220" s="3">
        <v>45250</v>
      </c>
      <c r="D220" s="8">
        <v>4</v>
      </c>
      <c r="E220" s="2" t="s">
        <v>214</v>
      </c>
      <c r="F220" s="4" t="s">
        <v>89</v>
      </c>
      <c r="G220" s="4" t="s">
        <v>577</v>
      </c>
      <c r="H220" s="4" t="s">
        <v>571</v>
      </c>
      <c r="I220" s="7">
        <v>0.15890000000000001</v>
      </c>
      <c r="J220" s="7">
        <v>0.15890000000000001</v>
      </c>
      <c r="K220" s="7">
        <v>4.3E-3</v>
      </c>
      <c r="L220" s="7">
        <v>0.16300000000000001</v>
      </c>
      <c r="M220" s="7">
        <v>0.15820000000000001</v>
      </c>
      <c r="N220" s="7">
        <v>-0.56999999999999995</v>
      </c>
      <c r="O220" s="4"/>
      <c r="P220" s="7">
        <v>1.272</v>
      </c>
      <c r="T220" s="7">
        <v>65.8</v>
      </c>
      <c r="U220" s="7">
        <v>603</v>
      </c>
      <c r="V220" s="7">
        <v>755.3</v>
      </c>
      <c r="W220" s="4" t="s">
        <v>224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22">
        <v>117</v>
      </c>
      <c r="BB220" s="4"/>
      <c r="BC220" s="4"/>
      <c r="BD220" s="22">
        <v>24.4</v>
      </c>
      <c r="BE220" s="14">
        <v>1009</v>
      </c>
      <c r="BF220" s="61">
        <v>59</v>
      </c>
      <c r="BG220" s="15">
        <v>1.1739999999999999</v>
      </c>
      <c r="BH220" s="4">
        <v>2096</v>
      </c>
      <c r="BI220" s="4"/>
      <c r="BJ220" s="3" t="s">
        <v>242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45250</v>
      </c>
      <c r="D221" s="8">
        <v>5</v>
      </c>
      <c r="E221" s="2" t="s">
        <v>214</v>
      </c>
      <c r="F221" s="4" t="s">
        <v>15</v>
      </c>
      <c r="G221" s="4" t="s">
        <v>577</v>
      </c>
      <c r="H221" s="4" t="s">
        <v>571</v>
      </c>
      <c r="I221" s="7">
        <v>0.15859999999999999</v>
      </c>
      <c r="J221" s="7">
        <v>0.15859999999999999</v>
      </c>
      <c r="K221" s="7">
        <v>2.8E-3</v>
      </c>
      <c r="L221" s="7">
        <v>0.161</v>
      </c>
      <c r="M221" s="7">
        <v>0.15790000000000001</v>
      </c>
      <c r="N221" s="7">
        <v>-0.57999999999999996</v>
      </c>
      <c r="O221" s="4"/>
      <c r="P221" s="7">
        <v>1.272</v>
      </c>
      <c r="T221" s="7">
        <v>65.8</v>
      </c>
      <c r="U221" s="7">
        <v>594</v>
      </c>
      <c r="V221" s="7">
        <v>755.4</v>
      </c>
      <c r="W221" s="4" t="s">
        <v>224</v>
      </c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22">
        <v>117</v>
      </c>
      <c r="BB221" s="4"/>
      <c r="BC221" s="4"/>
      <c r="BD221" s="22">
        <v>24.6</v>
      </c>
      <c r="BE221" s="14">
        <v>1009</v>
      </c>
      <c r="BF221" s="61">
        <v>60</v>
      </c>
      <c r="BG221" s="15">
        <v>1.173</v>
      </c>
      <c r="BH221" s="4">
        <v>2096</v>
      </c>
      <c r="BI221" s="4"/>
      <c r="BJ221" s="3" t="s">
        <v>243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45250</v>
      </c>
      <c r="D222" s="8">
        <v>6</v>
      </c>
      <c r="E222" s="2" t="s">
        <v>214</v>
      </c>
      <c r="F222" s="4" t="s">
        <v>561</v>
      </c>
      <c r="G222" s="4" t="s">
        <v>577</v>
      </c>
      <c r="H222" s="4" t="s">
        <v>571</v>
      </c>
      <c r="I222" s="7">
        <v>0.15959999999999999</v>
      </c>
      <c r="J222" s="7">
        <v>0.15959999999999999</v>
      </c>
      <c r="K222" s="7">
        <v>1.6999999999999999E-3</v>
      </c>
      <c r="L222" s="7">
        <v>0.159</v>
      </c>
      <c r="M222" s="7">
        <v>0.1605</v>
      </c>
      <c r="N222" s="7">
        <v>-0.57999999999999996</v>
      </c>
      <c r="O222" s="4"/>
      <c r="P222" s="7">
        <v>1.272</v>
      </c>
      <c r="T222" s="7">
        <v>66</v>
      </c>
      <c r="U222" s="7">
        <v>592</v>
      </c>
      <c r="V222" s="7">
        <v>754.9</v>
      </c>
      <c r="W222" s="4" t="s">
        <v>224</v>
      </c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22">
        <v>117</v>
      </c>
      <c r="BB222" s="4"/>
      <c r="BC222" s="4"/>
      <c r="BD222" s="22">
        <v>24.9</v>
      </c>
      <c r="BE222" s="14">
        <v>1009</v>
      </c>
      <c r="BF222" s="61">
        <v>58</v>
      </c>
      <c r="BG222" s="15">
        <v>1.171</v>
      </c>
      <c r="BH222" s="4">
        <v>2096</v>
      </c>
      <c r="BI222" s="4"/>
      <c r="BJ222" s="3" t="s">
        <v>244</v>
      </c>
      <c r="BK222" s="7"/>
      <c r="BL222"/>
      <c r="BM222"/>
      <c r="BR222"/>
    </row>
    <row r="223" spans="1:70" ht="28.5" x14ac:dyDescent="0.45">
      <c r="A223" s="2" t="s">
        <v>13</v>
      </c>
      <c r="B223" s="54" t="s">
        <v>28</v>
      </c>
      <c r="C223" s="3">
        <v>45250</v>
      </c>
      <c r="D223" s="8">
        <v>7</v>
      </c>
      <c r="E223" s="2" t="s">
        <v>214</v>
      </c>
      <c r="F223" s="4" t="s">
        <v>568</v>
      </c>
      <c r="G223" s="4" t="s">
        <v>577</v>
      </c>
      <c r="H223" s="4" t="s">
        <v>571</v>
      </c>
      <c r="I223" s="7">
        <v>0.15570000000000001</v>
      </c>
      <c r="J223" s="7">
        <v>0.15570000000000001</v>
      </c>
      <c r="K223" s="7">
        <v>1.6999999999999999E-3</v>
      </c>
      <c r="L223" s="7">
        <v>0.16</v>
      </c>
      <c r="M223" s="7">
        <v>0.15609999999999999</v>
      </c>
      <c r="N223" s="7">
        <v>-0.56000000000000005</v>
      </c>
      <c r="O223" s="4"/>
      <c r="P223" s="7">
        <v>1.272</v>
      </c>
      <c r="T223" s="7">
        <v>66</v>
      </c>
      <c r="U223" s="7">
        <v>595</v>
      </c>
      <c r="V223" s="7">
        <v>755.1</v>
      </c>
      <c r="W223" s="4" t="s">
        <v>224</v>
      </c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22">
        <v>117</v>
      </c>
      <c r="BB223" s="4"/>
      <c r="BC223" s="4"/>
      <c r="BD223" s="22">
        <v>25</v>
      </c>
      <c r="BE223" s="14">
        <v>1009</v>
      </c>
      <c r="BF223" s="61">
        <v>58</v>
      </c>
      <c r="BG223" s="15">
        <v>1.171</v>
      </c>
      <c r="BH223" s="4">
        <v>2096</v>
      </c>
      <c r="BI223" s="4"/>
      <c r="BJ223" s="3" t="s">
        <v>245</v>
      </c>
      <c r="BK223" s="7"/>
      <c r="BL223"/>
      <c r="BM223"/>
      <c r="BR223"/>
    </row>
    <row r="224" spans="1:70" ht="28.5" x14ac:dyDescent="0.45">
      <c r="A224" s="2" t="s">
        <v>13</v>
      </c>
      <c r="B224" s="54" t="s">
        <v>28</v>
      </c>
      <c r="C224" s="3">
        <v>45250</v>
      </c>
      <c r="D224" s="8">
        <v>8</v>
      </c>
      <c r="E224" s="2" t="s">
        <v>214</v>
      </c>
      <c r="F224" s="4" t="s">
        <v>89</v>
      </c>
      <c r="G224" s="4" t="s">
        <v>577</v>
      </c>
      <c r="H224" s="4" t="s">
        <v>571</v>
      </c>
      <c r="I224" s="7">
        <v>0.1547</v>
      </c>
      <c r="J224" s="7">
        <v>0.1547</v>
      </c>
      <c r="K224" s="7">
        <v>1.1999999999999999E-3</v>
      </c>
      <c r="L224" s="7">
        <v>0.161</v>
      </c>
      <c r="M224" s="7">
        <v>0.15490000000000001</v>
      </c>
      <c r="N224" s="7">
        <v>-0.53</v>
      </c>
      <c r="O224" s="4"/>
      <c r="P224" s="7">
        <v>1.272</v>
      </c>
      <c r="T224" s="7">
        <v>66.3</v>
      </c>
      <c r="U224" s="7">
        <v>607</v>
      </c>
      <c r="V224" s="7">
        <v>755.1</v>
      </c>
      <c r="W224" s="4" t="s">
        <v>224</v>
      </c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22">
        <v>117</v>
      </c>
      <c r="BB224" s="4"/>
      <c r="BC224" s="4"/>
      <c r="BD224" s="22">
        <v>25</v>
      </c>
      <c r="BE224" s="14">
        <v>1009</v>
      </c>
      <c r="BF224" s="61">
        <v>58</v>
      </c>
      <c r="BG224" s="15">
        <v>1.171</v>
      </c>
      <c r="BH224" s="4">
        <v>2096</v>
      </c>
      <c r="BI224" s="4"/>
      <c r="BJ224" s="3" t="s">
        <v>246</v>
      </c>
      <c r="BK224" s="7"/>
      <c r="BL224"/>
      <c r="BM224"/>
      <c r="BR224"/>
    </row>
    <row r="225" spans="1:70" ht="28.5" x14ac:dyDescent="0.45">
      <c r="A225" s="2" t="s">
        <v>13</v>
      </c>
      <c r="B225" s="54" t="s">
        <v>28</v>
      </c>
      <c r="C225" s="3">
        <v>45250</v>
      </c>
      <c r="D225" s="8">
        <v>9</v>
      </c>
      <c r="E225" s="2" t="s">
        <v>214</v>
      </c>
      <c r="F225" s="4" t="s">
        <v>561</v>
      </c>
      <c r="G225" s="4" t="s">
        <v>577</v>
      </c>
      <c r="H225" s="4" t="s">
        <v>571</v>
      </c>
      <c r="I225" s="7">
        <v>0.15909999999999999</v>
      </c>
      <c r="J225" s="7">
        <v>0.15909999999999999</v>
      </c>
      <c r="K225" s="7">
        <v>3.3999999999999998E-3</v>
      </c>
      <c r="L225" s="7">
        <v>0.159</v>
      </c>
      <c r="M225" s="7">
        <v>0.158</v>
      </c>
      <c r="N225" s="7">
        <v>-0.52</v>
      </c>
      <c r="O225" s="4"/>
      <c r="P225" s="7">
        <v>1.272</v>
      </c>
      <c r="T225" s="7">
        <v>66.3</v>
      </c>
      <c r="U225" s="7">
        <v>603</v>
      </c>
      <c r="V225" s="7">
        <v>755.2</v>
      </c>
      <c r="W225" s="4" t="s">
        <v>224</v>
      </c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22">
        <v>117</v>
      </c>
      <c r="BB225" s="4"/>
      <c r="BC225" s="4"/>
      <c r="BD225" s="22">
        <v>25.2</v>
      </c>
      <c r="BE225" s="14">
        <v>1009</v>
      </c>
      <c r="BF225" s="61">
        <v>58</v>
      </c>
      <c r="BG225" s="15">
        <v>1.17</v>
      </c>
      <c r="BH225" s="4">
        <v>2096</v>
      </c>
      <c r="BI225" s="4"/>
      <c r="BJ225" s="3" t="s">
        <v>247</v>
      </c>
      <c r="BK225" s="7"/>
      <c r="BL225"/>
      <c r="BM225"/>
      <c r="BR225"/>
    </row>
    <row r="226" spans="1:70" ht="28.5" x14ac:dyDescent="0.45">
      <c r="A226" s="2" t="s">
        <v>43</v>
      </c>
      <c r="B226" s="54" t="s">
        <v>44</v>
      </c>
      <c r="C226" s="3">
        <v>45264</v>
      </c>
      <c r="D226" s="8">
        <v>1</v>
      </c>
      <c r="E226" s="2" t="s">
        <v>545</v>
      </c>
      <c r="F226" s="4" t="s">
        <v>329</v>
      </c>
      <c r="G226" s="4" t="s">
        <v>15</v>
      </c>
      <c r="H226" s="4" t="s">
        <v>330</v>
      </c>
      <c r="I226" s="7">
        <v>0.157</v>
      </c>
      <c r="J226" s="7">
        <v>0.157</v>
      </c>
      <c r="K226" s="50">
        <v>1.2999999999999999E-3</v>
      </c>
      <c r="L226" s="7">
        <v>0.16200000000000001</v>
      </c>
      <c r="M226" s="7">
        <v>0.15939999999999999</v>
      </c>
      <c r="N226" s="7">
        <v>-0.33</v>
      </c>
      <c r="O226" s="4"/>
      <c r="P226" s="7">
        <v>1.298</v>
      </c>
      <c r="T226" s="7">
        <v>60.6</v>
      </c>
      <c r="U226" s="7">
        <v>473</v>
      </c>
      <c r="V226" s="7">
        <v>756.1</v>
      </c>
      <c r="W226" s="4" t="s">
        <v>77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22">
        <v>111.6</v>
      </c>
      <c r="BB226" s="2"/>
      <c r="BC226" s="2"/>
      <c r="BD226" s="40">
        <v>24.5</v>
      </c>
      <c r="BE226" s="42">
        <v>1004</v>
      </c>
      <c r="BF226" s="43">
        <v>64</v>
      </c>
      <c r="BG226" s="44">
        <v>1.167</v>
      </c>
      <c r="BH226" s="2">
        <v>2096</v>
      </c>
      <c r="BI226" s="2"/>
      <c r="BJ226" s="3" t="s">
        <v>339</v>
      </c>
      <c r="BK226"/>
      <c r="BL226"/>
      <c r="BM226" s="7"/>
      <c r="BR226"/>
    </row>
    <row r="227" spans="1:70" ht="28.5" x14ac:dyDescent="0.45">
      <c r="A227" s="2" t="s">
        <v>43</v>
      </c>
      <c r="B227" s="54" t="s">
        <v>44</v>
      </c>
      <c r="C227" s="3">
        <v>45264</v>
      </c>
      <c r="D227" s="8">
        <v>2</v>
      </c>
      <c r="E227" s="2" t="s">
        <v>555</v>
      </c>
      <c r="F227" s="4" t="s">
        <v>329</v>
      </c>
      <c r="G227" s="4" t="s">
        <v>15</v>
      </c>
      <c r="H227" s="4" t="s">
        <v>330</v>
      </c>
      <c r="I227" s="7">
        <v>0.16200000000000001</v>
      </c>
      <c r="J227" s="7">
        <v>0.16200000000000001</v>
      </c>
      <c r="K227" s="50">
        <v>5.0000000000000001E-3</v>
      </c>
      <c r="L227" s="7">
        <v>0.161</v>
      </c>
      <c r="M227" s="7">
        <v>0.1603</v>
      </c>
      <c r="N227" s="7">
        <v>-0.39</v>
      </c>
      <c r="O227" s="4"/>
      <c r="P227" s="7">
        <v>1.298</v>
      </c>
      <c r="T227" s="7">
        <v>60.1</v>
      </c>
      <c r="U227" s="7">
        <v>449</v>
      </c>
      <c r="V227" s="7">
        <v>756.8</v>
      </c>
      <c r="W227" s="4" t="s">
        <v>77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22">
        <v>111.6</v>
      </c>
      <c r="BB227" s="2"/>
      <c r="BC227" s="2"/>
      <c r="BD227" s="40">
        <v>24.5</v>
      </c>
      <c r="BE227" s="42">
        <v>1004</v>
      </c>
      <c r="BF227" s="43">
        <v>64</v>
      </c>
      <c r="BG227" s="44">
        <v>1.167</v>
      </c>
      <c r="BH227" s="2">
        <v>2096</v>
      </c>
      <c r="BI227" s="2"/>
      <c r="BJ227" s="3" t="s">
        <v>340</v>
      </c>
      <c r="BK227"/>
      <c r="BL227"/>
      <c r="BM227" s="7"/>
      <c r="BR227"/>
    </row>
    <row r="228" spans="1:70" ht="28.5" x14ac:dyDescent="0.45">
      <c r="A228" s="2" t="s">
        <v>43</v>
      </c>
      <c r="B228" s="54" t="s">
        <v>44</v>
      </c>
      <c r="C228" s="3">
        <v>45264</v>
      </c>
      <c r="D228" s="8">
        <v>3</v>
      </c>
      <c r="E228" s="2" t="s">
        <v>545</v>
      </c>
      <c r="F228" s="4" t="s">
        <v>329</v>
      </c>
      <c r="G228" s="4" t="s">
        <v>15</v>
      </c>
      <c r="H228" s="4" t="s">
        <v>330</v>
      </c>
      <c r="I228" s="7">
        <v>0.16059999999999999</v>
      </c>
      <c r="J228" s="7">
        <v>0.16059999999999999</v>
      </c>
      <c r="K228" s="50">
        <v>2.5000000000000001E-3</v>
      </c>
      <c r="L228" s="7"/>
      <c r="M228" s="7">
        <v>0.16059999999999999</v>
      </c>
      <c r="N228" s="7">
        <v>-0.44</v>
      </c>
      <c r="O228" s="4"/>
      <c r="P228" s="7">
        <v>1.298</v>
      </c>
      <c r="T228" s="7">
        <v>60.4</v>
      </c>
      <c r="U228" s="7">
        <v>464</v>
      </c>
      <c r="V228" s="7">
        <v>756.7</v>
      </c>
      <c r="W228" s="4" t="s">
        <v>77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22">
        <v>111.6</v>
      </c>
      <c r="BB228" s="2"/>
      <c r="BC228" s="2"/>
      <c r="BD228" s="40">
        <v>25</v>
      </c>
      <c r="BE228" s="42">
        <v>1004</v>
      </c>
      <c r="BF228" s="43">
        <v>62</v>
      </c>
      <c r="BG228" s="44">
        <v>1.165</v>
      </c>
      <c r="BH228" s="2">
        <v>2096</v>
      </c>
      <c r="BI228" s="2"/>
      <c r="BJ228" s="3" t="s">
        <v>334</v>
      </c>
      <c r="BK228"/>
      <c r="BL228"/>
      <c r="BM228" s="7"/>
      <c r="BR228"/>
    </row>
    <row r="229" spans="1:70" ht="28.5" x14ac:dyDescent="0.45">
      <c r="A229" s="2" t="s">
        <v>43</v>
      </c>
      <c r="B229" s="54" t="s">
        <v>44</v>
      </c>
      <c r="C229" s="3">
        <v>45264</v>
      </c>
      <c r="D229" s="8">
        <v>4</v>
      </c>
      <c r="E229" s="2" t="s">
        <v>555</v>
      </c>
      <c r="F229" s="4" t="s">
        <v>329</v>
      </c>
      <c r="G229" s="4" t="s">
        <v>15</v>
      </c>
      <c r="H229" s="4" t="s">
        <v>330</v>
      </c>
      <c r="I229" s="7">
        <v>0.1605</v>
      </c>
      <c r="J229" s="7">
        <v>0.1605</v>
      </c>
      <c r="K229" s="50">
        <v>5.8999999999999999E-3</v>
      </c>
      <c r="L229" s="7">
        <v>0.16200000000000001</v>
      </c>
      <c r="M229" s="7">
        <v>0.16270000000000001</v>
      </c>
      <c r="N229" s="7">
        <v>-0.37</v>
      </c>
      <c r="O229" s="4"/>
      <c r="P229" s="7">
        <v>1.298</v>
      </c>
      <c r="T229" s="7">
        <v>60.2</v>
      </c>
      <c r="U229" s="7">
        <v>466</v>
      </c>
      <c r="V229" s="7">
        <v>756.2</v>
      </c>
      <c r="W229" s="4" t="s">
        <v>77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22">
        <v>111.6</v>
      </c>
      <c r="BB229" s="2"/>
      <c r="BC229" s="2"/>
      <c r="BD229" s="40">
        <v>25</v>
      </c>
      <c r="BE229" s="42">
        <v>1004</v>
      </c>
      <c r="BF229" s="43">
        <v>62</v>
      </c>
      <c r="BG229" s="44">
        <v>1.165</v>
      </c>
      <c r="BH229" s="2">
        <v>2096</v>
      </c>
      <c r="BI229" s="2"/>
      <c r="BJ229" s="3" t="s">
        <v>335</v>
      </c>
      <c r="BK229"/>
      <c r="BL229"/>
      <c r="BM229" s="7"/>
      <c r="BR229"/>
    </row>
    <row r="230" spans="1:70" ht="28.5" x14ac:dyDescent="0.45">
      <c r="A230" s="2" t="s">
        <v>43</v>
      </c>
      <c r="B230" s="54" t="s">
        <v>44</v>
      </c>
      <c r="C230" s="3">
        <v>45264</v>
      </c>
      <c r="D230" s="8">
        <v>5</v>
      </c>
      <c r="E230" s="2" t="s">
        <v>551</v>
      </c>
      <c r="F230" s="4" t="s">
        <v>329</v>
      </c>
      <c r="G230" s="4" t="s">
        <v>15</v>
      </c>
      <c r="H230" s="4" t="s">
        <v>330</v>
      </c>
      <c r="I230" s="7">
        <v>0.16220000000000001</v>
      </c>
      <c r="J230" s="7">
        <v>0.16220000000000001</v>
      </c>
      <c r="K230" s="50">
        <v>2.5000000000000001E-3</v>
      </c>
      <c r="L230" s="7">
        <v>0.16300000000000001</v>
      </c>
      <c r="M230" s="7">
        <v>0.16270000000000001</v>
      </c>
      <c r="N230" s="7">
        <v>-0.43</v>
      </c>
      <c r="O230" s="4"/>
      <c r="P230" s="7">
        <v>1.298</v>
      </c>
      <c r="T230" s="7">
        <v>59.9</v>
      </c>
      <c r="U230" s="7">
        <v>460</v>
      </c>
      <c r="V230" s="7">
        <v>756.2</v>
      </c>
      <c r="W230" s="4" t="s">
        <v>77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22">
        <v>111.6</v>
      </c>
      <c r="BB230" s="2"/>
      <c r="BC230" s="2"/>
      <c r="BD230" s="40">
        <v>25.3</v>
      </c>
      <c r="BE230" s="42">
        <v>1004</v>
      </c>
      <c r="BF230" s="43">
        <v>61</v>
      </c>
      <c r="BG230" s="44">
        <v>1.163</v>
      </c>
      <c r="BH230" s="2">
        <v>2096</v>
      </c>
      <c r="BI230" s="2"/>
      <c r="BJ230" s="3" t="s">
        <v>336</v>
      </c>
      <c r="BK230"/>
      <c r="BL230"/>
      <c r="BM230" s="7"/>
      <c r="BR230"/>
    </row>
    <row r="231" spans="1:70" ht="28.5" x14ac:dyDescent="0.45">
      <c r="A231" s="2" t="s">
        <v>43</v>
      </c>
      <c r="B231" s="54" t="s">
        <v>44</v>
      </c>
      <c r="C231" s="3">
        <v>45264</v>
      </c>
      <c r="D231" s="8">
        <v>6</v>
      </c>
      <c r="E231" s="2" t="s">
        <v>545</v>
      </c>
      <c r="F231" s="4" t="s">
        <v>329</v>
      </c>
      <c r="G231" s="4" t="s">
        <v>15</v>
      </c>
      <c r="H231" s="4" t="s">
        <v>330</v>
      </c>
      <c r="I231" s="7">
        <v>0.16250000000000001</v>
      </c>
      <c r="J231" s="7">
        <v>0.16250000000000001</v>
      </c>
      <c r="K231" s="50">
        <v>1.9E-3</v>
      </c>
      <c r="L231" s="7">
        <v>0.16300000000000001</v>
      </c>
      <c r="M231" s="7">
        <v>0.16059999999999999</v>
      </c>
      <c r="N231" s="7">
        <v>-0.48</v>
      </c>
      <c r="O231" s="4"/>
      <c r="P231" s="7">
        <v>1.298</v>
      </c>
      <c r="T231" s="7">
        <v>60.8</v>
      </c>
      <c r="U231" s="7">
        <v>477</v>
      </c>
      <c r="V231" s="7">
        <v>756.9</v>
      </c>
      <c r="W231" s="4" t="s">
        <v>77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22">
        <v>111.6</v>
      </c>
      <c r="BB231" s="2"/>
      <c r="BC231" s="2"/>
      <c r="BD231" s="40">
        <v>25.6</v>
      </c>
      <c r="BE231" s="42">
        <v>1004</v>
      </c>
      <c r="BF231" s="43">
        <v>61</v>
      </c>
      <c r="BG231" s="44">
        <v>1.1619999999999999</v>
      </c>
      <c r="BH231" s="2">
        <v>2096</v>
      </c>
      <c r="BI231" s="2"/>
      <c r="BJ231" s="3" t="s">
        <v>337</v>
      </c>
      <c r="BK231"/>
      <c r="BL231"/>
      <c r="BM231" s="7"/>
      <c r="BR231"/>
    </row>
    <row r="232" spans="1:70" ht="28.5" x14ac:dyDescent="0.45">
      <c r="A232" s="2" t="s">
        <v>43</v>
      </c>
      <c r="B232" s="54" t="s">
        <v>44</v>
      </c>
      <c r="C232" s="3">
        <v>45264</v>
      </c>
      <c r="D232" s="8">
        <v>7</v>
      </c>
      <c r="E232" s="2" t="s">
        <v>551</v>
      </c>
      <c r="F232" s="4" t="s">
        <v>329</v>
      </c>
      <c r="G232" s="4" t="s">
        <v>15</v>
      </c>
      <c r="H232" s="4" t="s">
        <v>330</v>
      </c>
      <c r="I232" s="7">
        <v>0.1595</v>
      </c>
      <c r="J232" s="7">
        <v>0.1595</v>
      </c>
      <c r="K232" s="50">
        <v>2E-3</v>
      </c>
      <c r="L232" s="7">
        <v>0.16300000000000001</v>
      </c>
      <c r="N232" s="7">
        <v>-0.44</v>
      </c>
      <c r="O232" s="4"/>
      <c r="P232" s="7">
        <v>1.298</v>
      </c>
      <c r="T232" s="7">
        <v>61.1</v>
      </c>
      <c r="U232" s="7">
        <v>488</v>
      </c>
      <c r="V232" s="7">
        <v>756.5</v>
      </c>
      <c r="W232" s="4" t="s">
        <v>77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22">
        <v>111.6</v>
      </c>
      <c r="BB232" s="2"/>
      <c r="BC232" s="2"/>
      <c r="BD232" s="40">
        <v>25.6</v>
      </c>
      <c r="BE232" s="42">
        <v>1004</v>
      </c>
      <c r="BF232" s="43">
        <v>61</v>
      </c>
      <c r="BG232" s="44">
        <v>1.1619999999999999</v>
      </c>
      <c r="BH232" s="2">
        <v>2096</v>
      </c>
      <c r="BI232" s="2"/>
      <c r="BJ232" s="3" t="s">
        <v>338</v>
      </c>
      <c r="BK232"/>
      <c r="BL232"/>
      <c r="BM232" s="7"/>
      <c r="BR232"/>
    </row>
    <row r="233" spans="1:70" ht="28.5" x14ac:dyDescent="0.45">
      <c r="A233" s="2" t="s">
        <v>43</v>
      </c>
      <c r="B233" s="54" t="s">
        <v>45</v>
      </c>
      <c r="C233" s="3">
        <v>45264</v>
      </c>
      <c r="D233" s="8">
        <v>1</v>
      </c>
      <c r="E233" s="2" t="s">
        <v>213</v>
      </c>
      <c r="F233" s="4" t="s">
        <v>331</v>
      </c>
      <c r="G233" s="4" t="s">
        <v>578</v>
      </c>
      <c r="H233" s="4" t="s">
        <v>223</v>
      </c>
      <c r="I233" s="7">
        <v>0.15640000000000001</v>
      </c>
      <c r="J233" s="7">
        <v>0.15640000000000001</v>
      </c>
      <c r="K233" s="50">
        <v>2.7000000000000001E-3</v>
      </c>
      <c r="L233" s="7">
        <v>0.157</v>
      </c>
      <c r="M233" s="7">
        <v>0.15570000000000001</v>
      </c>
      <c r="N233" s="7">
        <v>-0.46</v>
      </c>
      <c r="O233" s="4"/>
      <c r="P233" s="7">
        <v>1.2515000000000001</v>
      </c>
      <c r="T233" s="7">
        <v>62.4</v>
      </c>
      <c r="U233" s="7">
        <v>492</v>
      </c>
      <c r="V233" s="7">
        <v>754.3</v>
      </c>
      <c r="W233" s="4" t="s">
        <v>77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22">
        <v>113.4</v>
      </c>
      <c r="BB233" s="2"/>
      <c r="BC233" s="2"/>
      <c r="BD233" s="40">
        <v>24.4</v>
      </c>
      <c r="BE233" s="42">
        <v>1004</v>
      </c>
      <c r="BF233" s="43">
        <v>64</v>
      </c>
      <c r="BG233" s="44">
        <v>1.167</v>
      </c>
      <c r="BH233" s="2">
        <v>2096</v>
      </c>
      <c r="BI233" s="2"/>
      <c r="BJ233" s="38" t="s">
        <v>349</v>
      </c>
      <c r="BK233"/>
      <c r="BL233"/>
      <c r="BM233" s="7"/>
      <c r="BR233"/>
    </row>
    <row r="234" spans="1:70" ht="28.5" x14ac:dyDescent="0.45">
      <c r="A234" s="2" t="s">
        <v>43</v>
      </c>
      <c r="B234" s="54" t="s">
        <v>45</v>
      </c>
      <c r="C234" s="3">
        <v>45264</v>
      </c>
      <c r="D234" s="8">
        <v>2</v>
      </c>
      <c r="E234" s="2" t="s">
        <v>213</v>
      </c>
      <c r="F234" s="4" t="s">
        <v>332</v>
      </c>
      <c r="G234" s="4" t="s">
        <v>578</v>
      </c>
      <c r="H234" s="4" t="s">
        <v>223</v>
      </c>
      <c r="I234" s="7">
        <v>0.15670000000000001</v>
      </c>
      <c r="J234" s="7">
        <v>0.15670000000000001</v>
      </c>
      <c r="K234" s="50">
        <v>3.0999999999999999E-3</v>
      </c>
      <c r="L234" s="7">
        <v>0.158</v>
      </c>
      <c r="M234" s="7">
        <v>0.155</v>
      </c>
      <c r="N234" s="7">
        <v>-0.52</v>
      </c>
      <c r="O234" s="4"/>
      <c r="P234" s="7">
        <v>1.2515000000000001</v>
      </c>
      <c r="T234" s="7">
        <v>61.7</v>
      </c>
      <c r="U234" s="7">
        <v>482</v>
      </c>
      <c r="V234" s="7">
        <v>753.8</v>
      </c>
      <c r="W234" s="4" t="s">
        <v>77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22">
        <v>113.4</v>
      </c>
      <c r="BB234" s="2"/>
      <c r="BC234" s="2"/>
      <c r="BD234" s="40">
        <v>24.5</v>
      </c>
      <c r="BE234" s="42">
        <v>1004</v>
      </c>
      <c r="BF234" s="43">
        <v>64</v>
      </c>
      <c r="BG234" s="44">
        <v>1.167</v>
      </c>
      <c r="BH234" s="2">
        <v>2096</v>
      </c>
      <c r="BI234" s="2"/>
      <c r="BJ234" s="3" t="s">
        <v>350</v>
      </c>
      <c r="BK234"/>
      <c r="BL234"/>
      <c r="BM234" s="7"/>
      <c r="BR234"/>
    </row>
    <row r="235" spans="1:70" ht="28.5" x14ac:dyDescent="0.45">
      <c r="A235" s="2" t="s">
        <v>43</v>
      </c>
      <c r="B235" s="54" t="s">
        <v>45</v>
      </c>
      <c r="C235" s="3">
        <v>45264</v>
      </c>
      <c r="D235" s="8">
        <v>3</v>
      </c>
      <c r="E235" s="2" t="s">
        <v>213</v>
      </c>
      <c r="F235" s="4" t="s">
        <v>331</v>
      </c>
      <c r="G235" s="4" t="s">
        <v>578</v>
      </c>
      <c r="H235" s="4" t="s">
        <v>223</v>
      </c>
      <c r="I235" s="7">
        <v>0.1555</v>
      </c>
      <c r="J235" s="7">
        <v>0.1555</v>
      </c>
      <c r="K235" s="50">
        <v>2.8E-3</v>
      </c>
      <c r="L235" s="7">
        <v>0.152</v>
      </c>
      <c r="M235" s="7">
        <v>0.1542</v>
      </c>
      <c r="N235" s="7">
        <v>-0.54</v>
      </c>
      <c r="O235" s="4"/>
      <c r="P235" s="7">
        <v>1.2515000000000001</v>
      </c>
      <c r="T235" s="7">
        <v>61.9</v>
      </c>
      <c r="U235" s="7">
        <v>469</v>
      </c>
      <c r="V235" s="7">
        <v>753.6</v>
      </c>
      <c r="W235" s="4" t="s">
        <v>77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22">
        <v>113.4</v>
      </c>
      <c r="BB235" s="2"/>
      <c r="BC235" s="2"/>
      <c r="BD235" s="40">
        <v>24.8</v>
      </c>
      <c r="BE235" s="42">
        <v>1004</v>
      </c>
      <c r="BF235" s="43">
        <v>64</v>
      </c>
      <c r="BG235" s="44">
        <v>1.165</v>
      </c>
      <c r="BH235" s="2">
        <v>2096</v>
      </c>
      <c r="BI235" s="2"/>
      <c r="BJ235" s="3" t="s">
        <v>351</v>
      </c>
      <c r="BK235"/>
      <c r="BL235"/>
      <c r="BM235" s="7"/>
      <c r="BR235"/>
    </row>
    <row r="236" spans="1:70" ht="28.5" x14ac:dyDescent="0.45">
      <c r="A236" s="2" t="s">
        <v>43</v>
      </c>
      <c r="B236" s="54" t="s">
        <v>45</v>
      </c>
      <c r="C236" s="3">
        <v>45264</v>
      </c>
      <c r="D236" s="8">
        <v>4</v>
      </c>
      <c r="E236" s="2" t="s">
        <v>213</v>
      </c>
      <c r="F236" s="4" t="s">
        <v>332</v>
      </c>
      <c r="G236" s="4" t="s">
        <v>578</v>
      </c>
      <c r="H236" s="4" t="s">
        <v>223</v>
      </c>
      <c r="I236" s="7">
        <v>0.15709999999999999</v>
      </c>
      <c r="J236" s="7">
        <v>0.15709999999999999</v>
      </c>
      <c r="K236" s="50">
        <v>1.1000000000000001E-3</v>
      </c>
      <c r="L236" s="7">
        <v>0.155</v>
      </c>
      <c r="M236" s="7">
        <v>0.15640000000000001</v>
      </c>
      <c r="N236" s="7">
        <v>-0.49</v>
      </c>
      <c r="O236" s="4"/>
      <c r="P236" s="7">
        <v>1.2515000000000001</v>
      </c>
      <c r="T236" s="7">
        <v>61.3</v>
      </c>
      <c r="U236" s="7">
        <v>477</v>
      </c>
      <c r="V236" s="7">
        <v>753.4</v>
      </c>
      <c r="W236" s="4" t="s">
        <v>77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22">
        <v>113.4</v>
      </c>
      <c r="BB236" s="2"/>
      <c r="BC236" s="2"/>
      <c r="BD236" s="40">
        <v>25</v>
      </c>
      <c r="BE236" s="42">
        <v>1004</v>
      </c>
      <c r="BF236" s="43">
        <v>62</v>
      </c>
      <c r="BG236" s="44">
        <v>1.165</v>
      </c>
      <c r="BH236" s="2">
        <v>2096</v>
      </c>
      <c r="BI236" s="2"/>
      <c r="BJ236" s="3" t="s">
        <v>352</v>
      </c>
      <c r="BK236"/>
      <c r="BL236"/>
      <c r="BM236" s="7"/>
      <c r="BR236"/>
    </row>
    <row r="237" spans="1:70" ht="28.5" x14ac:dyDescent="0.45">
      <c r="A237" s="2" t="s">
        <v>43</v>
      </c>
      <c r="B237" s="54" t="s">
        <v>45</v>
      </c>
      <c r="C237" s="3">
        <v>45264</v>
      </c>
      <c r="D237" s="8">
        <v>5</v>
      </c>
      <c r="E237" s="2" t="s">
        <v>213</v>
      </c>
      <c r="F237" s="4" t="s">
        <v>331</v>
      </c>
      <c r="G237" s="4" t="s">
        <v>578</v>
      </c>
      <c r="H237" s="4" t="s">
        <v>223</v>
      </c>
      <c r="I237" s="7">
        <v>0.15570000000000001</v>
      </c>
      <c r="J237" s="7">
        <v>0.15570000000000001</v>
      </c>
      <c r="K237" s="50">
        <v>3.7000000000000002E-3</v>
      </c>
      <c r="L237" s="7">
        <v>0.159</v>
      </c>
      <c r="M237" s="7">
        <v>0.15659999999999999</v>
      </c>
      <c r="N237" s="7">
        <v>-0.52</v>
      </c>
      <c r="O237" s="4"/>
      <c r="P237" s="7">
        <v>1.2515000000000001</v>
      </c>
      <c r="T237" s="7">
        <v>61.2</v>
      </c>
      <c r="U237" s="7">
        <v>479</v>
      </c>
      <c r="V237" s="7">
        <v>753.4</v>
      </c>
      <c r="W237" s="4" t="s">
        <v>77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22">
        <v>113.4</v>
      </c>
      <c r="BB237" s="2"/>
      <c r="BC237" s="2"/>
      <c r="BD237" s="40">
        <v>25</v>
      </c>
      <c r="BE237" s="42">
        <v>1004</v>
      </c>
      <c r="BF237" s="43">
        <v>62</v>
      </c>
      <c r="BG237" s="44">
        <v>1.165</v>
      </c>
      <c r="BH237" s="2">
        <v>2096</v>
      </c>
      <c r="BI237" s="2"/>
      <c r="BJ237" s="3" t="s">
        <v>341</v>
      </c>
      <c r="BK237"/>
      <c r="BL237"/>
      <c r="BM237" s="7"/>
      <c r="BR237"/>
    </row>
    <row r="238" spans="1:70" ht="28.5" x14ac:dyDescent="0.45">
      <c r="A238" s="2" t="s">
        <v>43</v>
      </c>
      <c r="B238" s="54" t="s">
        <v>45</v>
      </c>
      <c r="C238" s="3">
        <v>45264</v>
      </c>
      <c r="D238" s="8">
        <v>6</v>
      </c>
      <c r="E238" s="2" t="s">
        <v>213</v>
      </c>
      <c r="F238" s="4" t="s">
        <v>332</v>
      </c>
      <c r="G238" s="4" t="s">
        <v>578</v>
      </c>
      <c r="H238" s="4" t="s">
        <v>223</v>
      </c>
      <c r="I238" s="7">
        <v>0.15820000000000001</v>
      </c>
      <c r="J238" s="7">
        <v>0.15820000000000001</v>
      </c>
      <c r="K238" s="50">
        <v>3.5000000000000001E-3</v>
      </c>
      <c r="L238" s="7">
        <v>0.158</v>
      </c>
      <c r="M238" s="7">
        <v>0.157</v>
      </c>
      <c r="N238" s="7">
        <v>-0.53</v>
      </c>
      <c r="O238" s="4"/>
      <c r="P238" s="7">
        <v>1.2515000000000001</v>
      </c>
      <c r="T238" s="7">
        <v>61.6</v>
      </c>
      <c r="U238" s="7">
        <v>478</v>
      </c>
      <c r="V238" s="7">
        <v>753.4</v>
      </c>
      <c r="W238" s="4" t="s">
        <v>77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22">
        <v>113.4</v>
      </c>
      <c r="BB238" s="2"/>
      <c r="BC238" s="2"/>
      <c r="BD238" s="40">
        <v>25.6</v>
      </c>
      <c r="BE238" s="42">
        <v>1004</v>
      </c>
      <c r="BF238" s="43">
        <v>61</v>
      </c>
      <c r="BG238" s="44">
        <v>1.1619999999999999</v>
      </c>
      <c r="BH238" s="2">
        <v>2096</v>
      </c>
      <c r="BI238" s="2"/>
      <c r="BJ238" s="3" t="s">
        <v>342</v>
      </c>
      <c r="BK238"/>
      <c r="BL238"/>
      <c r="BM238" s="7"/>
      <c r="BR238"/>
    </row>
    <row r="239" spans="1:70" ht="28.5" x14ac:dyDescent="0.45">
      <c r="A239" s="2" t="s">
        <v>43</v>
      </c>
      <c r="B239" s="54" t="s">
        <v>79</v>
      </c>
      <c r="C239" s="3">
        <v>45264</v>
      </c>
      <c r="D239" s="8">
        <v>1</v>
      </c>
      <c r="E239" s="2" t="s">
        <v>213</v>
      </c>
      <c r="F239" s="4" t="s">
        <v>331</v>
      </c>
      <c r="G239" s="4" t="s">
        <v>15</v>
      </c>
      <c r="H239" s="4" t="s">
        <v>223</v>
      </c>
      <c r="I239" s="7">
        <v>0.15629999999999999</v>
      </c>
      <c r="J239" s="7">
        <v>0.15629999999999999</v>
      </c>
      <c r="K239" s="50">
        <v>3.8E-3</v>
      </c>
      <c r="L239" s="7">
        <v>0.152</v>
      </c>
      <c r="M239" s="7">
        <v>0.15140000000000001</v>
      </c>
      <c r="N239" s="7">
        <v>-0.59</v>
      </c>
      <c r="O239" s="4"/>
      <c r="P239" s="7">
        <v>1.2395</v>
      </c>
      <c r="T239" s="7">
        <v>61.8</v>
      </c>
      <c r="U239" s="7">
        <v>464</v>
      </c>
      <c r="V239" s="7">
        <v>753.7</v>
      </c>
      <c r="W239" s="4" t="s">
        <v>48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22">
        <v>113.4</v>
      </c>
      <c r="BB239" s="2"/>
      <c r="BC239" s="2"/>
      <c r="BD239" s="40">
        <v>24.4</v>
      </c>
      <c r="BE239" s="42">
        <v>1004</v>
      </c>
      <c r="BF239" s="43">
        <v>64</v>
      </c>
      <c r="BG239" s="44">
        <v>1.167</v>
      </c>
      <c r="BH239" s="2">
        <v>2096</v>
      </c>
      <c r="BI239" s="2"/>
      <c r="BJ239" s="3" t="s">
        <v>343</v>
      </c>
      <c r="BK239"/>
      <c r="BL239"/>
      <c r="BM239" s="7"/>
      <c r="BR239"/>
    </row>
    <row r="240" spans="1:70" ht="28.5" x14ac:dyDescent="0.45">
      <c r="A240" s="2" t="s">
        <v>43</v>
      </c>
      <c r="B240" s="54" t="s">
        <v>79</v>
      </c>
      <c r="C240" s="3">
        <v>45264</v>
      </c>
      <c r="D240" s="8">
        <v>2</v>
      </c>
      <c r="E240" s="2" t="s">
        <v>213</v>
      </c>
      <c r="F240" s="4" t="s">
        <v>331</v>
      </c>
      <c r="G240" s="4" t="s">
        <v>578</v>
      </c>
      <c r="H240" s="4" t="s">
        <v>223</v>
      </c>
      <c r="I240" s="7">
        <v>0.15559999999999999</v>
      </c>
      <c r="J240" s="7">
        <v>0.15559999999999999</v>
      </c>
      <c r="K240" s="50">
        <v>2.8999999999999998E-3</v>
      </c>
      <c r="L240" s="7">
        <v>0.155</v>
      </c>
      <c r="M240" s="7">
        <v>0.15049999999999999</v>
      </c>
      <c r="N240" s="7">
        <v>-0.59</v>
      </c>
      <c r="O240" s="4"/>
      <c r="P240" s="7">
        <v>1.2395</v>
      </c>
      <c r="T240" s="7">
        <v>61.4</v>
      </c>
      <c r="U240" s="7">
        <v>458</v>
      </c>
      <c r="V240" s="7">
        <v>754.2</v>
      </c>
      <c r="W240" s="4" t="s">
        <v>48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22">
        <v>113.4</v>
      </c>
      <c r="BB240" s="2"/>
      <c r="BC240" s="2"/>
      <c r="BD240" s="40">
        <v>24.5</v>
      </c>
      <c r="BE240" s="42">
        <v>1004</v>
      </c>
      <c r="BF240" s="43">
        <v>64</v>
      </c>
      <c r="BG240" s="44">
        <v>1.167</v>
      </c>
      <c r="BH240" s="2">
        <v>2096</v>
      </c>
      <c r="BI240" s="2"/>
      <c r="BJ240" s="3" t="s">
        <v>344</v>
      </c>
      <c r="BK240"/>
      <c r="BL240"/>
      <c r="BM240" s="7"/>
      <c r="BR240"/>
    </row>
    <row r="241" spans="1:70" ht="28.5" x14ac:dyDescent="0.45">
      <c r="A241" s="2" t="s">
        <v>43</v>
      </c>
      <c r="B241" s="54" t="s">
        <v>79</v>
      </c>
      <c r="C241" s="3">
        <v>45264</v>
      </c>
      <c r="D241" s="8">
        <v>3</v>
      </c>
      <c r="E241" s="2" t="s">
        <v>213</v>
      </c>
      <c r="F241" s="4" t="s">
        <v>331</v>
      </c>
      <c r="G241" s="4" t="s">
        <v>333</v>
      </c>
      <c r="H241" s="4" t="s">
        <v>223</v>
      </c>
      <c r="I241" s="7">
        <v>0.15640000000000001</v>
      </c>
      <c r="J241" s="7">
        <v>0.15640000000000001</v>
      </c>
      <c r="K241" s="50">
        <v>5.7999999999999996E-3</v>
      </c>
      <c r="L241" s="7">
        <v>0.156</v>
      </c>
      <c r="M241" s="7">
        <v>0.15290000000000001</v>
      </c>
      <c r="N241" s="7">
        <v>-0.57999999999999996</v>
      </c>
      <c r="O241" s="4"/>
      <c r="P241" s="7">
        <v>1.2395</v>
      </c>
      <c r="T241" s="7">
        <v>61.5</v>
      </c>
      <c r="U241" s="7">
        <v>467</v>
      </c>
      <c r="V241" s="7">
        <v>753.6</v>
      </c>
      <c r="W241" s="4" t="s">
        <v>48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22">
        <v>113.4</v>
      </c>
      <c r="BB241" s="2"/>
      <c r="BC241" s="2"/>
      <c r="BD241" s="40">
        <v>24.8</v>
      </c>
      <c r="BE241" s="42">
        <v>1004</v>
      </c>
      <c r="BF241" s="43">
        <v>64</v>
      </c>
      <c r="BG241" s="44">
        <v>1.165</v>
      </c>
      <c r="BH241" s="2">
        <v>2096</v>
      </c>
      <c r="BI241" s="2"/>
      <c r="BJ241" s="3" t="s">
        <v>345</v>
      </c>
      <c r="BK241"/>
      <c r="BL241"/>
      <c r="BM241" s="7"/>
      <c r="BR241"/>
    </row>
    <row r="242" spans="1:70" ht="28.5" x14ac:dyDescent="0.45">
      <c r="A242" s="2" t="s">
        <v>43</v>
      </c>
      <c r="B242" s="54" t="s">
        <v>79</v>
      </c>
      <c r="C242" s="3">
        <v>45264</v>
      </c>
      <c r="D242" s="8">
        <v>4</v>
      </c>
      <c r="E242" s="2" t="s">
        <v>213</v>
      </c>
      <c r="F242" s="4" t="s">
        <v>331</v>
      </c>
      <c r="G242" s="4" t="s">
        <v>15</v>
      </c>
      <c r="H242" s="4" t="s">
        <v>223</v>
      </c>
      <c r="I242" s="7">
        <v>0.15329999999999999</v>
      </c>
      <c r="J242" s="7">
        <v>0.15329999999999999</v>
      </c>
      <c r="K242" s="50">
        <v>2.5000000000000001E-3</v>
      </c>
      <c r="L242" s="7">
        <v>0.154</v>
      </c>
      <c r="M242" s="7">
        <v>0.15160000000000001</v>
      </c>
      <c r="N242" s="7">
        <v>-0.6</v>
      </c>
      <c r="O242" s="4"/>
      <c r="P242" s="7">
        <v>1.2395</v>
      </c>
      <c r="T242" s="7">
        <v>61.6</v>
      </c>
      <c r="U242" s="7">
        <v>469</v>
      </c>
      <c r="V242" s="7">
        <v>753.8</v>
      </c>
      <c r="W242" s="4" t="s">
        <v>48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22">
        <v>113.4</v>
      </c>
      <c r="BB242" s="2"/>
      <c r="BC242" s="2"/>
      <c r="BD242" s="40">
        <v>25</v>
      </c>
      <c r="BE242" s="42">
        <v>1004</v>
      </c>
      <c r="BF242" s="43">
        <v>62</v>
      </c>
      <c r="BG242" s="44">
        <v>1.165</v>
      </c>
      <c r="BH242" s="2">
        <v>2096</v>
      </c>
      <c r="BI242" s="2"/>
      <c r="BJ242" s="3" t="s">
        <v>346</v>
      </c>
      <c r="BK242"/>
      <c r="BL242"/>
      <c r="BM242" s="7"/>
      <c r="BR242"/>
    </row>
    <row r="243" spans="1:70" ht="28.5" x14ac:dyDescent="0.45">
      <c r="A243" s="2" t="s">
        <v>43</v>
      </c>
      <c r="B243" s="54" t="s">
        <v>79</v>
      </c>
      <c r="C243" s="3">
        <v>45264</v>
      </c>
      <c r="D243" s="8">
        <v>5</v>
      </c>
      <c r="E243" s="2" t="s">
        <v>213</v>
      </c>
      <c r="F243" s="4" t="s">
        <v>331</v>
      </c>
      <c r="G243" s="4" t="s">
        <v>578</v>
      </c>
      <c r="H243" s="4" t="s">
        <v>223</v>
      </c>
      <c r="I243" s="7">
        <v>0.15260000000000001</v>
      </c>
      <c r="J243" s="7">
        <v>0.15260000000000001</v>
      </c>
      <c r="K243" s="50">
        <v>4.0000000000000001E-3</v>
      </c>
      <c r="L243" s="7">
        <v>0.155</v>
      </c>
      <c r="M243" s="7">
        <v>0.15010000000000001</v>
      </c>
      <c r="N243" s="7">
        <v>-0.64</v>
      </c>
      <c r="O243" s="4"/>
      <c r="P243" s="7">
        <v>1.2395</v>
      </c>
      <c r="T243" s="7">
        <v>61.1</v>
      </c>
      <c r="U243" s="7">
        <v>456</v>
      </c>
      <c r="V243" s="7">
        <v>754</v>
      </c>
      <c r="W243" s="4" t="s">
        <v>48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22">
        <v>113.4</v>
      </c>
      <c r="BB243" s="2"/>
      <c r="BC243" s="2"/>
      <c r="BD243" s="40">
        <v>25</v>
      </c>
      <c r="BE243" s="42">
        <v>1004</v>
      </c>
      <c r="BF243" s="43">
        <v>62</v>
      </c>
      <c r="BG243" s="44">
        <v>1.165</v>
      </c>
      <c r="BH243" s="2">
        <v>2096</v>
      </c>
      <c r="BI243" s="2"/>
      <c r="BJ243" s="3" t="s">
        <v>347</v>
      </c>
      <c r="BK243"/>
      <c r="BL243"/>
      <c r="BM243" s="7"/>
      <c r="BR243"/>
    </row>
    <row r="244" spans="1:70" ht="28.5" x14ac:dyDescent="0.45">
      <c r="A244" s="2" t="s">
        <v>43</v>
      </c>
      <c r="B244" s="54" t="s">
        <v>79</v>
      </c>
      <c r="C244" s="3">
        <v>45264</v>
      </c>
      <c r="D244" s="8">
        <v>6</v>
      </c>
      <c r="E244" s="2" t="s">
        <v>213</v>
      </c>
      <c r="F244" s="4" t="s">
        <v>331</v>
      </c>
      <c r="G244" s="4" t="s">
        <v>333</v>
      </c>
      <c r="H244" s="4" t="s">
        <v>223</v>
      </c>
      <c r="I244" s="7">
        <v>0.1575</v>
      </c>
      <c r="J244" s="7">
        <v>0.1575</v>
      </c>
      <c r="K244" s="50">
        <v>2.8999999999999998E-3</v>
      </c>
      <c r="L244" s="7">
        <v>0.159</v>
      </c>
      <c r="M244" s="7">
        <v>0.15229999999999999</v>
      </c>
      <c r="N244" s="7">
        <v>-0.65</v>
      </c>
      <c r="O244" s="4"/>
      <c r="P244" s="7">
        <v>1.2395</v>
      </c>
      <c r="T244" s="7">
        <v>61</v>
      </c>
      <c r="U244" s="7">
        <v>466</v>
      </c>
      <c r="V244" s="7">
        <v>753.8</v>
      </c>
      <c r="W244" s="4" t="s">
        <v>48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22">
        <v>113.4</v>
      </c>
      <c r="BB244" s="2"/>
      <c r="BC244" s="2"/>
      <c r="BD244" s="40">
        <v>25.3</v>
      </c>
      <c r="BE244" s="42">
        <v>1004</v>
      </c>
      <c r="BF244" s="43">
        <v>61</v>
      </c>
      <c r="BG244" s="44">
        <v>1.163</v>
      </c>
      <c r="BH244" s="2">
        <v>2096</v>
      </c>
      <c r="BI244" s="2"/>
      <c r="BJ244" s="3" t="s">
        <v>348</v>
      </c>
      <c r="BK244"/>
      <c r="BL244"/>
      <c r="BM244" s="7"/>
      <c r="BR244"/>
    </row>
    <row r="245" spans="1:70" ht="28.5" x14ac:dyDescent="0.45">
      <c r="A245" s="2" t="s">
        <v>13</v>
      </c>
      <c r="B245" s="54" t="s">
        <v>14</v>
      </c>
      <c r="C245" s="3">
        <v>45267</v>
      </c>
      <c r="D245" s="8">
        <v>1</v>
      </c>
      <c r="E245" s="2" t="s">
        <v>381</v>
      </c>
      <c r="F245" s="39" t="s">
        <v>566</v>
      </c>
      <c r="G245" s="4" t="s">
        <v>578</v>
      </c>
      <c r="H245" s="4" t="s">
        <v>223</v>
      </c>
      <c r="I245" s="7">
        <v>0.1701</v>
      </c>
      <c r="J245" s="7">
        <v>0.1701</v>
      </c>
      <c r="K245" s="50">
        <v>5.4999999999999997E-3</v>
      </c>
      <c r="L245" s="7">
        <v>0.17499999999999999</v>
      </c>
      <c r="M245" s="7">
        <v>0.1736</v>
      </c>
      <c r="N245" s="7">
        <v>-0.45</v>
      </c>
      <c r="O245" s="4"/>
      <c r="P245" s="7">
        <v>1.2084999999999999</v>
      </c>
      <c r="T245" s="7">
        <v>62.9</v>
      </c>
      <c r="U245" s="7">
        <v>567</v>
      </c>
      <c r="V245" s="7">
        <v>755.6</v>
      </c>
      <c r="W245" s="4" t="s">
        <v>77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22">
        <v>117</v>
      </c>
      <c r="BB245" s="2"/>
      <c r="BC245" s="2"/>
      <c r="BD245" s="40">
        <v>24.4</v>
      </c>
      <c r="BE245" s="42">
        <v>1006</v>
      </c>
      <c r="BF245" s="43">
        <v>53</v>
      </c>
      <c r="BG245" s="44">
        <v>1.17</v>
      </c>
      <c r="BH245" s="2">
        <v>2096</v>
      </c>
      <c r="BI245" s="2"/>
      <c r="BJ245" s="3" t="s">
        <v>362</v>
      </c>
      <c r="BK245"/>
      <c r="BL245"/>
      <c r="BM245" s="7"/>
      <c r="BR245"/>
    </row>
    <row r="246" spans="1:70" ht="28.5" x14ac:dyDescent="0.45">
      <c r="A246" s="2" t="s">
        <v>13</v>
      </c>
      <c r="B246" s="54" t="s">
        <v>14</v>
      </c>
      <c r="C246" s="3">
        <v>45267</v>
      </c>
      <c r="D246" s="8">
        <v>2</v>
      </c>
      <c r="E246" s="2" t="s">
        <v>554</v>
      </c>
      <c r="F246" s="39" t="s">
        <v>566</v>
      </c>
      <c r="G246" s="4" t="s">
        <v>578</v>
      </c>
      <c r="H246" s="4" t="s">
        <v>223</v>
      </c>
      <c r="I246" s="7">
        <v>0.16889999999999999</v>
      </c>
      <c r="J246" s="7">
        <v>0.16889999999999999</v>
      </c>
      <c r="K246" s="50">
        <v>7.1999999999999998E-3</v>
      </c>
      <c r="L246" s="7">
        <v>0.16800000000000001</v>
      </c>
      <c r="M246" s="7">
        <v>0.16700000000000001</v>
      </c>
      <c r="N246" s="7">
        <v>-0.67</v>
      </c>
      <c r="O246" s="4"/>
      <c r="P246" s="7">
        <v>1.2084999999999999</v>
      </c>
      <c r="T246" s="7">
        <v>63.5</v>
      </c>
      <c r="U246" s="7">
        <v>551</v>
      </c>
      <c r="V246" s="7">
        <v>756.2</v>
      </c>
      <c r="W246" s="4" t="s">
        <v>77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22">
        <v>117</v>
      </c>
      <c r="BB246" s="2"/>
      <c r="BC246" s="2"/>
      <c r="BD246" s="40">
        <v>24.8</v>
      </c>
      <c r="BE246" s="42">
        <v>1005</v>
      </c>
      <c r="BF246" s="43">
        <v>62</v>
      </c>
      <c r="BG246" s="44">
        <v>1.167</v>
      </c>
      <c r="BH246" s="2">
        <v>2096</v>
      </c>
      <c r="BI246" s="2"/>
      <c r="BJ246" s="3" t="s">
        <v>363</v>
      </c>
      <c r="BK246"/>
      <c r="BL246"/>
      <c r="BM246" s="7"/>
      <c r="BR246"/>
    </row>
    <row r="247" spans="1:70" ht="28.5" x14ac:dyDescent="0.45">
      <c r="A247" s="2" t="s">
        <v>13</v>
      </c>
      <c r="B247" s="54" t="s">
        <v>14</v>
      </c>
      <c r="C247" s="3">
        <v>45267</v>
      </c>
      <c r="D247" s="8">
        <v>3</v>
      </c>
      <c r="E247" s="2" t="s">
        <v>545</v>
      </c>
      <c r="F247" s="39" t="s">
        <v>566</v>
      </c>
      <c r="G247" s="4" t="s">
        <v>578</v>
      </c>
      <c r="H247" s="4" t="s">
        <v>223</v>
      </c>
      <c r="I247" s="7">
        <v>0.17419999999999999</v>
      </c>
      <c r="J247" s="7">
        <v>0.17419999999999999</v>
      </c>
      <c r="K247" s="50">
        <v>3.5999999999999999E-3</v>
      </c>
      <c r="L247" s="7"/>
      <c r="M247" s="7">
        <v>0.17100000000000001</v>
      </c>
      <c r="N247" s="7">
        <v>-0.62</v>
      </c>
      <c r="O247" s="4"/>
      <c r="P247" s="7">
        <v>1.2084999999999999</v>
      </c>
      <c r="T247" s="7">
        <v>62.2</v>
      </c>
      <c r="U247" s="7">
        <v>534</v>
      </c>
      <c r="V247" s="7">
        <v>756.2</v>
      </c>
      <c r="W247" s="4" t="s">
        <v>77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22">
        <v>117</v>
      </c>
      <c r="BB247" s="2"/>
      <c r="BC247" s="2"/>
      <c r="BD247" s="40">
        <v>25.1</v>
      </c>
      <c r="BE247" s="42">
        <v>1005</v>
      </c>
      <c r="BF247" s="43">
        <v>51</v>
      </c>
      <c r="BG247" s="44">
        <v>1.167</v>
      </c>
      <c r="BH247" s="2">
        <v>2096</v>
      </c>
      <c r="BI247" s="2"/>
      <c r="BJ247" s="3" t="s">
        <v>364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14</v>
      </c>
      <c r="C248" s="3">
        <v>45267</v>
      </c>
      <c r="D248" s="8">
        <v>4</v>
      </c>
      <c r="E248" s="2" t="s">
        <v>381</v>
      </c>
      <c r="F248" s="39" t="s">
        <v>566</v>
      </c>
      <c r="G248" s="4" t="s">
        <v>578</v>
      </c>
      <c r="H248" s="4" t="s">
        <v>223</v>
      </c>
      <c r="I248" s="7">
        <v>0.17050000000000001</v>
      </c>
      <c r="J248" s="7">
        <v>0.17050000000000001</v>
      </c>
      <c r="K248" s="50">
        <v>1.8E-3</v>
      </c>
      <c r="L248" s="7">
        <v>0.17399999999999999</v>
      </c>
      <c r="M248" s="7">
        <v>0.17219999999999999</v>
      </c>
      <c r="N248" s="7">
        <v>-0.52</v>
      </c>
      <c r="O248" s="4"/>
      <c r="P248" s="7">
        <v>1.2084999999999999</v>
      </c>
      <c r="T248" s="7">
        <v>63</v>
      </c>
      <c r="U248" s="7">
        <v>560</v>
      </c>
      <c r="V248" s="7">
        <v>756.1</v>
      </c>
      <c r="W248" s="4" t="s">
        <v>77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22">
        <v>117</v>
      </c>
      <c r="BB248" s="2"/>
      <c r="BC248" s="2"/>
      <c r="BD248" s="40">
        <v>25.9</v>
      </c>
      <c r="BE248" s="42">
        <v>1005</v>
      </c>
      <c r="BF248" s="43">
        <v>56</v>
      </c>
      <c r="BG248" s="44">
        <v>1.1619999999999999</v>
      </c>
      <c r="BH248" s="2">
        <v>2096</v>
      </c>
      <c r="BI248" s="2"/>
      <c r="BJ248" s="3" t="s">
        <v>365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14</v>
      </c>
      <c r="C249" s="3">
        <v>45267</v>
      </c>
      <c r="D249" s="8">
        <v>5</v>
      </c>
      <c r="E249" s="2" t="s">
        <v>554</v>
      </c>
      <c r="F249" s="39" t="s">
        <v>566</v>
      </c>
      <c r="G249" s="4" t="s">
        <v>578</v>
      </c>
      <c r="H249" s="4" t="s">
        <v>223</v>
      </c>
      <c r="I249" s="7">
        <v>0.16739999999999999</v>
      </c>
      <c r="J249" s="7">
        <v>0.16739999999999999</v>
      </c>
      <c r="K249" s="50">
        <v>5.5999999999999999E-3</v>
      </c>
      <c r="L249" s="7">
        <v>0.17199999999999999</v>
      </c>
      <c r="M249" s="7">
        <v>0.1663</v>
      </c>
      <c r="N249" s="7">
        <v>-0.69</v>
      </c>
      <c r="O249" s="4"/>
      <c r="P249" s="7">
        <v>1.2084999999999999</v>
      </c>
      <c r="T249" s="7">
        <v>63.7</v>
      </c>
      <c r="U249" s="7">
        <v>581</v>
      </c>
      <c r="V249" s="7">
        <v>756.6</v>
      </c>
      <c r="W249" s="4" t="s">
        <v>77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22">
        <v>117</v>
      </c>
      <c r="BB249" s="2"/>
      <c r="BC249" s="2"/>
      <c r="BD249" s="40">
        <v>25.9</v>
      </c>
      <c r="BE249" s="42">
        <v>1005</v>
      </c>
      <c r="BF249" s="43">
        <v>56</v>
      </c>
      <c r="BG249" s="44">
        <v>1.1619999999999999</v>
      </c>
      <c r="BH249" s="2">
        <v>2096</v>
      </c>
      <c r="BI249" s="2"/>
      <c r="BJ249" s="3" t="s">
        <v>366</v>
      </c>
      <c r="BK249"/>
      <c r="BL249"/>
      <c r="BM249" s="7"/>
      <c r="BR249"/>
    </row>
    <row r="250" spans="1:70" ht="28.5" x14ac:dyDescent="0.45">
      <c r="A250" s="2" t="s">
        <v>13</v>
      </c>
      <c r="B250" s="54" t="s">
        <v>14</v>
      </c>
      <c r="C250" s="3">
        <v>45267</v>
      </c>
      <c r="D250" s="8">
        <v>6</v>
      </c>
      <c r="E250" s="2" t="s">
        <v>545</v>
      </c>
      <c r="F250" s="39" t="s">
        <v>566</v>
      </c>
      <c r="G250" s="4" t="s">
        <v>578</v>
      </c>
      <c r="H250" s="4" t="s">
        <v>223</v>
      </c>
      <c r="I250" s="7">
        <v>0.17069999999999999</v>
      </c>
      <c r="J250" s="7">
        <v>0.17069999999999999</v>
      </c>
      <c r="K250" s="50">
        <v>2.2000000000000001E-3</v>
      </c>
      <c r="L250" s="7">
        <v>0.17399999999999999</v>
      </c>
      <c r="M250" s="7">
        <v>0.1699</v>
      </c>
      <c r="N250" s="7">
        <v>-0.62</v>
      </c>
      <c r="O250" s="4"/>
      <c r="P250" s="7">
        <v>1.2084999999999999</v>
      </c>
      <c r="T250" s="7">
        <v>63.7</v>
      </c>
      <c r="U250" s="7">
        <v>558</v>
      </c>
      <c r="V250" s="7">
        <v>756.5</v>
      </c>
      <c r="W250" s="4" t="s">
        <v>77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22">
        <v>117</v>
      </c>
      <c r="BB250" s="2"/>
      <c r="BC250" s="2"/>
      <c r="BD250" s="40">
        <v>26.4</v>
      </c>
      <c r="BE250" s="42">
        <v>1005</v>
      </c>
      <c r="BF250" s="43">
        <v>48</v>
      </c>
      <c r="BG250" s="44">
        <v>1.1619999999999999</v>
      </c>
      <c r="BH250" s="2">
        <v>2096</v>
      </c>
      <c r="BI250" s="2"/>
      <c r="BJ250" s="3" t="s">
        <v>355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44</v>
      </c>
      <c r="C251" s="3">
        <v>45267</v>
      </c>
      <c r="D251" s="8">
        <v>1</v>
      </c>
      <c r="E251" s="2" t="s">
        <v>353</v>
      </c>
      <c r="F251" s="4" t="s">
        <v>329</v>
      </c>
      <c r="G251" s="4" t="s">
        <v>15</v>
      </c>
      <c r="H251" s="4" t="s">
        <v>330</v>
      </c>
      <c r="I251" s="7">
        <v>0.16600000000000001</v>
      </c>
      <c r="J251" s="7">
        <v>0.16600000000000001</v>
      </c>
      <c r="K251" s="50">
        <v>1.6999999999999999E-3</v>
      </c>
      <c r="L251" s="7">
        <v>0.16</v>
      </c>
      <c r="M251" s="7">
        <v>0.16489999999999999</v>
      </c>
      <c r="N251" s="7">
        <v>-0.39</v>
      </c>
      <c r="O251" s="4"/>
      <c r="P251" s="7">
        <v>1.2905</v>
      </c>
      <c r="T251" s="7">
        <v>60.8</v>
      </c>
      <c r="U251" s="7">
        <v>475</v>
      </c>
      <c r="V251" s="7">
        <v>755.5</v>
      </c>
      <c r="W251" s="4" t="s">
        <v>77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22">
        <v>111.6</v>
      </c>
      <c r="BB251" s="2"/>
      <c r="BC251" s="2"/>
      <c r="BD251" s="40">
        <v>24.4</v>
      </c>
      <c r="BE251" s="42">
        <v>1006</v>
      </c>
      <c r="BF251" s="43">
        <v>53</v>
      </c>
      <c r="BG251" s="44">
        <v>1.171</v>
      </c>
      <c r="BH251" s="2">
        <v>2096</v>
      </c>
      <c r="BI251" s="2"/>
      <c r="BJ251" s="3" t="s">
        <v>356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44</v>
      </c>
      <c r="C252" s="3">
        <v>45267</v>
      </c>
      <c r="D252" s="8">
        <v>2</v>
      </c>
      <c r="E252" s="2" t="s">
        <v>551</v>
      </c>
      <c r="F252" s="4" t="s">
        <v>329</v>
      </c>
      <c r="G252" s="4" t="s">
        <v>15</v>
      </c>
      <c r="H252" s="4" t="s">
        <v>330</v>
      </c>
      <c r="I252" s="7">
        <v>0.16</v>
      </c>
      <c r="J252" s="7">
        <v>0.16</v>
      </c>
      <c r="K252" s="50">
        <v>1.5E-3</v>
      </c>
      <c r="L252" s="7">
        <v>0.159</v>
      </c>
      <c r="M252" s="7">
        <v>0.16139999999999999</v>
      </c>
      <c r="N252" s="7">
        <v>-0.43</v>
      </c>
      <c r="O252" s="4"/>
      <c r="P252" s="7">
        <v>1.2905</v>
      </c>
      <c r="T252" s="7">
        <v>61.2</v>
      </c>
      <c r="U252" s="7">
        <v>487</v>
      </c>
      <c r="V252" s="7">
        <v>755.3</v>
      </c>
      <c r="W252" s="4" t="s">
        <v>77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22">
        <v>111.6</v>
      </c>
      <c r="BB252" s="2"/>
      <c r="BC252" s="2"/>
      <c r="BD252" s="40">
        <v>24.4</v>
      </c>
      <c r="BE252" s="42">
        <v>1006</v>
      </c>
      <c r="BF252" s="43">
        <v>53</v>
      </c>
      <c r="BG252" s="44">
        <v>1.17</v>
      </c>
      <c r="BH252" s="2">
        <v>2096</v>
      </c>
      <c r="BI252" s="2"/>
      <c r="BJ252" s="3" t="s">
        <v>357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44</v>
      </c>
      <c r="C253" s="3">
        <v>45267</v>
      </c>
      <c r="D253" s="8">
        <v>3</v>
      </c>
      <c r="E253" s="2" t="s">
        <v>552</v>
      </c>
      <c r="F253" s="4" t="s">
        <v>329</v>
      </c>
      <c r="G253" s="4" t="s">
        <v>15</v>
      </c>
      <c r="H253" s="4" t="s">
        <v>330</v>
      </c>
      <c r="I253" s="7">
        <v>0.1636</v>
      </c>
      <c r="J253" s="7">
        <v>0.1636</v>
      </c>
      <c r="K253" s="50">
        <v>8.9999999999999998E-4</v>
      </c>
      <c r="L253" s="7">
        <v>0.16300000000000001</v>
      </c>
      <c r="M253" s="7">
        <v>0.16200000000000001</v>
      </c>
      <c r="N253" s="7">
        <v>-0.45</v>
      </c>
      <c r="O253" s="4"/>
      <c r="P253" s="7">
        <v>1.2905</v>
      </c>
      <c r="T253" s="7">
        <v>61.8</v>
      </c>
      <c r="U253" s="7">
        <v>497</v>
      </c>
      <c r="V253" s="7">
        <v>756</v>
      </c>
      <c r="W253" s="4" t="s">
        <v>77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22">
        <v>111.6</v>
      </c>
      <c r="BB253" s="2"/>
      <c r="BC253" s="2"/>
      <c r="BD253" s="40">
        <v>25.1</v>
      </c>
      <c r="BE253" s="42">
        <v>1005</v>
      </c>
      <c r="BF253" s="43">
        <v>51</v>
      </c>
      <c r="BG253" s="44">
        <v>1.167</v>
      </c>
      <c r="BH253" s="2">
        <v>2096</v>
      </c>
      <c r="BI253" s="2"/>
      <c r="BJ253" s="3" t="s">
        <v>358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45267</v>
      </c>
      <c r="D254" s="8">
        <v>4</v>
      </c>
      <c r="E254" s="2" t="s">
        <v>353</v>
      </c>
      <c r="F254" s="4" t="s">
        <v>329</v>
      </c>
      <c r="G254" s="4" t="s">
        <v>15</v>
      </c>
      <c r="H254" s="4" t="s">
        <v>330</v>
      </c>
      <c r="I254" s="7">
        <v>0.1696</v>
      </c>
      <c r="J254" s="7">
        <v>0.1696</v>
      </c>
      <c r="K254" s="50">
        <v>1.4E-3</v>
      </c>
      <c r="L254" s="7">
        <v>0.16500000000000001</v>
      </c>
      <c r="M254" s="7">
        <v>0.16719999999999999</v>
      </c>
      <c r="N254" s="7">
        <v>-0.56000000000000005</v>
      </c>
      <c r="O254" s="4"/>
      <c r="P254" s="7">
        <v>1.2905</v>
      </c>
      <c r="T254" s="7">
        <v>61.4</v>
      </c>
      <c r="U254" s="7">
        <v>492</v>
      </c>
      <c r="V254" s="7">
        <v>756.1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22">
        <v>111.6</v>
      </c>
      <c r="BB254" s="2"/>
      <c r="BC254" s="2"/>
      <c r="BD254" s="40">
        <v>25.7</v>
      </c>
      <c r="BE254" s="42">
        <v>1005</v>
      </c>
      <c r="BF254" s="43">
        <v>61</v>
      </c>
      <c r="BG254" s="44">
        <v>1.163</v>
      </c>
      <c r="BH254" s="2">
        <v>2096</v>
      </c>
      <c r="BI254" s="2"/>
      <c r="BJ254" s="3" t="s">
        <v>359</v>
      </c>
      <c r="BK254"/>
      <c r="BL254"/>
      <c r="BM254" s="7"/>
      <c r="BR254"/>
    </row>
    <row r="255" spans="1:70" ht="28.5" x14ac:dyDescent="0.45">
      <c r="A255" s="2" t="s">
        <v>43</v>
      </c>
      <c r="B255" s="54" t="s">
        <v>44</v>
      </c>
      <c r="C255" s="3">
        <v>45267</v>
      </c>
      <c r="D255" s="8">
        <v>5</v>
      </c>
      <c r="E255" s="2" t="s">
        <v>551</v>
      </c>
      <c r="F255" s="4" t="s">
        <v>329</v>
      </c>
      <c r="G255" s="4" t="s">
        <v>15</v>
      </c>
      <c r="H255" s="4" t="s">
        <v>330</v>
      </c>
      <c r="I255" s="7">
        <v>0.1605</v>
      </c>
      <c r="J255" s="7">
        <v>0.1605</v>
      </c>
      <c r="K255" s="50">
        <v>2E-3</v>
      </c>
      <c r="L255" s="7"/>
      <c r="M255" s="7">
        <v>0.16109999999999999</v>
      </c>
      <c r="N255" s="7">
        <v>-0.52</v>
      </c>
      <c r="O255" s="4"/>
      <c r="P255" s="7">
        <v>1.2905</v>
      </c>
      <c r="T255" s="7">
        <v>62.3</v>
      </c>
      <c r="U255" s="7">
        <v>506</v>
      </c>
      <c r="V255" s="7">
        <v>756</v>
      </c>
      <c r="W255" s="4" t="s">
        <v>77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22">
        <v>111.6</v>
      </c>
      <c r="BB255" s="2"/>
      <c r="BC255" s="2"/>
      <c r="BD255" s="40">
        <v>25.9</v>
      </c>
      <c r="BE255" s="42">
        <v>1005</v>
      </c>
      <c r="BF255" s="43">
        <v>56</v>
      </c>
      <c r="BG255" s="44">
        <v>1.1619999999999999</v>
      </c>
      <c r="BH255" s="2">
        <v>2096</v>
      </c>
      <c r="BI255" s="2"/>
      <c r="BJ255" s="3" t="s">
        <v>360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44</v>
      </c>
      <c r="C256" s="3">
        <v>45267</v>
      </c>
      <c r="D256" s="8">
        <v>6</v>
      </c>
      <c r="E256" s="2" t="s">
        <v>552</v>
      </c>
      <c r="F256" s="4" t="s">
        <v>329</v>
      </c>
      <c r="G256" s="4" t="s">
        <v>15</v>
      </c>
      <c r="H256" s="4" t="s">
        <v>330</v>
      </c>
      <c r="I256" s="7">
        <v>0.16189999999999999</v>
      </c>
      <c r="J256" s="7">
        <v>0.16189999999999999</v>
      </c>
      <c r="K256" s="50">
        <v>2.7000000000000001E-3</v>
      </c>
      <c r="L256" s="7"/>
      <c r="M256" s="7">
        <v>0.16139999999999999</v>
      </c>
      <c r="N256" s="7">
        <v>-0.45</v>
      </c>
      <c r="O256" s="4"/>
      <c r="P256" s="7">
        <v>1.2905</v>
      </c>
      <c r="T256" s="7">
        <v>63</v>
      </c>
      <c r="U256" s="7">
        <v>527</v>
      </c>
      <c r="V256" s="7">
        <v>756.5</v>
      </c>
      <c r="W256" s="4" t="s">
        <v>77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22">
        <v>111.6</v>
      </c>
      <c r="BB256" s="2"/>
      <c r="BC256" s="2"/>
      <c r="BD256" s="40">
        <v>26.4</v>
      </c>
      <c r="BE256" s="42">
        <v>1005</v>
      </c>
      <c r="BF256" s="43">
        <v>48</v>
      </c>
      <c r="BG256" s="44">
        <v>1.1619999999999999</v>
      </c>
      <c r="BH256" s="2">
        <v>2096</v>
      </c>
      <c r="BI256" s="2"/>
      <c r="BJ256" s="3" t="s">
        <v>361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99</v>
      </c>
      <c r="C257" s="3">
        <v>45267</v>
      </c>
      <c r="D257" s="8">
        <v>1</v>
      </c>
      <c r="E257" s="2" t="s">
        <v>353</v>
      </c>
      <c r="F257" s="4" t="s">
        <v>332</v>
      </c>
      <c r="G257" s="4" t="s">
        <v>15</v>
      </c>
      <c r="H257" s="4" t="s">
        <v>330</v>
      </c>
      <c r="I257" s="7">
        <v>0.18</v>
      </c>
      <c r="J257" s="7">
        <v>0.18</v>
      </c>
      <c r="K257" s="50">
        <v>6.0000000000000001E-3</v>
      </c>
      <c r="L257" s="7">
        <v>0.17299999999999999</v>
      </c>
      <c r="M257" s="7">
        <v>0.17480000000000001</v>
      </c>
      <c r="N257" s="7">
        <v>-0.6</v>
      </c>
      <c r="O257" s="4"/>
      <c r="P257" s="7">
        <v>1.2655000000000001</v>
      </c>
      <c r="T257" s="7">
        <v>59.4</v>
      </c>
      <c r="U257" s="7">
        <v>480</v>
      </c>
      <c r="V257" s="7">
        <v>755.4</v>
      </c>
      <c r="W257" s="4" t="s">
        <v>48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22">
        <v>111.6</v>
      </c>
      <c r="BB257" s="2"/>
      <c r="BC257" s="2"/>
      <c r="BD257" s="40">
        <v>24.4</v>
      </c>
      <c r="BE257" s="42">
        <v>1006</v>
      </c>
      <c r="BF257" s="43">
        <v>53</v>
      </c>
      <c r="BG257" s="44">
        <v>1.171</v>
      </c>
      <c r="BH257" s="2">
        <v>2096</v>
      </c>
      <c r="BI257" s="2"/>
      <c r="BJ257" s="3" t="s">
        <v>375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45267</v>
      </c>
      <c r="D258" s="8">
        <v>2</v>
      </c>
      <c r="E258" s="2" t="s">
        <v>213</v>
      </c>
      <c r="F258" s="4" t="s">
        <v>332</v>
      </c>
      <c r="G258" s="4" t="s">
        <v>15</v>
      </c>
      <c r="H258" s="4" t="s">
        <v>330</v>
      </c>
      <c r="I258" s="7">
        <v>0.17219999999999999</v>
      </c>
      <c r="J258" s="7">
        <v>0.17219999999999999</v>
      </c>
      <c r="K258" s="50">
        <v>2.7000000000000001E-3</v>
      </c>
      <c r="L258" s="7">
        <v>0.17100000000000001</v>
      </c>
      <c r="M258" s="7">
        <v>0.16839999999999999</v>
      </c>
      <c r="N258" s="7">
        <v>-0.68</v>
      </c>
      <c r="O258" s="4"/>
      <c r="P258" s="7">
        <v>1.2655000000000001</v>
      </c>
      <c r="T258" s="7">
        <v>57.9</v>
      </c>
      <c r="U258" s="7">
        <v>434</v>
      </c>
      <c r="V258" s="7">
        <v>757.7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22">
        <v>111.6</v>
      </c>
      <c r="BB258" s="2"/>
      <c r="BC258" s="2"/>
      <c r="BD258" s="40">
        <v>24.8</v>
      </c>
      <c r="BE258" s="42">
        <v>1005</v>
      </c>
      <c r="BF258" s="43">
        <v>62</v>
      </c>
      <c r="BG258" s="44">
        <v>1.167</v>
      </c>
      <c r="BH258" s="2">
        <v>2096</v>
      </c>
      <c r="BI258" s="2"/>
      <c r="BJ258" s="3" t="s">
        <v>376</v>
      </c>
      <c r="BK258"/>
      <c r="BL258"/>
      <c r="BM258" s="7"/>
      <c r="BR258"/>
    </row>
    <row r="259" spans="1:70" ht="28.5" x14ac:dyDescent="0.45">
      <c r="A259" s="2" t="s">
        <v>43</v>
      </c>
      <c r="B259" s="54" t="s">
        <v>99</v>
      </c>
      <c r="C259" s="3">
        <v>45267</v>
      </c>
      <c r="D259" s="8">
        <v>3</v>
      </c>
      <c r="E259" s="2" t="s">
        <v>550</v>
      </c>
      <c r="F259" s="4" t="s">
        <v>332</v>
      </c>
      <c r="G259" s="4" t="s">
        <v>15</v>
      </c>
      <c r="H259" s="4" t="s">
        <v>330</v>
      </c>
      <c r="I259" s="7"/>
      <c r="K259" s="50"/>
      <c r="L259" s="7">
        <v>0.16800000000000001</v>
      </c>
      <c r="M259" s="7">
        <v>0.16789999999999999</v>
      </c>
      <c r="O259" s="4"/>
      <c r="P259" s="7">
        <v>1.2655000000000001</v>
      </c>
      <c r="T259" s="7">
        <v>59.1</v>
      </c>
      <c r="U259" s="7">
        <v>456</v>
      </c>
      <c r="V259" s="7">
        <v>757</v>
      </c>
      <c r="W259" s="4" t="s">
        <v>48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22">
        <v>111.6</v>
      </c>
      <c r="BB259" s="2"/>
      <c r="BC259" s="2"/>
      <c r="BD259" s="40">
        <v>25.1</v>
      </c>
      <c r="BE259" s="42">
        <v>1005</v>
      </c>
      <c r="BF259" s="43">
        <v>51</v>
      </c>
      <c r="BG259" s="44">
        <v>1.167</v>
      </c>
      <c r="BH259" s="2">
        <v>2096</v>
      </c>
      <c r="BI259" s="2"/>
      <c r="BJ259" s="3" t="s">
        <v>377</v>
      </c>
      <c r="BK259"/>
      <c r="BL259"/>
      <c r="BM259" s="7"/>
      <c r="BR259"/>
    </row>
    <row r="260" spans="1:70" ht="28.5" x14ac:dyDescent="0.45">
      <c r="A260" s="2" t="s">
        <v>43</v>
      </c>
      <c r="B260" s="54" t="s">
        <v>99</v>
      </c>
      <c r="C260" s="3">
        <v>45267</v>
      </c>
      <c r="D260" s="8">
        <v>4</v>
      </c>
      <c r="E260" s="2" t="s">
        <v>353</v>
      </c>
      <c r="F260" s="4" t="s">
        <v>332</v>
      </c>
      <c r="G260" s="4" t="s">
        <v>15</v>
      </c>
      <c r="H260" s="4" t="s">
        <v>330</v>
      </c>
      <c r="I260" s="7">
        <v>0.18160000000000001</v>
      </c>
      <c r="J260" s="7">
        <v>0.18160000000000001</v>
      </c>
      <c r="K260" s="50">
        <v>2.3E-3</v>
      </c>
      <c r="L260" s="7"/>
      <c r="M260" s="7">
        <v>0.17519999999999999</v>
      </c>
      <c r="N260" s="7">
        <v>-0.61</v>
      </c>
      <c r="O260" s="4"/>
      <c r="P260" s="7">
        <v>1.2655000000000001</v>
      </c>
      <c r="T260" s="7">
        <v>59.7</v>
      </c>
      <c r="U260" s="7">
        <v>472</v>
      </c>
      <c r="V260" s="7">
        <v>755.7</v>
      </c>
      <c r="W260" s="4" t="s">
        <v>48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22">
        <v>111.6</v>
      </c>
      <c r="BB260" s="2"/>
      <c r="BC260" s="2"/>
      <c r="BD260" s="40">
        <v>25.7</v>
      </c>
      <c r="BE260" s="42">
        <v>1005</v>
      </c>
      <c r="BF260" s="43">
        <v>61</v>
      </c>
      <c r="BG260" s="44">
        <v>1.163</v>
      </c>
      <c r="BH260" s="2">
        <v>2096</v>
      </c>
      <c r="BI260" s="2"/>
      <c r="BJ260" s="3" t="s">
        <v>367</v>
      </c>
      <c r="BK260"/>
      <c r="BL260"/>
      <c r="BM260" s="7"/>
      <c r="BR260"/>
    </row>
    <row r="261" spans="1:70" ht="28.5" x14ac:dyDescent="0.45">
      <c r="A261" s="2" t="s">
        <v>43</v>
      </c>
      <c r="B261" s="54" t="s">
        <v>99</v>
      </c>
      <c r="C261" s="3">
        <v>45267</v>
      </c>
      <c r="D261" s="8">
        <v>5</v>
      </c>
      <c r="E261" s="2" t="s">
        <v>550</v>
      </c>
      <c r="F261" s="4" t="s">
        <v>332</v>
      </c>
      <c r="G261" s="4" t="s">
        <v>15</v>
      </c>
      <c r="H261" s="4" t="s">
        <v>330</v>
      </c>
      <c r="I261" s="7">
        <v>0.17480000000000001</v>
      </c>
      <c r="J261" s="7">
        <v>0.17480000000000001</v>
      </c>
      <c r="K261" s="50">
        <v>3.2000000000000002E-3</v>
      </c>
      <c r="L261" s="7"/>
      <c r="M261" s="7">
        <v>0.1668</v>
      </c>
      <c r="N261" s="7">
        <v>-0.66</v>
      </c>
      <c r="O261" s="4"/>
      <c r="P261" s="7">
        <v>1.2655000000000001</v>
      </c>
      <c r="T261" s="7">
        <v>59.3</v>
      </c>
      <c r="U261" s="7">
        <v>454</v>
      </c>
      <c r="V261" s="7">
        <v>757.2</v>
      </c>
      <c r="W261" s="4" t="s">
        <v>48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22">
        <v>111.6</v>
      </c>
      <c r="BB261" s="2"/>
      <c r="BC261" s="2"/>
      <c r="BD261" s="40">
        <v>25.9</v>
      </c>
      <c r="BE261" s="42">
        <v>1005</v>
      </c>
      <c r="BF261" s="43">
        <v>56</v>
      </c>
      <c r="BG261" s="44">
        <v>1.1619999999999999</v>
      </c>
      <c r="BH261" s="2">
        <v>2096</v>
      </c>
      <c r="BI261" s="2"/>
      <c r="BJ261" s="3" t="s">
        <v>368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45267</v>
      </c>
      <c r="D262" s="8">
        <v>1</v>
      </c>
      <c r="E262" s="2" t="s">
        <v>353</v>
      </c>
      <c r="F262" s="4" t="s">
        <v>354</v>
      </c>
      <c r="G262" s="4" t="s">
        <v>578</v>
      </c>
      <c r="H262" s="4" t="s">
        <v>223</v>
      </c>
      <c r="I262" s="7">
        <v>0.1673</v>
      </c>
      <c r="J262" s="7">
        <v>0.1673</v>
      </c>
      <c r="K262" s="50">
        <v>4.1999999999999997E-3</v>
      </c>
      <c r="L262" s="7">
        <v>0.16700000000000001</v>
      </c>
      <c r="M262" s="7">
        <v>0.16689999999999999</v>
      </c>
      <c r="N262" s="7">
        <v>-0.44</v>
      </c>
      <c r="O262" s="4"/>
      <c r="P262" s="7">
        <v>1.258</v>
      </c>
      <c r="T262" s="7">
        <v>63.4</v>
      </c>
      <c r="U262" s="7">
        <v>553</v>
      </c>
      <c r="V262" s="7">
        <v>754</v>
      </c>
      <c r="W262" s="4" t="s">
        <v>224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22">
        <v>117</v>
      </c>
      <c r="BB262" s="2"/>
      <c r="BC262" s="2"/>
      <c r="BD262" s="40">
        <v>24.4</v>
      </c>
      <c r="BE262" s="42">
        <v>1006</v>
      </c>
      <c r="BF262" s="43">
        <v>53</v>
      </c>
      <c r="BG262" s="44">
        <v>1.171</v>
      </c>
      <c r="BH262" s="2">
        <v>2096</v>
      </c>
      <c r="BI262" s="2"/>
      <c r="BJ262" s="3" t="s">
        <v>369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45267</v>
      </c>
      <c r="D263" s="8">
        <v>2</v>
      </c>
      <c r="E263" s="2" t="s">
        <v>551</v>
      </c>
      <c r="F263" s="4" t="s">
        <v>354</v>
      </c>
      <c r="G263" s="4" t="s">
        <v>578</v>
      </c>
      <c r="H263" s="4" t="s">
        <v>223</v>
      </c>
      <c r="I263" s="7">
        <v>0.16109999999999999</v>
      </c>
      <c r="J263" s="7">
        <v>0.16109999999999999</v>
      </c>
      <c r="K263" s="50">
        <v>2.2000000000000001E-3</v>
      </c>
      <c r="L263" s="7">
        <v>0.16500000000000001</v>
      </c>
      <c r="M263" s="7">
        <v>0.16320000000000001</v>
      </c>
      <c r="N263" s="7">
        <v>-0.47</v>
      </c>
      <c r="O263" s="4"/>
      <c r="P263" s="7">
        <v>1.258</v>
      </c>
      <c r="T263" s="7">
        <v>64.099999999999994</v>
      </c>
      <c r="U263" s="7">
        <v>566</v>
      </c>
      <c r="V263" s="7">
        <v>753.9</v>
      </c>
      <c r="W263" s="4" t="s">
        <v>224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22">
        <v>117</v>
      </c>
      <c r="BB263" s="2"/>
      <c r="BC263" s="2"/>
      <c r="BD263" s="40">
        <v>24.4</v>
      </c>
      <c r="BE263" s="42">
        <v>1006</v>
      </c>
      <c r="BF263" s="43">
        <v>53</v>
      </c>
      <c r="BG263" s="44">
        <v>1.17</v>
      </c>
      <c r="BH263" s="2">
        <v>2096</v>
      </c>
      <c r="BI263" s="2"/>
      <c r="BJ263" s="3" t="s">
        <v>370</v>
      </c>
      <c r="BK263"/>
      <c r="BL263"/>
      <c r="BM263" s="7"/>
      <c r="BR263"/>
    </row>
    <row r="264" spans="1:70" ht="28.5" x14ac:dyDescent="0.45">
      <c r="A264" s="2" t="s">
        <v>13</v>
      </c>
      <c r="B264" s="54" t="s">
        <v>28</v>
      </c>
      <c r="C264" s="3">
        <v>45267</v>
      </c>
      <c r="D264" s="8">
        <v>3</v>
      </c>
      <c r="E264" s="2" t="s">
        <v>550</v>
      </c>
      <c r="F264" s="4" t="s">
        <v>354</v>
      </c>
      <c r="G264" s="4" t="s">
        <v>578</v>
      </c>
      <c r="H264" s="4" t="s">
        <v>223</v>
      </c>
      <c r="I264" s="7">
        <v>0.1696</v>
      </c>
      <c r="J264" s="7">
        <v>0.1696</v>
      </c>
      <c r="K264" s="50">
        <v>3.7000000000000002E-3</v>
      </c>
      <c r="L264" s="7">
        <v>0.16800000000000001</v>
      </c>
      <c r="M264" s="7">
        <v>0.16719999999999999</v>
      </c>
      <c r="N264" s="7">
        <v>-0.53</v>
      </c>
      <c r="O264" s="4"/>
      <c r="P264" s="7">
        <v>1.258</v>
      </c>
      <c r="T264" s="7">
        <v>63.8</v>
      </c>
      <c r="U264" s="7">
        <v>559</v>
      </c>
      <c r="V264" s="7">
        <v>755.2</v>
      </c>
      <c r="W264" s="4" t="s">
        <v>224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22">
        <v>117</v>
      </c>
      <c r="BB264" s="2"/>
      <c r="BC264" s="2"/>
      <c r="BD264" s="40">
        <v>25.1</v>
      </c>
      <c r="BE264" s="42">
        <v>1005</v>
      </c>
      <c r="BF264" s="43">
        <v>51</v>
      </c>
      <c r="BG264" s="44">
        <v>1.167</v>
      </c>
      <c r="BH264" s="2">
        <v>2096</v>
      </c>
      <c r="BI264" s="2"/>
      <c r="BJ264" s="3" t="s">
        <v>371</v>
      </c>
      <c r="BK264"/>
      <c r="BL264"/>
      <c r="BM264" s="7"/>
      <c r="BR264"/>
    </row>
    <row r="265" spans="1:70" ht="28.5" x14ac:dyDescent="0.45">
      <c r="A265" s="2" t="s">
        <v>13</v>
      </c>
      <c r="B265" s="54" t="s">
        <v>28</v>
      </c>
      <c r="C265" s="3">
        <v>45267</v>
      </c>
      <c r="D265" s="8">
        <v>4</v>
      </c>
      <c r="E265" s="2" t="s">
        <v>353</v>
      </c>
      <c r="F265" s="4" t="s">
        <v>354</v>
      </c>
      <c r="G265" s="4" t="s">
        <v>578</v>
      </c>
      <c r="H265" s="4" t="s">
        <v>223</v>
      </c>
      <c r="I265" s="7">
        <v>0.16789999999999999</v>
      </c>
      <c r="J265" s="7">
        <v>0.16789999999999999</v>
      </c>
      <c r="K265" s="50">
        <v>3.5999999999999999E-3</v>
      </c>
      <c r="L265" s="7"/>
      <c r="M265" s="7">
        <v>0.16839999999999999</v>
      </c>
      <c r="N265" s="7">
        <v>-0.49</v>
      </c>
      <c r="O265" s="4"/>
      <c r="P265" s="7">
        <v>1.258</v>
      </c>
      <c r="T265" s="7">
        <v>63.5</v>
      </c>
      <c r="U265" s="7">
        <v>570</v>
      </c>
      <c r="V265" s="7">
        <v>754.1</v>
      </c>
      <c r="W265" s="4" t="s">
        <v>224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22">
        <v>117</v>
      </c>
      <c r="BB265" s="2"/>
      <c r="BC265" s="2"/>
      <c r="BD265" s="40">
        <v>25.7</v>
      </c>
      <c r="BE265" s="42">
        <v>1005</v>
      </c>
      <c r="BF265" s="43">
        <v>61</v>
      </c>
      <c r="BG265" s="44">
        <v>1.163</v>
      </c>
      <c r="BH265" s="2">
        <v>2096</v>
      </c>
      <c r="BI265" s="2"/>
      <c r="BJ265" s="3" t="s">
        <v>372</v>
      </c>
      <c r="BK265"/>
      <c r="BL265"/>
      <c r="BM265" s="7"/>
      <c r="BR265"/>
    </row>
    <row r="266" spans="1:70" ht="28.5" x14ac:dyDescent="0.45">
      <c r="A266" s="2" t="s">
        <v>13</v>
      </c>
      <c r="B266" s="54" t="s">
        <v>28</v>
      </c>
      <c r="C266" s="3">
        <v>45267</v>
      </c>
      <c r="D266" s="8">
        <v>5</v>
      </c>
      <c r="E266" s="2" t="s">
        <v>551</v>
      </c>
      <c r="F266" s="4" t="s">
        <v>354</v>
      </c>
      <c r="G266" s="4" t="s">
        <v>578</v>
      </c>
      <c r="H266" s="4" t="s">
        <v>223</v>
      </c>
      <c r="I266" s="7">
        <v>0.16170000000000001</v>
      </c>
      <c r="J266" s="7">
        <v>0.16170000000000001</v>
      </c>
      <c r="K266" s="50">
        <v>2.5999999999999999E-3</v>
      </c>
      <c r="L266" s="7"/>
      <c r="M266" s="7">
        <v>0.1633</v>
      </c>
      <c r="N266" s="7">
        <v>-0.53</v>
      </c>
      <c r="O266" s="4"/>
      <c r="P266" s="7">
        <v>1.258</v>
      </c>
      <c r="T266" s="7">
        <v>64.099999999999994</v>
      </c>
      <c r="U266" s="7">
        <v>572</v>
      </c>
      <c r="V266" s="7">
        <v>754.5</v>
      </c>
      <c r="W266" s="4" t="s">
        <v>224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22">
        <v>117</v>
      </c>
      <c r="BB266" s="2"/>
      <c r="BC266" s="2"/>
      <c r="BD266" s="40">
        <v>25.9</v>
      </c>
      <c r="BE266" s="42">
        <v>1005</v>
      </c>
      <c r="BF266" s="43">
        <v>56</v>
      </c>
      <c r="BG266" s="44">
        <v>1.1619999999999999</v>
      </c>
      <c r="BH266" s="2">
        <v>2096</v>
      </c>
      <c r="BI266" s="2"/>
      <c r="BJ266" s="3" t="s">
        <v>373</v>
      </c>
      <c r="BK266"/>
      <c r="BL266"/>
      <c r="BM266" s="7"/>
      <c r="BR266"/>
    </row>
    <row r="267" spans="1:70" ht="28.5" x14ac:dyDescent="0.45">
      <c r="A267" s="2" t="s">
        <v>13</v>
      </c>
      <c r="B267" s="54" t="s">
        <v>28</v>
      </c>
      <c r="C267" s="3">
        <v>45267</v>
      </c>
      <c r="D267" s="8">
        <v>6</v>
      </c>
      <c r="E267" s="2" t="s">
        <v>550</v>
      </c>
      <c r="F267" s="4" t="s">
        <v>354</v>
      </c>
      <c r="G267" s="4" t="s">
        <v>578</v>
      </c>
      <c r="H267" s="4" t="s">
        <v>223</v>
      </c>
      <c r="I267" s="7">
        <v>0.16789999999999999</v>
      </c>
      <c r="J267" s="7">
        <v>0.16789999999999999</v>
      </c>
      <c r="K267" s="50">
        <v>2E-3</v>
      </c>
      <c r="L267" s="7"/>
      <c r="M267" s="7">
        <v>0.16819999999999999</v>
      </c>
      <c r="N267" s="7">
        <v>-0.57999999999999996</v>
      </c>
      <c r="O267" s="4"/>
      <c r="P267" s="7">
        <v>1.258</v>
      </c>
      <c r="T267" s="7">
        <v>62.9</v>
      </c>
      <c r="U267" s="7">
        <v>557</v>
      </c>
      <c r="V267" s="7">
        <v>754.3</v>
      </c>
      <c r="W267" s="4" t="s">
        <v>224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22">
        <v>117</v>
      </c>
      <c r="BB267" s="2"/>
      <c r="BC267" s="2"/>
      <c r="BD267" s="40">
        <v>26.4</v>
      </c>
      <c r="BE267" s="42">
        <v>1005</v>
      </c>
      <c r="BF267" s="43">
        <v>48</v>
      </c>
      <c r="BG267" s="44">
        <v>1.1619999999999999</v>
      </c>
      <c r="BH267" s="2">
        <v>2096</v>
      </c>
      <c r="BI267" s="2"/>
      <c r="BJ267" s="3" t="s">
        <v>374</v>
      </c>
      <c r="BK267"/>
      <c r="BL267"/>
      <c r="BM267" s="7"/>
      <c r="BR267"/>
    </row>
    <row r="268" spans="1:70" ht="28.5" x14ac:dyDescent="0.45">
      <c r="A268" s="2" t="s">
        <v>13</v>
      </c>
      <c r="B268" s="54" t="s">
        <v>14</v>
      </c>
      <c r="C268" s="3">
        <v>45274</v>
      </c>
      <c r="D268" s="8">
        <v>1</v>
      </c>
      <c r="E268" s="57" t="s">
        <v>381</v>
      </c>
      <c r="F268" s="4" t="s">
        <v>15</v>
      </c>
      <c r="G268" s="4" t="s">
        <v>577</v>
      </c>
      <c r="H268" s="4" t="s">
        <v>223</v>
      </c>
      <c r="I268" s="7">
        <v>0.1661</v>
      </c>
      <c r="J268" s="7">
        <v>0.1661</v>
      </c>
      <c r="K268" s="50">
        <v>2.5999999999999999E-3</v>
      </c>
      <c r="L268" s="7">
        <v>0.17299999999999999</v>
      </c>
      <c r="M268" s="7">
        <v>0.16769999999999999</v>
      </c>
      <c r="N268" s="7">
        <v>-0.35</v>
      </c>
      <c r="O268" s="4"/>
      <c r="P268" s="7">
        <v>1.2805</v>
      </c>
      <c r="T268" s="7">
        <v>67</v>
      </c>
      <c r="U268" s="7">
        <v>674</v>
      </c>
      <c r="V268" s="7">
        <v>758.9</v>
      </c>
      <c r="W268" s="4" t="s">
        <v>224</v>
      </c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120.6</v>
      </c>
      <c r="BB268" s="2"/>
      <c r="BC268" s="2"/>
      <c r="BD268" s="10">
        <v>23.8</v>
      </c>
      <c r="BE268" s="42">
        <v>1003</v>
      </c>
      <c r="BF268" s="43">
        <v>50</v>
      </c>
      <c r="BG268" s="44">
        <v>1.17</v>
      </c>
      <c r="BH268" s="57">
        <v>2096</v>
      </c>
      <c r="BI268" s="2"/>
      <c r="BJ268" s="3" t="s">
        <v>592</v>
      </c>
      <c r="BK268"/>
      <c r="BL268"/>
      <c r="BM268"/>
      <c r="BR268"/>
    </row>
    <row r="269" spans="1:70" ht="28.5" x14ac:dyDescent="0.45">
      <c r="A269" s="2" t="s">
        <v>13</v>
      </c>
      <c r="B269" s="54" t="s">
        <v>14</v>
      </c>
      <c r="C269" s="3">
        <v>45274</v>
      </c>
      <c r="D269" s="8">
        <v>2</v>
      </c>
      <c r="E269" s="2" t="s">
        <v>554</v>
      </c>
      <c r="F269" s="4" t="s">
        <v>354</v>
      </c>
      <c r="G269" s="4" t="s">
        <v>578</v>
      </c>
      <c r="H269" s="4" t="s">
        <v>223</v>
      </c>
      <c r="I269" s="7">
        <v>0.16289999999999999</v>
      </c>
      <c r="J269" s="7">
        <v>0.16289999999999999</v>
      </c>
      <c r="K269" s="50">
        <v>1E-3</v>
      </c>
      <c r="L269" s="7">
        <v>0.16700000000000001</v>
      </c>
      <c r="M269" s="7">
        <v>0.1633</v>
      </c>
      <c r="N269" s="7">
        <v>-0.45</v>
      </c>
      <c r="O269" s="4"/>
      <c r="P269" s="7">
        <v>1.2805</v>
      </c>
      <c r="T269" s="7">
        <v>66.599999999999994</v>
      </c>
      <c r="U269" s="7">
        <v>644</v>
      </c>
      <c r="V269" s="7">
        <v>758.3</v>
      </c>
      <c r="W269" s="4" t="s">
        <v>224</v>
      </c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120.6</v>
      </c>
      <c r="BB269" s="2"/>
      <c r="BC269" s="2"/>
      <c r="BD269" s="10">
        <v>24.3</v>
      </c>
      <c r="BE269" s="42">
        <v>1003</v>
      </c>
      <c r="BF269" s="43">
        <v>49</v>
      </c>
      <c r="BG269" s="44">
        <v>1.169</v>
      </c>
      <c r="BH269" s="57">
        <v>2096</v>
      </c>
      <c r="BI269" s="2"/>
      <c r="BJ269" s="3" t="s">
        <v>593</v>
      </c>
      <c r="BK269"/>
      <c r="BL269"/>
      <c r="BM269"/>
      <c r="BR269"/>
    </row>
    <row r="270" spans="1:70" ht="28.5" x14ac:dyDescent="0.45">
      <c r="A270" s="2" t="s">
        <v>13</v>
      </c>
      <c r="B270" s="54" t="s">
        <v>14</v>
      </c>
      <c r="C270" s="3">
        <v>45274</v>
      </c>
      <c r="D270" s="8">
        <v>3</v>
      </c>
      <c r="E270" s="2" t="s">
        <v>554</v>
      </c>
      <c r="F270" s="39" t="s">
        <v>566</v>
      </c>
      <c r="G270" s="4" t="s">
        <v>578</v>
      </c>
      <c r="H270" s="4" t="s">
        <v>223</v>
      </c>
      <c r="I270" s="7">
        <v>0.16600000000000001</v>
      </c>
      <c r="J270" s="7">
        <v>0.16600000000000001</v>
      </c>
      <c r="K270" s="50">
        <v>5.0000000000000001E-3</v>
      </c>
      <c r="L270" s="7">
        <v>0.16500000000000001</v>
      </c>
      <c r="M270" s="7">
        <v>0.1673</v>
      </c>
      <c r="N270" s="7">
        <v>-0.45</v>
      </c>
      <c r="O270" s="4"/>
      <c r="P270" s="7">
        <v>1.2805</v>
      </c>
      <c r="T270" s="7">
        <v>66</v>
      </c>
      <c r="U270" s="7">
        <v>621</v>
      </c>
      <c r="V270" s="7">
        <v>757.6</v>
      </c>
      <c r="W270" s="4" t="s">
        <v>224</v>
      </c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120.6</v>
      </c>
      <c r="BB270" s="2"/>
      <c r="BC270" s="2"/>
      <c r="BD270" s="10">
        <v>24.6</v>
      </c>
      <c r="BE270" s="42">
        <v>1003</v>
      </c>
      <c r="BF270" s="43">
        <v>49</v>
      </c>
      <c r="BG270" s="44">
        <v>1.167</v>
      </c>
      <c r="BH270" s="57">
        <v>2096</v>
      </c>
      <c r="BI270" s="2"/>
      <c r="BJ270" s="3" t="s">
        <v>586</v>
      </c>
      <c r="BK270"/>
      <c r="BL270"/>
      <c r="BM270"/>
      <c r="BR270"/>
    </row>
    <row r="271" spans="1:70" ht="28.5" x14ac:dyDescent="0.45">
      <c r="A271" s="2" t="s">
        <v>13</v>
      </c>
      <c r="B271" s="54" t="s">
        <v>14</v>
      </c>
      <c r="C271" s="3">
        <v>45274</v>
      </c>
      <c r="D271" s="8">
        <v>4</v>
      </c>
      <c r="E271" s="2" t="s">
        <v>554</v>
      </c>
      <c r="F271" s="39" t="s">
        <v>567</v>
      </c>
      <c r="G271" s="4" t="s">
        <v>578</v>
      </c>
      <c r="H271" s="4" t="s">
        <v>223</v>
      </c>
      <c r="I271" s="7">
        <v>0.1709</v>
      </c>
      <c r="J271" s="7">
        <v>0.1709</v>
      </c>
      <c r="K271" s="50">
        <v>3.7000000000000002E-3</v>
      </c>
      <c r="L271" s="7">
        <v>0.16700000000000001</v>
      </c>
      <c r="M271" s="7">
        <v>0.1699</v>
      </c>
      <c r="N271" s="7">
        <v>-0.51</v>
      </c>
      <c r="O271" s="4"/>
      <c r="P271" s="7">
        <v>1.2805</v>
      </c>
      <c r="T271" s="7">
        <v>66.099999999999994</v>
      </c>
      <c r="U271" s="7">
        <v>618</v>
      </c>
      <c r="V271" s="7">
        <v>757.9</v>
      </c>
      <c r="W271" s="4" t="s">
        <v>224</v>
      </c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>
        <v>120.6</v>
      </c>
      <c r="BB271" s="2"/>
      <c r="BC271" s="2"/>
      <c r="BD271" s="10">
        <v>25.1</v>
      </c>
      <c r="BE271" s="42">
        <v>1004</v>
      </c>
      <c r="BF271" s="43">
        <v>47</v>
      </c>
      <c r="BG271" s="44">
        <v>1.1659999999999999</v>
      </c>
      <c r="BH271" s="57">
        <v>2096</v>
      </c>
      <c r="BI271" s="2"/>
      <c r="BJ271" s="3" t="s">
        <v>587</v>
      </c>
      <c r="BK271"/>
      <c r="BL271"/>
      <c r="BM271"/>
      <c r="BR271"/>
    </row>
    <row r="272" spans="1:70" ht="28.5" x14ac:dyDescent="0.45">
      <c r="A272" s="2" t="s">
        <v>13</v>
      </c>
      <c r="B272" s="54" t="s">
        <v>14</v>
      </c>
      <c r="C272" s="3">
        <v>45274</v>
      </c>
      <c r="D272" s="8">
        <v>5</v>
      </c>
      <c r="E272" s="57" t="s">
        <v>381</v>
      </c>
      <c r="F272" s="4" t="s">
        <v>15</v>
      </c>
      <c r="G272" s="4" t="s">
        <v>577</v>
      </c>
      <c r="H272" s="4" t="s">
        <v>223</v>
      </c>
      <c r="I272" s="7">
        <v>0.16800000000000001</v>
      </c>
      <c r="J272" s="7">
        <v>0.16800000000000001</v>
      </c>
      <c r="K272" s="50">
        <v>5.0000000000000001E-3</v>
      </c>
      <c r="L272" s="7">
        <v>0.17</v>
      </c>
      <c r="M272" s="7">
        <v>0.17119999999999999</v>
      </c>
      <c r="N272" s="7">
        <v>-0.35</v>
      </c>
      <c r="O272" s="4"/>
      <c r="P272" s="7">
        <v>1.2805</v>
      </c>
      <c r="T272" s="7">
        <v>65.3</v>
      </c>
      <c r="U272" s="7">
        <v>615</v>
      </c>
      <c r="V272" s="7">
        <v>758</v>
      </c>
      <c r="W272" s="4" t="s">
        <v>224</v>
      </c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>
        <v>120.6</v>
      </c>
      <c r="BB272" s="2"/>
      <c r="BC272" s="2"/>
      <c r="BD272" s="10">
        <v>25.5</v>
      </c>
      <c r="BE272" s="42">
        <v>1003</v>
      </c>
      <c r="BF272" s="43">
        <v>47</v>
      </c>
      <c r="BG272" s="44">
        <v>1.1639999999999999</v>
      </c>
      <c r="BH272" s="57">
        <v>2096</v>
      </c>
      <c r="BI272" s="2"/>
      <c r="BJ272" s="3" t="s">
        <v>588</v>
      </c>
      <c r="BK272"/>
      <c r="BL272"/>
      <c r="BM272"/>
      <c r="BR272"/>
    </row>
    <row r="273" spans="1:70" ht="28.5" x14ac:dyDescent="0.45">
      <c r="A273" s="2" t="s">
        <v>13</v>
      </c>
      <c r="B273" s="54" t="s">
        <v>14</v>
      </c>
      <c r="C273" s="3">
        <v>45274</v>
      </c>
      <c r="D273" s="8">
        <v>6</v>
      </c>
      <c r="E273" s="2" t="s">
        <v>554</v>
      </c>
      <c r="F273" s="4" t="s">
        <v>354</v>
      </c>
      <c r="G273" s="4" t="s">
        <v>578</v>
      </c>
      <c r="H273" s="4" t="s">
        <v>223</v>
      </c>
      <c r="I273" s="7">
        <v>0.1641</v>
      </c>
      <c r="J273" s="7">
        <v>0.1641</v>
      </c>
      <c r="K273" s="50">
        <v>3.7000000000000002E-3</v>
      </c>
      <c r="L273" s="7">
        <v>0.16500000000000001</v>
      </c>
      <c r="M273" s="7">
        <v>0.1653</v>
      </c>
      <c r="N273" s="7">
        <v>-0.43</v>
      </c>
      <c r="O273" s="4"/>
      <c r="P273" s="7">
        <v>1.2805</v>
      </c>
      <c r="T273" s="7">
        <v>67.2</v>
      </c>
      <c r="U273" s="7">
        <v>648</v>
      </c>
      <c r="V273" s="7">
        <v>758.3</v>
      </c>
      <c r="W273" s="4" t="s">
        <v>224</v>
      </c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120.6</v>
      </c>
      <c r="BB273" s="2"/>
      <c r="BC273" s="2"/>
      <c r="BD273" s="10">
        <v>26.1</v>
      </c>
      <c r="BE273" s="42">
        <v>1004</v>
      </c>
      <c r="BF273" s="43">
        <v>46</v>
      </c>
      <c r="BG273" s="44">
        <v>1.1619999999999999</v>
      </c>
      <c r="BH273" s="57">
        <v>2096</v>
      </c>
      <c r="BI273" s="2"/>
      <c r="BJ273" s="3" t="s">
        <v>589</v>
      </c>
      <c r="BK273"/>
      <c r="BL273"/>
      <c r="BM273"/>
      <c r="BR273"/>
    </row>
    <row r="274" spans="1:70" ht="28.5" x14ac:dyDescent="0.45">
      <c r="A274" s="2" t="s">
        <v>13</v>
      </c>
      <c r="B274" s="54" t="s">
        <v>14</v>
      </c>
      <c r="C274" s="3">
        <v>45274</v>
      </c>
      <c r="D274" s="8">
        <v>7</v>
      </c>
      <c r="E274" s="2" t="s">
        <v>554</v>
      </c>
      <c r="F274" s="39" t="s">
        <v>566</v>
      </c>
      <c r="G274" s="4" t="s">
        <v>578</v>
      </c>
      <c r="H274" s="4" t="s">
        <v>223</v>
      </c>
      <c r="I274" s="7">
        <v>0.16800000000000001</v>
      </c>
      <c r="J274" s="7">
        <v>0.16800000000000001</v>
      </c>
      <c r="K274" s="50">
        <v>2.2000000000000001E-3</v>
      </c>
      <c r="L274" s="7">
        <v>0.17</v>
      </c>
      <c r="M274" s="7">
        <v>0.17</v>
      </c>
      <c r="N274" s="7">
        <v>-0.42</v>
      </c>
      <c r="O274" s="4"/>
      <c r="P274" s="7">
        <v>1.2805</v>
      </c>
      <c r="T274" s="7">
        <v>66.7</v>
      </c>
      <c r="U274" s="7">
        <v>650</v>
      </c>
      <c r="V274" s="7">
        <v>758.9</v>
      </c>
      <c r="W274" s="4" t="s">
        <v>224</v>
      </c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120.6</v>
      </c>
      <c r="BB274" s="2"/>
      <c r="BC274" s="2"/>
      <c r="BD274" s="10">
        <v>26.1</v>
      </c>
      <c r="BE274" s="42">
        <v>1004</v>
      </c>
      <c r="BF274" s="43">
        <v>46</v>
      </c>
      <c r="BG274" s="44">
        <v>1.1619999999999999</v>
      </c>
      <c r="BH274" s="57">
        <v>2096</v>
      </c>
      <c r="BI274" s="2"/>
      <c r="BJ274" s="3" t="s">
        <v>590</v>
      </c>
      <c r="BK274"/>
      <c r="BL274"/>
      <c r="BM274"/>
      <c r="BR274"/>
    </row>
    <row r="275" spans="1:70" ht="28.5" x14ac:dyDescent="0.45">
      <c r="A275" s="2" t="s">
        <v>13</v>
      </c>
      <c r="B275" s="54" t="s">
        <v>14</v>
      </c>
      <c r="C275" s="3">
        <v>45274</v>
      </c>
      <c r="D275" s="8">
        <v>8</v>
      </c>
      <c r="E275" s="2" t="s">
        <v>554</v>
      </c>
      <c r="F275" s="39" t="s">
        <v>567</v>
      </c>
      <c r="G275" s="4" t="s">
        <v>578</v>
      </c>
      <c r="H275" s="4" t="s">
        <v>223</v>
      </c>
      <c r="I275" s="7">
        <v>0.17130000000000001</v>
      </c>
      <c r="J275" s="7">
        <v>0.17130000000000001</v>
      </c>
      <c r="K275" s="50">
        <v>4.4000000000000003E-3</v>
      </c>
      <c r="L275" s="7">
        <v>0.17100000000000001</v>
      </c>
      <c r="M275" s="7">
        <v>0.17119999999999999</v>
      </c>
      <c r="N275" s="7">
        <v>-0.47</v>
      </c>
      <c r="O275" s="4"/>
      <c r="P275" s="7">
        <v>1.2805</v>
      </c>
      <c r="T275" s="7">
        <v>66.7</v>
      </c>
      <c r="U275" s="7">
        <v>649</v>
      </c>
      <c r="V275" s="7">
        <v>759</v>
      </c>
      <c r="W275" s="4" t="s">
        <v>224</v>
      </c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>
        <v>120.6</v>
      </c>
      <c r="BB275" s="2"/>
      <c r="BC275" s="2"/>
      <c r="BD275" s="10">
        <v>26.1</v>
      </c>
      <c r="BE275" s="42">
        <v>1004</v>
      </c>
      <c r="BF275" s="43">
        <v>46</v>
      </c>
      <c r="BG275" s="44">
        <v>1.1619999999999999</v>
      </c>
      <c r="BH275" s="57">
        <v>2096</v>
      </c>
      <c r="BI275" s="2"/>
      <c r="BJ275" s="3" t="s">
        <v>591</v>
      </c>
      <c r="BK275"/>
      <c r="BL275"/>
      <c r="BM275"/>
      <c r="BR275"/>
    </row>
    <row r="276" spans="1:70" ht="28.5" x14ac:dyDescent="0.45">
      <c r="A276" s="2" t="s">
        <v>13</v>
      </c>
      <c r="B276" s="54" t="s">
        <v>17</v>
      </c>
      <c r="C276" s="3">
        <v>45274</v>
      </c>
      <c r="D276" s="8">
        <v>1</v>
      </c>
      <c r="E276" s="2" t="s">
        <v>381</v>
      </c>
      <c r="F276" s="4" t="s">
        <v>15</v>
      </c>
      <c r="G276" s="4" t="s">
        <v>577</v>
      </c>
      <c r="H276" s="4" t="s">
        <v>378</v>
      </c>
      <c r="I276" s="7">
        <v>0.19209999999999999</v>
      </c>
      <c r="J276" s="7">
        <v>0.19209999999999999</v>
      </c>
      <c r="K276" s="50">
        <v>2.7000000000000001E-3</v>
      </c>
      <c r="L276" s="7">
        <v>0.186</v>
      </c>
      <c r="M276" s="7">
        <v>0.19040000000000001</v>
      </c>
      <c r="N276" s="7">
        <v>-0.39</v>
      </c>
      <c r="O276" s="4"/>
      <c r="P276" s="7">
        <v>1.2735000000000001</v>
      </c>
      <c r="T276" s="7">
        <v>62.8</v>
      </c>
      <c r="U276" s="7">
        <v>623</v>
      </c>
      <c r="V276" s="7">
        <v>757</v>
      </c>
      <c r="W276" s="4" t="s">
        <v>224</v>
      </c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>
        <v>117</v>
      </c>
      <c r="BB276" s="2"/>
      <c r="BC276" s="2"/>
      <c r="BD276" s="2">
        <v>24.2</v>
      </c>
      <c r="BE276" s="42">
        <v>1003</v>
      </c>
      <c r="BF276" s="43">
        <v>49</v>
      </c>
      <c r="BG276" s="44">
        <v>1.169</v>
      </c>
      <c r="BH276" s="2">
        <v>2096</v>
      </c>
      <c r="BI276" s="2"/>
      <c r="BJ276" s="3" t="s">
        <v>412</v>
      </c>
      <c r="BK276"/>
      <c r="BL276"/>
      <c r="BM276"/>
      <c r="BR276"/>
    </row>
    <row r="277" spans="1:70" ht="28.5" x14ac:dyDescent="0.45">
      <c r="A277" s="2" t="s">
        <v>13</v>
      </c>
      <c r="B277" s="54" t="s">
        <v>17</v>
      </c>
      <c r="C277" s="3">
        <v>45274</v>
      </c>
      <c r="D277" s="8">
        <v>2</v>
      </c>
      <c r="E277" s="2" t="s">
        <v>549</v>
      </c>
      <c r="F277" s="4" t="s">
        <v>15</v>
      </c>
      <c r="G277" s="4" t="s">
        <v>577</v>
      </c>
      <c r="H277" s="4" t="s">
        <v>378</v>
      </c>
      <c r="I277" s="7">
        <v>0.19450000000000001</v>
      </c>
      <c r="J277" s="7">
        <v>0.19450000000000001</v>
      </c>
      <c r="K277" s="50">
        <v>3.7000000000000002E-3</v>
      </c>
      <c r="L277" s="7">
        <v>0.188</v>
      </c>
      <c r="M277" s="7">
        <v>0.19339999999999999</v>
      </c>
      <c r="O277" s="4"/>
      <c r="P277" s="7">
        <v>1.2735000000000001</v>
      </c>
      <c r="T277" s="7">
        <v>63.6</v>
      </c>
      <c r="U277" s="7">
        <v>645</v>
      </c>
      <c r="V277" s="7">
        <v>757.6</v>
      </c>
      <c r="W277" s="4" t="s">
        <v>224</v>
      </c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117</v>
      </c>
      <c r="BB277" s="2"/>
      <c r="BC277" s="2"/>
      <c r="BD277" s="2">
        <v>24.3</v>
      </c>
      <c r="BE277" s="42">
        <v>1003</v>
      </c>
      <c r="BF277" s="43">
        <v>49</v>
      </c>
      <c r="BG277" s="44">
        <v>1.169</v>
      </c>
      <c r="BH277" s="2">
        <v>2096</v>
      </c>
      <c r="BI277" s="2"/>
      <c r="BJ277" s="3" t="s">
        <v>413</v>
      </c>
      <c r="BK277"/>
      <c r="BL277"/>
      <c r="BM277"/>
      <c r="BR277"/>
    </row>
    <row r="278" spans="1:70" ht="28.5" x14ac:dyDescent="0.45">
      <c r="A278" s="2" t="s">
        <v>13</v>
      </c>
      <c r="B278" s="54" t="s">
        <v>17</v>
      </c>
      <c r="C278" s="3">
        <v>45274</v>
      </c>
      <c r="D278" s="8">
        <v>3</v>
      </c>
      <c r="E278" s="2" t="s">
        <v>549</v>
      </c>
      <c r="F278" s="39" t="s">
        <v>566</v>
      </c>
      <c r="G278" s="4" t="s">
        <v>578</v>
      </c>
      <c r="H278" s="4" t="s">
        <v>378</v>
      </c>
      <c r="I278" s="7">
        <v>0.19370000000000001</v>
      </c>
      <c r="J278" s="7">
        <v>0.19370000000000001</v>
      </c>
      <c r="K278" s="50">
        <v>3.8999999999999998E-3</v>
      </c>
      <c r="L278" s="7">
        <v>0.184</v>
      </c>
      <c r="M278" s="7">
        <v>0.18959999999999999</v>
      </c>
      <c r="N278" s="7">
        <v>-0.48</v>
      </c>
      <c r="O278" s="4"/>
      <c r="P278" s="7">
        <v>1.2735000000000001</v>
      </c>
      <c r="T278" s="7">
        <v>63.6</v>
      </c>
      <c r="U278" s="7">
        <v>622</v>
      </c>
      <c r="V278" s="7">
        <v>757.3</v>
      </c>
      <c r="W278" s="4" t="s">
        <v>224</v>
      </c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117</v>
      </c>
      <c r="BB278" s="2"/>
      <c r="BC278" s="2"/>
      <c r="BD278" s="2">
        <v>24.6</v>
      </c>
      <c r="BE278" s="42">
        <v>1003</v>
      </c>
      <c r="BF278" s="43">
        <v>49</v>
      </c>
      <c r="BG278" s="44">
        <v>1.167</v>
      </c>
      <c r="BH278" s="2">
        <v>2096</v>
      </c>
      <c r="BI278" s="2"/>
      <c r="BJ278" s="3" t="s">
        <v>414</v>
      </c>
      <c r="BK278"/>
      <c r="BL278"/>
      <c r="BM278"/>
      <c r="BR278"/>
    </row>
    <row r="279" spans="1:70" ht="28.5" x14ac:dyDescent="0.45">
      <c r="A279" s="2" t="s">
        <v>13</v>
      </c>
      <c r="B279" s="54" t="s">
        <v>17</v>
      </c>
      <c r="C279" s="3">
        <v>45274</v>
      </c>
      <c r="D279" s="8">
        <v>4</v>
      </c>
      <c r="E279" s="2" t="s">
        <v>549</v>
      </c>
      <c r="F279" s="39" t="s">
        <v>567</v>
      </c>
      <c r="G279" s="4" t="s">
        <v>578</v>
      </c>
      <c r="H279" s="4" t="s">
        <v>378</v>
      </c>
      <c r="I279" s="7">
        <v>0.18920000000000001</v>
      </c>
      <c r="J279" s="7">
        <v>0.18920000000000001</v>
      </c>
      <c r="K279" s="50">
        <v>2.8999999999999998E-3</v>
      </c>
      <c r="L279" s="7">
        <v>0.183</v>
      </c>
      <c r="M279" s="7">
        <v>0.1865</v>
      </c>
      <c r="N279" s="7">
        <v>-0.42</v>
      </c>
      <c r="O279" s="4"/>
      <c r="P279" s="7">
        <v>1.2735000000000001</v>
      </c>
      <c r="T279" s="7">
        <v>63.7</v>
      </c>
      <c r="U279" s="7">
        <v>629</v>
      </c>
      <c r="V279" s="7">
        <v>758</v>
      </c>
      <c r="W279" s="4" t="s">
        <v>224</v>
      </c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25.5</v>
      </c>
      <c r="BE279" s="42">
        <v>1003</v>
      </c>
      <c r="BF279" s="43">
        <v>47</v>
      </c>
      <c r="BG279" s="44">
        <v>1.1639999999999999</v>
      </c>
      <c r="BH279" s="2">
        <v>2096</v>
      </c>
      <c r="BI279" s="2"/>
      <c r="BJ279" s="3" t="s">
        <v>415</v>
      </c>
      <c r="BK279"/>
      <c r="BL279"/>
      <c r="BM279"/>
      <c r="BR279"/>
    </row>
    <row r="280" spans="1:70" ht="28.5" x14ac:dyDescent="0.45">
      <c r="A280" s="2" t="s">
        <v>13</v>
      </c>
      <c r="B280" s="54" t="s">
        <v>17</v>
      </c>
      <c r="C280" s="3">
        <v>45274</v>
      </c>
      <c r="D280" s="8">
        <v>5</v>
      </c>
      <c r="E280" s="2" t="s">
        <v>550</v>
      </c>
      <c r="F280" s="39" t="s">
        <v>567</v>
      </c>
      <c r="G280" s="4" t="s">
        <v>578</v>
      </c>
      <c r="H280" s="4" t="s">
        <v>378</v>
      </c>
      <c r="I280" s="7">
        <v>0.19009999999999999</v>
      </c>
      <c r="J280" s="7">
        <v>0.19009999999999999</v>
      </c>
      <c r="K280" s="50">
        <v>1.5E-3</v>
      </c>
      <c r="L280" s="7">
        <v>0.18099999999999999</v>
      </c>
      <c r="M280" s="7">
        <v>0.18509999999999999</v>
      </c>
      <c r="N280" s="7">
        <v>-0.45</v>
      </c>
      <c r="O280" s="4"/>
      <c r="P280" s="7">
        <v>1.2735000000000001</v>
      </c>
      <c r="T280" s="7">
        <v>63.4</v>
      </c>
      <c r="U280" s="7">
        <v>609</v>
      </c>
      <c r="V280" s="7">
        <v>758.1</v>
      </c>
      <c r="W280" s="4" t="s">
        <v>224</v>
      </c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117</v>
      </c>
      <c r="BB280" s="2"/>
      <c r="BC280" s="2"/>
      <c r="BD280" s="2">
        <v>25.5</v>
      </c>
      <c r="BE280" s="42">
        <v>1003</v>
      </c>
      <c r="BF280" s="43">
        <v>47</v>
      </c>
      <c r="BG280" s="44">
        <v>1.1639999999999999</v>
      </c>
      <c r="BH280" s="2">
        <v>2096</v>
      </c>
      <c r="BI280" s="2"/>
      <c r="BJ280" s="3" t="s">
        <v>416</v>
      </c>
      <c r="BK280"/>
      <c r="BL280"/>
      <c r="BM280"/>
      <c r="BR280"/>
    </row>
    <row r="281" spans="1:70" ht="28.5" x14ac:dyDescent="0.45">
      <c r="A281" s="2" t="s">
        <v>13</v>
      </c>
      <c r="B281" s="54" t="s">
        <v>17</v>
      </c>
      <c r="C281" s="3">
        <v>45274</v>
      </c>
      <c r="D281" s="8">
        <v>6</v>
      </c>
      <c r="E281" s="2" t="s">
        <v>381</v>
      </c>
      <c r="F281" s="4" t="s">
        <v>15</v>
      </c>
      <c r="G281" s="4" t="s">
        <v>577</v>
      </c>
      <c r="H281" s="4" t="s">
        <v>378</v>
      </c>
      <c r="I281" s="7">
        <v>0.19270000000000001</v>
      </c>
      <c r="J281" s="7">
        <v>0.19270000000000001</v>
      </c>
      <c r="K281" s="50">
        <v>3.7000000000000002E-3</v>
      </c>
      <c r="L281" s="7">
        <v>0.183</v>
      </c>
      <c r="M281" s="7">
        <v>0.18840000000000001</v>
      </c>
      <c r="N281" s="7">
        <v>-0.43</v>
      </c>
      <c r="O281" s="4"/>
      <c r="P281" s="7">
        <v>1.2735000000000001</v>
      </c>
      <c r="T281" s="7">
        <v>63.8</v>
      </c>
      <c r="U281" s="7">
        <v>625</v>
      </c>
      <c r="V281" s="7">
        <v>757.3</v>
      </c>
      <c r="W281" s="4" t="s">
        <v>224</v>
      </c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26.1</v>
      </c>
      <c r="BE281" s="42">
        <v>1004</v>
      </c>
      <c r="BF281" s="43">
        <v>46</v>
      </c>
      <c r="BG281" s="44">
        <v>1.1619999999999999</v>
      </c>
      <c r="BH281" s="2">
        <v>2096</v>
      </c>
      <c r="BI281" s="2"/>
      <c r="BJ281" s="3" t="s">
        <v>405</v>
      </c>
      <c r="BK281"/>
      <c r="BL281"/>
      <c r="BM281"/>
      <c r="BR281"/>
    </row>
    <row r="282" spans="1:70" x14ac:dyDescent="0.45">
      <c r="A282" s="2" t="s">
        <v>13</v>
      </c>
      <c r="B282" s="54" t="s">
        <v>17</v>
      </c>
      <c r="C282" s="3">
        <v>45274</v>
      </c>
      <c r="D282" s="8">
        <v>7</v>
      </c>
      <c r="E282" s="2" t="s">
        <v>549</v>
      </c>
      <c r="F282" s="39" t="s">
        <v>566</v>
      </c>
      <c r="G282" s="4" t="s">
        <v>578</v>
      </c>
      <c r="H282" s="4" t="s">
        <v>378</v>
      </c>
      <c r="I282" s="7">
        <v>0.1958</v>
      </c>
      <c r="J282" s="7">
        <v>0.1958</v>
      </c>
      <c r="K282" s="50">
        <v>3.0999999999999999E-3</v>
      </c>
      <c r="L282" s="7">
        <v>0.184</v>
      </c>
      <c r="M282" s="7">
        <v>0.19040000000000001</v>
      </c>
      <c r="N282" s="7">
        <v>-0.47</v>
      </c>
      <c r="O282" s="4"/>
      <c r="P282" s="7">
        <v>1.2735000000000001</v>
      </c>
      <c r="T282" s="7">
        <v>62.4</v>
      </c>
      <c r="U282" s="7">
        <v>590</v>
      </c>
      <c r="V282" s="7">
        <v>757.6</v>
      </c>
      <c r="W282" s="4" t="s">
        <v>224</v>
      </c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>
        <v>117</v>
      </c>
      <c r="BB282" s="2"/>
      <c r="BC282" s="2"/>
      <c r="BD282" s="2">
        <v>26.2</v>
      </c>
      <c r="BE282" s="42">
        <v>1004</v>
      </c>
      <c r="BF282" s="43">
        <v>46</v>
      </c>
      <c r="BG282" s="44">
        <v>1.161</v>
      </c>
      <c r="BH282" s="2">
        <v>2096</v>
      </c>
      <c r="BI282" s="2"/>
      <c r="BJ282" s="3"/>
      <c r="BK282"/>
      <c r="BL282"/>
      <c r="BM282"/>
      <c r="BR282"/>
    </row>
    <row r="283" spans="1:70" ht="28.5" x14ac:dyDescent="0.45">
      <c r="A283" s="2" t="s">
        <v>13</v>
      </c>
      <c r="B283" s="54" t="s">
        <v>17</v>
      </c>
      <c r="C283" s="3">
        <v>45274</v>
      </c>
      <c r="D283" s="8">
        <v>8</v>
      </c>
      <c r="E283" s="2" t="s">
        <v>549</v>
      </c>
      <c r="F283" s="39" t="s">
        <v>567</v>
      </c>
      <c r="G283" s="4" t="s">
        <v>578</v>
      </c>
      <c r="H283" s="4" t="s">
        <v>378</v>
      </c>
      <c r="I283" s="7">
        <v>0.18790000000000001</v>
      </c>
      <c r="J283" s="7">
        <v>0.18790000000000001</v>
      </c>
      <c r="K283" s="50">
        <v>1.6999999999999999E-3</v>
      </c>
      <c r="L283" s="7">
        <v>0.182</v>
      </c>
      <c r="M283" s="7">
        <v>0.18440000000000001</v>
      </c>
      <c r="N283" s="7">
        <v>-0.51</v>
      </c>
      <c r="O283" s="4"/>
      <c r="P283" s="7">
        <v>1.2735000000000001</v>
      </c>
      <c r="T283" s="7">
        <v>63.3</v>
      </c>
      <c r="U283" s="7">
        <v>604</v>
      </c>
      <c r="V283" s="7">
        <v>758.2</v>
      </c>
      <c r="W283" s="4" t="s">
        <v>224</v>
      </c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26.2</v>
      </c>
      <c r="BE283" s="42">
        <v>1004</v>
      </c>
      <c r="BF283" s="43">
        <v>46</v>
      </c>
      <c r="BG283" s="44">
        <v>1.161</v>
      </c>
      <c r="BH283" s="2">
        <v>2096</v>
      </c>
      <c r="BI283" s="2"/>
      <c r="BJ283" s="3" t="s">
        <v>406</v>
      </c>
      <c r="BK283"/>
      <c r="BL283"/>
      <c r="BM283"/>
      <c r="BR283"/>
    </row>
    <row r="284" spans="1:70" ht="28.5" x14ac:dyDescent="0.45">
      <c r="A284" s="2" t="s">
        <v>13</v>
      </c>
      <c r="B284" s="54" t="s">
        <v>17</v>
      </c>
      <c r="C284" s="3">
        <v>45274</v>
      </c>
      <c r="D284" s="8">
        <v>9</v>
      </c>
      <c r="E284" s="2" t="s">
        <v>550</v>
      </c>
      <c r="F284" s="39" t="s">
        <v>567</v>
      </c>
      <c r="G284" s="4" t="s">
        <v>578</v>
      </c>
      <c r="H284" s="4" t="s">
        <v>378</v>
      </c>
      <c r="I284" s="7">
        <v>0.188</v>
      </c>
      <c r="J284" s="7">
        <v>0.188</v>
      </c>
      <c r="K284" s="50">
        <v>3.0999999999999999E-3</v>
      </c>
      <c r="L284" s="7"/>
      <c r="M284" s="7">
        <v>0.18440000000000001</v>
      </c>
      <c r="N284" s="7">
        <v>-0.5</v>
      </c>
      <c r="O284" s="4"/>
      <c r="P284" s="7">
        <v>1.2735000000000001</v>
      </c>
      <c r="T284" s="7">
        <v>64</v>
      </c>
      <c r="U284" s="7">
        <v>608</v>
      </c>
      <c r="V284" s="7">
        <v>757.5</v>
      </c>
      <c r="W284" s="4" t="s">
        <v>224</v>
      </c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26.3</v>
      </c>
      <c r="BE284" s="42">
        <v>1004</v>
      </c>
      <c r="BF284" s="43">
        <v>46</v>
      </c>
      <c r="BG284" s="44">
        <v>1.161</v>
      </c>
      <c r="BH284" s="2">
        <v>2096</v>
      </c>
      <c r="BI284" s="2"/>
      <c r="BJ284" s="3" t="s">
        <v>407</v>
      </c>
      <c r="BK284"/>
      <c r="BL284"/>
      <c r="BM284"/>
      <c r="BR284"/>
    </row>
    <row r="285" spans="1:70" ht="42.75" x14ac:dyDescent="0.45">
      <c r="A285" s="2" t="s">
        <v>379</v>
      </c>
      <c r="B285" s="54" t="s">
        <v>380</v>
      </c>
      <c r="C285" s="3">
        <v>45274</v>
      </c>
      <c r="D285" s="8">
        <v>2</v>
      </c>
      <c r="E285" s="2" t="s">
        <v>381</v>
      </c>
      <c r="F285" s="4" t="s">
        <v>570</v>
      </c>
      <c r="G285" s="4" t="s">
        <v>578</v>
      </c>
      <c r="H285" s="4" t="s">
        <v>330</v>
      </c>
      <c r="I285" s="7"/>
      <c r="K285" s="50"/>
      <c r="L285" s="7"/>
      <c r="M285" s="7">
        <v>0.18140000000000001</v>
      </c>
      <c r="O285" s="4"/>
      <c r="T285" s="7">
        <v>63.9</v>
      </c>
      <c r="U285" s="7">
        <v>623</v>
      </c>
      <c r="V285" s="7">
        <v>253</v>
      </c>
      <c r="W285" s="4" t="s">
        <v>576</v>
      </c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111.6</v>
      </c>
      <c r="BB285" s="2"/>
      <c r="BC285" s="2"/>
      <c r="BD285" s="2">
        <v>24.2</v>
      </c>
      <c r="BE285" s="42">
        <v>1003</v>
      </c>
      <c r="BF285" s="43">
        <v>49</v>
      </c>
      <c r="BG285" s="44">
        <v>1.169</v>
      </c>
      <c r="BH285" s="2">
        <v>2096</v>
      </c>
      <c r="BI285" s="2" t="s">
        <v>382</v>
      </c>
      <c r="BJ285" s="3" t="s">
        <v>408</v>
      </c>
      <c r="BK285"/>
      <c r="BL285"/>
      <c r="BM285"/>
      <c r="BR285"/>
    </row>
    <row r="286" spans="1:70" ht="42.75" x14ac:dyDescent="0.45">
      <c r="A286" s="2" t="s">
        <v>379</v>
      </c>
      <c r="B286" s="54" t="s">
        <v>380</v>
      </c>
      <c r="C286" s="3">
        <v>45274</v>
      </c>
      <c r="D286" s="8">
        <v>3</v>
      </c>
      <c r="E286" s="2" t="s">
        <v>381</v>
      </c>
      <c r="F286" s="4" t="s">
        <v>15</v>
      </c>
      <c r="G286" s="4" t="s">
        <v>577</v>
      </c>
      <c r="H286" s="4" t="s">
        <v>330</v>
      </c>
      <c r="I286" s="7"/>
      <c r="K286" s="50"/>
      <c r="L286" s="7"/>
      <c r="M286" s="7">
        <v>0.1948</v>
      </c>
      <c r="O286" s="4"/>
      <c r="T286" s="7">
        <v>62.4</v>
      </c>
      <c r="U286" s="7">
        <v>617</v>
      </c>
      <c r="V286" s="7">
        <v>252.4</v>
      </c>
      <c r="W286" s="4" t="s">
        <v>576</v>
      </c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2">
        <v>24.6</v>
      </c>
      <c r="BE286" s="42">
        <v>1003</v>
      </c>
      <c r="BF286" s="43">
        <v>49</v>
      </c>
      <c r="BG286" s="44">
        <v>1.167</v>
      </c>
      <c r="BH286" s="2">
        <v>2096</v>
      </c>
      <c r="BI286" s="2" t="s">
        <v>382</v>
      </c>
      <c r="BJ286" s="3" t="s">
        <v>409</v>
      </c>
      <c r="BK286"/>
      <c r="BL286"/>
      <c r="BM286"/>
      <c r="BR286"/>
    </row>
    <row r="287" spans="1:70" ht="42.75" x14ac:dyDescent="0.45">
      <c r="A287" s="2" t="s">
        <v>379</v>
      </c>
      <c r="B287" s="54" t="s">
        <v>380</v>
      </c>
      <c r="C287" s="3">
        <v>45274</v>
      </c>
      <c r="D287" s="8">
        <v>4</v>
      </c>
      <c r="E287" s="2" t="s">
        <v>381</v>
      </c>
      <c r="F287" s="4" t="s">
        <v>570</v>
      </c>
      <c r="G287" s="4" t="s">
        <v>578</v>
      </c>
      <c r="H287" s="4" t="s">
        <v>330</v>
      </c>
      <c r="I287" s="7"/>
      <c r="K287" s="50"/>
      <c r="L287" s="7"/>
      <c r="M287" s="7">
        <v>0.18640000000000001</v>
      </c>
      <c r="O287" s="4"/>
      <c r="T287" s="7">
        <v>63.7</v>
      </c>
      <c r="U287" s="7">
        <v>616</v>
      </c>
      <c r="V287" s="7">
        <v>252.6</v>
      </c>
      <c r="W287" s="4" t="s">
        <v>576</v>
      </c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25.1</v>
      </c>
      <c r="BE287" s="42">
        <v>1004</v>
      </c>
      <c r="BF287" s="43">
        <v>47</v>
      </c>
      <c r="BG287" s="44">
        <v>1.1659999999999999</v>
      </c>
      <c r="BH287" s="2">
        <v>2096</v>
      </c>
      <c r="BI287" s="2" t="s">
        <v>382</v>
      </c>
      <c r="BJ287" s="3" t="s">
        <v>410</v>
      </c>
      <c r="BK287"/>
      <c r="BL287"/>
      <c r="BM287"/>
      <c r="BR287"/>
    </row>
    <row r="288" spans="1:70" ht="42.75" x14ac:dyDescent="0.45">
      <c r="A288" s="2" t="s">
        <v>379</v>
      </c>
      <c r="B288" s="54" t="s">
        <v>380</v>
      </c>
      <c r="C288" s="3">
        <v>45274</v>
      </c>
      <c r="D288" s="8">
        <v>5</v>
      </c>
      <c r="E288" s="2" t="s">
        <v>381</v>
      </c>
      <c r="F288" s="4" t="s">
        <v>15</v>
      </c>
      <c r="G288" s="4" t="s">
        <v>577</v>
      </c>
      <c r="H288" s="4" t="s">
        <v>330</v>
      </c>
      <c r="I288" s="7"/>
      <c r="K288" s="50"/>
      <c r="L288" s="7"/>
      <c r="M288" s="7">
        <v>0.1943</v>
      </c>
      <c r="O288" s="4"/>
      <c r="T288" s="7">
        <v>62.6</v>
      </c>
      <c r="U288" s="7">
        <v>551</v>
      </c>
      <c r="V288" s="7">
        <v>253.1</v>
      </c>
      <c r="W288" s="4" t="s">
        <v>576</v>
      </c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>
        <v>111.6</v>
      </c>
      <c r="BB288" s="2"/>
      <c r="BC288" s="2"/>
      <c r="BD288" s="2">
        <v>25.1</v>
      </c>
      <c r="BE288" s="42">
        <v>1004</v>
      </c>
      <c r="BF288" s="43">
        <v>47</v>
      </c>
      <c r="BG288" s="44">
        <v>1.1659999999999999</v>
      </c>
      <c r="BH288" s="2">
        <v>2096</v>
      </c>
      <c r="BI288" s="2" t="s">
        <v>382</v>
      </c>
      <c r="BJ288" s="3" t="s">
        <v>411</v>
      </c>
      <c r="BK288"/>
      <c r="BL288"/>
      <c r="BM288"/>
      <c r="BR288"/>
    </row>
    <row r="289" spans="1:70" ht="28.5" x14ac:dyDescent="0.45">
      <c r="A289" s="2" t="s">
        <v>43</v>
      </c>
      <c r="B289" s="54" t="s">
        <v>44</v>
      </c>
      <c r="C289" s="3">
        <v>45278</v>
      </c>
      <c r="D289" s="8">
        <v>1</v>
      </c>
      <c r="E289" s="2" t="s">
        <v>353</v>
      </c>
      <c r="F289" s="4" t="s">
        <v>15</v>
      </c>
      <c r="G289" s="4" t="s">
        <v>15</v>
      </c>
      <c r="H289" s="4" t="s">
        <v>330</v>
      </c>
      <c r="I289" s="7">
        <v>0.1694</v>
      </c>
      <c r="J289" s="7">
        <v>0.1694</v>
      </c>
      <c r="K289" s="50">
        <v>8.0000000000000004E-4</v>
      </c>
      <c r="L289" s="7">
        <v>0.16700000000000001</v>
      </c>
      <c r="M289" s="7">
        <v>0.16980000000000001</v>
      </c>
      <c r="N289" s="7">
        <v>-0.36</v>
      </c>
      <c r="O289" s="4"/>
      <c r="P289" s="7">
        <v>1.276</v>
      </c>
      <c r="T289" s="7">
        <v>61.2</v>
      </c>
      <c r="U289" s="7">
        <v>497</v>
      </c>
      <c r="V289" s="7">
        <v>755.8</v>
      </c>
      <c r="W289" s="4" t="s">
        <v>77</v>
      </c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4">
        <v>113.4</v>
      </c>
      <c r="BB289" s="2"/>
      <c r="BC289" s="2"/>
      <c r="BD289" s="2">
        <v>25.4</v>
      </c>
      <c r="BE289" s="42">
        <v>1013</v>
      </c>
      <c r="BF289" s="43">
        <v>58</v>
      </c>
      <c r="BG289" s="44">
        <v>1.1739999999999999</v>
      </c>
      <c r="BH289" s="2">
        <v>2096</v>
      </c>
      <c r="BI289" s="2"/>
      <c r="BJ289" s="3" t="s">
        <v>390</v>
      </c>
      <c r="BK289"/>
      <c r="BL289"/>
      <c r="BM289"/>
      <c r="BR289"/>
    </row>
    <row r="290" spans="1:70" ht="28.5" x14ac:dyDescent="0.45">
      <c r="A290" s="2" t="s">
        <v>43</v>
      </c>
      <c r="B290" s="54" t="s">
        <v>44</v>
      </c>
      <c r="C290" s="3">
        <v>45278</v>
      </c>
      <c r="D290" s="8">
        <v>2</v>
      </c>
      <c r="E290" s="2" t="s">
        <v>551</v>
      </c>
      <c r="F290" s="39" t="s">
        <v>329</v>
      </c>
      <c r="G290" s="4" t="s">
        <v>578</v>
      </c>
      <c r="H290" s="4" t="s">
        <v>330</v>
      </c>
      <c r="I290" s="7">
        <v>0.16170000000000001</v>
      </c>
      <c r="J290" s="7">
        <v>0.16170000000000001</v>
      </c>
      <c r="K290" s="50">
        <v>1.6999999999999999E-3</v>
      </c>
      <c r="L290" s="7">
        <v>0.159</v>
      </c>
      <c r="M290" s="7">
        <v>0.1593</v>
      </c>
      <c r="N290" s="7">
        <v>-0.4</v>
      </c>
      <c r="O290" s="4"/>
      <c r="P290" s="7">
        <v>1.276</v>
      </c>
      <c r="T290" s="7">
        <v>62.8</v>
      </c>
      <c r="U290" s="7">
        <v>507</v>
      </c>
      <c r="V290" s="7">
        <v>756.3</v>
      </c>
      <c r="W290" s="4" t="s">
        <v>77</v>
      </c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>
        <v>113.4</v>
      </c>
      <c r="BB290" s="2"/>
      <c r="BC290" s="2"/>
      <c r="BD290" s="2">
        <v>25.4</v>
      </c>
      <c r="BE290" s="42">
        <v>1013</v>
      </c>
      <c r="BF290" s="43">
        <v>58</v>
      </c>
      <c r="BG290" s="44">
        <v>1.1739999999999999</v>
      </c>
      <c r="BH290" s="2">
        <v>2096</v>
      </c>
      <c r="BI290" s="2"/>
      <c r="BJ290" s="3" t="s">
        <v>391</v>
      </c>
      <c r="BK290"/>
      <c r="BL290"/>
      <c r="BM290"/>
      <c r="BR290"/>
    </row>
    <row r="291" spans="1:70" ht="28.5" x14ac:dyDescent="0.45">
      <c r="A291" s="2" t="s">
        <v>43</v>
      </c>
      <c r="B291" s="54" t="s">
        <v>44</v>
      </c>
      <c r="C291" s="3">
        <v>45278</v>
      </c>
      <c r="D291" s="8">
        <v>3</v>
      </c>
      <c r="E291" s="2" t="s">
        <v>551</v>
      </c>
      <c r="F291" s="39" t="s">
        <v>354</v>
      </c>
      <c r="G291" s="4" t="s">
        <v>578</v>
      </c>
      <c r="H291" s="4" t="s">
        <v>330</v>
      </c>
      <c r="I291" s="7">
        <v>0.16070000000000001</v>
      </c>
      <c r="J291" s="7">
        <v>0.16070000000000001</v>
      </c>
      <c r="K291" s="50">
        <v>5.1000000000000004E-3</v>
      </c>
      <c r="L291" s="7">
        <v>0.16200000000000001</v>
      </c>
      <c r="M291" s="7">
        <v>0.15939999999999999</v>
      </c>
      <c r="N291" s="7">
        <v>-0.47</v>
      </c>
      <c r="O291" s="4"/>
      <c r="P291" s="7">
        <v>1.276</v>
      </c>
      <c r="T291" s="7">
        <v>62.7</v>
      </c>
      <c r="U291" s="7">
        <v>509</v>
      </c>
      <c r="V291" s="7">
        <v>756.2</v>
      </c>
      <c r="W291" s="4" t="s">
        <v>77</v>
      </c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113.4</v>
      </c>
      <c r="BB291" s="2"/>
      <c r="BC291" s="2"/>
      <c r="BD291" s="2">
        <v>25.5</v>
      </c>
      <c r="BE291" s="42">
        <v>1013</v>
      </c>
      <c r="BF291" s="43">
        <v>58</v>
      </c>
      <c r="BG291" s="44">
        <v>1.173</v>
      </c>
      <c r="BH291" s="2">
        <v>2096</v>
      </c>
      <c r="BI291" s="2"/>
      <c r="BJ291" s="3" t="s">
        <v>392</v>
      </c>
      <c r="BK291"/>
      <c r="BL291"/>
      <c r="BM291"/>
      <c r="BR291"/>
    </row>
    <row r="292" spans="1:70" ht="28.5" x14ac:dyDescent="0.45">
      <c r="A292" s="2" t="s">
        <v>43</v>
      </c>
      <c r="B292" s="54" t="s">
        <v>44</v>
      </c>
      <c r="C292" s="3">
        <v>45278</v>
      </c>
      <c r="D292" s="8">
        <v>4</v>
      </c>
      <c r="E292" s="2" t="s">
        <v>353</v>
      </c>
      <c r="F292" s="4" t="s">
        <v>15</v>
      </c>
      <c r="G292" s="4" t="s">
        <v>15</v>
      </c>
      <c r="H292" s="4" t="s">
        <v>330</v>
      </c>
      <c r="I292" s="7">
        <v>0.16900000000000001</v>
      </c>
      <c r="J292" s="7">
        <v>0.16900000000000001</v>
      </c>
      <c r="K292" s="50">
        <v>2.0999999999999999E-3</v>
      </c>
      <c r="L292" s="7">
        <v>0.16700000000000001</v>
      </c>
      <c r="M292" s="7">
        <v>0.1681</v>
      </c>
      <c r="N292" s="7">
        <v>-0.46</v>
      </c>
      <c r="O292" s="4"/>
      <c r="P292" s="7">
        <v>1.276</v>
      </c>
      <c r="T292" s="7">
        <v>61.9</v>
      </c>
      <c r="U292" s="7">
        <v>513</v>
      </c>
      <c r="V292" s="7">
        <v>756</v>
      </c>
      <c r="W292" s="4" t="s">
        <v>77</v>
      </c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>
        <v>113.4</v>
      </c>
      <c r="BB292" s="2"/>
      <c r="BC292" s="2"/>
      <c r="BD292" s="2">
        <v>25.8</v>
      </c>
      <c r="BE292" s="42">
        <v>1013</v>
      </c>
      <c r="BF292" s="43">
        <v>58</v>
      </c>
      <c r="BG292" s="44">
        <v>1.1719999999999999</v>
      </c>
      <c r="BH292" s="2">
        <v>2096</v>
      </c>
      <c r="BI292" s="2"/>
      <c r="BJ292" s="3" t="s">
        <v>393</v>
      </c>
      <c r="BK292"/>
      <c r="BL292"/>
      <c r="BM292"/>
      <c r="BR292"/>
    </row>
    <row r="293" spans="1:70" ht="28.5" x14ac:dyDescent="0.45">
      <c r="A293" s="2" t="s">
        <v>43</v>
      </c>
      <c r="B293" s="54" t="s">
        <v>44</v>
      </c>
      <c r="C293" s="3">
        <v>45278</v>
      </c>
      <c r="D293" s="8">
        <v>5</v>
      </c>
      <c r="E293" s="2" t="s">
        <v>551</v>
      </c>
      <c r="F293" s="39" t="s">
        <v>329</v>
      </c>
      <c r="G293" s="4" t="s">
        <v>578</v>
      </c>
      <c r="H293" s="4" t="s">
        <v>330</v>
      </c>
      <c r="I293" s="7">
        <v>0.16</v>
      </c>
      <c r="J293" s="7">
        <v>0.16</v>
      </c>
      <c r="K293" s="50">
        <v>4.1999999999999997E-3</v>
      </c>
      <c r="L293" s="7">
        <v>0.159</v>
      </c>
      <c r="M293" s="7">
        <v>0.1598</v>
      </c>
      <c r="N293" s="7">
        <v>-0.43</v>
      </c>
      <c r="O293" s="4"/>
      <c r="P293" s="7">
        <v>1.276</v>
      </c>
      <c r="T293" s="7">
        <v>62.5</v>
      </c>
      <c r="U293" s="7">
        <v>506</v>
      </c>
      <c r="V293" s="7">
        <v>755.8</v>
      </c>
      <c r="W293" s="4" t="s">
        <v>77</v>
      </c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113.4</v>
      </c>
      <c r="BB293" s="2"/>
      <c r="BC293" s="2"/>
      <c r="BD293" s="2">
        <v>25.8</v>
      </c>
      <c r="BE293" s="42">
        <v>1013</v>
      </c>
      <c r="BF293" s="43">
        <v>58</v>
      </c>
      <c r="BG293" s="44">
        <v>1.1719999999999999</v>
      </c>
      <c r="BH293" s="2">
        <v>2096</v>
      </c>
      <c r="BI293" s="2"/>
      <c r="BJ293" s="3" t="s">
        <v>394</v>
      </c>
      <c r="BK293"/>
      <c r="BL293"/>
      <c r="BM293"/>
      <c r="BR293"/>
    </row>
    <row r="294" spans="1:70" ht="28.5" x14ac:dyDescent="0.45">
      <c r="A294" s="2" t="s">
        <v>43</v>
      </c>
      <c r="B294" s="54" t="s">
        <v>44</v>
      </c>
      <c r="C294" s="3">
        <v>45278</v>
      </c>
      <c r="D294" s="8">
        <v>6</v>
      </c>
      <c r="E294" s="2" t="s">
        <v>551</v>
      </c>
      <c r="F294" s="39" t="s">
        <v>354</v>
      </c>
      <c r="G294" s="4" t="s">
        <v>578</v>
      </c>
      <c r="H294" s="4" t="s">
        <v>330</v>
      </c>
      <c r="I294" s="7">
        <v>0.16070000000000001</v>
      </c>
      <c r="J294" s="7">
        <v>0.16070000000000001</v>
      </c>
      <c r="K294" s="50">
        <v>4.1000000000000003E-3</v>
      </c>
      <c r="L294" s="7">
        <v>0.16300000000000001</v>
      </c>
      <c r="M294" s="7">
        <v>0.1593</v>
      </c>
      <c r="N294" s="7">
        <v>-0.49</v>
      </c>
      <c r="O294" s="4"/>
      <c r="P294" s="7">
        <v>1.276</v>
      </c>
      <c r="T294" s="7">
        <v>63.2</v>
      </c>
      <c r="U294" s="7">
        <v>520</v>
      </c>
      <c r="V294" s="7">
        <v>755.9</v>
      </c>
      <c r="W294" s="4" t="s">
        <v>77</v>
      </c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113.4</v>
      </c>
      <c r="BB294" s="2"/>
      <c r="BC294" s="2"/>
      <c r="BD294" s="2">
        <v>25.8</v>
      </c>
      <c r="BE294" s="42">
        <v>1013</v>
      </c>
      <c r="BF294" s="43">
        <v>58</v>
      </c>
      <c r="BG294" s="44">
        <v>1.1719999999999999</v>
      </c>
      <c r="BH294" s="2">
        <v>2096</v>
      </c>
      <c r="BI294" s="2"/>
      <c r="BJ294" s="3" t="s">
        <v>395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45278</v>
      </c>
      <c r="D295" s="8">
        <v>1</v>
      </c>
      <c r="E295" s="2" t="s">
        <v>550</v>
      </c>
      <c r="F295" s="4" t="s">
        <v>15</v>
      </c>
      <c r="G295" s="4" t="s">
        <v>15</v>
      </c>
      <c r="H295" s="4" t="s">
        <v>330</v>
      </c>
      <c r="I295" s="7">
        <v>0.16919999999999999</v>
      </c>
      <c r="J295" s="7">
        <v>0.16919999999999999</v>
      </c>
      <c r="K295" s="50">
        <v>3.3999999999999998E-3</v>
      </c>
      <c r="L295" s="7">
        <v>0.16600000000000001</v>
      </c>
      <c r="M295" s="7">
        <v>0.16789999999999999</v>
      </c>
      <c r="N295" s="7">
        <v>-0.47</v>
      </c>
      <c r="O295" s="4"/>
      <c r="P295" s="7">
        <v>1.266</v>
      </c>
      <c r="T295" s="7">
        <v>59</v>
      </c>
      <c r="U295" s="7">
        <v>448</v>
      </c>
      <c r="V295" s="7">
        <v>754.2</v>
      </c>
      <c r="W295" s="4" t="s">
        <v>48</v>
      </c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/>
      <c r="BB295" s="2"/>
      <c r="BC295" s="2"/>
      <c r="BD295" s="2"/>
      <c r="BE295" s="42"/>
      <c r="BF295" s="43"/>
      <c r="BG295" s="44"/>
      <c r="BH295" s="2"/>
      <c r="BI295" s="2"/>
      <c r="BJ295" s="3" t="s">
        <v>396</v>
      </c>
      <c r="BK295"/>
      <c r="BL295"/>
      <c r="BM295"/>
      <c r="BR295"/>
    </row>
    <row r="296" spans="1:70" ht="28.5" x14ac:dyDescent="0.45">
      <c r="A296" s="2" t="s">
        <v>43</v>
      </c>
      <c r="B296" s="54" t="s">
        <v>99</v>
      </c>
      <c r="C296" s="3">
        <v>45278</v>
      </c>
      <c r="D296" s="8">
        <v>2</v>
      </c>
      <c r="E296" s="2" t="s">
        <v>551</v>
      </c>
      <c r="F296" s="4" t="s">
        <v>15</v>
      </c>
      <c r="G296" s="4" t="s">
        <v>15</v>
      </c>
      <c r="H296" s="4" t="s">
        <v>330</v>
      </c>
      <c r="I296" s="7">
        <v>0.1704</v>
      </c>
      <c r="J296" s="7">
        <v>0.1704</v>
      </c>
      <c r="K296" s="50">
        <v>4.3E-3</v>
      </c>
      <c r="L296" s="7">
        <v>0.17</v>
      </c>
      <c r="M296" s="7">
        <v>0.16919999999999999</v>
      </c>
      <c r="N296" s="7">
        <v>-0.49</v>
      </c>
      <c r="O296" s="4"/>
      <c r="P296" s="7">
        <v>1.266</v>
      </c>
      <c r="T296" s="7">
        <v>58.4</v>
      </c>
      <c r="U296" s="7">
        <v>449</v>
      </c>
      <c r="V296" s="7">
        <v>755.1</v>
      </c>
      <c r="W296" s="4" t="s">
        <v>48</v>
      </c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/>
      <c r="BB296" s="2"/>
      <c r="BC296" s="2"/>
      <c r="BD296" s="2"/>
      <c r="BE296" s="42"/>
      <c r="BF296" s="43"/>
      <c r="BG296" s="44"/>
      <c r="BH296" s="2"/>
      <c r="BI296" s="2"/>
      <c r="BJ296" s="3" t="s">
        <v>384</v>
      </c>
      <c r="BK296"/>
      <c r="BL296"/>
      <c r="BM296"/>
      <c r="BR296"/>
    </row>
    <row r="297" spans="1:70" ht="28.5" x14ac:dyDescent="0.45">
      <c r="A297" s="2" t="s">
        <v>43</v>
      </c>
      <c r="B297" s="54" t="s">
        <v>99</v>
      </c>
      <c r="C297" s="3">
        <v>45278</v>
      </c>
      <c r="D297" s="8">
        <v>3</v>
      </c>
      <c r="E297" s="2" t="s">
        <v>552</v>
      </c>
      <c r="F297" s="4" t="s">
        <v>15</v>
      </c>
      <c r="G297" s="4" t="s">
        <v>15</v>
      </c>
      <c r="H297" s="4" t="s">
        <v>330</v>
      </c>
      <c r="I297" s="7">
        <v>0.16889999999999999</v>
      </c>
      <c r="J297" s="7">
        <v>0.17019999999999999</v>
      </c>
      <c r="K297" s="50">
        <v>2E-3</v>
      </c>
      <c r="L297" s="7">
        <v>0.16300000000000001</v>
      </c>
      <c r="M297" s="7">
        <v>0.1668</v>
      </c>
      <c r="N297" s="7">
        <v>-0.44</v>
      </c>
      <c r="O297" s="4"/>
      <c r="P297" s="7">
        <v>1.266</v>
      </c>
      <c r="T297" s="7">
        <v>58.8</v>
      </c>
      <c r="U297" s="7">
        <v>444</v>
      </c>
      <c r="V297" s="7">
        <v>754.2</v>
      </c>
      <c r="W297" s="4" t="s">
        <v>48</v>
      </c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/>
      <c r="BB297" s="2"/>
      <c r="BC297" s="2"/>
      <c r="BD297" s="2"/>
      <c r="BE297" s="42"/>
      <c r="BF297" s="43"/>
      <c r="BG297" s="44"/>
      <c r="BH297" s="2"/>
      <c r="BI297" s="2"/>
      <c r="BJ297" s="3" t="s">
        <v>385</v>
      </c>
      <c r="BK297"/>
      <c r="BL297"/>
      <c r="BM297"/>
      <c r="BR297"/>
    </row>
    <row r="298" spans="1:70" ht="28.5" x14ac:dyDescent="0.45">
      <c r="A298" s="2" t="s">
        <v>43</v>
      </c>
      <c r="B298" s="54" t="s">
        <v>99</v>
      </c>
      <c r="C298" s="3">
        <v>45278</v>
      </c>
      <c r="D298" s="8">
        <v>4</v>
      </c>
      <c r="E298" s="2" t="s">
        <v>550</v>
      </c>
      <c r="F298" s="4" t="s">
        <v>15</v>
      </c>
      <c r="G298" s="4" t="s">
        <v>15</v>
      </c>
      <c r="H298" s="4" t="s">
        <v>330</v>
      </c>
      <c r="I298" s="7">
        <v>0.17100000000000001</v>
      </c>
      <c r="J298" s="7">
        <v>0.17100000000000001</v>
      </c>
      <c r="K298" s="50">
        <v>3.0999999999999999E-3</v>
      </c>
      <c r="L298" s="7">
        <v>0.16700000000000001</v>
      </c>
      <c r="M298" s="7">
        <v>0.1676</v>
      </c>
      <c r="N298" s="7">
        <v>-0.48</v>
      </c>
      <c r="O298" s="4"/>
      <c r="P298" s="7">
        <v>1.266</v>
      </c>
      <c r="T298" s="7">
        <v>58.7</v>
      </c>
      <c r="U298" s="7">
        <v>443</v>
      </c>
      <c r="V298" s="7">
        <v>754.3</v>
      </c>
      <c r="W298" s="4" t="s">
        <v>48</v>
      </c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/>
      <c r="BB298" s="2"/>
      <c r="BC298" s="2"/>
      <c r="BD298" s="2"/>
      <c r="BE298" s="42"/>
      <c r="BF298" s="43"/>
      <c r="BG298" s="44"/>
      <c r="BH298" s="2"/>
      <c r="BI298" s="2"/>
      <c r="BJ298" s="3" t="s">
        <v>386</v>
      </c>
      <c r="BK298"/>
      <c r="BL298"/>
      <c r="BM298"/>
      <c r="BR298"/>
    </row>
    <row r="299" spans="1:70" ht="28.5" x14ac:dyDescent="0.45">
      <c r="A299" s="2" t="s">
        <v>43</v>
      </c>
      <c r="B299" s="54" t="s">
        <v>99</v>
      </c>
      <c r="C299" s="3">
        <v>45278</v>
      </c>
      <c r="D299" s="8">
        <v>5</v>
      </c>
      <c r="E299" s="2" t="s">
        <v>551</v>
      </c>
      <c r="F299" s="4" t="s">
        <v>15</v>
      </c>
      <c r="G299" s="4" t="s">
        <v>15</v>
      </c>
      <c r="H299" s="4" t="s">
        <v>330</v>
      </c>
      <c r="I299" s="7">
        <v>0.17430000000000001</v>
      </c>
      <c r="J299" s="7">
        <v>0.17430000000000001</v>
      </c>
      <c r="K299" s="50">
        <v>3.3999999999999998E-3</v>
      </c>
      <c r="L299" s="7"/>
      <c r="M299" s="7">
        <v>0.17100000000000001</v>
      </c>
      <c r="N299" s="7">
        <v>-0.46</v>
      </c>
      <c r="O299" s="4"/>
      <c r="P299" s="7">
        <v>1.266</v>
      </c>
      <c r="T299" s="7">
        <v>59</v>
      </c>
      <c r="U299" s="7">
        <v>449</v>
      </c>
      <c r="V299" s="7">
        <v>755</v>
      </c>
      <c r="W299" s="4" t="s">
        <v>48</v>
      </c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/>
      <c r="BB299" s="2"/>
      <c r="BC299" s="2"/>
      <c r="BD299" s="2"/>
      <c r="BE299" s="42"/>
      <c r="BF299" s="43"/>
      <c r="BG299" s="44"/>
      <c r="BH299" s="2"/>
      <c r="BI299" s="2"/>
      <c r="BJ299" s="3" t="s">
        <v>387</v>
      </c>
      <c r="BK299"/>
      <c r="BL299"/>
      <c r="BM299"/>
      <c r="BR299"/>
    </row>
    <row r="300" spans="1:70" ht="28.5" x14ac:dyDescent="0.45">
      <c r="A300" s="2" t="s">
        <v>43</v>
      </c>
      <c r="B300" s="54" t="s">
        <v>99</v>
      </c>
      <c r="C300" s="3">
        <v>45278</v>
      </c>
      <c r="D300" s="8">
        <v>6</v>
      </c>
      <c r="E300" s="2" t="s">
        <v>552</v>
      </c>
      <c r="F300" s="4" t="s">
        <v>15</v>
      </c>
      <c r="G300" s="4" t="s">
        <v>15</v>
      </c>
      <c r="H300" s="4" t="s">
        <v>330</v>
      </c>
      <c r="I300" s="7">
        <v>0.17030000000000001</v>
      </c>
      <c r="J300" s="7">
        <v>0.17150000000000001</v>
      </c>
      <c r="K300" s="50">
        <v>3.3999999999999998E-3</v>
      </c>
      <c r="L300" s="7">
        <v>0.16500000000000001</v>
      </c>
      <c r="M300" s="7">
        <v>0.16950000000000001</v>
      </c>
      <c r="N300" s="7">
        <v>-0.4</v>
      </c>
      <c r="O300" s="4"/>
      <c r="P300" s="7">
        <v>1.266</v>
      </c>
      <c r="T300" s="7">
        <v>59.3</v>
      </c>
      <c r="U300" s="7">
        <v>453</v>
      </c>
      <c r="V300" s="7">
        <v>754.9</v>
      </c>
      <c r="W300" s="4" t="s">
        <v>48</v>
      </c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/>
      <c r="BB300" s="2"/>
      <c r="BC300" s="2"/>
      <c r="BD300" s="2"/>
      <c r="BE300" s="42"/>
      <c r="BF300" s="43"/>
      <c r="BG300" s="44"/>
      <c r="BH300" s="2"/>
      <c r="BI300" s="2"/>
      <c r="BJ300" s="3" t="s">
        <v>388</v>
      </c>
      <c r="BK300"/>
      <c r="BL300"/>
      <c r="BM300"/>
      <c r="BR300"/>
    </row>
    <row r="301" spans="1:70" ht="28.5" x14ac:dyDescent="0.45">
      <c r="A301" s="2" t="s">
        <v>43</v>
      </c>
      <c r="B301" s="54" t="s">
        <v>99</v>
      </c>
      <c r="C301" s="3">
        <v>45278</v>
      </c>
      <c r="D301" s="8">
        <v>7</v>
      </c>
      <c r="E301" s="2" t="s">
        <v>552</v>
      </c>
      <c r="F301" s="4" t="s">
        <v>15</v>
      </c>
      <c r="G301" s="4" t="s">
        <v>15</v>
      </c>
      <c r="H301" s="4" t="s">
        <v>330</v>
      </c>
      <c r="I301" s="7">
        <v>0.17080000000000001</v>
      </c>
      <c r="J301" s="7">
        <v>0.17199999999999999</v>
      </c>
      <c r="K301" s="50">
        <v>1.4E-3</v>
      </c>
      <c r="L301" s="7">
        <v>0.16700000000000001</v>
      </c>
      <c r="M301" s="7">
        <v>0.16850000000000001</v>
      </c>
      <c r="N301" s="7">
        <v>-0.4</v>
      </c>
      <c r="O301" s="4"/>
      <c r="P301" s="7">
        <v>1.266</v>
      </c>
      <c r="T301" s="7">
        <v>59</v>
      </c>
      <c r="U301" s="7">
        <v>453</v>
      </c>
      <c r="V301" s="7">
        <v>754.7</v>
      </c>
      <c r="W301" s="4" t="s">
        <v>48</v>
      </c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/>
      <c r="BB301" s="2"/>
      <c r="BC301" s="2"/>
      <c r="BD301" s="2"/>
      <c r="BE301" s="42"/>
      <c r="BF301" s="43"/>
      <c r="BG301" s="44"/>
      <c r="BH301" s="2"/>
      <c r="BI301" s="2"/>
      <c r="BJ301" s="3" t="s">
        <v>389</v>
      </c>
      <c r="BK301"/>
      <c r="BL301"/>
      <c r="BM301"/>
      <c r="BR301"/>
    </row>
    <row r="302" spans="1:70" ht="28.5" x14ac:dyDescent="0.45">
      <c r="A302" s="2" t="s">
        <v>13</v>
      </c>
      <c r="B302" s="54" t="s">
        <v>28</v>
      </c>
      <c r="C302" s="3">
        <v>45278</v>
      </c>
      <c r="D302" s="8">
        <v>1</v>
      </c>
      <c r="E302" s="2" t="s">
        <v>353</v>
      </c>
      <c r="F302" s="4" t="s">
        <v>15</v>
      </c>
      <c r="G302" s="4" t="s">
        <v>577</v>
      </c>
      <c r="H302" s="4" t="s">
        <v>571</v>
      </c>
      <c r="I302" s="7">
        <v>0.1676</v>
      </c>
      <c r="J302" s="7">
        <v>0.1676</v>
      </c>
      <c r="K302" s="50">
        <v>4.0000000000000001E-3</v>
      </c>
      <c r="L302" s="7">
        <v>0.16500000000000001</v>
      </c>
      <c r="M302" s="7">
        <v>0.16239999999999999</v>
      </c>
      <c r="N302" s="7">
        <v>-0.56999999999999995</v>
      </c>
      <c r="O302" s="4"/>
      <c r="P302" s="7">
        <v>1.2275</v>
      </c>
      <c r="T302" s="7">
        <v>65.7</v>
      </c>
      <c r="U302" s="7">
        <v>606</v>
      </c>
      <c r="V302" s="7">
        <v>755.2</v>
      </c>
      <c r="W302" s="4" t="s">
        <v>224</v>
      </c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120.6</v>
      </c>
      <c r="BB302" s="2"/>
      <c r="BC302" s="2"/>
      <c r="BD302" s="2">
        <v>25.4</v>
      </c>
      <c r="BE302" s="42">
        <v>1013</v>
      </c>
      <c r="BF302" s="43">
        <v>58</v>
      </c>
      <c r="BG302" s="44">
        <v>1.1739999999999999</v>
      </c>
      <c r="BH302" s="2">
        <v>2096</v>
      </c>
      <c r="BI302" s="2"/>
      <c r="BJ302" s="3" t="s">
        <v>403</v>
      </c>
      <c r="BK302"/>
      <c r="BL302"/>
      <c r="BM302"/>
      <c r="BO302" s="7"/>
      <c r="BR302"/>
    </row>
    <row r="303" spans="1:70" x14ac:dyDescent="0.45">
      <c r="A303" s="2" t="s">
        <v>13</v>
      </c>
      <c r="B303" s="54" t="s">
        <v>28</v>
      </c>
      <c r="C303" s="3">
        <v>45278</v>
      </c>
      <c r="D303" s="8">
        <v>2</v>
      </c>
      <c r="E303" s="2" t="s">
        <v>551</v>
      </c>
      <c r="F303" s="39" t="s">
        <v>354</v>
      </c>
      <c r="G303" s="4" t="s">
        <v>578</v>
      </c>
      <c r="H303" s="4" t="s">
        <v>571</v>
      </c>
      <c r="I303" s="7">
        <v>0.1694</v>
      </c>
      <c r="J303" s="7">
        <v>0.1694</v>
      </c>
      <c r="K303" s="50">
        <v>3.8999999999999998E-3</v>
      </c>
      <c r="L303" s="7">
        <v>0.16600000000000001</v>
      </c>
      <c r="M303" s="7">
        <v>0.16070000000000001</v>
      </c>
      <c r="N303" s="7">
        <v>-0.68</v>
      </c>
      <c r="O303" s="4"/>
      <c r="P303" s="7">
        <v>1.2275</v>
      </c>
      <c r="T303" s="7">
        <v>65</v>
      </c>
      <c r="U303" s="7">
        <v>579</v>
      </c>
      <c r="V303" s="7">
        <v>754.4</v>
      </c>
      <c r="W303" s="4" t="s">
        <v>224</v>
      </c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120.6</v>
      </c>
      <c r="BB303" s="2"/>
      <c r="BC303" s="2"/>
      <c r="BD303" s="2">
        <v>25.5</v>
      </c>
      <c r="BE303" s="42">
        <v>1013</v>
      </c>
      <c r="BF303" s="43">
        <v>58</v>
      </c>
      <c r="BG303" s="44">
        <v>1.173</v>
      </c>
      <c r="BH303" s="2">
        <v>2096</v>
      </c>
      <c r="BI303" s="2"/>
      <c r="BJ303" s="3" t="s">
        <v>404</v>
      </c>
      <c r="BK303"/>
      <c r="BL303"/>
      <c r="BM303"/>
      <c r="BO303" s="7"/>
      <c r="BR303"/>
    </row>
    <row r="304" spans="1:70" ht="28.5" x14ac:dyDescent="0.45">
      <c r="A304" s="2" t="s">
        <v>13</v>
      </c>
      <c r="B304" s="54" t="s">
        <v>28</v>
      </c>
      <c r="C304" s="3">
        <v>45278</v>
      </c>
      <c r="D304" s="8">
        <v>3</v>
      </c>
      <c r="E304" s="2" t="s">
        <v>551</v>
      </c>
      <c r="F304" s="39" t="s">
        <v>560</v>
      </c>
      <c r="G304" s="4" t="s">
        <v>578</v>
      </c>
      <c r="H304" s="4" t="s">
        <v>571</v>
      </c>
      <c r="I304" s="7">
        <v>0.1721</v>
      </c>
      <c r="J304" s="7">
        <v>0.1721</v>
      </c>
      <c r="K304" s="50">
        <v>2.3E-3</v>
      </c>
      <c r="L304" s="7">
        <v>0.16600000000000001</v>
      </c>
      <c r="M304" s="7">
        <v>0.16339999999999999</v>
      </c>
      <c r="N304" s="7">
        <v>-0.69</v>
      </c>
      <c r="O304" s="4"/>
      <c r="P304" s="7">
        <v>1.2275</v>
      </c>
      <c r="T304" s="7">
        <v>65.3</v>
      </c>
      <c r="U304" s="7">
        <v>587</v>
      </c>
      <c r="V304" s="7">
        <v>755.4</v>
      </c>
      <c r="W304" s="4" t="s">
        <v>224</v>
      </c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120.6</v>
      </c>
      <c r="BB304" s="2"/>
      <c r="BC304" s="2"/>
      <c r="BD304" s="2">
        <v>25.5</v>
      </c>
      <c r="BE304" s="42">
        <v>1013</v>
      </c>
      <c r="BF304" s="43">
        <v>58</v>
      </c>
      <c r="BG304" s="44">
        <v>1.173</v>
      </c>
      <c r="BH304" s="2">
        <v>2096</v>
      </c>
      <c r="BI304" s="2"/>
      <c r="BJ304" s="3" t="s">
        <v>397</v>
      </c>
      <c r="BK304"/>
      <c r="BL304"/>
      <c r="BM304"/>
      <c r="BO304" s="7"/>
      <c r="BR304"/>
    </row>
    <row r="305" spans="1:70" ht="28.5" x14ac:dyDescent="0.45">
      <c r="A305" s="2" t="s">
        <v>13</v>
      </c>
      <c r="B305" s="54" t="s">
        <v>28</v>
      </c>
      <c r="C305" s="3">
        <v>45278</v>
      </c>
      <c r="D305" s="8">
        <v>4</v>
      </c>
      <c r="E305" s="2" t="s">
        <v>551</v>
      </c>
      <c r="F305" s="39" t="s">
        <v>569</v>
      </c>
      <c r="G305" s="4" t="s">
        <v>578</v>
      </c>
      <c r="H305" s="4" t="s">
        <v>571</v>
      </c>
      <c r="I305" s="7">
        <v>0.17180000000000001</v>
      </c>
      <c r="J305" s="7">
        <v>0.17180000000000001</v>
      </c>
      <c r="K305" s="50">
        <v>2.7000000000000001E-3</v>
      </c>
      <c r="L305" s="7">
        <v>0.16500000000000001</v>
      </c>
      <c r="M305" s="7">
        <v>0.15870000000000001</v>
      </c>
      <c r="N305" s="7">
        <v>-0.73</v>
      </c>
      <c r="O305" s="4"/>
      <c r="P305" s="7">
        <v>1.2275</v>
      </c>
      <c r="T305" s="7">
        <v>65.8</v>
      </c>
      <c r="U305" s="7">
        <v>593</v>
      </c>
      <c r="V305" s="7">
        <v>756.2</v>
      </c>
      <c r="W305" s="4" t="s">
        <v>224</v>
      </c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120.6</v>
      </c>
      <c r="BB305" s="2"/>
      <c r="BC305" s="2"/>
      <c r="BD305" s="2">
        <v>25.8</v>
      </c>
      <c r="BE305" s="42">
        <v>1013</v>
      </c>
      <c r="BF305" s="43">
        <v>58</v>
      </c>
      <c r="BG305" s="44">
        <v>1.1719999999999999</v>
      </c>
      <c r="BH305" s="2">
        <v>2096</v>
      </c>
      <c r="BI305" s="2"/>
      <c r="BJ305" s="3" t="s">
        <v>398</v>
      </c>
      <c r="BK305"/>
      <c r="BL305"/>
      <c r="BM305"/>
      <c r="BO305" s="7"/>
      <c r="BR305"/>
    </row>
    <row r="306" spans="1:70" ht="28.5" x14ac:dyDescent="0.45">
      <c r="A306" s="2" t="s">
        <v>13</v>
      </c>
      <c r="B306" s="54" t="s">
        <v>28</v>
      </c>
      <c r="C306" s="3">
        <v>45278</v>
      </c>
      <c r="D306" s="8">
        <v>5</v>
      </c>
      <c r="E306" s="2" t="s">
        <v>353</v>
      </c>
      <c r="F306" s="4" t="s">
        <v>15</v>
      </c>
      <c r="G306" s="4" t="s">
        <v>577</v>
      </c>
      <c r="H306" s="4" t="s">
        <v>571</v>
      </c>
      <c r="I306" s="7">
        <v>0.16819999999999999</v>
      </c>
      <c r="J306" s="7">
        <v>0.16819999999999999</v>
      </c>
      <c r="K306" s="50">
        <v>3.8E-3</v>
      </c>
      <c r="L306" s="7">
        <v>0.16200000000000001</v>
      </c>
      <c r="M306" s="7">
        <v>0.16109999999999999</v>
      </c>
      <c r="N306" s="7">
        <v>-0.67</v>
      </c>
      <c r="O306" s="4"/>
      <c r="P306" s="7">
        <v>1.2275</v>
      </c>
      <c r="T306" s="7">
        <v>65.8</v>
      </c>
      <c r="U306" s="7">
        <v>591</v>
      </c>
      <c r="V306" s="7">
        <v>755.1</v>
      </c>
      <c r="W306" s="4" t="s">
        <v>224</v>
      </c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120.6</v>
      </c>
      <c r="BB306" s="2"/>
      <c r="BC306" s="2"/>
      <c r="BD306" s="2">
        <v>25.8</v>
      </c>
      <c r="BE306" s="42">
        <v>1013</v>
      </c>
      <c r="BF306" s="43">
        <v>58</v>
      </c>
      <c r="BG306" s="44">
        <v>1.1719999999999999</v>
      </c>
      <c r="BH306" s="2">
        <v>2096</v>
      </c>
      <c r="BI306" s="2"/>
      <c r="BJ306" s="3" t="s">
        <v>399</v>
      </c>
      <c r="BK306"/>
      <c r="BL306"/>
      <c r="BM306"/>
      <c r="BO306" s="7"/>
      <c r="BR306"/>
    </row>
    <row r="307" spans="1:70" ht="28.5" x14ac:dyDescent="0.45">
      <c r="A307" s="2" t="s">
        <v>13</v>
      </c>
      <c r="B307" s="54" t="s">
        <v>28</v>
      </c>
      <c r="C307" s="3">
        <v>45278</v>
      </c>
      <c r="D307" s="8">
        <v>6</v>
      </c>
      <c r="E307" s="2" t="s">
        <v>551</v>
      </c>
      <c r="F307" s="39" t="s">
        <v>354</v>
      </c>
      <c r="G307" s="4" t="s">
        <v>578</v>
      </c>
      <c r="H307" s="4" t="s">
        <v>571</v>
      </c>
      <c r="I307" s="7">
        <v>0.16789999999999999</v>
      </c>
      <c r="J307" s="7">
        <v>0.16789999999999999</v>
      </c>
      <c r="K307" s="50">
        <v>2.3999999999999998E-3</v>
      </c>
      <c r="L307" s="7">
        <v>0.16200000000000001</v>
      </c>
      <c r="M307" s="7">
        <v>0.15820000000000001</v>
      </c>
      <c r="N307" s="7">
        <v>-0.67</v>
      </c>
      <c r="O307" s="4"/>
      <c r="P307" s="7">
        <v>1.2275</v>
      </c>
      <c r="T307" s="7">
        <v>65.3</v>
      </c>
      <c r="U307" s="7">
        <v>575</v>
      </c>
      <c r="V307" s="7">
        <v>755.5</v>
      </c>
      <c r="W307" s="4" t="s">
        <v>224</v>
      </c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120.6</v>
      </c>
      <c r="BB307" s="2"/>
      <c r="BC307" s="2"/>
      <c r="BD307" s="2">
        <v>26</v>
      </c>
      <c r="BE307" s="42">
        <v>1013</v>
      </c>
      <c r="BF307" s="43">
        <v>58</v>
      </c>
      <c r="BG307" s="44">
        <v>1.1719999999999999</v>
      </c>
      <c r="BH307" s="2">
        <v>2096</v>
      </c>
      <c r="BI307" s="2"/>
      <c r="BJ307" s="3" t="s">
        <v>400</v>
      </c>
      <c r="BK307"/>
      <c r="BL307"/>
      <c r="BM307"/>
      <c r="BO307" s="7"/>
      <c r="BR307"/>
    </row>
    <row r="308" spans="1:70" ht="28.5" x14ac:dyDescent="0.45">
      <c r="A308" s="2" t="s">
        <v>13</v>
      </c>
      <c r="B308" s="54" t="s">
        <v>28</v>
      </c>
      <c r="C308" s="3">
        <v>45278</v>
      </c>
      <c r="D308" s="8">
        <v>7</v>
      </c>
      <c r="E308" s="2" t="s">
        <v>551</v>
      </c>
      <c r="F308" s="39" t="s">
        <v>560</v>
      </c>
      <c r="G308" s="4" t="s">
        <v>578</v>
      </c>
      <c r="H308" s="4" t="s">
        <v>571</v>
      </c>
      <c r="I308" s="7">
        <v>0.1686</v>
      </c>
      <c r="J308" s="7">
        <v>0.1686</v>
      </c>
      <c r="K308" s="50">
        <v>2.7000000000000001E-3</v>
      </c>
      <c r="L308" s="7">
        <v>0.16300000000000001</v>
      </c>
      <c r="M308" s="7">
        <v>0.161</v>
      </c>
      <c r="N308" s="7">
        <v>-0.67</v>
      </c>
      <c r="O308" s="4"/>
      <c r="P308" s="7">
        <v>1.2275</v>
      </c>
      <c r="T308" s="7">
        <v>65.8</v>
      </c>
      <c r="U308" s="7">
        <v>598</v>
      </c>
      <c r="V308" s="7">
        <v>755.5</v>
      </c>
      <c r="W308" s="4" t="s">
        <v>224</v>
      </c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120.6</v>
      </c>
      <c r="BB308" s="2"/>
      <c r="BC308" s="2"/>
      <c r="BD308" s="2">
        <v>26</v>
      </c>
      <c r="BE308" s="42">
        <v>1013</v>
      </c>
      <c r="BF308" s="43">
        <v>58</v>
      </c>
      <c r="BG308" s="44">
        <v>1.1719999999999999</v>
      </c>
      <c r="BH308" s="2">
        <v>2096</v>
      </c>
      <c r="BI308" s="2"/>
      <c r="BJ308" s="3" t="s">
        <v>401</v>
      </c>
      <c r="BK308"/>
      <c r="BL308"/>
      <c r="BM308"/>
      <c r="BO308" s="7"/>
      <c r="BR308"/>
    </row>
    <row r="309" spans="1:70" ht="28.5" x14ac:dyDescent="0.45">
      <c r="A309" s="2" t="s">
        <v>13</v>
      </c>
      <c r="B309" s="54" t="s">
        <v>28</v>
      </c>
      <c r="C309" s="3">
        <v>45278</v>
      </c>
      <c r="D309" s="8">
        <v>8</v>
      </c>
      <c r="E309" s="2" t="s">
        <v>551</v>
      </c>
      <c r="F309" s="39" t="s">
        <v>569</v>
      </c>
      <c r="G309" s="4" t="s">
        <v>578</v>
      </c>
      <c r="H309" s="4" t="s">
        <v>571</v>
      </c>
      <c r="I309" s="7">
        <v>0.16719999999999999</v>
      </c>
      <c r="J309" s="7">
        <v>0.16719999999999999</v>
      </c>
      <c r="K309" s="50">
        <v>1.5E-3</v>
      </c>
      <c r="L309" s="7">
        <v>0.16400000000000001</v>
      </c>
      <c r="M309" s="7">
        <v>0.15920000000000001</v>
      </c>
      <c r="N309" s="7">
        <v>-0.65</v>
      </c>
      <c r="O309" s="4"/>
      <c r="P309" s="7">
        <v>1.2275</v>
      </c>
      <c r="T309" s="7">
        <v>66.7</v>
      </c>
      <c r="U309" s="7">
        <v>618</v>
      </c>
      <c r="V309" s="7">
        <v>755.4</v>
      </c>
      <c r="W309" s="4" t="s">
        <v>224</v>
      </c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120.6</v>
      </c>
      <c r="BB309" s="2"/>
      <c r="BC309" s="2"/>
      <c r="BD309" s="2">
        <v>26.2</v>
      </c>
      <c r="BE309" s="42">
        <v>1014</v>
      </c>
      <c r="BF309" s="43">
        <v>58</v>
      </c>
      <c r="BG309" s="44">
        <v>1.171</v>
      </c>
      <c r="BH309" s="2">
        <v>2096</v>
      </c>
      <c r="BI309" s="2"/>
      <c r="BJ309" s="3" t="s">
        <v>402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383</v>
      </c>
      <c r="C310" s="3">
        <v>45281</v>
      </c>
      <c r="D310" s="8">
        <v>1</v>
      </c>
      <c r="E310" s="2" t="s">
        <v>448</v>
      </c>
      <c r="F310" s="4" t="s">
        <v>15</v>
      </c>
      <c r="G310" s="4" t="s">
        <v>15</v>
      </c>
      <c r="H310" s="4" t="s">
        <v>330</v>
      </c>
      <c r="I310" s="7">
        <v>0.1842</v>
      </c>
      <c r="J310" s="7">
        <v>0.18559999999999999</v>
      </c>
      <c r="K310" s="50">
        <v>2.0999999999999999E-3</v>
      </c>
      <c r="L310" s="7">
        <v>0.18</v>
      </c>
      <c r="M310" s="7">
        <v>0.17960000000000001</v>
      </c>
      <c r="N310" s="7">
        <v>-0.27</v>
      </c>
      <c r="O310" s="4"/>
      <c r="P310" s="7">
        <v>1.21</v>
      </c>
      <c r="T310" s="7">
        <v>59.7</v>
      </c>
      <c r="U310" s="7">
        <v>503</v>
      </c>
      <c r="V310" s="7">
        <v>754.8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108</v>
      </c>
      <c r="BB310" s="2"/>
      <c r="BC310" s="2"/>
      <c r="BD310" s="10">
        <v>27.1</v>
      </c>
      <c r="BE310" s="42">
        <v>1018.2</v>
      </c>
      <c r="BF310" s="43">
        <v>53.6</v>
      </c>
      <c r="BG310" s="44"/>
      <c r="BH310" s="2">
        <v>2096</v>
      </c>
      <c r="BI310" s="2"/>
      <c r="BJ310" s="3" t="s">
        <v>426</v>
      </c>
      <c r="BK310"/>
      <c r="BL310"/>
      <c r="BM310"/>
      <c r="BO310" s="7"/>
      <c r="BR310"/>
    </row>
    <row r="311" spans="1:70" ht="28.5" x14ac:dyDescent="0.45">
      <c r="A311" s="2" t="s">
        <v>43</v>
      </c>
      <c r="B311" s="54" t="s">
        <v>383</v>
      </c>
      <c r="C311" s="3">
        <v>45281</v>
      </c>
      <c r="D311" s="8">
        <v>2</v>
      </c>
      <c r="E311" s="2" t="s">
        <v>449</v>
      </c>
      <c r="F311" s="4" t="s">
        <v>15</v>
      </c>
      <c r="G311" s="4" t="s">
        <v>15</v>
      </c>
      <c r="H311" s="4" t="s">
        <v>330</v>
      </c>
      <c r="I311" s="7">
        <v>0.19700000000000001</v>
      </c>
      <c r="J311" s="7">
        <v>0.19700000000000001</v>
      </c>
      <c r="K311" s="50">
        <v>4.5999999999999999E-3</v>
      </c>
      <c r="L311" s="7">
        <v>0.191</v>
      </c>
      <c r="M311" s="7">
        <v>0.17780000000000001</v>
      </c>
      <c r="N311" s="7">
        <v>-0.92</v>
      </c>
      <c r="O311" s="4"/>
      <c r="P311" s="7">
        <v>1.21</v>
      </c>
      <c r="T311" s="7">
        <v>59.5</v>
      </c>
      <c r="U311" s="7">
        <v>494</v>
      </c>
      <c r="V311" s="7">
        <v>754.2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/>
      <c r="AZ311" s="4"/>
      <c r="BA311" s="4">
        <v>111.6</v>
      </c>
      <c r="BB311" s="2"/>
      <c r="BC311" s="2"/>
      <c r="BD311" s="10">
        <v>27.1</v>
      </c>
      <c r="BE311" s="42">
        <v>1018.2</v>
      </c>
      <c r="BF311" s="43">
        <v>53.6</v>
      </c>
      <c r="BG311" s="44"/>
      <c r="BH311" s="2">
        <v>2096</v>
      </c>
      <c r="BI311" s="2"/>
      <c r="BJ311" s="3" t="s">
        <v>432</v>
      </c>
      <c r="BK311"/>
      <c r="BL311"/>
      <c r="BM311"/>
      <c r="BO311" s="7"/>
      <c r="BR311"/>
    </row>
    <row r="312" spans="1:70" ht="28.5" x14ac:dyDescent="0.45">
      <c r="A312" s="2" t="s">
        <v>43</v>
      </c>
      <c r="B312" s="54" t="s">
        <v>383</v>
      </c>
      <c r="C312" s="3">
        <v>45281</v>
      </c>
      <c r="D312" s="8">
        <v>3</v>
      </c>
      <c r="E312" s="2" t="s">
        <v>448</v>
      </c>
      <c r="F312" s="4" t="s">
        <v>329</v>
      </c>
      <c r="G312" s="4" t="s">
        <v>15</v>
      </c>
      <c r="H312" s="4" t="s">
        <v>330</v>
      </c>
      <c r="I312" s="7">
        <v>0.1852</v>
      </c>
      <c r="J312" s="7">
        <v>0.1852</v>
      </c>
      <c r="K312" s="50">
        <v>2.9999999999999997E-4</v>
      </c>
      <c r="L312" s="7"/>
      <c r="M312" s="7">
        <v>0.17730000000000001</v>
      </c>
      <c r="N312" s="7">
        <v>-0.34</v>
      </c>
      <c r="O312" s="4"/>
      <c r="P312" s="7">
        <v>1.21</v>
      </c>
      <c r="T312" s="7">
        <v>59.7</v>
      </c>
      <c r="U312" s="7">
        <v>484</v>
      </c>
      <c r="V312" s="7">
        <v>754.6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/>
      <c r="AZ312" s="4"/>
      <c r="BA312" s="4"/>
      <c r="BB312" s="2"/>
      <c r="BC312" s="2"/>
      <c r="BD312" s="2"/>
      <c r="BE312" s="42"/>
      <c r="BF312" s="43"/>
      <c r="BG312" s="44"/>
      <c r="BH312" s="2">
        <v>2096</v>
      </c>
      <c r="BI312" s="2"/>
      <c r="BJ312" s="3" t="s">
        <v>420</v>
      </c>
      <c r="BK312"/>
      <c r="BL312"/>
      <c r="BM312"/>
      <c r="BO312" s="7"/>
      <c r="BR312"/>
    </row>
    <row r="313" spans="1:70" ht="28.5" x14ac:dyDescent="0.45">
      <c r="A313" s="2" t="s">
        <v>43</v>
      </c>
      <c r="B313" s="54" t="s">
        <v>383</v>
      </c>
      <c r="C313" s="3">
        <v>45281</v>
      </c>
      <c r="D313" s="8">
        <v>4</v>
      </c>
      <c r="E313" s="2" t="s">
        <v>448</v>
      </c>
      <c r="F313" s="4" t="s">
        <v>15</v>
      </c>
      <c r="G313" s="4" t="s">
        <v>15</v>
      </c>
      <c r="H313" s="4" t="s">
        <v>330</v>
      </c>
      <c r="I313" s="7">
        <v>0.18540000000000001</v>
      </c>
      <c r="J313" s="7">
        <v>0.18540000000000001</v>
      </c>
      <c r="K313" s="50">
        <v>2.8E-3</v>
      </c>
      <c r="L313" s="7">
        <v>0.17799999999999999</v>
      </c>
      <c r="M313" s="7">
        <v>0.18240000000000001</v>
      </c>
      <c r="N313" s="7">
        <v>-0.24</v>
      </c>
      <c r="O313" s="4"/>
      <c r="P313" s="7">
        <v>1.21</v>
      </c>
      <c r="T313" s="7">
        <v>59.6</v>
      </c>
      <c r="U313" s="7">
        <v>491</v>
      </c>
      <c r="V313" s="7">
        <v>754.7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/>
      <c r="AZ313" s="4"/>
      <c r="BA313" s="4">
        <v>117</v>
      </c>
      <c r="BB313" s="2"/>
      <c r="BC313" s="2"/>
      <c r="BD313" s="2">
        <v>26.4</v>
      </c>
      <c r="BE313" s="42">
        <v>1018</v>
      </c>
      <c r="BF313" s="43">
        <v>55</v>
      </c>
      <c r="BG313" s="44">
        <v>1.1759999999999999</v>
      </c>
      <c r="BH313" s="2">
        <v>2096</v>
      </c>
      <c r="BI313" s="2"/>
      <c r="BJ313" s="3" t="s">
        <v>424</v>
      </c>
      <c r="BK313"/>
      <c r="BL313"/>
      <c r="BM313"/>
      <c r="BO313" s="7"/>
      <c r="BR313"/>
    </row>
    <row r="314" spans="1:70" ht="28.5" x14ac:dyDescent="0.45">
      <c r="A314" s="2" t="s">
        <v>43</v>
      </c>
      <c r="B314" s="54" t="s">
        <v>383</v>
      </c>
      <c r="C314" s="3">
        <v>45281</v>
      </c>
      <c r="D314" s="8">
        <v>5</v>
      </c>
      <c r="E314" s="2" t="s">
        <v>449</v>
      </c>
      <c r="F314" s="4" t="s">
        <v>15</v>
      </c>
      <c r="G314" s="4" t="s">
        <v>15</v>
      </c>
      <c r="H314" s="4" t="s">
        <v>330</v>
      </c>
      <c r="I314" s="7">
        <v>0.19950000000000001</v>
      </c>
      <c r="J314" s="7">
        <v>0.18809999999999999</v>
      </c>
      <c r="K314" s="50">
        <v>4.5999999999999999E-3</v>
      </c>
      <c r="L314" s="7">
        <v>0.19</v>
      </c>
      <c r="N314" s="7">
        <v>-0.78</v>
      </c>
      <c r="O314" s="4"/>
      <c r="P314" s="7">
        <v>1.21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/>
      <c r="AZ314" s="4"/>
      <c r="BA314" s="23">
        <v>108</v>
      </c>
      <c r="BB314" s="2"/>
      <c r="BC314" s="2"/>
      <c r="BD314" s="10">
        <v>27.5</v>
      </c>
      <c r="BE314" s="42">
        <v>1018.2</v>
      </c>
      <c r="BF314" s="43">
        <v>52.3</v>
      </c>
      <c r="BG314" s="44"/>
      <c r="BH314" s="56">
        <v>2096</v>
      </c>
      <c r="BI314" s="2"/>
      <c r="BJ314" s="3" t="s">
        <v>441</v>
      </c>
      <c r="BK314"/>
      <c r="BL314"/>
      <c r="BM314"/>
      <c r="BO314" s="7"/>
      <c r="BR314"/>
    </row>
    <row r="315" spans="1:70" ht="28.5" x14ac:dyDescent="0.45">
      <c r="A315" s="2" t="s">
        <v>43</v>
      </c>
      <c r="B315" s="54" t="s">
        <v>383</v>
      </c>
      <c r="C315" s="3">
        <v>45281</v>
      </c>
      <c r="D315" s="8">
        <v>6</v>
      </c>
      <c r="E315" s="2" t="s">
        <v>448</v>
      </c>
      <c r="F315" s="4" t="s">
        <v>329</v>
      </c>
      <c r="G315" s="4" t="s">
        <v>15</v>
      </c>
      <c r="H315" s="4" t="s">
        <v>330</v>
      </c>
      <c r="I315" s="7">
        <v>0.18429999999999999</v>
      </c>
      <c r="J315" s="7">
        <v>0.18429999999999999</v>
      </c>
      <c r="K315" s="50">
        <v>5.3E-3</v>
      </c>
      <c r="L315" s="7"/>
      <c r="N315" s="7">
        <v>-0.27</v>
      </c>
      <c r="O315" s="4"/>
      <c r="P315" s="7">
        <v>1.21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/>
      <c r="AZ315" s="4"/>
      <c r="BA315" s="23"/>
      <c r="BB315" s="2"/>
      <c r="BC315" s="2"/>
      <c r="BD315" s="10">
        <v>27.5</v>
      </c>
      <c r="BE315" s="42">
        <v>1018.2</v>
      </c>
      <c r="BF315" s="43">
        <v>52.3</v>
      </c>
      <c r="BG315" s="44"/>
      <c r="BH315" s="56">
        <v>2096</v>
      </c>
      <c r="BI315" s="2"/>
      <c r="BJ315" s="3" t="s">
        <v>434</v>
      </c>
      <c r="BK315"/>
      <c r="BL315"/>
      <c r="BM315"/>
      <c r="BO315" s="7"/>
      <c r="BR315"/>
    </row>
    <row r="316" spans="1:70" ht="28.5" x14ac:dyDescent="0.45">
      <c r="A316" s="2" t="s">
        <v>43</v>
      </c>
      <c r="B316" s="54" t="s">
        <v>383</v>
      </c>
      <c r="C316" s="3">
        <v>45281</v>
      </c>
      <c r="D316" s="8">
        <v>7</v>
      </c>
      <c r="E316" s="2" t="s">
        <v>450</v>
      </c>
      <c r="F316" s="4" t="s">
        <v>329</v>
      </c>
      <c r="G316" s="4" t="s">
        <v>15</v>
      </c>
      <c r="H316" s="4" t="s">
        <v>330</v>
      </c>
      <c r="I316" s="7">
        <v>0.17530000000000001</v>
      </c>
      <c r="J316" s="7">
        <v>0.1779</v>
      </c>
      <c r="K316" s="50">
        <v>1.5E-3</v>
      </c>
      <c r="L316" s="7">
        <v>0.17199999999999999</v>
      </c>
      <c r="N316" s="7">
        <v>-0.15</v>
      </c>
      <c r="O316" s="4"/>
      <c r="P316" s="7">
        <v>1.21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/>
      <c r="AZ316" s="4"/>
      <c r="BA316" s="4">
        <v>111.6</v>
      </c>
      <c r="BB316" s="2"/>
      <c r="BC316" s="2"/>
      <c r="BD316" s="2">
        <v>27.1</v>
      </c>
      <c r="BE316" s="42">
        <v>1018</v>
      </c>
      <c r="BF316" s="43">
        <v>54</v>
      </c>
      <c r="BG316" s="44">
        <v>1.173</v>
      </c>
      <c r="BH316" s="2">
        <v>2096</v>
      </c>
      <c r="BI316" s="2"/>
      <c r="BJ316" s="3" t="s">
        <v>438</v>
      </c>
      <c r="BK316"/>
      <c r="BL316"/>
      <c r="BM316"/>
      <c r="BO316" s="7"/>
      <c r="BR316"/>
    </row>
    <row r="317" spans="1:70" ht="28.5" x14ac:dyDescent="0.45">
      <c r="A317" s="2" t="s">
        <v>43</v>
      </c>
      <c r="B317" s="54" t="s">
        <v>99</v>
      </c>
      <c r="C317" s="3">
        <v>45281</v>
      </c>
      <c r="D317" s="8">
        <v>1</v>
      </c>
      <c r="E317" s="2" t="s">
        <v>551</v>
      </c>
      <c r="F317" s="4" t="s">
        <v>332</v>
      </c>
      <c r="G317" s="4" t="s">
        <v>15</v>
      </c>
      <c r="H317" s="4" t="s">
        <v>330</v>
      </c>
      <c r="I317" s="7">
        <v>0.1671</v>
      </c>
      <c r="J317" s="7">
        <v>0.1671</v>
      </c>
      <c r="K317" s="50">
        <v>2.0999999999999999E-3</v>
      </c>
      <c r="L317" s="7">
        <v>0.16400000000000001</v>
      </c>
      <c r="N317" s="7">
        <v>-0.31</v>
      </c>
      <c r="O317" s="4"/>
      <c r="P317" s="7">
        <v>1.2655000000000001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/>
      <c r="AZ317" s="4"/>
      <c r="BA317" s="4">
        <v>117</v>
      </c>
      <c r="BB317" s="2"/>
      <c r="BC317" s="2"/>
      <c r="BD317" s="2">
        <v>27.1</v>
      </c>
      <c r="BE317" s="42">
        <v>1018</v>
      </c>
      <c r="BF317" s="43">
        <v>54</v>
      </c>
      <c r="BG317" s="44">
        <v>1.173</v>
      </c>
      <c r="BH317" s="2">
        <v>2096</v>
      </c>
      <c r="BI317" s="2"/>
      <c r="BJ317" s="3" t="s">
        <v>427</v>
      </c>
      <c r="BK317"/>
      <c r="BL317"/>
      <c r="BM317"/>
      <c r="BO317" s="7"/>
      <c r="BR317"/>
    </row>
    <row r="318" spans="1:70" ht="28.5" x14ac:dyDescent="0.45">
      <c r="A318" s="2" t="s">
        <v>43</v>
      </c>
      <c r="B318" s="54" t="s">
        <v>99</v>
      </c>
      <c r="C318" s="3">
        <v>45281</v>
      </c>
      <c r="D318" s="8">
        <v>2</v>
      </c>
      <c r="E318" s="2" t="s">
        <v>553</v>
      </c>
      <c r="F318" s="4" t="s">
        <v>332</v>
      </c>
      <c r="G318" s="4" t="s">
        <v>15</v>
      </c>
      <c r="H318" s="4" t="s">
        <v>330</v>
      </c>
      <c r="I318" s="7">
        <v>0.16209999999999999</v>
      </c>
      <c r="J318" s="7">
        <v>0.16209999999999999</v>
      </c>
      <c r="K318" s="50">
        <v>2.5999999999999999E-3</v>
      </c>
      <c r="L318" s="7">
        <v>0.16500000000000001</v>
      </c>
      <c r="M318" s="7">
        <v>0.16420000000000001</v>
      </c>
      <c r="N318" s="7">
        <v>-0.32</v>
      </c>
      <c r="O318" s="4"/>
      <c r="P318" s="7">
        <v>1.2655000000000001</v>
      </c>
      <c r="T318" s="7">
        <v>60.2</v>
      </c>
      <c r="U318" s="7">
        <v>476</v>
      </c>
      <c r="V318" s="7">
        <v>755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/>
      <c r="AZ318" s="4"/>
      <c r="BA318" s="4">
        <v>108</v>
      </c>
      <c r="BB318" s="2"/>
      <c r="BC318" s="2"/>
      <c r="BD318" s="10">
        <v>28</v>
      </c>
      <c r="BE318" s="42">
        <v>1018</v>
      </c>
      <c r="BF318" s="43">
        <v>50.8</v>
      </c>
      <c r="BG318" s="44"/>
      <c r="BH318" s="56">
        <v>2096</v>
      </c>
      <c r="BI318" s="2"/>
      <c r="BJ318" s="3" t="s">
        <v>417</v>
      </c>
      <c r="BK318"/>
      <c r="BL318"/>
      <c r="BM318"/>
      <c r="BO318" s="7"/>
      <c r="BR318"/>
    </row>
    <row r="319" spans="1:70" ht="28.5" x14ac:dyDescent="0.45">
      <c r="A319" s="2" t="s">
        <v>43</v>
      </c>
      <c r="B319" s="54" t="s">
        <v>99</v>
      </c>
      <c r="C319" s="3">
        <v>45281</v>
      </c>
      <c r="D319" s="8">
        <v>3</v>
      </c>
      <c r="E319" s="2" t="s">
        <v>554</v>
      </c>
      <c r="F319" s="4" t="s">
        <v>332</v>
      </c>
      <c r="G319" s="4" t="s">
        <v>15</v>
      </c>
      <c r="H319" s="4" t="s">
        <v>330</v>
      </c>
      <c r="I319" s="7">
        <v>0.16170000000000001</v>
      </c>
      <c r="J319" s="7">
        <v>0.16170000000000001</v>
      </c>
      <c r="K319" s="50">
        <v>1.9E-3</v>
      </c>
      <c r="L319" s="7">
        <v>0.161</v>
      </c>
      <c r="M319" s="7">
        <v>0.16389999999999999</v>
      </c>
      <c r="N319" s="7">
        <v>-0.22</v>
      </c>
      <c r="O319" s="4"/>
      <c r="P319" s="7">
        <v>1.2655000000000001</v>
      </c>
      <c r="T319" s="7">
        <v>59.5</v>
      </c>
      <c r="U319" s="7">
        <v>457</v>
      </c>
      <c r="V319" s="7">
        <v>755.1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/>
      <c r="AZ319" s="4"/>
      <c r="BA319" s="4">
        <v>111.6</v>
      </c>
      <c r="BB319" s="2"/>
      <c r="BC319" s="2"/>
      <c r="BD319" s="10">
        <v>28</v>
      </c>
      <c r="BE319" s="42">
        <v>1018</v>
      </c>
      <c r="BF319" s="43">
        <v>50.8</v>
      </c>
      <c r="BG319" s="44"/>
      <c r="BH319" s="56">
        <v>2096</v>
      </c>
      <c r="BI319" s="2"/>
      <c r="BJ319" s="3" t="s">
        <v>421</v>
      </c>
      <c r="BK319"/>
      <c r="BL319"/>
      <c r="BM319"/>
      <c r="BO319" s="7"/>
      <c r="BR319"/>
    </row>
    <row r="320" spans="1:70" ht="28.5" x14ac:dyDescent="0.45">
      <c r="A320" s="2" t="s">
        <v>43</v>
      </c>
      <c r="B320" s="54" t="s">
        <v>99</v>
      </c>
      <c r="C320" s="3">
        <v>45281</v>
      </c>
      <c r="D320" s="8">
        <v>4</v>
      </c>
      <c r="E320" s="2" t="s">
        <v>551</v>
      </c>
      <c r="F320" s="4" t="s">
        <v>332</v>
      </c>
      <c r="G320" s="4" t="s">
        <v>15</v>
      </c>
      <c r="H320" s="4" t="s">
        <v>330</v>
      </c>
      <c r="I320" s="7">
        <v>0.16600000000000001</v>
      </c>
      <c r="J320" s="7">
        <v>0.16600000000000001</v>
      </c>
      <c r="K320" s="50">
        <v>2.2000000000000001E-3</v>
      </c>
      <c r="L320" s="7">
        <v>0.16400000000000001</v>
      </c>
      <c r="M320" s="7">
        <v>0.16589999999999999</v>
      </c>
      <c r="N320" s="7">
        <v>-0.33</v>
      </c>
      <c r="O320" s="4"/>
      <c r="P320" s="7">
        <v>1.2655000000000001</v>
      </c>
      <c r="T320" s="7">
        <v>60.4</v>
      </c>
      <c r="U320" s="7">
        <v>476</v>
      </c>
      <c r="V320" s="7">
        <v>755.2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/>
      <c r="AZ320" s="4"/>
      <c r="BA320" s="4"/>
      <c r="BB320" s="2"/>
      <c r="BC320" s="2"/>
      <c r="BD320" s="2">
        <v>27.5</v>
      </c>
      <c r="BE320" s="42">
        <v>1018</v>
      </c>
      <c r="BF320" s="43">
        <v>52</v>
      </c>
      <c r="BG320" s="44">
        <v>1.171</v>
      </c>
      <c r="BH320" s="2">
        <v>2096</v>
      </c>
      <c r="BI320" s="2"/>
      <c r="BJ320" s="3" t="s">
        <v>425</v>
      </c>
      <c r="BK320"/>
      <c r="BL320"/>
      <c r="BM320"/>
      <c r="BO320" s="7"/>
      <c r="BR320"/>
    </row>
    <row r="321" spans="1:70" ht="28.5" x14ac:dyDescent="0.45">
      <c r="A321" s="2" t="s">
        <v>43</v>
      </c>
      <c r="B321" s="54" t="s">
        <v>99</v>
      </c>
      <c r="C321" s="3">
        <v>45281</v>
      </c>
      <c r="D321" s="8">
        <v>5</v>
      </c>
      <c r="E321" s="2" t="s">
        <v>553</v>
      </c>
      <c r="F321" s="4" t="s">
        <v>332</v>
      </c>
      <c r="G321" s="4" t="s">
        <v>15</v>
      </c>
      <c r="H321" s="4" t="s">
        <v>330</v>
      </c>
      <c r="I321" s="7">
        <v>0.1643</v>
      </c>
      <c r="J321" s="7">
        <v>0.1643</v>
      </c>
      <c r="K321" s="50">
        <v>2.3E-3</v>
      </c>
      <c r="L321" s="7">
        <v>0.16</v>
      </c>
      <c r="M321" s="7">
        <v>0.16619999999999999</v>
      </c>
      <c r="N321" s="7">
        <v>-0.31</v>
      </c>
      <c r="O321" s="4"/>
      <c r="P321" s="7">
        <v>1.2655000000000001</v>
      </c>
      <c r="T321" s="7">
        <v>60.5</v>
      </c>
      <c r="U321" s="7">
        <v>467</v>
      </c>
      <c r="V321" s="7">
        <v>755.7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/>
      <c r="AZ321" s="4"/>
      <c r="BA321" s="4">
        <v>117</v>
      </c>
      <c r="BB321" s="2"/>
      <c r="BC321" s="2"/>
      <c r="BD321" s="2">
        <v>27.5</v>
      </c>
      <c r="BE321" s="42">
        <v>1018</v>
      </c>
      <c r="BF321" s="43">
        <v>52</v>
      </c>
      <c r="BG321" s="44">
        <v>1.171</v>
      </c>
      <c r="BH321" s="56">
        <v>2096</v>
      </c>
      <c r="BI321" s="2"/>
      <c r="BJ321" s="3" t="s">
        <v>429</v>
      </c>
      <c r="BK321"/>
      <c r="BL321"/>
      <c r="BM321"/>
      <c r="BO321" s="7"/>
      <c r="BR321"/>
    </row>
    <row r="322" spans="1:70" ht="28.5" x14ac:dyDescent="0.45">
      <c r="A322" s="2" t="s">
        <v>43</v>
      </c>
      <c r="B322" s="54" t="s">
        <v>99</v>
      </c>
      <c r="C322" s="3">
        <v>45281</v>
      </c>
      <c r="D322" s="8">
        <v>6</v>
      </c>
      <c r="E322" s="2" t="s">
        <v>554</v>
      </c>
      <c r="F322" s="4" t="s">
        <v>332</v>
      </c>
      <c r="G322" s="4" t="s">
        <v>15</v>
      </c>
      <c r="H322" s="4" t="s">
        <v>330</v>
      </c>
      <c r="I322" s="7">
        <v>0.1605</v>
      </c>
      <c r="J322" s="7">
        <v>0.1605</v>
      </c>
      <c r="K322" s="50">
        <v>2.7000000000000001E-3</v>
      </c>
      <c r="L322" s="7">
        <v>0.161</v>
      </c>
      <c r="M322" s="7">
        <v>0.16239999999999999</v>
      </c>
      <c r="N322" s="7">
        <v>-0.28999999999999998</v>
      </c>
      <c r="O322" s="4"/>
      <c r="P322" s="7">
        <v>1.2655000000000001</v>
      </c>
      <c r="T322" s="7">
        <v>59.7</v>
      </c>
      <c r="U322" s="7">
        <v>453</v>
      </c>
      <c r="V322" s="7">
        <v>755.6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/>
      <c r="AZ322" s="4"/>
      <c r="BA322" s="55">
        <v>108</v>
      </c>
      <c r="BB322" s="2"/>
      <c r="BC322" s="2"/>
      <c r="BD322" s="10">
        <v>28.6</v>
      </c>
      <c r="BE322" s="42">
        <v>1017.4</v>
      </c>
      <c r="BF322" s="43">
        <v>48.4</v>
      </c>
      <c r="BG322" s="44"/>
      <c r="BH322" s="42">
        <v>2096</v>
      </c>
      <c r="BI322" s="2"/>
      <c r="BJ322" s="3" t="s">
        <v>435</v>
      </c>
      <c r="BK322"/>
      <c r="BL322"/>
      <c r="BM322"/>
      <c r="BO322" s="7"/>
      <c r="BR322"/>
    </row>
    <row r="323" spans="1:70" ht="28.5" x14ac:dyDescent="0.45">
      <c r="A323" s="2" t="s">
        <v>43</v>
      </c>
      <c r="B323" s="54" t="s">
        <v>46</v>
      </c>
      <c r="C323" s="3">
        <v>45281</v>
      </c>
      <c r="D323" s="8">
        <v>1</v>
      </c>
      <c r="E323" s="2" t="s">
        <v>22</v>
      </c>
      <c r="F323" s="4" t="s">
        <v>15</v>
      </c>
      <c r="G323" s="4" t="s">
        <v>15</v>
      </c>
      <c r="H323" s="4" t="s">
        <v>330</v>
      </c>
      <c r="I323" s="7">
        <v>0.17460000000000001</v>
      </c>
      <c r="J323" s="7">
        <v>0.17460000000000001</v>
      </c>
      <c r="K323" s="50">
        <v>2.7000000000000001E-3</v>
      </c>
      <c r="L323" s="7">
        <v>0.17</v>
      </c>
      <c r="M323" s="7">
        <v>0.17169999999999999</v>
      </c>
      <c r="N323" s="7">
        <v>-0.47</v>
      </c>
      <c r="O323" s="4"/>
      <c r="P323" s="7">
        <v>1.2255</v>
      </c>
      <c r="T323" s="7">
        <v>57.6</v>
      </c>
      <c r="U323" s="7">
        <v>445</v>
      </c>
      <c r="V323" s="7">
        <v>756.2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/>
      <c r="AZ323" s="4"/>
      <c r="BA323" s="4">
        <v>111.6</v>
      </c>
      <c r="BB323" s="2"/>
      <c r="BC323" s="2"/>
      <c r="BD323" s="10">
        <v>28.6</v>
      </c>
      <c r="BE323" s="42">
        <v>1017.4</v>
      </c>
      <c r="BF323" s="43">
        <v>48.4</v>
      </c>
      <c r="BG323" s="44"/>
      <c r="BH323" s="57">
        <v>2096</v>
      </c>
      <c r="BI323" s="2"/>
      <c r="BJ323" s="3" t="s">
        <v>428</v>
      </c>
      <c r="BK323"/>
      <c r="BL323"/>
      <c r="BM323"/>
      <c r="BO323" s="7"/>
      <c r="BR323"/>
    </row>
    <row r="324" spans="1:70" ht="28.5" x14ac:dyDescent="0.45">
      <c r="A324" s="2" t="s">
        <v>43</v>
      </c>
      <c r="B324" s="54" t="s">
        <v>46</v>
      </c>
      <c r="C324" s="3">
        <v>45281</v>
      </c>
      <c r="D324" s="8">
        <v>2</v>
      </c>
      <c r="E324" s="2" t="s">
        <v>213</v>
      </c>
      <c r="F324" s="4" t="s">
        <v>15</v>
      </c>
      <c r="G324" s="4" t="s">
        <v>15</v>
      </c>
      <c r="H324" s="4" t="s">
        <v>330</v>
      </c>
      <c r="I324" s="7">
        <v>0.17269999999999999</v>
      </c>
      <c r="J324" s="7">
        <v>0.17269999999999999</v>
      </c>
      <c r="K324" s="50">
        <v>3.5000000000000001E-3</v>
      </c>
      <c r="L324" s="7">
        <v>0.16400000000000001</v>
      </c>
      <c r="M324" s="7">
        <v>0.1653</v>
      </c>
      <c r="N324" s="7">
        <v>-0.65</v>
      </c>
      <c r="O324" s="4"/>
      <c r="P324" s="7">
        <v>1.2255</v>
      </c>
      <c r="T324" s="7">
        <v>57.8</v>
      </c>
      <c r="U324" s="7">
        <v>423</v>
      </c>
      <c r="V324" s="7">
        <v>756.7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/>
      <c r="AZ324" s="4"/>
      <c r="BA324" s="4">
        <v>111.6</v>
      </c>
      <c r="BB324" s="2"/>
      <c r="BC324" s="2"/>
      <c r="BD324" s="2">
        <v>27.5</v>
      </c>
      <c r="BE324" s="42">
        <v>1018</v>
      </c>
      <c r="BF324" s="43">
        <v>52</v>
      </c>
      <c r="BG324" s="44">
        <v>1.171</v>
      </c>
      <c r="BH324" s="56">
        <v>2096</v>
      </c>
      <c r="BI324" s="2"/>
      <c r="BJ324" s="3" t="s">
        <v>419</v>
      </c>
      <c r="BK324"/>
      <c r="BL324"/>
      <c r="BM324"/>
      <c r="BO324" s="7"/>
      <c r="BR324"/>
    </row>
    <row r="325" spans="1:70" ht="28.5" x14ac:dyDescent="0.45">
      <c r="A325" s="2" t="s">
        <v>43</v>
      </c>
      <c r="B325" s="54" t="s">
        <v>46</v>
      </c>
      <c r="C325" s="3">
        <v>45281</v>
      </c>
      <c r="D325" s="8">
        <v>3</v>
      </c>
      <c r="E325" s="2" t="s">
        <v>214</v>
      </c>
      <c r="F325" s="4" t="s">
        <v>15</v>
      </c>
      <c r="G325" s="4" t="s">
        <v>15</v>
      </c>
      <c r="H325" s="4" t="s">
        <v>330</v>
      </c>
      <c r="I325" s="7">
        <v>0.17319999999999999</v>
      </c>
      <c r="J325" s="7">
        <v>0.17319999999999999</v>
      </c>
      <c r="K325" s="50">
        <v>2.8999999999999998E-3</v>
      </c>
      <c r="L325" s="7">
        <v>0.16700000000000001</v>
      </c>
      <c r="M325" s="7">
        <v>0.17199999999999999</v>
      </c>
      <c r="N325" s="7">
        <v>-0.49</v>
      </c>
      <c r="O325" s="4"/>
      <c r="P325" s="7">
        <v>1.2255</v>
      </c>
      <c r="T325" s="7">
        <v>57.7</v>
      </c>
      <c r="U325" s="7">
        <v>439</v>
      </c>
      <c r="V325" s="7">
        <v>756.9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/>
      <c r="AZ325" s="4"/>
      <c r="BA325" s="4">
        <v>117</v>
      </c>
      <c r="BB325" s="2"/>
      <c r="BC325" s="2"/>
      <c r="BD325" s="2">
        <v>27.5</v>
      </c>
      <c r="BE325" s="42">
        <v>1018</v>
      </c>
      <c r="BF325" s="43">
        <v>52</v>
      </c>
      <c r="BG325" s="44">
        <v>1.171</v>
      </c>
      <c r="BH325" s="56">
        <v>2096</v>
      </c>
      <c r="BI325" s="2"/>
      <c r="BJ325" s="3" t="s">
        <v>422</v>
      </c>
      <c r="BK325"/>
      <c r="BL325"/>
      <c r="BM325"/>
      <c r="BO325" s="7"/>
      <c r="BR325"/>
    </row>
    <row r="326" spans="1:70" ht="28.5" x14ac:dyDescent="0.45">
      <c r="A326" s="2" t="s">
        <v>43</v>
      </c>
      <c r="B326" s="54" t="s">
        <v>46</v>
      </c>
      <c r="C326" s="3">
        <v>45281</v>
      </c>
      <c r="D326" s="8">
        <v>4</v>
      </c>
      <c r="E326" s="2" t="s">
        <v>22</v>
      </c>
      <c r="F326" s="4" t="s">
        <v>15</v>
      </c>
      <c r="G326" s="4" t="s">
        <v>15</v>
      </c>
      <c r="H326" s="4" t="s">
        <v>330</v>
      </c>
      <c r="I326" s="7">
        <v>0.17649999999999999</v>
      </c>
      <c r="J326" s="7">
        <v>0.17649999999999999</v>
      </c>
      <c r="K326" s="50">
        <v>3.7000000000000002E-3</v>
      </c>
      <c r="L326" s="7">
        <v>0.17</v>
      </c>
      <c r="M326" s="7">
        <v>0.17430000000000001</v>
      </c>
      <c r="N326" s="7">
        <v>-0.47</v>
      </c>
      <c r="O326" s="4"/>
      <c r="P326" s="7">
        <v>1.2255</v>
      </c>
      <c r="T326" s="7">
        <v>58.2</v>
      </c>
      <c r="U326" s="7">
        <v>454</v>
      </c>
      <c r="V326" s="7">
        <v>755.8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/>
      <c r="BB326" s="2"/>
      <c r="BC326" s="2"/>
      <c r="BD326" s="2"/>
      <c r="BE326" s="42"/>
      <c r="BF326" s="43"/>
      <c r="BG326" s="44"/>
      <c r="BH326" s="57">
        <v>2096</v>
      </c>
      <c r="BI326" s="2"/>
      <c r="BJ326" s="3" t="s">
        <v>439</v>
      </c>
      <c r="BK326"/>
      <c r="BL326"/>
      <c r="BM326"/>
      <c r="BO326" s="7"/>
      <c r="BR326"/>
    </row>
    <row r="327" spans="1:70" ht="28.5" x14ac:dyDescent="0.45">
      <c r="A327" s="2" t="s">
        <v>43</v>
      </c>
      <c r="B327" s="54" t="s">
        <v>46</v>
      </c>
      <c r="C327" s="3">
        <v>45281</v>
      </c>
      <c r="D327" s="8">
        <v>5</v>
      </c>
      <c r="E327" s="2" t="s">
        <v>213</v>
      </c>
      <c r="F327" s="4" t="s">
        <v>15</v>
      </c>
      <c r="G327" s="4" t="s">
        <v>15</v>
      </c>
      <c r="H327" s="4" t="s">
        <v>330</v>
      </c>
      <c r="I327" s="7">
        <v>0.17860000000000001</v>
      </c>
      <c r="J327" s="7">
        <v>0.17860000000000001</v>
      </c>
      <c r="K327" s="50">
        <v>4.0000000000000001E-3</v>
      </c>
      <c r="L327" s="7">
        <v>0.16600000000000001</v>
      </c>
      <c r="N327" s="7">
        <v>-0.61</v>
      </c>
      <c r="O327" s="4"/>
      <c r="P327" s="7">
        <v>1.2255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/>
      <c r="AZ327" s="4"/>
      <c r="BA327" s="4"/>
      <c r="BB327" s="2"/>
      <c r="BC327" s="2"/>
      <c r="BD327" s="2"/>
      <c r="BE327" s="42"/>
      <c r="BF327" s="43"/>
      <c r="BG327" s="44"/>
      <c r="BH327" s="42">
        <v>2096</v>
      </c>
      <c r="BI327" s="2"/>
      <c r="BJ327" s="3" t="s">
        <v>430</v>
      </c>
      <c r="BK327"/>
      <c r="BL327"/>
      <c r="BM327"/>
      <c r="BO327" s="7"/>
      <c r="BR327"/>
    </row>
    <row r="328" spans="1:70" ht="28.5" x14ac:dyDescent="0.45">
      <c r="A328" s="2" t="s">
        <v>43</v>
      </c>
      <c r="B328" s="54" t="s">
        <v>46</v>
      </c>
      <c r="C328" s="3">
        <v>45281</v>
      </c>
      <c r="D328" s="8">
        <v>6</v>
      </c>
      <c r="E328" s="2" t="s">
        <v>214</v>
      </c>
      <c r="F328" s="4" t="s">
        <v>15</v>
      </c>
      <c r="G328" s="4" t="s">
        <v>15</v>
      </c>
      <c r="H328" s="4" t="s">
        <v>330</v>
      </c>
      <c r="I328" s="7">
        <v>0.1794</v>
      </c>
      <c r="J328" s="7">
        <v>0.1794</v>
      </c>
      <c r="K328" s="50">
        <v>5.7999999999999996E-3</v>
      </c>
      <c r="L328" s="7">
        <v>0.17</v>
      </c>
      <c r="N328" s="7">
        <v>-0.59</v>
      </c>
      <c r="O328" s="4"/>
      <c r="P328" s="7">
        <v>1.2255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/>
      <c r="AZ328" s="4"/>
      <c r="BA328" s="4">
        <v>111.6</v>
      </c>
      <c r="BB328" s="2"/>
      <c r="BC328" s="2"/>
      <c r="BD328" s="2">
        <v>28.7</v>
      </c>
      <c r="BE328" s="42">
        <v>1017</v>
      </c>
      <c r="BF328" s="43">
        <v>48</v>
      </c>
      <c r="BG328" s="44">
        <v>1.1659999999999999</v>
      </c>
      <c r="BH328" s="56">
        <v>2096</v>
      </c>
      <c r="BI328" s="2"/>
      <c r="BJ328" s="3" t="s">
        <v>436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28</v>
      </c>
      <c r="C329" s="3">
        <v>45281</v>
      </c>
      <c r="D329" s="8">
        <v>1</v>
      </c>
      <c r="E329" s="2" t="s">
        <v>22</v>
      </c>
      <c r="F329" s="4" t="s">
        <v>15</v>
      </c>
      <c r="G329" s="4" t="s">
        <v>577</v>
      </c>
      <c r="H329" s="4" t="s">
        <v>571</v>
      </c>
      <c r="I329" s="7">
        <v>0.16220000000000001</v>
      </c>
      <c r="J329" s="7">
        <v>0.16220000000000001</v>
      </c>
      <c r="K329" s="50">
        <v>2.8E-3</v>
      </c>
      <c r="L329" s="7">
        <v>0.158</v>
      </c>
      <c r="M329" s="7">
        <v>0.16189999999999999</v>
      </c>
      <c r="N329" s="7">
        <v>-0.36</v>
      </c>
      <c r="O329" s="4"/>
      <c r="P329" s="7">
        <v>1.2404999999999999</v>
      </c>
      <c r="T329" s="7">
        <v>61.9</v>
      </c>
      <c r="U329" s="7">
        <v>507</v>
      </c>
      <c r="V329" s="7">
        <v>753.9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/>
      <c r="AZ329" s="4"/>
      <c r="BA329" s="4">
        <v>117</v>
      </c>
      <c r="BB329" s="2"/>
      <c r="BC329" s="2"/>
      <c r="BD329" s="2">
        <v>28.7</v>
      </c>
      <c r="BE329" s="42">
        <v>1017</v>
      </c>
      <c r="BF329" s="43">
        <v>48</v>
      </c>
      <c r="BG329" s="44">
        <v>1.1659999999999999</v>
      </c>
      <c r="BH329" s="42">
        <v>2096</v>
      </c>
      <c r="BI329" s="2"/>
      <c r="BJ329" s="3" t="s">
        <v>431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28</v>
      </c>
      <c r="C330" s="3">
        <v>45281</v>
      </c>
      <c r="D330" s="8">
        <v>2</v>
      </c>
      <c r="E330" s="2" t="s">
        <v>451</v>
      </c>
      <c r="F330" s="4" t="s">
        <v>15</v>
      </c>
      <c r="G330" s="4" t="s">
        <v>577</v>
      </c>
      <c r="H330" s="4" t="s">
        <v>571</v>
      </c>
      <c r="I330" s="7">
        <v>0.1555</v>
      </c>
      <c r="J330" s="7">
        <v>0.1555</v>
      </c>
      <c r="K330" s="50">
        <v>1.6999999999999999E-3</v>
      </c>
      <c r="L330" s="7">
        <v>0.155</v>
      </c>
      <c r="M330" s="7">
        <v>0.15609999999999999</v>
      </c>
      <c r="N330" s="7">
        <v>-0.32</v>
      </c>
      <c r="O330" s="4"/>
      <c r="P330" s="7">
        <v>1.2404999999999999</v>
      </c>
      <c r="T330" s="7">
        <v>63.2</v>
      </c>
      <c r="U330" s="7">
        <v>520</v>
      </c>
      <c r="V330" s="7">
        <v>754.1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/>
      <c r="BB330" s="2"/>
      <c r="BC330" s="2"/>
      <c r="BD330" s="2"/>
      <c r="BE330" s="42"/>
      <c r="BF330" s="43"/>
      <c r="BG330" s="44"/>
      <c r="BH330" s="42">
        <v>2096</v>
      </c>
      <c r="BI330" s="2"/>
      <c r="BJ330" s="3" t="s">
        <v>418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28</v>
      </c>
      <c r="C331" s="3">
        <v>45281</v>
      </c>
      <c r="D331" s="8">
        <v>3</v>
      </c>
      <c r="E331" s="2" t="s">
        <v>551</v>
      </c>
      <c r="F331" s="4" t="s">
        <v>354</v>
      </c>
      <c r="G331" s="4" t="s">
        <v>578</v>
      </c>
      <c r="H331" s="4" t="s">
        <v>223</v>
      </c>
      <c r="I331" s="7">
        <v>0.16</v>
      </c>
      <c r="J331" s="7">
        <v>0.16</v>
      </c>
      <c r="K331" s="50">
        <v>2.5000000000000001E-3</v>
      </c>
      <c r="L331" s="7">
        <v>0.157</v>
      </c>
      <c r="M331" s="7">
        <v>0.16039999999999999</v>
      </c>
      <c r="N331" s="7">
        <v>-0.33</v>
      </c>
      <c r="O331" s="4"/>
      <c r="P331" s="7">
        <v>1.2404999999999999</v>
      </c>
      <c r="T331" s="7">
        <v>62.1</v>
      </c>
      <c r="U331" s="7">
        <v>517</v>
      </c>
      <c r="V331" s="7">
        <v>753.9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/>
      <c r="BB331" s="2"/>
      <c r="BC331" s="2"/>
      <c r="BD331" s="2"/>
      <c r="BE331" s="42"/>
      <c r="BF331" s="43"/>
      <c r="BG331" s="44"/>
      <c r="BH331" s="56">
        <v>2096</v>
      </c>
      <c r="BI331" s="2"/>
      <c r="BJ331" s="3" t="s">
        <v>423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28</v>
      </c>
      <c r="C332" s="3">
        <v>45281</v>
      </c>
      <c r="D332" s="8">
        <v>4</v>
      </c>
      <c r="E332" s="2" t="s">
        <v>22</v>
      </c>
      <c r="F332" s="4" t="s">
        <v>15</v>
      </c>
      <c r="G332" s="4" t="s">
        <v>577</v>
      </c>
      <c r="H332" s="4" t="s">
        <v>571</v>
      </c>
      <c r="I332" s="7">
        <v>0.16170000000000001</v>
      </c>
      <c r="J332" s="7">
        <v>0.16170000000000001</v>
      </c>
      <c r="K332" s="50">
        <v>1.5E-3</v>
      </c>
      <c r="L332" s="7">
        <v>0.161</v>
      </c>
      <c r="M332" s="7">
        <v>0.16250000000000001</v>
      </c>
      <c r="N332" s="7">
        <v>-0.31</v>
      </c>
      <c r="O332" s="4"/>
      <c r="P332" s="7">
        <v>1.2404999999999999</v>
      </c>
      <c r="T332" s="7">
        <v>63.2</v>
      </c>
      <c r="U332" s="7">
        <v>543</v>
      </c>
      <c r="V332" s="7">
        <v>754.1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111.6</v>
      </c>
      <c r="BB332" s="2"/>
      <c r="BC332" s="2"/>
      <c r="BD332" s="2">
        <v>28.7</v>
      </c>
      <c r="BE332" s="42">
        <v>1017</v>
      </c>
      <c r="BF332" s="43">
        <v>48</v>
      </c>
      <c r="BG332" s="44">
        <v>1.1659999999999999</v>
      </c>
      <c r="BH332" s="42">
        <v>2096</v>
      </c>
      <c r="BI332" s="2"/>
      <c r="BJ332" s="3" t="s">
        <v>440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28</v>
      </c>
      <c r="C333" s="3">
        <v>45281</v>
      </c>
      <c r="D333" s="8">
        <v>5</v>
      </c>
      <c r="E333" s="2" t="s">
        <v>451</v>
      </c>
      <c r="F333" s="4" t="s">
        <v>15</v>
      </c>
      <c r="G333" s="4" t="s">
        <v>577</v>
      </c>
      <c r="H333" s="4" t="s">
        <v>571</v>
      </c>
      <c r="I333" s="7">
        <v>0.15790000000000001</v>
      </c>
      <c r="J333" s="7">
        <v>0.15790000000000001</v>
      </c>
      <c r="K333" s="50">
        <v>3.0000000000000001E-3</v>
      </c>
      <c r="L333" s="7">
        <v>0.156</v>
      </c>
      <c r="M333" s="7">
        <v>0.1603</v>
      </c>
      <c r="N333" s="7">
        <v>-0.3</v>
      </c>
      <c r="O333" s="4"/>
      <c r="P333" s="7">
        <v>1.2404999999999999</v>
      </c>
      <c r="T333" s="7">
        <v>62.1</v>
      </c>
      <c r="U333" s="7">
        <v>512</v>
      </c>
      <c r="V333" s="7">
        <v>754.2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28.7</v>
      </c>
      <c r="BE333" s="42">
        <v>1017</v>
      </c>
      <c r="BF333" s="43">
        <v>48</v>
      </c>
      <c r="BG333" s="44">
        <v>1.1659999999999999</v>
      </c>
      <c r="BH333" s="42">
        <v>2096</v>
      </c>
      <c r="BI333" s="2"/>
      <c r="BJ333" s="3" t="s">
        <v>433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28</v>
      </c>
      <c r="C334" s="3">
        <v>45281</v>
      </c>
      <c r="D334" s="8">
        <v>6</v>
      </c>
      <c r="E334" s="2" t="s">
        <v>551</v>
      </c>
      <c r="F334" s="4" t="s">
        <v>354</v>
      </c>
      <c r="G334" s="4" t="s">
        <v>578</v>
      </c>
      <c r="H334" s="4" t="s">
        <v>223</v>
      </c>
      <c r="I334" s="7">
        <v>0.1608</v>
      </c>
      <c r="J334" s="7">
        <v>0.1608</v>
      </c>
      <c r="K334" s="50">
        <v>2.8999999999999998E-3</v>
      </c>
      <c r="L334" s="7">
        <v>0.157</v>
      </c>
      <c r="M334" s="7">
        <v>0.16059999999999999</v>
      </c>
      <c r="N334" s="7">
        <v>-0.32</v>
      </c>
      <c r="O334" s="4"/>
      <c r="P334" s="7">
        <v>1.2404999999999999</v>
      </c>
      <c r="T334" s="7">
        <v>62.3</v>
      </c>
      <c r="U334" s="7">
        <v>519</v>
      </c>
      <c r="V334" s="7">
        <v>754.3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/>
      <c r="BB334" s="2"/>
      <c r="BC334" s="2"/>
      <c r="BD334" s="2"/>
      <c r="BE334" s="42"/>
      <c r="BF334" s="43"/>
      <c r="BG334" s="44"/>
      <c r="BH334" s="56"/>
      <c r="BI334" s="2"/>
      <c r="BJ334" s="3" t="s">
        <v>437</v>
      </c>
      <c r="BK334"/>
      <c r="BL334"/>
      <c r="BM334"/>
      <c r="BO334" s="7"/>
      <c r="BR334"/>
    </row>
    <row r="335" spans="1:70" ht="28.5" x14ac:dyDescent="0.45">
      <c r="A335" s="2" t="s">
        <v>43</v>
      </c>
      <c r="B335" s="54" t="s">
        <v>99</v>
      </c>
      <c r="C335" s="3">
        <v>45302</v>
      </c>
      <c r="D335" s="8">
        <v>1</v>
      </c>
      <c r="E335" s="2" t="s">
        <v>22</v>
      </c>
      <c r="F335" s="4" t="s">
        <v>15</v>
      </c>
      <c r="G335" s="4" t="s">
        <v>15</v>
      </c>
      <c r="H335" s="4" t="s">
        <v>330</v>
      </c>
      <c r="I335" s="7">
        <v>0.18010000000000001</v>
      </c>
      <c r="J335" s="7">
        <v>0.18010000000000001</v>
      </c>
      <c r="K335" s="50">
        <v>2.0999999999999999E-3</v>
      </c>
      <c r="L335" s="7"/>
      <c r="M335" s="7">
        <v>0.17780000000000001</v>
      </c>
      <c r="N335" s="7">
        <v>-0.45</v>
      </c>
      <c r="O335" s="4"/>
      <c r="P335" s="7">
        <v>1.2324999999999999</v>
      </c>
      <c r="T335" s="7">
        <v>59.7</v>
      </c>
      <c r="U335" s="7">
        <v>464</v>
      </c>
      <c r="V335" s="7">
        <v>756.7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111.6</v>
      </c>
      <c r="BB335" s="2"/>
      <c r="BC335" s="2"/>
      <c r="BD335" s="41">
        <v>26.8</v>
      </c>
      <c r="BE335" s="42">
        <v>1020</v>
      </c>
      <c r="BF335" s="43">
        <v>58</v>
      </c>
      <c r="BG335" s="44"/>
      <c r="BH335" s="42">
        <v>2096</v>
      </c>
      <c r="BI335" s="2" t="s">
        <v>446</v>
      </c>
      <c r="BJ335" s="3" t="s">
        <v>464</v>
      </c>
      <c r="BK335"/>
      <c r="BL335"/>
      <c r="BM335"/>
      <c r="BO335" s="7"/>
      <c r="BR335"/>
    </row>
    <row r="336" spans="1:70" ht="28.5" x14ac:dyDescent="0.45">
      <c r="A336" s="2" t="s">
        <v>43</v>
      </c>
      <c r="B336" s="54" t="s">
        <v>99</v>
      </c>
      <c r="C336" s="3">
        <v>45302</v>
      </c>
      <c r="D336" s="8">
        <v>2</v>
      </c>
      <c r="E336" s="2" t="s">
        <v>553</v>
      </c>
      <c r="F336" s="4" t="s">
        <v>332</v>
      </c>
      <c r="G336" s="4" t="s">
        <v>578</v>
      </c>
      <c r="H336" s="4" t="s">
        <v>330</v>
      </c>
      <c r="I336" s="7">
        <v>0.1694</v>
      </c>
      <c r="J336" s="7">
        <v>0.1694</v>
      </c>
      <c r="K336" s="50">
        <v>4.1999999999999997E-3</v>
      </c>
      <c r="L336" s="7"/>
      <c r="M336" s="7">
        <v>0.16389999999999999</v>
      </c>
      <c r="N336" s="7">
        <v>-0.53</v>
      </c>
      <c r="O336" s="4"/>
      <c r="P336" s="7">
        <v>1.2324999999999999</v>
      </c>
      <c r="T336" s="7">
        <v>59.3</v>
      </c>
      <c r="U336" s="7">
        <v>479</v>
      </c>
      <c r="V336" s="7">
        <v>757.1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41">
        <v>27.2</v>
      </c>
      <c r="BE336" s="42">
        <v>1020</v>
      </c>
      <c r="BF336" s="43">
        <v>55</v>
      </c>
      <c r="BG336" s="44"/>
      <c r="BH336" s="42">
        <v>2096</v>
      </c>
      <c r="BI336" s="2" t="s">
        <v>447</v>
      </c>
      <c r="BJ336" s="3" t="s">
        <v>463</v>
      </c>
      <c r="BK336"/>
      <c r="BL336"/>
      <c r="BM336"/>
      <c r="BO336" s="7"/>
      <c r="BR336"/>
    </row>
    <row r="337" spans="1:70" ht="28.5" x14ac:dyDescent="0.45">
      <c r="A337" s="2" t="s">
        <v>43</v>
      </c>
      <c r="B337" s="54" t="s">
        <v>99</v>
      </c>
      <c r="C337" s="3">
        <v>45302</v>
      </c>
      <c r="D337" s="8">
        <v>3</v>
      </c>
      <c r="E337" s="2" t="s">
        <v>22</v>
      </c>
      <c r="F337" s="4" t="s">
        <v>15</v>
      </c>
      <c r="G337" s="4" t="s">
        <v>15</v>
      </c>
      <c r="H337" s="4" t="s">
        <v>330</v>
      </c>
      <c r="I337" s="7">
        <v>0.18179999999999999</v>
      </c>
      <c r="J337" s="7">
        <v>0.18179999999999999</v>
      </c>
      <c r="K337" s="50">
        <v>3.0000000000000001E-3</v>
      </c>
      <c r="L337" s="7"/>
      <c r="M337" s="7">
        <v>0.17449999999999999</v>
      </c>
      <c r="N337" s="7">
        <v>-0.52</v>
      </c>
      <c r="O337" s="4"/>
      <c r="P337" s="7">
        <v>1.2324999999999999</v>
      </c>
      <c r="T337" s="7">
        <v>55.8</v>
      </c>
      <c r="U337" s="7">
        <v>484</v>
      </c>
      <c r="V337" s="7">
        <v>755.5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111.6</v>
      </c>
      <c r="BB337" s="2"/>
      <c r="BC337" s="2"/>
      <c r="BD337" s="41">
        <v>27.5</v>
      </c>
      <c r="BE337" s="42">
        <v>1021</v>
      </c>
      <c r="BF337" s="43">
        <v>54</v>
      </c>
      <c r="BG337" s="44"/>
      <c r="BH337" s="42">
        <v>2096</v>
      </c>
      <c r="BI337" s="2"/>
      <c r="BJ337" s="3" t="s">
        <v>462</v>
      </c>
      <c r="BK337"/>
      <c r="BL337"/>
      <c r="BM337"/>
      <c r="BO337" s="7"/>
      <c r="BR337"/>
    </row>
    <row r="338" spans="1:70" ht="28.5" x14ac:dyDescent="0.45">
      <c r="A338" s="2" t="s">
        <v>43</v>
      </c>
      <c r="B338" s="54" t="s">
        <v>99</v>
      </c>
      <c r="C338" s="3">
        <v>45302</v>
      </c>
      <c r="D338" s="8">
        <v>4</v>
      </c>
      <c r="E338" s="2" t="s">
        <v>553</v>
      </c>
      <c r="F338" s="4" t="s">
        <v>332</v>
      </c>
      <c r="G338" s="4" t="s">
        <v>578</v>
      </c>
      <c r="H338" s="4" t="s">
        <v>330</v>
      </c>
      <c r="I338" s="7">
        <v>0.1714</v>
      </c>
      <c r="J338" s="7">
        <v>0.1714</v>
      </c>
      <c r="K338" s="50">
        <v>3.8999999999999998E-3</v>
      </c>
      <c r="L338" s="7"/>
      <c r="M338" s="7">
        <v>0.16980000000000001</v>
      </c>
      <c r="N338" s="7">
        <v>-0.5</v>
      </c>
      <c r="O338" s="4"/>
      <c r="P338" s="7">
        <v>1.2324999999999999</v>
      </c>
      <c r="T338" s="7">
        <v>59.5</v>
      </c>
      <c r="U338" s="7">
        <v>460</v>
      </c>
      <c r="V338" s="7">
        <v>756.3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41">
        <v>27.9</v>
      </c>
      <c r="BE338" s="42">
        <v>1019.9</v>
      </c>
      <c r="BF338" s="43">
        <v>52.8</v>
      </c>
      <c r="BG338" s="44"/>
      <c r="BH338" s="42">
        <v>2096</v>
      </c>
      <c r="BI338" s="2" t="s">
        <v>446</v>
      </c>
      <c r="BJ338" s="3" t="s">
        <v>461</v>
      </c>
      <c r="BK338"/>
      <c r="BL338"/>
      <c r="BM338"/>
      <c r="BO338" s="7"/>
      <c r="BR338"/>
    </row>
    <row r="339" spans="1:70" ht="28.5" x14ac:dyDescent="0.45">
      <c r="A339" s="2" t="s">
        <v>43</v>
      </c>
      <c r="B339" s="54" t="s">
        <v>99</v>
      </c>
      <c r="C339" s="3">
        <v>45302</v>
      </c>
      <c r="D339" s="8">
        <v>5</v>
      </c>
      <c r="E339" s="2" t="s">
        <v>22</v>
      </c>
      <c r="F339" s="4" t="s">
        <v>15</v>
      </c>
      <c r="G339" s="4" t="s">
        <v>15</v>
      </c>
      <c r="H339" s="4" t="s">
        <v>330</v>
      </c>
      <c r="I339" s="7">
        <v>0.18099999999999999</v>
      </c>
      <c r="J339" s="7">
        <v>0.18099999999999999</v>
      </c>
      <c r="K339" s="50">
        <v>5.9999999999999995E-4</v>
      </c>
      <c r="L339" s="7"/>
      <c r="M339" s="7">
        <v>0.17499999999999999</v>
      </c>
      <c r="N339" s="7">
        <v>-0.5</v>
      </c>
      <c r="O339" s="4"/>
      <c r="P339" s="7">
        <v>1.2324999999999999</v>
      </c>
      <c r="T339" s="7">
        <v>59.2</v>
      </c>
      <c r="U339" s="7">
        <v>475</v>
      </c>
      <c r="V339" s="7">
        <v>755.5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111.6</v>
      </c>
      <c r="BB339" s="2"/>
      <c r="BC339" s="2"/>
      <c r="BD339" s="41">
        <v>27.8</v>
      </c>
      <c r="BE339" s="42">
        <v>1019.3</v>
      </c>
      <c r="BF339" s="43">
        <v>52.8</v>
      </c>
      <c r="BG339" s="44"/>
      <c r="BH339" s="42">
        <v>2096</v>
      </c>
      <c r="BI339" s="2"/>
      <c r="BJ339" s="3" t="s">
        <v>460</v>
      </c>
      <c r="BK339"/>
      <c r="BL339"/>
      <c r="BM339"/>
      <c r="BO339" s="7"/>
      <c r="BR339"/>
    </row>
    <row r="340" spans="1:70" ht="28.5" x14ac:dyDescent="0.45">
      <c r="A340" s="2" t="s">
        <v>43</v>
      </c>
      <c r="B340" s="54" t="s">
        <v>99</v>
      </c>
      <c r="C340" s="3">
        <v>45302</v>
      </c>
      <c r="D340" s="8">
        <v>6</v>
      </c>
      <c r="E340" s="2" t="s">
        <v>553</v>
      </c>
      <c r="F340" s="4" t="s">
        <v>332</v>
      </c>
      <c r="G340" s="4" t="s">
        <v>578</v>
      </c>
      <c r="H340" s="4" t="s">
        <v>330</v>
      </c>
      <c r="I340" s="7">
        <v>0.1673</v>
      </c>
      <c r="J340" s="7">
        <v>0.1673</v>
      </c>
      <c r="K340" s="50">
        <v>2.5000000000000001E-3</v>
      </c>
      <c r="L340" s="7"/>
      <c r="M340" s="7">
        <v>0.16980000000000001</v>
      </c>
      <c r="N340" s="7">
        <v>-0.32</v>
      </c>
      <c r="O340" s="4"/>
      <c r="P340" s="7">
        <v>1.2324999999999999</v>
      </c>
      <c r="T340" s="7">
        <v>59.2</v>
      </c>
      <c r="U340" s="7">
        <v>455</v>
      </c>
      <c r="V340" s="7">
        <v>756.6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111.6</v>
      </c>
      <c r="BB340" s="2"/>
      <c r="BC340" s="2"/>
      <c r="BD340" s="41">
        <v>28.1</v>
      </c>
      <c r="BE340" s="42">
        <v>1019.5</v>
      </c>
      <c r="BF340" s="43">
        <v>51.5</v>
      </c>
      <c r="BG340" s="44"/>
      <c r="BH340" s="42">
        <v>2096</v>
      </c>
      <c r="BI340" s="2" t="s">
        <v>446</v>
      </c>
      <c r="BJ340" s="3" t="s">
        <v>459</v>
      </c>
      <c r="BK340"/>
      <c r="BL340"/>
      <c r="BM340"/>
      <c r="BO340" s="7"/>
      <c r="BR340"/>
    </row>
    <row r="341" spans="1:70" ht="28.5" x14ac:dyDescent="0.45">
      <c r="A341" s="2" t="s">
        <v>43</v>
      </c>
      <c r="B341" s="54" t="s">
        <v>46</v>
      </c>
      <c r="C341" s="3">
        <v>45302</v>
      </c>
      <c r="D341" s="8">
        <v>1</v>
      </c>
      <c r="E341" s="2" t="s">
        <v>22</v>
      </c>
      <c r="F341" s="4" t="s">
        <v>15</v>
      </c>
      <c r="G341" s="4" t="s">
        <v>15</v>
      </c>
      <c r="H341" s="4" t="s">
        <v>330</v>
      </c>
      <c r="I341" s="7">
        <v>0.1774</v>
      </c>
      <c r="J341" s="7">
        <v>0.1774</v>
      </c>
      <c r="K341" s="50">
        <v>2.8E-3</v>
      </c>
      <c r="L341" s="7">
        <v>0.16600000000000001</v>
      </c>
      <c r="M341" s="7">
        <v>0.1757</v>
      </c>
      <c r="N341" s="7">
        <v>-0.36</v>
      </c>
      <c r="O341" s="4"/>
      <c r="P341" s="7">
        <v>1.2144999999999999</v>
      </c>
      <c r="R341" s="7">
        <f>AVERAGE(M341,M343,M345)</f>
        <v>0.1777</v>
      </c>
      <c r="T341" s="7">
        <v>59.2</v>
      </c>
      <c r="U341" s="7">
        <v>489</v>
      </c>
      <c r="V341" s="7">
        <v>755.9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10">
        <v>26.8</v>
      </c>
      <c r="BE341" s="42">
        <v>1020</v>
      </c>
      <c r="BF341" s="43">
        <v>58</v>
      </c>
      <c r="BG341" s="44"/>
      <c r="BH341" s="42">
        <v>2096</v>
      </c>
      <c r="BI341" s="2"/>
      <c r="BJ341" s="3" t="s">
        <v>470</v>
      </c>
      <c r="BK341"/>
      <c r="BL341"/>
      <c r="BM341"/>
      <c r="BO341" s="7"/>
      <c r="BR341"/>
    </row>
    <row r="342" spans="1:70" ht="28.5" x14ac:dyDescent="0.45">
      <c r="A342" s="2" t="s">
        <v>43</v>
      </c>
      <c r="B342" s="54" t="s">
        <v>46</v>
      </c>
      <c r="C342" s="3">
        <v>45302</v>
      </c>
      <c r="D342" s="8">
        <v>2</v>
      </c>
      <c r="E342" s="2" t="s">
        <v>213</v>
      </c>
      <c r="F342" s="4" t="s">
        <v>15</v>
      </c>
      <c r="G342" s="4" t="s">
        <v>15</v>
      </c>
      <c r="H342" s="4" t="s">
        <v>330</v>
      </c>
      <c r="I342" s="7">
        <v>0.17879999999999999</v>
      </c>
      <c r="J342" s="7">
        <v>0.17879999999999999</v>
      </c>
      <c r="K342" s="50">
        <v>2.7000000000000001E-3</v>
      </c>
      <c r="L342" s="7">
        <v>0.17100000000000001</v>
      </c>
      <c r="M342" s="7">
        <v>0.1741</v>
      </c>
      <c r="N342" s="7">
        <v>-0.5</v>
      </c>
      <c r="O342" s="4"/>
      <c r="P342" s="7">
        <v>1.2144999999999999</v>
      </c>
      <c r="R342" s="7">
        <f>AVERAGE(M342,M344,M346)</f>
        <v>0.17430000000000001</v>
      </c>
      <c r="T342" s="7">
        <v>57.8</v>
      </c>
      <c r="U342" s="7">
        <v>452</v>
      </c>
      <c r="V342" s="7">
        <v>756.2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111.6</v>
      </c>
      <c r="BB342" s="2"/>
      <c r="BC342" s="2"/>
      <c r="BD342" s="10">
        <v>27</v>
      </c>
      <c r="BE342" s="42">
        <v>1020</v>
      </c>
      <c r="BF342" s="43">
        <v>56</v>
      </c>
      <c r="BG342" s="44"/>
      <c r="BH342" s="42">
        <v>2096</v>
      </c>
      <c r="BI342" s="2" t="s">
        <v>447</v>
      </c>
      <c r="BJ342" s="3" t="s">
        <v>469</v>
      </c>
      <c r="BK342"/>
      <c r="BL342"/>
      <c r="BM342"/>
      <c r="BO342" s="7"/>
      <c r="BR342"/>
    </row>
    <row r="343" spans="1:70" ht="28.5" x14ac:dyDescent="0.45">
      <c r="A343" s="2" t="s">
        <v>43</v>
      </c>
      <c r="B343" s="54" t="s">
        <v>46</v>
      </c>
      <c r="C343" s="3">
        <v>45302</v>
      </c>
      <c r="D343" s="8">
        <v>3</v>
      </c>
      <c r="E343" s="2" t="s">
        <v>22</v>
      </c>
      <c r="F343" s="4" t="s">
        <v>15</v>
      </c>
      <c r="G343" s="4" t="s">
        <v>15</v>
      </c>
      <c r="H343" s="4" t="s">
        <v>330</v>
      </c>
      <c r="I343" s="7">
        <v>0.17680000000000001</v>
      </c>
      <c r="J343" s="7">
        <v>0.17680000000000001</v>
      </c>
      <c r="K343" s="50">
        <v>2.7000000000000001E-3</v>
      </c>
      <c r="L343" s="7">
        <v>0.16200000000000001</v>
      </c>
      <c r="M343" s="7">
        <v>0.17519999999999999</v>
      </c>
      <c r="N343" s="7">
        <v>-0.28000000000000003</v>
      </c>
      <c r="O343" s="4"/>
      <c r="P343" s="7">
        <v>1.2144999999999999</v>
      </c>
      <c r="T343" s="7">
        <v>58.7</v>
      </c>
      <c r="U343" s="7">
        <v>484</v>
      </c>
      <c r="V343" s="7">
        <v>755.9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10">
        <v>27.5</v>
      </c>
      <c r="BE343" s="42">
        <v>1020</v>
      </c>
      <c r="BF343" s="43">
        <v>55</v>
      </c>
      <c r="BG343" s="44"/>
      <c r="BH343" s="42">
        <v>2096</v>
      </c>
      <c r="BI343" s="2" t="s">
        <v>447</v>
      </c>
      <c r="BJ343" s="3" t="s">
        <v>468</v>
      </c>
      <c r="BK343"/>
      <c r="BL343"/>
      <c r="BM343"/>
      <c r="BO343" s="7"/>
      <c r="BR343"/>
    </row>
    <row r="344" spans="1:70" ht="28.5" x14ac:dyDescent="0.45">
      <c r="A344" s="2" t="s">
        <v>43</v>
      </c>
      <c r="B344" s="54" t="s">
        <v>46</v>
      </c>
      <c r="C344" s="3">
        <v>45302</v>
      </c>
      <c r="D344" s="8">
        <v>4</v>
      </c>
      <c r="E344" s="2" t="s">
        <v>213</v>
      </c>
      <c r="F344" s="4" t="s">
        <v>15</v>
      </c>
      <c r="G344" s="4" t="s">
        <v>15</v>
      </c>
      <c r="H344" s="4" t="s">
        <v>330</v>
      </c>
      <c r="I344" s="7">
        <v>0.17829999999999999</v>
      </c>
      <c r="J344" s="7">
        <v>0.17829999999999999</v>
      </c>
      <c r="K344" s="50">
        <v>8.9999999999999998E-4</v>
      </c>
      <c r="L344" s="7">
        <v>0.16600000000000001</v>
      </c>
      <c r="M344" s="7">
        <v>0.1754</v>
      </c>
      <c r="N344" s="7">
        <v>-0.49</v>
      </c>
      <c r="O344" s="4"/>
      <c r="P344" s="7">
        <v>1.2144999999999999</v>
      </c>
      <c r="T344" s="7">
        <v>58.4</v>
      </c>
      <c r="U344" s="7">
        <v>465</v>
      </c>
      <c r="V344" s="7">
        <v>756.6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10">
        <v>27.7</v>
      </c>
      <c r="BE344" s="42">
        <v>1020</v>
      </c>
      <c r="BF344" s="43">
        <v>54</v>
      </c>
      <c r="BG344" s="44"/>
      <c r="BH344" s="42">
        <v>2096</v>
      </c>
      <c r="BI344" s="2"/>
      <c r="BJ344" s="3" t="s">
        <v>467</v>
      </c>
      <c r="BK344"/>
      <c r="BL344"/>
      <c r="BM344"/>
      <c r="BO344" s="7"/>
      <c r="BR344"/>
    </row>
    <row r="345" spans="1:70" ht="28.5" x14ac:dyDescent="0.45">
      <c r="A345" s="2" t="s">
        <v>43</v>
      </c>
      <c r="B345" s="54" t="s">
        <v>46</v>
      </c>
      <c r="C345" s="3">
        <v>45302</v>
      </c>
      <c r="D345" s="8">
        <v>5</v>
      </c>
      <c r="E345" s="2" t="s">
        <v>22</v>
      </c>
      <c r="F345" s="4" t="s">
        <v>15</v>
      </c>
      <c r="G345" s="4" t="s">
        <v>15</v>
      </c>
      <c r="H345" s="4" t="s">
        <v>330</v>
      </c>
      <c r="I345" s="7">
        <v>0.17660000000000001</v>
      </c>
      <c r="J345" s="7">
        <v>0.17660000000000001</v>
      </c>
      <c r="K345" s="50">
        <v>4.1999999999999997E-3</v>
      </c>
      <c r="L345" s="7">
        <v>0.161</v>
      </c>
      <c r="M345" s="7">
        <v>0.1822</v>
      </c>
      <c r="N345" s="7">
        <v>-0.2</v>
      </c>
      <c r="O345" s="4"/>
      <c r="P345" s="7">
        <v>1.2144999999999999</v>
      </c>
      <c r="T345" s="7">
        <v>58.4</v>
      </c>
      <c r="U345" s="7">
        <v>477</v>
      </c>
      <c r="V345" s="7">
        <v>756.4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10">
        <v>27.9</v>
      </c>
      <c r="BE345" s="42">
        <v>1020</v>
      </c>
      <c r="BF345" s="43">
        <v>52</v>
      </c>
      <c r="BG345" s="44"/>
      <c r="BH345" s="42">
        <v>2096</v>
      </c>
      <c r="BI345" s="2" t="s">
        <v>446</v>
      </c>
      <c r="BJ345" s="3" t="s">
        <v>466</v>
      </c>
      <c r="BK345"/>
      <c r="BL345"/>
      <c r="BM345"/>
      <c r="BO345" s="7"/>
      <c r="BR345"/>
    </row>
    <row r="346" spans="1:70" ht="28.5" x14ac:dyDescent="0.45">
      <c r="A346" s="2" t="s">
        <v>43</v>
      </c>
      <c r="B346" s="54" t="s">
        <v>46</v>
      </c>
      <c r="C346" s="3">
        <v>45302</v>
      </c>
      <c r="D346" s="8">
        <v>6</v>
      </c>
      <c r="E346" s="2" t="s">
        <v>213</v>
      </c>
      <c r="F346" s="4" t="s">
        <v>15</v>
      </c>
      <c r="G346" s="4" t="s">
        <v>15</v>
      </c>
      <c r="H346" s="4" t="s">
        <v>330</v>
      </c>
      <c r="I346" s="7">
        <v>0.17449999999999999</v>
      </c>
      <c r="J346" s="7">
        <v>0.17449999999999999</v>
      </c>
      <c r="K346" s="50">
        <v>1.1000000000000001E-3</v>
      </c>
      <c r="L346" s="7">
        <v>0.16</v>
      </c>
      <c r="M346" s="7">
        <v>0.1734</v>
      </c>
      <c r="N346" s="7">
        <v>-0.34</v>
      </c>
      <c r="O346" s="4"/>
      <c r="P346" s="7">
        <v>1.2144999999999999</v>
      </c>
      <c r="T346" s="7">
        <v>58.9</v>
      </c>
      <c r="U346" s="7">
        <v>470</v>
      </c>
      <c r="V346" s="7">
        <v>757.1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10">
        <v>28.1</v>
      </c>
      <c r="BE346" s="42">
        <v>1020</v>
      </c>
      <c r="BF346" s="43">
        <v>52</v>
      </c>
      <c r="BG346" s="44"/>
      <c r="BH346" s="42">
        <v>2096</v>
      </c>
      <c r="BI346" s="2" t="s">
        <v>447</v>
      </c>
      <c r="BJ346" s="3" t="s">
        <v>465</v>
      </c>
      <c r="BK346"/>
      <c r="BL346"/>
      <c r="BM346"/>
      <c r="BO346" s="7"/>
      <c r="BR346"/>
    </row>
    <row r="347" spans="1:70" ht="28.5" x14ac:dyDescent="0.45">
      <c r="A347" s="2" t="s">
        <v>43</v>
      </c>
      <c r="B347" s="54" t="s">
        <v>210</v>
      </c>
      <c r="C347" s="3">
        <v>45309</v>
      </c>
      <c r="D347" s="8">
        <v>1</v>
      </c>
      <c r="E347" s="2" t="s">
        <v>22</v>
      </c>
      <c r="F347" s="4" t="s">
        <v>15</v>
      </c>
      <c r="G347" s="4" t="s">
        <v>15</v>
      </c>
      <c r="H347" s="4" t="s">
        <v>330</v>
      </c>
      <c r="I347" s="7">
        <v>0.17749999999999999</v>
      </c>
      <c r="J347" s="7">
        <v>0.17749999999999999</v>
      </c>
      <c r="K347" s="50">
        <v>2.8999999999999998E-3</v>
      </c>
      <c r="L347" s="7">
        <v>0.17299999999999999</v>
      </c>
      <c r="M347" s="7">
        <v>0.17680000000000001</v>
      </c>
      <c r="N347" s="7">
        <v>-0.28999999999999998</v>
      </c>
      <c r="O347" s="4"/>
      <c r="P347" s="7">
        <v>1.2264999999999999</v>
      </c>
      <c r="T347" s="7">
        <v>57.4</v>
      </c>
      <c r="U347" s="7">
        <v>446</v>
      </c>
      <c r="V347" s="7">
        <v>755.9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10">
        <v>28</v>
      </c>
      <c r="BE347" s="42">
        <v>1015</v>
      </c>
      <c r="BF347" s="43">
        <v>59</v>
      </c>
      <c r="BG347" s="44">
        <v>1.1639999999999999</v>
      </c>
      <c r="BH347" s="42">
        <v>2096</v>
      </c>
      <c r="BI347" s="2"/>
      <c r="BJ347" s="3" t="s">
        <v>472</v>
      </c>
      <c r="BK347"/>
      <c r="BL347"/>
      <c r="BM347"/>
      <c r="BO347" s="7"/>
      <c r="BR347"/>
    </row>
    <row r="348" spans="1:70" ht="28.5" x14ac:dyDescent="0.45">
      <c r="A348" s="2" t="s">
        <v>43</v>
      </c>
      <c r="B348" s="54" t="s">
        <v>210</v>
      </c>
      <c r="C348" s="3">
        <v>45309</v>
      </c>
      <c r="D348" s="8">
        <v>2</v>
      </c>
      <c r="E348" s="2" t="s">
        <v>214</v>
      </c>
      <c r="F348" s="4" t="s">
        <v>15</v>
      </c>
      <c r="G348" s="4" t="s">
        <v>15</v>
      </c>
      <c r="H348" s="4" t="s">
        <v>330</v>
      </c>
      <c r="I348" s="7">
        <v>0.1646</v>
      </c>
      <c r="J348" s="7">
        <v>0.1628</v>
      </c>
      <c r="K348" s="50">
        <v>3.5999999999999999E-3</v>
      </c>
      <c r="L348" s="7">
        <v>0.16300000000000001</v>
      </c>
      <c r="M348" s="7">
        <v>0.1666</v>
      </c>
      <c r="N348" s="7">
        <v>-0.33</v>
      </c>
      <c r="O348" s="4"/>
      <c r="P348" s="7">
        <v>1.2264999999999999</v>
      </c>
      <c r="T348" s="7">
        <v>57</v>
      </c>
      <c r="U348" s="7">
        <v>411</v>
      </c>
      <c r="V348" s="7">
        <v>755.8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111.6</v>
      </c>
      <c r="BB348" s="2"/>
      <c r="BC348" s="2"/>
      <c r="BD348" s="10">
        <v>28</v>
      </c>
      <c r="BE348" s="42">
        <v>1015</v>
      </c>
      <c r="BF348" s="43">
        <v>59</v>
      </c>
      <c r="BG348" s="44">
        <v>1.1639999999999999</v>
      </c>
      <c r="BH348" s="42">
        <v>2096</v>
      </c>
      <c r="BI348" s="2" t="s">
        <v>445</v>
      </c>
      <c r="BJ348" s="38" t="s">
        <v>471</v>
      </c>
      <c r="BK348"/>
      <c r="BL348"/>
      <c r="BM348"/>
      <c r="BO348" s="7"/>
      <c r="BR348"/>
    </row>
    <row r="349" spans="1:70" ht="28.5" x14ac:dyDescent="0.45">
      <c r="A349" s="2" t="s">
        <v>43</v>
      </c>
      <c r="B349" s="54" t="s">
        <v>210</v>
      </c>
      <c r="C349" s="3">
        <v>45309</v>
      </c>
      <c r="D349" s="8">
        <v>3</v>
      </c>
      <c r="E349" s="2" t="s">
        <v>549</v>
      </c>
      <c r="F349" s="4" t="s">
        <v>15</v>
      </c>
      <c r="G349" s="4" t="s">
        <v>15</v>
      </c>
      <c r="H349" s="4" t="s">
        <v>330</v>
      </c>
      <c r="I349" s="7">
        <v>0.16450000000000001</v>
      </c>
      <c r="J349" s="7">
        <v>0.16189999999999999</v>
      </c>
      <c r="K349" s="50">
        <v>3.3E-3</v>
      </c>
      <c r="L349" s="7">
        <v>0.16300000000000001</v>
      </c>
      <c r="M349" s="7">
        <v>0.16270000000000001</v>
      </c>
      <c r="N349" s="7">
        <v>-0.41</v>
      </c>
      <c r="O349" s="4"/>
      <c r="P349" s="7">
        <v>1.2264999999999999</v>
      </c>
      <c r="T349" s="7">
        <v>57.2</v>
      </c>
      <c r="U349" s="7">
        <v>414</v>
      </c>
      <c r="V349" s="7">
        <v>755.8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111.6</v>
      </c>
      <c r="BB349" s="2"/>
      <c r="BC349" s="2"/>
      <c r="BD349" s="10">
        <v>28</v>
      </c>
      <c r="BE349" s="42">
        <v>1015</v>
      </c>
      <c r="BF349" s="43">
        <v>59</v>
      </c>
      <c r="BG349" s="44">
        <v>1.1639999999999999</v>
      </c>
      <c r="BH349" s="42">
        <v>2096</v>
      </c>
      <c r="BI349" s="2" t="s">
        <v>445</v>
      </c>
      <c r="BJ349" s="3" t="s">
        <v>476</v>
      </c>
      <c r="BK349"/>
      <c r="BL349"/>
      <c r="BM349"/>
      <c r="BO349" s="7"/>
      <c r="BR349"/>
    </row>
    <row r="350" spans="1:70" ht="28.5" x14ac:dyDescent="0.45">
      <c r="A350" s="2" t="s">
        <v>43</v>
      </c>
      <c r="B350" s="54" t="s">
        <v>210</v>
      </c>
      <c r="C350" s="3">
        <v>45309</v>
      </c>
      <c r="D350" s="8">
        <v>4</v>
      </c>
      <c r="E350" s="2" t="s">
        <v>22</v>
      </c>
      <c r="F350" s="4" t="s">
        <v>15</v>
      </c>
      <c r="G350" s="4" t="s">
        <v>15</v>
      </c>
      <c r="H350" s="4" t="s">
        <v>330</v>
      </c>
      <c r="I350" s="7">
        <v>0.17510000000000001</v>
      </c>
      <c r="J350" s="7">
        <v>0.17510000000000001</v>
      </c>
      <c r="K350" s="50">
        <v>1.8E-3</v>
      </c>
      <c r="L350" s="7">
        <v>0.17199999999999999</v>
      </c>
      <c r="M350" s="7">
        <v>0.1731</v>
      </c>
      <c r="N350" s="7">
        <v>-0.26</v>
      </c>
      <c r="O350" s="4"/>
      <c r="P350" s="7">
        <v>1.2264999999999999</v>
      </c>
      <c r="T350" s="7">
        <v>57.5</v>
      </c>
      <c r="U350" s="7">
        <v>440</v>
      </c>
      <c r="V350" s="7">
        <v>755.7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111.6</v>
      </c>
      <c r="BB350" s="2"/>
      <c r="BC350" s="2"/>
      <c r="BD350" s="10">
        <v>28</v>
      </c>
      <c r="BE350" s="42">
        <v>1015</v>
      </c>
      <c r="BF350" s="43">
        <v>59</v>
      </c>
      <c r="BG350" s="44">
        <v>1.1639999999999999</v>
      </c>
      <c r="BH350" s="42">
        <v>2096</v>
      </c>
      <c r="BI350" s="2" t="s">
        <v>445</v>
      </c>
      <c r="BJ350" s="3" t="s">
        <v>475</v>
      </c>
      <c r="BK350"/>
      <c r="BL350"/>
      <c r="BM350"/>
      <c r="BO350" s="7"/>
      <c r="BR350"/>
    </row>
    <row r="351" spans="1:70" ht="28.5" x14ac:dyDescent="0.45">
      <c r="A351" s="2" t="s">
        <v>43</v>
      </c>
      <c r="B351" s="54" t="s">
        <v>210</v>
      </c>
      <c r="C351" s="3">
        <v>45309</v>
      </c>
      <c r="D351" s="8">
        <v>5</v>
      </c>
      <c r="E351" s="2" t="s">
        <v>214</v>
      </c>
      <c r="F351" s="4" t="s">
        <v>15</v>
      </c>
      <c r="G351" s="4" t="s">
        <v>15</v>
      </c>
      <c r="H351" s="4" t="s">
        <v>330</v>
      </c>
      <c r="I351" s="7">
        <v>0.16300000000000001</v>
      </c>
      <c r="J351" s="7">
        <v>0.16120000000000001</v>
      </c>
      <c r="K351" s="50">
        <v>2.8E-3</v>
      </c>
      <c r="L351" s="7">
        <v>0.16400000000000001</v>
      </c>
      <c r="M351" s="7">
        <v>0.16450000000000001</v>
      </c>
      <c r="N351" s="7">
        <v>-0.4</v>
      </c>
      <c r="O351" s="4"/>
      <c r="P351" s="7">
        <v>1.2264999999999999</v>
      </c>
      <c r="T351" s="7">
        <v>57.1</v>
      </c>
      <c r="U351" s="7">
        <v>410</v>
      </c>
      <c r="V351" s="7">
        <v>755.9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111.6</v>
      </c>
      <c r="BB351" s="2"/>
      <c r="BC351" s="2"/>
      <c r="BD351" s="10">
        <v>28</v>
      </c>
      <c r="BE351" s="42">
        <v>1015</v>
      </c>
      <c r="BF351" s="43">
        <v>59</v>
      </c>
      <c r="BG351" s="44">
        <v>1.1639999999999999</v>
      </c>
      <c r="BH351" s="42">
        <v>2096</v>
      </c>
      <c r="BI351" s="2" t="s">
        <v>446</v>
      </c>
      <c r="BJ351" s="3" t="s">
        <v>474</v>
      </c>
      <c r="BK351"/>
      <c r="BL351"/>
      <c r="BM351"/>
      <c r="BO351" s="7"/>
      <c r="BR351"/>
    </row>
    <row r="352" spans="1:70" ht="28.5" x14ac:dyDescent="0.45">
      <c r="A352" s="2" t="s">
        <v>43</v>
      </c>
      <c r="B352" s="54" t="s">
        <v>210</v>
      </c>
      <c r="C352" s="3">
        <v>45309</v>
      </c>
      <c r="D352" s="8">
        <v>6</v>
      </c>
      <c r="E352" s="2" t="s">
        <v>549</v>
      </c>
      <c r="F352" s="4" t="s">
        <v>15</v>
      </c>
      <c r="G352" s="4" t="s">
        <v>15</v>
      </c>
      <c r="H352" s="4" t="s">
        <v>330</v>
      </c>
      <c r="I352" s="7">
        <v>0.16689999999999999</v>
      </c>
      <c r="J352" s="7">
        <v>0.1643</v>
      </c>
      <c r="K352" s="50">
        <v>2.8999999999999998E-3</v>
      </c>
      <c r="L352" s="7">
        <v>0.16700000000000001</v>
      </c>
      <c r="M352" s="7">
        <v>0.16470000000000001</v>
      </c>
      <c r="N352" s="7">
        <v>-0.4</v>
      </c>
      <c r="O352" s="4"/>
      <c r="P352" s="7">
        <v>1.2264999999999999</v>
      </c>
      <c r="T352" s="7">
        <v>56.8</v>
      </c>
      <c r="U352" s="7">
        <v>411</v>
      </c>
      <c r="V352" s="7">
        <v>756.1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111.6</v>
      </c>
      <c r="BB352" s="2"/>
      <c r="BC352" s="2"/>
      <c r="BD352" s="10">
        <v>28</v>
      </c>
      <c r="BE352" s="42">
        <v>1015</v>
      </c>
      <c r="BF352" s="43">
        <v>59</v>
      </c>
      <c r="BG352" s="44">
        <v>1.1639999999999999</v>
      </c>
      <c r="BH352" s="42">
        <v>2096</v>
      </c>
      <c r="BI352" s="2" t="s">
        <v>445</v>
      </c>
      <c r="BJ352" s="3" t="s">
        <v>473</v>
      </c>
      <c r="BK352"/>
      <c r="BL352"/>
      <c r="BM352"/>
      <c r="BO352" s="7"/>
      <c r="BR352"/>
    </row>
    <row r="353" spans="1:70" ht="28.5" x14ac:dyDescent="0.45">
      <c r="A353" s="2" t="s">
        <v>13</v>
      </c>
      <c r="B353" s="54" t="s">
        <v>14</v>
      </c>
      <c r="C353" s="3">
        <v>45313</v>
      </c>
      <c r="D353" s="8">
        <v>1</v>
      </c>
      <c r="E353" s="2" t="s">
        <v>554</v>
      </c>
      <c r="F353" s="4" t="s">
        <v>89</v>
      </c>
      <c r="G353" s="4" t="s">
        <v>578</v>
      </c>
      <c r="H353" s="4" t="s">
        <v>571</v>
      </c>
      <c r="I353" s="7">
        <v>0.16020000000000001</v>
      </c>
      <c r="J353" s="7">
        <v>0.16020000000000001</v>
      </c>
      <c r="K353" s="50">
        <v>2.0999999999999999E-3</v>
      </c>
      <c r="L353" s="7"/>
      <c r="M353" s="7">
        <v>0.1633</v>
      </c>
      <c r="N353" s="7">
        <v>-0.24</v>
      </c>
      <c r="O353" s="4"/>
      <c r="P353" s="7">
        <v>1.2569999999999999</v>
      </c>
      <c r="T353" s="7">
        <v>62</v>
      </c>
      <c r="U353" s="7">
        <v>503</v>
      </c>
      <c r="V353" s="7">
        <v>755.9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>
        <v>87.1</v>
      </c>
      <c r="AZ353" s="4"/>
      <c r="BA353" s="4">
        <v>117</v>
      </c>
      <c r="BB353" s="2"/>
      <c r="BC353" s="2"/>
      <c r="BD353" s="2">
        <v>28.8</v>
      </c>
      <c r="BE353" s="42">
        <v>1000</v>
      </c>
      <c r="BF353" s="43">
        <v>59</v>
      </c>
      <c r="BG353" s="44">
        <v>1.1439999999999999</v>
      </c>
      <c r="BH353" s="42">
        <v>2096</v>
      </c>
      <c r="BI353" s="2"/>
      <c r="BJ353" s="3" t="s">
        <v>486</v>
      </c>
      <c r="BK353"/>
      <c r="BL353"/>
      <c r="BM353"/>
      <c r="BO353" s="7"/>
      <c r="BR353"/>
    </row>
    <row r="354" spans="1:70" ht="28.5" x14ac:dyDescent="0.45">
      <c r="A354" s="2" t="s">
        <v>13</v>
      </c>
      <c r="B354" s="54" t="s">
        <v>14</v>
      </c>
      <c r="C354" s="3">
        <v>45313</v>
      </c>
      <c r="D354" s="8">
        <v>2</v>
      </c>
      <c r="E354" s="2" t="s">
        <v>554</v>
      </c>
      <c r="F354" s="4" t="s">
        <v>89</v>
      </c>
      <c r="G354" s="4" t="s">
        <v>578</v>
      </c>
      <c r="H354" s="4" t="s">
        <v>571</v>
      </c>
      <c r="I354" s="48"/>
      <c r="J354" s="48"/>
      <c r="K354" s="51"/>
      <c r="L354" s="7"/>
      <c r="M354" s="7">
        <v>0.15909999999999999</v>
      </c>
      <c r="O354" s="4"/>
      <c r="P354" s="7">
        <v>1.2569999999999999</v>
      </c>
      <c r="T354" s="7">
        <v>62.5</v>
      </c>
      <c r="U354" s="7">
        <v>506</v>
      </c>
      <c r="V354" s="7">
        <v>754.4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>
        <v>87</v>
      </c>
      <c r="AZ354" s="4"/>
      <c r="BA354" s="4">
        <v>117</v>
      </c>
      <c r="BB354" s="2"/>
      <c r="BC354" s="2"/>
      <c r="BD354" s="2">
        <v>28.8</v>
      </c>
      <c r="BE354" s="42">
        <v>1000</v>
      </c>
      <c r="BF354" s="43">
        <v>59</v>
      </c>
      <c r="BG354" s="44">
        <v>1.1439999999999999</v>
      </c>
      <c r="BH354" s="42">
        <v>2096</v>
      </c>
      <c r="BI354" s="2"/>
      <c r="BJ354" s="3" t="s">
        <v>485</v>
      </c>
      <c r="BK354"/>
      <c r="BL354"/>
      <c r="BM354"/>
      <c r="BO354" s="7"/>
      <c r="BR354"/>
    </row>
    <row r="355" spans="1:70" ht="28.5" x14ac:dyDescent="0.45">
      <c r="A355" s="2" t="s">
        <v>13</v>
      </c>
      <c r="B355" s="54" t="s">
        <v>14</v>
      </c>
      <c r="C355" s="3">
        <v>45313</v>
      </c>
      <c r="D355" s="8">
        <v>3</v>
      </c>
      <c r="E355" s="2" t="s">
        <v>554</v>
      </c>
      <c r="F355" s="52" t="s">
        <v>565</v>
      </c>
      <c r="G355" s="4" t="s">
        <v>578</v>
      </c>
      <c r="H355" s="4" t="s">
        <v>571</v>
      </c>
      <c r="I355" s="7">
        <v>0.1704</v>
      </c>
      <c r="J355" s="7">
        <v>0.1704</v>
      </c>
      <c r="K355" s="50">
        <v>2.8E-3</v>
      </c>
      <c r="L355" s="7"/>
      <c r="M355" s="7">
        <v>0.1613</v>
      </c>
      <c r="N355" s="7">
        <v>-0.89</v>
      </c>
      <c r="O355" s="4"/>
      <c r="P355" s="7">
        <v>1.2190000000000001</v>
      </c>
      <c r="T355" s="7">
        <v>62.9</v>
      </c>
      <c r="U355" s="7">
        <v>522</v>
      </c>
      <c r="V355" s="7">
        <v>755.7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>
        <v>86.8</v>
      </c>
      <c r="AZ355" s="4"/>
      <c r="BA355" s="4">
        <v>117</v>
      </c>
      <c r="BB355" s="2"/>
      <c r="BC355" s="2"/>
      <c r="BD355" s="2">
        <v>28.8</v>
      </c>
      <c r="BE355" s="42">
        <v>1000</v>
      </c>
      <c r="BF355" s="43">
        <v>59</v>
      </c>
      <c r="BG355" s="44">
        <v>1.1439999999999999</v>
      </c>
      <c r="BH355" s="42">
        <v>2096</v>
      </c>
      <c r="BI355" s="2"/>
      <c r="BJ355" s="3" t="s">
        <v>484</v>
      </c>
      <c r="BK355"/>
      <c r="BL355"/>
      <c r="BM355"/>
      <c r="BO355" s="7"/>
      <c r="BR355"/>
    </row>
    <row r="356" spans="1:70" ht="28.5" x14ac:dyDescent="0.45">
      <c r="A356" s="2" t="s">
        <v>13</v>
      </c>
      <c r="B356" s="54" t="s">
        <v>14</v>
      </c>
      <c r="C356" s="3">
        <v>45313</v>
      </c>
      <c r="D356" s="8">
        <v>4</v>
      </c>
      <c r="E356" s="2" t="s">
        <v>554</v>
      </c>
      <c r="F356" s="4" t="s">
        <v>89</v>
      </c>
      <c r="G356" s="4" t="s">
        <v>578</v>
      </c>
      <c r="H356" s="4" t="s">
        <v>571</v>
      </c>
      <c r="I356" s="7">
        <v>0.16889999999999999</v>
      </c>
      <c r="J356" s="7">
        <v>0.16889999999999999</v>
      </c>
      <c r="K356" s="50">
        <v>5.5999999999999999E-3</v>
      </c>
      <c r="L356" s="7"/>
      <c r="M356" s="7">
        <v>0.16120000000000001</v>
      </c>
      <c r="N356" s="7">
        <v>-0.84</v>
      </c>
      <c r="O356" s="4"/>
      <c r="P356" s="7">
        <v>1.2190000000000001</v>
      </c>
      <c r="T356" s="7">
        <v>63</v>
      </c>
      <c r="U356" s="7">
        <v>512</v>
      </c>
      <c r="V356" s="7">
        <v>755.8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>
        <v>86.4</v>
      </c>
      <c r="AZ356" s="4"/>
      <c r="BA356" s="4">
        <v>117</v>
      </c>
      <c r="BB356" s="2"/>
      <c r="BC356" s="2"/>
      <c r="BD356" s="2">
        <v>29</v>
      </c>
      <c r="BE356" s="42">
        <v>999</v>
      </c>
      <c r="BF356" s="43">
        <v>58</v>
      </c>
      <c r="BG356" s="44">
        <v>1.1419999999999999</v>
      </c>
      <c r="BH356" s="42">
        <v>2096</v>
      </c>
      <c r="BI356" s="2"/>
      <c r="BJ356" s="3" t="s">
        <v>452</v>
      </c>
      <c r="BK356"/>
      <c r="BL356"/>
      <c r="BM356"/>
      <c r="BO356" s="7"/>
      <c r="BR356"/>
    </row>
    <row r="357" spans="1:70" ht="28.5" x14ac:dyDescent="0.45">
      <c r="A357" s="2" t="s">
        <v>13</v>
      </c>
      <c r="B357" s="54" t="s">
        <v>14</v>
      </c>
      <c r="C357" s="3">
        <v>45313</v>
      </c>
      <c r="D357" s="8">
        <v>5</v>
      </c>
      <c r="E357" s="2" t="s">
        <v>554</v>
      </c>
      <c r="F357" s="52" t="s">
        <v>565</v>
      </c>
      <c r="G357" s="4" t="s">
        <v>578</v>
      </c>
      <c r="H357" s="4" t="s">
        <v>571</v>
      </c>
      <c r="I357" s="7">
        <v>0.16900000000000001</v>
      </c>
      <c r="J357" s="7">
        <v>0.16900000000000001</v>
      </c>
      <c r="K357" s="50">
        <v>4.8999999999999998E-3</v>
      </c>
      <c r="L357" s="7"/>
      <c r="M357" s="7">
        <v>0.16020000000000001</v>
      </c>
      <c r="N357" s="7">
        <v>-0.85</v>
      </c>
      <c r="O357" s="4"/>
      <c r="P357" s="7">
        <v>1.2190000000000001</v>
      </c>
      <c r="T357" s="7">
        <v>63</v>
      </c>
      <c r="U357" s="7">
        <v>518</v>
      </c>
      <c r="V357" s="7">
        <v>755.8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>
        <v>86.5</v>
      </c>
      <c r="AZ357" s="4"/>
      <c r="BA357" s="4">
        <v>117</v>
      </c>
      <c r="BB357" s="2"/>
      <c r="BC357" s="2"/>
      <c r="BD357" s="2">
        <v>29</v>
      </c>
      <c r="BE357" s="42">
        <v>999</v>
      </c>
      <c r="BF357" s="43">
        <v>58</v>
      </c>
      <c r="BG357" s="44">
        <v>1.1419999999999999</v>
      </c>
      <c r="BH357" s="42">
        <v>2096</v>
      </c>
      <c r="BI357" s="2"/>
      <c r="BJ357" s="3" t="s">
        <v>453</v>
      </c>
      <c r="BK357"/>
      <c r="BL357"/>
      <c r="BM357"/>
      <c r="BO357" s="7"/>
      <c r="BR357"/>
    </row>
    <row r="358" spans="1:70" ht="28.5" x14ac:dyDescent="0.45">
      <c r="A358" s="2" t="s">
        <v>13</v>
      </c>
      <c r="B358" s="54" t="s">
        <v>442</v>
      </c>
      <c r="C358" s="3">
        <v>45313</v>
      </c>
      <c r="D358" s="8">
        <v>1</v>
      </c>
      <c r="E358" s="2" t="s">
        <v>220</v>
      </c>
      <c r="F358" s="4" t="s">
        <v>15</v>
      </c>
      <c r="G358" s="4" t="s">
        <v>577</v>
      </c>
      <c r="H358" s="4" t="s">
        <v>575</v>
      </c>
      <c r="I358" s="7">
        <v>0.1855</v>
      </c>
      <c r="J358" s="7">
        <v>0.1855</v>
      </c>
      <c r="K358" s="50">
        <v>6.4999999999999997E-3</v>
      </c>
      <c r="L358" s="7"/>
      <c r="M358" s="7">
        <v>0.1847</v>
      </c>
      <c r="N358" s="7">
        <v>-0.54</v>
      </c>
      <c r="O358" s="4"/>
      <c r="P358" s="7">
        <v>1.2344999999999999</v>
      </c>
      <c r="T358" s="7">
        <v>60.1</v>
      </c>
      <c r="U358" s="7">
        <v>506</v>
      </c>
      <c r="V358" s="7">
        <v>753.3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>
        <v>85.2</v>
      </c>
      <c r="AZ358" s="4"/>
      <c r="BA358" s="4">
        <v>109.7</v>
      </c>
      <c r="BB358" s="2"/>
      <c r="BC358" s="2"/>
      <c r="BD358" s="2">
        <v>29.8</v>
      </c>
      <c r="BE358" s="42">
        <v>998</v>
      </c>
      <c r="BF358" s="43">
        <v>58</v>
      </c>
      <c r="BG358" s="44">
        <v>1.137</v>
      </c>
      <c r="BH358" s="42">
        <v>2096</v>
      </c>
      <c r="BI358" s="2"/>
      <c r="BJ358" s="3" t="s">
        <v>454</v>
      </c>
      <c r="BK358"/>
      <c r="BL358"/>
      <c r="BM358"/>
      <c r="BO358" s="7"/>
      <c r="BR358"/>
    </row>
    <row r="359" spans="1:70" ht="28.5" x14ac:dyDescent="0.45">
      <c r="A359" s="2" t="s">
        <v>13</v>
      </c>
      <c r="B359" s="54" t="s">
        <v>442</v>
      </c>
      <c r="C359" s="3">
        <v>45313</v>
      </c>
      <c r="D359" s="8">
        <v>2</v>
      </c>
      <c r="E359" s="2" t="s">
        <v>220</v>
      </c>
      <c r="F359" s="4" t="s">
        <v>89</v>
      </c>
      <c r="G359" s="4" t="s">
        <v>578</v>
      </c>
      <c r="H359" s="4" t="s">
        <v>575</v>
      </c>
      <c r="I359" s="7">
        <v>0.18379999999999999</v>
      </c>
      <c r="J359" s="7">
        <v>0.18379999999999999</v>
      </c>
      <c r="K359" s="50">
        <v>6.4999999999999997E-3</v>
      </c>
      <c r="L359" s="7"/>
      <c r="M359" s="7">
        <v>0.1827</v>
      </c>
      <c r="N359" s="7">
        <v>-0.46</v>
      </c>
      <c r="O359" s="4"/>
      <c r="P359" s="7">
        <v>1.2344999999999999</v>
      </c>
      <c r="T359" s="7">
        <v>59.4</v>
      </c>
      <c r="U359" s="7">
        <v>490</v>
      </c>
      <c r="V359" s="7">
        <v>752.8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>
        <v>85.1</v>
      </c>
      <c r="AZ359" s="4"/>
      <c r="BA359" s="4">
        <v>109.7</v>
      </c>
      <c r="BB359" s="2"/>
      <c r="BC359" s="2"/>
      <c r="BD359" s="2">
        <v>30.3</v>
      </c>
      <c r="BE359" s="42">
        <v>998</v>
      </c>
      <c r="BF359" s="43">
        <v>56</v>
      </c>
      <c r="BG359" s="44">
        <v>1.135</v>
      </c>
      <c r="BH359" s="42">
        <v>2096</v>
      </c>
      <c r="BI359" s="2"/>
      <c r="BJ359" s="3" t="s">
        <v>455</v>
      </c>
      <c r="BK359"/>
      <c r="BL359"/>
      <c r="BM359"/>
      <c r="BO359" s="7"/>
      <c r="BR359"/>
    </row>
    <row r="360" spans="1:70" ht="28.5" x14ac:dyDescent="0.45">
      <c r="A360" s="2" t="s">
        <v>13</v>
      </c>
      <c r="B360" s="54" t="s">
        <v>442</v>
      </c>
      <c r="C360" s="3">
        <v>45313</v>
      </c>
      <c r="D360" s="8">
        <v>3</v>
      </c>
      <c r="E360" s="2" t="s">
        <v>443</v>
      </c>
      <c r="F360" s="4" t="s">
        <v>89</v>
      </c>
      <c r="G360" s="4" t="s">
        <v>578</v>
      </c>
      <c r="H360" s="4" t="s">
        <v>575</v>
      </c>
      <c r="I360" s="7">
        <v>0.191</v>
      </c>
      <c r="J360" s="7">
        <v>0.191</v>
      </c>
      <c r="K360" s="50">
        <v>3.0999999999999999E-3</v>
      </c>
      <c r="L360" s="7"/>
      <c r="M360" s="7">
        <v>0.1855</v>
      </c>
      <c r="N360" s="7">
        <v>-0.53</v>
      </c>
      <c r="O360" s="4"/>
      <c r="P360" s="7">
        <v>1.2344999999999999</v>
      </c>
      <c r="T360" s="7">
        <v>60</v>
      </c>
      <c r="U360" s="7">
        <v>504</v>
      </c>
      <c r="V360" s="7">
        <v>753.1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>
        <v>85</v>
      </c>
      <c r="AZ360" s="4"/>
      <c r="BA360" s="4">
        <v>109.7</v>
      </c>
      <c r="BB360" s="2"/>
      <c r="BC360" s="2"/>
      <c r="BD360" s="2">
        <v>30.3</v>
      </c>
      <c r="BE360" s="42">
        <v>998</v>
      </c>
      <c r="BF360" s="43">
        <v>56</v>
      </c>
      <c r="BG360" s="44">
        <v>1.135</v>
      </c>
      <c r="BH360" s="42">
        <v>2096</v>
      </c>
      <c r="BI360" s="2"/>
      <c r="BJ360" s="3" t="s">
        <v>456</v>
      </c>
      <c r="BK360"/>
      <c r="BL360"/>
      <c r="BM360"/>
      <c r="BO360" s="7"/>
      <c r="BR360"/>
    </row>
    <row r="361" spans="1:70" ht="28.5" x14ac:dyDescent="0.45">
      <c r="A361" s="2" t="s">
        <v>13</v>
      </c>
      <c r="B361" s="54" t="s">
        <v>442</v>
      </c>
      <c r="C361" s="3">
        <v>45313</v>
      </c>
      <c r="D361" s="8">
        <v>4</v>
      </c>
      <c r="E361" s="2" t="s">
        <v>220</v>
      </c>
      <c r="F361" s="4" t="s">
        <v>89</v>
      </c>
      <c r="G361" s="4" t="s">
        <v>578</v>
      </c>
      <c r="H361" s="4" t="s">
        <v>575</v>
      </c>
      <c r="I361" s="7">
        <v>0.18820000000000001</v>
      </c>
      <c r="J361" s="7">
        <v>0.18820000000000001</v>
      </c>
      <c r="K361" s="50">
        <v>3.0000000000000001E-3</v>
      </c>
      <c r="L361" s="7"/>
      <c r="M361" s="7">
        <v>0.18229999999999999</v>
      </c>
      <c r="N361" s="7">
        <v>-0.57999999999999996</v>
      </c>
      <c r="O361" s="4"/>
      <c r="P361" s="7">
        <v>1.2344999999999999</v>
      </c>
      <c r="T361" s="7">
        <v>60.9</v>
      </c>
      <c r="U361" s="7">
        <v>529</v>
      </c>
      <c r="V361" s="7">
        <v>753.5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>
        <v>85</v>
      </c>
      <c r="AZ361" s="4"/>
      <c r="BA361" s="4">
        <v>109.7</v>
      </c>
      <c r="BB361" s="2"/>
      <c r="BC361" s="2"/>
      <c r="BD361" s="2">
        <v>30.3</v>
      </c>
      <c r="BE361" s="42">
        <v>998</v>
      </c>
      <c r="BF361" s="43">
        <v>56</v>
      </c>
      <c r="BG361" s="44">
        <v>1.135</v>
      </c>
      <c r="BH361" s="42">
        <v>2096</v>
      </c>
      <c r="BI361" s="2"/>
      <c r="BJ361" s="3" t="s">
        <v>457</v>
      </c>
      <c r="BK361"/>
      <c r="BL361"/>
      <c r="BM361"/>
      <c r="BO361" s="7"/>
      <c r="BR361"/>
    </row>
    <row r="362" spans="1:70" ht="28.5" x14ac:dyDescent="0.45">
      <c r="A362" s="2" t="s">
        <v>13</v>
      </c>
      <c r="B362" s="54" t="s">
        <v>442</v>
      </c>
      <c r="C362" s="3">
        <v>45313</v>
      </c>
      <c r="D362" s="8">
        <v>5</v>
      </c>
      <c r="E362" s="2" t="s">
        <v>443</v>
      </c>
      <c r="F362" s="4" t="s">
        <v>89</v>
      </c>
      <c r="G362" s="4" t="s">
        <v>578</v>
      </c>
      <c r="H362" s="4" t="s">
        <v>575</v>
      </c>
      <c r="I362" s="7">
        <v>0.186</v>
      </c>
      <c r="J362" s="7">
        <v>0.186</v>
      </c>
      <c r="K362" s="50">
        <v>3.3999999999999998E-3</v>
      </c>
      <c r="L362" s="7"/>
      <c r="M362" s="7">
        <v>0.18459999999999999</v>
      </c>
      <c r="N362" s="7">
        <v>-0.43</v>
      </c>
      <c r="O362" s="4"/>
      <c r="P362" s="7">
        <v>1.2344999999999999</v>
      </c>
      <c r="T362" s="7">
        <v>61.1</v>
      </c>
      <c r="U362" s="7">
        <v>534</v>
      </c>
      <c r="V362" s="7">
        <v>753.5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>
        <v>84.9</v>
      </c>
      <c r="AZ362" s="4"/>
      <c r="BA362" s="4">
        <v>109.7</v>
      </c>
      <c r="BB362" s="2"/>
      <c r="BC362" s="2"/>
      <c r="BD362" s="2">
        <v>30.3</v>
      </c>
      <c r="BE362" s="42">
        <v>998</v>
      </c>
      <c r="BF362" s="43">
        <v>56</v>
      </c>
      <c r="BG362" s="44">
        <v>1.135</v>
      </c>
      <c r="BH362" s="42">
        <v>2096</v>
      </c>
      <c r="BI362" s="2"/>
      <c r="BJ362" s="3" t="s">
        <v>458</v>
      </c>
      <c r="BK362"/>
      <c r="BL362"/>
      <c r="BM362"/>
      <c r="BO362" s="7"/>
      <c r="BR362"/>
    </row>
    <row r="363" spans="1:70" ht="28.5" x14ac:dyDescent="0.45">
      <c r="A363" s="2" t="s">
        <v>13</v>
      </c>
      <c r="B363" s="54" t="s">
        <v>442</v>
      </c>
      <c r="C363" s="3">
        <v>45313</v>
      </c>
      <c r="D363" s="8">
        <v>6</v>
      </c>
      <c r="E363" s="2" t="s">
        <v>220</v>
      </c>
      <c r="F363" s="4" t="s">
        <v>89</v>
      </c>
      <c r="G363" s="4" t="s">
        <v>578</v>
      </c>
      <c r="H363" s="4" t="s">
        <v>575</v>
      </c>
      <c r="I363" s="7">
        <v>0.185</v>
      </c>
      <c r="J363" s="7">
        <v>0.185</v>
      </c>
      <c r="K363" s="50">
        <v>3.3E-3</v>
      </c>
      <c r="L363" s="7"/>
      <c r="M363" s="7">
        <v>0.1827</v>
      </c>
      <c r="N363" s="7">
        <v>-0.5</v>
      </c>
      <c r="O363" s="4"/>
      <c r="P363" s="7">
        <v>1.2344999999999999</v>
      </c>
      <c r="T363" s="7">
        <v>60.7</v>
      </c>
      <c r="U363" s="7">
        <v>518</v>
      </c>
      <c r="V363" s="7">
        <v>753.4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>
        <v>84.7</v>
      </c>
      <c r="AZ363" s="4"/>
      <c r="BA363" s="4">
        <v>109.7</v>
      </c>
      <c r="BB363" s="2"/>
      <c r="BC363" s="2"/>
      <c r="BD363" s="2">
        <v>30.3</v>
      </c>
      <c r="BE363" s="42">
        <v>998</v>
      </c>
      <c r="BF363" s="43">
        <v>56</v>
      </c>
      <c r="BG363" s="44">
        <v>1.135</v>
      </c>
      <c r="BH363" s="42">
        <v>2096</v>
      </c>
      <c r="BI363" s="2"/>
      <c r="BJ363" s="3" t="s">
        <v>488</v>
      </c>
      <c r="BK363"/>
      <c r="BL363"/>
      <c r="BM363"/>
      <c r="BO363" s="7"/>
      <c r="BR363"/>
    </row>
    <row r="364" spans="1:70" ht="28.5" x14ac:dyDescent="0.45">
      <c r="A364" s="2" t="s">
        <v>13</v>
      </c>
      <c r="B364" s="54" t="s">
        <v>442</v>
      </c>
      <c r="C364" s="3">
        <v>45313</v>
      </c>
      <c r="D364" s="8">
        <v>7</v>
      </c>
      <c r="E364" s="2" t="s">
        <v>220</v>
      </c>
      <c r="F364" s="4" t="s">
        <v>15</v>
      </c>
      <c r="G364" s="4" t="s">
        <v>577</v>
      </c>
      <c r="H364" s="4" t="s">
        <v>575</v>
      </c>
      <c r="I364" s="7">
        <v>0.1915</v>
      </c>
      <c r="J364" s="7">
        <v>0.1915</v>
      </c>
      <c r="K364" s="50">
        <v>4.1999999999999997E-3</v>
      </c>
      <c r="L364" s="7"/>
      <c r="M364" s="7">
        <v>0.1865</v>
      </c>
      <c r="N364" s="7">
        <v>-0.49</v>
      </c>
      <c r="O364" s="4"/>
      <c r="P364" s="7">
        <v>1.2344999999999999</v>
      </c>
      <c r="T364" s="7">
        <v>60.1</v>
      </c>
      <c r="U364" s="7">
        <v>509</v>
      </c>
      <c r="V364" s="7">
        <v>753.3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>
        <v>84.4</v>
      </c>
      <c r="AZ364" s="4"/>
      <c r="BA364" s="4">
        <v>109.7</v>
      </c>
      <c r="BB364" s="2"/>
      <c r="BC364" s="2"/>
      <c r="BD364" s="2">
        <v>31.1</v>
      </c>
      <c r="BE364" s="42">
        <v>998</v>
      </c>
      <c r="BF364" s="43">
        <v>56</v>
      </c>
      <c r="BG364" s="44">
        <v>1.131</v>
      </c>
      <c r="BH364" s="42">
        <v>2096</v>
      </c>
      <c r="BI364" s="2"/>
      <c r="BJ364" s="3" t="s">
        <v>487</v>
      </c>
      <c r="BK364"/>
      <c r="BL364"/>
      <c r="BM364" s="7"/>
      <c r="BR364"/>
    </row>
    <row r="365" spans="1:70" ht="28.5" x14ac:dyDescent="0.45">
      <c r="A365" s="2" t="s">
        <v>13</v>
      </c>
      <c r="B365" s="54" t="s">
        <v>25</v>
      </c>
      <c r="C365" s="3">
        <v>45313</v>
      </c>
      <c r="D365" s="8">
        <v>1</v>
      </c>
      <c r="E365" s="2" t="s">
        <v>22</v>
      </c>
      <c r="F365" s="4" t="s">
        <v>15</v>
      </c>
      <c r="G365" s="4" t="s">
        <v>15</v>
      </c>
      <c r="H365" s="4" t="s">
        <v>223</v>
      </c>
      <c r="I365" s="7">
        <v>0.15110000000000001</v>
      </c>
      <c r="J365" s="7">
        <v>0.15110000000000001</v>
      </c>
      <c r="K365" s="50">
        <v>3.3999999999999998E-3</v>
      </c>
      <c r="L365" s="7"/>
      <c r="M365" s="7">
        <v>0.1542</v>
      </c>
      <c r="N365" s="7">
        <v>-0.33</v>
      </c>
      <c r="O365" s="4"/>
      <c r="P365" s="7">
        <v>1.2909999999999999</v>
      </c>
      <c r="T365" s="7">
        <v>61.9</v>
      </c>
      <c r="U365" s="7">
        <v>473</v>
      </c>
      <c r="V365" s="7">
        <v>756.5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>
        <v>81</v>
      </c>
      <c r="AZ365" s="4"/>
      <c r="BA365" s="4">
        <v>117</v>
      </c>
      <c r="BB365" s="2"/>
      <c r="BC365" s="2"/>
      <c r="BD365" s="2">
        <v>28.8</v>
      </c>
      <c r="BE365" s="42">
        <v>1000</v>
      </c>
      <c r="BF365" s="43">
        <v>59</v>
      </c>
      <c r="BG365" s="44">
        <v>1.1439999999999999</v>
      </c>
      <c r="BH365" s="42">
        <v>2096</v>
      </c>
      <c r="BI365" s="2"/>
      <c r="BJ365" s="3" t="s">
        <v>479</v>
      </c>
      <c r="BK365"/>
      <c r="BL365"/>
      <c r="BM365" s="7"/>
      <c r="BR365"/>
    </row>
    <row r="366" spans="1:70" ht="28.5" x14ac:dyDescent="0.45">
      <c r="A366" s="2" t="s">
        <v>13</v>
      </c>
      <c r="B366" s="54" t="s">
        <v>25</v>
      </c>
      <c r="C366" s="3">
        <v>45313</v>
      </c>
      <c r="D366" s="8">
        <v>2</v>
      </c>
      <c r="E366" s="2" t="s">
        <v>444</v>
      </c>
      <c r="F366" s="4" t="s">
        <v>15</v>
      </c>
      <c r="G366" s="4" t="s">
        <v>15</v>
      </c>
      <c r="H366" s="4" t="s">
        <v>223</v>
      </c>
      <c r="I366" s="7">
        <v>0.15229999999999999</v>
      </c>
      <c r="J366" s="7">
        <v>0.15229999999999999</v>
      </c>
      <c r="K366" s="50">
        <v>2.3E-3</v>
      </c>
      <c r="L366" s="7"/>
      <c r="M366" s="7">
        <v>0.15240000000000001</v>
      </c>
      <c r="N366" s="7">
        <v>-0.33</v>
      </c>
      <c r="O366" s="4"/>
      <c r="P366" s="7">
        <v>1.2909999999999999</v>
      </c>
      <c r="T366" s="7">
        <v>61.4</v>
      </c>
      <c r="U366" s="7">
        <v>459</v>
      </c>
      <c r="V366" s="7">
        <v>757.1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>
        <v>81.099999999999994</v>
      </c>
      <c r="AZ366" s="4"/>
      <c r="BA366" s="4">
        <v>117</v>
      </c>
      <c r="BB366" s="2"/>
      <c r="BC366" s="2"/>
      <c r="BD366" s="2">
        <v>29</v>
      </c>
      <c r="BE366" s="42">
        <v>999</v>
      </c>
      <c r="BF366" s="43">
        <v>58</v>
      </c>
      <c r="BG366" s="44">
        <v>1.1419999999999999</v>
      </c>
      <c r="BH366" s="42">
        <v>2096</v>
      </c>
      <c r="BI366" s="2"/>
      <c r="BJ366" s="3" t="s">
        <v>478</v>
      </c>
      <c r="BK366"/>
      <c r="BL366"/>
      <c r="BM366" s="7"/>
      <c r="BR366"/>
    </row>
    <row r="367" spans="1:70" ht="28.5" x14ac:dyDescent="0.45">
      <c r="A367" s="2" t="s">
        <v>13</v>
      </c>
      <c r="B367" s="54" t="s">
        <v>25</v>
      </c>
      <c r="C367" s="3">
        <v>45313</v>
      </c>
      <c r="D367" s="8">
        <v>3</v>
      </c>
      <c r="E367" s="2" t="s">
        <v>214</v>
      </c>
      <c r="F367" s="4" t="s">
        <v>15</v>
      </c>
      <c r="G367" s="4" t="s">
        <v>15</v>
      </c>
      <c r="H367" s="4" t="s">
        <v>223</v>
      </c>
      <c r="I367" s="7">
        <v>0.1525</v>
      </c>
      <c r="J367" s="7">
        <v>0.151</v>
      </c>
      <c r="K367" s="50">
        <v>4.8999999999999998E-3</v>
      </c>
      <c r="L367" s="7"/>
      <c r="M367" s="7">
        <v>0.15040000000000001</v>
      </c>
      <c r="N367" s="7">
        <v>-0.45</v>
      </c>
      <c r="O367" s="4"/>
      <c r="P367" s="7">
        <v>1.2909999999999999</v>
      </c>
      <c r="T367" s="7">
        <v>61.8</v>
      </c>
      <c r="U367" s="7">
        <v>472</v>
      </c>
      <c r="V367" s="7">
        <v>757.5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>
        <v>81.2</v>
      </c>
      <c r="AZ367" s="4"/>
      <c r="BA367" s="4">
        <v>117</v>
      </c>
      <c r="BB367" s="2"/>
      <c r="BC367" s="2"/>
      <c r="BD367" s="2">
        <v>29</v>
      </c>
      <c r="BE367" s="42">
        <v>999</v>
      </c>
      <c r="BF367" s="43">
        <v>58</v>
      </c>
      <c r="BG367" s="44">
        <v>1.1419999999999999</v>
      </c>
      <c r="BH367" s="42">
        <v>2096</v>
      </c>
      <c r="BI367" s="2"/>
      <c r="BJ367" s="3" t="s">
        <v>477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25</v>
      </c>
      <c r="C368" s="3">
        <v>45313</v>
      </c>
      <c r="D368" s="8">
        <v>4</v>
      </c>
      <c r="E368" s="2" t="s">
        <v>22</v>
      </c>
      <c r="F368" s="4" t="s">
        <v>15</v>
      </c>
      <c r="G368" s="4" t="s">
        <v>15</v>
      </c>
      <c r="H368" s="4" t="s">
        <v>223</v>
      </c>
      <c r="I368" s="7">
        <v>0.15429999999999999</v>
      </c>
      <c r="J368" s="7">
        <v>0.15429999999999999</v>
      </c>
      <c r="K368" s="50">
        <v>2.5999999999999999E-3</v>
      </c>
      <c r="L368" s="7"/>
      <c r="M368" s="7">
        <v>0.15459999999999999</v>
      </c>
      <c r="N368" s="7">
        <v>-0.34</v>
      </c>
      <c r="O368" s="4"/>
      <c r="P368" s="7">
        <v>1.2909999999999999</v>
      </c>
      <c r="T368" s="7">
        <v>62.5</v>
      </c>
      <c r="U368" s="7">
        <v>494</v>
      </c>
      <c r="V368" s="7">
        <v>757.5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>
        <v>81.099999999999994</v>
      </c>
      <c r="AZ368" s="4"/>
      <c r="BA368" s="4">
        <v>117</v>
      </c>
      <c r="BB368" s="2"/>
      <c r="BC368" s="2"/>
      <c r="BD368" s="2">
        <v>29</v>
      </c>
      <c r="BE368" s="42">
        <v>999</v>
      </c>
      <c r="BF368" s="43">
        <v>58</v>
      </c>
      <c r="BG368" s="44">
        <v>1.1419999999999999</v>
      </c>
      <c r="BH368" s="42">
        <v>2096</v>
      </c>
      <c r="BI368" s="2"/>
      <c r="BJ368" s="3" t="s">
        <v>483</v>
      </c>
      <c r="BK368"/>
      <c r="BL368"/>
      <c r="BM368" s="7"/>
      <c r="BR368"/>
    </row>
    <row r="369" spans="1:70" ht="28.5" x14ac:dyDescent="0.45">
      <c r="A369" s="2" t="s">
        <v>13</v>
      </c>
      <c r="B369" s="54" t="s">
        <v>25</v>
      </c>
      <c r="C369" s="3">
        <v>45313</v>
      </c>
      <c r="D369" s="8">
        <v>5</v>
      </c>
      <c r="E369" s="2" t="s">
        <v>444</v>
      </c>
      <c r="F369" s="4" t="s">
        <v>15</v>
      </c>
      <c r="G369" s="4" t="s">
        <v>15</v>
      </c>
      <c r="H369" s="4" t="s">
        <v>223</v>
      </c>
      <c r="I369" s="7">
        <v>0.15129999999999999</v>
      </c>
      <c r="J369" s="7">
        <v>0.15129999999999999</v>
      </c>
      <c r="K369" s="50">
        <v>5.1999999999999998E-3</v>
      </c>
      <c r="L369" s="7"/>
      <c r="M369" s="7">
        <v>0.1517</v>
      </c>
      <c r="N369" s="7">
        <v>-0.34</v>
      </c>
      <c r="O369" s="4"/>
      <c r="P369" s="7">
        <v>1.2909999999999999</v>
      </c>
      <c r="T369" s="7">
        <v>63.4</v>
      </c>
      <c r="U369" s="7">
        <v>505</v>
      </c>
      <c r="V369" s="7">
        <v>757.5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>
        <v>81.2</v>
      </c>
      <c r="AZ369" s="4"/>
      <c r="BA369" s="4">
        <v>117</v>
      </c>
      <c r="BB369" s="2"/>
      <c r="BC369" s="2"/>
      <c r="BD369" s="2">
        <v>29</v>
      </c>
      <c r="BE369" s="42">
        <v>999</v>
      </c>
      <c r="BF369" s="43">
        <v>58</v>
      </c>
      <c r="BG369" s="44">
        <v>1.1419999999999999</v>
      </c>
      <c r="BH369" s="42">
        <v>2096</v>
      </c>
      <c r="BI369" s="2"/>
      <c r="BJ369" s="38" t="s">
        <v>482</v>
      </c>
      <c r="BK369"/>
      <c r="BL369"/>
      <c r="BM369" s="7"/>
      <c r="BR369"/>
    </row>
    <row r="370" spans="1:70" ht="15" customHeight="1" x14ac:dyDescent="0.45">
      <c r="A370" s="2" t="s">
        <v>13</v>
      </c>
      <c r="B370" s="54" t="s">
        <v>25</v>
      </c>
      <c r="C370" s="3">
        <v>45313</v>
      </c>
      <c r="D370" s="8">
        <v>6</v>
      </c>
      <c r="E370" s="2" t="s">
        <v>214</v>
      </c>
      <c r="F370" s="4" t="s">
        <v>15</v>
      </c>
      <c r="G370" s="4" t="s">
        <v>15</v>
      </c>
      <c r="H370" s="4" t="s">
        <v>223</v>
      </c>
      <c r="I370" s="7">
        <v>0.15310000000000001</v>
      </c>
      <c r="J370" s="7">
        <v>0.15160000000000001</v>
      </c>
      <c r="K370" s="50">
        <v>1.9E-3</v>
      </c>
      <c r="L370" s="7"/>
      <c r="M370" s="7">
        <v>0.15340000000000001</v>
      </c>
      <c r="N370" s="7">
        <v>-0.37</v>
      </c>
      <c r="O370" s="4"/>
      <c r="P370" s="7">
        <v>1.2909999999999999</v>
      </c>
      <c r="T370" s="7">
        <v>62.6</v>
      </c>
      <c r="U370" s="7">
        <v>493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>
        <v>81</v>
      </c>
      <c r="AZ370" s="4"/>
      <c r="BA370" s="4">
        <v>117</v>
      </c>
      <c r="BB370" s="2"/>
      <c r="BC370" s="2"/>
      <c r="BD370" s="2">
        <v>29.8</v>
      </c>
      <c r="BE370" s="42">
        <v>998</v>
      </c>
      <c r="BF370" s="43">
        <v>58</v>
      </c>
      <c r="BG370" s="44">
        <v>1.137</v>
      </c>
      <c r="BH370" s="42">
        <v>2096</v>
      </c>
      <c r="BI370" s="2"/>
      <c r="BJ370" s="3" t="s">
        <v>481</v>
      </c>
      <c r="BK370"/>
      <c r="BL370"/>
      <c r="BM370"/>
      <c r="BR370"/>
    </row>
    <row r="371" spans="1:70" ht="15" customHeight="1" x14ac:dyDescent="0.45">
      <c r="A371" s="2" t="s">
        <v>13</v>
      </c>
      <c r="B371" s="54" t="s">
        <v>25</v>
      </c>
      <c r="C371" s="3">
        <v>45313</v>
      </c>
      <c r="D371" s="8">
        <v>7</v>
      </c>
      <c r="E371" s="2" t="s">
        <v>548</v>
      </c>
      <c r="F371" s="4" t="s">
        <v>15</v>
      </c>
      <c r="G371" s="4" t="s">
        <v>15</v>
      </c>
      <c r="H371" s="4" t="s">
        <v>223</v>
      </c>
      <c r="I371" s="7">
        <v>0.15154999999999999</v>
      </c>
      <c r="J371" s="7">
        <v>0.15090000000000001</v>
      </c>
      <c r="K371" s="50">
        <v>6.1999999999999998E-3</v>
      </c>
      <c r="L371" s="7"/>
      <c r="M371" s="7">
        <v>0.15290000000000001</v>
      </c>
      <c r="N371" s="7">
        <v>-0.37</v>
      </c>
      <c r="O371" s="4"/>
      <c r="P371" s="7">
        <v>1.2909999999999999</v>
      </c>
      <c r="T371" s="7">
        <v>62.4</v>
      </c>
      <c r="U371" s="7">
        <v>492</v>
      </c>
      <c r="V371" s="7">
        <v>756.8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117</v>
      </c>
      <c r="BB371" s="2"/>
      <c r="BC371" s="2"/>
      <c r="BD371" s="2">
        <v>29.8</v>
      </c>
      <c r="BE371" s="42">
        <v>998</v>
      </c>
      <c r="BF371" s="43">
        <v>58</v>
      </c>
      <c r="BG371" s="44">
        <v>1.137</v>
      </c>
      <c r="BH371" s="42">
        <v>2096</v>
      </c>
      <c r="BI371" s="2"/>
      <c r="BJ371" s="3" t="s">
        <v>480</v>
      </c>
      <c r="BK371"/>
      <c r="BL371"/>
      <c r="BM371"/>
      <c r="BR371"/>
    </row>
    <row r="372" spans="1:70" ht="15" customHeight="1" x14ac:dyDescent="0.45">
      <c r="A372" s="2" t="s">
        <v>13</v>
      </c>
      <c r="B372" s="54" t="s">
        <v>24</v>
      </c>
      <c r="C372" s="3">
        <v>45316</v>
      </c>
      <c r="D372" s="8">
        <v>1</v>
      </c>
      <c r="E372" s="2" t="s">
        <v>22</v>
      </c>
      <c r="F372" s="4" t="s">
        <v>15</v>
      </c>
      <c r="G372" s="4" t="s">
        <v>15</v>
      </c>
      <c r="H372" s="4" t="s">
        <v>223</v>
      </c>
      <c r="I372" s="7">
        <v>0.17680000000000001</v>
      </c>
      <c r="J372" s="7">
        <v>0.17680000000000001</v>
      </c>
      <c r="K372" s="50">
        <v>3.0000000000000001E-3</v>
      </c>
      <c r="L372" s="7">
        <v>0.17799999999999999</v>
      </c>
      <c r="M372" s="7">
        <v>0.18110000000000001</v>
      </c>
      <c r="N372" s="7">
        <v>-0.2</v>
      </c>
      <c r="O372" s="4"/>
      <c r="P372" s="7">
        <v>1.244</v>
      </c>
      <c r="T372" s="7">
        <v>60.4</v>
      </c>
      <c r="U372" s="7">
        <v>515</v>
      </c>
      <c r="V372" s="7">
        <v>756.6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117</v>
      </c>
      <c r="BB372" s="2"/>
      <c r="BC372" s="2"/>
      <c r="BD372" s="2">
        <v>25.7</v>
      </c>
      <c r="BE372" s="42">
        <v>1006</v>
      </c>
      <c r="BF372" s="43">
        <v>49</v>
      </c>
      <c r="BG372" s="44">
        <v>1.1659999999999999</v>
      </c>
      <c r="BH372" s="42">
        <v>2096</v>
      </c>
      <c r="BI372" s="2"/>
      <c r="BJ372" s="3" t="s">
        <v>493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24</v>
      </c>
      <c r="C373" s="3">
        <v>45316</v>
      </c>
      <c r="D373" s="8">
        <v>2</v>
      </c>
      <c r="E373" s="2" t="s">
        <v>213</v>
      </c>
      <c r="F373" s="4" t="s">
        <v>15</v>
      </c>
      <c r="G373" s="4" t="s">
        <v>15</v>
      </c>
      <c r="H373" s="4" t="s">
        <v>223</v>
      </c>
      <c r="I373" s="7">
        <v>0.17319999999999999</v>
      </c>
      <c r="J373" s="7">
        <v>0.1721</v>
      </c>
      <c r="K373" s="50">
        <v>4.3E-3</v>
      </c>
      <c r="L373" s="7">
        <v>0.17799999999999999</v>
      </c>
      <c r="M373" s="7">
        <v>0.17499999999999999</v>
      </c>
      <c r="N373" s="7">
        <v>-0.28000000000000003</v>
      </c>
      <c r="O373" s="4"/>
      <c r="P373" s="7">
        <v>1.244</v>
      </c>
      <c r="T373" s="7">
        <v>64</v>
      </c>
      <c r="U373" s="7">
        <v>527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117</v>
      </c>
      <c r="BB373" s="2"/>
      <c r="BC373" s="2"/>
      <c r="BD373" s="2">
        <v>25.7</v>
      </c>
      <c r="BE373" s="42">
        <v>1006</v>
      </c>
      <c r="BF373" s="43">
        <v>49</v>
      </c>
      <c r="BG373" s="44">
        <v>1.1659999999999999</v>
      </c>
      <c r="BH373" s="42">
        <v>2096</v>
      </c>
      <c r="BI373" s="2"/>
      <c r="BJ373" s="3" t="s">
        <v>494</v>
      </c>
      <c r="BK373"/>
      <c r="BL373"/>
      <c r="BM373"/>
      <c r="BR373"/>
    </row>
    <row r="374" spans="1:70" ht="15" customHeight="1" x14ac:dyDescent="0.45">
      <c r="A374" s="2" t="s">
        <v>13</v>
      </c>
      <c r="B374" s="54" t="s">
        <v>24</v>
      </c>
      <c r="C374" s="3">
        <v>45316</v>
      </c>
      <c r="D374" s="8">
        <v>3</v>
      </c>
      <c r="E374" s="2" t="s">
        <v>214</v>
      </c>
      <c r="F374" s="4" t="s">
        <v>15</v>
      </c>
      <c r="G374" s="4" t="s">
        <v>15</v>
      </c>
      <c r="H374" s="4" t="s">
        <v>223</v>
      </c>
      <c r="I374" s="7">
        <v>0.17369999999999999</v>
      </c>
      <c r="J374" s="7">
        <v>0.17369999999999999</v>
      </c>
      <c r="K374" s="50">
        <v>2.5000000000000001E-3</v>
      </c>
      <c r="L374" s="7">
        <v>0.17899999999999999</v>
      </c>
      <c r="M374" s="7">
        <v>0.1729</v>
      </c>
      <c r="N374" s="7">
        <v>-0.32</v>
      </c>
      <c r="O374" s="4"/>
      <c r="P374" s="7">
        <v>1.244</v>
      </c>
      <c r="T374" s="7">
        <v>61.5</v>
      </c>
      <c r="U374" s="7">
        <v>539</v>
      </c>
      <c r="V374" s="7">
        <v>758.4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117</v>
      </c>
      <c r="BB374" s="2"/>
      <c r="BC374" s="2"/>
      <c r="BD374" s="2">
        <v>25.7</v>
      </c>
      <c r="BE374" s="42">
        <v>1006</v>
      </c>
      <c r="BF374" s="43">
        <v>49</v>
      </c>
      <c r="BG374" s="44">
        <v>1.1659999999999999</v>
      </c>
      <c r="BH374" s="42">
        <v>2096</v>
      </c>
      <c r="BI374" s="2"/>
      <c r="BJ374" s="3" t="s">
        <v>489</v>
      </c>
      <c r="BK374"/>
      <c r="BL374"/>
      <c r="BM374"/>
      <c r="BR374"/>
    </row>
    <row r="375" spans="1:70" ht="15" customHeight="1" x14ac:dyDescent="0.45">
      <c r="A375" s="2" t="s">
        <v>13</v>
      </c>
      <c r="B375" s="54" t="s">
        <v>24</v>
      </c>
      <c r="C375" s="3">
        <v>45316</v>
      </c>
      <c r="D375" s="8">
        <v>4</v>
      </c>
      <c r="E375" s="2" t="s">
        <v>22</v>
      </c>
      <c r="F375" s="4" t="s">
        <v>15</v>
      </c>
      <c r="G375" s="4" t="s">
        <v>15</v>
      </c>
      <c r="H375" s="4" t="s">
        <v>223</v>
      </c>
      <c r="I375" s="7">
        <v>0.17419999999999999</v>
      </c>
      <c r="J375" s="7">
        <v>0.17419999999999999</v>
      </c>
      <c r="K375" s="50">
        <v>4.0000000000000001E-3</v>
      </c>
      <c r="L375" s="7">
        <v>0.17799999999999999</v>
      </c>
      <c r="M375" s="7">
        <v>0.1777</v>
      </c>
      <c r="N375" s="7">
        <v>-0.2</v>
      </c>
      <c r="O375" s="4"/>
      <c r="P375" s="7">
        <v>1.244</v>
      </c>
      <c r="T375" s="7">
        <v>61.3</v>
      </c>
      <c r="U375" s="7">
        <v>538</v>
      </c>
      <c r="V375" s="7">
        <v>756.8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117</v>
      </c>
      <c r="BB375" s="2"/>
      <c r="BC375" s="2"/>
      <c r="BD375" s="2">
        <v>25.7</v>
      </c>
      <c r="BE375" s="42">
        <v>1006</v>
      </c>
      <c r="BF375" s="43">
        <v>49</v>
      </c>
      <c r="BG375" s="44">
        <v>1.1659999999999999</v>
      </c>
      <c r="BH375" s="42">
        <v>2096</v>
      </c>
      <c r="BI375" s="2"/>
      <c r="BJ375" s="3" t="s">
        <v>491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24</v>
      </c>
      <c r="C376" s="3">
        <v>45316</v>
      </c>
      <c r="D376" s="8">
        <v>5</v>
      </c>
      <c r="E376" s="2" t="s">
        <v>213</v>
      </c>
      <c r="F376" s="4" t="s">
        <v>15</v>
      </c>
      <c r="G376" s="4" t="s">
        <v>15</v>
      </c>
      <c r="H376" s="4" t="s">
        <v>223</v>
      </c>
      <c r="I376" s="7">
        <v>0.17319999999999999</v>
      </c>
      <c r="J376" s="7">
        <v>0.1721</v>
      </c>
      <c r="K376" s="50">
        <v>2.0999999999999999E-3</v>
      </c>
      <c r="L376" s="7">
        <v>0.17899999999999999</v>
      </c>
      <c r="M376" s="7">
        <v>0.17519999999999999</v>
      </c>
      <c r="N376" s="7">
        <v>-0.23</v>
      </c>
      <c r="O376" s="4"/>
      <c r="P376" s="7">
        <v>1.244</v>
      </c>
      <c r="T376" s="7">
        <v>61.3</v>
      </c>
      <c r="U376" s="7">
        <v>540</v>
      </c>
      <c r="V376" s="7">
        <v>757.8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117</v>
      </c>
      <c r="BB376" s="2"/>
      <c r="BC376" s="2"/>
      <c r="BD376" s="2">
        <v>26.4</v>
      </c>
      <c r="BE376" s="42">
        <v>1006</v>
      </c>
      <c r="BF376" s="43">
        <v>47</v>
      </c>
      <c r="BG376" s="44">
        <v>1.1619999999999999</v>
      </c>
      <c r="BH376" s="42">
        <v>2096</v>
      </c>
      <c r="BI376" s="2"/>
      <c r="BJ376" s="3" t="s">
        <v>490</v>
      </c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24</v>
      </c>
      <c r="C377" s="3">
        <v>45316</v>
      </c>
      <c r="D377" s="8">
        <v>6</v>
      </c>
      <c r="E377" s="2" t="s">
        <v>214</v>
      </c>
      <c r="F377" s="4" t="s">
        <v>15</v>
      </c>
      <c r="G377" s="4" t="s">
        <v>15</v>
      </c>
      <c r="H377" s="4" t="s">
        <v>223</v>
      </c>
      <c r="I377" s="7">
        <v>0.17199999999999999</v>
      </c>
      <c r="J377" s="7">
        <v>0.17199999999999999</v>
      </c>
      <c r="K377" s="50">
        <v>2.3999999999999998E-3</v>
      </c>
      <c r="L377" s="7">
        <v>0.17699999999999999</v>
      </c>
      <c r="M377" s="7">
        <v>0.17449999999999999</v>
      </c>
      <c r="N377" s="7">
        <v>-0.2</v>
      </c>
      <c r="O377" s="4"/>
      <c r="P377" s="7">
        <v>1.244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117</v>
      </c>
      <c r="BB377" s="2"/>
      <c r="BC377" s="2"/>
      <c r="BD377" s="2">
        <v>26.4</v>
      </c>
      <c r="BE377" s="42">
        <v>1006</v>
      </c>
      <c r="BF377" s="43">
        <v>47</v>
      </c>
      <c r="BG377" s="44">
        <v>1.1619999999999999</v>
      </c>
      <c r="BH377" s="42">
        <v>2096</v>
      </c>
      <c r="BI377" s="2"/>
      <c r="BJ377" s="3" t="s">
        <v>492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24</v>
      </c>
      <c r="C378" s="3">
        <v>45323</v>
      </c>
      <c r="D378" s="8">
        <v>1</v>
      </c>
      <c r="E378" s="2" t="s">
        <v>213</v>
      </c>
      <c r="F378" s="4" t="s">
        <v>15</v>
      </c>
      <c r="G378" s="4" t="s">
        <v>577</v>
      </c>
      <c r="H378" s="4" t="s">
        <v>223</v>
      </c>
      <c r="I378" s="7">
        <v>0.1779</v>
      </c>
      <c r="J378" s="7">
        <v>0.1779</v>
      </c>
      <c r="K378" s="50">
        <v>1.8E-3</v>
      </c>
      <c r="L378" s="7"/>
      <c r="M378" s="7">
        <v>0.17469999999999999</v>
      </c>
      <c r="N378" s="7">
        <v>-0.34</v>
      </c>
      <c r="O378" s="4"/>
      <c r="P378" s="7">
        <v>1.268</v>
      </c>
      <c r="T378" s="7">
        <v>62.8</v>
      </c>
      <c r="U378" s="7">
        <v>548</v>
      </c>
      <c r="V378" s="7">
        <v>757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117</v>
      </c>
      <c r="BB378" s="2"/>
      <c r="BC378" s="2"/>
      <c r="BD378" s="2">
        <v>27.7</v>
      </c>
      <c r="BE378" s="42">
        <v>996</v>
      </c>
      <c r="BF378" s="43">
        <v>55</v>
      </c>
      <c r="BG378" s="44">
        <v>1.145</v>
      </c>
      <c r="BH378" s="42">
        <v>2096</v>
      </c>
      <c r="BI378" s="2"/>
      <c r="BJ378" s="3"/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24</v>
      </c>
      <c r="C379" s="3">
        <v>45323</v>
      </c>
      <c r="D379" s="8">
        <v>2</v>
      </c>
      <c r="E379" s="2" t="s">
        <v>549</v>
      </c>
      <c r="F379" s="4" t="s">
        <v>15</v>
      </c>
      <c r="G379" s="4" t="s">
        <v>577</v>
      </c>
      <c r="H379" s="4" t="s">
        <v>223</v>
      </c>
      <c r="I379" s="7">
        <v>0.17979999999999999</v>
      </c>
      <c r="J379" s="7">
        <v>0.17979999999999999</v>
      </c>
      <c r="K379" s="50">
        <v>2.3999999999999998E-3</v>
      </c>
      <c r="L379" s="7"/>
      <c r="M379" s="7">
        <v>0.17510000000000001</v>
      </c>
      <c r="N379" s="7">
        <v>-0.4</v>
      </c>
      <c r="O379" s="4"/>
      <c r="P379" s="7">
        <v>1.268</v>
      </c>
      <c r="T379" s="7">
        <v>62.2</v>
      </c>
      <c r="U379" s="7">
        <v>534</v>
      </c>
      <c r="V379" s="7">
        <v>756.9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117</v>
      </c>
      <c r="BB379" s="2"/>
      <c r="BC379" s="2"/>
      <c r="BD379" s="2">
        <v>27.7</v>
      </c>
      <c r="BE379" s="42">
        <v>996</v>
      </c>
      <c r="BF379" s="43">
        <v>55</v>
      </c>
      <c r="BG379" s="44">
        <v>1.145</v>
      </c>
      <c r="BH379" s="42">
        <v>2096</v>
      </c>
      <c r="BI379" s="2"/>
      <c r="BJ379" s="3"/>
      <c r="BK379"/>
      <c r="BL379"/>
      <c r="BM379"/>
      <c r="BR379"/>
    </row>
    <row r="380" spans="1:70" ht="15" customHeight="1" x14ac:dyDescent="0.45">
      <c r="A380" s="2" t="s">
        <v>13</v>
      </c>
      <c r="B380" s="54" t="s">
        <v>24</v>
      </c>
      <c r="C380" s="3">
        <v>45323</v>
      </c>
      <c r="D380" s="8">
        <v>3</v>
      </c>
      <c r="E380" s="2" t="s">
        <v>213</v>
      </c>
      <c r="F380" s="4" t="s">
        <v>15</v>
      </c>
      <c r="G380" s="4" t="s">
        <v>577</v>
      </c>
      <c r="H380" s="4" t="s">
        <v>223</v>
      </c>
      <c r="I380" s="7">
        <v>0.18060000000000001</v>
      </c>
      <c r="J380" s="7">
        <v>0.18060000000000001</v>
      </c>
      <c r="K380" s="50">
        <v>3.8999999999999998E-3</v>
      </c>
      <c r="L380" s="7"/>
      <c r="M380" s="7">
        <v>0.17610000000000001</v>
      </c>
      <c r="N380" s="7">
        <v>-0.34</v>
      </c>
      <c r="O380" s="4"/>
      <c r="P380" s="7">
        <v>1.268</v>
      </c>
      <c r="T380" s="7">
        <v>63.4</v>
      </c>
      <c r="U380" s="7">
        <v>564</v>
      </c>
      <c r="V380" s="7">
        <v>757</v>
      </c>
      <c r="W380" s="4"/>
      <c r="X380" s="4"/>
      <c r="Y380" s="4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4"/>
      <c r="AX380" s="2"/>
      <c r="AY380" s="7"/>
      <c r="AZ380" s="4"/>
      <c r="BA380" s="4">
        <v>117</v>
      </c>
      <c r="BB380" s="2"/>
      <c r="BC380" s="2"/>
      <c r="BD380" s="2">
        <v>28</v>
      </c>
      <c r="BE380" s="42">
        <v>995</v>
      </c>
      <c r="BF380" s="43">
        <v>53</v>
      </c>
      <c r="BG380" s="44">
        <v>1.143</v>
      </c>
      <c r="BH380" s="42">
        <v>2096</v>
      </c>
      <c r="BI380" s="2"/>
      <c r="BJ380" s="3"/>
      <c r="BK380"/>
      <c r="BL380"/>
      <c r="BM380"/>
      <c r="BR380"/>
    </row>
    <row r="381" spans="1:70" ht="15" customHeight="1" x14ac:dyDescent="0.45">
      <c r="A381" s="2" t="s">
        <v>13</v>
      </c>
      <c r="B381" s="54" t="s">
        <v>24</v>
      </c>
      <c r="C381" s="3">
        <v>45323</v>
      </c>
      <c r="D381" s="8">
        <v>4</v>
      </c>
      <c r="E381" s="2" t="s">
        <v>549</v>
      </c>
      <c r="F381" s="4" t="s">
        <v>15</v>
      </c>
      <c r="G381" s="4" t="s">
        <v>577</v>
      </c>
      <c r="H381" s="4" t="s">
        <v>223</v>
      </c>
      <c r="I381" s="7">
        <v>0.1799</v>
      </c>
      <c r="J381" s="7">
        <v>0.1799</v>
      </c>
      <c r="K381" s="50">
        <v>2.3999999999999998E-3</v>
      </c>
      <c r="L381" s="7"/>
      <c r="M381" s="7">
        <v>0.17560000000000001</v>
      </c>
      <c r="N381" s="7">
        <v>-0.38</v>
      </c>
      <c r="O381" s="4"/>
      <c r="P381" s="7">
        <v>1.268</v>
      </c>
      <c r="T381" s="7">
        <v>63.8</v>
      </c>
      <c r="U381" s="7">
        <v>555</v>
      </c>
      <c r="V381" s="7">
        <v>756</v>
      </c>
      <c r="W381" s="4"/>
      <c r="X381" s="4"/>
      <c r="Y381" s="4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4"/>
      <c r="AX381" s="2"/>
      <c r="AY381" s="7"/>
      <c r="AZ381" s="4"/>
      <c r="BA381" s="4">
        <v>117</v>
      </c>
      <c r="BB381" s="2"/>
      <c r="BC381" s="2"/>
      <c r="BD381" s="2">
        <v>28.2</v>
      </c>
      <c r="BE381" s="42">
        <v>995</v>
      </c>
      <c r="BF381" s="43">
        <v>53</v>
      </c>
      <c r="BG381" s="44">
        <v>1.1419999999999999</v>
      </c>
      <c r="BH381" s="42">
        <v>2096</v>
      </c>
      <c r="BI381" s="2"/>
      <c r="BJ381" s="3"/>
      <c r="BK381"/>
      <c r="BL381"/>
      <c r="BM381"/>
      <c r="BR381"/>
    </row>
    <row r="382" spans="1:70" ht="15" customHeight="1" x14ac:dyDescent="0.45">
      <c r="A382" s="2" t="s">
        <v>13</v>
      </c>
      <c r="B382" s="54" t="s">
        <v>24</v>
      </c>
      <c r="C382" s="3">
        <v>45323</v>
      </c>
      <c r="D382" s="8">
        <v>5</v>
      </c>
      <c r="E382" s="2" t="s">
        <v>213</v>
      </c>
      <c r="F382" s="4" t="s">
        <v>354</v>
      </c>
      <c r="G382" s="4" t="s">
        <v>578</v>
      </c>
      <c r="H382" s="4" t="s">
        <v>223</v>
      </c>
      <c r="I382" s="7">
        <v>0.1681</v>
      </c>
      <c r="J382" s="7">
        <v>0.1681</v>
      </c>
      <c r="K382" s="50">
        <v>2.5999999999999999E-3</v>
      </c>
      <c r="L382" s="7"/>
      <c r="M382" s="7">
        <v>0.1653</v>
      </c>
      <c r="N382" s="7">
        <v>-0.33</v>
      </c>
      <c r="O382" s="4"/>
      <c r="P382" s="7">
        <v>1.268</v>
      </c>
      <c r="T382" s="7">
        <v>64.3</v>
      </c>
      <c r="U382" s="7">
        <v>560</v>
      </c>
      <c r="V382" s="7">
        <v>758.1</v>
      </c>
      <c r="W382" s="4"/>
      <c r="X382" s="4"/>
      <c r="Y382" s="4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4"/>
      <c r="AX382" s="2"/>
      <c r="AY382" s="7"/>
      <c r="AZ382" s="4"/>
      <c r="BA382" s="4">
        <v>117</v>
      </c>
      <c r="BB382" s="2"/>
      <c r="BC382" s="2"/>
      <c r="BD382" s="2">
        <v>28.2</v>
      </c>
      <c r="BE382" s="42">
        <v>995</v>
      </c>
      <c r="BF382" s="43">
        <v>53</v>
      </c>
      <c r="BG382" s="44">
        <v>1.1419999999999999</v>
      </c>
      <c r="BH382" s="42">
        <v>2096</v>
      </c>
      <c r="BI382" s="2"/>
      <c r="BJ382" s="3"/>
      <c r="BK382"/>
      <c r="BL382"/>
      <c r="BM382"/>
      <c r="BR382"/>
    </row>
    <row r="383" spans="1:70" ht="15" customHeight="1" x14ac:dyDescent="0.45">
      <c r="A383" s="2" t="s">
        <v>13</v>
      </c>
      <c r="B383" s="54" t="s">
        <v>24</v>
      </c>
      <c r="C383" s="3">
        <v>45323</v>
      </c>
      <c r="D383" s="8">
        <v>6</v>
      </c>
      <c r="E383" s="2" t="s">
        <v>213</v>
      </c>
      <c r="F383" s="4" t="s">
        <v>354</v>
      </c>
      <c r="G383" s="4" t="s">
        <v>578</v>
      </c>
      <c r="H383" s="4" t="s">
        <v>378</v>
      </c>
      <c r="I383" s="7">
        <v>0.1676</v>
      </c>
      <c r="J383" s="7">
        <v>0.1676</v>
      </c>
      <c r="K383" s="50">
        <v>4.3E-3</v>
      </c>
      <c r="L383" s="7"/>
      <c r="M383" s="7">
        <v>0.16450000000000001</v>
      </c>
      <c r="N383" s="7">
        <v>-0.39</v>
      </c>
      <c r="O383" s="4"/>
      <c r="P383" s="7">
        <v>1.268</v>
      </c>
      <c r="T383" s="7">
        <v>64</v>
      </c>
      <c r="U383" s="7">
        <v>563</v>
      </c>
      <c r="V383" s="7">
        <v>757.3</v>
      </c>
      <c r="W383" s="4"/>
      <c r="X383" s="4"/>
      <c r="Y383" s="4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4"/>
      <c r="AX383" s="2"/>
      <c r="AY383" s="7"/>
      <c r="AZ383" s="4"/>
      <c r="BA383" s="4">
        <v>117</v>
      </c>
      <c r="BB383" s="2"/>
      <c r="BC383" s="2"/>
      <c r="BD383" s="2">
        <v>28.7</v>
      </c>
      <c r="BE383" s="42">
        <v>995</v>
      </c>
      <c r="BF383" s="43">
        <v>49</v>
      </c>
      <c r="BG383" s="44">
        <v>1.1399999999999999</v>
      </c>
      <c r="BH383" s="42">
        <v>2096</v>
      </c>
      <c r="BI383" s="2"/>
      <c r="BJ383" s="3"/>
      <c r="BK383"/>
      <c r="BL383"/>
      <c r="BM383"/>
      <c r="BR383"/>
    </row>
    <row r="384" spans="1:70" ht="15" customHeight="1" x14ac:dyDescent="0.45">
      <c r="A384" s="2" t="s">
        <v>13</v>
      </c>
      <c r="B384" s="54" t="s">
        <v>24</v>
      </c>
      <c r="C384" s="3">
        <v>45323</v>
      </c>
      <c r="D384" s="8">
        <v>7</v>
      </c>
      <c r="E384" s="2" t="s">
        <v>213</v>
      </c>
      <c r="F384" s="4" t="s">
        <v>354</v>
      </c>
      <c r="G384" s="4" t="s">
        <v>578</v>
      </c>
      <c r="H384" s="4" t="s">
        <v>223</v>
      </c>
      <c r="I384" s="7">
        <v>0.16739999999999999</v>
      </c>
      <c r="J384" s="7">
        <v>0.16739999999999999</v>
      </c>
      <c r="K384" s="50">
        <v>1E-3</v>
      </c>
      <c r="L384" s="7"/>
      <c r="M384" s="7">
        <v>0.16470000000000001</v>
      </c>
      <c r="N384" s="7">
        <v>-0.37</v>
      </c>
      <c r="O384" s="4"/>
      <c r="P384" s="7">
        <v>1.268</v>
      </c>
      <c r="T384" s="7">
        <v>63.7</v>
      </c>
      <c r="U384" s="7">
        <v>558</v>
      </c>
      <c r="V384" s="7">
        <v>756.9</v>
      </c>
      <c r="W384" s="4"/>
      <c r="X384" s="4"/>
      <c r="Y384" s="4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4"/>
      <c r="AX384" s="2"/>
      <c r="AY384" s="7"/>
      <c r="AZ384" s="4"/>
      <c r="BA384" s="4">
        <v>117</v>
      </c>
      <c r="BB384" s="2"/>
      <c r="BC384" s="2"/>
      <c r="BD384" s="2">
        <v>28.7</v>
      </c>
      <c r="BE384" s="42">
        <v>995</v>
      </c>
      <c r="BF384" s="43">
        <v>49</v>
      </c>
      <c r="BG384" s="44">
        <v>1.1399999999999999</v>
      </c>
      <c r="BH384" s="42">
        <v>2096</v>
      </c>
      <c r="BI384" s="2"/>
      <c r="BJ384" s="3"/>
      <c r="BK384"/>
      <c r="BL384"/>
      <c r="BM384"/>
      <c r="BR384"/>
    </row>
    <row r="385" spans="1:70" ht="15" customHeight="1" x14ac:dyDescent="0.45">
      <c r="A385" s="2" t="s">
        <v>13</v>
      </c>
      <c r="B385" s="54" t="s">
        <v>24</v>
      </c>
      <c r="C385" s="3">
        <v>45323</v>
      </c>
      <c r="D385" s="8">
        <v>8</v>
      </c>
      <c r="E385" s="2" t="s">
        <v>213</v>
      </c>
      <c r="F385" s="4" t="s">
        <v>354</v>
      </c>
      <c r="G385" s="4" t="s">
        <v>578</v>
      </c>
      <c r="H385" s="4" t="s">
        <v>378</v>
      </c>
      <c r="I385" s="7">
        <v>0.16900000000000001</v>
      </c>
      <c r="J385" s="7">
        <v>0.16900000000000001</v>
      </c>
      <c r="K385" s="50">
        <v>2.5000000000000001E-3</v>
      </c>
      <c r="L385" s="7"/>
      <c r="M385" s="7">
        <v>0.1651</v>
      </c>
      <c r="N385" s="7">
        <v>-0.43</v>
      </c>
      <c r="O385" s="4"/>
      <c r="P385" s="7">
        <v>1.268</v>
      </c>
      <c r="T385" s="7">
        <v>63.8</v>
      </c>
      <c r="U385" s="7">
        <v>548</v>
      </c>
      <c r="V385" s="7">
        <v>757.9</v>
      </c>
      <c r="W385" s="4"/>
      <c r="X385" s="4"/>
      <c r="Y385" s="4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4"/>
      <c r="AX385" s="2"/>
      <c r="AY385" s="7"/>
      <c r="AZ385" s="4"/>
      <c r="BA385" s="4">
        <v>117</v>
      </c>
      <c r="BB385" s="2"/>
      <c r="BC385" s="2"/>
      <c r="BD385" s="2">
        <v>28.9</v>
      </c>
      <c r="BE385" s="42">
        <v>995</v>
      </c>
      <c r="BF385" s="43">
        <v>49</v>
      </c>
      <c r="BG385" s="44">
        <v>1.139</v>
      </c>
      <c r="BH385" s="42">
        <v>2096</v>
      </c>
      <c r="BI385" s="2"/>
      <c r="BJ385" s="3"/>
      <c r="BK385"/>
      <c r="BL385"/>
      <c r="BM385"/>
      <c r="BR385"/>
    </row>
    <row r="386" spans="1:70" ht="15" customHeight="1" x14ac:dyDescent="0.45">
      <c r="A386" s="2" t="s">
        <v>43</v>
      </c>
      <c r="B386" s="54" t="s">
        <v>210</v>
      </c>
      <c r="C386" s="3">
        <v>45323</v>
      </c>
      <c r="D386" s="8">
        <v>1</v>
      </c>
      <c r="E386" s="2" t="s">
        <v>545</v>
      </c>
      <c r="F386" s="4" t="s">
        <v>15</v>
      </c>
      <c r="G386" s="4" t="s">
        <v>15</v>
      </c>
      <c r="H386" s="4" t="s">
        <v>330</v>
      </c>
      <c r="I386" s="7">
        <v>0.17599999999999999</v>
      </c>
      <c r="J386" s="7">
        <v>0.17599999999999999</v>
      </c>
      <c r="K386" s="50">
        <v>2.8999999999999998E-3</v>
      </c>
      <c r="L386" s="7"/>
      <c r="M386" s="7">
        <v>0.17019999999999999</v>
      </c>
      <c r="N386" s="7">
        <v>-0.5</v>
      </c>
      <c r="O386" s="4"/>
      <c r="P386" s="7">
        <v>1.2544999999999999</v>
      </c>
      <c r="T386" s="7">
        <v>57.6</v>
      </c>
      <c r="U386" s="7">
        <v>410</v>
      </c>
      <c r="V386" s="7">
        <v>755.6</v>
      </c>
      <c r="W386" s="4"/>
      <c r="X386" s="4"/>
      <c r="Y386" s="4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4"/>
      <c r="AX386" s="2"/>
      <c r="AY386" s="7"/>
      <c r="AZ386" s="4"/>
      <c r="BA386" s="4">
        <v>111.6</v>
      </c>
      <c r="BB386" s="2"/>
      <c r="BC386" s="2"/>
      <c r="BD386" s="2">
        <v>27.7</v>
      </c>
      <c r="BE386" s="42">
        <v>996</v>
      </c>
      <c r="BF386" s="43">
        <v>55</v>
      </c>
      <c r="BG386" s="44">
        <v>1.145</v>
      </c>
      <c r="BH386" s="42">
        <v>2096</v>
      </c>
      <c r="BI386" s="2"/>
      <c r="BJ386" s="3"/>
      <c r="BK386"/>
      <c r="BL386"/>
      <c r="BM386"/>
      <c r="BR386"/>
    </row>
    <row r="387" spans="1:70" ht="15" customHeight="1" x14ac:dyDescent="0.45">
      <c r="A387" s="2" t="s">
        <v>43</v>
      </c>
      <c r="B387" s="54" t="s">
        <v>210</v>
      </c>
      <c r="C387" s="3">
        <v>45323</v>
      </c>
      <c r="D387" s="8">
        <v>2</v>
      </c>
      <c r="E387" s="2" t="s">
        <v>545</v>
      </c>
      <c r="F387" s="4" t="s">
        <v>15</v>
      </c>
      <c r="G387" s="4" t="s">
        <v>15</v>
      </c>
      <c r="H387" s="4" t="s">
        <v>330</v>
      </c>
      <c r="I387" s="7">
        <v>0.17199999999999999</v>
      </c>
      <c r="J387" s="7">
        <v>0.17199999999999999</v>
      </c>
      <c r="K387" s="50">
        <v>4.4999999999999997E-3</v>
      </c>
      <c r="L387" s="7"/>
      <c r="M387" s="7">
        <v>0.1716</v>
      </c>
      <c r="N387" s="7">
        <v>-0.46</v>
      </c>
      <c r="O387" s="4"/>
      <c r="P387" s="7">
        <v>1.2544999999999999</v>
      </c>
      <c r="T387" s="7">
        <v>56.9</v>
      </c>
      <c r="U387" s="7">
        <v>417</v>
      </c>
      <c r="V387" s="7">
        <v>755.3</v>
      </c>
      <c r="W387" s="4"/>
      <c r="X387" s="4"/>
      <c r="Y387" s="4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4"/>
      <c r="AX387" s="2"/>
      <c r="AY387" s="7"/>
      <c r="AZ387" s="4"/>
      <c r="BA387" s="4">
        <v>111.6</v>
      </c>
      <c r="BB387" s="2"/>
      <c r="BC387" s="2"/>
      <c r="BD387" s="2">
        <v>27.7</v>
      </c>
      <c r="BE387" s="42">
        <v>996</v>
      </c>
      <c r="BF387" s="43">
        <v>55</v>
      </c>
      <c r="BG387" s="44">
        <v>1.145</v>
      </c>
      <c r="BH387" s="42">
        <v>2096</v>
      </c>
      <c r="BI387" s="2"/>
      <c r="BJ387" s="3"/>
      <c r="BK387"/>
      <c r="BL387"/>
      <c r="BM387"/>
      <c r="BR387"/>
    </row>
    <row r="388" spans="1:70" ht="15" customHeight="1" x14ac:dyDescent="0.45">
      <c r="A388" s="2" t="s">
        <v>43</v>
      </c>
      <c r="B388" s="54" t="s">
        <v>210</v>
      </c>
      <c r="C388" s="3">
        <v>45323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330</v>
      </c>
      <c r="I388" s="7">
        <v>0.17979999999999999</v>
      </c>
      <c r="J388" s="7">
        <v>0.17979999999999999</v>
      </c>
      <c r="K388" s="50">
        <v>4.1000000000000003E-3</v>
      </c>
      <c r="L388" s="7"/>
      <c r="M388" s="7">
        <v>0.17580000000000001</v>
      </c>
      <c r="N388" s="7">
        <v>-0.44</v>
      </c>
      <c r="O388" s="4"/>
      <c r="P388" s="7">
        <v>1.2544999999999999</v>
      </c>
      <c r="T388" s="7">
        <v>57</v>
      </c>
      <c r="U388" s="7">
        <v>416</v>
      </c>
      <c r="V388" s="7">
        <v>754.9</v>
      </c>
      <c r="W388" s="4"/>
      <c r="X388" s="4"/>
      <c r="Y388" s="4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4"/>
      <c r="AX388" s="2"/>
      <c r="AY388" s="7"/>
      <c r="AZ388" s="4"/>
      <c r="BA388" s="4">
        <v>111.6</v>
      </c>
      <c r="BB388" s="2"/>
      <c r="BC388" s="2"/>
      <c r="BD388" s="2">
        <v>28</v>
      </c>
      <c r="BE388" s="42">
        <v>995</v>
      </c>
      <c r="BF388" s="43">
        <v>53</v>
      </c>
      <c r="BG388" s="44">
        <v>1.143</v>
      </c>
      <c r="BH388" s="42">
        <v>2096</v>
      </c>
      <c r="BI388" s="2"/>
      <c r="BJ388" s="3"/>
      <c r="BK388"/>
      <c r="BL388"/>
      <c r="BM388"/>
      <c r="BR388"/>
    </row>
    <row r="389" spans="1:70" ht="15" customHeight="1" x14ac:dyDescent="0.45">
      <c r="A389" s="2" t="s">
        <v>43</v>
      </c>
      <c r="B389" s="54" t="s">
        <v>210</v>
      </c>
      <c r="C389" s="3">
        <v>45323</v>
      </c>
      <c r="D389" s="8">
        <v>4</v>
      </c>
      <c r="E389" s="2" t="s">
        <v>214</v>
      </c>
      <c r="F389" s="4" t="s">
        <v>15</v>
      </c>
      <c r="G389" s="4" t="s">
        <v>15</v>
      </c>
      <c r="H389" s="4" t="s">
        <v>330</v>
      </c>
      <c r="I389" s="7">
        <v>0.18049999999999999</v>
      </c>
      <c r="J389" s="7">
        <v>0.18049999999999999</v>
      </c>
      <c r="K389" s="50">
        <v>4.0000000000000001E-3</v>
      </c>
      <c r="L389" s="7"/>
      <c r="M389" s="7">
        <v>0.17319999999999999</v>
      </c>
      <c r="N389" s="7">
        <v>-0.53</v>
      </c>
      <c r="O389" s="4"/>
      <c r="P389" s="7">
        <v>1.2544999999999999</v>
      </c>
      <c r="T389" s="7">
        <v>57.5</v>
      </c>
      <c r="U389" s="7">
        <v>426</v>
      </c>
      <c r="V389" s="7">
        <v>755.5</v>
      </c>
      <c r="W389" s="4"/>
      <c r="X389" s="4"/>
      <c r="Y389" s="4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4"/>
      <c r="AX389" s="2"/>
      <c r="AY389" s="7"/>
      <c r="AZ389" s="4"/>
      <c r="BA389" s="4">
        <v>111.6</v>
      </c>
      <c r="BB389" s="2"/>
      <c r="BC389" s="2"/>
      <c r="BD389" s="2">
        <v>28.2</v>
      </c>
      <c r="BE389" s="42">
        <v>995</v>
      </c>
      <c r="BF389" s="43">
        <v>53</v>
      </c>
      <c r="BG389" s="44">
        <v>1.1419999999999999</v>
      </c>
      <c r="BH389" s="42">
        <v>2096</v>
      </c>
      <c r="BI389" s="2"/>
      <c r="BJ389" s="3"/>
      <c r="BK389"/>
      <c r="BL389"/>
      <c r="BM389"/>
      <c r="BR389"/>
    </row>
    <row r="390" spans="1:70" ht="15" customHeight="1" x14ac:dyDescent="0.45">
      <c r="A390" s="2" t="s">
        <v>43</v>
      </c>
      <c r="B390" s="54" t="s">
        <v>210</v>
      </c>
      <c r="C390" s="3">
        <v>45323</v>
      </c>
      <c r="D390" s="8">
        <v>5</v>
      </c>
      <c r="E390" s="2" t="s">
        <v>545</v>
      </c>
      <c r="F390" s="4" t="s">
        <v>557</v>
      </c>
      <c r="G390" s="4" t="s">
        <v>578</v>
      </c>
      <c r="H390" s="4" t="s">
        <v>330</v>
      </c>
      <c r="I390" s="7">
        <v>0.1807</v>
      </c>
      <c r="J390" s="7">
        <v>0.1807</v>
      </c>
      <c r="K390" s="50">
        <v>2E-3</v>
      </c>
      <c r="L390" s="7"/>
      <c r="M390" s="7">
        <v>0.17169999999999999</v>
      </c>
      <c r="N390" s="7">
        <v>-0.52</v>
      </c>
      <c r="O390" s="4"/>
      <c r="P390" s="7">
        <v>1.2544999999999999</v>
      </c>
      <c r="T390" s="7">
        <v>57.2</v>
      </c>
      <c r="U390" s="7">
        <v>411</v>
      </c>
      <c r="V390" s="7">
        <v>754.2</v>
      </c>
      <c r="W390" s="4"/>
      <c r="X390" s="4"/>
      <c r="Y390" s="4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4"/>
      <c r="AX390" s="2"/>
      <c r="AY390" s="7"/>
      <c r="AZ390" s="4"/>
      <c r="BA390" s="4">
        <v>111.6</v>
      </c>
      <c r="BB390" s="2"/>
      <c r="BC390" s="2"/>
      <c r="BD390" s="2">
        <v>28.2</v>
      </c>
      <c r="BE390" s="42">
        <v>995</v>
      </c>
      <c r="BF390" s="43">
        <v>53</v>
      </c>
      <c r="BG390" s="44">
        <v>1.1419999999999999</v>
      </c>
      <c r="BH390" s="42">
        <v>2096</v>
      </c>
      <c r="BI390" s="2"/>
      <c r="BJ390" s="3"/>
      <c r="BK390"/>
      <c r="BL390"/>
      <c r="BM390"/>
      <c r="BR390"/>
    </row>
    <row r="391" spans="1:70" ht="15" customHeight="1" x14ac:dyDescent="0.45">
      <c r="A391" s="2" t="s">
        <v>43</v>
      </c>
      <c r="B391" s="54" t="s">
        <v>210</v>
      </c>
      <c r="C391" s="3">
        <v>45323</v>
      </c>
      <c r="D391" s="8">
        <v>6</v>
      </c>
      <c r="E391" s="2" t="s">
        <v>545</v>
      </c>
      <c r="F391" s="4" t="s">
        <v>557</v>
      </c>
      <c r="G391" s="4" t="s">
        <v>578</v>
      </c>
      <c r="H391" s="4" t="s">
        <v>223</v>
      </c>
      <c r="I391" s="7">
        <v>0.17510000000000001</v>
      </c>
      <c r="J391" s="7">
        <v>0.17510000000000001</v>
      </c>
      <c r="K391" s="50">
        <v>7.4999999999999997E-3</v>
      </c>
      <c r="L391" s="7"/>
      <c r="M391" s="7">
        <v>0.17219999999999999</v>
      </c>
      <c r="N391" s="7">
        <v>-0.43</v>
      </c>
      <c r="O391" s="4"/>
      <c r="P391" s="7">
        <v>1.2544999999999999</v>
      </c>
      <c r="T391" s="7">
        <v>57.9</v>
      </c>
      <c r="U391" s="7">
        <v>437</v>
      </c>
      <c r="V391" s="7">
        <v>755</v>
      </c>
      <c r="W391" s="4"/>
      <c r="X391" s="4"/>
      <c r="Y391" s="4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4"/>
      <c r="AX391" s="2"/>
      <c r="AY391" s="7"/>
      <c r="AZ391" s="4"/>
      <c r="BA391" s="4">
        <v>111.6</v>
      </c>
      <c r="BB391" s="2"/>
      <c r="BC391" s="2"/>
      <c r="BD391" s="2">
        <v>28.7</v>
      </c>
      <c r="BE391" s="42">
        <v>995</v>
      </c>
      <c r="BF391" s="43">
        <v>49</v>
      </c>
      <c r="BG391" s="44">
        <v>1.1399999999999999</v>
      </c>
      <c r="BH391" s="42">
        <v>2096</v>
      </c>
      <c r="BI391" s="2"/>
      <c r="BJ391" s="3"/>
      <c r="BK391"/>
      <c r="BL391"/>
      <c r="BM391"/>
      <c r="BR391"/>
    </row>
    <row r="392" spans="1:70" ht="15" customHeight="1" x14ac:dyDescent="0.45">
      <c r="A392" s="2" t="s">
        <v>43</v>
      </c>
      <c r="B392" s="54" t="s">
        <v>210</v>
      </c>
      <c r="C392" s="3">
        <v>45323</v>
      </c>
      <c r="D392" s="8">
        <v>7</v>
      </c>
      <c r="E392" s="2" t="s">
        <v>545</v>
      </c>
      <c r="F392" s="4" t="s">
        <v>557</v>
      </c>
      <c r="G392" s="4" t="s">
        <v>578</v>
      </c>
      <c r="H392" s="4" t="s">
        <v>330</v>
      </c>
      <c r="I392" s="7">
        <v>0.17380000000000001</v>
      </c>
      <c r="J392" s="7">
        <v>0.17380000000000001</v>
      </c>
      <c r="K392" s="50">
        <v>6.1999999999999998E-3</v>
      </c>
      <c r="L392" s="7"/>
      <c r="M392" s="7">
        <v>0.16950000000000001</v>
      </c>
      <c r="N392" s="7">
        <v>-0.5</v>
      </c>
      <c r="O392" s="4"/>
      <c r="P392" s="7">
        <v>1.2544999999999999</v>
      </c>
      <c r="T392" s="7">
        <v>58.1</v>
      </c>
      <c r="U392" s="7">
        <v>424</v>
      </c>
      <c r="V392" s="7">
        <v>755.4</v>
      </c>
      <c r="W392" s="4"/>
      <c r="X392" s="4"/>
      <c r="Y392" s="4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4"/>
      <c r="AX392" s="2"/>
      <c r="AY392" s="7"/>
      <c r="AZ392" s="4"/>
      <c r="BA392" s="4">
        <v>111.6</v>
      </c>
      <c r="BB392" s="2"/>
      <c r="BC392" s="2"/>
      <c r="BD392" s="2">
        <v>28.9</v>
      </c>
      <c r="BE392" s="42">
        <v>995</v>
      </c>
      <c r="BF392" s="43">
        <v>49</v>
      </c>
      <c r="BG392" s="44">
        <v>1.139</v>
      </c>
      <c r="BH392" s="42">
        <v>2096</v>
      </c>
      <c r="BI392" s="2"/>
      <c r="BJ392" s="3"/>
      <c r="BK392"/>
      <c r="BL392"/>
      <c r="BM392"/>
      <c r="BR392"/>
    </row>
    <row r="393" spans="1:70" ht="15" customHeight="1" x14ac:dyDescent="0.45">
      <c r="A393" s="2" t="s">
        <v>43</v>
      </c>
      <c r="B393" s="54" t="s">
        <v>210</v>
      </c>
      <c r="C393" s="3">
        <v>45323</v>
      </c>
      <c r="D393" s="8">
        <v>8</v>
      </c>
      <c r="E393" s="2" t="s">
        <v>545</v>
      </c>
      <c r="F393" s="4" t="s">
        <v>557</v>
      </c>
      <c r="G393" s="4" t="s">
        <v>578</v>
      </c>
      <c r="H393" s="4" t="s">
        <v>223</v>
      </c>
      <c r="I393" s="7">
        <v>0.17780000000000001</v>
      </c>
      <c r="J393" s="7">
        <v>0.17780000000000001</v>
      </c>
      <c r="K393" s="50">
        <v>5.4999999999999997E-3</v>
      </c>
      <c r="L393" s="7"/>
      <c r="M393" s="7">
        <v>0.17180000000000001</v>
      </c>
      <c r="N393" s="7">
        <v>-0.47</v>
      </c>
      <c r="O393" s="4"/>
      <c r="P393" s="7">
        <v>1.2544999999999999</v>
      </c>
      <c r="T393" s="7">
        <v>58.5</v>
      </c>
      <c r="U393" s="7">
        <v>442</v>
      </c>
      <c r="V393" s="7">
        <v>755</v>
      </c>
      <c r="W393" s="4"/>
      <c r="X393" s="4"/>
      <c r="Y393" s="4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4"/>
      <c r="AX393" s="2"/>
      <c r="AY393" s="7"/>
      <c r="AZ393" s="4"/>
      <c r="BA393" s="4">
        <v>111.6</v>
      </c>
      <c r="BB393" s="2"/>
      <c r="BC393" s="2"/>
      <c r="BD393" s="2">
        <v>28.9</v>
      </c>
      <c r="BE393" s="42">
        <v>995</v>
      </c>
      <c r="BF393" s="43">
        <v>49</v>
      </c>
      <c r="BG393" s="44">
        <v>1.139</v>
      </c>
      <c r="BH393" s="42">
        <v>2096</v>
      </c>
      <c r="BI393" s="2"/>
      <c r="BJ393" s="3"/>
      <c r="BK393"/>
      <c r="BL393"/>
      <c r="BM393"/>
      <c r="BR393"/>
    </row>
    <row r="394" spans="1:70" ht="15" customHeight="1" x14ac:dyDescent="0.45">
      <c r="A394" s="2" t="s">
        <v>13</v>
      </c>
      <c r="B394" s="54" t="s">
        <v>24</v>
      </c>
      <c r="C394" s="3">
        <v>45327</v>
      </c>
      <c r="D394" s="8">
        <v>1</v>
      </c>
      <c r="E394" s="2" t="s">
        <v>213</v>
      </c>
      <c r="F394" s="4" t="s">
        <v>354</v>
      </c>
      <c r="G394" s="4" t="s">
        <v>578</v>
      </c>
      <c r="H394" s="4" t="s">
        <v>223</v>
      </c>
      <c r="I394" s="7">
        <v>0.17580000000000001</v>
      </c>
      <c r="J394" s="7">
        <v>0.17580000000000001</v>
      </c>
      <c r="K394" s="50">
        <v>3.5999999999999999E-3</v>
      </c>
      <c r="L394" s="7"/>
      <c r="M394" s="7">
        <v>0.16689999999999999</v>
      </c>
      <c r="N394" s="7">
        <v>-0.56000000000000005</v>
      </c>
      <c r="O394" s="4"/>
      <c r="P394" s="7">
        <v>1.2130000000000001</v>
      </c>
      <c r="T394" s="7">
        <v>64.400000000000006</v>
      </c>
      <c r="U394" s="7">
        <v>572</v>
      </c>
      <c r="V394" s="7">
        <v>759.1</v>
      </c>
      <c r="W394" s="4"/>
      <c r="X394" s="4"/>
      <c r="Y394" s="4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4"/>
      <c r="AX394" s="2"/>
      <c r="AY394" s="7"/>
      <c r="AZ394" s="4"/>
      <c r="BA394" s="4">
        <v>117</v>
      </c>
      <c r="BB394" s="2"/>
      <c r="BC394" s="2"/>
      <c r="BD394" s="2">
        <v>24.8</v>
      </c>
      <c r="BE394" s="42">
        <v>1016</v>
      </c>
      <c r="BF394" s="43">
        <v>52</v>
      </c>
      <c r="BG394" s="44">
        <v>1.181</v>
      </c>
      <c r="BH394" s="42">
        <v>2096</v>
      </c>
      <c r="BI394" s="2"/>
      <c r="BJ394" s="3"/>
      <c r="BK394"/>
      <c r="BL394"/>
      <c r="BM394"/>
      <c r="BR394"/>
    </row>
    <row r="395" spans="1:70" ht="15" customHeight="1" x14ac:dyDescent="0.45">
      <c r="A395" s="2" t="s">
        <v>13</v>
      </c>
      <c r="B395" s="54" t="s">
        <v>24</v>
      </c>
      <c r="C395" s="3">
        <v>45327</v>
      </c>
      <c r="D395" s="8">
        <v>2</v>
      </c>
      <c r="E395" s="2" t="s">
        <v>213</v>
      </c>
      <c r="F395" s="4" t="s">
        <v>354</v>
      </c>
      <c r="G395" s="4" t="s">
        <v>578</v>
      </c>
      <c r="H395" s="4" t="s">
        <v>572</v>
      </c>
      <c r="I395" s="7">
        <v>0.17510000000000001</v>
      </c>
      <c r="J395" s="7">
        <v>0.17510000000000001</v>
      </c>
      <c r="K395" s="50">
        <v>3.0000000000000001E-3</v>
      </c>
      <c r="L395" s="7"/>
      <c r="M395" s="7">
        <v>0.16689999999999999</v>
      </c>
      <c r="N395" s="7">
        <v>-0.55000000000000004</v>
      </c>
      <c r="O395" s="4"/>
      <c r="P395" s="7">
        <v>1.2130000000000001</v>
      </c>
      <c r="T395" s="7">
        <v>63.6</v>
      </c>
      <c r="U395" s="7">
        <v>555</v>
      </c>
      <c r="V395" s="7">
        <v>758.6</v>
      </c>
      <c r="W395" s="4"/>
      <c r="X395" s="4"/>
      <c r="Y395" s="4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4"/>
      <c r="AX395" s="2"/>
      <c r="AY395" s="7"/>
      <c r="AZ395" s="4"/>
      <c r="BA395" s="4">
        <v>117</v>
      </c>
      <c r="BB395" s="2"/>
      <c r="BC395" s="2"/>
      <c r="BD395" s="2">
        <v>24.8</v>
      </c>
      <c r="BE395" s="42">
        <v>1016</v>
      </c>
      <c r="BF395" s="43">
        <v>52</v>
      </c>
      <c r="BG395" s="44">
        <v>1.181</v>
      </c>
      <c r="BH395" s="42">
        <v>2096</v>
      </c>
      <c r="BI395" s="2"/>
      <c r="BJ395" s="3"/>
      <c r="BK395"/>
      <c r="BL395"/>
      <c r="BM395"/>
      <c r="BR395"/>
    </row>
    <row r="396" spans="1:70" ht="15" customHeight="1" x14ac:dyDescent="0.45">
      <c r="A396" s="2" t="s">
        <v>13</v>
      </c>
      <c r="B396" s="54" t="s">
        <v>24</v>
      </c>
      <c r="C396" s="3">
        <v>45327</v>
      </c>
      <c r="D396" s="8">
        <v>3</v>
      </c>
      <c r="E396" s="2" t="s">
        <v>213</v>
      </c>
      <c r="F396" s="39" t="s">
        <v>566</v>
      </c>
      <c r="G396" s="4" t="s">
        <v>578</v>
      </c>
      <c r="H396" s="4" t="s">
        <v>223</v>
      </c>
      <c r="I396" s="7">
        <v>0.17499999999999999</v>
      </c>
      <c r="J396" s="7">
        <v>0.17499999999999999</v>
      </c>
      <c r="K396" s="50">
        <v>5.9999999999999995E-4</v>
      </c>
      <c r="L396" s="7"/>
      <c r="M396" s="7">
        <v>0.1671</v>
      </c>
      <c r="N396" s="7">
        <v>-0.56999999999999995</v>
      </c>
      <c r="O396" s="4"/>
      <c r="P396" s="7">
        <v>1.2130000000000001</v>
      </c>
      <c r="T396" s="7">
        <v>64.3</v>
      </c>
      <c r="U396" s="7">
        <v>579</v>
      </c>
      <c r="V396" s="7">
        <v>759.2</v>
      </c>
      <c r="W396" s="4"/>
      <c r="X396" s="4"/>
      <c r="Y396" s="4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4"/>
      <c r="AX396" s="2"/>
      <c r="AY396" s="7"/>
      <c r="AZ396" s="4"/>
      <c r="BA396" s="4">
        <v>117</v>
      </c>
      <c r="BB396" s="2"/>
      <c r="BC396" s="2"/>
      <c r="BD396" s="2">
        <v>25.2</v>
      </c>
      <c r="BE396" s="42">
        <v>1016</v>
      </c>
      <c r="BF396" s="43">
        <v>51</v>
      </c>
      <c r="BG396" s="44">
        <v>1.179</v>
      </c>
      <c r="BH396" s="42">
        <v>2096</v>
      </c>
      <c r="BI396" s="2"/>
      <c r="BJ396" s="3"/>
      <c r="BK396"/>
      <c r="BL396"/>
      <c r="BM396"/>
      <c r="BR396"/>
    </row>
    <row r="397" spans="1:70" ht="15" customHeight="1" x14ac:dyDescent="0.45">
      <c r="A397" s="2" t="s">
        <v>13</v>
      </c>
      <c r="B397" s="54" t="s">
        <v>24</v>
      </c>
      <c r="C397" s="3">
        <v>45327</v>
      </c>
      <c r="D397" s="8">
        <v>4</v>
      </c>
      <c r="E397" s="2" t="s">
        <v>213</v>
      </c>
      <c r="F397" s="4" t="s">
        <v>354</v>
      </c>
      <c r="G397" s="4" t="s">
        <v>578</v>
      </c>
      <c r="H397" s="4" t="s">
        <v>223</v>
      </c>
      <c r="I397" s="7">
        <v>0.17430000000000001</v>
      </c>
      <c r="J397" s="7">
        <v>0.17430000000000001</v>
      </c>
      <c r="K397" s="50">
        <v>2.8E-3</v>
      </c>
      <c r="L397" s="7"/>
      <c r="M397" s="7">
        <v>0.16830000000000001</v>
      </c>
      <c r="N397" s="7">
        <v>-0.51</v>
      </c>
      <c r="O397" s="4"/>
      <c r="P397" s="7">
        <v>1.2130000000000001</v>
      </c>
      <c r="T397" s="7">
        <v>63.9</v>
      </c>
      <c r="U397" s="7">
        <v>576</v>
      </c>
      <c r="V397" s="7">
        <v>757.9</v>
      </c>
      <c r="W397" s="4"/>
      <c r="X397" s="4"/>
      <c r="Y397" s="4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4"/>
      <c r="AX397" s="2"/>
      <c r="AY397" s="7"/>
      <c r="AZ397" s="4"/>
      <c r="BA397" s="4">
        <v>117</v>
      </c>
      <c r="BB397" s="2"/>
      <c r="BC397" s="2"/>
      <c r="BD397" s="2">
        <v>25.6</v>
      </c>
      <c r="BE397" s="42">
        <v>1016</v>
      </c>
      <c r="BF397" s="43">
        <v>51</v>
      </c>
      <c r="BG397" s="44">
        <v>1.177</v>
      </c>
      <c r="BH397" s="42">
        <v>2096</v>
      </c>
      <c r="BI397" s="2"/>
      <c r="BJ397" s="3"/>
      <c r="BK397"/>
      <c r="BL397"/>
      <c r="BM397"/>
      <c r="BR397"/>
    </row>
    <row r="398" spans="1:70" ht="15" customHeight="1" x14ac:dyDescent="0.45">
      <c r="A398" s="2" t="s">
        <v>13</v>
      </c>
      <c r="B398" s="54" t="s">
        <v>24</v>
      </c>
      <c r="C398" s="3">
        <v>45327</v>
      </c>
      <c r="D398" s="8">
        <v>5</v>
      </c>
      <c r="E398" s="2" t="s">
        <v>213</v>
      </c>
      <c r="F398" s="4" t="s">
        <v>354</v>
      </c>
      <c r="G398" s="4" t="s">
        <v>578</v>
      </c>
      <c r="H398" s="4" t="s">
        <v>572</v>
      </c>
      <c r="I398" s="7">
        <v>0.17460000000000001</v>
      </c>
      <c r="J398" s="7">
        <v>0.17460000000000001</v>
      </c>
      <c r="K398" s="50">
        <v>2E-3</v>
      </c>
      <c r="L398" s="7"/>
      <c r="M398" s="7">
        <v>0.1701</v>
      </c>
      <c r="N398" s="7">
        <v>-0.51</v>
      </c>
      <c r="O398" s="4"/>
      <c r="P398" s="7">
        <v>1.2130000000000001</v>
      </c>
      <c r="T398" s="7">
        <v>64.5</v>
      </c>
      <c r="U398" s="7">
        <v>579</v>
      </c>
      <c r="V398" s="7">
        <v>758.7</v>
      </c>
      <c r="W398" s="4"/>
      <c r="X398" s="4"/>
      <c r="Y398" s="4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4"/>
      <c r="AX398" s="2"/>
      <c r="AY398" s="7"/>
      <c r="AZ398" s="4"/>
      <c r="BA398" s="4">
        <v>117</v>
      </c>
      <c r="BB398" s="2"/>
      <c r="BC398" s="2"/>
      <c r="BD398" s="2">
        <v>26</v>
      </c>
      <c r="BE398" s="42">
        <v>1016</v>
      </c>
      <c r="BF398" s="43">
        <v>51</v>
      </c>
      <c r="BG398" s="44">
        <v>1.175</v>
      </c>
      <c r="BH398" s="42">
        <v>2096</v>
      </c>
      <c r="BI398" s="2"/>
      <c r="BJ398" s="3"/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24</v>
      </c>
      <c r="C399" s="3">
        <v>45327</v>
      </c>
      <c r="D399" s="8">
        <v>6</v>
      </c>
      <c r="E399" s="2" t="s">
        <v>213</v>
      </c>
      <c r="F399" s="39" t="s">
        <v>566</v>
      </c>
      <c r="G399" s="4" t="s">
        <v>578</v>
      </c>
      <c r="H399" s="4" t="s">
        <v>223</v>
      </c>
      <c r="I399" s="7">
        <v>0.17419999999999999</v>
      </c>
      <c r="J399" s="7">
        <v>0.17419999999999999</v>
      </c>
      <c r="K399" s="50">
        <v>2.3999999999999998E-3</v>
      </c>
      <c r="L399" s="7"/>
      <c r="M399" s="7">
        <v>0.16719999999999999</v>
      </c>
      <c r="N399" s="7">
        <v>-0.54</v>
      </c>
      <c r="O399" s="4"/>
      <c r="P399" s="7">
        <v>1.2130000000000001</v>
      </c>
      <c r="T399" s="7">
        <v>63.9</v>
      </c>
      <c r="U399" s="7">
        <v>584</v>
      </c>
      <c r="V399" s="7">
        <v>758.5</v>
      </c>
      <c r="W399" s="4"/>
      <c r="X399" s="4"/>
      <c r="Y399" s="4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4"/>
      <c r="AX399" s="2"/>
      <c r="AY399" s="7"/>
      <c r="AZ399" s="4"/>
      <c r="BA399" s="4">
        <v>117</v>
      </c>
      <c r="BB399" s="2"/>
      <c r="BC399" s="2"/>
      <c r="BD399" s="2">
        <v>26.2</v>
      </c>
      <c r="BE399" s="42">
        <v>1016</v>
      </c>
      <c r="BF399" s="43">
        <v>51</v>
      </c>
      <c r="BG399" s="44">
        <v>1.175</v>
      </c>
      <c r="BH399" s="42">
        <v>2096</v>
      </c>
      <c r="BI399" s="2"/>
      <c r="BJ399" s="3"/>
      <c r="BK399"/>
      <c r="BL399"/>
      <c r="BM399"/>
      <c r="BR399"/>
    </row>
    <row r="400" spans="1:70" ht="15" customHeight="1" x14ac:dyDescent="0.45">
      <c r="A400" s="2" t="s">
        <v>43</v>
      </c>
      <c r="B400" s="54" t="s">
        <v>99</v>
      </c>
      <c r="C400" s="3">
        <v>45330</v>
      </c>
      <c r="D400" s="8">
        <v>1</v>
      </c>
      <c r="E400" s="2" t="s">
        <v>353</v>
      </c>
      <c r="F400" s="4" t="s">
        <v>15</v>
      </c>
      <c r="G400" s="4" t="s">
        <v>15</v>
      </c>
      <c r="H400" s="4" t="s">
        <v>330</v>
      </c>
      <c r="I400" s="7">
        <v>0.1754</v>
      </c>
      <c r="J400" s="7">
        <v>0.1754</v>
      </c>
      <c r="K400" s="50">
        <v>6.7000000000000002E-3</v>
      </c>
      <c r="L400" s="7">
        <v>0.16700000000000001</v>
      </c>
      <c r="M400" s="7">
        <v>0.1704</v>
      </c>
      <c r="N400" s="7">
        <v>-0.46</v>
      </c>
      <c r="O400" s="4"/>
      <c r="P400" s="7">
        <v>1.2090000000000001</v>
      </c>
      <c r="T400" s="7">
        <v>60.9</v>
      </c>
      <c r="U400" s="7">
        <v>513</v>
      </c>
      <c r="V400" s="7">
        <v>756.7</v>
      </c>
      <c r="W400" s="4"/>
      <c r="X400" s="4"/>
      <c r="Y400" s="4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4"/>
      <c r="AX400" s="2"/>
      <c r="AY400" s="7"/>
      <c r="AZ400" s="4"/>
      <c r="BA400" s="4">
        <v>113.4</v>
      </c>
      <c r="BB400" s="2"/>
      <c r="BC400" s="2"/>
      <c r="BD400" s="10">
        <v>24</v>
      </c>
      <c r="BE400" s="42">
        <v>1012.8</v>
      </c>
      <c r="BF400" s="43">
        <v>51.7</v>
      </c>
      <c r="BG400" s="44"/>
      <c r="BH400" s="42">
        <v>2096</v>
      </c>
      <c r="BI400" s="2"/>
      <c r="BJ400" s="3" t="s">
        <v>528</v>
      </c>
      <c r="BK400"/>
      <c r="BL400"/>
      <c r="BM400"/>
      <c r="BR400"/>
    </row>
    <row r="401" spans="1:70" ht="15" customHeight="1" x14ac:dyDescent="0.45">
      <c r="A401" s="2" t="s">
        <v>43</v>
      </c>
      <c r="B401" s="54" t="s">
        <v>99</v>
      </c>
      <c r="C401" s="3">
        <v>45330</v>
      </c>
      <c r="D401" s="8">
        <v>2</v>
      </c>
      <c r="E401" s="2" t="s">
        <v>553</v>
      </c>
      <c r="F401" s="4" t="s">
        <v>558</v>
      </c>
      <c r="G401" s="4" t="s">
        <v>578</v>
      </c>
      <c r="H401" s="4" t="s">
        <v>330</v>
      </c>
      <c r="I401" s="7">
        <v>0.17213000000000001</v>
      </c>
      <c r="J401" s="7">
        <v>0.17213000000000001</v>
      </c>
      <c r="K401" s="50">
        <v>2E-3</v>
      </c>
      <c r="L401" s="7">
        <v>0.16400000000000001</v>
      </c>
      <c r="M401" s="7">
        <v>0.1668</v>
      </c>
      <c r="N401" s="7">
        <v>-0.57999999999999996</v>
      </c>
      <c r="O401" s="4"/>
      <c r="P401" s="7">
        <v>1.2090000000000001</v>
      </c>
      <c r="T401" s="7">
        <v>61.5</v>
      </c>
      <c r="U401" s="7">
        <v>506</v>
      </c>
      <c r="V401" s="7">
        <v>757.8</v>
      </c>
      <c r="W401" s="4"/>
      <c r="X401" s="4"/>
      <c r="Y401" s="4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4"/>
      <c r="AX401" s="2"/>
      <c r="AY401" s="7"/>
      <c r="AZ401" s="4"/>
      <c r="BA401" s="4">
        <v>113.4</v>
      </c>
      <c r="BB401" s="2"/>
      <c r="BC401" s="2"/>
      <c r="BD401" s="10">
        <v>24</v>
      </c>
      <c r="BE401" s="42">
        <v>1012.8</v>
      </c>
      <c r="BF401" s="43">
        <v>51.7</v>
      </c>
      <c r="BG401" s="44"/>
      <c r="BH401" s="42">
        <v>2096</v>
      </c>
      <c r="BI401" s="2"/>
      <c r="BJ401" s="3" t="s">
        <v>527</v>
      </c>
      <c r="BK401"/>
      <c r="BL401"/>
      <c r="BM401"/>
      <c r="BR401"/>
    </row>
    <row r="402" spans="1:70" ht="15" customHeight="1" x14ac:dyDescent="0.45">
      <c r="A402" s="2" t="s">
        <v>43</v>
      </c>
      <c r="B402" s="54" t="s">
        <v>99</v>
      </c>
      <c r="C402" s="3">
        <v>45330</v>
      </c>
      <c r="D402" s="8">
        <v>3</v>
      </c>
      <c r="E402" s="2" t="s">
        <v>553</v>
      </c>
      <c r="F402" s="4" t="s">
        <v>558</v>
      </c>
      <c r="G402" s="4" t="s">
        <v>578</v>
      </c>
      <c r="H402" s="4" t="s">
        <v>330</v>
      </c>
      <c r="I402" s="7">
        <v>0.1739</v>
      </c>
      <c r="J402" s="7">
        <v>0.1739</v>
      </c>
      <c r="K402" s="50">
        <v>4.1000000000000003E-3</v>
      </c>
      <c r="L402" s="7">
        <v>0.16500000000000001</v>
      </c>
      <c r="M402" s="7">
        <v>0.16550000000000001</v>
      </c>
      <c r="N402" s="7">
        <v>-0.55000000000000004</v>
      </c>
      <c r="O402" s="4"/>
      <c r="P402" s="7">
        <v>1.2090000000000001</v>
      </c>
      <c r="T402" s="7">
        <v>61.1</v>
      </c>
      <c r="U402" s="7">
        <v>505</v>
      </c>
      <c r="V402" s="7">
        <v>757.4</v>
      </c>
      <c r="W402" s="4"/>
      <c r="X402" s="4"/>
      <c r="Y402" s="4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4"/>
      <c r="AX402" s="2"/>
      <c r="AY402" s="7"/>
      <c r="AZ402" s="4"/>
      <c r="BA402" s="4">
        <v>113.4</v>
      </c>
      <c r="BB402" s="2"/>
      <c r="BC402" s="2"/>
      <c r="BD402" s="10">
        <v>24</v>
      </c>
      <c r="BE402" s="42">
        <v>1012.3</v>
      </c>
      <c r="BF402" s="43">
        <v>50.9</v>
      </c>
      <c r="BG402" s="44"/>
      <c r="BH402" s="42">
        <v>2096</v>
      </c>
      <c r="BI402" s="2" t="s">
        <v>500</v>
      </c>
      <c r="BJ402" s="3" t="s">
        <v>526</v>
      </c>
      <c r="BK402"/>
      <c r="BL402"/>
      <c r="BM402"/>
      <c r="BR402"/>
    </row>
    <row r="403" spans="1:70" ht="15" customHeight="1" x14ac:dyDescent="0.45">
      <c r="A403" s="2" t="s">
        <v>43</v>
      </c>
      <c r="B403" s="54" t="s">
        <v>99</v>
      </c>
      <c r="C403" s="3">
        <v>45330</v>
      </c>
      <c r="D403" s="8">
        <v>4</v>
      </c>
      <c r="E403" s="2" t="s">
        <v>353</v>
      </c>
      <c r="F403" s="4" t="s">
        <v>15</v>
      </c>
      <c r="G403" s="4" t="s">
        <v>15</v>
      </c>
      <c r="H403" s="4" t="s">
        <v>330</v>
      </c>
      <c r="I403" s="7">
        <v>0.18110000000000001</v>
      </c>
      <c r="J403" s="7">
        <v>0.18110000000000001</v>
      </c>
      <c r="K403" s="50">
        <v>4.3E-3</v>
      </c>
      <c r="L403" s="7">
        <v>0.17299999999999999</v>
      </c>
      <c r="M403" s="7">
        <v>0.1736</v>
      </c>
      <c r="N403" s="7">
        <v>-0.56000000000000005</v>
      </c>
      <c r="O403" s="4"/>
      <c r="P403" s="7">
        <v>1.2090000000000001</v>
      </c>
      <c r="T403" s="7">
        <v>61.4</v>
      </c>
      <c r="U403" s="7">
        <v>519</v>
      </c>
      <c r="V403" s="7">
        <v>756.5</v>
      </c>
      <c r="W403" s="4"/>
      <c r="X403" s="4"/>
      <c r="Y403" s="4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4"/>
      <c r="AX403" s="2"/>
      <c r="AY403" s="7"/>
      <c r="AZ403" s="4"/>
      <c r="BA403" s="4">
        <v>113.4</v>
      </c>
      <c r="BB403" s="2"/>
      <c r="BC403" s="2"/>
      <c r="BD403" s="10">
        <v>24.1</v>
      </c>
      <c r="BE403" s="42">
        <v>1012</v>
      </c>
      <c r="BF403" s="43">
        <v>50.2</v>
      </c>
      <c r="BG403" s="44"/>
      <c r="BH403" s="42">
        <v>2096</v>
      </c>
      <c r="BI403" s="2" t="s">
        <v>501</v>
      </c>
      <c r="BJ403" s="3" t="s">
        <v>540</v>
      </c>
      <c r="BK403"/>
      <c r="BL403"/>
      <c r="BM403"/>
      <c r="BR403"/>
    </row>
    <row r="404" spans="1:70" ht="15" customHeight="1" x14ac:dyDescent="0.45">
      <c r="A404" s="2" t="s">
        <v>43</v>
      </c>
      <c r="B404" s="54" t="s">
        <v>99</v>
      </c>
      <c r="C404" s="3">
        <v>45330</v>
      </c>
      <c r="D404" s="8">
        <v>5</v>
      </c>
      <c r="E404" s="2" t="s">
        <v>553</v>
      </c>
      <c r="F404" s="4" t="s">
        <v>558</v>
      </c>
      <c r="G404" s="4" t="s">
        <v>578</v>
      </c>
      <c r="H404" s="4" t="s">
        <v>330</v>
      </c>
      <c r="I404" s="7">
        <v>0.17380000000000001</v>
      </c>
      <c r="J404" s="7">
        <v>0.17380000000000001</v>
      </c>
      <c r="K404" s="50">
        <v>3.8999999999999998E-3</v>
      </c>
      <c r="L404" s="7">
        <v>0.16300000000000001</v>
      </c>
      <c r="M404" s="7">
        <v>0.1663</v>
      </c>
      <c r="N404" s="7">
        <v>-0.77</v>
      </c>
      <c r="O404" s="4"/>
      <c r="P404" s="7">
        <v>1.2090000000000001</v>
      </c>
      <c r="T404" s="7">
        <v>62.3</v>
      </c>
      <c r="U404" s="7">
        <v>508</v>
      </c>
      <c r="V404" s="7">
        <v>757.3</v>
      </c>
      <c r="W404" s="4"/>
      <c r="X404" s="4"/>
      <c r="Y404" s="4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4"/>
      <c r="AX404" s="2"/>
      <c r="AY404" s="7"/>
      <c r="AZ404" s="4"/>
      <c r="BA404" s="4">
        <v>113.4</v>
      </c>
      <c r="BB404" s="2"/>
      <c r="BC404" s="2"/>
      <c r="BD404" s="10">
        <v>27.2</v>
      </c>
      <c r="BE404" s="42">
        <v>1011.3</v>
      </c>
      <c r="BF404" s="43">
        <v>58.9</v>
      </c>
      <c r="BG404" s="44"/>
      <c r="BH404" s="42">
        <v>2096</v>
      </c>
      <c r="BI404" s="2"/>
      <c r="BJ404" s="3" t="s">
        <v>539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26</v>
      </c>
      <c r="C405" s="3">
        <v>45330</v>
      </c>
      <c r="D405" s="8">
        <v>1</v>
      </c>
      <c r="E405" s="2" t="s">
        <v>353</v>
      </c>
      <c r="F405" s="4" t="s">
        <v>15</v>
      </c>
      <c r="G405" s="4" t="s">
        <v>577</v>
      </c>
      <c r="H405" s="4" t="s">
        <v>223</v>
      </c>
      <c r="I405" s="7">
        <v>0.1731</v>
      </c>
      <c r="J405" s="7">
        <v>0.1731</v>
      </c>
      <c r="K405" s="50">
        <v>2.3E-3</v>
      </c>
      <c r="L405" s="7">
        <v>0.17399999999999999</v>
      </c>
      <c r="M405" s="7">
        <v>0.1734</v>
      </c>
      <c r="N405" s="7">
        <v>-0.39</v>
      </c>
      <c r="O405" s="4"/>
      <c r="P405" s="7">
        <v>1.2255</v>
      </c>
      <c r="T405" s="7">
        <v>64</v>
      </c>
      <c r="U405" s="7">
        <v>609</v>
      </c>
      <c r="V405" s="7">
        <v>758.4</v>
      </c>
      <c r="W405" s="4"/>
      <c r="X405" s="4"/>
      <c r="Y405" s="4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4"/>
      <c r="AX405" s="2"/>
      <c r="AY405" s="7"/>
      <c r="AZ405" s="4"/>
      <c r="BA405" s="4">
        <v>113.4</v>
      </c>
      <c r="BB405" s="2"/>
      <c r="BC405" s="2"/>
      <c r="BD405" s="10">
        <v>24</v>
      </c>
      <c r="BE405" s="42">
        <v>1012.8</v>
      </c>
      <c r="BF405" s="43">
        <v>51.7</v>
      </c>
      <c r="BG405" s="44"/>
      <c r="BH405" s="42">
        <v>2096</v>
      </c>
      <c r="BI405" s="2" t="s">
        <v>502</v>
      </c>
      <c r="BJ405" s="3" t="s">
        <v>533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26</v>
      </c>
      <c r="C406" s="3">
        <v>45330</v>
      </c>
      <c r="D406" s="8">
        <v>2</v>
      </c>
      <c r="E406" s="2" t="s">
        <v>213</v>
      </c>
      <c r="F406" s="4" t="s">
        <v>354</v>
      </c>
      <c r="G406" s="4" t="s">
        <v>578</v>
      </c>
      <c r="H406" s="4" t="s">
        <v>223</v>
      </c>
      <c r="I406" s="7">
        <v>0.16600000000000001</v>
      </c>
      <c r="J406" s="7">
        <v>0.16339999999999999</v>
      </c>
      <c r="K406" s="50">
        <v>4.0000000000000001E-3</v>
      </c>
      <c r="L406" s="7"/>
      <c r="M406" s="7">
        <v>0.1671</v>
      </c>
      <c r="N406" s="7">
        <v>-0.49</v>
      </c>
      <c r="O406" s="4"/>
      <c r="P406" s="7">
        <v>1.2255</v>
      </c>
      <c r="T406" s="7">
        <v>65.099999999999994</v>
      </c>
      <c r="U406" s="7">
        <v>629</v>
      </c>
      <c r="V406" s="7">
        <v>759.4</v>
      </c>
      <c r="W406" s="4"/>
      <c r="X406" s="4"/>
      <c r="Y406" s="4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4"/>
      <c r="AX406" s="2"/>
      <c r="AY406" s="7"/>
      <c r="AZ406" s="4"/>
      <c r="BA406" s="4">
        <v>113.4</v>
      </c>
      <c r="BB406" s="2"/>
      <c r="BC406" s="2"/>
      <c r="BD406" s="10">
        <v>24</v>
      </c>
      <c r="BE406" s="42">
        <v>1012.8</v>
      </c>
      <c r="BF406" s="43">
        <v>51.7</v>
      </c>
      <c r="BG406" s="44"/>
      <c r="BH406" s="42">
        <v>2096</v>
      </c>
      <c r="BI406" s="2"/>
      <c r="BJ406" s="3" t="s">
        <v>532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>
        <v>45330</v>
      </c>
      <c r="D407" s="8">
        <v>3</v>
      </c>
      <c r="E407" s="2" t="s">
        <v>214</v>
      </c>
      <c r="F407" s="4" t="s">
        <v>354</v>
      </c>
      <c r="G407" s="4" t="s">
        <v>578</v>
      </c>
      <c r="H407" s="4" t="s">
        <v>223</v>
      </c>
      <c r="I407" s="7">
        <v>0.1686</v>
      </c>
      <c r="J407" s="7">
        <v>0.1633</v>
      </c>
      <c r="K407" s="50">
        <v>4.0000000000000001E-3</v>
      </c>
      <c r="L407" s="7">
        <v>0.17100000000000001</v>
      </c>
      <c r="M407" s="7">
        <v>0.16650000000000001</v>
      </c>
      <c r="N407" s="7">
        <v>-0.54</v>
      </c>
      <c r="O407" s="4"/>
      <c r="P407" s="7">
        <v>1.2255</v>
      </c>
      <c r="T407" s="7">
        <v>65.3</v>
      </c>
      <c r="U407" s="7">
        <v>621</v>
      </c>
      <c r="V407" s="7">
        <v>758.2</v>
      </c>
      <c r="W407" s="4"/>
      <c r="X407" s="4"/>
      <c r="Y407" s="4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4"/>
      <c r="AX407" s="2"/>
      <c r="AY407" s="7"/>
      <c r="AZ407" s="4"/>
      <c r="BA407" s="4">
        <v>113.4</v>
      </c>
      <c r="BB407" s="2"/>
      <c r="BC407" s="2"/>
      <c r="BD407" s="10">
        <v>24</v>
      </c>
      <c r="BE407" s="42">
        <v>1012.3</v>
      </c>
      <c r="BF407" s="43">
        <v>50.9</v>
      </c>
      <c r="BG407" s="44"/>
      <c r="BH407" s="42">
        <v>2096</v>
      </c>
      <c r="BI407" s="2" t="s">
        <v>503</v>
      </c>
      <c r="BJ407" s="3" t="s">
        <v>531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>
        <v>45330</v>
      </c>
      <c r="D408" s="8">
        <v>4</v>
      </c>
      <c r="E408" s="2" t="s">
        <v>353</v>
      </c>
      <c r="F408" s="4" t="s">
        <v>15</v>
      </c>
      <c r="G408" s="4" t="s">
        <v>577</v>
      </c>
      <c r="H408" s="4" t="s">
        <v>223</v>
      </c>
      <c r="I408" s="7">
        <v>0.17469999999999999</v>
      </c>
      <c r="J408" s="7">
        <v>0.17469999999999999</v>
      </c>
      <c r="K408" s="50">
        <v>4.1999999999999997E-3</v>
      </c>
      <c r="L408" s="7">
        <v>0.17599999999999999</v>
      </c>
      <c r="M408" s="7">
        <v>0.17519999999999999</v>
      </c>
      <c r="N408" s="7">
        <v>-0.37</v>
      </c>
      <c r="O408" s="4"/>
      <c r="P408" s="7">
        <v>1.2255</v>
      </c>
      <c r="T408" s="7">
        <v>64.8</v>
      </c>
      <c r="U408" s="7">
        <v>634</v>
      </c>
      <c r="V408" s="7">
        <v>757.8</v>
      </c>
      <c r="W408" s="4"/>
      <c r="X408" s="4"/>
      <c r="Y408" s="4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4"/>
      <c r="AX408" s="2"/>
      <c r="AY408" s="7"/>
      <c r="AZ408" s="4"/>
      <c r="BA408" s="4">
        <v>113.4</v>
      </c>
      <c r="BB408" s="2"/>
      <c r="BC408" s="2"/>
      <c r="BD408" s="10">
        <v>24.1</v>
      </c>
      <c r="BE408" s="42">
        <v>1012</v>
      </c>
      <c r="BF408" s="43">
        <v>50.2</v>
      </c>
      <c r="BG408" s="44"/>
      <c r="BH408" s="42">
        <v>2096</v>
      </c>
      <c r="BI408" s="2" t="s">
        <v>504</v>
      </c>
      <c r="BJ408" s="3" t="s">
        <v>530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>
        <v>45330</v>
      </c>
      <c r="D409" s="8">
        <v>5</v>
      </c>
      <c r="E409" s="2" t="s">
        <v>213</v>
      </c>
      <c r="F409" s="4" t="s">
        <v>354</v>
      </c>
      <c r="G409" s="4" t="s">
        <v>578</v>
      </c>
      <c r="H409" s="4" t="s">
        <v>223</v>
      </c>
      <c r="I409" s="7">
        <v>0.1681</v>
      </c>
      <c r="J409" s="7">
        <v>0.16550000000000001</v>
      </c>
      <c r="K409" s="50">
        <v>4.0000000000000001E-3</v>
      </c>
      <c r="L409" s="7">
        <v>0.17199999999999999</v>
      </c>
      <c r="M409" s="7">
        <v>0.16650000000000001</v>
      </c>
      <c r="N409" s="7">
        <v>-0.53</v>
      </c>
      <c r="O409" s="4"/>
      <c r="P409" s="7">
        <v>1.2255</v>
      </c>
      <c r="T409" s="7">
        <v>65.900000000000006</v>
      </c>
      <c r="U409" s="7">
        <v>636</v>
      </c>
      <c r="V409" s="7">
        <v>758.4</v>
      </c>
      <c r="W409" s="4"/>
      <c r="X409" s="4"/>
      <c r="Y409" s="4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4"/>
      <c r="AX409" s="2"/>
      <c r="AY409" s="7"/>
      <c r="AZ409" s="4"/>
      <c r="BA409" s="4">
        <v>113.4</v>
      </c>
      <c r="BB409" s="2"/>
      <c r="BC409" s="2"/>
      <c r="BD409" s="10">
        <v>27.2</v>
      </c>
      <c r="BE409" s="42">
        <v>1011.3</v>
      </c>
      <c r="BF409" s="43">
        <v>58.9</v>
      </c>
      <c r="BG409" s="44"/>
      <c r="BH409" s="42">
        <v>2096</v>
      </c>
      <c r="BI409" s="2" t="s">
        <v>505</v>
      </c>
      <c r="BJ409" s="3" t="s">
        <v>529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>
        <v>45330</v>
      </c>
      <c r="D410" s="8">
        <v>6</v>
      </c>
      <c r="E410" s="2" t="s">
        <v>214</v>
      </c>
      <c r="F410" s="4" t="s">
        <v>354</v>
      </c>
      <c r="G410" s="4" t="s">
        <v>578</v>
      </c>
      <c r="H410" s="4" t="s">
        <v>223</v>
      </c>
      <c r="I410" s="7">
        <v>0.17199999999999999</v>
      </c>
      <c r="J410" s="7">
        <v>0.16669999999999999</v>
      </c>
      <c r="K410" s="50">
        <v>4.5999999999999999E-3</v>
      </c>
      <c r="L410" s="7">
        <v>0.17399999999999999</v>
      </c>
      <c r="M410" s="7">
        <v>0.1638</v>
      </c>
      <c r="N410" s="7">
        <v>-0.75</v>
      </c>
      <c r="O410" s="4"/>
      <c r="P410" s="7">
        <v>1.2255</v>
      </c>
      <c r="T410" s="7">
        <v>67</v>
      </c>
      <c r="U410" s="7">
        <v>653</v>
      </c>
      <c r="V410" s="7">
        <v>758.2</v>
      </c>
      <c r="W410" s="4"/>
      <c r="X410" s="4"/>
      <c r="Y410" s="4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4"/>
      <c r="AX410" s="2"/>
      <c r="AY410" s="7"/>
      <c r="AZ410" s="4"/>
      <c r="BA410" s="4">
        <v>113.4</v>
      </c>
      <c r="BB410" s="2"/>
      <c r="BC410" s="2"/>
      <c r="BD410" s="10">
        <v>24</v>
      </c>
      <c r="BE410" s="42">
        <v>1012.8</v>
      </c>
      <c r="BF410" s="43">
        <v>51.7</v>
      </c>
      <c r="BG410" s="44"/>
      <c r="BH410" s="42">
        <v>2096</v>
      </c>
      <c r="BI410" s="2" t="s">
        <v>506</v>
      </c>
      <c r="BJ410" s="3"/>
      <c r="BK410"/>
      <c r="BL410"/>
      <c r="BM410"/>
      <c r="BR410"/>
    </row>
    <row r="411" spans="1:70" ht="15" customHeight="1" x14ac:dyDescent="0.45">
      <c r="A411" s="2" t="s">
        <v>43</v>
      </c>
      <c r="B411" s="54" t="s">
        <v>210</v>
      </c>
      <c r="C411" s="3">
        <v>45330</v>
      </c>
      <c r="D411" s="8">
        <v>1</v>
      </c>
      <c r="E411" s="2" t="s">
        <v>353</v>
      </c>
      <c r="F411" s="4" t="s">
        <v>15</v>
      </c>
      <c r="G411" s="4" t="s">
        <v>15</v>
      </c>
      <c r="H411" s="4" t="s">
        <v>330</v>
      </c>
      <c r="I411" s="7">
        <v>0.18379999999999999</v>
      </c>
      <c r="J411" s="7">
        <v>0.18379999999999999</v>
      </c>
      <c r="K411" s="50">
        <v>3.5999999999999999E-3</v>
      </c>
      <c r="L411" s="7">
        <v>0.183</v>
      </c>
      <c r="M411" s="7">
        <v>0.1812</v>
      </c>
      <c r="N411" s="7">
        <v>-0.28999999999999998</v>
      </c>
      <c r="O411" s="4"/>
      <c r="P411" s="7">
        <v>1.2144999999999999</v>
      </c>
      <c r="T411" s="7">
        <v>59.9</v>
      </c>
      <c r="U411" s="7">
        <v>523</v>
      </c>
      <c r="V411" s="7">
        <v>756.6</v>
      </c>
      <c r="W411" s="4"/>
      <c r="X411" s="4"/>
      <c r="Y411" s="4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4"/>
      <c r="AX411" s="2"/>
      <c r="AY411" s="7"/>
      <c r="AZ411" s="4"/>
      <c r="BA411" s="4">
        <v>113.4</v>
      </c>
      <c r="BB411" s="2"/>
      <c r="BC411" s="2"/>
      <c r="BD411" s="10">
        <v>24</v>
      </c>
      <c r="BE411" s="42">
        <v>1012.8</v>
      </c>
      <c r="BF411" s="43">
        <v>51.7</v>
      </c>
      <c r="BG411" s="44"/>
      <c r="BH411" s="42">
        <v>2096</v>
      </c>
      <c r="BI411" s="2" t="s">
        <v>507</v>
      </c>
      <c r="BJ411" s="3" t="s">
        <v>522</v>
      </c>
      <c r="BK411"/>
      <c r="BL411"/>
      <c r="BM411"/>
      <c r="BR411"/>
    </row>
    <row r="412" spans="1:70" ht="15" customHeight="1" x14ac:dyDescent="0.45">
      <c r="A412" s="2" t="s">
        <v>43</v>
      </c>
      <c r="B412" s="54" t="s">
        <v>210</v>
      </c>
      <c r="C412" s="3">
        <v>45330</v>
      </c>
      <c r="D412" s="8">
        <v>2</v>
      </c>
      <c r="E412" s="2" t="s">
        <v>545</v>
      </c>
      <c r="F412" s="4" t="s">
        <v>557</v>
      </c>
      <c r="G412" s="4" t="s">
        <v>578</v>
      </c>
      <c r="H412" s="4" t="s">
        <v>330</v>
      </c>
      <c r="I412" s="7">
        <v>0.17549999999999999</v>
      </c>
      <c r="J412" s="7">
        <v>0.17549999999999999</v>
      </c>
      <c r="K412" s="50">
        <v>3.5999999999999999E-3</v>
      </c>
      <c r="L412" s="7">
        <v>0.17649999999999999</v>
      </c>
      <c r="M412" s="7">
        <v>0.17349999999999999</v>
      </c>
      <c r="N412" s="7">
        <v>-0.4</v>
      </c>
      <c r="O412" s="4"/>
      <c r="P412" s="7">
        <v>1.2144999999999999</v>
      </c>
      <c r="T412" s="7">
        <v>58.9</v>
      </c>
      <c r="U412" s="7">
        <v>485</v>
      </c>
      <c r="V412" s="7">
        <v>755.8</v>
      </c>
      <c r="W412" s="4"/>
      <c r="X412" s="4"/>
      <c r="Y412" s="4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4"/>
      <c r="AX412" s="2"/>
      <c r="AY412" s="7"/>
      <c r="AZ412" s="4"/>
      <c r="BA412" s="4">
        <v>113.4</v>
      </c>
      <c r="BB412" s="2"/>
      <c r="BC412" s="2"/>
      <c r="BD412" s="10">
        <v>24</v>
      </c>
      <c r="BE412" s="42">
        <v>1012.3</v>
      </c>
      <c r="BF412" s="43">
        <v>50.9</v>
      </c>
      <c r="BG412" s="44"/>
      <c r="BH412" s="42">
        <v>2096</v>
      </c>
      <c r="BI412" s="2" t="s">
        <v>508</v>
      </c>
      <c r="BJ412" s="3" t="s">
        <v>521</v>
      </c>
      <c r="BK412"/>
      <c r="BL412"/>
      <c r="BM412"/>
      <c r="BR412"/>
    </row>
    <row r="413" spans="1:70" ht="15" customHeight="1" x14ac:dyDescent="0.45">
      <c r="A413" s="2" t="s">
        <v>43</v>
      </c>
      <c r="B413" s="54" t="s">
        <v>210</v>
      </c>
      <c r="C413" s="3">
        <v>45330</v>
      </c>
      <c r="D413" s="8">
        <v>3</v>
      </c>
      <c r="E413" s="2" t="s">
        <v>545</v>
      </c>
      <c r="F413" s="4" t="s">
        <v>509</v>
      </c>
      <c r="G413" s="4" t="s">
        <v>578</v>
      </c>
      <c r="H413" s="4" t="s">
        <v>330</v>
      </c>
      <c r="I413" s="7">
        <v>0.17230000000000001</v>
      </c>
      <c r="J413" s="7">
        <v>0.17230000000000001</v>
      </c>
      <c r="K413" s="50">
        <v>1.8E-3</v>
      </c>
      <c r="L413" s="7">
        <v>0.17399999999999999</v>
      </c>
      <c r="M413" s="7">
        <v>0.17119999999999999</v>
      </c>
      <c r="N413" s="7">
        <v>-0.37</v>
      </c>
      <c r="O413" s="4"/>
      <c r="P413" s="7">
        <v>1.2144999999999999</v>
      </c>
      <c r="T413" s="7">
        <v>58.7</v>
      </c>
      <c r="U413" s="7">
        <v>473</v>
      </c>
      <c r="V413" s="7">
        <v>756.1</v>
      </c>
      <c r="W413" s="4"/>
      <c r="X413" s="4"/>
      <c r="Y413" s="4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4"/>
      <c r="AX413" s="2"/>
      <c r="AY413" s="7"/>
      <c r="AZ413" s="4"/>
      <c r="BA413" s="4">
        <v>113.4</v>
      </c>
      <c r="BB413" s="2"/>
      <c r="BC413" s="2"/>
      <c r="BD413" s="10">
        <v>24.1</v>
      </c>
      <c r="BE413" s="71">
        <v>1012</v>
      </c>
      <c r="BF413" s="72">
        <v>50.2</v>
      </c>
      <c r="BG413" s="73"/>
      <c r="BH413" s="71">
        <v>2096</v>
      </c>
      <c r="BI413" s="2" t="s">
        <v>510</v>
      </c>
      <c r="BJ413" s="3" t="s">
        <v>520</v>
      </c>
      <c r="BK413"/>
      <c r="BL413"/>
      <c r="BM413"/>
      <c r="BR413"/>
    </row>
    <row r="414" spans="1:70" ht="15" customHeight="1" x14ac:dyDescent="0.45">
      <c r="A414" s="2" t="s">
        <v>43</v>
      </c>
      <c r="B414" s="54" t="s">
        <v>210</v>
      </c>
      <c r="C414" s="3">
        <v>45330</v>
      </c>
      <c r="D414" s="8">
        <v>4</v>
      </c>
      <c r="E414" s="56" t="s">
        <v>353</v>
      </c>
      <c r="F414" s="4" t="s">
        <v>15</v>
      </c>
      <c r="G414" s="4" t="s">
        <v>15</v>
      </c>
      <c r="H414" s="4" t="s">
        <v>330</v>
      </c>
      <c r="I414" s="7">
        <v>0.18</v>
      </c>
      <c r="J414" s="7">
        <v>0.18</v>
      </c>
      <c r="K414" s="50">
        <v>2.8E-3</v>
      </c>
      <c r="L414" s="7">
        <v>0.182</v>
      </c>
      <c r="M414" s="7">
        <v>0.17879999999999999</v>
      </c>
      <c r="N414" s="7">
        <v>-0.32</v>
      </c>
      <c r="O414" s="4"/>
      <c r="P414" s="7">
        <v>1.2144999999999999</v>
      </c>
      <c r="T414" s="7">
        <v>58.5</v>
      </c>
      <c r="U414" s="7">
        <v>503</v>
      </c>
      <c r="V414" s="7">
        <v>756.5</v>
      </c>
      <c r="W414" s="4"/>
      <c r="X414" s="4"/>
      <c r="Y414" s="4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4"/>
      <c r="AX414" s="2"/>
      <c r="AY414" s="7"/>
      <c r="AZ414" s="4"/>
      <c r="BA414" s="4">
        <v>113.4</v>
      </c>
      <c r="BB414" s="2"/>
      <c r="BC414" s="2"/>
      <c r="BD414" s="10">
        <v>27.2</v>
      </c>
      <c r="BE414" s="42">
        <v>1011.3</v>
      </c>
      <c r="BF414" s="43">
        <v>58.9</v>
      </c>
      <c r="BG414" s="44"/>
      <c r="BH414" s="71">
        <v>2096</v>
      </c>
      <c r="BI414" s="2" t="s">
        <v>511</v>
      </c>
      <c r="BJ414" s="3" t="s">
        <v>525</v>
      </c>
      <c r="BK414"/>
      <c r="BL414"/>
      <c r="BM414"/>
      <c r="BR414"/>
    </row>
    <row r="415" spans="1:70" ht="15" customHeight="1" x14ac:dyDescent="0.45">
      <c r="A415" s="2" t="s">
        <v>43</v>
      </c>
      <c r="B415" s="54" t="s">
        <v>210</v>
      </c>
      <c r="C415" s="3">
        <v>45330</v>
      </c>
      <c r="D415" s="8">
        <v>5</v>
      </c>
      <c r="E415" s="2" t="s">
        <v>545</v>
      </c>
      <c r="F415" s="4" t="s">
        <v>557</v>
      </c>
      <c r="G415" s="4" t="s">
        <v>578</v>
      </c>
      <c r="H415" s="4" t="s">
        <v>330</v>
      </c>
      <c r="I415" s="7">
        <v>0.17449999999999999</v>
      </c>
      <c r="J415" s="7">
        <v>0.17449999999999999</v>
      </c>
      <c r="K415" s="50">
        <v>3.7000000000000002E-3</v>
      </c>
      <c r="L415" s="7">
        <v>0.17699999999999999</v>
      </c>
      <c r="M415" s="7">
        <v>0.17169999999999999</v>
      </c>
      <c r="N415" s="7">
        <v>-0.48</v>
      </c>
      <c r="O415" s="4"/>
      <c r="P415" s="7">
        <v>1.2144999999999999</v>
      </c>
      <c r="T415" s="7">
        <v>60.7</v>
      </c>
      <c r="U415" s="7">
        <v>510</v>
      </c>
      <c r="V415" s="7">
        <v>755.8</v>
      </c>
      <c r="W415" s="4"/>
      <c r="X415" s="4"/>
      <c r="Y415" s="4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4"/>
      <c r="AX415" s="2"/>
      <c r="AY415" s="7"/>
      <c r="AZ415" s="4"/>
      <c r="BA415" s="4">
        <v>113.4</v>
      </c>
      <c r="BB415" s="2"/>
      <c r="BC415" s="2"/>
      <c r="BD415" s="10">
        <v>27.2</v>
      </c>
      <c r="BE415" s="42">
        <v>1011.3</v>
      </c>
      <c r="BF415" s="43">
        <v>58.9</v>
      </c>
      <c r="BG415" s="44"/>
      <c r="BH415" s="71">
        <v>2096</v>
      </c>
      <c r="BI415" s="2" t="s">
        <v>512</v>
      </c>
      <c r="BJ415" s="3" t="s">
        <v>524</v>
      </c>
      <c r="BK415"/>
      <c r="BL415"/>
      <c r="BM415"/>
      <c r="BR415"/>
    </row>
    <row r="416" spans="1:70" ht="15" customHeight="1" x14ac:dyDescent="0.45">
      <c r="A416" s="2" t="s">
        <v>43</v>
      </c>
      <c r="B416" s="54" t="s">
        <v>210</v>
      </c>
      <c r="C416" s="3">
        <v>45330</v>
      </c>
      <c r="D416" s="8">
        <v>6</v>
      </c>
      <c r="E416" s="2" t="s">
        <v>545</v>
      </c>
      <c r="F416" s="4" t="s">
        <v>509</v>
      </c>
      <c r="G416" s="4" t="s">
        <v>578</v>
      </c>
      <c r="H416" s="4" t="s">
        <v>330</v>
      </c>
      <c r="I416" s="7">
        <v>0.1759</v>
      </c>
      <c r="J416" s="7">
        <v>0.1759</v>
      </c>
      <c r="K416" s="50">
        <v>4.4000000000000003E-3</v>
      </c>
      <c r="L416" s="7">
        <v>0.17599999999999999</v>
      </c>
      <c r="M416" s="7">
        <v>0.17330000000000001</v>
      </c>
      <c r="N416" s="7">
        <v>-0.48</v>
      </c>
      <c r="O416" s="4"/>
      <c r="P416" s="7">
        <v>1.2144999999999999</v>
      </c>
      <c r="T416" s="7">
        <v>61</v>
      </c>
      <c r="U416" s="7">
        <v>521</v>
      </c>
      <c r="V416" s="7">
        <v>755.5</v>
      </c>
      <c r="W416" s="4"/>
      <c r="X416" s="4"/>
      <c r="Y416" s="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4"/>
      <c r="AX416" s="2"/>
      <c r="AY416" s="7"/>
      <c r="AZ416" s="4"/>
      <c r="BA416" s="4">
        <v>120.6</v>
      </c>
      <c r="BB416" s="2"/>
      <c r="BC416" s="2"/>
      <c r="BD416" s="10">
        <v>24</v>
      </c>
      <c r="BE416" s="42">
        <v>1012.8</v>
      </c>
      <c r="BF416" s="43">
        <v>51.7</v>
      </c>
      <c r="BG416" s="44"/>
      <c r="BH416" s="71">
        <v>2096</v>
      </c>
      <c r="BI416" s="2" t="s">
        <v>513</v>
      </c>
      <c r="BJ416" s="3" t="s">
        <v>523</v>
      </c>
      <c r="BK416"/>
      <c r="BL416"/>
      <c r="BM416"/>
      <c r="BR416"/>
    </row>
    <row r="417" spans="1:70" ht="15" customHeight="1" x14ac:dyDescent="0.45">
      <c r="A417" s="2" t="s">
        <v>43</v>
      </c>
      <c r="B417" s="54" t="s">
        <v>46</v>
      </c>
      <c r="C417" s="3">
        <v>45330</v>
      </c>
      <c r="D417" s="8">
        <v>1</v>
      </c>
      <c r="E417" s="2" t="s">
        <v>213</v>
      </c>
      <c r="F417" s="4" t="s">
        <v>557</v>
      </c>
      <c r="G417" s="4" t="s">
        <v>578</v>
      </c>
      <c r="H417" s="4" t="s">
        <v>330</v>
      </c>
      <c r="I417" s="7">
        <v>0.1757</v>
      </c>
      <c r="J417" s="7">
        <v>0.1757</v>
      </c>
      <c r="K417" s="50">
        <v>6.1000000000000004E-3</v>
      </c>
      <c r="L417" s="7"/>
      <c r="M417" s="7">
        <v>0.17480000000000001</v>
      </c>
      <c r="N417" s="7">
        <v>-0.48</v>
      </c>
      <c r="O417" s="4"/>
      <c r="P417" s="7">
        <v>1.2450000000000001</v>
      </c>
      <c r="T417" s="7">
        <v>59.8</v>
      </c>
      <c r="U417" s="7">
        <v>480</v>
      </c>
      <c r="V417" s="7">
        <v>757.3</v>
      </c>
      <c r="W417" s="4"/>
      <c r="X417" s="4"/>
      <c r="Y417" s="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4"/>
      <c r="AX417" s="2"/>
      <c r="AY417" s="7"/>
      <c r="AZ417" s="4"/>
      <c r="BA417" s="4">
        <v>120.6</v>
      </c>
      <c r="BB417" s="2"/>
      <c r="BC417" s="2"/>
      <c r="BD417" s="10">
        <v>24</v>
      </c>
      <c r="BE417" s="42">
        <v>1012.8</v>
      </c>
      <c r="BF417" s="43">
        <v>51.7</v>
      </c>
      <c r="BG417" s="44"/>
      <c r="BH417" s="71">
        <v>2096</v>
      </c>
      <c r="BI417" s="2" t="s">
        <v>514</v>
      </c>
      <c r="BJ417" s="3" t="s">
        <v>538</v>
      </c>
      <c r="BK417"/>
      <c r="BL417"/>
      <c r="BM417"/>
      <c r="BR417"/>
    </row>
    <row r="418" spans="1:70" ht="15" customHeight="1" x14ac:dyDescent="0.45">
      <c r="A418" s="2" t="s">
        <v>43</v>
      </c>
      <c r="B418" s="54" t="s">
        <v>46</v>
      </c>
      <c r="C418" s="3">
        <v>45330</v>
      </c>
      <c r="D418" s="8">
        <v>2</v>
      </c>
      <c r="E418" s="56" t="s">
        <v>213</v>
      </c>
      <c r="F418" s="4" t="s">
        <v>557</v>
      </c>
      <c r="G418" s="4" t="s">
        <v>578</v>
      </c>
      <c r="H418" s="4" t="s">
        <v>330</v>
      </c>
      <c r="I418" s="7">
        <v>0.1764</v>
      </c>
      <c r="J418" s="7">
        <v>0.1764</v>
      </c>
      <c r="K418" s="50">
        <v>1.1000000000000001E-3</v>
      </c>
      <c r="L418" s="7">
        <v>0.17499999999999999</v>
      </c>
      <c r="M418" s="7">
        <v>0.17430000000000001</v>
      </c>
      <c r="N418" s="7">
        <v>-0.41</v>
      </c>
      <c r="O418" s="4"/>
      <c r="P418" s="7">
        <v>1.2450000000000001</v>
      </c>
      <c r="T418" s="7">
        <v>59.3</v>
      </c>
      <c r="U418" s="7">
        <v>481</v>
      </c>
      <c r="V418" s="7">
        <v>756.2</v>
      </c>
      <c r="W418" s="4"/>
      <c r="X418" s="4"/>
      <c r="Y418" s="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4"/>
      <c r="AX418" s="2"/>
      <c r="AY418" s="7"/>
      <c r="AZ418" s="4"/>
      <c r="BA418" s="4">
        <v>120.6</v>
      </c>
      <c r="BB418" s="2"/>
      <c r="BC418" s="2"/>
      <c r="BD418" s="10">
        <v>24</v>
      </c>
      <c r="BE418" s="42">
        <v>1012.3</v>
      </c>
      <c r="BF418" s="43">
        <v>50.9</v>
      </c>
      <c r="BG418" s="44"/>
      <c r="BH418" s="71">
        <v>2096</v>
      </c>
      <c r="BI418" s="2" t="s">
        <v>515</v>
      </c>
      <c r="BJ418" s="3" t="s">
        <v>537</v>
      </c>
      <c r="BK418"/>
      <c r="BL418"/>
      <c r="BM418"/>
      <c r="BR418"/>
    </row>
    <row r="419" spans="1:70" ht="15" customHeight="1" x14ac:dyDescent="0.45">
      <c r="A419" s="2" t="s">
        <v>43</v>
      </c>
      <c r="B419" s="54" t="s">
        <v>46</v>
      </c>
      <c r="C419" s="3">
        <v>45330</v>
      </c>
      <c r="D419" s="8">
        <v>3</v>
      </c>
      <c r="E419" s="2" t="s">
        <v>549</v>
      </c>
      <c r="F419" s="4" t="s">
        <v>557</v>
      </c>
      <c r="G419" s="4" t="s">
        <v>578</v>
      </c>
      <c r="H419" s="4" t="s">
        <v>330</v>
      </c>
      <c r="I419" s="7">
        <v>0.1777</v>
      </c>
      <c r="J419" s="7">
        <v>0.1777</v>
      </c>
      <c r="K419" s="50">
        <v>2.2000000000000001E-3</v>
      </c>
      <c r="L419" s="7">
        <v>0.17299999999999999</v>
      </c>
      <c r="M419" s="7">
        <v>0.17349999999999999</v>
      </c>
      <c r="N419" s="7">
        <v>-0.39</v>
      </c>
      <c r="O419" s="4"/>
      <c r="P419" s="7">
        <v>1.2450000000000001</v>
      </c>
      <c r="T419" s="7">
        <v>59.5</v>
      </c>
      <c r="U419" s="7">
        <v>482</v>
      </c>
      <c r="V419" s="7">
        <v>756.4</v>
      </c>
      <c r="W419" s="4"/>
      <c r="X419" s="4"/>
      <c r="Y419" s="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4"/>
      <c r="AX419" s="2"/>
      <c r="AY419" s="7"/>
      <c r="AZ419" s="4"/>
      <c r="BA419" s="4">
        <v>120.6</v>
      </c>
      <c r="BB419" s="2"/>
      <c r="BC419" s="2"/>
      <c r="BD419" s="10">
        <v>24.1</v>
      </c>
      <c r="BE419" s="42">
        <v>1012</v>
      </c>
      <c r="BF419" s="43">
        <v>50.2</v>
      </c>
      <c r="BG419" s="44"/>
      <c r="BH419" s="71">
        <v>2096</v>
      </c>
      <c r="BI419" s="2" t="s">
        <v>516</v>
      </c>
      <c r="BJ419" s="3" t="s">
        <v>536</v>
      </c>
      <c r="BK419"/>
      <c r="BL419"/>
      <c r="BM419"/>
      <c r="BR419"/>
    </row>
    <row r="420" spans="1:70" ht="15" customHeight="1" x14ac:dyDescent="0.45">
      <c r="A420" s="2" t="s">
        <v>43</v>
      </c>
      <c r="B420" s="54" t="s">
        <v>46</v>
      </c>
      <c r="C420" s="3">
        <v>45330</v>
      </c>
      <c r="D420" s="8">
        <v>4</v>
      </c>
      <c r="E420" s="2" t="s">
        <v>549</v>
      </c>
      <c r="F420" s="4" t="s">
        <v>557</v>
      </c>
      <c r="G420" s="4" t="s">
        <v>578</v>
      </c>
      <c r="H420" s="4" t="s">
        <v>330</v>
      </c>
      <c r="I420" s="7">
        <v>0.18060000000000001</v>
      </c>
      <c r="J420" s="7">
        <v>0.18060000000000001</v>
      </c>
      <c r="K420" s="50">
        <v>3.0999999999999999E-3</v>
      </c>
      <c r="L420" s="7">
        <v>0.17499999999999999</v>
      </c>
      <c r="M420" s="7">
        <v>0.1757</v>
      </c>
      <c r="N420" s="7">
        <v>-0.44</v>
      </c>
      <c r="O420" s="4"/>
      <c r="P420" s="7">
        <v>1.2450000000000001</v>
      </c>
      <c r="T420" s="7">
        <v>60.6</v>
      </c>
      <c r="U420" s="7">
        <v>504</v>
      </c>
      <c r="V420" s="7">
        <v>756.8</v>
      </c>
      <c r="W420" s="4"/>
      <c r="X420" s="4"/>
      <c r="Y420" s="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4"/>
      <c r="AX420" s="2"/>
      <c r="AY420" s="7"/>
      <c r="AZ420" s="4"/>
      <c r="BA420" s="4">
        <v>120.6</v>
      </c>
      <c r="BB420" s="2"/>
      <c r="BC420" s="2"/>
      <c r="BD420" s="10">
        <v>27.2</v>
      </c>
      <c r="BE420" s="42">
        <v>1011.3</v>
      </c>
      <c r="BF420" s="43">
        <v>58.9</v>
      </c>
      <c r="BG420" s="44"/>
      <c r="BH420" s="71">
        <v>2096</v>
      </c>
      <c r="BI420" s="2" t="s">
        <v>517</v>
      </c>
      <c r="BJ420" s="3" t="s">
        <v>535</v>
      </c>
      <c r="BK420"/>
      <c r="BL420"/>
      <c r="BM420"/>
      <c r="BR420"/>
    </row>
    <row r="421" spans="1:70" ht="15" customHeight="1" x14ac:dyDescent="0.45">
      <c r="A421" s="2" t="s">
        <v>43</v>
      </c>
      <c r="B421" s="54" t="s">
        <v>46</v>
      </c>
      <c r="C421" s="3">
        <v>45330</v>
      </c>
      <c r="D421" s="8">
        <v>5</v>
      </c>
      <c r="E421" s="2" t="s">
        <v>549</v>
      </c>
      <c r="F421" s="4" t="s">
        <v>557</v>
      </c>
      <c r="G421" s="4" t="s">
        <v>578</v>
      </c>
      <c r="H421" s="4" t="s">
        <v>518</v>
      </c>
      <c r="I421" s="7">
        <v>0.17330000000000001</v>
      </c>
      <c r="J421" s="7">
        <v>0.17330000000000001</v>
      </c>
      <c r="K421" s="50">
        <v>2.2000000000000001E-3</v>
      </c>
      <c r="L421" s="7">
        <v>0.17100000000000001</v>
      </c>
      <c r="M421" s="7">
        <v>0.16900000000000001</v>
      </c>
      <c r="N421" s="7">
        <v>-0.56999999999999995</v>
      </c>
      <c r="O421" s="4"/>
      <c r="P421" s="7">
        <v>1.2450000000000001</v>
      </c>
      <c r="T421" s="7">
        <v>61.1</v>
      </c>
      <c r="U421" s="7">
        <v>499</v>
      </c>
      <c r="V421" s="7">
        <v>757.1</v>
      </c>
      <c r="W421" s="4"/>
      <c r="X421" s="4"/>
      <c r="Y421" s="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4"/>
      <c r="AX421" s="2"/>
      <c r="AY421" s="7"/>
      <c r="AZ421" s="4"/>
      <c r="BA421" s="4">
        <v>120.6</v>
      </c>
      <c r="BB421" s="2"/>
      <c r="BC421" s="2"/>
      <c r="BD421" s="10">
        <v>27.2</v>
      </c>
      <c r="BE421" s="42">
        <v>1011.3</v>
      </c>
      <c r="BF421" s="43">
        <v>58.9</v>
      </c>
      <c r="BG421" s="44"/>
      <c r="BH421" s="71">
        <v>2096</v>
      </c>
      <c r="BI421" s="2" t="s">
        <v>519</v>
      </c>
      <c r="BJ421" s="3" t="s">
        <v>534</v>
      </c>
      <c r="BK421"/>
      <c r="BL421"/>
      <c r="BM421"/>
      <c r="BR421"/>
    </row>
    <row r="422" spans="1:70" ht="28.5" x14ac:dyDescent="0.45">
      <c r="A422" s="2" t="s">
        <v>13</v>
      </c>
      <c r="B422" s="54" t="s">
        <v>17</v>
      </c>
      <c r="C422" s="3">
        <v>45379</v>
      </c>
      <c r="D422" s="8">
        <v>1</v>
      </c>
      <c r="E422" s="2" t="s">
        <v>550</v>
      </c>
      <c r="F422" s="4" t="s">
        <v>564</v>
      </c>
      <c r="G422" s="4" t="s">
        <v>578</v>
      </c>
      <c r="H422" s="4" t="s">
        <v>378</v>
      </c>
      <c r="I422" s="7">
        <v>0.17080000000000001</v>
      </c>
      <c r="J422" s="7">
        <v>0.17080000000000001</v>
      </c>
      <c r="K422" s="50">
        <v>2.7000000000000001E-3</v>
      </c>
      <c r="L422" s="7"/>
      <c r="M422" s="74">
        <v>0.17130000000000001</v>
      </c>
      <c r="N422" s="7">
        <v>-0.43</v>
      </c>
      <c r="O422" s="4"/>
      <c r="P422" s="7">
        <v>1.2809999999999999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65"/>
      <c r="BF422" s="66"/>
      <c r="BG422" s="67"/>
      <c r="BH422" s="2"/>
      <c r="BI422" s="2"/>
      <c r="BJ422" s="3" t="s">
        <v>612</v>
      </c>
    </row>
    <row r="423" spans="1:70" ht="28.5" x14ac:dyDescent="0.45">
      <c r="A423" s="2" t="s">
        <v>13</v>
      </c>
      <c r="B423" s="54" t="s">
        <v>17</v>
      </c>
      <c r="C423" s="3">
        <v>45379</v>
      </c>
      <c r="D423" s="8">
        <v>2</v>
      </c>
      <c r="E423" s="2" t="s">
        <v>550</v>
      </c>
      <c r="F423" s="4" t="s">
        <v>564</v>
      </c>
      <c r="G423" s="4" t="s">
        <v>600</v>
      </c>
      <c r="H423" s="4" t="s">
        <v>378</v>
      </c>
      <c r="I423" s="7">
        <v>0.16880000000000001</v>
      </c>
      <c r="J423" s="7">
        <v>0.16880000000000001</v>
      </c>
      <c r="K423" s="50">
        <v>1.5E-3</v>
      </c>
      <c r="L423" s="7"/>
      <c r="M423" s="74">
        <v>0.17050000000000001</v>
      </c>
      <c r="N423" s="7">
        <v>-0.46</v>
      </c>
      <c r="O423" s="4"/>
      <c r="P423" s="7">
        <v>1.2809999999999999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65"/>
      <c r="BF423" s="66"/>
      <c r="BG423" s="67"/>
      <c r="BH423" s="2"/>
      <c r="BI423" s="2"/>
      <c r="BJ423" s="38" t="s">
        <v>603</v>
      </c>
    </row>
    <row r="424" spans="1:70" ht="28.5" x14ac:dyDescent="0.45">
      <c r="A424" s="2" t="s">
        <v>13</v>
      </c>
      <c r="B424" s="54" t="s">
        <v>17</v>
      </c>
      <c r="C424" s="3">
        <v>45379</v>
      </c>
      <c r="D424" s="8">
        <v>3</v>
      </c>
      <c r="E424" s="2" t="s">
        <v>550</v>
      </c>
      <c r="F424" s="4" t="s">
        <v>564</v>
      </c>
      <c r="G424" s="4" t="s">
        <v>578</v>
      </c>
      <c r="H424" s="4" t="s">
        <v>378</v>
      </c>
      <c r="I424" s="7">
        <v>0.16819999999999999</v>
      </c>
      <c r="J424" s="7">
        <v>0.16819999999999999</v>
      </c>
      <c r="K424" s="50">
        <v>2.2000000000000001E-3</v>
      </c>
      <c r="L424" s="7"/>
      <c r="M424" s="74">
        <v>0.16919999999999999</v>
      </c>
      <c r="N424" s="7">
        <v>-0.41</v>
      </c>
      <c r="O424" s="4"/>
      <c r="P424" s="7">
        <v>1.2809999999999999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65"/>
      <c r="BF424" s="66"/>
      <c r="BG424" s="67"/>
      <c r="BH424" s="2"/>
      <c r="BI424" s="2"/>
      <c r="BJ424" s="3" t="s">
        <v>604</v>
      </c>
    </row>
    <row r="425" spans="1:70" ht="28.5" x14ac:dyDescent="0.45">
      <c r="A425" s="2" t="s">
        <v>13</v>
      </c>
      <c r="B425" s="54" t="s">
        <v>17</v>
      </c>
      <c r="C425" s="3">
        <v>45379</v>
      </c>
      <c r="D425" s="8">
        <v>4</v>
      </c>
      <c r="E425" s="2" t="s">
        <v>550</v>
      </c>
      <c r="F425" s="4" t="s">
        <v>564</v>
      </c>
      <c r="G425" s="4" t="s">
        <v>600</v>
      </c>
      <c r="H425" s="4" t="s">
        <v>378</v>
      </c>
      <c r="I425" s="7">
        <v>0.1676</v>
      </c>
      <c r="J425" s="7">
        <v>0.1676</v>
      </c>
      <c r="K425" s="50">
        <v>2.3999999999999998E-3</v>
      </c>
      <c r="L425" s="7"/>
      <c r="M425" s="74">
        <v>0.1671</v>
      </c>
      <c r="N425" s="7">
        <v>-0.45</v>
      </c>
      <c r="O425" s="4"/>
      <c r="P425" s="7">
        <v>1.2809999999999999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65"/>
      <c r="BF425" s="66"/>
      <c r="BG425" s="67"/>
      <c r="BH425" s="2"/>
      <c r="BI425" s="2"/>
      <c r="BJ425" s="3" t="s">
        <v>605</v>
      </c>
    </row>
    <row r="426" spans="1:70" ht="28.5" x14ac:dyDescent="0.45">
      <c r="A426" s="2" t="s">
        <v>13</v>
      </c>
      <c r="B426" s="54" t="s">
        <v>17</v>
      </c>
      <c r="C426" s="3">
        <v>45379</v>
      </c>
      <c r="D426" s="8">
        <v>5</v>
      </c>
      <c r="E426" s="2" t="s">
        <v>550</v>
      </c>
      <c r="F426" s="4" t="s">
        <v>564</v>
      </c>
      <c r="G426" s="4" t="s">
        <v>601</v>
      </c>
      <c r="H426" s="4" t="s">
        <v>378</v>
      </c>
      <c r="I426" s="7">
        <v>0.16700000000000001</v>
      </c>
      <c r="J426" s="7">
        <v>0.16700000000000001</v>
      </c>
      <c r="K426" s="50">
        <v>2.0999999999999999E-3</v>
      </c>
      <c r="L426" s="7"/>
      <c r="M426" s="74">
        <v>0.16889999999999999</v>
      </c>
      <c r="N426" s="7">
        <v>-0.43</v>
      </c>
      <c r="O426" s="4"/>
      <c r="P426" s="7">
        <v>1.2809999999999999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65"/>
      <c r="BF426" s="66"/>
      <c r="BG426" s="67"/>
      <c r="BH426" s="2"/>
      <c r="BI426" s="2"/>
      <c r="BJ426" s="3" t="s">
        <v>606</v>
      </c>
    </row>
    <row r="427" spans="1:70" ht="28.5" x14ac:dyDescent="0.45">
      <c r="A427" s="2" t="s">
        <v>13</v>
      </c>
      <c r="B427" s="54" t="s">
        <v>219</v>
      </c>
      <c r="C427" s="3">
        <v>45379</v>
      </c>
      <c r="D427" s="8">
        <v>1</v>
      </c>
      <c r="E427" s="2" t="s">
        <v>596</v>
      </c>
      <c r="F427" s="4" t="s">
        <v>354</v>
      </c>
      <c r="G427" s="4" t="s">
        <v>578</v>
      </c>
      <c r="H427" s="4" t="s">
        <v>575</v>
      </c>
      <c r="I427" s="7">
        <v>0.19359999999999999</v>
      </c>
      <c r="J427" s="7">
        <v>0.19359999999999999</v>
      </c>
      <c r="K427" s="50">
        <v>3.8E-3</v>
      </c>
      <c r="L427" s="74">
        <v>0.191</v>
      </c>
      <c r="M427" s="74">
        <v>0.19320000000000001</v>
      </c>
      <c r="N427" s="7">
        <v>-0.44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65"/>
      <c r="BF427" s="66"/>
      <c r="BG427" s="67"/>
      <c r="BH427" s="2"/>
      <c r="BI427" s="2"/>
      <c r="BJ427" s="3" t="s">
        <v>602</v>
      </c>
    </row>
    <row r="428" spans="1:70" ht="28.5" x14ac:dyDescent="0.45">
      <c r="A428" s="2" t="s">
        <v>13</v>
      </c>
      <c r="B428" s="54" t="s">
        <v>219</v>
      </c>
      <c r="C428" s="3">
        <v>45379</v>
      </c>
      <c r="D428" s="8">
        <v>2</v>
      </c>
      <c r="E428" s="2" t="s">
        <v>448</v>
      </c>
      <c r="F428" s="4" t="s">
        <v>354</v>
      </c>
      <c r="G428" s="4" t="s">
        <v>578</v>
      </c>
      <c r="H428" s="4" t="s">
        <v>575</v>
      </c>
      <c r="I428" s="7">
        <v>0.17957999999999999</v>
      </c>
      <c r="J428" s="7">
        <v>0.18920000000000001</v>
      </c>
      <c r="K428" s="50">
        <v>5.0000000000000001E-3</v>
      </c>
      <c r="L428" s="74">
        <v>0.17849999999999999</v>
      </c>
      <c r="M428" s="74">
        <v>0.19009999999999999</v>
      </c>
      <c r="N428" s="7">
        <v>-0.02</v>
      </c>
      <c r="O428" s="4"/>
      <c r="P428" s="7">
        <v>1.3065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65"/>
      <c r="BF428" s="66"/>
      <c r="BG428" s="67"/>
      <c r="BH428" s="2"/>
      <c r="BI428" s="2"/>
      <c r="BJ428" s="3" t="s">
        <v>607</v>
      </c>
    </row>
    <row r="429" spans="1:70" ht="28.5" x14ac:dyDescent="0.45">
      <c r="A429" s="2" t="s">
        <v>13</v>
      </c>
      <c r="B429" s="54" t="s">
        <v>219</v>
      </c>
      <c r="C429" s="3">
        <v>45379</v>
      </c>
      <c r="D429" s="8">
        <v>3</v>
      </c>
      <c r="E429" s="2" t="s">
        <v>597</v>
      </c>
      <c r="F429" s="4" t="s">
        <v>354</v>
      </c>
      <c r="G429" s="4" t="s">
        <v>578</v>
      </c>
      <c r="H429" s="4" t="s">
        <v>575</v>
      </c>
      <c r="I429" s="7">
        <v>0.17510000000000001</v>
      </c>
      <c r="J429" s="7">
        <v>0.188</v>
      </c>
      <c r="K429" s="50">
        <v>2.3E-3</v>
      </c>
      <c r="L429" s="74">
        <v>0.17299999999999999</v>
      </c>
      <c r="M429" s="74">
        <v>0.18870000000000001</v>
      </c>
      <c r="N429" s="7">
        <v>0.16</v>
      </c>
      <c r="O429" s="4"/>
      <c r="P429" s="7">
        <v>1.3065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65"/>
      <c r="BF429" s="66"/>
      <c r="BG429" s="67"/>
      <c r="BH429" s="2"/>
      <c r="BI429" s="2"/>
      <c r="BJ429" s="3" t="s">
        <v>608</v>
      </c>
    </row>
    <row r="430" spans="1:70" ht="28.5" x14ac:dyDescent="0.45">
      <c r="A430" s="2" t="s">
        <v>13</v>
      </c>
      <c r="B430" s="54" t="s">
        <v>219</v>
      </c>
      <c r="C430" s="3">
        <v>45379</v>
      </c>
      <c r="D430" s="8">
        <v>4</v>
      </c>
      <c r="E430" s="2" t="s">
        <v>596</v>
      </c>
      <c r="F430" s="4" t="s">
        <v>354</v>
      </c>
      <c r="G430" s="4" t="s">
        <v>578</v>
      </c>
      <c r="H430" s="4" t="s">
        <v>575</v>
      </c>
      <c r="I430" s="7">
        <v>0.19370000000000001</v>
      </c>
      <c r="J430" s="7">
        <v>0.19370000000000001</v>
      </c>
      <c r="K430" s="50">
        <v>1.8E-3</v>
      </c>
      <c r="L430" s="74">
        <v>0.1875</v>
      </c>
      <c r="M430" s="74">
        <v>0.19109999999999999</v>
      </c>
      <c r="N430" s="7">
        <v>-0.53</v>
      </c>
      <c r="O430" s="4"/>
      <c r="P430" s="7">
        <v>1.3065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65"/>
      <c r="BF430" s="66"/>
      <c r="BG430" s="67"/>
      <c r="BH430" s="2"/>
      <c r="BI430" s="2"/>
      <c r="BJ430" s="3" t="s">
        <v>609</v>
      </c>
    </row>
    <row r="431" spans="1:70" ht="28.5" x14ac:dyDescent="0.45">
      <c r="A431" s="2" t="s">
        <v>13</v>
      </c>
      <c r="B431" s="54" t="s">
        <v>219</v>
      </c>
      <c r="C431" s="3">
        <v>45379</v>
      </c>
      <c r="D431" s="8">
        <v>5</v>
      </c>
      <c r="E431" s="2" t="s">
        <v>448</v>
      </c>
      <c r="F431" s="4" t="s">
        <v>354</v>
      </c>
      <c r="G431" s="4" t="s">
        <v>578</v>
      </c>
      <c r="H431" s="4" t="s">
        <v>575</v>
      </c>
      <c r="I431" s="7">
        <v>0.18129999999999999</v>
      </c>
      <c r="J431" s="7">
        <v>0.19089999999999999</v>
      </c>
      <c r="K431" s="50">
        <v>4.4999999999999997E-3</v>
      </c>
      <c r="L431" s="74">
        <v>0.18149999999999999</v>
      </c>
      <c r="M431" s="74">
        <v>0.18870000000000001</v>
      </c>
      <c r="N431" s="7">
        <v>0.01</v>
      </c>
      <c r="O431" s="4"/>
      <c r="P431" s="7">
        <v>1.3065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65"/>
      <c r="BF431" s="66"/>
      <c r="BG431" s="67"/>
      <c r="BH431" s="2"/>
      <c r="BI431" s="2"/>
      <c r="BJ431" s="3" t="s">
        <v>610</v>
      </c>
    </row>
    <row r="432" spans="1:70" ht="28.5" x14ac:dyDescent="0.45">
      <c r="A432" s="2" t="s">
        <v>13</v>
      </c>
      <c r="B432" s="54" t="s">
        <v>219</v>
      </c>
      <c r="C432" s="3">
        <v>45379</v>
      </c>
      <c r="D432" s="8">
        <v>6</v>
      </c>
      <c r="E432" s="2" t="s">
        <v>597</v>
      </c>
      <c r="F432" s="4" t="s">
        <v>354</v>
      </c>
      <c r="G432" s="4" t="s">
        <v>578</v>
      </c>
      <c r="H432" s="4" t="s">
        <v>575</v>
      </c>
      <c r="I432" s="7">
        <v>0.1726</v>
      </c>
      <c r="J432" s="7">
        <v>0.1855</v>
      </c>
      <c r="K432" s="50">
        <v>4.5999999999999999E-3</v>
      </c>
      <c r="L432" s="74">
        <v>0.17199999999999999</v>
      </c>
      <c r="M432" s="74">
        <v>0.18629999999999999</v>
      </c>
      <c r="N432" s="7">
        <v>0.16</v>
      </c>
      <c r="O432" s="4"/>
      <c r="P432" s="7">
        <v>1.3065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65"/>
      <c r="BF432" s="66"/>
      <c r="BG432" s="67"/>
      <c r="BH432" s="2"/>
      <c r="BI432" s="2"/>
      <c r="BJ432" s="3" t="s">
        <v>611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545</v>
      </c>
      <c r="F433" s="4" t="s">
        <v>354</v>
      </c>
      <c r="G433" s="4" t="s">
        <v>578</v>
      </c>
      <c r="H433" s="4" t="s">
        <v>223</v>
      </c>
      <c r="I433" s="7">
        <v>0.14879999999999999</v>
      </c>
      <c r="J433" s="7">
        <v>0.14879999999999999</v>
      </c>
      <c r="K433" s="50">
        <v>2.5999999999999999E-3</v>
      </c>
      <c r="L433" s="74">
        <v>0.161</v>
      </c>
      <c r="M433" s="74">
        <v>0.15440000000000001</v>
      </c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65"/>
      <c r="BF433" s="66"/>
      <c r="BG433" s="67"/>
      <c r="BH433" s="2"/>
      <c r="BI433" s="2"/>
      <c r="BJ433" s="3" t="s">
        <v>619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214</v>
      </c>
      <c r="F434" s="4" t="s">
        <v>354</v>
      </c>
      <c r="G434" s="4" t="s">
        <v>578</v>
      </c>
      <c r="H434" s="4" t="s">
        <v>223</v>
      </c>
      <c r="I434" s="7">
        <v>0.1484</v>
      </c>
      <c r="J434" s="7">
        <v>0.14749999999999999</v>
      </c>
      <c r="K434" s="50">
        <v>3.0000000000000001E-3</v>
      </c>
      <c r="L434" s="74">
        <v>0.1585</v>
      </c>
      <c r="M434" s="74">
        <v>0.1492</v>
      </c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65"/>
      <c r="BF434" s="66"/>
      <c r="BG434" s="67"/>
      <c r="BH434" s="2"/>
      <c r="BI434" s="2"/>
      <c r="BJ434" s="3" t="s">
        <v>620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598</v>
      </c>
      <c r="F435" s="4" t="s">
        <v>354</v>
      </c>
      <c r="G435" s="4" t="s">
        <v>578</v>
      </c>
      <c r="H435" s="4" t="s">
        <v>223</v>
      </c>
      <c r="I435" s="7">
        <v>0.1459</v>
      </c>
      <c r="J435" s="7">
        <v>0.14799999999999999</v>
      </c>
      <c r="K435" s="50">
        <v>4.5999999999999999E-3</v>
      </c>
      <c r="L435" s="74">
        <v>0.153</v>
      </c>
      <c r="M435" s="74">
        <v>0.1497</v>
      </c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65"/>
      <c r="BF435" s="66"/>
      <c r="BG435" s="67"/>
      <c r="BH435" s="2"/>
      <c r="BI435" s="2"/>
      <c r="BJ435" s="3" t="s">
        <v>621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545</v>
      </c>
      <c r="F436" s="4" t="s">
        <v>354</v>
      </c>
      <c r="G436" s="4" t="s">
        <v>578</v>
      </c>
      <c r="H436" s="4" t="s">
        <v>223</v>
      </c>
      <c r="I436" s="48"/>
      <c r="J436" s="48"/>
      <c r="K436" s="51"/>
      <c r="L436" s="74">
        <v>0.1575</v>
      </c>
      <c r="M436" s="74">
        <v>0.1507</v>
      </c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65"/>
      <c r="BF436" s="66"/>
      <c r="BG436" s="67"/>
      <c r="BH436" s="2"/>
      <c r="BI436" s="2"/>
      <c r="BJ436" s="3" t="s">
        <v>622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2" t="s">
        <v>214</v>
      </c>
      <c r="F437" s="4" t="s">
        <v>354</v>
      </c>
      <c r="G437" s="4" t="s">
        <v>578</v>
      </c>
      <c r="H437" s="4" t="s">
        <v>223</v>
      </c>
      <c r="I437" s="7">
        <v>0.14940000000000001</v>
      </c>
      <c r="J437" s="7">
        <v>0.14849999999999999</v>
      </c>
      <c r="K437" s="50">
        <v>2.5000000000000001E-3</v>
      </c>
      <c r="L437" s="74">
        <v>0.1565</v>
      </c>
      <c r="M437" s="74">
        <v>0.15029999999999999</v>
      </c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65"/>
      <c r="BF437" s="66"/>
      <c r="BG437" s="67"/>
      <c r="BH437" s="2"/>
      <c r="BI437" s="2"/>
      <c r="BJ437" s="3" t="s">
        <v>623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598</v>
      </c>
      <c r="F438" s="4" t="s">
        <v>354</v>
      </c>
      <c r="G438" s="4" t="s">
        <v>578</v>
      </c>
      <c r="H438" s="4" t="s">
        <v>223</v>
      </c>
      <c r="I438" s="7">
        <v>0.1482</v>
      </c>
      <c r="J438" s="7">
        <v>0.15029999999999999</v>
      </c>
      <c r="K438" s="50">
        <v>2.2000000000000001E-3</v>
      </c>
      <c r="L438" s="74">
        <v>0.155</v>
      </c>
      <c r="M438" s="74">
        <v>0.15029999999999999</v>
      </c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65"/>
      <c r="BF438" s="66"/>
      <c r="BG438" s="67"/>
      <c r="BH438" s="2"/>
      <c r="BI438" s="2"/>
      <c r="BJ438" s="3" t="s">
        <v>624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550</v>
      </c>
      <c r="F439" s="4" t="s">
        <v>354</v>
      </c>
      <c r="G439" s="4" t="s">
        <v>578</v>
      </c>
      <c r="H439" s="4" t="s">
        <v>223</v>
      </c>
      <c r="I439" s="7">
        <v>0.14929999999999999</v>
      </c>
      <c r="J439" s="7">
        <v>0.14910000000000001</v>
      </c>
      <c r="K439" s="50">
        <v>2.8999999999999998E-3</v>
      </c>
      <c r="L439" s="74">
        <v>0.1525</v>
      </c>
      <c r="M439" s="74">
        <v>0.152</v>
      </c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65"/>
      <c r="BF439" s="66"/>
      <c r="BG439" s="67"/>
      <c r="BH439" s="2"/>
      <c r="BI439" s="2"/>
      <c r="BJ439" s="3" t="s">
        <v>625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550</v>
      </c>
      <c r="F440" s="4" t="s">
        <v>354</v>
      </c>
      <c r="G440" s="4" t="s">
        <v>578</v>
      </c>
      <c r="H440" s="4" t="s">
        <v>572</v>
      </c>
      <c r="I440" s="7">
        <v>0.15160000000000001</v>
      </c>
      <c r="J440" s="7">
        <v>0.15160000000000001</v>
      </c>
      <c r="K440" s="50">
        <v>1.6000000000000001E-3</v>
      </c>
      <c r="L440" s="74">
        <v>0.1595</v>
      </c>
      <c r="M440" s="74">
        <v>0.15140000000000001</v>
      </c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65"/>
      <c r="BF440" s="66"/>
      <c r="BG440" s="67"/>
      <c r="BH440" s="2"/>
      <c r="BI440" s="2"/>
      <c r="BJ440" s="3" t="s">
        <v>626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2" t="s">
        <v>549</v>
      </c>
      <c r="F441" s="4" t="s">
        <v>216</v>
      </c>
      <c r="G441" s="4" t="s">
        <v>601</v>
      </c>
      <c r="H441" s="4" t="s">
        <v>572</v>
      </c>
      <c r="I441" s="7">
        <v>0.16769999999999999</v>
      </c>
      <c r="J441" s="7">
        <v>0.16769999999999999</v>
      </c>
      <c r="K441" s="50">
        <v>4.1000000000000003E-3</v>
      </c>
      <c r="L441" s="7"/>
      <c r="M441" s="74">
        <v>0.1661</v>
      </c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65"/>
      <c r="BF441" s="66"/>
      <c r="BG441" s="67"/>
      <c r="BH441" s="2"/>
      <c r="BI441" s="2"/>
      <c r="BJ441" s="3" t="s">
        <v>627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550</v>
      </c>
      <c r="F442" s="4" t="s">
        <v>216</v>
      </c>
      <c r="G442" s="4" t="s">
        <v>601</v>
      </c>
      <c r="H442" s="4" t="s">
        <v>572</v>
      </c>
      <c r="I442" s="7">
        <v>0.1681</v>
      </c>
      <c r="J442" s="7">
        <v>0.1681</v>
      </c>
      <c r="K442" s="50">
        <v>2.5999999999999999E-3</v>
      </c>
      <c r="L442" s="7"/>
      <c r="M442" s="74">
        <v>0.1661</v>
      </c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65"/>
      <c r="BF442" s="66"/>
      <c r="BG442" s="67"/>
      <c r="BH442" s="2"/>
      <c r="BI442" s="2"/>
      <c r="BJ442" s="3" t="s">
        <v>613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549</v>
      </c>
      <c r="F443" s="4" t="s">
        <v>216</v>
      </c>
      <c r="G443" s="4" t="s">
        <v>600</v>
      </c>
      <c r="H443" s="4" t="s">
        <v>572</v>
      </c>
      <c r="I443" s="7">
        <v>0.16489999999999999</v>
      </c>
      <c r="J443" s="7">
        <v>0.16489999999999999</v>
      </c>
      <c r="K443" s="50">
        <v>3.7000000000000002E-3</v>
      </c>
      <c r="L443" s="7"/>
      <c r="M443" s="74">
        <v>0.16539999999999999</v>
      </c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65"/>
      <c r="BF443" s="66"/>
      <c r="BG443" s="67"/>
      <c r="BH443" s="2"/>
      <c r="BI443" s="2"/>
      <c r="BJ443" s="3" t="s">
        <v>614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549</v>
      </c>
      <c r="F444" s="4" t="s">
        <v>216</v>
      </c>
      <c r="G444" s="4" t="s">
        <v>601</v>
      </c>
      <c r="H444" s="4" t="s">
        <v>572</v>
      </c>
      <c r="I444" s="7">
        <v>0.16930000000000001</v>
      </c>
      <c r="J444" s="7">
        <v>0.16930000000000001</v>
      </c>
      <c r="K444" s="50">
        <v>4.4999999999999997E-3</v>
      </c>
      <c r="L444" s="7"/>
      <c r="M444" s="74">
        <v>0.16489999999999999</v>
      </c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65"/>
      <c r="BF444" s="66"/>
      <c r="BG444" s="67"/>
      <c r="BH444" s="2"/>
      <c r="BI444" s="2"/>
      <c r="BJ444" s="3" t="s">
        <v>615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550</v>
      </c>
      <c r="F445" s="4" t="s">
        <v>216</v>
      </c>
      <c r="G445" s="4" t="s">
        <v>601</v>
      </c>
      <c r="H445" s="4" t="s">
        <v>572</v>
      </c>
      <c r="I445" s="7">
        <v>0.1686</v>
      </c>
      <c r="J445" s="7">
        <v>0.1686</v>
      </c>
      <c r="K445" s="50">
        <v>3.0000000000000001E-3</v>
      </c>
      <c r="L445" s="7"/>
      <c r="M445" s="74">
        <v>0.16739999999999999</v>
      </c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65"/>
      <c r="BF445" s="66"/>
      <c r="BG445" s="67"/>
      <c r="BH445" s="2"/>
      <c r="BI445" s="2"/>
      <c r="BJ445" s="3" t="s">
        <v>616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549</v>
      </c>
      <c r="F446" s="4" t="s">
        <v>216</v>
      </c>
      <c r="G446" s="4" t="s">
        <v>600</v>
      </c>
      <c r="H446" s="4" t="s">
        <v>572</v>
      </c>
      <c r="I446" s="7">
        <v>0.16450000000000001</v>
      </c>
      <c r="J446" s="7">
        <v>0.16450000000000001</v>
      </c>
      <c r="K446" s="50">
        <v>2.5999999999999999E-3</v>
      </c>
      <c r="L446" s="7"/>
      <c r="M446" s="74">
        <v>0.16350000000000001</v>
      </c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65"/>
      <c r="BF446" s="66"/>
      <c r="BG446" s="67"/>
      <c r="BH446" s="2"/>
      <c r="BI446" s="2"/>
      <c r="BJ446" s="3" t="s">
        <v>617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599</v>
      </c>
      <c r="F447" s="4" t="s">
        <v>216</v>
      </c>
      <c r="G447" s="4" t="s">
        <v>601</v>
      </c>
      <c r="H447" s="4" t="s">
        <v>572</v>
      </c>
      <c r="I447" s="7">
        <v>0.17499999999999999</v>
      </c>
      <c r="J447" s="7">
        <v>0.17499999999999999</v>
      </c>
      <c r="K447" s="50">
        <v>1.9E-3</v>
      </c>
      <c r="L447" s="7"/>
      <c r="M447" s="74">
        <v>0.1744</v>
      </c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68"/>
      <c r="BF447" s="69"/>
      <c r="BG447" s="70"/>
      <c r="BH447" s="2"/>
      <c r="BI447" s="2"/>
      <c r="BJ447" s="3" t="s">
        <v>618</v>
      </c>
    </row>
    <row r="448" spans="1:62" x14ac:dyDescent="0.45">
      <c r="A448" s="75" t="s">
        <v>628</v>
      </c>
      <c r="B448" s="76" t="s">
        <v>629</v>
      </c>
      <c r="C448" s="77">
        <v>45384</v>
      </c>
      <c r="D448" s="78">
        <v>1</v>
      </c>
      <c r="E448" s="2" t="s">
        <v>22</v>
      </c>
      <c r="F448" s="85" t="s">
        <v>633</v>
      </c>
      <c r="G448" s="4"/>
      <c r="H448" s="4"/>
      <c r="I448" s="7"/>
      <c r="K448" s="50"/>
      <c r="L448" s="7"/>
      <c r="M448" s="74">
        <v>0.2175</v>
      </c>
      <c r="O448" s="4"/>
      <c r="W448" s="4"/>
      <c r="X448" s="4"/>
      <c r="Y448" s="4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4"/>
      <c r="AX448" s="2"/>
      <c r="AY448" s="7"/>
      <c r="AZ448" s="4"/>
      <c r="BA448" s="4"/>
      <c r="BB448" s="2"/>
      <c r="BC448" s="2"/>
      <c r="BD448" s="2"/>
      <c r="BE448" s="79"/>
      <c r="BF448" s="80"/>
      <c r="BG448" s="81"/>
      <c r="BH448" s="2"/>
      <c r="BI448" s="2"/>
      <c r="BJ448" s="3"/>
    </row>
    <row r="449" spans="1:62" x14ac:dyDescent="0.45">
      <c r="A449" s="75" t="s">
        <v>628</v>
      </c>
      <c r="B449" s="76" t="s">
        <v>629</v>
      </c>
      <c r="C449" s="77">
        <v>45384</v>
      </c>
      <c r="D449" s="78">
        <v>2</v>
      </c>
      <c r="E449" s="2" t="s">
        <v>22</v>
      </c>
      <c r="F449" s="85" t="s">
        <v>634</v>
      </c>
      <c r="G449" s="4"/>
      <c r="H449" s="4"/>
      <c r="I449" s="7"/>
      <c r="K449" s="50"/>
      <c r="L449" s="7"/>
      <c r="M449" s="74">
        <v>0.20380000000000001</v>
      </c>
      <c r="O449" s="4"/>
      <c r="W449" s="4"/>
      <c r="X449" s="4"/>
      <c r="Y449" s="4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4"/>
      <c r="AX449" s="2"/>
      <c r="AY449" s="7"/>
      <c r="AZ449" s="4"/>
      <c r="BA449" s="4"/>
      <c r="BB449" s="2"/>
      <c r="BC449" s="2"/>
      <c r="BD449" s="2"/>
      <c r="BE449" s="79"/>
      <c r="BF449" s="80"/>
      <c r="BG449" s="81"/>
      <c r="BH449" s="2"/>
      <c r="BI449" s="2"/>
      <c r="BJ449" s="3"/>
    </row>
    <row r="450" spans="1:62" x14ac:dyDescent="0.45">
      <c r="A450" s="75" t="s">
        <v>628</v>
      </c>
      <c r="B450" s="76" t="s">
        <v>629</v>
      </c>
      <c r="C450" s="77">
        <v>45384</v>
      </c>
      <c r="D450" s="78">
        <v>3</v>
      </c>
      <c r="E450" s="2" t="s">
        <v>22</v>
      </c>
      <c r="F450" s="85" t="s">
        <v>633</v>
      </c>
      <c r="G450" s="4"/>
      <c r="H450" s="4"/>
      <c r="I450" s="7"/>
      <c r="K450" s="50"/>
      <c r="L450" s="7"/>
      <c r="M450" s="74">
        <v>0.2177</v>
      </c>
      <c r="O450" s="4"/>
      <c r="W450" s="4"/>
      <c r="X450" s="4"/>
      <c r="Y450" s="4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4"/>
      <c r="AX450" s="2"/>
      <c r="AY450" s="7"/>
      <c r="AZ450" s="4"/>
      <c r="BA450" s="4"/>
      <c r="BB450" s="2"/>
      <c r="BC450" s="2"/>
      <c r="BD450" s="2"/>
      <c r="BE450" s="79"/>
      <c r="BF450" s="80"/>
      <c r="BG450" s="81"/>
      <c r="BH450" s="2"/>
      <c r="BI450" s="2"/>
      <c r="BJ450" s="3"/>
    </row>
    <row r="451" spans="1:62" x14ac:dyDescent="0.45">
      <c r="A451" s="75" t="s">
        <v>628</v>
      </c>
      <c r="B451" s="76" t="s">
        <v>629</v>
      </c>
      <c r="C451" s="77">
        <v>45384</v>
      </c>
      <c r="D451" s="78">
        <v>4</v>
      </c>
      <c r="E451" s="2" t="s">
        <v>22</v>
      </c>
      <c r="F451" s="85" t="s">
        <v>634</v>
      </c>
      <c r="G451" s="4"/>
      <c r="H451" s="4"/>
      <c r="I451" s="7"/>
      <c r="K451" s="50"/>
      <c r="L451" s="7"/>
      <c r="M451" s="74">
        <v>0.21099999999999999</v>
      </c>
      <c r="O451" s="4"/>
      <c r="W451" s="4"/>
      <c r="X451" s="4"/>
      <c r="Y451" s="4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4"/>
      <c r="AX451" s="2"/>
      <c r="AY451" s="7"/>
      <c r="AZ451" s="4"/>
      <c r="BA451" s="4"/>
      <c r="BB451" s="2"/>
      <c r="BC451" s="2"/>
      <c r="BD451" s="2"/>
      <c r="BE451" s="79"/>
      <c r="BF451" s="80"/>
      <c r="BG451" s="81"/>
      <c r="BH451" s="2"/>
      <c r="BI451" s="2"/>
      <c r="BJ451" s="3"/>
    </row>
    <row r="452" spans="1:62" x14ac:dyDescent="0.45">
      <c r="A452" s="75" t="s">
        <v>628</v>
      </c>
      <c r="B452" s="76" t="s">
        <v>630</v>
      </c>
      <c r="C452" s="77">
        <v>45384</v>
      </c>
      <c r="D452" s="78">
        <v>1</v>
      </c>
      <c r="E452" s="2" t="s">
        <v>22</v>
      </c>
      <c r="F452" s="85" t="s">
        <v>633</v>
      </c>
      <c r="G452" s="4"/>
      <c r="H452" s="4"/>
      <c r="I452" s="7"/>
      <c r="K452" s="50"/>
      <c r="L452" s="7"/>
      <c r="M452" s="74">
        <v>0.18440000000000001</v>
      </c>
      <c r="O452" s="4"/>
      <c r="W452" s="4"/>
      <c r="X452" s="4"/>
      <c r="Y452" s="4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4"/>
      <c r="AX452" s="2"/>
      <c r="AY452" s="7"/>
      <c r="AZ452" s="4"/>
      <c r="BA452" s="4"/>
      <c r="BB452" s="2"/>
      <c r="BC452" s="2"/>
      <c r="BD452" s="2"/>
      <c r="BE452" s="79"/>
      <c r="BF452" s="80"/>
      <c r="BG452" s="81"/>
      <c r="BH452" s="2"/>
      <c r="BI452" s="2"/>
      <c r="BJ452" s="3"/>
    </row>
    <row r="453" spans="1:62" x14ac:dyDescent="0.45">
      <c r="A453" s="75" t="s">
        <v>628</v>
      </c>
      <c r="B453" s="76" t="s">
        <v>630</v>
      </c>
      <c r="C453" s="77">
        <v>45384</v>
      </c>
      <c r="D453" s="78">
        <v>2</v>
      </c>
      <c r="E453" s="2" t="s">
        <v>22</v>
      </c>
      <c r="F453" s="85" t="s">
        <v>634</v>
      </c>
      <c r="G453" s="4"/>
      <c r="H453" s="4"/>
      <c r="I453" s="7"/>
      <c r="K453" s="50"/>
      <c r="L453" s="7"/>
      <c r="M453" s="74">
        <v>0.1862</v>
      </c>
      <c r="O453" s="4"/>
      <c r="W453" s="4"/>
      <c r="X453" s="4"/>
      <c r="Y453" s="4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4"/>
      <c r="AX453" s="2"/>
      <c r="AY453" s="7"/>
      <c r="AZ453" s="4"/>
      <c r="BA453" s="4"/>
      <c r="BB453" s="2"/>
      <c r="BC453" s="2"/>
      <c r="BD453" s="2"/>
      <c r="BE453" s="79"/>
      <c r="BF453" s="80"/>
      <c r="BG453" s="81"/>
      <c r="BH453" s="2"/>
      <c r="BI453" s="2"/>
      <c r="BJ453" s="3"/>
    </row>
    <row r="454" spans="1:62" x14ac:dyDescent="0.45">
      <c r="A454" s="75" t="s">
        <v>628</v>
      </c>
      <c r="B454" s="76" t="s">
        <v>630</v>
      </c>
      <c r="C454" s="77">
        <v>45384</v>
      </c>
      <c r="D454" s="78">
        <v>3</v>
      </c>
      <c r="E454" s="2" t="s">
        <v>22</v>
      </c>
      <c r="F454" s="85" t="s">
        <v>633</v>
      </c>
      <c r="G454" s="4"/>
      <c r="H454" s="4"/>
      <c r="I454" s="7"/>
      <c r="K454" s="50"/>
      <c r="L454" s="7"/>
      <c r="M454" s="74">
        <v>0.1883</v>
      </c>
      <c r="O454" s="4"/>
      <c r="W454" s="4"/>
      <c r="X454" s="4"/>
      <c r="Y454" s="4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4"/>
      <c r="AX454" s="2"/>
      <c r="AY454" s="7"/>
      <c r="AZ454" s="4"/>
      <c r="BA454" s="4"/>
      <c r="BB454" s="2"/>
      <c r="BC454" s="2"/>
      <c r="BD454" s="2"/>
      <c r="BE454" s="79"/>
      <c r="BF454" s="80"/>
      <c r="BG454" s="81"/>
      <c r="BH454" s="2"/>
      <c r="BI454" s="2"/>
      <c r="BJ454" s="3"/>
    </row>
    <row r="455" spans="1:62" x14ac:dyDescent="0.45">
      <c r="A455" s="75" t="s">
        <v>628</v>
      </c>
      <c r="B455" s="76" t="s">
        <v>630</v>
      </c>
      <c r="C455" s="77">
        <v>45384</v>
      </c>
      <c r="D455" s="78">
        <v>4</v>
      </c>
      <c r="E455" s="2" t="s">
        <v>22</v>
      </c>
      <c r="F455" s="85" t="s">
        <v>634</v>
      </c>
      <c r="G455" s="4"/>
      <c r="H455" s="4"/>
      <c r="I455" s="7"/>
      <c r="K455" s="50"/>
      <c r="L455" s="7"/>
      <c r="M455" s="74">
        <v>0.19539999999999999</v>
      </c>
      <c r="O455" s="4"/>
      <c r="W455" s="4"/>
      <c r="X455" s="4"/>
      <c r="Y455" s="4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4"/>
      <c r="AX455" s="2"/>
      <c r="AY455" s="7"/>
      <c r="AZ455" s="4"/>
      <c r="BA455" s="4"/>
      <c r="BB455" s="2"/>
      <c r="BC455" s="2"/>
      <c r="BD455" s="2"/>
      <c r="BE455" s="79"/>
      <c r="BF455" s="80"/>
      <c r="BG455" s="81"/>
      <c r="BH455" s="2"/>
      <c r="BI455" s="2"/>
      <c r="BJ455" s="3"/>
    </row>
    <row r="456" spans="1:62" x14ac:dyDescent="0.45">
      <c r="A456" s="75" t="s">
        <v>628</v>
      </c>
      <c r="B456" s="76" t="s">
        <v>631</v>
      </c>
      <c r="C456" s="77">
        <v>45384</v>
      </c>
      <c r="D456" s="78">
        <v>1</v>
      </c>
      <c r="E456" s="2" t="s">
        <v>22</v>
      </c>
      <c r="F456" s="85" t="s">
        <v>633</v>
      </c>
      <c r="G456" s="4"/>
      <c r="H456" s="4"/>
      <c r="I456" s="7"/>
      <c r="K456" s="50"/>
      <c r="L456" s="7"/>
      <c r="M456" s="74">
        <v>0.22670000000000001</v>
      </c>
      <c r="O456" s="4"/>
      <c r="W456" s="4"/>
      <c r="X456" s="4"/>
      <c r="Y456" s="4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4"/>
      <c r="AX456" s="2"/>
      <c r="AY456" s="7"/>
      <c r="AZ456" s="4"/>
      <c r="BA456" s="4"/>
      <c r="BB456" s="2"/>
      <c r="BC456" s="2"/>
      <c r="BD456" s="2"/>
      <c r="BE456" s="79"/>
      <c r="BF456" s="80"/>
      <c r="BG456" s="81"/>
      <c r="BH456" s="2"/>
      <c r="BI456" s="2"/>
      <c r="BJ456" s="3"/>
    </row>
    <row r="457" spans="1:62" x14ac:dyDescent="0.45">
      <c r="A457" s="75" t="s">
        <v>628</v>
      </c>
      <c r="B457" s="76" t="s">
        <v>631</v>
      </c>
      <c r="C457" s="77">
        <v>45384</v>
      </c>
      <c r="D457" s="78">
        <v>2</v>
      </c>
      <c r="E457" s="2" t="s">
        <v>22</v>
      </c>
      <c r="F457" s="85" t="s">
        <v>634</v>
      </c>
      <c r="G457" s="4"/>
      <c r="H457" s="4"/>
      <c r="I457" s="7"/>
      <c r="K457" s="50"/>
      <c r="L457" s="7"/>
      <c r="M457" s="74">
        <v>0.1993</v>
      </c>
      <c r="O457" s="4"/>
      <c r="W457" s="4"/>
      <c r="X457" s="4"/>
      <c r="Y457" s="4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4"/>
      <c r="AX457" s="2"/>
      <c r="AY457" s="7"/>
      <c r="AZ457" s="4"/>
      <c r="BA457" s="4"/>
      <c r="BB457" s="2"/>
      <c r="BC457" s="2"/>
      <c r="BD457" s="2"/>
      <c r="BE457" s="79"/>
      <c r="BF457" s="80"/>
      <c r="BG457" s="81"/>
      <c r="BH457" s="2"/>
      <c r="BI457" s="2"/>
      <c r="BJ457" s="3"/>
    </row>
    <row r="458" spans="1:62" x14ac:dyDescent="0.45">
      <c r="A458" s="75" t="s">
        <v>628</v>
      </c>
      <c r="B458" s="76" t="s">
        <v>631</v>
      </c>
      <c r="C458" s="77">
        <v>45384</v>
      </c>
      <c r="D458" s="78">
        <v>3</v>
      </c>
      <c r="E458" s="2" t="s">
        <v>22</v>
      </c>
      <c r="F458" s="85" t="s">
        <v>633</v>
      </c>
      <c r="G458" s="4"/>
      <c r="H458" s="4"/>
      <c r="I458" s="7"/>
      <c r="K458" s="50"/>
      <c r="L458" s="7"/>
      <c r="M458" s="74">
        <v>0.21279999999999999</v>
      </c>
      <c r="O458" s="4"/>
      <c r="W458" s="4"/>
      <c r="X458" s="4"/>
      <c r="Y458" s="4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4"/>
      <c r="AX458" s="2"/>
      <c r="AY458" s="7"/>
      <c r="AZ458" s="4"/>
      <c r="BA458" s="4"/>
      <c r="BB458" s="2"/>
      <c r="BC458" s="2"/>
      <c r="BD458" s="2"/>
      <c r="BE458" s="79"/>
      <c r="BF458" s="80"/>
      <c r="BG458" s="81"/>
      <c r="BH458" s="2"/>
      <c r="BI458" s="2"/>
      <c r="BJ458" s="3"/>
    </row>
    <row r="459" spans="1:62" x14ac:dyDescent="0.45">
      <c r="A459" s="75" t="s">
        <v>628</v>
      </c>
      <c r="B459" s="76" t="s">
        <v>631</v>
      </c>
      <c r="C459" s="77">
        <v>45384</v>
      </c>
      <c r="D459" s="78">
        <v>4</v>
      </c>
      <c r="E459" s="2" t="s">
        <v>22</v>
      </c>
      <c r="F459" s="85" t="s">
        <v>634</v>
      </c>
      <c r="G459" s="4"/>
      <c r="H459" s="4"/>
      <c r="I459" s="7"/>
      <c r="K459" s="50"/>
      <c r="L459" s="7"/>
      <c r="M459" s="74">
        <v>0.2039</v>
      </c>
      <c r="O459" s="4"/>
      <c r="W459" s="4"/>
      <c r="X459" s="4"/>
      <c r="Y459" s="4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4"/>
      <c r="AX459" s="2"/>
      <c r="AY459" s="7"/>
      <c r="AZ459" s="4"/>
      <c r="BA459" s="4"/>
      <c r="BB459" s="2"/>
      <c r="BC459" s="2"/>
      <c r="BD459" s="2"/>
      <c r="BE459" s="79"/>
      <c r="BF459" s="80"/>
      <c r="BG459" s="81"/>
      <c r="BH459" s="2"/>
      <c r="BI459" s="2"/>
      <c r="BJ459" s="3"/>
    </row>
    <row r="460" spans="1:62" x14ac:dyDescent="0.45">
      <c r="A460" s="75" t="s">
        <v>628</v>
      </c>
      <c r="B460" s="76" t="s">
        <v>632</v>
      </c>
      <c r="C460" s="77">
        <v>45384</v>
      </c>
      <c r="D460" s="78">
        <v>1</v>
      </c>
      <c r="E460" s="2" t="s">
        <v>22</v>
      </c>
      <c r="F460" s="85" t="s">
        <v>633</v>
      </c>
      <c r="G460" s="4"/>
      <c r="H460" s="4"/>
      <c r="I460" s="7"/>
      <c r="K460" s="50"/>
      <c r="L460" s="7"/>
      <c r="M460" s="74">
        <v>0.2145</v>
      </c>
      <c r="O460" s="4"/>
      <c r="W460" s="4"/>
      <c r="X460" s="4"/>
      <c r="Y460" s="4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4"/>
      <c r="AX460" s="2"/>
      <c r="AY460" s="7"/>
      <c r="AZ460" s="4"/>
      <c r="BA460" s="4"/>
      <c r="BB460" s="2"/>
      <c r="BC460" s="2"/>
      <c r="BD460" s="2"/>
      <c r="BE460" s="79"/>
      <c r="BF460" s="80"/>
      <c r="BG460" s="81"/>
      <c r="BH460" s="2"/>
      <c r="BI460" s="2"/>
      <c r="BJ460" s="3"/>
    </row>
    <row r="461" spans="1:62" x14ac:dyDescent="0.45">
      <c r="A461" s="75" t="s">
        <v>628</v>
      </c>
      <c r="B461" s="76" t="s">
        <v>632</v>
      </c>
      <c r="C461" s="77">
        <v>45384</v>
      </c>
      <c r="D461" s="78">
        <v>2</v>
      </c>
      <c r="E461" s="2" t="s">
        <v>22</v>
      </c>
      <c r="F461" s="85" t="s">
        <v>634</v>
      </c>
      <c r="G461" s="4"/>
      <c r="H461" s="4"/>
      <c r="I461" s="7"/>
      <c r="K461" s="50"/>
      <c r="L461" s="7"/>
      <c r="M461" s="74">
        <v>0.21629999999999999</v>
      </c>
      <c r="O461" s="4"/>
      <c r="W461" s="4"/>
      <c r="X461" s="4"/>
      <c r="Y461" s="4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4"/>
      <c r="AX461" s="2"/>
      <c r="AY461" s="7"/>
      <c r="AZ461" s="4"/>
      <c r="BA461" s="4"/>
      <c r="BB461" s="2"/>
      <c r="BC461" s="2"/>
      <c r="BD461" s="2"/>
      <c r="BE461" s="79"/>
      <c r="BF461" s="80"/>
      <c r="BG461" s="81"/>
      <c r="BH461" s="2"/>
      <c r="BI461" s="2"/>
      <c r="BJ461" s="3"/>
    </row>
    <row r="462" spans="1:62" x14ac:dyDescent="0.45">
      <c r="A462" s="75" t="s">
        <v>628</v>
      </c>
      <c r="B462" s="76" t="s">
        <v>632</v>
      </c>
      <c r="C462" s="77">
        <v>45384</v>
      </c>
      <c r="D462" s="78">
        <v>3</v>
      </c>
      <c r="E462" s="2" t="s">
        <v>22</v>
      </c>
      <c r="F462" s="85" t="s">
        <v>633</v>
      </c>
      <c r="G462" s="4"/>
      <c r="H462" s="4"/>
      <c r="I462" s="7"/>
      <c r="K462" s="50"/>
      <c r="L462" s="7"/>
      <c r="M462" s="74">
        <v>0.2185</v>
      </c>
      <c r="O462" s="4"/>
      <c r="W462" s="4"/>
      <c r="X462" s="4"/>
      <c r="Y462" s="4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4"/>
      <c r="AX462" s="2"/>
      <c r="AY462" s="7"/>
      <c r="AZ462" s="4"/>
      <c r="BA462" s="4"/>
      <c r="BB462" s="2"/>
      <c r="BC462" s="2"/>
      <c r="BD462" s="2"/>
      <c r="BE462" s="79"/>
      <c r="BF462" s="80"/>
      <c r="BG462" s="81"/>
      <c r="BH462" s="2"/>
      <c r="BI462" s="2"/>
      <c r="BJ462" s="3"/>
    </row>
    <row r="463" spans="1:62" x14ac:dyDescent="0.45">
      <c r="A463" s="75" t="s">
        <v>628</v>
      </c>
      <c r="B463" s="76" t="s">
        <v>632</v>
      </c>
      <c r="C463" s="77">
        <v>45384</v>
      </c>
      <c r="D463" s="78">
        <v>4</v>
      </c>
      <c r="E463" s="2" t="s">
        <v>22</v>
      </c>
      <c r="F463" s="85" t="s">
        <v>634</v>
      </c>
      <c r="G463" s="4"/>
      <c r="H463" s="4"/>
      <c r="I463" s="7"/>
      <c r="K463" s="50"/>
      <c r="L463" s="7"/>
      <c r="M463" s="74">
        <v>0.216</v>
      </c>
      <c r="O463" s="4"/>
      <c r="W463" s="4"/>
      <c r="X463" s="4"/>
      <c r="Y463" s="4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4"/>
      <c r="AX463" s="2"/>
      <c r="AY463" s="7"/>
      <c r="AZ463" s="4"/>
      <c r="BA463" s="4"/>
      <c r="BB463" s="2"/>
      <c r="BC463" s="2"/>
      <c r="BD463" s="2"/>
      <c r="BE463" s="82"/>
      <c r="BF463" s="83"/>
      <c r="BG463" s="84"/>
      <c r="BH463" s="2"/>
      <c r="BI463" s="2"/>
      <c r="BJ463" s="3"/>
    </row>
    <row r="464" spans="1:62" ht="28.5" x14ac:dyDescent="0.45">
      <c r="A464" s="75" t="s">
        <v>13</v>
      </c>
      <c r="B464" s="76" t="s">
        <v>28</v>
      </c>
      <c r="C464" s="77">
        <v>45400</v>
      </c>
      <c r="D464" s="78">
        <v>1</v>
      </c>
      <c r="E464" s="75" t="s">
        <v>551</v>
      </c>
      <c r="F464" s="74" t="s">
        <v>354</v>
      </c>
      <c r="G464" s="4" t="s">
        <v>578</v>
      </c>
      <c r="H464" s="74" t="s">
        <v>223</v>
      </c>
      <c r="I464" s="74">
        <v>0.16189999999999999</v>
      </c>
      <c r="K464" s="88">
        <v>1.1000000000000001E-3</v>
      </c>
      <c r="L464" s="7"/>
      <c r="M464" s="74">
        <v>0.16270000000000001</v>
      </c>
      <c r="N464" s="7">
        <v>-0.45</v>
      </c>
      <c r="O464" s="4"/>
      <c r="P464" s="74">
        <v>1.2569999999999999</v>
      </c>
      <c r="T464" s="87">
        <v>64.599999999999994</v>
      </c>
      <c r="U464" s="87">
        <v>592</v>
      </c>
      <c r="V464" s="87">
        <v>754.2</v>
      </c>
      <c r="W464" s="74" t="s">
        <v>224</v>
      </c>
      <c r="X464" s="4"/>
      <c r="Y464" s="4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4"/>
      <c r="AX464" s="2"/>
      <c r="AY464" s="7"/>
      <c r="AZ464" s="4"/>
      <c r="BA464" s="4"/>
      <c r="BB464" s="2"/>
      <c r="BC464" s="2"/>
      <c r="BD464" s="2"/>
      <c r="BE464" s="79"/>
      <c r="BF464" s="80"/>
      <c r="BG464" s="81"/>
      <c r="BH464" s="2"/>
      <c r="BI464" s="2"/>
      <c r="BJ464" s="3" t="s">
        <v>636</v>
      </c>
    </row>
    <row r="465" spans="1:62" ht="28.5" x14ac:dyDescent="0.45">
      <c r="A465" s="75" t="s">
        <v>13</v>
      </c>
      <c r="B465" s="76" t="s">
        <v>28</v>
      </c>
      <c r="C465" s="77">
        <v>45400</v>
      </c>
      <c r="D465" s="78">
        <v>2</v>
      </c>
      <c r="E465" s="75" t="s">
        <v>552</v>
      </c>
      <c r="F465" s="74" t="s">
        <v>354</v>
      </c>
      <c r="G465" s="4" t="s">
        <v>578</v>
      </c>
      <c r="H465" s="74" t="s">
        <v>223</v>
      </c>
      <c r="I465" s="74">
        <v>0.1633</v>
      </c>
      <c r="J465" s="7">
        <v>0.1613</v>
      </c>
      <c r="K465" s="88">
        <v>5.5999999999999999E-3</v>
      </c>
      <c r="L465" s="7"/>
      <c r="M465" s="74">
        <v>0.15959999999999999</v>
      </c>
      <c r="N465" s="7">
        <v>-0.61</v>
      </c>
      <c r="O465" s="4"/>
      <c r="P465" s="74">
        <v>1.2569999999999999</v>
      </c>
      <c r="T465" s="87">
        <v>65</v>
      </c>
      <c r="U465" s="87">
        <v>578</v>
      </c>
      <c r="V465" s="87">
        <v>754.1</v>
      </c>
      <c r="W465" s="74" t="s">
        <v>224</v>
      </c>
      <c r="X465" s="4"/>
      <c r="Y465" s="4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4"/>
      <c r="AX465" s="2"/>
      <c r="AY465" s="7"/>
      <c r="AZ465" s="4"/>
      <c r="BA465" s="4"/>
      <c r="BB465" s="2"/>
      <c r="BC465" s="2"/>
      <c r="BD465" s="2"/>
      <c r="BE465" s="79"/>
      <c r="BF465" s="80"/>
      <c r="BG465" s="81"/>
      <c r="BH465" s="2"/>
      <c r="BI465" s="2"/>
      <c r="BJ465" s="3" t="s">
        <v>637</v>
      </c>
    </row>
    <row r="466" spans="1:62" ht="28.5" x14ac:dyDescent="0.45">
      <c r="A466" s="75" t="s">
        <v>13</v>
      </c>
      <c r="B466" s="76" t="s">
        <v>28</v>
      </c>
      <c r="C466" s="77">
        <v>45400</v>
      </c>
      <c r="D466" s="78">
        <v>3</v>
      </c>
      <c r="E466" s="75" t="s">
        <v>553</v>
      </c>
      <c r="F466" s="74" t="s">
        <v>354</v>
      </c>
      <c r="G466" s="4" t="s">
        <v>578</v>
      </c>
      <c r="H466" s="74" t="s">
        <v>223</v>
      </c>
      <c r="I466" s="74">
        <v>0.16070000000000001</v>
      </c>
      <c r="J466" s="7">
        <v>0.15859999999999999</v>
      </c>
      <c r="K466" s="88">
        <v>4.5999999999999999E-3</v>
      </c>
      <c r="L466" s="7"/>
      <c r="M466" s="74">
        <v>0.15870000000000001</v>
      </c>
      <c r="N466" s="7">
        <v>-0.61</v>
      </c>
      <c r="O466" s="4"/>
      <c r="P466" s="74">
        <v>1.2569999999999999</v>
      </c>
      <c r="T466" s="87">
        <v>65.8</v>
      </c>
      <c r="U466" s="87">
        <v>594</v>
      </c>
      <c r="V466" s="87">
        <v>754.9</v>
      </c>
      <c r="W466" s="74" t="s">
        <v>224</v>
      </c>
      <c r="X466" s="4"/>
      <c r="Y466" s="4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4"/>
      <c r="AX466" s="2"/>
      <c r="AY466" s="7"/>
      <c r="AZ466" s="4"/>
      <c r="BA466" s="4"/>
      <c r="BB466" s="2"/>
      <c r="BC466" s="2"/>
      <c r="BD466" s="2"/>
      <c r="BE466" s="79"/>
      <c r="BF466" s="80"/>
      <c r="BG466" s="81"/>
      <c r="BH466" s="2"/>
      <c r="BI466" s="2"/>
      <c r="BJ466" s="3" t="s">
        <v>638</v>
      </c>
    </row>
    <row r="467" spans="1:62" ht="28.5" x14ac:dyDescent="0.45">
      <c r="A467" s="75" t="s">
        <v>13</v>
      </c>
      <c r="B467" s="76" t="s">
        <v>28</v>
      </c>
      <c r="C467" s="77">
        <v>45400</v>
      </c>
      <c r="D467" s="78">
        <v>4</v>
      </c>
      <c r="E467" s="75" t="s">
        <v>554</v>
      </c>
      <c r="F467" s="74" t="s">
        <v>354</v>
      </c>
      <c r="G467" s="4" t="s">
        <v>578</v>
      </c>
      <c r="H467" s="74" t="s">
        <v>223</v>
      </c>
      <c r="I467" s="74">
        <v>0.16300000000000001</v>
      </c>
      <c r="J467" s="74">
        <v>0.16300000000000001</v>
      </c>
      <c r="K467" s="88">
        <v>4.4000000000000003E-3</v>
      </c>
      <c r="L467" s="7"/>
      <c r="M467" s="74">
        <v>0.1618</v>
      </c>
      <c r="N467" s="7">
        <v>-0.56999999999999995</v>
      </c>
      <c r="O467" s="4"/>
      <c r="P467" s="74">
        <v>1.2569999999999999</v>
      </c>
      <c r="T467" s="87">
        <v>64.8</v>
      </c>
      <c r="U467" s="87">
        <v>590</v>
      </c>
      <c r="V467" s="87">
        <v>754.3</v>
      </c>
      <c r="W467" s="74" t="s">
        <v>224</v>
      </c>
      <c r="X467" s="4"/>
      <c r="Y467" s="4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4"/>
      <c r="AX467" s="2"/>
      <c r="AY467" s="7"/>
      <c r="AZ467" s="4"/>
      <c r="BA467" s="4"/>
      <c r="BB467" s="2"/>
      <c r="BC467" s="2"/>
      <c r="BD467" s="2"/>
      <c r="BE467" s="79"/>
      <c r="BF467" s="80"/>
      <c r="BG467" s="81"/>
      <c r="BH467" s="2"/>
      <c r="BI467" s="2"/>
      <c r="BJ467" s="3" t="s">
        <v>639</v>
      </c>
    </row>
    <row r="468" spans="1:62" ht="28.5" x14ac:dyDescent="0.45">
      <c r="A468" s="75" t="s">
        <v>13</v>
      </c>
      <c r="B468" s="76" t="s">
        <v>28</v>
      </c>
      <c r="C468" s="77">
        <v>45400</v>
      </c>
      <c r="D468" s="78">
        <v>5</v>
      </c>
      <c r="E468" s="75" t="s">
        <v>551</v>
      </c>
      <c r="F468" s="74" t="s">
        <v>354</v>
      </c>
      <c r="G468" s="4" t="s">
        <v>578</v>
      </c>
      <c r="H468" s="74" t="s">
        <v>223</v>
      </c>
      <c r="I468" s="74">
        <v>0.1636</v>
      </c>
      <c r="J468" s="74">
        <v>0.1636</v>
      </c>
      <c r="K468" s="88">
        <v>2.8999999999999998E-3</v>
      </c>
      <c r="L468" s="7"/>
      <c r="M468" s="74">
        <v>0.16400000000000001</v>
      </c>
      <c r="N468" s="7">
        <v>-0.56999999999999995</v>
      </c>
      <c r="O468" s="4"/>
      <c r="P468" s="74">
        <v>1.2569999999999999</v>
      </c>
      <c r="T468" s="87">
        <v>64.900000000000006</v>
      </c>
      <c r="U468" s="87">
        <v>589</v>
      </c>
      <c r="V468" s="87">
        <v>754.5</v>
      </c>
      <c r="W468" s="74" t="s">
        <v>224</v>
      </c>
      <c r="X468" s="4"/>
      <c r="Y468" s="4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4"/>
      <c r="AX468" s="2"/>
      <c r="AY468" s="7"/>
      <c r="AZ468" s="4"/>
      <c r="BA468" s="4"/>
      <c r="BB468" s="2"/>
      <c r="BC468" s="2"/>
      <c r="BD468" s="2"/>
      <c r="BE468" s="79"/>
      <c r="BF468" s="80"/>
      <c r="BG468" s="81"/>
      <c r="BH468" s="2"/>
      <c r="BI468" s="2"/>
      <c r="BJ468" s="3" t="s">
        <v>640</v>
      </c>
    </row>
    <row r="469" spans="1:62" ht="28.5" x14ac:dyDescent="0.45">
      <c r="A469" s="75" t="s">
        <v>13</v>
      </c>
      <c r="B469" s="76" t="s">
        <v>28</v>
      </c>
      <c r="C469" s="77">
        <v>45400</v>
      </c>
      <c r="D469" s="78">
        <v>6</v>
      </c>
      <c r="E469" s="75" t="s">
        <v>552</v>
      </c>
      <c r="F469" s="74" t="s">
        <v>354</v>
      </c>
      <c r="G469" s="4" t="s">
        <v>578</v>
      </c>
      <c r="H469" s="74" t="s">
        <v>223</v>
      </c>
      <c r="I469" s="74">
        <v>0.1643</v>
      </c>
      <c r="J469" s="7">
        <v>0.1623</v>
      </c>
      <c r="K469" s="88">
        <v>2.7000000000000001E-3</v>
      </c>
      <c r="L469" s="7"/>
      <c r="M469" s="74">
        <v>0.15909999999999999</v>
      </c>
      <c r="N469" s="7">
        <v>-0.61</v>
      </c>
      <c r="O469" s="4"/>
      <c r="P469" s="74">
        <v>1.2569999999999999</v>
      </c>
      <c r="T469" s="87">
        <v>65.3</v>
      </c>
      <c r="U469" s="87">
        <v>582</v>
      </c>
      <c r="V469" s="87">
        <v>754.7</v>
      </c>
      <c r="W469" s="74" t="s">
        <v>224</v>
      </c>
      <c r="X469" s="4"/>
      <c r="Y469" s="4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4"/>
      <c r="AX469" s="2"/>
      <c r="AY469" s="7"/>
      <c r="AZ469" s="4"/>
      <c r="BA469" s="4"/>
      <c r="BB469" s="2"/>
      <c r="BC469" s="2"/>
      <c r="BD469" s="2"/>
      <c r="BE469" s="79"/>
      <c r="BF469" s="80"/>
      <c r="BG469" s="81"/>
      <c r="BH469" s="2"/>
      <c r="BI469" s="2"/>
      <c r="BJ469" s="3" t="s">
        <v>641</v>
      </c>
    </row>
    <row r="470" spans="1:62" ht="28.5" x14ac:dyDescent="0.45">
      <c r="A470" s="75" t="s">
        <v>13</v>
      </c>
      <c r="B470" s="76" t="s">
        <v>28</v>
      </c>
      <c r="C470" s="77">
        <v>45400</v>
      </c>
      <c r="D470" s="78">
        <v>7</v>
      </c>
      <c r="E470" s="75" t="s">
        <v>553</v>
      </c>
      <c r="F470" s="74" t="s">
        <v>354</v>
      </c>
      <c r="G470" s="4" t="s">
        <v>578</v>
      </c>
      <c r="H470" s="74" t="s">
        <v>223</v>
      </c>
      <c r="I470" s="74">
        <v>0.16339999999999999</v>
      </c>
      <c r="J470" s="7">
        <v>0.1613</v>
      </c>
      <c r="K470" s="88">
        <v>2.8999999999999998E-3</v>
      </c>
      <c r="L470" s="7"/>
      <c r="M470" s="74">
        <v>0.16120000000000001</v>
      </c>
      <c r="N470" s="7">
        <v>-0.62</v>
      </c>
      <c r="O470" s="4"/>
      <c r="P470" s="74">
        <v>1.2569999999999999</v>
      </c>
      <c r="T470" s="87">
        <v>65.3</v>
      </c>
      <c r="U470" s="87">
        <v>596</v>
      </c>
      <c r="V470" s="87">
        <v>754.6</v>
      </c>
      <c r="W470" s="74" t="s">
        <v>224</v>
      </c>
      <c r="X470" s="4"/>
      <c r="Y470" s="4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4"/>
      <c r="AX470" s="2"/>
      <c r="AY470" s="7"/>
      <c r="AZ470" s="4"/>
      <c r="BA470" s="4"/>
      <c r="BB470" s="2"/>
      <c r="BC470" s="2"/>
      <c r="BD470" s="2"/>
      <c r="BE470" s="79"/>
      <c r="BF470" s="80"/>
      <c r="BG470" s="81"/>
      <c r="BH470" s="2"/>
      <c r="BI470" s="2"/>
      <c r="BJ470" s="3" t="s">
        <v>642</v>
      </c>
    </row>
    <row r="471" spans="1:62" ht="28.5" x14ac:dyDescent="0.45">
      <c r="A471" s="75" t="s">
        <v>13</v>
      </c>
      <c r="B471" s="76" t="s">
        <v>28</v>
      </c>
      <c r="C471" s="77">
        <v>45400</v>
      </c>
      <c r="D471" s="78">
        <v>8</v>
      </c>
      <c r="E471" s="75" t="s">
        <v>554</v>
      </c>
      <c r="F471" s="74" t="s">
        <v>354</v>
      </c>
      <c r="G471" s="4" t="s">
        <v>578</v>
      </c>
      <c r="H471" s="74" t="s">
        <v>223</v>
      </c>
      <c r="I471" s="74">
        <v>0.1658</v>
      </c>
      <c r="J471" s="74">
        <v>0.1658</v>
      </c>
      <c r="K471" s="88">
        <v>3.0000000000000001E-3</v>
      </c>
      <c r="L471" s="7"/>
      <c r="M471" s="74">
        <v>0.16500000000000001</v>
      </c>
      <c r="N471" s="7">
        <v>-0.59</v>
      </c>
      <c r="O471" s="4"/>
      <c r="P471" s="74">
        <v>1.2569999999999999</v>
      </c>
      <c r="T471" s="87">
        <v>65</v>
      </c>
      <c r="U471" s="87">
        <v>591</v>
      </c>
      <c r="V471" s="87">
        <v>754.3</v>
      </c>
      <c r="W471" s="74" t="s">
        <v>224</v>
      </c>
      <c r="X471" s="4"/>
      <c r="Y471" s="4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4"/>
      <c r="AX471" s="2"/>
      <c r="AY471" s="7"/>
      <c r="AZ471" s="4"/>
      <c r="BA471" s="4"/>
      <c r="BB471" s="2"/>
      <c r="BC471" s="2"/>
      <c r="BD471" s="2"/>
      <c r="BE471" s="79"/>
      <c r="BF471" s="80"/>
      <c r="BG471" s="81"/>
      <c r="BH471" s="2"/>
      <c r="BI471" s="2"/>
      <c r="BJ471" s="3" t="s">
        <v>643</v>
      </c>
    </row>
    <row r="472" spans="1:62" ht="28.5" x14ac:dyDescent="0.45">
      <c r="A472" s="75" t="s">
        <v>43</v>
      </c>
      <c r="B472" s="76" t="s">
        <v>79</v>
      </c>
      <c r="C472" s="77">
        <v>45400</v>
      </c>
      <c r="D472" s="78">
        <v>1</v>
      </c>
      <c r="E472" s="75" t="s">
        <v>213</v>
      </c>
      <c r="F472" s="74" t="s">
        <v>216</v>
      </c>
      <c r="G472" s="4" t="s">
        <v>578</v>
      </c>
      <c r="H472" s="74" t="s">
        <v>223</v>
      </c>
      <c r="I472" s="74">
        <v>0.15079999999999999</v>
      </c>
      <c r="J472" s="74">
        <v>0.15079999999999999</v>
      </c>
      <c r="K472" s="88">
        <v>5.7999999999999996E-3</v>
      </c>
      <c r="L472" s="7"/>
      <c r="M472" s="74">
        <v>0.14480000000000001</v>
      </c>
      <c r="N472" s="7">
        <v>-0.64</v>
      </c>
      <c r="O472" s="4"/>
      <c r="P472" s="74">
        <v>1.22</v>
      </c>
      <c r="T472" s="87">
        <v>57.7</v>
      </c>
      <c r="U472" s="87">
        <v>395</v>
      </c>
      <c r="V472" s="87">
        <v>755</v>
      </c>
      <c r="W472" s="74" t="s">
        <v>48</v>
      </c>
      <c r="X472" s="4"/>
      <c r="Y472" s="4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4"/>
      <c r="AX472" s="2"/>
      <c r="AY472" s="7"/>
      <c r="AZ472" s="4"/>
      <c r="BA472" s="4"/>
      <c r="BB472" s="2"/>
      <c r="BC472" s="2"/>
      <c r="BD472" s="2"/>
      <c r="BE472" s="79"/>
      <c r="BF472" s="80"/>
      <c r="BG472" s="81"/>
      <c r="BH472" s="2"/>
      <c r="BI472" s="2"/>
      <c r="BJ472" s="3" t="s">
        <v>644</v>
      </c>
    </row>
    <row r="473" spans="1:62" ht="28.5" x14ac:dyDescent="0.45">
      <c r="A473" s="75" t="s">
        <v>43</v>
      </c>
      <c r="B473" s="76" t="s">
        <v>79</v>
      </c>
      <c r="C473" s="77">
        <v>45400</v>
      </c>
      <c r="D473" s="78">
        <v>2</v>
      </c>
      <c r="E473" s="75" t="s">
        <v>213</v>
      </c>
      <c r="F473" s="74" t="s">
        <v>216</v>
      </c>
      <c r="G473" s="4" t="s">
        <v>600</v>
      </c>
      <c r="H473" s="74" t="s">
        <v>223</v>
      </c>
      <c r="I473" s="74">
        <v>0.1517</v>
      </c>
      <c r="J473" s="74">
        <v>0.1517</v>
      </c>
      <c r="K473" s="88">
        <v>2.8E-3</v>
      </c>
      <c r="L473" s="7"/>
      <c r="M473" s="74">
        <v>0.14630000000000001</v>
      </c>
      <c r="N473" s="7">
        <v>-0.69</v>
      </c>
      <c r="O473" s="4"/>
      <c r="P473" s="74">
        <v>1.22</v>
      </c>
      <c r="T473" s="87">
        <v>61.2</v>
      </c>
      <c r="U473" s="87">
        <v>445</v>
      </c>
      <c r="V473" s="87">
        <v>755.5</v>
      </c>
      <c r="W473" s="74" t="s">
        <v>48</v>
      </c>
      <c r="X473" s="4"/>
      <c r="Y473" s="4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4"/>
      <c r="AX473" s="2"/>
      <c r="AY473" s="7"/>
      <c r="AZ473" s="4"/>
      <c r="BA473" s="4"/>
      <c r="BB473" s="2"/>
      <c r="BC473" s="2"/>
      <c r="BD473" s="2"/>
      <c r="BE473" s="79"/>
      <c r="BF473" s="80"/>
      <c r="BG473" s="81"/>
      <c r="BH473" s="2"/>
      <c r="BI473" s="2"/>
      <c r="BJ473" s="3" t="s">
        <v>645</v>
      </c>
    </row>
    <row r="474" spans="1:62" ht="28.5" x14ac:dyDescent="0.45">
      <c r="A474" s="75" t="s">
        <v>43</v>
      </c>
      <c r="B474" s="76" t="s">
        <v>79</v>
      </c>
      <c r="C474" s="77">
        <v>45400</v>
      </c>
      <c r="D474" s="78">
        <v>3</v>
      </c>
      <c r="E474" s="75" t="s">
        <v>213</v>
      </c>
      <c r="F474" s="74" t="s">
        <v>216</v>
      </c>
      <c r="G474" s="4" t="s">
        <v>601</v>
      </c>
      <c r="H474" s="74" t="s">
        <v>223</v>
      </c>
      <c r="I474" s="86"/>
      <c r="J474" s="86"/>
      <c r="K474" s="89"/>
      <c r="L474" s="7"/>
      <c r="M474" s="74">
        <v>0.14910000000000001</v>
      </c>
      <c r="N474" s="89"/>
      <c r="O474" s="4"/>
      <c r="P474" s="74">
        <v>1.22</v>
      </c>
      <c r="T474" s="87">
        <v>61.2</v>
      </c>
      <c r="U474" s="87">
        <v>453</v>
      </c>
      <c r="V474" s="87">
        <v>755.3</v>
      </c>
      <c r="W474" s="74" t="s">
        <v>48</v>
      </c>
      <c r="X474" s="4"/>
      <c r="Y474" s="4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4"/>
      <c r="AX474" s="2"/>
      <c r="AY474" s="7"/>
      <c r="AZ474" s="4"/>
      <c r="BA474" s="4"/>
      <c r="BB474" s="2"/>
      <c r="BC474" s="2"/>
      <c r="BD474" s="2"/>
      <c r="BE474" s="79"/>
      <c r="BF474" s="80"/>
      <c r="BG474" s="81"/>
      <c r="BH474" s="2"/>
      <c r="BI474" s="2"/>
      <c r="BJ474" s="3" t="s">
        <v>646</v>
      </c>
    </row>
    <row r="475" spans="1:62" ht="28.5" x14ac:dyDescent="0.45">
      <c r="A475" s="75" t="s">
        <v>43</v>
      </c>
      <c r="B475" s="76" t="s">
        <v>79</v>
      </c>
      <c r="C475" s="77">
        <v>45400</v>
      </c>
      <c r="D475" s="78">
        <v>4</v>
      </c>
      <c r="E475" s="75" t="s">
        <v>213</v>
      </c>
      <c r="F475" s="74" t="s">
        <v>216</v>
      </c>
      <c r="G475" s="74" t="s">
        <v>635</v>
      </c>
      <c r="H475" s="74" t="s">
        <v>223</v>
      </c>
      <c r="I475" s="74">
        <v>0.15240000000000001</v>
      </c>
      <c r="J475" s="74">
        <v>0.15240000000000001</v>
      </c>
      <c r="K475" s="88">
        <v>1.1999999999999999E-3</v>
      </c>
      <c r="L475" s="7"/>
      <c r="M475" s="74">
        <v>0.14899999999999999</v>
      </c>
      <c r="N475" s="7">
        <v>-0.69</v>
      </c>
      <c r="O475" s="4"/>
      <c r="P475" s="74">
        <v>1.22</v>
      </c>
      <c r="T475" s="87">
        <v>62.2</v>
      </c>
      <c r="U475" s="87">
        <v>470</v>
      </c>
      <c r="V475" s="87">
        <v>755.4</v>
      </c>
      <c r="W475" s="74" t="s">
        <v>48</v>
      </c>
      <c r="X475" s="4"/>
      <c r="Y475" s="4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4"/>
      <c r="AX475" s="2"/>
      <c r="AY475" s="7"/>
      <c r="AZ475" s="4"/>
      <c r="BA475" s="4"/>
      <c r="BB475" s="2"/>
      <c r="BC475" s="2"/>
      <c r="BD475" s="2"/>
      <c r="BE475" s="79"/>
      <c r="BF475" s="80"/>
      <c r="BG475" s="81"/>
      <c r="BH475" s="2"/>
      <c r="BI475" s="2"/>
      <c r="BJ475" s="3" t="s">
        <v>647</v>
      </c>
    </row>
    <row r="476" spans="1:62" ht="28.5" x14ac:dyDescent="0.45">
      <c r="A476" s="75" t="s">
        <v>43</v>
      </c>
      <c r="B476" s="76" t="s">
        <v>79</v>
      </c>
      <c r="C476" s="77">
        <v>45400</v>
      </c>
      <c r="D476" s="78">
        <v>5</v>
      </c>
      <c r="E476" s="75" t="s">
        <v>213</v>
      </c>
      <c r="F476" s="74" t="s">
        <v>216</v>
      </c>
      <c r="G476" s="4" t="s">
        <v>600</v>
      </c>
      <c r="H476" s="74" t="s">
        <v>223</v>
      </c>
      <c r="I476" s="74">
        <v>0.1545</v>
      </c>
      <c r="J476" s="74">
        <v>0.1545</v>
      </c>
      <c r="K476" s="88">
        <v>2.5999999999999999E-3</v>
      </c>
      <c r="L476" s="7"/>
      <c r="M476" s="74">
        <v>0.1487</v>
      </c>
      <c r="N476" s="7">
        <v>-0.67</v>
      </c>
      <c r="O476" s="4"/>
      <c r="P476" s="74">
        <v>1.22</v>
      </c>
      <c r="T476" s="87">
        <v>61.8</v>
      </c>
      <c r="U476" s="87">
        <v>444</v>
      </c>
      <c r="V476" s="87">
        <v>755.4</v>
      </c>
      <c r="W476" s="74" t="s">
        <v>48</v>
      </c>
      <c r="X476" s="4"/>
      <c r="Y476" s="4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4"/>
      <c r="AX476" s="2"/>
      <c r="AY476" s="7"/>
      <c r="AZ476" s="4"/>
      <c r="BA476" s="4"/>
      <c r="BB476" s="2"/>
      <c r="BC476" s="2"/>
      <c r="BD476" s="2"/>
      <c r="BE476" s="79"/>
      <c r="BF476" s="80"/>
      <c r="BG476" s="81"/>
      <c r="BH476" s="2"/>
      <c r="BI476" s="2"/>
      <c r="BJ476" s="3" t="s">
        <v>648</v>
      </c>
    </row>
    <row r="477" spans="1:62" ht="28.5" x14ac:dyDescent="0.45">
      <c r="A477" s="75" t="s">
        <v>43</v>
      </c>
      <c r="B477" s="76" t="s">
        <v>79</v>
      </c>
      <c r="C477" s="77">
        <v>45400</v>
      </c>
      <c r="D477" s="78">
        <v>6</v>
      </c>
      <c r="E477" s="75" t="s">
        <v>213</v>
      </c>
      <c r="F477" s="74" t="s">
        <v>216</v>
      </c>
      <c r="G477" s="4" t="s">
        <v>601</v>
      </c>
      <c r="H477" s="74" t="s">
        <v>223</v>
      </c>
      <c r="I477" s="74">
        <v>0.15720000000000001</v>
      </c>
      <c r="J477" s="74">
        <v>0.15720000000000001</v>
      </c>
      <c r="K477" s="88">
        <v>3.0000000000000001E-3</v>
      </c>
      <c r="L477" s="7"/>
      <c r="M477" s="74">
        <v>0.14979999999999999</v>
      </c>
      <c r="N477" s="7">
        <v>-0.7</v>
      </c>
      <c r="O477" s="4"/>
      <c r="P477" s="74">
        <v>1.22</v>
      </c>
      <c r="T477" s="74">
        <v>60.8</v>
      </c>
      <c r="U477" s="74">
        <v>426</v>
      </c>
      <c r="V477" s="74">
        <v>754.7</v>
      </c>
      <c r="W477" s="74" t="s">
        <v>48</v>
      </c>
      <c r="X477" s="4"/>
      <c r="Y477" s="4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4"/>
      <c r="AX477" s="2"/>
      <c r="AY477" s="7"/>
      <c r="AZ477" s="4"/>
      <c r="BA477" s="4"/>
      <c r="BB477" s="2"/>
      <c r="BC477" s="2"/>
      <c r="BD477" s="2"/>
      <c r="BE477" s="82"/>
      <c r="BF477" s="83"/>
      <c r="BG477" s="84"/>
      <c r="BH477" s="2"/>
      <c r="BI477" s="2"/>
      <c r="BJ477" s="3" t="s">
        <v>649</v>
      </c>
    </row>
    <row r="478" spans="1:62" x14ac:dyDescent="0.45">
      <c r="A478" s="90" t="s">
        <v>13</v>
      </c>
      <c r="B478" s="76" t="s">
        <v>28</v>
      </c>
      <c r="C478" s="77">
        <v>45414</v>
      </c>
      <c r="D478" s="78">
        <v>1</v>
      </c>
      <c r="E478" s="2" t="s">
        <v>551</v>
      </c>
      <c r="F478" s="4" t="s">
        <v>354</v>
      </c>
      <c r="G478" s="4" t="s">
        <v>578</v>
      </c>
      <c r="H478" s="74" t="s">
        <v>223</v>
      </c>
      <c r="I478" s="74">
        <v>0.16400000000000001</v>
      </c>
      <c r="J478" s="74">
        <v>0.16400000000000001</v>
      </c>
      <c r="K478" s="74">
        <v>3.0999999999999999E-3</v>
      </c>
      <c r="L478" s="7"/>
      <c r="M478" s="74">
        <v>0.1615</v>
      </c>
      <c r="N478" s="7">
        <v>-0.55000000000000004</v>
      </c>
      <c r="O478" s="4"/>
      <c r="P478" s="74">
        <v>1.2424999999999999</v>
      </c>
      <c r="T478" s="74">
        <v>65.099999999999994</v>
      </c>
      <c r="U478" s="74">
        <v>583</v>
      </c>
      <c r="V478" s="74">
        <v>754.7</v>
      </c>
      <c r="W478" s="74" t="s">
        <v>224</v>
      </c>
      <c r="X478" s="4"/>
      <c r="Y478" s="4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4"/>
      <c r="AX478" s="2"/>
      <c r="AY478" s="7"/>
      <c r="AZ478" s="4"/>
      <c r="BA478" s="74">
        <v>115.2</v>
      </c>
      <c r="BB478" s="2"/>
      <c r="BC478" s="2"/>
      <c r="BD478" s="74">
        <v>25.3</v>
      </c>
      <c r="BE478" s="74">
        <v>1004.3</v>
      </c>
      <c r="BF478" s="74">
        <v>45.2</v>
      </c>
      <c r="BG478" s="74"/>
      <c r="BH478" s="74">
        <v>2096</v>
      </c>
      <c r="BI478" s="2"/>
      <c r="BJ478" s="90" t="s">
        <v>650</v>
      </c>
    </row>
    <row r="479" spans="1:62" ht="28.5" x14ac:dyDescent="0.45">
      <c r="A479" s="90" t="s">
        <v>13</v>
      </c>
      <c r="B479" s="76" t="s">
        <v>28</v>
      </c>
      <c r="C479" s="77">
        <v>45414</v>
      </c>
      <c r="D479" s="78">
        <v>2</v>
      </c>
      <c r="E479" s="2" t="s">
        <v>551</v>
      </c>
      <c r="F479" s="4" t="s">
        <v>354</v>
      </c>
      <c r="G479" s="4" t="s">
        <v>600</v>
      </c>
      <c r="H479" s="74" t="s">
        <v>223</v>
      </c>
      <c r="I479" s="86"/>
      <c r="J479" s="86"/>
      <c r="K479" s="86"/>
      <c r="L479" s="7"/>
      <c r="M479" s="74">
        <v>0.16139999999999999</v>
      </c>
      <c r="N479" s="86"/>
      <c r="O479" s="4"/>
      <c r="P479" s="74">
        <v>1.2424999999999999</v>
      </c>
      <c r="T479" s="74">
        <v>65.8</v>
      </c>
      <c r="U479" s="74">
        <v>593</v>
      </c>
      <c r="V479" s="74">
        <v>755.6</v>
      </c>
      <c r="W479" s="74" t="s">
        <v>224</v>
      </c>
      <c r="X479" s="4"/>
      <c r="Y479" s="4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4"/>
      <c r="AX479" s="2"/>
      <c r="AY479" s="7"/>
      <c r="AZ479" s="4"/>
      <c r="BA479" s="74">
        <v>115.2</v>
      </c>
      <c r="BB479" s="2"/>
      <c r="BC479" s="2"/>
      <c r="BD479" s="74">
        <v>25.3</v>
      </c>
      <c r="BE479" s="74">
        <v>1004.3</v>
      </c>
      <c r="BF479" s="74">
        <v>45.2</v>
      </c>
      <c r="BG479" s="74"/>
      <c r="BH479" s="74">
        <v>2096</v>
      </c>
      <c r="BI479" s="2"/>
      <c r="BJ479" s="3" t="s">
        <v>651</v>
      </c>
    </row>
    <row r="480" spans="1:62" ht="28.5" x14ac:dyDescent="0.45">
      <c r="A480" s="90" t="s">
        <v>13</v>
      </c>
      <c r="B480" s="76" t="s">
        <v>28</v>
      </c>
      <c r="C480" s="77">
        <v>45414</v>
      </c>
      <c r="D480" s="78">
        <v>3</v>
      </c>
      <c r="E480" s="2" t="s">
        <v>551</v>
      </c>
      <c r="F480" s="4" t="s">
        <v>354</v>
      </c>
      <c r="G480" s="4" t="s">
        <v>578</v>
      </c>
      <c r="H480" s="74" t="s">
        <v>223</v>
      </c>
      <c r="I480" s="74">
        <v>0.16550000000000001</v>
      </c>
      <c r="J480" s="74">
        <v>0.16550000000000001</v>
      </c>
      <c r="K480" s="74">
        <v>4.1999999999999997E-3</v>
      </c>
      <c r="L480" s="7"/>
      <c r="M480" s="74">
        <v>0.1605</v>
      </c>
      <c r="N480" s="7">
        <v>-0.56999999999999995</v>
      </c>
      <c r="O480" s="4"/>
      <c r="P480" s="74">
        <v>1.2424999999999999</v>
      </c>
      <c r="T480" s="74">
        <v>66</v>
      </c>
      <c r="U480" s="74">
        <v>602</v>
      </c>
      <c r="V480" s="74">
        <v>755.5</v>
      </c>
      <c r="W480" s="74" t="s">
        <v>224</v>
      </c>
      <c r="X480" s="4"/>
      <c r="Y480" s="4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4"/>
      <c r="AX480" s="2"/>
      <c r="AY480" s="7"/>
      <c r="AZ480" s="4"/>
      <c r="BA480" s="74">
        <v>115.2</v>
      </c>
      <c r="BB480" s="2"/>
      <c r="BC480" s="2"/>
      <c r="BD480" s="74">
        <v>25.8</v>
      </c>
      <c r="BE480" s="74">
        <v>1004</v>
      </c>
      <c r="BF480" s="74">
        <v>45</v>
      </c>
      <c r="BG480" s="74"/>
      <c r="BH480" s="74">
        <v>2096</v>
      </c>
      <c r="BI480" s="2"/>
      <c r="BJ480" s="3" t="s">
        <v>652</v>
      </c>
    </row>
    <row r="481" spans="1:62" ht="28.5" x14ac:dyDescent="0.45">
      <c r="A481" s="90" t="s">
        <v>13</v>
      </c>
      <c r="B481" s="76" t="s">
        <v>28</v>
      </c>
      <c r="C481" s="77">
        <v>45414</v>
      </c>
      <c r="D481" s="78">
        <v>4</v>
      </c>
      <c r="E481" s="2" t="s">
        <v>551</v>
      </c>
      <c r="F481" s="4" t="s">
        <v>354</v>
      </c>
      <c r="G481" s="4" t="s">
        <v>600</v>
      </c>
      <c r="H481" s="74" t="s">
        <v>223</v>
      </c>
      <c r="I481" s="74">
        <v>0.16189999999999999</v>
      </c>
      <c r="J481" s="74">
        <v>0.16189999999999999</v>
      </c>
      <c r="K481" s="74">
        <v>2.5000000000000001E-3</v>
      </c>
      <c r="L481" s="7"/>
      <c r="M481" s="74">
        <v>0.1628</v>
      </c>
      <c r="N481" s="7">
        <v>-0.52</v>
      </c>
      <c r="O481" s="4"/>
      <c r="P481" s="74">
        <v>1.2424999999999999</v>
      </c>
      <c r="T481" s="74">
        <v>66.400000000000006</v>
      </c>
      <c r="U481" s="74">
        <v>616</v>
      </c>
      <c r="V481" s="74">
        <v>754.9</v>
      </c>
      <c r="W481" s="74" t="s">
        <v>224</v>
      </c>
      <c r="X481" s="4"/>
      <c r="Y481" s="4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4"/>
      <c r="AX481" s="2"/>
      <c r="AY481" s="7"/>
      <c r="AZ481" s="4"/>
      <c r="BA481" s="74">
        <v>115.2</v>
      </c>
      <c r="BB481" s="2"/>
      <c r="BC481" s="2"/>
      <c r="BD481" s="74">
        <v>25.8</v>
      </c>
      <c r="BE481" s="74">
        <v>1004</v>
      </c>
      <c r="BF481" s="74">
        <v>45</v>
      </c>
      <c r="BG481" s="74"/>
      <c r="BH481" s="74">
        <v>2096</v>
      </c>
      <c r="BI481" s="2"/>
      <c r="BJ481" s="3" t="s">
        <v>653</v>
      </c>
    </row>
    <row r="482" spans="1:62" ht="28.5" x14ac:dyDescent="0.45">
      <c r="A482" s="90" t="s">
        <v>13</v>
      </c>
      <c r="B482" s="76" t="s">
        <v>28</v>
      </c>
      <c r="C482" s="77">
        <v>45414</v>
      </c>
      <c r="D482" s="78">
        <v>5</v>
      </c>
      <c r="E482" s="2" t="s">
        <v>551</v>
      </c>
      <c r="F482" s="4" t="s">
        <v>354</v>
      </c>
      <c r="G482" s="4" t="s">
        <v>578</v>
      </c>
      <c r="H482" s="74" t="s">
        <v>223</v>
      </c>
      <c r="I482" s="74">
        <v>0.16109999999999999</v>
      </c>
      <c r="J482" s="74">
        <v>0.16109999999999999</v>
      </c>
      <c r="K482" s="74">
        <v>2.5999999999999999E-3</v>
      </c>
      <c r="L482" s="7"/>
      <c r="M482" s="74">
        <v>0.1588</v>
      </c>
      <c r="N482" s="7">
        <v>-0.56000000000000005</v>
      </c>
      <c r="O482" s="4"/>
      <c r="P482" s="74">
        <v>1.2424999999999999</v>
      </c>
      <c r="T482" s="74">
        <v>66.900000000000006</v>
      </c>
      <c r="U482" s="74">
        <v>630</v>
      </c>
      <c r="V482" s="74">
        <v>755.8</v>
      </c>
      <c r="W482" s="74" t="s">
        <v>224</v>
      </c>
      <c r="X482" s="4"/>
      <c r="Y482" s="4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4"/>
      <c r="AX482" s="2"/>
      <c r="AY482" s="7"/>
      <c r="AZ482" s="4"/>
      <c r="BA482" s="74">
        <v>115.2</v>
      </c>
      <c r="BB482" s="2"/>
      <c r="BC482" s="2"/>
      <c r="BD482" s="74">
        <v>25.8</v>
      </c>
      <c r="BE482" s="74">
        <v>1004</v>
      </c>
      <c r="BF482" s="74">
        <v>45</v>
      </c>
      <c r="BG482" s="74"/>
      <c r="BH482" s="74">
        <v>2096</v>
      </c>
      <c r="BI482" s="2"/>
      <c r="BJ482" s="3" t="s">
        <v>654</v>
      </c>
    </row>
    <row r="483" spans="1:62" x14ac:dyDescent="0.45">
      <c r="A483" s="90" t="s">
        <v>13</v>
      </c>
      <c r="B483" s="76" t="s">
        <v>28</v>
      </c>
      <c r="C483" s="77">
        <v>45414</v>
      </c>
      <c r="D483" s="78">
        <v>6</v>
      </c>
      <c r="E483" s="2" t="s">
        <v>551</v>
      </c>
      <c r="F483" s="4" t="s">
        <v>354</v>
      </c>
      <c r="G483" s="4" t="s">
        <v>600</v>
      </c>
      <c r="H483" s="74" t="s">
        <v>223</v>
      </c>
      <c r="I483" s="74">
        <v>0.161</v>
      </c>
      <c r="J483" s="74">
        <v>0.161</v>
      </c>
      <c r="K483" s="74">
        <v>2E-3</v>
      </c>
      <c r="L483" s="7"/>
      <c r="M483" s="74">
        <v>0.1578</v>
      </c>
      <c r="N483" s="7">
        <v>-0.56000000000000005</v>
      </c>
      <c r="O483" s="4"/>
      <c r="P483" s="74">
        <v>1.2424999999999999</v>
      </c>
      <c r="T483" s="74">
        <v>63.5</v>
      </c>
      <c r="U483" s="74">
        <v>608</v>
      </c>
      <c r="V483" s="74">
        <v>755.5</v>
      </c>
      <c r="W483" s="74" t="s">
        <v>77</v>
      </c>
      <c r="X483" s="4"/>
      <c r="Y483" s="4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4"/>
      <c r="AX483" s="2"/>
      <c r="AY483" s="7"/>
      <c r="AZ483" s="4"/>
      <c r="BA483" s="74">
        <v>115.2</v>
      </c>
      <c r="BB483" s="2"/>
      <c r="BC483" s="2"/>
      <c r="BD483" s="74">
        <v>26.1</v>
      </c>
      <c r="BE483" s="74">
        <v>1003.4</v>
      </c>
      <c r="BF483" s="74">
        <v>44</v>
      </c>
      <c r="BG483" s="74"/>
      <c r="BH483" s="74">
        <v>2096</v>
      </c>
      <c r="BI483" s="2"/>
      <c r="BJ483" s="3"/>
    </row>
    <row r="484" spans="1:62" ht="28.5" x14ac:dyDescent="0.45">
      <c r="A484" s="90" t="s">
        <v>43</v>
      </c>
      <c r="B484" s="76" t="s">
        <v>45</v>
      </c>
      <c r="C484" s="77">
        <v>45414</v>
      </c>
      <c r="D484" s="78">
        <v>1</v>
      </c>
      <c r="E484" s="2" t="s">
        <v>213</v>
      </c>
      <c r="F484" s="4" t="s">
        <v>331</v>
      </c>
      <c r="G484" s="4" t="s">
        <v>578</v>
      </c>
      <c r="H484" s="74" t="s">
        <v>223</v>
      </c>
      <c r="I484" s="74">
        <v>0.16209999999999999</v>
      </c>
      <c r="J484" s="74">
        <v>0.16209999999999999</v>
      </c>
      <c r="K484" s="74">
        <v>2.3999999999999998E-3</v>
      </c>
      <c r="L484" s="7"/>
      <c r="M484" s="74">
        <v>0.16120000000000001</v>
      </c>
      <c r="N484" s="7">
        <v>-0.48</v>
      </c>
      <c r="O484" s="4"/>
      <c r="P484" s="74">
        <v>1.2629999999999999</v>
      </c>
      <c r="T484" s="74">
        <v>62.2</v>
      </c>
      <c r="U484" s="74">
        <v>510</v>
      </c>
      <c r="V484" s="74">
        <v>754.6</v>
      </c>
      <c r="W484" s="74" t="s">
        <v>77</v>
      </c>
      <c r="X484" s="4"/>
      <c r="Y484" s="4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4"/>
      <c r="AX484" s="2"/>
      <c r="AY484" s="7"/>
      <c r="AZ484" s="4"/>
      <c r="BA484" s="74">
        <v>113.4</v>
      </c>
      <c r="BB484" s="2"/>
      <c r="BC484" s="2"/>
      <c r="BD484" s="74">
        <v>25.3</v>
      </c>
      <c r="BE484" s="74">
        <v>1004.3</v>
      </c>
      <c r="BF484" s="74">
        <v>45.2</v>
      </c>
      <c r="BG484" s="74"/>
      <c r="BH484" s="74">
        <v>2096</v>
      </c>
      <c r="BI484" s="2"/>
      <c r="BJ484" s="3" t="s">
        <v>655</v>
      </c>
    </row>
    <row r="485" spans="1:62" ht="28.5" x14ac:dyDescent="0.45">
      <c r="A485" s="90" t="s">
        <v>43</v>
      </c>
      <c r="B485" s="76" t="s">
        <v>45</v>
      </c>
      <c r="C485" s="77">
        <v>45414</v>
      </c>
      <c r="D485" s="78">
        <v>2</v>
      </c>
      <c r="E485" s="2" t="s">
        <v>213</v>
      </c>
      <c r="F485" s="4" t="s">
        <v>331</v>
      </c>
      <c r="G485" s="4" t="s">
        <v>600</v>
      </c>
      <c r="H485" s="74" t="s">
        <v>223</v>
      </c>
      <c r="I485" s="74">
        <v>0.1603</v>
      </c>
      <c r="J485" s="74">
        <v>0.1603</v>
      </c>
      <c r="K485" s="74">
        <v>2.2000000000000001E-3</v>
      </c>
      <c r="L485" s="7"/>
      <c r="M485" s="74">
        <v>0.1578</v>
      </c>
      <c r="N485" s="7">
        <v>-0.5</v>
      </c>
      <c r="O485" s="4"/>
      <c r="P485" s="74">
        <v>1.2629999999999999</v>
      </c>
      <c r="T485" s="74">
        <v>61.6</v>
      </c>
      <c r="U485" s="74">
        <v>487</v>
      </c>
      <c r="V485" s="74">
        <v>753.8</v>
      </c>
      <c r="W485" s="74" t="s">
        <v>77</v>
      </c>
      <c r="X485" s="4"/>
      <c r="Y485" s="4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4"/>
      <c r="AX485" s="2"/>
      <c r="AY485" s="7"/>
      <c r="AZ485" s="4"/>
      <c r="BA485" s="74">
        <v>113.4</v>
      </c>
      <c r="BB485" s="2"/>
      <c r="BC485" s="2"/>
      <c r="BD485" s="74">
        <v>25.3</v>
      </c>
      <c r="BE485" s="74">
        <v>1004.3</v>
      </c>
      <c r="BF485" s="74">
        <v>45.2</v>
      </c>
      <c r="BG485" s="74"/>
      <c r="BH485" s="74">
        <v>2096</v>
      </c>
      <c r="BI485" s="2"/>
      <c r="BJ485" s="3" t="s">
        <v>656</v>
      </c>
    </row>
    <row r="486" spans="1:62" ht="28.5" x14ac:dyDescent="0.45">
      <c r="A486" s="90" t="s">
        <v>43</v>
      </c>
      <c r="B486" s="76" t="s">
        <v>45</v>
      </c>
      <c r="C486" s="77">
        <v>45414</v>
      </c>
      <c r="D486" s="78">
        <v>3</v>
      </c>
      <c r="E486" s="2" t="s">
        <v>213</v>
      </c>
      <c r="F486" s="4" t="s">
        <v>331</v>
      </c>
      <c r="G486" s="4" t="s">
        <v>601</v>
      </c>
      <c r="H486" s="74" t="s">
        <v>223</v>
      </c>
      <c r="I486" s="74">
        <v>0.1661</v>
      </c>
      <c r="J486" s="74">
        <v>0.1661</v>
      </c>
      <c r="K486" s="74">
        <v>5.0000000000000001E-3</v>
      </c>
      <c r="L486" s="7"/>
      <c r="M486" s="74">
        <v>0.16400000000000001</v>
      </c>
      <c r="N486" s="7">
        <v>-0.52</v>
      </c>
      <c r="O486" s="4"/>
      <c r="P486" s="74">
        <v>1.2629999999999999</v>
      </c>
      <c r="T486" s="74">
        <v>61.7</v>
      </c>
      <c r="U486" s="74">
        <v>507</v>
      </c>
      <c r="V486" s="74">
        <v>753.7</v>
      </c>
      <c r="W486" s="74" t="s">
        <v>77</v>
      </c>
      <c r="X486" s="4"/>
      <c r="Y486" s="4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4"/>
      <c r="AX486" s="2"/>
      <c r="AY486" s="7"/>
      <c r="AZ486" s="4"/>
      <c r="BA486" s="74">
        <v>113.4</v>
      </c>
      <c r="BB486" s="2"/>
      <c r="BC486" s="2"/>
      <c r="BD486" s="74">
        <v>25.8</v>
      </c>
      <c r="BE486" s="74">
        <v>1004</v>
      </c>
      <c r="BF486" s="74">
        <v>45</v>
      </c>
      <c r="BG486" s="74"/>
      <c r="BH486" s="74">
        <v>2096</v>
      </c>
      <c r="BI486" s="2"/>
      <c r="BJ486" s="3" t="s">
        <v>657</v>
      </c>
    </row>
    <row r="487" spans="1:62" ht="28.5" x14ac:dyDescent="0.45">
      <c r="A487" s="90" t="s">
        <v>43</v>
      </c>
      <c r="B487" s="76" t="s">
        <v>45</v>
      </c>
      <c r="C487" s="77">
        <v>45414</v>
      </c>
      <c r="D487" s="78">
        <v>4</v>
      </c>
      <c r="E487" s="2" t="s">
        <v>213</v>
      </c>
      <c r="F487" s="4" t="s">
        <v>331</v>
      </c>
      <c r="G487" s="4" t="s">
        <v>578</v>
      </c>
      <c r="H487" s="74" t="s">
        <v>223</v>
      </c>
      <c r="I487" s="74">
        <v>0.1593</v>
      </c>
      <c r="J487" s="74">
        <v>0.1593</v>
      </c>
      <c r="K487" s="74">
        <v>2.2000000000000001E-3</v>
      </c>
      <c r="L487" s="7"/>
      <c r="M487" s="74">
        <v>0.1565</v>
      </c>
      <c r="N487" s="7">
        <v>-0.51</v>
      </c>
      <c r="O487" s="4"/>
      <c r="P487" s="74">
        <v>1.2629999999999999</v>
      </c>
      <c r="T487" s="74">
        <v>62.2</v>
      </c>
      <c r="U487" s="74">
        <v>507</v>
      </c>
      <c r="V487" s="74">
        <v>753.8</v>
      </c>
      <c r="W487" s="74" t="s">
        <v>77</v>
      </c>
      <c r="X487" s="4"/>
      <c r="Y487" s="4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4"/>
      <c r="AX487" s="2"/>
      <c r="AY487" s="7"/>
      <c r="AZ487" s="4"/>
      <c r="BA487" s="74">
        <v>113.4</v>
      </c>
      <c r="BB487" s="2"/>
      <c r="BC487" s="2"/>
      <c r="BD487" s="74">
        <v>25.8</v>
      </c>
      <c r="BE487" s="74">
        <v>1004</v>
      </c>
      <c r="BF487" s="74">
        <v>45</v>
      </c>
      <c r="BG487" s="74"/>
      <c r="BH487" s="74">
        <v>2096</v>
      </c>
      <c r="BI487" s="2"/>
      <c r="BJ487" s="3" t="s">
        <v>658</v>
      </c>
    </row>
    <row r="488" spans="1:62" ht="28.5" x14ac:dyDescent="0.45">
      <c r="A488" s="90" t="s">
        <v>43</v>
      </c>
      <c r="B488" s="76" t="s">
        <v>45</v>
      </c>
      <c r="C488" s="77">
        <v>45414</v>
      </c>
      <c r="D488" s="78">
        <v>5</v>
      </c>
      <c r="E488" s="2" t="s">
        <v>213</v>
      </c>
      <c r="F488" s="4" t="s">
        <v>331</v>
      </c>
      <c r="G488" s="4" t="s">
        <v>600</v>
      </c>
      <c r="H488" s="74" t="s">
        <v>223</v>
      </c>
      <c r="I488" s="74">
        <v>0.1618</v>
      </c>
      <c r="J488" s="74">
        <v>0.1618</v>
      </c>
      <c r="K488" s="74">
        <v>6.1000000000000004E-3</v>
      </c>
      <c r="L488" s="7"/>
      <c r="M488" s="74">
        <v>0.1573</v>
      </c>
      <c r="N488" s="7">
        <v>-0.52</v>
      </c>
      <c r="O488" s="4"/>
      <c r="P488" s="74">
        <v>1.2629999999999999</v>
      </c>
      <c r="T488" s="74">
        <v>62.3</v>
      </c>
      <c r="U488" s="74">
        <v>510</v>
      </c>
      <c r="V488" s="74">
        <v>754</v>
      </c>
      <c r="W488" s="74" t="s">
        <v>77</v>
      </c>
      <c r="X488" s="4"/>
      <c r="Y488" s="4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4"/>
      <c r="AX488" s="2"/>
      <c r="AY488" s="7"/>
      <c r="AZ488" s="4"/>
      <c r="BA488" s="74">
        <v>113.4</v>
      </c>
      <c r="BB488" s="2"/>
      <c r="BC488" s="2"/>
      <c r="BD488" s="74">
        <v>25.8</v>
      </c>
      <c r="BE488" s="74">
        <v>1004</v>
      </c>
      <c r="BF488" s="74">
        <v>45</v>
      </c>
      <c r="BG488" s="74"/>
      <c r="BH488" s="74">
        <v>2096</v>
      </c>
      <c r="BI488" s="2"/>
      <c r="BJ488" s="3" t="s">
        <v>659</v>
      </c>
    </row>
    <row r="489" spans="1:62" ht="28.5" x14ac:dyDescent="0.45">
      <c r="A489" s="90" t="s">
        <v>43</v>
      </c>
      <c r="B489" s="76" t="s">
        <v>45</v>
      </c>
      <c r="C489" s="77">
        <v>45414</v>
      </c>
      <c r="D489" s="78">
        <v>6</v>
      </c>
      <c r="E489" s="2" t="s">
        <v>213</v>
      </c>
      <c r="F489" s="4" t="s">
        <v>331</v>
      </c>
      <c r="G489" s="4" t="s">
        <v>601</v>
      </c>
      <c r="H489" s="74" t="s">
        <v>223</v>
      </c>
      <c r="I489" s="74">
        <v>0.1681</v>
      </c>
      <c r="J489" s="74">
        <v>0.1681</v>
      </c>
      <c r="K489" s="74">
        <v>6.9999999999999999E-4</v>
      </c>
      <c r="L489" s="7"/>
      <c r="M489" s="74">
        <v>0.16370000000000001</v>
      </c>
      <c r="N489" s="7">
        <v>-0.55000000000000004</v>
      </c>
      <c r="O489" s="4"/>
      <c r="P489" s="74">
        <v>1.2629999999999999</v>
      </c>
      <c r="T489" s="74">
        <v>62</v>
      </c>
      <c r="U489" s="74">
        <v>507</v>
      </c>
      <c r="V489" s="74">
        <v>753.8</v>
      </c>
      <c r="W489" s="74" t="s">
        <v>77</v>
      </c>
      <c r="X489" s="4"/>
      <c r="Y489" s="4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4"/>
      <c r="AX489" s="2"/>
      <c r="AY489" s="7"/>
      <c r="AZ489" s="4"/>
      <c r="BA489" s="74">
        <v>113.4</v>
      </c>
      <c r="BB489" s="2"/>
      <c r="BC489" s="2"/>
      <c r="BD489" s="74">
        <v>26.1</v>
      </c>
      <c r="BE489" s="74">
        <v>1003.4</v>
      </c>
      <c r="BF489" s="74">
        <v>44</v>
      </c>
      <c r="BG489" s="74"/>
      <c r="BH489" s="74">
        <v>2096</v>
      </c>
      <c r="BI489" s="2"/>
      <c r="BJ489" s="3" t="s">
        <v>660</v>
      </c>
    </row>
    <row r="490" spans="1:62" ht="28.5" x14ac:dyDescent="0.45">
      <c r="A490" s="90" t="s">
        <v>43</v>
      </c>
      <c r="B490" s="76" t="s">
        <v>210</v>
      </c>
      <c r="C490" s="77">
        <v>45414</v>
      </c>
      <c r="D490" s="78">
        <v>1</v>
      </c>
      <c r="E490" s="2" t="s">
        <v>545</v>
      </c>
      <c r="F490" s="4" t="s">
        <v>331</v>
      </c>
      <c r="G490" s="4" t="s">
        <v>578</v>
      </c>
      <c r="H490" s="4" t="s">
        <v>330</v>
      </c>
      <c r="I490" s="74">
        <v>0.17319999999999999</v>
      </c>
      <c r="J490" s="74">
        <v>0.17319999999999999</v>
      </c>
      <c r="K490" s="74">
        <v>3.8E-3</v>
      </c>
      <c r="L490" s="7"/>
      <c r="M490" s="74">
        <v>0.16919999999999999</v>
      </c>
      <c r="N490" s="7">
        <v>-0.6</v>
      </c>
      <c r="O490" s="4"/>
      <c r="P490" s="74">
        <v>1.26</v>
      </c>
      <c r="T490" s="74">
        <v>59.9</v>
      </c>
      <c r="U490" s="74">
        <v>459</v>
      </c>
      <c r="V490" s="74">
        <v>754.3</v>
      </c>
      <c r="W490" s="74" t="s">
        <v>77</v>
      </c>
      <c r="X490" s="4"/>
      <c r="Y490" s="4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4"/>
      <c r="AX490" s="2"/>
      <c r="AY490" s="7"/>
      <c r="AZ490" s="4"/>
      <c r="BA490" s="74">
        <v>111.6</v>
      </c>
      <c r="BB490" s="2"/>
      <c r="BC490" s="2"/>
      <c r="BD490" s="74">
        <v>25.3</v>
      </c>
      <c r="BE490" s="74">
        <v>1004.3</v>
      </c>
      <c r="BF490" s="74">
        <v>45.2</v>
      </c>
      <c r="BG490" s="74"/>
      <c r="BH490" s="74">
        <v>2096</v>
      </c>
      <c r="BI490" s="2"/>
      <c r="BJ490" s="3" t="s">
        <v>661</v>
      </c>
    </row>
    <row r="491" spans="1:62" ht="28.5" x14ac:dyDescent="0.45">
      <c r="A491" s="90" t="s">
        <v>43</v>
      </c>
      <c r="B491" s="76" t="s">
        <v>210</v>
      </c>
      <c r="C491" s="77">
        <v>45414</v>
      </c>
      <c r="D491" s="78">
        <v>2</v>
      </c>
      <c r="E491" s="2" t="s">
        <v>545</v>
      </c>
      <c r="F491" s="4" t="s">
        <v>331</v>
      </c>
      <c r="G491" s="4" t="s">
        <v>601</v>
      </c>
      <c r="H491" s="4" t="s">
        <v>330</v>
      </c>
      <c r="I491" s="74">
        <v>0.16969999999999999</v>
      </c>
      <c r="J491" s="74">
        <v>0.16969999999999999</v>
      </c>
      <c r="K491" s="74">
        <v>5.5999999999999999E-3</v>
      </c>
      <c r="L491" s="7"/>
      <c r="M491" s="74">
        <v>0.1686</v>
      </c>
      <c r="N491" s="7">
        <v>-0.62</v>
      </c>
      <c r="O491" s="4"/>
      <c r="P491" s="74">
        <v>1.26</v>
      </c>
      <c r="T491" s="74">
        <v>58.7</v>
      </c>
      <c r="U491" s="74">
        <v>470</v>
      </c>
      <c r="V491" s="74">
        <v>754.4</v>
      </c>
      <c r="W491" s="74" t="s">
        <v>77</v>
      </c>
      <c r="X491" s="4"/>
      <c r="Y491" s="4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4"/>
      <c r="AX491" s="2"/>
      <c r="AY491" s="7"/>
      <c r="AZ491" s="4"/>
      <c r="BA491" s="74">
        <v>111.6</v>
      </c>
      <c r="BB491" s="2"/>
      <c r="BC491" s="2"/>
      <c r="BD491" s="74">
        <v>25.3</v>
      </c>
      <c r="BE491" s="74">
        <v>1004.3</v>
      </c>
      <c r="BF491" s="74">
        <v>45.2</v>
      </c>
      <c r="BG491" s="74"/>
      <c r="BH491" s="74">
        <v>2096</v>
      </c>
      <c r="BI491" s="2"/>
      <c r="BJ491" s="3" t="s">
        <v>662</v>
      </c>
    </row>
    <row r="492" spans="1:62" x14ac:dyDescent="0.45">
      <c r="A492" s="90" t="s">
        <v>43</v>
      </c>
      <c r="B492" s="76" t="s">
        <v>210</v>
      </c>
      <c r="C492" s="77">
        <v>45414</v>
      </c>
      <c r="D492" s="78">
        <v>3</v>
      </c>
      <c r="E492" s="2" t="s">
        <v>545</v>
      </c>
      <c r="F492" s="4" t="s">
        <v>331</v>
      </c>
      <c r="G492" s="4" t="s">
        <v>600</v>
      </c>
      <c r="H492" s="4" t="s">
        <v>330</v>
      </c>
      <c r="I492" s="74">
        <v>0.1729</v>
      </c>
      <c r="J492" s="74">
        <v>0.1729</v>
      </c>
      <c r="K492" s="74">
        <v>2.0999999999999999E-3</v>
      </c>
      <c r="L492" s="7"/>
      <c r="M492" s="74">
        <v>0.16969999999999999</v>
      </c>
      <c r="N492" s="7">
        <v>-0.69</v>
      </c>
      <c r="O492" s="4"/>
      <c r="P492" s="74">
        <v>1.26</v>
      </c>
      <c r="T492" s="74">
        <v>59.1</v>
      </c>
      <c r="U492" s="74">
        <v>463</v>
      </c>
      <c r="V492" s="74">
        <v>754.2</v>
      </c>
      <c r="W492" s="74" t="s">
        <v>77</v>
      </c>
      <c r="X492" s="4"/>
      <c r="Y492" s="4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4"/>
      <c r="AX492" s="2"/>
      <c r="AY492" s="7"/>
      <c r="AZ492" s="4"/>
      <c r="BA492" s="74">
        <v>111.6</v>
      </c>
      <c r="BB492" s="2"/>
      <c r="BC492" s="2"/>
      <c r="BD492" s="74">
        <v>25.8</v>
      </c>
      <c r="BE492" s="74">
        <v>1004</v>
      </c>
      <c r="BF492" s="74">
        <v>45</v>
      </c>
      <c r="BG492" s="74"/>
      <c r="BH492" s="74">
        <v>2096</v>
      </c>
      <c r="BI492" s="2"/>
      <c r="BJ492" s="3"/>
    </row>
    <row r="493" spans="1:62" ht="28.5" x14ac:dyDescent="0.45">
      <c r="A493" s="90" t="s">
        <v>43</v>
      </c>
      <c r="B493" s="76" t="s">
        <v>210</v>
      </c>
      <c r="C493" s="77">
        <v>45414</v>
      </c>
      <c r="D493" s="78">
        <v>4</v>
      </c>
      <c r="E493" s="2" t="s">
        <v>545</v>
      </c>
      <c r="F493" s="4" t="s">
        <v>331</v>
      </c>
      <c r="G493" s="4" t="s">
        <v>578</v>
      </c>
      <c r="H493" s="4" t="s">
        <v>330</v>
      </c>
      <c r="I493" s="74">
        <v>0.17380000000000001</v>
      </c>
      <c r="J493" s="74">
        <v>0.17380000000000001</v>
      </c>
      <c r="K493" s="74">
        <v>3.7000000000000002E-3</v>
      </c>
      <c r="L493" s="7"/>
      <c r="M493" s="74">
        <v>0.17169999999999999</v>
      </c>
      <c r="N493" s="7">
        <v>-0.7</v>
      </c>
      <c r="O493" s="4"/>
      <c r="P493" s="74">
        <v>1.26</v>
      </c>
      <c r="T493" s="74">
        <v>59.6</v>
      </c>
      <c r="U493" s="74">
        <v>479</v>
      </c>
      <c r="V493" s="74">
        <v>754.3</v>
      </c>
      <c r="W493" s="74" t="s">
        <v>77</v>
      </c>
      <c r="X493" s="4"/>
      <c r="Y493" s="4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4"/>
      <c r="AX493" s="2"/>
      <c r="AY493" s="7"/>
      <c r="AZ493" s="4"/>
      <c r="BA493" s="74">
        <v>111.6</v>
      </c>
      <c r="BB493" s="2"/>
      <c r="BC493" s="2"/>
      <c r="BD493" s="74">
        <v>25.8</v>
      </c>
      <c r="BE493" s="74">
        <v>1004</v>
      </c>
      <c r="BF493" s="74">
        <v>45</v>
      </c>
      <c r="BG493" s="74"/>
      <c r="BH493" s="74">
        <v>2096</v>
      </c>
      <c r="BI493" s="2"/>
      <c r="BJ493" s="3" t="s">
        <v>663</v>
      </c>
    </row>
    <row r="494" spans="1:62" ht="28.5" x14ac:dyDescent="0.45">
      <c r="A494" s="90" t="s">
        <v>43</v>
      </c>
      <c r="B494" s="76" t="s">
        <v>210</v>
      </c>
      <c r="C494" s="77">
        <v>45414</v>
      </c>
      <c r="D494" s="78">
        <v>5</v>
      </c>
      <c r="E494" s="2" t="s">
        <v>545</v>
      </c>
      <c r="F494" s="4" t="s">
        <v>331</v>
      </c>
      <c r="G494" s="4" t="s">
        <v>601</v>
      </c>
      <c r="H494" s="4" t="s">
        <v>330</v>
      </c>
      <c r="I494" s="74">
        <v>0.16889999999999999</v>
      </c>
      <c r="J494" s="74">
        <v>0.16889999999999999</v>
      </c>
      <c r="K494" s="74">
        <v>4.7000000000000002E-3</v>
      </c>
      <c r="L494" s="7"/>
      <c r="M494" s="74">
        <v>0.16400000000000001</v>
      </c>
      <c r="N494" s="7">
        <v>-0.5</v>
      </c>
      <c r="O494" s="4"/>
      <c r="P494" s="74">
        <v>1.26</v>
      </c>
      <c r="T494" s="74">
        <v>60.5</v>
      </c>
      <c r="U494" s="74">
        <v>487</v>
      </c>
      <c r="V494" s="74">
        <v>754.9</v>
      </c>
      <c r="W494" s="74" t="s">
        <v>77</v>
      </c>
      <c r="X494" s="4"/>
      <c r="Y494" s="4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4"/>
      <c r="AX494" s="2"/>
      <c r="AY494" s="7"/>
      <c r="AZ494" s="4"/>
      <c r="BA494" s="74">
        <v>111.6</v>
      </c>
      <c r="BB494" s="2"/>
      <c r="BC494" s="2"/>
      <c r="BD494" s="74">
        <v>25.8</v>
      </c>
      <c r="BE494" s="74">
        <v>1004</v>
      </c>
      <c r="BF494" s="74">
        <v>45</v>
      </c>
      <c r="BG494" s="74"/>
      <c r="BH494" s="74">
        <v>2096</v>
      </c>
      <c r="BI494" s="2"/>
      <c r="BJ494" s="3" t="s">
        <v>664</v>
      </c>
    </row>
    <row r="495" spans="1:62" ht="28.5" x14ac:dyDescent="0.45">
      <c r="A495" s="90" t="s">
        <v>43</v>
      </c>
      <c r="B495" s="76" t="s">
        <v>210</v>
      </c>
      <c r="C495" s="77">
        <v>45414</v>
      </c>
      <c r="D495" s="78">
        <v>6</v>
      </c>
      <c r="E495" s="2" t="s">
        <v>545</v>
      </c>
      <c r="F495" s="4" t="s">
        <v>331</v>
      </c>
      <c r="G495" s="4" t="s">
        <v>600</v>
      </c>
      <c r="H495" s="4" t="s">
        <v>330</v>
      </c>
      <c r="I495" s="74">
        <v>0.16259999999999999</v>
      </c>
      <c r="J495" s="74">
        <v>0.16259999999999999</v>
      </c>
      <c r="K495" s="74">
        <v>2.8E-3</v>
      </c>
      <c r="L495" s="7"/>
      <c r="M495" s="74">
        <v>0.1623</v>
      </c>
      <c r="N495" s="7">
        <v>-0.52</v>
      </c>
      <c r="O495" s="4"/>
      <c r="P495" s="74">
        <v>1.26</v>
      </c>
      <c r="T495" s="74">
        <v>60.8</v>
      </c>
      <c r="U495" s="74">
        <v>485</v>
      </c>
      <c r="V495" s="74">
        <v>754.8</v>
      </c>
      <c r="W495" s="74" t="s">
        <v>77</v>
      </c>
      <c r="X495" s="4"/>
      <c r="Y495" s="4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4"/>
      <c r="AX495" s="2"/>
      <c r="AY495" s="7"/>
      <c r="AZ495" s="4"/>
      <c r="BA495" s="74">
        <v>111.6</v>
      </c>
      <c r="BB495" s="2"/>
      <c r="BC495" s="2"/>
      <c r="BD495" s="74">
        <v>26.1</v>
      </c>
      <c r="BE495" s="74">
        <v>1003.4</v>
      </c>
      <c r="BF495" s="74">
        <v>44</v>
      </c>
      <c r="BG495" s="74"/>
      <c r="BH495" s="74">
        <v>2096</v>
      </c>
      <c r="BI495" s="2"/>
      <c r="BJ495" s="3" t="s">
        <v>665</v>
      </c>
    </row>
    <row r="496" spans="1:62" x14ac:dyDescent="0.45">
      <c r="A496" s="75"/>
      <c r="B496" s="54"/>
      <c r="D496" s="8"/>
      <c r="E496" s="2"/>
      <c r="F496" s="4"/>
      <c r="G496" s="4"/>
      <c r="H496" s="4"/>
      <c r="I496" s="7"/>
      <c r="K496" s="50"/>
      <c r="L496" s="7"/>
      <c r="O496" s="4"/>
      <c r="W496" s="74"/>
      <c r="X496" s="4"/>
      <c r="Y496" s="4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4"/>
      <c r="AX496" s="2"/>
      <c r="AY496" s="7"/>
      <c r="AZ496" s="4"/>
      <c r="BA496" s="4"/>
      <c r="BB496" s="2"/>
      <c r="BC496" s="2"/>
      <c r="BD496" s="2"/>
      <c r="BE496" s="42"/>
      <c r="BF496" s="43"/>
      <c r="BG496" s="44"/>
      <c r="BH496" s="2"/>
      <c r="BI496" s="2"/>
      <c r="BJ496" s="3"/>
    </row>
    <row r="497" spans="1:62" x14ac:dyDescent="0.45">
      <c r="A497" s="75"/>
      <c r="B497" s="54"/>
      <c r="D497" s="8"/>
      <c r="E497" s="2"/>
      <c r="F497" s="4"/>
      <c r="G497" s="4"/>
      <c r="H497" s="4"/>
      <c r="I497" s="7"/>
      <c r="K497" s="50"/>
      <c r="L497" s="7"/>
      <c r="O497" s="4"/>
      <c r="W497" s="74"/>
      <c r="X497" s="4"/>
      <c r="Y497" s="4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4"/>
      <c r="AX497" s="2"/>
      <c r="AY497" s="7"/>
      <c r="AZ497" s="4"/>
      <c r="BA497" s="4"/>
      <c r="BB497" s="2"/>
      <c r="BC497" s="2"/>
      <c r="BD497" s="2"/>
      <c r="BE497" s="42"/>
      <c r="BF497" s="43"/>
      <c r="BG497" s="44"/>
      <c r="BH497" s="2"/>
      <c r="BI497" s="2"/>
      <c r="BJ497" s="3"/>
    </row>
    <row r="498" spans="1:62" x14ac:dyDescent="0.45">
      <c r="A498" s="75"/>
      <c r="B498" s="54"/>
      <c r="D498" s="8"/>
      <c r="E498" s="2"/>
      <c r="F498" s="4"/>
      <c r="G498" s="4"/>
      <c r="H498" s="4"/>
      <c r="I498" s="7"/>
      <c r="K498" s="50"/>
      <c r="L498" s="7"/>
      <c r="O498" s="4"/>
      <c r="W498" s="74"/>
      <c r="X498" s="4"/>
      <c r="Y498" s="4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4"/>
      <c r="AX498" s="2"/>
      <c r="AY498" s="7"/>
      <c r="AZ498" s="4"/>
      <c r="BA498" s="4"/>
      <c r="BB498" s="2"/>
      <c r="BC498" s="2"/>
      <c r="BD498" s="2"/>
      <c r="BE498" s="42"/>
      <c r="BF498" s="43"/>
      <c r="BG498" s="44"/>
      <c r="BH498" s="2"/>
      <c r="BI498" s="2"/>
      <c r="BJ498" s="3"/>
    </row>
    <row r="499" spans="1:62" x14ac:dyDescent="0.45">
      <c r="A499" s="75"/>
      <c r="B499" s="54"/>
      <c r="D499" s="8"/>
      <c r="E499" s="2"/>
      <c r="F499" s="4"/>
      <c r="G499" s="4"/>
      <c r="H499" s="4"/>
      <c r="I499" s="7"/>
      <c r="K499" s="50"/>
      <c r="L499" s="7"/>
      <c r="O499" s="4"/>
      <c r="W499" s="74"/>
      <c r="X499" s="4"/>
      <c r="Y499" s="4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4"/>
      <c r="AX499" s="2"/>
      <c r="AY499" s="7"/>
      <c r="AZ499" s="4"/>
      <c r="BA499" s="4"/>
      <c r="BB499" s="2"/>
      <c r="BC499" s="2"/>
      <c r="BD499" s="2"/>
      <c r="BE499" s="42"/>
      <c r="BF499" s="43"/>
      <c r="BG499" s="44"/>
      <c r="BH499" s="2"/>
      <c r="BI499" s="2"/>
      <c r="BJ499" s="3"/>
    </row>
    <row r="500" spans="1:62" x14ac:dyDescent="0.45">
      <c r="A500" s="75"/>
      <c r="B500" s="54"/>
      <c r="D500" s="8"/>
      <c r="E500" s="2"/>
      <c r="F500" s="4"/>
      <c r="G500" s="4"/>
      <c r="H500" s="4"/>
      <c r="I500" s="7"/>
      <c r="K500" s="50"/>
      <c r="L500" s="7"/>
      <c r="O500" s="4"/>
      <c r="W500" s="74"/>
      <c r="X500" s="4"/>
      <c r="Y500" s="4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4"/>
      <c r="AX500" s="2"/>
      <c r="AY500" s="7"/>
      <c r="AZ500" s="4"/>
      <c r="BA500" s="4"/>
      <c r="BB500" s="2"/>
      <c r="BC500" s="2"/>
      <c r="BD500" s="2"/>
      <c r="BE500" s="42"/>
      <c r="BF500" s="43"/>
      <c r="BG500" s="44"/>
      <c r="BH500" s="2"/>
      <c r="BI500" s="2"/>
      <c r="BJ500" s="3"/>
    </row>
    <row r="501" spans="1:62" x14ac:dyDescent="0.45">
      <c r="A501" s="75"/>
      <c r="B501" s="54"/>
      <c r="D501" s="8"/>
      <c r="E501" s="2"/>
      <c r="F501" s="4"/>
      <c r="G501" s="4"/>
      <c r="H501" s="4"/>
      <c r="I501" s="7"/>
      <c r="K501" s="50"/>
      <c r="L501" s="7"/>
      <c r="O501" s="4"/>
      <c r="W501" s="74"/>
      <c r="X501" s="4"/>
      <c r="Y501" s="4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4"/>
      <c r="AX501" s="2"/>
      <c r="AY501" s="7"/>
      <c r="AZ501" s="4"/>
      <c r="BA501" s="4"/>
      <c r="BB501" s="2"/>
      <c r="BC501" s="2"/>
      <c r="BD501" s="2"/>
      <c r="BE501" s="42"/>
      <c r="BF501" s="43"/>
      <c r="BG501" s="44"/>
      <c r="BH501" s="2"/>
      <c r="BI501" s="2"/>
      <c r="BJ501" s="3"/>
    </row>
    <row r="502" spans="1:62" x14ac:dyDescent="0.45">
      <c r="A502" s="75"/>
      <c r="B502" s="54"/>
      <c r="D502" s="8"/>
      <c r="E502" s="2"/>
      <c r="F502" s="4"/>
      <c r="G502" s="4"/>
      <c r="H502" s="4"/>
      <c r="I502" s="7"/>
      <c r="K502" s="50"/>
      <c r="L502" s="7"/>
      <c r="O502" s="4"/>
      <c r="W502" s="74"/>
      <c r="X502" s="4"/>
      <c r="Y502" s="4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4"/>
      <c r="AX502" s="2"/>
      <c r="AY502" s="7"/>
      <c r="AZ502" s="4"/>
      <c r="BA502" s="4"/>
      <c r="BB502" s="2"/>
      <c r="BC502" s="2"/>
      <c r="BD502" s="2"/>
      <c r="BE502" s="42"/>
      <c r="BF502" s="43"/>
      <c r="BG502" s="44"/>
      <c r="BH502" s="2"/>
      <c r="BI502" s="2"/>
      <c r="BJ502" s="3"/>
    </row>
    <row r="503" spans="1:62" x14ac:dyDescent="0.45">
      <c r="A503" s="75"/>
      <c r="B503" s="54"/>
      <c r="D503" s="8"/>
      <c r="E503" s="2"/>
      <c r="F503" s="4"/>
      <c r="G503" s="4"/>
      <c r="H503" s="4"/>
      <c r="I503" s="7"/>
      <c r="K503" s="50"/>
      <c r="L503" s="7"/>
      <c r="O503" s="4"/>
      <c r="W503" s="74"/>
      <c r="X503" s="4"/>
      <c r="Y503" s="4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4"/>
      <c r="AX503" s="2"/>
      <c r="AY503" s="7"/>
      <c r="AZ503" s="4"/>
      <c r="BA503" s="4"/>
      <c r="BB503" s="2"/>
      <c r="BC503" s="2"/>
      <c r="BD503" s="2"/>
      <c r="BE503" s="42"/>
      <c r="BF503" s="43"/>
      <c r="BG503" s="44"/>
      <c r="BH503" s="2"/>
      <c r="BI503" s="2"/>
      <c r="BJ503" s="3"/>
    </row>
    <row r="504" spans="1:62" x14ac:dyDescent="0.45">
      <c r="A504" s="75"/>
      <c r="B504" s="54"/>
      <c r="D504" s="8"/>
      <c r="E504" s="2"/>
      <c r="F504" s="4"/>
      <c r="G504" s="4"/>
      <c r="H504" s="4"/>
      <c r="I504" s="7"/>
      <c r="K504" s="50"/>
      <c r="L504" s="7"/>
      <c r="O504" s="4"/>
      <c r="W504" s="74"/>
      <c r="X504" s="4"/>
      <c r="Y504" s="4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4"/>
      <c r="AX504" s="2"/>
      <c r="AY504" s="7"/>
      <c r="AZ504" s="4"/>
      <c r="BA504" s="4"/>
      <c r="BB504" s="2"/>
      <c r="BC504" s="2"/>
      <c r="BD504" s="2"/>
      <c r="BE504" s="42"/>
      <c r="BF504" s="43"/>
      <c r="BG504" s="44"/>
      <c r="BH504" s="2"/>
      <c r="BI504" s="2"/>
      <c r="BJ504" s="3"/>
    </row>
    <row r="505" spans="1:62" x14ac:dyDescent="0.45">
      <c r="A505" s="75"/>
      <c r="B505" s="54"/>
      <c r="D505" s="8"/>
      <c r="E505" s="2"/>
      <c r="F505" s="4"/>
      <c r="G505" s="4"/>
      <c r="H505" s="4"/>
      <c r="I505" s="7"/>
      <c r="K505" s="50"/>
      <c r="L505" s="7"/>
      <c r="O505" s="4"/>
      <c r="W505" s="74"/>
      <c r="X505" s="4"/>
      <c r="Y505" s="4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4"/>
      <c r="AX505" s="2"/>
      <c r="AY505" s="7"/>
      <c r="AZ505" s="4"/>
      <c r="BA505" s="4"/>
      <c r="BB505" s="2"/>
      <c r="BC505" s="2"/>
      <c r="BD505" s="2"/>
      <c r="BE505" s="42"/>
      <c r="BF505" s="43"/>
      <c r="BG505" s="44"/>
      <c r="BH505" s="2"/>
      <c r="BI505" s="2"/>
      <c r="BJ505" s="3"/>
    </row>
    <row r="506" spans="1:62" x14ac:dyDescent="0.45">
      <c r="A506" s="75"/>
      <c r="B506" s="54"/>
      <c r="D506" s="8"/>
      <c r="E506" s="2"/>
      <c r="F506" s="4"/>
      <c r="G506" s="4"/>
      <c r="H506" s="4"/>
      <c r="I506" s="7"/>
      <c r="K506" s="50"/>
      <c r="L506" s="7"/>
      <c r="O506" s="4"/>
      <c r="W506" s="74"/>
      <c r="X506" s="4"/>
      <c r="Y506" s="4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4"/>
      <c r="AX506" s="2"/>
      <c r="AY506" s="7"/>
      <c r="AZ506" s="4"/>
      <c r="BA506" s="4"/>
      <c r="BB506" s="2"/>
      <c r="BC506" s="2"/>
      <c r="BD506" s="2"/>
      <c r="BE506" s="42"/>
      <c r="BF506" s="43"/>
      <c r="BG506" s="44"/>
      <c r="BH506" s="2"/>
      <c r="BI506" s="2"/>
      <c r="BJ506" s="3"/>
    </row>
    <row r="507" spans="1:62" x14ac:dyDescent="0.45">
      <c r="A507" s="75"/>
      <c r="B507" s="54"/>
      <c r="D507" s="8"/>
      <c r="E507" s="2"/>
      <c r="F507" s="4"/>
      <c r="G507" s="4"/>
      <c r="H507" s="4"/>
      <c r="I507" s="7"/>
      <c r="K507" s="50"/>
      <c r="L507" s="7"/>
      <c r="O507" s="4"/>
      <c r="W507" s="74"/>
      <c r="X507" s="4"/>
      <c r="Y507" s="4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4"/>
      <c r="AX507" s="2"/>
      <c r="AY507" s="7"/>
      <c r="AZ507" s="4"/>
      <c r="BA507" s="4"/>
      <c r="BB507" s="2"/>
      <c r="BC507" s="2"/>
      <c r="BD507" s="2"/>
      <c r="BE507" s="42"/>
      <c r="BF507" s="43"/>
      <c r="BG507" s="44"/>
      <c r="BH507" s="2"/>
      <c r="BI507" s="2"/>
      <c r="BJ507" s="3"/>
    </row>
    <row r="508" spans="1:62" x14ac:dyDescent="0.45">
      <c r="A508" s="75"/>
      <c r="B508" s="54"/>
      <c r="D508" s="8"/>
      <c r="E508" s="2"/>
      <c r="F508" s="4"/>
      <c r="G508" s="4"/>
      <c r="H508" s="4"/>
      <c r="I508" s="7"/>
      <c r="K508" s="50"/>
      <c r="L508" s="7"/>
      <c r="O508" s="4"/>
      <c r="W508" s="74"/>
      <c r="X508" s="4"/>
      <c r="Y508" s="4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4"/>
      <c r="AX508" s="2"/>
      <c r="AY508" s="7"/>
      <c r="AZ508" s="4"/>
      <c r="BA508" s="4"/>
      <c r="BB508" s="2"/>
      <c r="BC508" s="2"/>
      <c r="BD508" s="2"/>
      <c r="BE508" s="42"/>
      <c r="BF508" s="43"/>
      <c r="BG508" s="44"/>
      <c r="BH508" s="2"/>
      <c r="BI508" s="2"/>
      <c r="BJ508" s="3"/>
    </row>
    <row r="509" spans="1:62" x14ac:dyDescent="0.45">
      <c r="A509" s="75"/>
      <c r="B509" s="54"/>
      <c r="D509" s="8"/>
      <c r="E509" s="2"/>
      <c r="F509" s="4"/>
      <c r="G509" s="4"/>
      <c r="H509" s="4"/>
      <c r="I509" s="7"/>
      <c r="K509" s="50"/>
      <c r="L509" s="7"/>
      <c r="O509" s="4"/>
      <c r="W509" s="74"/>
      <c r="X509" s="4"/>
      <c r="Y509" s="4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4"/>
      <c r="AX509" s="2"/>
      <c r="AY509" s="7"/>
      <c r="AZ509" s="4"/>
      <c r="BA509" s="4"/>
      <c r="BB509" s="2"/>
      <c r="BC509" s="2"/>
      <c r="BD509" s="2"/>
      <c r="BE509" s="42"/>
      <c r="BF509" s="43"/>
      <c r="BG509" s="44"/>
      <c r="BH509" s="2"/>
      <c r="BI509" s="2"/>
      <c r="BJ509" s="3"/>
    </row>
  </sheetData>
  <phoneticPr fontId="6" type="noConversion"/>
  <hyperlinks>
    <hyperlink ref="BJ369" r:id="rId1" xr:uid="{996BAEBD-C2DD-4F95-96A4-693CC27400D9}"/>
    <hyperlink ref="BJ56" r:id="rId2" xr:uid="{9408C2B8-4C13-4B9C-98EA-FC91DFCEE753}"/>
    <hyperlink ref="BJ233" r:id="rId3" xr:uid="{4E638753-37B8-459D-BD98-DF40232ADBC2}"/>
    <hyperlink ref="BJ423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2024-05-06T05:32:35Z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