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B\CNZPD\pages\video_analysis\"/>
    </mc:Choice>
  </mc:AlternateContent>
  <xr:revisionPtr revIDLastSave="0" documentId="13_ncr:1_{1C1CFC5E-4DA7-4519-80F9-8084DBFF2D31}" xr6:coauthVersionLast="47" xr6:coauthVersionMax="47" xr10:uidLastSave="{00000000-0000-0000-0000-000000000000}"/>
  <bookViews>
    <workbookView xWindow="-108" yWindow="-108" windowWidth="23256" windowHeight="12720" xr2:uid="{BAE2881F-AFDF-458E-BC8D-8FE3C83F19F9}"/>
  </bookViews>
  <sheets>
    <sheet name="Sheet1" sheetId="1" r:id="rId1"/>
  </sheets>
  <definedNames>
    <definedName name="_xlnm._FilterDatabase" localSheetId="0" hidden="1">Sheet1!$A$1:$AP$197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201" i="1" l="1"/>
  <c r="AK201" i="1"/>
  <c r="W201" i="1"/>
  <c r="V201" i="1"/>
  <c r="U201" i="1"/>
  <c r="AL199" i="1"/>
  <c r="AK199" i="1"/>
  <c r="W199" i="1"/>
  <c r="V199" i="1"/>
  <c r="U199" i="1"/>
  <c r="AM200" i="1"/>
  <c r="AL200" i="1"/>
  <c r="AK200" i="1"/>
  <c r="W200" i="1"/>
  <c r="AD200" i="1" s="1"/>
  <c r="V200" i="1"/>
  <c r="U200" i="1"/>
  <c r="AL198" i="1"/>
  <c r="AK198" i="1"/>
  <c r="W198" i="1"/>
  <c r="V198" i="1"/>
  <c r="U198" i="1"/>
  <c r="AL197" i="1"/>
  <c r="AK197" i="1"/>
  <c r="W197" i="1"/>
  <c r="V197" i="1"/>
  <c r="U197" i="1"/>
  <c r="AM195" i="1"/>
  <c r="AL195" i="1"/>
  <c r="AK195" i="1"/>
  <c r="W195" i="1"/>
  <c r="AD195" i="1" s="1"/>
  <c r="V195" i="1"/>
  <c r="U195" i="1"/>
  <c r="AM196" i="1"/>
  <c r="AL196" i="1"/>
  <c r="AK196" i="1"/>
  <c r="W196" i="1"/>
  <c r="AD196" i="1" s="1"/>
  <c r="V196" i="1"/>
  <c r="U196" i="1"/>
  <c r="AM194" i="1"/>
  <c r="AL194" i="1"/>
  <c r="AK194" i="1"/>
  <c r="W194" i="1"/>
  <c r="AD194" i="1" s="1"/>
  <c r="V194" i="1"/>
  <c r="U194" i="1"/>
  <c r="AM193" i="1"/>
  <c r="AL193" i="1"/>
  <c r="AK193" i="1"/>
  <c r="W193" i="1"/>
  <c r="AD193" i="1" s="1"/>
  <c r="V193" i="1"/>
  <c r="U193" i="1"/>
  <c r="AL192" i="1"/>
  <c r="AK192" i="1"/>
  <c r="W192" i="1"/>
  <c r="V192" i="1"/>
  <c r="U192" i="1"/>
  <c r="AM191" i="1"/>
  <c r="AL191" i="1"/>
  <c r="AK191" i="1"/>
  <c r="W191" i="1"/>
  <c r="AD191" i="1" s="1"/>
  <c r="V191" i="1"/>
  <c r="U191" i="1"/>
  <c r="AL190" i="1"/>
  <c r="AK190" i="1"/>
  <c r="W190" i="1"/>
  <c r="V190" i="1"/>
  <c r="U190" i="1"/>
  <c r="AL189" i="1"/>
  <c r="AK189" i="1"/>
  <c r="W189" i="1"/>
  <c r="V189" i="1"/>
  <c r="U189" i="1"/>
  <c r="AL188" i="1"/>
  <c r="AK188" i="1"/>
  <c r="W188" i="1"/>
  <c r="V188" i="1"/>
  <c r="U188" i="1"/>
  <c r="AM187" i="1"/>
  <c r="AL187" i="1"/>
  <c r="AK187" i="1"/>
  <c r="W187" i="1"/>
  <c r="AD187" i="1" s="1"/>
  <c r="V187" i="1"/>
  <c r="U187" i="1"/>
  <c r="AM186" i="1"/>
  <c r="AL186" i="1"/>
  <c r="AK186" i="1"/>
  <c r="W186" i="1"/>
  <c r="AD186" i="1" s="1"/>
  <c r="V186" i="1"/>
  <c r="U186" i="1"/>
  <c r="AM185" i="1"/>
  <c r="AL185" i="1"/>
  <c r="AK185" i="1"/>
  <c r="W185" i="1"/>
  <c r="AD185" i="1" s="1"/>
  <c r="V185" i="1"/>
  <c r="U185" i="1"/>
  <c r="AM184" i="1"/>
  <c r="AL184" i="1"/>
  <c r="AK184" i="1"/>
  <c r="W184" i="1"/>
  <c r="AD184" i="1" s="1"/>
  <c r="V184" i="1"/>
  <c r="U184" i="1"/>
  <c r="AL182" i="1"/>
  <c r="AK182" i="1"/>
  <c r="W182" i="1"/>
  <c r="V182" i="1"/>
  <c r="U182" i="1"/>
  <c r="AL183" i="1"/>
  <c r="AK183" i="1"/>
  <c r="W183" i="1"/>
  <c r="V183" i="1"/>
  <c r="U183" i="1"/>
  <c r="AL181" i="1"/>
  <c r="AK181" i="1"/>
  <c r="W181" i="1"/>
  <c r="V181" i="1"/>
  <c r="U181" i="1"/>
  <c r="AL180" i="1"/>
  <c r="AK180" i="1"/>
  <c r="W180" i="1"/>
  <c r="V180" i="1"/>
  <c r="U180" i="1"/>
  <c r="AL178" i="1"/>
  <c r="AK178" i="1"/>
  <c r="W178" i="1"/>
  <c r="V178" i="1"/>
  <c r="U178" i="1"/>
  <c r="AL177" i="1"/>
  <c r="AK177" i="1"/>
  <c r="W177" i="1"/>
  <c r="V177" i="1"/>
  <c r="U177" i="1"/>
  <c r="AL179" i="1"/>
  <c r="AK179" i="1"/>
  <c r="W179" i="1"/>
  <c r="V179" i="1"/>
  <c r="U179" i="1"/>
  <c r="AL176" i="1"/>
  <c r="AK176" i="1"/>
  <c r="W176" i="1"/>
  <c r="V176" i="1"/>
  <c r="U176" i="1"/>
  <c r="AL174" i="1"/>
  <c r="AK174" i="1"/>
  <c r="W174" i="1"/>
  <c r="V174" i="1"/>
  <c r="U174" i="1"/>
  <c r="AL175" i="1"/>
  <c r="AK175" i="1"/>
  <c r="W175" i="1"/>
  <c r="V175" i="1"/>
  <c r="U175" i="1"/>
  <c r="AL173" i="1"/>
  <c r="AK173" i="1"/>
  <c r="W173" i="1"/>
  <c r="V173" i="1"/>
  <c r="U173" i="1"/>
  <c r="AL172" i="1"/>
  <c r="AK172" i="1"/>
  <c r="W172" i="1"/>
  <c r="V172" i="1"/>
  <c r="U172" i="1"/>
  <c r="AL171" i="1"/>
  <c r="AK171" i="1"/>
  <c r="W171" i="1"/>
  <c r="V171" i="1"/>
  <c r="U171" i="1"/>
  <c r="AL170" i="1"/>
  <c r="AK170" i="1"/>
  <c r="W170" i="1"/>
  <c r="V170" i="1"/>
  <c r="U170" i="1"/>
  <c r="AL169" i="1"/>
  <c r="AK169" i="1"/>
  <c r="W169" i="1"/>
  <c r="V169" i="1"/>
  <c r="U169" i="1"/>
  <c r="AL168" i="1"/>
  <c r="AK168" i="1"/>
  <c r="W168" i="1"/>
  <c r="V168" i="1"/>
  <c r="U168" i="1"/>
  <c r="AL166" i="1"/>
  <c r="AK166" i="1"/>
  <c r="W166" i="1"/>
  <c r="V166" i="1"/>
  <c r="U166" i="1"/>
  <c r="AM167" i="1"/>
  <c r="AL167" i="1"/>
  <c r="AK167" i="1"/>
  <c r="W167" i="1"/>
  <c r="V167" i="1"/>
  <c r="U167" i="1"/>
  <c r="AL165" i="1"/>
  <c r="AK165" i="1"/>
  <c r="W165" i="1"/>
  <c r="V165" i="1"/>
  <c r="U165" i="1"/>
  <c r="AL164" i="1"/>
  <c r="AK164" i="1"/>
  <c r="W164" i="1"/>
  <c r="V164" i="1"/>
  <c r="U164" i="1"/>
  <c r="AL162" i="1"/>
  <c r="AK162" i="1"/>
  <c r="W162" i="1"/>
  <c r="V162" i="1"/>
  <c r="U162" i="1"/>
  <c r="AM163" i="1"/>
  <c r="AL163" i="1"/>
  <c r="AK163" i="1"/>
  <c r="W163" i="1"/>
  <c r="V163" i="1"/>
  <c r="U163" i="1"/>
  <c r="AL161" i="1"/>
  <c r="AK161" i="1"/>
  <c r="W161" i="1"/>
  <c r="V161" i="1"/>
  <c r="U161" i="1"/>
  <c r="AL160" i="1"/>
  <c r="AK160" i="1"/>
  <c r="W160" i="1"/>
  <c r="V160" i="1"/>
  <c r="U160" i="1"/>
  <c r="AL159" i="1"/>
  <c r="AK159" i="1"/>
  <c r="W159" i="1"/>
  <c r="V159" i="1"/>
  <c r="U159" i="1"/>
  <c r="AL158" i="1"/>
  <c r="AK158" i="1"/>
  <c r="W158" i="1"/>
  <c r="V158" i="1"/>
  <c r="U158" i="1"/>
  <c r="AL157" i="1"/>
  <c r="AK157" i="1"/>
  <c r="W157" i="1"/>
  <c r="V157" i="1"/>
  <c r="U157" i="1"/>
  <c r="AL155" i="1"/>
  <c r="AK155" i="1"/>
  <c r="W155" i="1"/>
  <c r="V155" i="1"/>
  <c r="U155" i="1"/>
  <c r="AL154" i="1"/>
  <c r="AK154" i="1"/>
  <c r="W154" i="1"/>
  <c r="V154" i="1"/>
  <c r="U154" i="1"/>
  <c r="AM156" i="1"/>
  <c r="AL156" i="1"/>
  <c r="AK156" i="1"/>
  <c r="W156" i="1"/>
  <c r="V156" i="1"/>
  <c r="U156" i="1"/>
  <c r="AL153" i="1"/>
  <c r="AK153" i="1"/>
  <c r="W153" i="1"/>
  <c r="V153" i="1"/>
  <c r="U153" i="1"/>
  <c r="AL151" i="1"/>
  <c r="AK151" i="1"/>
  <c r="W151" i="1"/>
  <c r="V151" i="1"/>
  <c r="U151" i="1"/>
  <c r="AL150" i="1"/>
  <c r="AK150" i="1"/>
  <c r="W150" i="1"/>
  <c r="V150" i="1"/>
  <c r="U150" i="1"/>
  <c r="AL149" i="1"/>
  <c r="AK149" i="1"/>
  <c r="W149" i="1"/>
  <c r="V149" i="1"/>
  <c r="U149" i="1"/>
  <c r="AL152" i="1"/>
  <c r="AK152" i="1"/>
  <c r="Y152" i="1"/>
  <c r="X152" i="1"/>
  <c r="W152" i="1"/>
  <c r="V152" i="1"/>
  <c r="U152" i="1"/>
  <c r="AL147" i="1"/>
  <c r="AK147" i="1"/>
  <c r="W147" i="1"/>
  <c r="V147" i="1"/>
  <c r="U147" i="1"/>
  <c r="AL146" i="1"/>
  <c r="AK146" i="1"/>
  <c r="W146" i="1"/>
  <c r="V146" i="1"/>
  <c r="U146" i="1"/>
  <c r="AL145" i="1"/>
  <c r="AK145" i="1"/>
  <c r="W145" i="1"/>
  <c r="V145" i="1"/>
  <c r="U145" i="1"/>
  <c r="AM148" i="1"/>
  <c r="AL148" i="1"/>
  <c r="AK148" i="1"/>
  <c r="W148" i="1"/>
  <c r="V148" i="1"/>
  <c r="U148" i="1"/>
  <c r="AL143" i="1"/>
  <c r="AK143" i="1"/>
  <c r="W143" i="1"/>
  <c r="V143" i="1"/>
  <c r="U143" i="1"/>
  <c r="AL144" i="1"/>
  <c r="AK144" i="1"/>
  <c r="W144" i="1"/>
  <c r="V144" i="1"/>
  <c r="U144" i="1"/>
  <c r="AL142" i="1"/>
  <c r="AK142" i="1"/>
  <c r="W142" i="1"/>
  <c r="V142" i="1"/>
  <c r="U142" i="1"/>
  <c r="AL141" i="1"/>
  <c r="AK141" i="1"/>
  <c r="W141" i="1"/>
  <c r="V141" i="1"/>
  <c r="U141" i="1"/>
  <c r="AL139" i="1"/>
  <c r="AK139" i="1"/>
  <c r="W139" i="1"/>
  <c r="V139" i="1"/>
  <c r="U139" i="1"/>
  <c r="AL140" i="1"/>
  <c r="AK140" i="1"/>
  <c r="W140" i="1"/>
  <c r="V140" i="1"/>
  <c r="U140" i="1"/>
  <c r="AL138" i="1"/>
  <c r="AK138" i="1"/>
  <c r="W138" i="1"/>
  <c r="V138" i="1"/>
  <c r="U138" i="1"/>
  <c r="AL137" i="1"/>
  <c r="AK137" i="1"/>
  <c r="W137" i="1"/>
  <c r="V137" i="1"/>
  <c r="U137" i="1"/>
  <c r="AL135" i="1"/>
  <c r="AK135" i="1"/>
  <c r="V135" i="1"/>
  <c r="U135" i="1"/>
  <c r="AL136" i="1"/>
  <c r="AK136" i="1"/>
  <c r="V136" i="1"/>
  <c r="U136" i="1"/>
  <c r="AL134" i="1"/>
  <c r="AK134" i="1"/>
  <c r="V134" i="1"/>
  <c r="U134" i="1"/>
  <c r="AL133" i="1"/>
  <c r="AK133" i="1"/>
  <c r="V133" i="1"/>
  <c r="U133" i="1"/>
  <c r="AL131" i="1"/>
  <c r="AK131" i="1"/>
  <c r="V131" i="1"/>
  <c r="U131" i="1"/>
  <c r="AL130" i="1"/>
  <c r="AK130" i="1"/>
  <c r="V130" i="1"/>
  <c r="U130" i="1"/>
  <c r="AL132" i="1"/>
  <c r="AK132" i="1"/>
  <c r="V132" i="1"/>
  <c r="U132" i="1"/>
  <c r="AL129" i="1"/>
  <c r="AK129" i="1"/>
  <c r="V129" i="1"/>
  <c r="U129" i="1"/>
  <c r="AL127" i="1"/>
  <c r="AK127" i="1"/>
  <c r="V127" i="1"/>
  <c r="U127" i="1"/>
  <c r="AL128" i="1"/>
  <c r="AM128" i="1" s="1"/>
  <c r="AK128" i="1"/>
  <c r="W128" i="1"/>
  <c r="V128" i="1"/>
  <c r="U128" i="1"/>
  <c r="AL126" i="1"/>
  <c r="AK126" i="1"/>
  <c r="V126" i="1"/>
  <c r="U126" i="1"/>
  <c r="AL125" i="1"/>
  <c r="AK125" i="1"/>
  <c r="V125" i="1"/>
  <c r="U125" i="1"/>
  <c r="AL123" i="1"/>
  <c r="AK123" i="1"/>
  <c r="W123" i="1"/>
  <c r="V123" i="1"/>
  <c r="U123" i="1"/>
  <c r="AL122" i="1"/>
  <c r="AK122" i="1"/>
  <c r="W122" i="1"/>
  <c r="V122" i="1"/>
  <c r="U122" i="1"/>
  <c r="AL121" i="1"/>
  <c r="AK121" i="1"/>
  <c r="W121" i="1"/>
  <c r="V121" i="1"/>
  <c r="U121" i="1"/>
  <c r="AM124" i="1"/>
  <c r="AL124" i="1"/>
  <c r="AK124" i="1"/>
  <c r="W124" i="1"/>
  <c r="V124" i="1"/>
  <c r="U124" i="1"/>
  <c r="AL119" i="1"/>
  <c r="AK119" i="1"/>
  <c r="W119" i="1"/>
  <c r="AD119" i="1" s="1"/>
  <c r="V119" i="1"/>
  <c r="U119" i="1"/>
  <c r="AL118" i="1"/>
  <c r="AK118" i="1"/>
  <c r="W118" i="1"/>
  <c r="AD118" i="1" s="1"/>
  <c r="V118" i="1"/>
  <c r="U118" i="1"/>
  <c r="AM120" i="1"/>
  <c r="AL120" i="1"/>
  <c r="AK120" i="1"/>
  <c r="W120" i="1"/>
  <c r="AD120" i="1" s="1"/>
  <c r="V120" i="1"/>
  <c r="U120" i="1"/>
  <c r="AL117" i="1"/>
  <c r="AK117" i="1"/>
  <c r="W117" i="1"/>
  <c r="AD117" i="1" s="1"/>
  <c r="V117" i="1"/>
  <c r="U117" i="1"/>
  <c r="AL115" i="1"/>
  <c r="AK115" i="1"/>
  <c r="W115" i="1"/>
  <c r="V115" i="1"/>
  <c r="U115" i="1"/>
  <c r="AL116" i="1"/>
  <c r="AK116" i="1"/>
  <c r="W116" i="1"/>
  <c r="V116" i="1"/>
  <c r="U116" i="1"/>
  <c r="AL114" i="1"/>
  <c r="AK114" i="1"/>
  <c r="W114" i="1"/>
  <c r="V114" i="1"/>
  <c r="U114" i="1"/>
  <c r="AL113" i="1"/>
  <c r="AK113" i="1"/>
  <c r="W113" i="1"/>
  <c r="V113" i="1"/>
  <c r="U113" i="1"/>
  <c r="AL111" i="1"/>
  <c r="AK111" i="1"/>
  <c r="W111" i="1"/>
  <c r="AD111" i="1" s="1"/>
  <c r="V111" i="1"/>
  <c r="U111" i="1"/>
  <c r="AL112" i="1"/>
  <c r="AK112" i="1"/>
  <c r="W112" i="1"/>
  <c r="AD112" i="1" s="1"/>
  <c r="V112" i="1"/>
  <c r="U112" i="1"/>
  <c r="AL110" i="1"/>
  <c r="AK110" i="1"/>
  <c r="W110" i="1"/>
  <c r="AD110" i="1" s="1"/>
  <c r="V110" i="1"/>
  <c r="U110" i="1"/>
  <c r="AL109" i="1"/>
  <c r="AK109" i="1"/>
  <c r="W109" i="1"/>
  <c r="AD109" i="1" s="1"/>
  <c r="V109" i="1"/>
  <c r="U109" i="1"/>
  <c r="AL107" i="1"/>
  <c r="AK107" i="1"/>
  <c r="W107" i="1"/>
  <c r="AD107" i="1" s="1"/>
  <c r="V107" i="1"/>
  <c r="U107" i="1"/>
  <c r="AL108" i="1"/>
  <c r="AK108" i="1"/>
  <c r="W108" i="1"/>
  <c r="AD108" i="1" s="1"/>
  <c r="V108" i="1"/>
  <c r="U108" i="1"/>
  <c r="AL106" i="1"/>
  <c r="AK106" i="1"/>
  <c r="W106" i="1"/>
  <c r="AD106" i="1" s="1"/>
  <c r="V106" i="1"/>
  <c r="U106" i="1"/>
  <c r="AL105" i="1"/>
  <c r="AK105" i="1"/>
  <c r="W105" i="1"/>
  <c r="AD105" i="1" s="1"/>
  <c r="V105" i="1"/>
  <c r="U105" i="1"/>
  <c r="AL104" i="1"/>
  <c r="AK104" i="1"/>
  <c r="W104" i="1"/>
  <c r="V104" i="1"/>
  <c r="U104" i="1"/>
  <c r="AL103" i="1"/>
  <c r="AK103" i="1"/>
  <c r="W103" i="1"/>
  <c r="V103" i="1"/>
  <c r="U103" i="1"/>
  <c r="AL102" i="1"/>
  <c r="AK102" i="1"/>
  <c r="W102" i="1"/>
  <c r="V102" i="1"/>
  <c r="U102" i="1"/>
  <c r="AL100" i="1"/>
  <c r="AK100" i="1"/>
  <c r="W100" i="1"/>
  <c r="AD100" i="1" s="1"/>
  <c r="V100" i="1"/>
  <c r="U100" i="1"/>
  <c r="AL101" i="1"/>
  <c r="AK101" i="1"/>
  <c r="W101" i="1"/>
  <c r="AD101" i="1" s="1"/>
  <c r="V101" i="1"/>
  <c r="U101" i="1"/>
  <c r="AL99" i="1"/>
  <c r="AK99" i="1"/>
  <c r="W99" i="1"/>
  <c r="AD99" i="1" s="1"/>
  <c r="V99" i="1"/>
  <c r="U99" i="1"/>
  <c r="AL98" i="1"/>
  <c r="AK98" i="1"/>
  <c r="W98" i="1"/>
  <c r="AD98" i="1" s="1"/>
  <c r="V98" i="1"/>
  <c r="U98" i="1"/>
  <c r="AL96" i="1"/>
  <c r="AK96" i="1"/>
  <c r="W96" i="1"/>
  <c r="AD96" i="1" s="1"/>
  <c r="V96" i="1"/>
  <c r="U96" i="1"/>
  <c r="AL95" i="1"/>
  <c r="AK95" i="1"/>
  <c r="W95" i="1"/>
  <c r="AD95" i="1" s="1"/>
  <c r="V95" i="1"/>
  <c r="U95" i="1"/>
  <c r="AL97" i="1"/>
  <c r="AK97" i="1"/>
  <c r="W97" i="1"/>
  <c r="AD97" i="1" s="1"/>
  <c r="V97" i="1"/>
  <c r="U97" i="1"/>
  <c r="AL94" i="1"/>
  <c r="AK94" i="1"/>
  <c r="W94" i="1"/>
  <c r="AD94" i="1" s="1"/>
  <c r="V94" i="1"/>
  <c r="U94" i="1"/>
  <c r="AL92" i="1"/>
  <c r="AK92" i="1"/>
  <c r="W92" i="1"/>
  <c r="V92" i="1"/>
  <c r="U92" i="1"/>
  <c r="AL93" i="1"/>
  <c r="AK93" i="1"/>
  <c r="W93" i="1"/>
  <c r="V93" i="1"/>
  <c r="U93" i="1"/>
  <c r="AL91" i="1"/>
  <c r="AK91" i="1"/>
  <c r="W91" i="1"/>
  <c r="V91" i="1"/>
  <c r="U91" i="1"/>
  <c r="AL90" i="1"/>
  <c r="AK90" i="1"/>
  <c r="W90" i="1"/>
  <c r="V90" i="1"/>
  <c r="U90" i="1"/>
  <c r="AM87" i="1"/>
  <c r="AL87" i="1"/>
  <c r="AK87" i="1"/>
  <c r="W87" i="1"/>
  <c r="AD87" i="1" s="1"/>
  <c r="V87" i="1"/>
  <c r="U87" i="1"/>
  <c r="AL86" i="1"/>
  <c r="AK86" i="1"/>
  <c r="AC86" i="1"/>
  <c r="AB86" i="1"/>
  <c r="AA86" i="1"/>
  <c r="AG86" i="1" s="1"/>
  <c r="AI86" i="1" s="1"/>
  <c r="AJ86" i="1" s="1"/>
  <c r="Z86" i="1"/>
  <c r="AF86" i="1" s="1"/>
  <c r="W86" i="1"/>
  <c r="AD86" i="1" s="1"/>
  <c r="V86" i="1"/>
  <c r="U86" i="1"/>
  <c r="AL89" i="1"/>
  <c r="AK89" i="1"/>
  <c r="W89" i="1"/>
  <c r="AD89" i="1" s="1"/>
  <c r="V89" i="1"/>
  <c r="U89" i="1"/>
  <c r="AM88" i="1"/>
  <c r="AL88" i="1"/>
  <c r="AK88" i="1"/>
  <c r="AE88" i="1"/>
  <c r="AC88" i="1"/>
  <c r="AB88" i="1"/>
  <c r="AA88" i="1"/>
  <c r="AG88" i="1" s="1"/>
  <c r="AI88" i="1" s="1"/>
  <c r="AJ88" i="1" s="1"/>
  <c r="Z88" i="1"/>
  <c r="AF88" i="1" s="1"/>
  <c r="W88" i="1"/>
  <c r="AD88" i="1" s="1"/>
  <c r="V88" i="1"/>
  <c r="U88" i="1"/>
  <c r="AM85" i="1"/>
  <c r="AL85" i="1"/>
  <c r="AK85" i="1"/>
  <c r="AC85" i="1"/>
  <c r="AB85" i="1"/>
  <c r="AA85" i="1"/>
  <c r="AG85" i="1" s="1"/>
  <c r="AI85" i="1" s="1"/>
  <c r="AJ85" i="1" s="1"/>
  <c r="Z85" i="1"/>
  <c r="AF85" i="1" s="1"/>
  <c r="Y85" i="1"/>
  <c r="AE85" i="1" s="1"/>
  <c r="W85" i="1"/>
  <c r="AD85" i="1" s="1"/>
  <c r="V85" i="1"/>
  <c r="U85" i="1"/>
  <c r="AM84" i="1"/>
  <c r="AL84" i="1"/>
  <c r="AK84" i="1"/>
  <c r="AC84" i="1"/>
  <c r="AB84" i="1"/>
  <c r="AA84" i="1"/>
  <c r="AG84" i="1" s="1"/>
  <c r="AI84" i="1" s="1"/>
  <c r="AJ84" i="1" s="1"/>
  <c r="Z84" i="1"/>
  <c r="AF84" i="1" s="1"/>
  <c r="Y84" i="1"/>
  <c r="AE84" i="1" s="1"/>
  <c r="W84" i="1"/>
  <c r="AD84" i="1" s="1"/>
  <c r="V84" i="1"/>
  <c r="U84" i="1"/>
  <c r="AL83" i="1"/>
  <c r="AK83" i="1"/>
  <c r="AC83" i="1"/>
  <c r="AB83" i="1"/>
  <c r="AA83" i="1"/>
  <c r="AG83" i="1" s="1"/>
  <c r="AI83" i="1" s="1"/>
  <c r="AJ83" i="1" s="1"/>
  <c r="Z83" i="1"/>
  <c r="AF83" i="1" s="1"/>
  <c r="Y83" i="1"/>
  <c r="AE83" i="1" s="1"/>
  <c r="W83" i="1"/>
  <c r="AD83" i="1" s="1"/>
  <c r="V83" i="1"/>
  <c r="U83" i="1"/>
  <c r="AL82" i="1"/>
  <c r="AK82" i="1"/>
  <c r="AC82" i="1"/>
  <c r="AB82" i="1"/>
  <c r="AA82" i="1"/>
  <c r="Z82" i="1"/>
  <c r="Y82" i="1"/>
  <c r="X82" i="1"/>
  <c r="W82" i="1"/>
  <c r="V82" i="1"/>
  <c r="U82" i="1"/>
  <c r="AL81" i="1"/>
  <c r="AK81" i="1"/>
  <c r="AC81" i="1"/>
  <c r="AB81" i="1"/>
  <c r="AA81" i="1"/>
  <c r="Z81" i="1"/>
  <c r="Y81" i="1"/>
  <c r="X81" i="1"/>
  <c r="W81" i="1"/>
  <c r="V81" i="1"/>
  <c r="U81" i="1"/>
  <c r="AL80" i="1"/>
  <c r="AK80" i="1"/>
  <c r="AC80" i="1"/>
  <c r="AB80" i="1"/>
  <c r="AA80" i="1"/>
  <c r="Z80" i="1"/>
  <c r="Y80" i="1"/>
  <c r="X80" i="1"/>
  <c r="W80" i="1"/>
  <c r="V80" i="1"/>
  <c r="U80" i="1"/>
  <c r="AL78" i="1"/>
  <c r="AK78" i="1"/>
  <c r="AC78" i="1"/>
  <c r="AB78" i="1"/>
  <c r="AA78" i="1"/>
  <c r="AG78" i="1" s="1"/>
  <c r="AI78" i="1" s="1"/>
  <c r="AJ78" i="1" s="1"/>
  <c r="Z78" i="1"/>
  <c r="AF78" i="1" s="1"/>
  <c r="Y78" i="1"/>
  <c r="AE78" i="1" s="1"/>
  <c r="AH78" i="1" s="1"/>
  <c r="X78" i="1"/>
  <c r="W78" i="1"/>
  <c r="V78" i="1"/>
  <c r="U78" i="1"/>
  <c r="AL77" i="1"/>
  <c r="AK77" i="1"/>
  <c r="AC77" i="1"/>
  <c r="AB77" i="1"/>
  <c r="AA77" i="1"/>
  <c r="AG77" i="1" s="1"/>
  <c r="AI77" i="1" s="1"/>
  <c r="AJ77" i="1" s="1"/>
  <c r="Z77" i="1"/>
  <c r="AF77" i="1" s="1"/>
  <c r="Y77" i="1"/>
  <c r="AE77" i="1" s="1"/>
  <c r="AH77" i="1" s="1"/>
  <c r="X77" i="1"/>
  <c r="W77" i="1"/>
  <c r="V77" i="1"/>
  <c r="U77" i="1"/>
  <c r="AL79" i="1"/>
  <c r="AK79" i="1"/>
  <c r="AC79" i="1"/>
  <c r="AB79" i="1"/>
  <c r="AA79" i="1"/>
  <c r="AG79" i="1" s="1"/>
  <c r="AI79" i="1" s="1"/>
  <c r="AJ79" i="1" s="1"/>
  <c r="Z79" i="1"/>
  <c r="AF79" i="1" s="1"/>
  <c r="Y79" i="1"/>
  <c r="AE79" i="1" s="1"/>
  <c r="AH79" i="1" s="1"/>
  <c r="X79" i="1"/>
  <c r="W79" i="1"/>
  <c r="AD79" i="1" s="1"/>
  <c r="V79" i="1"/>
  <c r="U79" i="1"/>
  <c r="AM76" i="1"/>
  <c r="AL76" i="1"/>
  <c r="AK76" i="1"/>
  <c r="AC76" i="1"/>
  <c r="AB76" i="1"/>
  <c r="AA76" i="1"/>
  <c r="AG76" i="1" s="1"/>
  <c r="AI76" i="1" s="1"/>
  <c r="AJ76" i="1" s="1"/>
  <c r="Z76" i="1"/>
  <c r="AF76" i="1" s="1"/>
  <c r="Y76" i="1"/>
  <c r="AE76" i="1" s="1"/>
  <c r="AH76" i="1" s="1"/>
  <c r="X76" i="1"/>
  <c r="W76" i="1"/>
  <c r="AD76" i="1" s="1"/>
  <c r="V76" i="1"/>
  <c r="U76" i="1"/>
  <c r="AL74" i="1"/>
  <c r="AK74" i="1"/>
  <c r="AC74" i="1"/>
  <c r="AB74" i="1"/>
  <c r="AA74" i="1"/>
  <c r="AG74" i="1" s="1"/>
  <c r="AI74" i="1" s="1"/>
  <c r="AJ74" i="1" s="1"/>
  <c r="Z74" i="1"/>
  <c r="AF74" i="1" s="1"/>
  <c r="Y74" i="1"/>
  <c r="AE74" i="1" s="1"/>
  <c r="AH74" i="1" s="1"/>
  <c r="X74" i="1"/>
  <c r="W74" i="1"/>
  <c r="AD74" i="1" s="1"/>
  <c r="V74" i="1"/>
  <c r="U74" i="1"/>
  <c r="AL75" i="1"/>
  <c r="AK75" i="1"/>
  <c r="AC75" i="1"/>
  <c r="AB75" i="1"/>
  <c r="AA75" i="1"/>
  <c r="AG75" i="1" s="1"/>
  <c r="AI75" i="1" s="1"/>
  <c r="AJ75" i="1" s="1"/>
  <c r="Z75" i="1"/>
  <c r="AF75" i="1" s="1"/>
  <c r="Y75" i="1"/>
  <c r="AE75" i="1" s="1"/>
  <c r="AH75" i="1" s="1"/>
  <c r="X75" i="1"/>
  <c r="W75" i="1"/>
  <c r="AD75" i="1" s="1"/>
  <c r="V75" i="1"/>
  <c r="U75" i="1"/>
  <c r="AM72" i="1"/>
  <c r="AL72" i="1"/>
  <c r="AK72" i="1"/>
  <c r="AC72" i="1"/>
  <c r="AB72" i="1"/>
  <c r="AA72" i="1"/>
  <c r="AG72" i="1" s="1"/>
  <c r="AI72" i="1" s="1"/>
  <c r="AJ72" i="1" s="1"/>
  <c r="Z72" i="1"/>
  <c r="AF72" i="1" s="1"/>
  <c r="Y72" i="1"/>
  <c r="AE72" i="1" s="1"/>
  <c r="AH72" i="1" s="1"/>
  <c r="X72" i="1"/>
  <c r="W72" i="1"/>
  <c r="AD72" i="1" s="1"/>
  <c r="V72" i="1"/>
  <c r="U72" i="1"/>
  <c r="AL73" i="1"/>
  <c r="AK73" i="1"/>
  <c r="AC73" i="1"/>
  <c r="AB73" i="1"/>
  <c r="AA73" i="1"/>
  <c r="AG73" i="1" s="1"/>
  <c r="AI73" i="1" s="1"/>
  <c r="AJ73" i="1" s="1"/>
  <c r="Z73" i="1"/>
  <c r="AF73" i="1" s="1"/>
  <c r="Y73" i="1"/>
  <c r="AE73" i="1" s="1"/>
  <c r="AH73" i="1" s="1"/>
  <c r="X73" i="1"/>
  <c r="W73" i="1"/>
  <c r="AD73" i="1" s="1"/>
  <c r="V73" i="1"/>
  <c r="U73" i="1"/>
  <c r="AL71" i="1"/>
  <c r="AK71" i="1"/>
  <c r="AC71" i="1"/>
  <c r="AB71" i="1"/>
  <c r="AA71" i="1"/>
  <c r="AG71" i="1" s="1"/>
  <c r="AI71" i="1" s="1"/>
  <c r="AJ71" i="1" s="1"/>
  <c r="Z71" i="1"/>
  <c r="AF71" i="1" s="1"/>
  <c r="Y71" i="1"/>
  <c r="AE71" i="1" s="1"/>
  <c r="AH71" i="1" s="1"/>
  <c r="X71" i="1"/>
  <c r="W71" i="1"/>
  <c r="AD71" i="1" s="1"/>
  <c r="V71" i="1"/>
  <c r="U71" i="1"/>
  <c r="AL70" i="1"/>
  <c r="AK70" i="1"/>
  <c r="AC70" i="1"/>
  <c r="AB70" i="1"/>
  <c r="AA70" i="1"/>
  <c r="AG70" i="1" s="1"/>
  <c r="AI70" i="1" s="1"/>
  <c r="AJ70" i="1" s="1"/>
  <c r="Z70" i="1"/>
  <c r="AF70" i="1" s="1"/>
  <c r="Y70" i="1"/>
  <c r="AE70" i="1" s="1"/>
  <c r="AH70" i="1" s="1"/>
  <c r="X70" i="1"/>
  <c r="W70" i="1"/>
  <c r="AD70" i="1" s="1"/>
  <c r="V70" i="1"/>
  <c r="U70" i="1"/>
  <c r="AL69" i="1"/>
  <c r="AK69" i="1"/>
  <c r="AC69" i="1"/>
  <c r="AB69" i="1"/>
  <c r="AA69" i="1"/>
  <c r="AG69" i="1" s="1"/>
  <c r="AI69" i="1" s="1"/>
  <c r="AJ69" i="1" s="1"/>
  <c r="Z69" i="1"/>
  <c r="AF69" i="1" s="1"/>
  <c r="Y69" i="1"/>
  <c r="AE69" i="1" s="1"/>
  <c r="AH69" i="1" s="1"/>
  <c r="X69" i="1"/>
  <c r="W69" i="1"/>
  <c r="AD69" i="1" s="1"/>
  <c r="V69" i="1"/>
  <c r="U69" i="1"/>
  <c r="AL68" i="1"/>
  <c r="AK68" i="1"/>
  <c r="AC68" i="1"/>
  <c r="AB68" i="1"/>
  <c r="AA68" i="1"/>
  <c r="AG68" i="1" s="1"/>
  <c r="AI68" i="1" s="1"/>
  <c r="AJ68" i="1" s="1"/>
  <c r="Z68" i="1"/>
  <c r="AF68" i="1" s="1"/>
  <c r="Y68" i="1"/>
  <c r="AE68" i="1" s="1"/>
  <c r="AH68" i="1" s="1"/>
  <c r="X68" i="1"/>
  <c r="W68" i="1"/>
  <c r="AD68" i="1" s="1"/>
  <c r="V68" i="1"/>
  <c r="U68" i="1"/>
  <c r="AL67" i="1"/>
  <c r="AK67" i="1"/>
  <c r="AC67" i="1"/>
  <c r="AB67" i="1"/>
  <c r="AA67" i="1"/>
  <c r="AG67" i="1" s="1"/>
  <c r="AI67" i="1" s="1"/>
  <c r="AJ67" i="1" s="1"/>
  <c r="Z67" i="1"/>
  <c r="AF67" i="1" s="1"/>
  <c r="Y67" i="1"/>
  <c r="AE67" i="1" s="1"/>
  <c r="AH67" i="1" s="1"/>
  <c r="X67" i="1"/>
  <c r="W67" i="1"/>
  <c r="AD67" i="1" s="1"/>
  <c r="V67" i="1"/>
  <c r="U67" i="1"/>
  <c r="AL66" i="1"/>
  <c r="AK66" i="1"/>
  <c r="AC66" i="1"/>
  <c r="AB66" i="1"/>
  <c r="AA66" i="1"/>
  <c r="AG66" i="1" s="1"/>
  <c r="AI66" i="1" s="1"/>
  <c r="AJ66" i="1" s="1"/>
  <c r="Z66" i="1"/>
  <c r="AF66" i="1" s="1"/>
  <c r="Y66" i="1"/>
  <c r="AE66" i="1" s="1"/>
  <c r="AH66" i="1" s="1"/>
  <c r="X66" i="1"/>
  <c r="W66" i="1"/>
  <c r="AD66" i="1" s="1"/>
  <c r="V66" i="1"/>
  <c r="U66" i="1"/>
  <c r="AL65" i="1"/>
  <c r="AK65" i="1"/>
  <c r="AC65" i="1"/>
  <c r="AB65" i="1"/>
  <c r="AA65" i="1"/>
  <c r="AG65" i="1" s="1"/>
  <c r="AI65" i="1" s="1"/>
  <c r="AJ65" i="1" s="1"/>
  <c r="Z65" i="1"/>
  <c r="AF65" i="1" s="1"/>
  <c r="Y65" i="1"/>
  <c r="AE65" i="1" s="1"/>
  <c r="AH65" i="1" s="1"/>
  <c r="X65" i="1"/>
  <c r="W65" i="1"/>
  <c r="AD65" i="1" s="1"/>
  <c r="V65" i="1"/>
  <c r="U65" i="1"/>
  <c r="AL64" i="1"/>
  <c r="AK64" i="1"/>
  <c r="AC64" i="1"/>
  <c r="AB64" i="1"/>
  <c r="AA64" i="1"/>
  <c r="AG64" i="1" s="1"/>
  <c r="AI64" i="1" s="1"/>
  <c r="AJ64" i="1" s="1"/>
  <c r="Z64" i="1"/>
  <c r="AF64" i="1" s="1"/>
  <c r="Y64" i="1"/>
  <c r="X64" i="1"/>
  <c r="W64" i="1"/>
  <c r="V64" i="1"/>
  <c r="U64" i="1"/>
  <c r="AL63" i="1"/>
  <c r="AK63" i="1"/>
  <c r="AC63" i="1"/>
  <c r="AB63" i="1"/>
  <c r="AA63" i="1"/>
  <c r="AG63" i="1" s="1"/>
  <c r="AI63" i="1" s="1"/>
  <c r="AJ63" i="1" s="1"/>
  <c r="Z63" i="1"/>
  <c r="AF63" i="1" s="1"/>
  <c r="Y63" i="1"/>
  <c r="X63" i="1"/>
  <c r="W63" i="1"/>
  <c r="AM63" i="1" s="1"/>
  <c r="V63" i="1"/>
  <c r="U63" i="1"/>
  <c r="AL62" i="1"/>
  <c r="AK62" i="1"/>
  <c r="AC62" i="1"/>
  <c r="AB62" i="1"/>
  <c r="AA62" i="1"/>
  <c r="AG62" i="1" s="1"/>
  <c r="AI62" i="1" s="1"/>
  <c r="AJ62" i="1" s="1"/>
  <c r="Z62" i="1"/>
  <c r="AF62" i="1" s="1"/>
  <c r="Y62" i="1"/>
  <c r="X62" i="1"/>
  <c r="W62" i="1"/>
  <c r="V62" i="1"/>
  <c r="U62" i="1"/>
  <c r="AL61" i="1"/>
  <c r="AK61" i="1"/>
  <c r="AC61" i="1"/>
  <c r="AB61" i="1"/>
  <c r="AA61" i="1"/>
  <c r="AG61" i="1" s="1"/>
  <c r="AI61" i="1" s="1"/>
  <c r="AJ61" i="1" s="1"/>
  <c r="Z61" i="1"/>
  <c r="AF61" i="1" s="1"/>
  <c r="Y61" i="1"/>
  <c r="AE61" i="1" s="1"/>
  <c r="AH61" i="1" s="1"/>
  <c r="X61" i="1"/>
  <c r="W61" i="1"/>
  <c r="AD61" i="1" s="1"/>
  <c r="V61" i="1"/>
  <c r="U61" i="1"/>
  <c r="AL60" i="1"/>
  <c r="AK60" i="1"/>
  <c r="AC60" i="1"/>
  <c r="AB60" i="1"/>
  <c r="AA60" i="1"/>
  <c r="AG60" i="1" s="1"/>
  <c r="AI60" i="1" s="1"/>
  <c r="AJ60" i="1" s="1"/>
  <c r="Z60" i="1"/>
  <c r="AF60" i="1" s="1"/>
  <c r="Y60" i="1"/>
  <c r="AE60" i="1" s="1"/>
  <c r="AH60" i="1" s="1"/>
  <c r="X60" i="1"/>
  <c r="W60" i="1"/>
  <c r="AD60" i="1" s="1"/>
  <c r="V60" i="1"/>
  <c r="U60" i="1"/>
  <c r="AL59" i="1"/>
  <c r="AK59" i="1"/>
  <c r="AC59" i="1"/>
  <c r="AB59" i="1"/>
  <c r="AA59" i="1"/>
  <c r="AG59" i="1" s="1"/>
  <c r="AI59" i="1" s="1"/>
  <c r="AJ59" i="1" s="1"/>
  <c r="Z59" i="1"/>
  <c r="AF59" i="1" s="1"/>
  <c r="Y59" i="1"/>
  <c r="AE59" i="1" s="1"/>
  <c r="AH59" i="1" s="1"/>
  <c r="X59" i="1"/>
  <c r="W59" i="1"/>
  <c r="AD59" i="1" s="1"/>
  <c r="V59" i="1"/>
  <c r="U59" i="1"/>
  <c r="AL58" i="1"/>
  <c r="AK58" i="1"/>
  <c r="AC58" i="1"/>
  <c r="AB58" i="1"/>
  <c r="AA58" i="1"/>
  <c r="AG58" i="1" s="1"/>
  <c r="AI58" i="1" s="1"/>
  <c r="AJ58" i="1" s="1"/>
  <c r="Z58" i="1"/>
  <c r="AF58" i="1" s="1"/>
  <c r="Y58" i="1"/>
  <c r="AE58" i="1" s="1"/>
  <c r="AH58" i="1" s="1"/>
  <c r="X58" i="1"/>
  <c r="W58" i="1"/>
  <c r="AD58" i="1" s="1"/>
  <c r="V58" i="1"/>
  <c r="U58" i="1"/>
  <c r="AL57" i="1"/>
  <c r="AK57" i="1"/>
  <c r="AC57" i="1"/>
  <c r="AB57" i="1"/>
  <c r="AA57" i="1"/>
  <c r="AG57" i="1" s="1"/>
  <c r="AI57" i="1" s="1"/>
  <c r="AJ57" i="1" s="1"/>
  <c r="Z57" i="1"/>
  <c r="AF57" i="1" s="1"/>
  <c r="Y57" i="1"/>
  <c r="AE57" i="1" s="1"/>
  <c r="AH57" i="1" s="1"/>
  <c r="X57" i="1"/>
  <c r="W57" i="1"/>
  <c r="AD57" i="1" s="1"/>
  <c r="V57" i="1"/>
  <c r="U57" i="1"/>
  <c r="AL56" i="1"/>
  <c r="AK56" i="1"/>
  <c r="AC56" i="1"/>
  <c r="AB56" i="1"/>
  <c r="AA56" i="1"/>
  <c r="AG56" i="1" s="1"/>
  <c r="AI56" i="1" s="1"/>
  <c r="AJ56" i="1" s="1"/>
  <c r="Z56" i="1"/>
  <c r="AF56" i="1" s="1"/>
  <c r="Y56" i="1"/>
  <c r="AE56" i="1" s="1"/>
  <c r="AH56" i="1" s="1"/>
  <c r="X56" i="1"/>
  <c r="W56" i="1"/>
  <c r="AD56" i="1" s="1"/>
  <c r="V56" i="1"/>
  <c r="U56" i="1"/>
  <c r="AL55" i="1"/>
  <c r="AK55" i="1"/>
  <c r="AC55" i="1"/>
  <c r="AB55" i="1"/>
  <c r="AA55" i="1"/>
  <c r="AG55" i="1" s="1"/>
  <c r="AI55" i="1" s="1"/>
  <c r="AJ55" i="1" s="1"/>
  <c r="Z55" i="1"/>
  <c r="AF55" i="1" s="1"/>
  <c r="Y55" i="1"/>
  <c r="AE55" i="1" s="1"/>
  <c r="AH55" i="1" s="1"/>
  <c r="X55" i="1"/>
  <c r="W55" i="1"/>
  <c r="V55" i="1"/>
  <c r="U55" i="1"/>
  <c r="AL54" i="1"/>
  <c r="AK54" i="1"/>
  <c r="AC54" i="1"/>
  <c r="AB54" i="1"/>
  <c r="AA54" i="1"/>
  <c r="AG54" i="1" s="1"/>
  <c r="AI54" i="1" s="1"/>
  <c r="AJ54" i="1" s="1"/>
  <c r="Z54" i="1"/>
  <c r="AF54" i="1" s="1"/>
  <c r="Y54" i="1"/>
  <c r="AE54" i="1" s="1"/>
  <c r="AH54" i="1" s="1"/>
  <c r="X54" i="1"/>
  <c r="W54" i="1"/>
  <c r="AM54" i="1" s="1"/>
  <c r="V54" i="1"/>
  <c r="U54" i="1"/>
  <c r="AL53" i="1"/>
  <c r="AK53" i="1"/>
  <c r="AC53" i="1"/>
  <c r="AB53" i="1"/>
  <c r="AA53" i="1"/>
  <c r="AG53" i="1" s="1"/>
  <c r="AI53" i="1" s="1"/>
  <c r="AJ53" i="1" s="1"/>
  <c r="Z53" i="1"/>
  <c r="AF53" i="1" s="1"/>
  <c r="Y53" i="1"/>
  <c r="AE53" i="1" s="1"/>
  <c r="AH53" i="1" s="1"/>
  <c r="X53" i="1"/>
  <c r="W53" i="1"/>
  <c r="V53" i="1"/>
  <c r="U53" i="1"/>
  <c r="AL52" i="1"/>
  <c r="AK52" i="1"/>
  <c r="AC52" i="1"/>
  <c r="AB52" i="1"/>
  <c r="AA52" i="1"/>
  <c r="AG52" i="1" s="1"/>
  <c r="AI52" i="1" s="1"/>
  <c r="AJ52" i="1" s="1"/>
  <c r="Z52" i="1"/>
  <c r="AF52" i="1" s="1"/>
  <c r="Y52" i="1"/>
  <c r="AE52" i="1" s="1"/>
  <c r="AH52" i="1" s="1"/>
  <c r="X52" i="1"/>
  <c r="W52" i="1"/>
  <c r="AD52" i="1" s="1"/>
  <c r="V52" i="1"/>
  <c r="U52" i="1"/>
  <c r="AL51" i="1"/>
  <c r="AK51" i="1"/>
  <c r="AC51" i="1"/>
  <c r="AB51" i="1"/>
  <c r="AA51" i="1"/>
  <c r="AG51" i="1" s="1"/>
  <c r="AI51" i="1" s="1"/>
  <c r="AJ51" i="1" s="1"/>
  <c r="Z51" i="1"/>
  <c r="AF51" i="1" s="1"/>
  <c r="Y51" i="1"/>
  <c r="AE51" i="1" s="1"/>
  <c r="AH51" i="1" s="1"/>
  <c r="X51" i="1"/>
  <c r="W51" i="1"/>
  <c r="AD51" i="1" s="1"/>
  <c r="V51" i="1"/>
  <c r="U51" i="1"/>
  <c r="AL50" i="1"/>
  <c r="AK50" i="1"/>
  <c r="AC50" i="1"/>
  <c r="AB50" i="1"/>
  <c r="AA50" i="1"/>
  <c r="AG50" i="1" s="1"/>
  <c r="AI50" i="1" s="1"/>
  <c r="AJ50" i="1" s="1"/>
  <c r="Z50" i="1"/>
  <c r="AF50" i="1" s="1"/>
  <c r="Y50" i="1"/>
  <c r="AE50" i="1" s="1"/>
  <c r="AH50" i="1" s="1"/>
  <c r="X50" i="1"/>
  <c r="W50" i="1"/>
  <c r="AD50" i="1" s="1"/>
  <c r="V50" i="1"/>
  <c r="U50" i="1"/>
  <c r="AL49" i="1"/>
  <c r="AK49" i="1"/>
  <c r="AC49" i="1"/>
  <c r="AB49" i="1"/>
  <c r="AA49" i="1"/>
  <c r="AG49" i="1" s="1"/>
  <c r="AI49" i="1" s="1"/>
  <c r="AJ49" i="1" s="1"/>
  <c r="Z49" i="1"/>
  <c r="AF49" i="1" s="1"/>
  <c r="Y49" i="1"/>
  <c r="AE49" i="1" s="1"/>
  <c r="AH49" i="1" s="1"/>
  <c r="X49" i="1"/>
  <c r="W49" i="1"/>
  <c r="AD49" i="1" s="1"/>
  <c r="V49" i="1"/>
  <c r="U49" i="1"/>
  <c r="AL48" i="1"/>
  <c r="AK48" i="1"/>
  <c r="AC48" i="1"/>
  <c r="AB48" i="1"/>
  <c r="AA48" i="1"/>
  <c r="AG48" i="1" s="1"/>
  <c r="AI48" i="1" s="1"/>
  <c r="AJ48" i="1" s="1"/>
  <c r="Z48" i="1"/>
  <c r="AF48" i="1" s="1"/>
  <c r="Y48" i="1"/>
  <c r="AE48" i="1" s="1"/>
  <c r="AH48" i="1" s="1"/>
  <c r="X48" i="1"/>
  <c r="W48" i="1"/>
  <c r="AD48" i="1" s="1"/>
  <c r="V48" i="1"/>
  <c r="U48" i="1"/>
  <c r="AL47" i="1"/>
  <c r="AK47" i="1"/>
  <c r="AC47" i="1"/>
  <c r="AB47" i="1"/>
  <c r="AA47" i="1"/>
  <c r="AG47" i="1" s="1"/>
  <c r="AI47" i="1" s="1"/>
  <c r="AJ47" i="1" s="1"/>
  <c r="Z47" i="1"/>
  <c r="AF47" i="1" s="1"/>
  <c r="Y47" i="1"/>
  <c r="AE47" i="1" s="1"/>
  <c r="AH47" i="1" s="1"/>
  <c r="X47" i="1"/>
  <c r="W47" i="1"/>
  <c r="AD47" i="1" s="1"/>
  <c r="V47" i="1"/>
  <c r="U47" i="1"/>
  <c r="AL46" i="1"/>
  <c r="AK46" i="1"/>
  <c r="AC46" i="1"/>
  <c r="AB46" i="1"/>
  <c r="AA46" i="1"/>
  <c r="AG46" i="1" s="1"/>
  <c r="AI46" i="1" s="1"/>
  <c r="AJ46" i="1" s="1"/>
  <c r="Z46" i="1"/>
  <c r="AF46" i="1" s="1"/>
  <c r="Y46" i="1"/>
  <c r="AE46" i="1" s="1"/>
  <c r="AH46" i="1" s="1"/>
  <c r="X46" i="1"/>
  <c r="W46" i="1"/>
  <c r="AM46" i="1" s="1"/>
  <c r="AL45" i="1"/>
  <c r="AK45" i="1"/>
  <c r="AC45" i="1"/>
  <c r="AB45" i="1"/>
  <c r="AA45" i="1"/>
  <c r="AG45" i="1" s="1"/>
  <c r="AI45" i="1" s="1"/>
  <c r="AJ45" i="1" s="1"/>
  <c r="Z45" i="1"/>
  <c r="AF45" i="1" s="1"/>
  <c r="Y45" i="1"/>
  <c r="X45" i="1"/>
  <c r="W45" i="1"/>
  <c r="AD45" i="1" s="1"/>
  <c r="AM44" i="1"/>
  <c r="AL44" i="1"/>
  <c r="AC44" i="1"/>
  <c r="AB44" i="1"/>
  <c r="AA44" i="1"/>
  <c r="AG44" i="1" s="1"/>
  <c r="AI44" i="1" s="1"/>
  <c r="AJ44" i="1" s="1"/>
  <c r="Z44" i="1"/>
  <c r="AF44" i="1" s="1"/>
  <c r="Y44" i="1"/>
  <c r="AE44" i="1" s="1"/>
  <c r="AH44" i="1" s="1"/>
  <c r="X44" i="1"/>
  <c r="W44" i="1"/>
  <c r="AD44" i="1" s="1"/>
  <c r="AM43" i="1"/>
  <c r="AL43" i="1"/>
  <c r="AC43" i="1"/>
  <c r="AB43" i="1"/>
  <c r="AA43" i="1"/>
  <c r="AG43" i="1" s="1"/>
  <c r="AI43" i="1" s="1"/>
  <c r="AJ43" i="1" s="1"/>
  <c r="Z43" i="1"/>
  <c r="AF43" i="1" s="1"/>
  <c r="Y43" i="1"/>
  <c r="AE43" i="1" s="1"/>
  <c r="AH43" i="1" s="1"/>
  <c r="X43" i="1"/>
  <c r="W43" i="1"/>
  <c r="AD43" i="1" s="1"/>
  <c r="AL41" i="1"/>
  <c r="AK41" i="1"/>
  <c r="AC41" i="1"/>
  <c r="AB41" i="1"/>
  <c r="AA41" i="1"/>
  <c r="AG41" i="1" s="1"/>
  <c r="AI41" i="1" s="1"/>
  <c r="AJ41" i="1" s="1"/>
  <c r="Z41" i="1"/>
  <c r="AF41" i="1" s="1"/>
  <c r="Y41" i="1"/>
  <c r="AE41" i="1" s="1"/>
  <c r="AH41" i="1" s="1"/>
  <c r="X41" i="1"/>
  <c r="W41" i="1"/>
  <c r="V41" i="1"/>
  <c r="U41" i="1"/>
  <c r="AL42" i="1"/>
  <c r="AK42" i="1"/>
  <c r="AC42" i="1"/>
  <c r="AB42" i="1"/>
  <c r="AA42" i="1"/>
  <c r="AG42" i="1" s="1"/>
  <c r="AI42" i="1" s="1"/>
  <c r="AJ42" i="1" s="1"/>
  <c r="Z42" i="1"/>
  <c r="AF42" i="1" s="1"/>
  <c r="Y42" i="1"/>
  <c r="AE42" i="1" s="1"/>
  <c r="AH42" i="1" s="1"/>
  <c r="X42" i="1"/>
  <c r="W42" i="1"/>
  <c r="V42" i="1"/>
  <c r="U42" i="1"/>
  <c r="AL40" i="1"/>
  <c r="AK40" i="1"/>
  <c r="AC40" i="1"/>
  <c r="AB40" i="1"/>
  <c r="AA40" i="1"/>
  <c r="AG40" i="1" s="1"/>
  <c r="AI40" i="1" s="1"/>
  <c r="AJ40" i="1" s="1"/>
  <c r="Z40" i="1"/>
  <c r="AF40" i="1" s="1"/>
  <c r="Y40" i="1"/>
  <c r="AE40" i="1" s="1"/>
  <c r="AH40" i="1" s="1"/>
  <c r="X40" i="1"/>
  <c r="W40" i="1"/>
  <c r="AM40" i="1" s="1"/>
  <c r="V40" i="1"/>
  <c r="U40" i="1"/>
  <c r="AL39" i="1"/>
  <c r="AK39" i="1"/>
  <c r="AC39" i="1"/>
  <c r="AB39" i="1"/>
  <c r="AA39" i="1"/>
  <c r="AG39" i="1" s="1"/>
  <c r="AI39" i="1" s="1"/>
  <c r="AJ39" i="1" s="1"/>
  <c r="Z39" i="1"/>
  <c r="AF39" i="1" s="1"/>
  <c r="Y39" i="1"/>
  <c r="AE39" i="1" s="1"/>
  <c r="AH39" i="1" s="1"/>
  <c r="X39" i="1"/>
  <c r="W39" i="1"/>
  <c r="V39" i="1"/>
  <c r="U39" i="1"/>
  <c r="AM37" i="1"/>
  <c r="AL37" i="1"/>
  <c r="AK37" i="1"/>
  <c r="AC37" i="1"/>
  <c r="AB37" i="1"/>
  <c r="AA37" i="1"/>
  <c r="AG37" i="1" s="1"/>
  <c r="AI37" i="1" s="1"/>
  <c r="AJ37" i="1" s="1"/>
  <c r="Z37" i="1"/>
  <c r="AF37" i="1" s="1"/>
  <c r="Y37" i="1"/>
  <c r="AE37" i="1" s="1"/>
  <c r="AH37" i="1" s="1"/>
  <c r="X37" i="1"/>
  <c r="W37" i="1"/>
  <c r="AD37" i="1" s="1"/>
  <c r="V37" i="1"/>
  <c r="U37" i="1"/>
  <c r="AL36" i="1"/>
  <c r="AK36" i="1"/>
  <c r="AC36" i="1"/>
  <c r="AB36" i="1"/>
  <c r="AA36" i="1"/>
  <c r="AG36" i="1" s="1"/>
  <c r="AI36" i="1" s="1"/>
  <c r="AJ36" i="1" s="1"/>
  <c r="Z36" i="1"/>
  <c r="AF36" i="1" s="1"/>
  <c r="Y36" i="1"/>
  <c r="AE36" i="1" s="1"/>
  <c r="AH36" i="1" s="1"/>
  <c r="X36" i="1"/>
  <c r="W36" i="1"/>
  <c r="AD36" i="1" s="1"/>
  <c r="V36" i="1"/>
  <c r="U36" i="1"/>
  <c r="AL38" i="1"/>
  <c r="AK38" i="1"/>
  <c r="AC38" i="1"/>
  <c r="AB38" i="1"/>
  <c r="AA38" i="1"/>
  <c r="AG38" i="1" s="1"/>
  <c r="AI38" i="1" s="1"/>
  <c r="AJ38" i="1" s="1"/>
  <c r="Z38" i="1"/>
  <c r="AF38" i="1" s="1"/>
  <c r="Y38" i="1"/>
  <c r="AE38" i="1" s="1"/>
  <c r="AH38" i="1" s="1"/>
  <c r="X38" i="1"/>
  <c r="W38" i="1"/>
  <c r="AD38" i="1" s="1"/>
  <c r="V38" i="1"/>
  <c r="U38" i="1"/>
  <c r="AM35" i="1"/>
  <c r="AL35" i="1"/>
  <c r="AK35" i="1"/>
  <c r="AC35" i="1"/>
  <c r="AB35" i="1"/>
  <c r="AA35" i="1"/>
  <c r="AG35" i="1" s="1"/>
  <c r="AI35" i="1" s="1"/>
  <c r="AJ35" i="1" s="1"/>
  <c r="Z35" i="1"/>
  <c r="AF35" i="1" s="1"/>
  <c r="Y35" i="1"/>
  <c r="AE35" i="1" s="1"/>
  <c r="AH35" i="1" s="1"/>
  <c r="X35" i="1"/>
  <c r="W35" i="1"/>
  <c r="AD35" i="1" s="1"/>
  <c r="V35" i="1"/>
  <c r="U35" i="1"/>
  <c r="AM33" i="1"/>
  <c r="AL33" i="1"/>
  <c r="AK33" i="1"/>
  <c r="AC33" i="1"/>
  <c r="AB33" i="1"/>
  <c r="AA33" i="1"/>
  <c r="AG33" i="1" s="1"/>
  <c r="AI33" i="1" s="1"/>
  <c r="AJ33" i="1" s="1"/>
  <c r="Z33" i="1"/>
  <c r="AF33" i="1" s="1"/>
  <c r="Y33" i="1"/>
  <c r="AE33" i="1" s="1"/>
  <c r="AH33" i="1" s="1"/>
  <c r="X33" i="1"/>
  <c r="W33" i="1"/>
  <c r="AD33" i="1" s="1"/>
  <c r="V33" i="1"/>
  <c r="U33" i="1"/>
  <c r="AL34" i="1"/>
  <c r="AK34" i="1"/>
  <c r="AC34" i="1"/>
  <c r="AB34" i="1"/>
  <c r="AA34" i="1"/>
  <c r="AG34" i="1" s="1"/>
  <c r="AI34" i="1" s="1"/>
  <c r="AJ34" i="1" s="1"/>
  <c r="Z34" i="1"/>
  <c r="AF34" i="1" s="1"/>
  <c r="Y34" i="1"/>
  <c r="AE34" i="1" s="1"/>
  <c r="AH34" i="1" s="1"/>
  <c r="X34" i="1"/>
  <c r="W34" i="1"/>
  <c r="AD34" i="1" s="1"/>
  <c r="V34" i="1"/>
  <c r="U34" i="1"/>
  <c r="AL32" i="1"/>
  <c r="AK32" i="1"/>
  <c r="AC32" i="1"/>
  <c r="AB32" i="1"/>
  <c r="AA32" i="1"/>
  <c r="AG32" i="1" s="1"/>
  <c r="AI32" i="1" s="1"/>
  <c r="AJ32" i="1" s="1"/>
  <c r="Z32" i="1"/>
  <c r="AF32" i="1" s="1"/>
  <c r="Y32" i="1"/>
  <c r="AE32" i="1" s="1"/>
  <c r="AH32" i="1" s="1"/>
  <c r="X32" i="1"/>
  <c r="W32" i="1"/>
  <c r="AD32" i="1" s="1"/>
  <c r="V32" i="1"/>
  <c r="U32" i="1"/>
  <c r="AM31" i="1"/>
  <c r="AL31" i="1"/>
  <c r="AK31" i="1"/>
  <c r="AC31" i="1"/>
  <c r="AB31" i="1"/>
  <c r="AA31" i="1"/>
  <c r="AG31" i="1" s="1"/>
  <c r="AI31" i="1" s="1"/>
  <c r="AJ31" i="1" s="1"/>
  <c r="Z31" i="1"/>
  <c r="AF31" i="1" s="1"/>
  <c r="Y31" i="1"/>
  <c r="AE31" i="1" s="1"/>
  <c r="AH31" i="1" s="1"/>
  <c r="X31" i="1"/>
  <c r="W31" i="1"/>
  <c r="AD31" i="1" s="1"/>
  <c r="V31" i="1"/>
  <c r="U31" i="1"/>
  <c r="AL29" i="1"/>
  <c r="AK29" i="1"/>
  <c r="AC29" i="1"/>
  <c r="AB29" i="1"/>
  <c r="AA29" i="1"/>
  <c r="AG29" i="1" s="1"/>
  <c r="AI29" i="1" s="1"/>
  <c r="AJ29" i="1" s="1"/>
  <c r="Z29" i="1"/>
  <c r="AF29" i="1" s="1"/>
  <c r="Y29" i="1"/>
  <c r="AE29" i="1" s="1"/>
  <c r="AH29" i="1" s="1"/>
  <c r="X29" i="1"/>
  <c r="W29" i="1"/>
  <c r="V29" i="1"/>
  <c r="U29" i="1"/>
  <c r="AL28" i="1"/>
  <c r="AK28" i="1"/>
  <c r="AC28" i="1"/>
  <c r="AB28" i="1"/>
  <c r="AA28" i="1"/>
  <c r="AG28" i="1" s="1"/>
  <c r="AI28" i="1" s="1"/>
  <c r="AJ28" i="1" s="1"/>
  <c r="Z28" i="1"/>
  <c r="AF28" i="1" s="1"/>
  <c r="Y28" i="1"/>
  <c r="AE28" i="1" s="1"/>
  <c r="AH28" i="1" s="1"/>
  <c r="X28" i="1"/>
  <c r="W28" i="1"/>
  <c r="V28" i="1"/>
  <c r="U28" i="1"/>
  <c r="AL30" i="1"/>
  <c r="AK30" i="1"/>
  <c r="AC30" i="1"/>
  <c r="AB30" i="1"/>
  <c r="AA30" i="1"/>
  <c r="AG30" i="1" s="1"/>
  <c r="AI30" i="1" s="1"/>
  <c r="AJ30" i="1" s="1"/>
  <c r="Z30" i="1"/>
  <c r="AF30" i="1" s="1"/>
  <c r="Y30" i="1"/>
  <c r="AE30" i="1" s="1"/>
  <c r="AH30" i="1" s="1"/>
  <c r="X30" i="1"/>
  <c r="W30" i="1"/>
  <c r="V30" i="1"/>
  <c r="U30" i="1"/>
  <c r="AL27" i="1"/>
  <c r="AK27" i="1"/>
  <c r="AC27" i="1"/>
  <c r="AB27" i="1"/>
  <c r="AA27" i="1"/>
  <c r="AG27" i="1" s="1"/>
  <c r="AI27" i="1" s="1"/>
  <c r="AJ27" i="1" s="1"/>
  <c r="Z27" i="1"/>
  <c r="AF27" i="1" s="1"/>
  <c r="Y27" i="1"/>
  <c r="AE27" i="1" s="1"/>
  <c r="AH27" i="1" s="1"/>
  <c r="X27" i="1"/>
  <c r="W27" i="1"/>
  <c r="V27" i="1"/>
  <c r="U27" i="1"/>
  <c r="AM25" i="1"/>
  <c r="AL25" i="1"/>
  <c r="AK25" i="1"/>
  <c r="AC25" i="1"/>
  <c r="AB25" i="1"/>
  <c r="AA25" i="1"/>
  <c r="AG25" i="1" s="1"/>
  <c r="AI25" i="1" s="1"/>
  <c r="AJ25" i="1" s="1"/>
  <c r="Z25" i="1"/>
  <c r="AF25" i="1" s="1"/>
  <c r="Y25" i="1"/>
  <c r="AE25" i="1" s="1"/>
  <c r="AH25" i="1" s="1"/>
  <c r="X25" i="1"/>
  <c r="W25" i="1"/>
  <c r="AD25" i="1" s="1"/>
  <c r="V25" i="1"/>
  <c r="U25" i="1"/>
  <c r="AL24" i="1"/>
  <c r="AK24" i="1"/>
  <c r="AC24" i="1"/>
  <c r="AB24" i="1"/>
  <c r="AA24" i="1"/>
  <c r="AG24" i="1" s="1"/>
  <c r="AI24" i="1" s="1"/>
  <c r="AJ24" i="1" s="1"/>
  <c r="Z24" i="1"/>
  <c r="AF24" i="1" s="1"/>
  <c r="Y24" i="1"/>
  <c r="AE24" i="1" s="1"/>
  <c r="AH24" i="1" s="1"/>
  <c r="X24" i="1"/>
  <c r="W24" i="1"/>
  <c r="AD24" i="1" s="1"/>
  <c r="V24" i="1"/>
  <c r="U24" i="1"/>
  <c r="AL26" i="1"/>
  <c r="AK26" i="1"/>
  <c r="AC26" i="1"/>
  <c r="AB26" i="1"/>
  <c r="AA26" i="1"/>
  <c r="AG26" i="1" s="1"/>
  <c r="AI26" i="1" s="1"/>
  <c r="AJ26" i="1" s="1"/>
  <c r="Z26" i="1"/>
  <c r="AF26" i="1" s="1"/>
  <c r="Y26" i="1"/>
  <c r="AE26" i="1" s="1"/>
  <c r="AH26" i="1" s="1"/>
  <c r="X26" i="1"/>
  <c r="W26" i="1"/>
  <c r="AD26" i="1" s="1"/>
  <c r="V26" i="1"/>
  <c r="U26" i="1"/>
  <c r="AM23" i="1"/>
  <c r="AL23" i="1"/>
  <c r="AK23" i="1"/>
  <c r="AC23" i="1"/>
  <c r="AB23" i="1"/>
  <c r="AA23" i="1"/>
  <c r="AG23" i="1" s="1"/>
  <c r="AI23" i="1" s="1"/>
  <c r="AJ23" i="1" s="1"/>
  <c r="Z23" i="1"/>
  <c r="AF23" i="1" s="1"/>
  <c r="Y23" i="1"/>
  <c r="AE23" i="1" s="1"/>
  <c r="AH23" i="1" s="1"/>
  <c r="X23" i="1"/>
  <c r="W23" i="1"/>
  <c r="AD23" i="1" s="1"/>
  <c r="V23" i="1"/>
  <c r="U23" i="1"/>
  <c r="AM21" i="1"/>
  <c r="AL21" i="1"/>
  <c r="AK21" i="1"/>
  <c r="AC21" i="1"/>
  <c r="AB21" i="1"/>
  <c r="AA21" i="1"/>
  <c r="AG21" i="1" s="1"/>
  <c r="AI21" i="1" s="1"/>
  <c r="AJ21" i="1" s="1"/>
  <c r="Z21" i="1"/>
  <c r="AF21" i="1" s="1"/>
  <c r="Y21" i="1"/>
  <c r="AE21" i="1" s="1"/>
  <c r="AH21" i="1" s="1"/>
  <c r="X21" i="1"/>
  <c r="W21" i="1"/>
  <c r="AD21" i="1" s="1"/>
  <c r="V21" i="1"/>
  <c r="U21" i="1"/>
  <c r="AL20" i="1"/>
  <c r="AK20" i="1"/>
  <c r="AC20" i="1"/>
  <c r="AB20" i="1"/>
  <c r="AA20" i="1"/>
  <c r="AG20" i="1" s="1"/>
  <c r="AI20" i="1" s="1"/>
  <c r="AJ20" i="1" s="1"/>
  <c r="Z20" i="1"/>
  <c r="AF20" i="1" s="1"/>
  <c r="Y20" i="1"/>
  <c r="AE20" i="1" s="1"/>
  <c r="AH20" i="1" s="1"/>
  <c r="X20" i="1"/>
  <c r="W20" i="1"/>
  <c r="AD20" i="1" s="1"/>
  <c r="V20" i="1"/>
  <c r="U20" i="1"/>
  <c r="AL22" i="1"/>
  <c r="AK22" i="1"/>
  <c r="AC22" i="1"/>
  <c r="AB22" i="1"/>
  <c r="AA22" i="1"/>
  <c r="AG22" i="1" s="1"/>
  <c r="AI22" i="1" s="1"/>
  <c r="AJ22" i="1" s="1"/>
  <c r="Z22" i="1"/>
  <c r="AF22" i="1" s="1"/>
  <c r="Y22" i="1"/>
  <c r="AE22" i="1" s="1"/>
  <c r="AH22" i="1" s="1"/>
  <c r="X22" i="1"/>
  <c r="W22" i="1"/>
  <c r="AD22" i="1" s="1"/>
  <c r="V22" i="1"/>
  <c r="U22" i="1"/>
  <c r="AM19" i="1"/>
  <c r="AL19" i="1"/>
  <c r="AK19" i="1"/>
  <c r="AC19" i="1"/>
  <c r="AB19" i="1"/>
  <c r="AA19" i="1"/>
  <c r="AG19" i="1" s="1"/>
  <c r="AI19" i="1" s="1"/>
  <c r="AJ19" i="1" s="1"/>
  <c r="Z19" i="1"/>
  <c r="AF19" i="1" s="1"/>
  <c r="Y19" i="1"/>
  <c r="AE19" i="1" s="1"/>
  <c r="AH19" i="1" s="1"/>
  <c r="X19" i="1"/>
  <c r="W19" i="1"/>
  <c r="AD19" i="1" s="1"/>
  <c r="V19" i="1"/>
  <c r="U19" i="1"/>
  <c r="AL17" i="1"/>
  <c r="AK17" i="1"/>
  <c r="AC17" i="1"/>
  <c r="AB17" i="1"/>
  <c r="AA17" i="1"/>
  <c r="AG17" i="1" s="1"/>
  <c r="AI17" i="1" s="1"/>
  <c r="AJ17" i="1" s="1"/>
  <c r="Z17" i="1"/>
  <c r="AF17" i="1" s="1"/>
  <c r="Y17" i="1"/>
  <c r="AE17" i="1" s="1"/>
  <c r="AH17" i="1" s="1"/>
  <c r="X17" i="1"/>
  <c r="W17" i="1"/>
  <c r="V17" i="1"/>
  <c r="U17" i="1"/>
  <c r="AL18" i="1"/>
  <c r="AK18" i="1"/>
  <c r="AC18" i="1"/>
  <c r="AB18" i="1"/>
  <c r="AA18" i="1"/>
  <c r="AG18" i="1" s="1"/>
  <c r="AI18" i="1" s="1"/>
  <c r="AJ18" i="1" s="1"/>
  <c r="Z18" i="1"/>
  <c r="AF18" i="1" s="1"/>
  <c r="Y18" i="1"/>
  <c r="AE18" i="1" s="1"/>
  <c r="AH18" i="1" s="1"/>
  <c r="X18" i="1"/>
  <c r="W18" i="1"/>
  <c r="V18" i="1"/>
  <c r="U18" i="1"/>
  <c r="AL16" i="1"/>
  <c r="AK16" i="1"/>
  <c r="AC16" i="1"/>
  <c r="AB16" i="1"/>
  <c r="AA16" i="1"/>
  <c r="AG16" i="1" s="1"/>
  <c r="AI16" i="1" s="1"/>
  <c r="AJ16" i="1" s="1"/>
  <c r="Z16" i="1"/>
  <c r="AF16" i="1" s="1"/>
  <c r="Y16" i="1"/>
  <c r="AE16" i="1" s="1"/>
  <c r="AH16" i="1" s="1"/>
  <c r="X16" i="1"/>
  <c r="W16" i="1"/>
  <c r="V16" i="1"/>
  <c r="U16" i="1"/>
  <c r="AL15" i="1"/>
  <c r="AK15" i="1"/>
  <c r="AC15" i="1"/>
  <c r="AB15" i="1"/>
  <c r="AA15" i="1"/>
  <c r="AG15" i="1" s="1"/>
  <c r="AI15" i="1" s="1"/>
  <c r="AJ15" i="1" s="1"/>
  <c r="Z15" i="1"/>
  <c r="AF15" i="1" s="1"/>
  <c r="Y15" i="1"/>
  <c r="AE15" i="1" s="1"/>
  <c r="AH15" i="1" s="1"/>
  <c r="X15" i="1"/>
  <c r="W15" i="1"/>
  <c r="V15" i="1"/>
  <c r="U15" i="1"/>
  <c r="AM13" i="1"/>
  <c r="AL13" i="1"/>
  <c r="AK13" i="1"/>
  <c r="AC13" i="1"/>
  <c r="AB13" i="1"/>
  <c r="AA13" i="1"/>
  <c r="AG13" i="1" s="1"/>
  <c r="AI13" i="1" s="1"/>
  <c r="AJ13" i="1" s="1"/>
  <c r="Z13" i="1"/>
  <c r="AF13" i="1" s="1"/>
  <c r="Y13" i="1"/>
  <c r="AE13" i="1" s="1"/>
  <c r="AH13" i="1" s="1"/>
  <c r="X13" i="1"/>
  <c r="W13" i="1"/>
  <c r="AD13" i="1" s="1"/>
  <c r="V13" i="1"/>
  <c r="U13" i="1"/>
  <c r="AL14" i="1"/>
  <c r="AK14" i="1"/>
  <c r="AC14" i="1"/>
  <c r="AB14" i="1"/>
  <c r="AA14" i="1"/>
  <c r="AG14" i="1" s="1"/>
  <c r="AI14" i="1" s="1"/>
  <c r="AJ14" i="1" s="1"/>
  <c r="Z14" i="1"/>
  <c r="AF14" i="1" s="1"/>
  <c r="Y14" i="1"/>
  <c r="AE14" i="1" s="1"/>
  <c r="AH14" i="1" s="1"/>
  <c r="X14" i="1"/>
  <c r="W14" i="1"/>
  <c r="AD14" i="1" s="1"/>
  <c r="V14" i="1"/>
  <c r="U14" i="1"/>
  <c r="AL12" i="1"/>
  <c r="AK12" i="1"/>
  <c r="AC12" i="1"/>
  <c r="AB12" i="1"/>
  <c r="AA12" i="1"/>
  <c r="AG12" i="1" s="1"/>
  <c r="AI12" i="1" s="1"/>
  <c r="AJ12" i="1" s="1"/>
  <c r="Z12" i="1"/>
  <c r="AF12" i="1" s="1"/>
  <c r="Y12" i="1"/>
  <c r="AE12" i="1" s="1"/>
  <c r="AH12" i="1" s="1"/>
  <c r="X12" i="1"/>
  <c r="W12" i="1"/>
  <c r="AD12" i="1" s="1"/>
  <c r="V12" i="1"/>
  <c r="U12" i="1"/>
  <c r="AM11" i="1"/>
  <c r="AL11" i="1"/>
  <c r="AK11" i="1"/>
  <c r="AC11" i="1"/>
  <c r="AB11" i="1"/>
  <c r="AA11" i="1"/>
  <c r="AG11" i="1" s="1"/>
  <c r="AI11" i="1" s="1"/>
  <c r="AJ11" i="1" s="1"/>
  <c r="Z11" i="1"/>
  <c r="AF11" i="1" s="1"/>
  <c r="Y11" i="1"/>
  <c r="AE11" i="1" s="1"/>
  <c r="AH11" i="1" s="1"/>
  <c r="X11" i="1"/>
  <c r="W11" i="1"/>
  <c r="AD11" i="1" s="1"/>
  <c r="V11" i="1"/>
  <c r="U11" i="1"/>
  <c r="AM9" i="1"/>
  <c r="AL9" i="1"/>
  <c r="AK9" i="1"/>
  <c r="AC9" i="1"/>
  <c r="AB9" i="1"/>
  <c r="AA9" i="1"/>
  <c r="AG9" i="1" s="1"/>
  <c r="AI9" i="1" s="1"/>
  <c r="AJ9" i="1" s="1"/>
  <c r="Z9" i="1"/>
  <c r="AF9" i="1" s="1"/>
  <c r="Y9" i="1"/>
  <c r="AE9" i="1" s="1"/>
  <c r="AH9" i="1" s="1"/>
  <c r="X9" i="1"/>
  <c r="W9" i="1"/>
  <c r="AD9" i="1" s="1"/>
  <c r="V9" i="1"/>
  <c r="U9" i="1"/>
  <c r="AL10" i="1"/>
  <c r="AK10" i="1"/>
  <c r="AC10" i="1"/>
  <c r="AB10" i="1"/>
  <c r="AA10" i="1"/>
  <c r="AG10" i="1" s="1"/>
  <c r="AI10" i="1" s="1"/>
  <c r="AJ10" i="1" s="1"/>
  <c r="Z10" i="1"/>
  <c r="AF10" i="1" s="1"/>
  <c r="Y10" i="1"/>
  <c r="AE10" i="1" s="1"/>
  <c r="AH10" i="1" s="1"/>
  <c r="X10" i="1"/>
  <c r="W10" i="1"/>
  <c r="AD10" i="1" s="1"/>
  <c r="V10" i="1"/>
  <c r="U10" i="1"/>
  <c r="AL8" i="1"/>
  <c r="AK8" i="1"/>
  <c r="AC8" i="1"/>
  <c r="AB8" i="1"/>
  <c r="AA8" i="1"/>
  <c r="AG8" i="1" s="1"/>
  <c r="AI8" i="1" s="1"/>
  <c r="AJ8" i="1" s="1"/>
  <c r="Z8" i="1"/>
  <c r="AF8" i="1" s="1"/>
  <c r="Y8" i="1"/>
  <c r="AE8" i="1" s="1"/>
  <c r="AH8" i="1" s="1"/>
  <c r="X8" i="1"/>
  <c r="W8" i="1"/>
  <c r="AD8" i="1" s="1"/>
  <c r="V8" i="1"/>
  <c r="U8" i="1"/>
  <c r="AM7" i="1"/>
  <c r="AL7" i="1"/>
  <c r="AK7" i="1"/>
  <c r="AC7" i="1"/>
  <c r="AB7" i="1"/>
  <c r="AA7" i="1"/>
  <c r="AG7" i="1" s="1"/>
  <c r="AI7" i="1" s="1"/>
  <c r="AJ7" i="1" s="1"/>
  <c r="Z7" i="1"/>
  <c r="AF7" i="1" s="1"/>
  <c r="Y7" i="1"/>
  <c r="AE7" i="1" s="1"/>
  <c r="AH7" i="1" s="1"/>
  <c r="X7" i="1"/>
  <c r="W7" i="1"/>
  <c r="AD7" i="1" s="1"/>
  <c r="V7" i="1"/>
  <c r="U7" i="1"/>
  <c r="AL6" i="1"/>
  <c r="AK6" i="1"/>
  <c r="AC6" i="1"/>
  <c r="AB6" i="1"/>
  <c r="AA6" i="1"/>
  <c r="AG6" i="1" s="1"/>
  <c r="AI6" i="1" s="1"/>
  <c r="AJ6" i="1" s="1"/>
  <c r="Z6" i="1"/>
  <c r="AF6" i="1" s="1"/>
  <c r="Y6" i="1"/>
  <c r="AE6" i="1" s="1"/>
  <c r="AH6" i="1" s="1"/>
  <c r="X6" i="1"/>
  <c r="W6" i="1"/>
  <c r="V6" i="1"/>
  <c r="U6" i="1"/>
  <c r="AL5" i="1"/>
  <c r="AK5" i="1"/>
  <c r="AC5" i="1"/>
  <c r="AB5" i="1"/>
  <c r="AA5" i="1"/>
  <c r="AG5" i="1" s="1"/>
  <c r="AI5" i="1" s="1"/>
  <c r="AJ5" i="1" s="1"/>
  <c r="Z5" i="1"/>
  <c r="AF5" i="1" s="1"/>
  <c r="Y5" i="1"/>
  <c r="AE5" i="1" s="1"/>
  <c r="AH5" i="1" s="1"/>
  <c r="X5" i="1"/>
  <c r="W5" i="1"/>
  <c r="V5" i="1"/>
  <c r="U5" i="1"/>
  <c r="AL4" i="1"/>
  <c r="AK4" i="1"/>
  <c r="AC4" i="1"/>
  <c r="AB4" i="1"/>
  <c r="AA4" i="1"/>
  <c r="AG4" i="1" s="1"/>
  <c r="AI4" i="1" s="1"/>
  <c r="AJ4" i="1" s="1"/>
  <c r="Z4" i="1"/>
  <c r="AF4" i="1" s="1"/>
  <c r="Y4" i="1"/>
  <c r="AE4" i="1" s="1"/>
  <c r="AH4" i="1" s="1"/>
  <c r="X4" i="1"/>
  <c r="W4" i="1"/>
  <c r="V4" i="1"/>
  <c r="U4" i="1"/>
  <c r="AL3" i="1"/>
  <c r="AK3" i="1"/>
  <c r="AC3" i="1"/>
  <c r="AB3" i="1"/>
  <c r="AA3" i="1"/>
  <c r="AG3" i="1" s="1"/>
  <c r="AI3" i="1" s="1"/>
  <c r="AJ3" i="1" s="1"/>
  <c r="Z3" i="1"/>
  <c r="AF3" i="1" s="1"/>
  <c r="Y3" i="1"/>
  <c r="AE3" i="1" s="1"/>
  <c r="AH3" i="1" s="1"/>
  <c r="X3" i="1"/>
  <c r="W3" i="1"/>
  <c r="V3" i="1"/>
  <c r="U3" i="1"/>
  <c r="AL2" i="1"/>
  <c r="AK2" i="1"/>
  <c r="AC2" i="1"/>
  <c r="AB2" i="1"/>
  <c r="AA2" i="1"/>
  <c r="AG2" i="1" s="1"/>
  <c r="AI2" i="1" s="1"/>
  <c r="AJ2" i="1" s="1"/>
  <c r="Z2" i="1"/>
  <c r="AF2" i="1" s="1"/>
  <c r="Y2" i="1"/>
  <c r="AE2" i="1" s="1"/>
  <c r="AH2" i="1" s="1"/>
  <c r="X2" i="1"/>
  <c r="W2" i="1"/>
  <c r="V2" i="1"/>
  <c r="U2" i="1"/>
  <c r="AM139" i="1" l="1"/>
  <c r="AE81" i="1"/>
  <c r="AM201" i="1"/>
  <c r="AM182" i="1"/>
  <c r="AG80" i="1"/>
  <c r="AD102" i="1"/>
  <c r="AD188" i="1"/>
  <c r="AD104" i="1"/>
  <c r="AD170" i="1"/>
  <c r="AD197" i="1"/>
  <c r="AD3" i="1"/>
  <c r="AD41" i="1"/>
  <c r="AG81" i="1"/>
  <c r="AM91" i="1"/>
  <c r="AD6" i="1"/>
  <c r="AD103" i="1"/>
  <c r="AD192" i="1"/>
  <c r="AD123" i="1"/>
  <c r="AD181" i="1"/>
  <c r="AD2" i="1"/>
  <c r="AD62" i="1"/>
  <c r="AE64" i="1"/>
  <c r="AM2" i="1"/>
  <c r="AD27" i="1"/>
  <c r="AE62" i="1"/>
  <c r="AM114" i="1"/>
  <c r="AM27" i="1"/>
  <c r="AM169" i="1"/>
  <c r="AD116" i="1"/>
  <c r="AM192" i="1"/>
  <c r="AM77" i="1"/>
  <c r="AG82" i="1"/>
  <c r="AM116" i="1"/>
  <c r="AM198" i="1"/>
  <c r="AM3" i="1"/>
  <c r="AD28" i="1"/>
  <c r="AD42" i="1"/>
  <c r="AD82" i="1"/>
  <c r="AD113" i="1"/>
  <c r="AD115" i="1"/>
  <c r="AM122" i="1"/>
  <c r="AM138" i="1"/>
  <c r="AD189" i="1"/>
  <c r="AD199" i="1"/>
  <c r="AD4" i="1"/>
  <c r="AD39" i="1"/>
  <c r="AM39" i="1"/>
  <c r="AM53" i="1"/>
  <c r="AD80" i="1"/>
  <c r="AE82" i="1"/>
  <c r="AD91" i="1"/>
  <c r="AD168" i="1"/>
  <c r="AM183" i="1"/>
  <c r="AM189" i="1"/>
  <c r="AM197" i="1"/>
  <c r="AM102" i="1"/>
  <c r="AM121" i="1"/>
  <c r="AE80" i="1"/>
  <c r="AD92" i="1"/>
  <c r="AD90" i="1"/>
  <c r="AD114" i="1"/>
  <c r="AM181" i="1"/>
  <c r="AD201" i="1"/>
  <c r="AM170" i="1"/>
  <c r="AD180" i="1"/>
  <c r="AM4" i="1"/>
  <c r="AM45" i="1"/>
  <c r="AD64" i="1"/>
  <c r="AD93" i="1"/>
  <c r="AM144" i="1"/>
  <c r="AM29" i="1"/>
  <c r="AM42" i="1"/>
  <c r="AM55" i="1"/>
  <c r="AD121" i="1"/>
  <c r="AD128" i="1"/>
  <c r="AD139" i="1"/>
  <c r="AE152" i="1"/>
  <c r="AD169" i="1"/>
  <c r="AD182" i="1"/>
  <c r="AM16" i="1"/>
  <c r="AD17" i="1"/>
  <c r="AE45" i="1"/>
  <c r="AH45" i="1" s="1"/>
  <c r="AM78" i="1"/>
  <c r="AM81" i="1"/>
  <c r="AN81" i="1" s="1"/>
  <c r="AM113" i="1"/>
  <c r="AD137" i="1"/>
  <c r="AM199" i="1"/>
  <c r="AM90" i="1"/>
  <c r="AM92" i="1"/>
  <c r="AM104" i="1"/>
  <c r="AM180" i="1"/>
  <c r="AM188" i="1"/>
  <c r="AD5" i="1"/>
  <c r="AM17" i="1"/>
  <c r="AM41" i="1"/>
  <c r="AE63" i="1"/>
  <c r="AN63" i="1" s="1"/>
  <c r="AD77" i="1"/>
  <c r="AM137" i="1"/>
  <c r="AD183" i="1"/>
  <c r="AD190" i="1"/>
  <c r="AD198" i="1"/>
  <c r="AM6" i="1"/>
  <c r="AM28" i="1"/>
  <c r="AF81" i="1"/>
  <c r="AM103" i="1"/>
  <c r="AD122" i="1"/>
  <c r="AD15" i="1"/>
  <c r="AD18" i="1"/>
  <c r="AM30" i="1"/>
  <c r="AF82" i="1"/>
  <c r="AM123" i="1"/>
  <c r="AM168" i="1"/>
  <c r="AM190" i="1"/>
  <c r="AM15" i="1"/>
  <c r="AD29" i="1"/>
  <c r="AD55" i="1"/>
  <c r="AM80" i="1"/>
  <c r="AD138" i="1"/>
  <c r="AD152" i="1"/>
  <c r="AI81" i="1"/>
  <c r="AM115" i="1"/>
  <c r="AM171" i="1"/>
  <c r="AD171" i="1"/>
  <c r="AF80" i="1"/>
  <c r="AI80" i="1" s="1"/>
  <c r="AM5" i="1"/>
  <c r="AM62" i="1"/>
  <c r="AN62" i="1" s="1"/>
  <c r="AM93" i="1"/>
  <c r="AM82" i="1"/>
  <c r="AM64" i="1"/>
  <c r="AN64" i="1" s="1"/>
  <c r="AM18" i="1"/>
  <c r="AD53" i="1"/>
  <c r="AD78" i="1"/>
  <c r="AD81" i="1"/>
  <c r="AH81" i="1" s="1"/>
  <c r="AM152" i="1"/>
  <c r="AD16" i="1"/>
  <c r="AD30" i="1"/>
  <c r="AD40" i="1"/>
  <c r="AD63" i="1"/>
  <c r="AD144" i="1"/>
  <c r="AD54" i="1"/>
  <c r="AH82" i="1" l="1"/>
  <c r="AH64" i="1"/>
  <c r="AI82" i="1"/>
  <c r="AJ82" i="1" s="1"/>
  <c r="AN80" i="1"/>
  <c r="AH62" i="1"/>
  <c r="AN45" i="1"/>
  <c r="AN152" i="1"/>
  <c r="AH80" i="1"/>
  <c r="AJ80" i="1" s="1"/>
  <c r="AH63" i="1"/>
  <c r="AN82" i="1"/>
  <c r="AO80" i="1"/>
  <c r="AO81" i="1"/>
  <c r="AJ81" i="1"/>
  <c r="AO82" i="1" l="1"/>
</calcChain>
</file>

<file path=xl/sharedStrings.xml><?xml version="1.0" encoding="utf-8"?>
<sst xmlns="http://schemas.openxmlformats.org/spreadsheetml/2006/main" count="624" uniqueCount="167">
  <si>
    <t>Name</t>
  </si>
  <si>
    <t>Date</t>
  </si>
  <si>
    <t>Set</t>
  </si>
  <si>
    <t>Rep</t>
  </si>
  <si>
    <t>Pos</t>
  </si>
  <si>
    <t>Team/Solo</t>
  </si>
  <si>
    <t>Dist</t>
  </si>
  <si>
    <t>Gear</t>
  </si>
  <si>
    <t>Back</t>
  </si>
  <si>
    <t>Forward</t>
  </si>
  <si>
    <t>Green</t>
  </si>
  <si>
    <t>PL</t>
  </si>
  <si>
    <t>RT</t>
  </si>
  <si>
    <t>Q1</t>
  </si>
  <si>
    <t>Q2</t>
  </si>
  <si>
    <t>Q3</t>
  </si>
  <si>
    <t>Q4</t>
  </si>
  <si>
    <t>Q5</t>
  </si>
  <si>
    <t>Q6</t>
  </si>
  <si>
    <t>Q7</t>
  </si>
  <si>
    <t>Q8</t>
  </si>
  <si>
    <t>H1</t>
  </si>
  <si>
    <t>H2</t>
  </si>
  <si>
    <t>H3</t>
  </si>
  <si>
    <t>H4</t>
  </si>
  <si>
    <t>Lap</t>
  </si>
  <si>
    <t>Lap2</t>
  </si>
  <si>
    <t>Roll</t>
  </si>
  <si>
    <t>Q1_MT</t>
  </si>
  <si>
    <t>H1_MT</t>
  </si>
  <si>
    <t>Lap_MT</t>
  </si>
  <si>
    <t>500_MT</t>
  </si>
  <si>
    <t>Grabosch</t>
  </si>
  <si>
    <t>PG EH SLF</t>
  </si>
  <si>
    <t>Hinze</t>
  </si>
  <si>
    <t>Friedrich</t>
  </si>
  <si>
    <t>Rebecca</t>
  </si>
  <si>
    <t>Moto RP EA</t>
  </si>
  <si>
    <t>Ellesse</t>
  </si>
  <si>
    <t>RP OK EA</t>
  </si>
  <si>
    <t>Olivia</t>
  </si>
  <si>
    <t>Shaane</t>
  </si>
  <si>
    <t>Solo</t>
  </si>
  <si>
    <t>RP SF OK</t>
  </si>
  <si>
    <t>RP EA SF</t>
  </si>
  <si>
    <t>Moto EA OK</t>
  </si>
  <si>
    <t>Moto SF</t>
  </si>
  <si>
    <t>Moto EA</t>
  </si>
  <si>
    <t>Moto OK SF</t>
  </si>
  <si>
    <t>SF EA</t>
  </si>
  <si>
    <t>SF OK</t>
  </si>
  <si>
    <t>RP SF EA</t>
  </si>
  <si>
    <t>RP EA OK</t>
  </si>
  <si>
    <t>Video</t>
  </si>
  <si>
    <t>https://youtu.be/RXMaIdSj6NU</t>
  </si>
  <si>
    <t>https://youtu.be/hiy2bOyIrHw</t>
  </si>
  <si>
    <t>https://youtu.be/V8MOdNtyLMQ</t>
  </si>
  <si>
    <t>https://youtu.be/vE7V8d49EEM</t>
  </si>
  <si>
    <t>https://youtu.be/kMIvgQaU3Ck</t>
  </si>
  <si>
    <t>https://youtu.be/XkflgLdcqVQ</t>
  </si>
  <si>
    <t>https://youtu.be/RN6951bclYg</t>
  </si>
  <si>
    <t>https://youtu.be/jFSWPXIuyhA</t>
  </si>
  <si>
    <t>https://youtu.be/BJzi0J_TkO8</t>
  </si>
  <si>
    <t>https://youtu.be/jxdwOxjKk3c</t>
  </si>
  <si>
    <t>https://youtu.be/O4upM6oirqo</t>
  </si>
  <si>
    <t>https://youtu.be/8j6nVCFngUo</t>
  </si>
  <si>
    <t>https://youtu.be/r9u8teBPMdI</t>
  </si>
  <si>
    <t>https://youtu.be/0Ey56Kg000A</t>
  </si>
  <si>
    <t>https://youtu.be/KibljiU2sYg</t>
  </si>
  <si>
    <t>https://youtu.be/ko2LHSHIxIc</t>
  </si>
  <si>
    <t>https://youtu.be/u1KlBXbIerk</t>
  </si>
  <si>
    <t>https://youtu.be/OKBb_xqH11o</t>
  </si>
  <si>
    <t>https://youtu.be/4O0GEOzgbx4</t>
  </si>
  <si>
    <t>https://youtu.be/93CjHP0Ysxs</t>
  </si>
  <si>
    <t>https://youtu.be/O9Q_936CbC4</t>
  </si>
  <si>
    <t>https://youtu.be/wkFIHMr74mg</t>
  </si>
  <si>
    <t>https://youtu.be/hubruLBVqJE</t>
  </si>
  <si>
    <t>https://youtu.be/HLAUIZkRf80</t>
  </si>
  <si>
    <t>https://youtu.be/RKyQ7woCGvQ</t>
  </si>
  <si>
    <t>https://youtu.be/Yua93eMG2Hc</t>
  </si>
  <si>
    <t>https://youtu.be/hB1yvgijXIY</t>
  </si>
  <si>
    <t>https://youtu.be/9kQ68w7E7T4</t>
  </si>
  <si>
    <t>https://youtu.be/cfdNOiZ-bV0</t>
  </si>
  <si>
    <t>https://youtu.be/04piwOYTzWw</t>
  </si>
  <si>
    <t>https://youtu.be/SES0RMDM0ao</t>
  </si>
  <si>
    <t>https://youtu.be/c3W3UkfReM8</t>
  </si>
  <si>
    <t>https://youtu.be/ViXaoxzyxNQ</t>
  </si>
  <si>
    <t>https://youtu.be/-Hd7r1M98js</t>
  </si>
  <si>
    <t>https://youtu.be/Ywh9RI0oNuE</t>
  </si>
  <si>
    <t>https://youtu.be/fdIWsfIhjAU</t>
  </si>
  <si>
    <t>https://youtu.be/vp7zdZOuf9M</t>
  </si>
  <si>
    <t>https://youtu.be/MOXj31sWarQ</t>
  </si>
  <si>
    <t>https://youtu.be/GhB3xzNDe3E</t>
  </si>
  <si>
    <t>https://youtu.be/k9f3I6dnJGs</t>
  </si>
  <si>
    <t>https://youtu.be/2hK5LxuxVmY</t>
  </si>
  <si>
    <t>https://youtu.be/p_DDzfxvk0E</t>
  </si>
  <si>
    <t>https://youtu.be/PQ0DzETcDbQ</t>
  </si>
  <si>
    <t>https://youtu.be/cqDAJ4dXnZ0</t>
  </si>
  <si>
    <t>https://youtu.be/of6FaWJoKeM</t>
  </si>
  <si>
    <t>https://youtu.be/aw64ulxcb5Q</t>
  </si>
  <si>
    <t>https://youtu.be/FP7_kllyiCs</t>
  </si>
  <si>
    <t>https://youtu.be/DUQPsmLzgZE</t>
  </si>
  <si>
    <t>https://youtu.be/2bkS0pHEXOE</t>
  </si>
  <si>
    <t>https://youtu.be/AtpP0796cj8</t>
  </si>
  <si>
    <t>https://youtu.be/_Z1QZ0hw3NE</t>
  </si>
  <si>
    <t>https://youtu.be/-_GcwILVHeU</t>
  </si>
  <si>
    <t>https://youtu.be/8TzlIxO6PiQ</t>
  </si>
  <si>
    <t>https://youtu.be/E8u5Ud770HE</t>
  </si>
  <si>
    <t>https://youtu.be/YbwU6yv_GY0</t>
  </si>
  <si>
    <t>https://youtu.be/RSIJSiE8rRA</t>
  </si>
  <si>
    <t>https://youtu.be/RJrpfETx540</t>
  </si>
  <si>
    <t>https://youtu.be/P5w7ppfdZs4</t>
  </si>
  <si>
    <t>https://youtu.be/dax6_B5Ckes</t>
  </si>
  <si>
    <t>https://youtu.be/kaVyEB5wKUg</t>
  </si>
  <si>
    <t>https://youtu.be/ooqQWhbgNkg</t>
  </si>
  <si>
    <t>https://youtu.be/_Gx_ZoxyZ78</t>
  </si>
  <si>
    <t>https://youtu.be/dVD99ByxmZ0</t>
  </si>
  <si>
    <t>https://youtu.be/xJa-qw1GJyE</t>
  </si>
  <si>
    <t>https://youtu.be/C4lsigoyuuY</t>
  </si>
  <si>
    <t>https://youtu.be/WTnW0bms6tg</t>
  </si>
  <si>
    <t>https://youtu.be/wvUrKHmOdP0</t>
  </si>
  <si>
    <t>https://youtu.be/UwASEF9hEW0</t>
  </si>
  <si>
    <t>https://youtu.be/Nrs6MaFU0g0</t>
  </si>
  <si>
    <t>https://youtu.be/fWpfjDWGdbM</t>
  </si>
  <si>
    <t>https://youtu.be/Nq2_yndRTgU</t>
  </si>
  <si>
    <t>https://youtu.be/IzpZmw-s8hE</t>
  </si>
  <si>
    <t>https://youtu.be/UJbIQ_X3k94</t>
  </si>
  <si>
    <t>https://youtu.be/iBaKwhaHQx0</t>
  </si>
  <si>
    <t>https://youtu.be/uJAwV8nonOw</t>
  </si>
  <si>
    <t>https://youtu.be/IpFi5typVfc</t>
  </si>
  <si>
    <t>https://youtu.be/1bV_-P_EZs4</t>
  </si>
  <si>
    <t>https://youtu.be/qvJO--fxe_8</t>
  </si>
  <si>
    <t>https://youtu.be/DQHGZ-a3Qqg</t>
  </si>
  <si>
    <t>https://youtu.be/0yCqKIdssI0</t>
  </si>
  <si>
    <t>https://youtu.be/aCXW8d0Usgo</t>
  </si>
  <si>
    <t>https://youtu.be/_QgT5JH1HZc</t>
  </si>
  <si>
    <t>https://youtu.be/jds-DV0YkLE</t>
  </si>
  <si>
    <t>https://youtu.be/2G4uT9PneWk</t>
  </si>
  <si>
    <t>https://youtu.be/TBgSUgbeAjU</t>
  </si>
  <si>
    <t>https://youtu.be/-LZPg7XKh-A</t>
  </si>
  <si>
    <t>https://youtu.be/2LFaez91oK0</t>
  </si>
  <si>
    <t>https://youtu.be/q4gDGEHOMp0</t>
  </si>
  <si>
    <t>https://youtu.be/HtHwScz6RgI</t>
  </si>
  <si>
    <t>https://youtu.be/x-LgPxUgtNQ</t>
  </si>
  <si>
    <t>https://youtu.be/xzxBf3ThkVg</t>
  </si>
  <si>
    <t>https://youtu.be/4ZBg9qDeFFE</t>
  </si>
  <si>
    <t>https://youtu.be/9vMu39HWRAU</t>
  </si>
  <si>
    <t>https://youtu.be/00osXwe25QY</t>
  </si>
  <si>
    <t>https://youtu.be/hegxQC-Etwc</t>
  </si>
  <si>
    <t>https://youtu.be/71w8dLz6m_s</t>
  </si>
  <si>
    <t>https://youtu.be/SOYFmHTm52E</t>
  </si>
  <si>
    <t>https://youtu.be/oMpWPbTRhhw</t>
  </si>
  <si>
    <t>https://youtu.be/BDOhfBoPRGc</t>
  </si>
  <si>
    <t>https://youtu.be/p9Hq3yiwTFg</t>
  </si>
  <si>
    <t>https://youtu.be/q5XkZxT1V1c</t>
  </si>
  <si>
    <t>Natasha</t>
  </si>
  <si>
    <t>https://youtu.be/kiraTIsZoVs</t>
  </si>
  <si>
    <t>https://youtu.be/TdPpUKlJm7E</t>
  </si>
  <si>
    <t>https://youtu.be/3L5CWyUkp-I</t>
  </si>
  <si>
    <t>https://youtu.be/beAVOLhIy_o</t>
  </si>
  <si>
    <t>https://youtu.be/Y8TPUDIQE-I</t>
  </si>
  <si>
    <t>https://youtu.be/plseVfWEdZI</t>
  </si>
  <si>
    <t>https://youtu.be/tq5jR_a7DQI</t>
  </si>
  <si>
    <t>https://youtu.be/XhIUSQ68Mp8</t>
  </si>
  <si>
    <t>https://youtu.be/mP1gjudP1d8</t>
  </si>
  <si>
    <t>https://youtu.be/2NBoSi5qEWU</t>
  </si>
  <si>
    <t>https://youtu.be/Sh-WlgH1bW0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</si>
</sst>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left" indent="1"/>
    </xf>
    <xf numFmtId="1" fontId="1" fillId="0" borderId="0" xfId="0" applyNumberFormat="1" applyFont="1" applyAlignment="1">
      <alignment horizontal="left" indent="1"/>
    </xf>
    <xf numFmtId="2" fontId="1" fillId="0" borderId="0" xfId="0" applyNumberFormat="1" applyFont="1" applyAlignment="1">
      <alignment horizontal="left" indent="2"/>
    </xf>
    <xf numFmtId="2" fontId="1" fillId="0" borderId="0" xfId="0" applyNumberFormat="1" applyFont="1" applyAlignment="1">
      <alignment horizontal="left" indent="1"/>
    </xf>
    <xf numFmtId="164" fontId="1" fillId="0" borderId="0" xfId="0" applyNumberFormat="1" applyFont="1" applyAlignment="1">
      <alignment horizontal="left" indent="1"/>
    </xf>
    <xf numFmtId="14" fontId="0" fillId="0" borderId="0" xfId="0" applyNumberFormat="1"/>
    <xf numFmtId="1" fontId="0" fillId="0" borderId="0" xfId="0" applyNumberFormat="1"/>
    <xf numFmtId="2" fontId="0" fillId="0" borderId="0" xfId="0" applyNumberFormat="1"/>
    <xf numFmtId="0" fontId="2" fillId="0" borderId="0" xfId="1"/>
    <xf numFmtId="2" fontId="3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youtu.be/P5w7ppfdZs4" TargetMode="External"/><Relationship Id="rId1" Type="http://schemas.openxmlformats.org/officeDocument/2006/relationships/hyperlink" Target="https://youtu.be/2hK5LxuxVm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1EBBC-4A15-4CDE-96E1-7BBCD62A6995}">
  <dimension ref="A1:AP201"/>
  <sheetViews>
    <sheetView tabSelected="1" zoomScale="70" zoomScaleNormal="70" workbookViewId="0">
      <pane ySplit="1" topLeftCell="A170" activePane="bottomLeft" state="frozen"/>
      <selection pane="bottomLeft" activeCell="AP196" sqref="AP196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8.33203125" bestFit="1" customWidth="1"/>
    <col min="4" max="4" width="8.88671875" bestFit="1" customWidth="1"/>
    <col min="5" max="5" width="8.5546875" bestFit="1" customWidth="1"/>
    <col min="6" max="6" width="14.88671875" bestFit="1" customWidth="1"/>
    <col min="7" max="7" width="8.88671875" bestFit="1" customWidth="1"/>
    <col min="8" max="8" width="9.6640625" hidden="1" customWidth="1"/>
    <col min="9" max="9" width="10.5546875" hidden="1" customWidth="1"/>
    <col min="10" max="10" width="12.77734375" hidden="1" customWidth="1"/>
    <col min="11" max="11" width="10.88671875" hidden="1" customWidth="1"/>
    <col min="12" max="12" width="7.77734375" hidden="1" customWidth="1"/>
    <col min="13" max="13" width="9.33203125" hidden="1" customWidth="1"/>
    <col min="14" max="14" width="8.88671875" hidden="1" customWidth="1"/>
    <col min="15" max="15" width="10.44140625" hidden="1" customWidth="1"/>
    <col min="16" max="16" width="8.88671875" hidden="1" customWidth="1"/>
    <col min="17" max="17" width="10.44140625" hidden="1" customWidth="1"/>
    <col min="18" max="18" width="8.88671875" hidden="1" customWidth="1"/>
    <col min="19" max="19" width="10.44140625" hidden="1" customWidth="1"/>
    <col min="20" max="20" width="8.88671875" hidden="1" customWidth="1"/>
    <col min="21" max="21" width="7.5546875" hidden="1" customWidth="1"/>
    <col min="22" max="29" width="8" hidden="1" customWidth="1"/>
    <col min="30" max="33" width="7.88671875" hidden="1" customWidth="1"/>
    <col min="34" max="34" width="8.5546875" hidden="1" customWidth="1"/>
    <col min="35" max="35" width="9.6640625" hidden="1" customWidth="1"/>
    <col min="36" max="36" width="8.88671875" hidden="1" customWidth="1"/>
    <col min="37" max="37" width="8.6640625" hidden="1" customWidth="1"/>
    <col min="38" max="38" width="11.6640625" hidden="1" customWidth="1"/>
    <col min="39" max="39" width="11.5546875" hidden="1" customWidth="1"/>
    <col min="40" max="40" width="12.21875" hidden="1" customWidth="1"/>
    <col min="41" max="41" width="12.44140625" hidden="1" customWidth="1"/>
    <col min="42" max="42" width="29.77734375" bestFit="1" customWidth="1"/>
  </cols>
  <sheetData>
    <row r="1" spans="1:42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5">
        <v>62.5</v>
      </c>
      <c r="N1" s="2">
        <v>125</v>
      </c>
      <c r="O1" s="5">
        <v>187.5</v>
      </c>
      <c r="P1" s="2">
        <v>250</v>
      </c>
      <c r="Q1" s="5">
        <v>312.5</v>
      </c>
      <c r="R1" s="2">
        <v>375</v>
      </c>
      <c r="S1" s="5">
        <v>437.5</v>
      </c>
      <c r="T1" s="2">
        <v>500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>
        <v>500</v>
      </c>
      <c r="AK1" s="4" t="s">
        <v>27</v>
      </c>
      <c r="AL1" s="4" t="s">
        <v>28</v>
      </c>
      <c r="AM1" s="4" t="s">
        <v>29</v>
      </c>
      <c r="AN1" s="4" t="s">
        <v>30</v>
      </c>
      <c r="AO1" s="4" t="s">
        <v>31</v>
      </c>
      <c r="AP1" s="4" t="s">
        <v>53</v>
      </c>
    </row>
    <row r="2" spans="1:42" x14ac:dyDescent="0.3">
      <c r="A2" t="s">
        <v>32</v>
      </c>
      <c r="B2" s="6">
        <v>44835</v>
      </c>
      <c r="C2" s="7">
        <v>1</v>
      </c>
      <c r="D2" s="7">
        <v>3</v>
      </c>
      <c r="E2">
        <v>1</v>
      </c>
      <c r="F2" t="s">
        <v>33</v>
      </c>
      <c r="G2">
        <v>125</v>
      </c>
      <c r="H2">
        <v>96</v>
      </c>
      <c r="I2">
        <v>0</v>
      </c>
      <c r="J2">
        <v>0</v>
      </c>
      <c r="K2">
        <v>-0.08</v>
      </c>
      <c r="L2">
        <v>0</v>
      </c>
      <c r="M2">
        <v>7.31</v>
      </c>
      <c r="N2">
        <v>11.46</v>
      </c>
      <c r="U2" s="8">
        <f>J2-K2</f>
        <v>0.08</v>
      </c>
      <c r="V2" s="8">
        <f>M2-K2</f>
        <v>7.39</v>
      </c>
      <c r="W2" s="8">
        <f>IF(N2-M2&gt;0,N2-M2,"")</f>
        <v>4.1500000000000012</v>
      </c>
      <c r="X2" s="8" t="str">
        <f>IF(O2-N2&gt;0,O2-N2,"")</f>
        <v/>
      </c>
      <c r="Y2" s="8" t="str">
        <f>IF(P2-O2&gt;0,P2-O2,"")</f>
        <v/>
      </c>
      <c r="Z2" s="8" t="str">
        <f>IF(Q2-P2&gt;0,Q2-P2,"")</f>
        <v/>
      </c>
      <c r="AA2" s="8" t="str">
        <f>IF(R2-Q2&gt;0,R2-Q2,"")</f>
        <v/>
      </c>
      <c r="AB2" s="8" t="str">
        <f>IF(S2-R2&gt;0,S2-R2,"")</f>
        <v/>
      </c>
      <c r="AC2" s="8" t="str">
        <f>IF(T2-S2&gt;0,T2-S2,"")</f>
        <v/>
      </c>
      <c r="AD2" s="8">
        <f>IF(W2="","",V2+W2)</f>
        <v>11.540000000000001</v>
      </c>
      <c r="AE2" t="str">
        <f>IF(Y2="","",X2+Y2)</f>
        <v/>
      </c>
      <c r="AF2" t="str">
        <f>IF(Z2="","",Y2+Z2)</f>
        <v/>
      </c>
      <c r="AG2" t="str">
        <f>IF(AA2="","",Z2+AA2)</f>
        <v/>
      </c>
      <c r="AH2" t="str">
        <f>IF(AE2="","",AD2+AE2)</f>
        <v/>
      </c>
      <c r="AI2" t="str">
        <f>IF(AG2="","",AF2+AG2)</f>
        <v/>
      </c>
      <c r="AJ2" t="str">
        <f>IF(AI2="","",AH2+AI2)</f>
        <v/>
      </c>
      <c r="AK2" s="8">
        <f>L2-K2</f>
        <v>0.08</v>
      </c>
      <c r="AL2" s="8">
        <f>M2-J2</f>
        <v>7.31</v>
      </c>
      <c r="AM2" s="8">
        <f>IF(N2="","",AL2+W2)</f>
        <v>11.46</v>
      </c>
    </row>
    <row r="3" spans="1:42" x14ac:dyDescent="0.3">
      <c r="A3" t="s">
        <v>34</v>
      </c>
      <c r="B3" s="6">
        <v>44835</v>
      </c>
      <c r="C3" s="7">
        <v>1</v>
      </c>
      <c r="D3" s="7">
        <v>3</v>
      </c>
      <c r="E3">
        <v>2</v>
      </c>
      <c r="F3" t="s">
        <v>33</v>
      </c>
      <c r="G3">
        <v>125</v>
      </c>
      <c r="H3">
        <v>108</v>
      </c>
      <c r="I3">
        <v>0</v>
      </c>
      <c r="J3">
        <v>0.32</v>
      </c>
      <c r="K3">
        <v>0.34</v>
      </c>
      <c r="L3">
        <v>0.62</v>
      </c>
      <c r="M3">
        <v>7.9</v>
      </c>
      <c r="N3">
        <v>12.09</v>
      </c>
      <c r="U3" s="8">
        <f>J3-K3</f>
        <v>-2.0000000000000018E-2</v>
      </c>
      <c r="V3" s="8">
        <f>M3-K3</f>
        <v>7.5600000000000005</v>
      </c>
      <c r="W3" s="8">
        <f>IF(N3-M3&gt;0,N3-M3,"")</f>
        <v>4.1899999999999995</v>
      </c>
      <c r="X3" s="8" t="str">
        <f>IF(O3-N3&gt;0,O3-N3,"")</f>
        <v/>
      </c>
      <c r="Y3" s="8" t="str">
        <f>IF(P3-O3&gt;0,P3-O3,"")</f>
        <v/>
      </c>
      <c r="Z3" s="8" t="str">
        <f>IF(Q3-P3&gt;0,Q3-P3,"")</f>
        <v/>
      </c>
      <c r="AA3" s="8" t="str">
        <f>IF(R3-Q3&gt;0,R3-Q3,"")</f>
        <v/>
      </c>
      <c r="AB3" s="8" t="str">
        <f>IF(S3-R3&gt;0,S3-R3,"")</f>
        <v/>
      </c>
      <c r="AC3" s="8" t="str">
        <f>IF(T3-S3&gt;0,T3-S3,"")</f>
        <v/>
      </c>
      <c r="AD3" s="8">
        <f>IF(W3="","",V3+W3)</f>
        <v>11.75</v>
      </c>
      <c r="AE3" t="str">
        <f>IF(Y3="","",X3+Y3)</f>
        <v/>
      </c>
      <c r="AF3" t="str">
        <f>IF(Z3="","",Y3+Z3)</f>
        <v/>
      </c>
      <c r="AG3" t="str">
        <f>IF(AA3="","",Z3+AA3)</f>
        <v/>
      </c>
      <c r="AH3" t="str">
        <f>IF(AE3="","",AD3+AE3)</f>
        <v/>
      </c>
      <c r="AI3" t="str">
        <f>IF(AG3="","",AF3+AG3)</f>
        <v/>
      </c>
      <c r="AJ3" t="str">
        <f>IF(AI3="","",AH3+AI3)</f>
        <v/>
      </c>
      <c r="AK3" s="8">
        <f>L3-K3</f>
        <v>0.27999999999999997</v>
      </c>
      <c r="AL3" s="8">
        <f>M3-J3</f>
        <v>7.58</v>
      </c>
      <c r="AM3" s="8">
        <f>IF(N3="","",AL3+W3)</f>
        <v>11.77</v>
      </c>
      <c r="AO3" s="8"/>
    </row>
    <row r="4" spans="1:42" x14ac:dyDescent="0.3">
      <c r="A4" t="s">
        <v>35</v>
      </c>
      <c r="B4" s="6">
        <v>44835</v>
      </c>
      <c r="C4" s="7">
        <v>1</v>
      </c>
      <c r="D4" s="7">
        <v>3</v>
      </c>
      <c r="E4">
        <v>3</v>
      </c>
      <c r="F4" t="s">
        <v>33</v>
      </c>
      <c r="G4">
        <v>125</v>
      </c>
      <c r="H4">
        <v>111</v>
      </c>
      <c r="I4">
        <v>0</v>
      </c>
      <c r="J4">
        <v>0.32</v>
      </c>
      <c r="K4">
        <v>0.3</v>
      </c>
      <c r="L4">
        <v>0.5</v>
      </c>
      <c r="M4">
        <v>8.0399999999999991</v>
      </c>
      <c r="N4">
        <v>12.17</v>
      </c>
      <c r="U4" s="8">
        <f>J4-K4</f>
        <v>2.0000000000000018E-2</v>
      </c>
      <c r="V4" s="8">
        <f>M4-K4</f>
        <v>7.7399999999999993</v>
      </c>
      <c r="W4" s="8">
        <f>IF(N4-M4&gt;0,N4-M4,"")</f>
        <v>4.1300000000000008</v>
      </c>
      <c r="X4" s="8" t="str">
        <f>IF(O4-N4&gt;0,O4-N4,"")</f>
        <v/>
      </c>
      <c r="Y4" s="8" t="str">
        <f>IF(P4-O4&gt;0,P4-O4,"")</f>
        <v/>
      </c>
      <c r="Z4" s="8" t="str">
        <f>IF(Q4-P4&gt;0,Q4-P4,"")</f>
        <v/>
      </c>
      <c r="AA4" s="8" t="str">
        <f>IF(R4-Q4&gt;0,R4-Q4,"")</f>
        <v/>
      </c>
      <c r="AB4" s="8" t="str">
        <f>IF(S4-R4&gt;0,S4-R4,"")</f>
        <v/>
      </c>
      <c r="AC4" s="8" t="str">
        <f>IF(T4-S4&gt;0,T4-S4,"")</f>
        <v/>
      </c>
      <c r="AD4" s="8">
        <f>IF(W4="","",V4+W4)</f>
        <v>11.870000000000001</v>
      </c>
      <c r="AE4" t="str">
        <f>IF(Y4="","",X4+Y4)</f>
        <v/>
      </c>
      <c r="AF4" t="str">
        <f>IF(Z4="","",Y4+Z4)</f>
        <v/>
      </c>
      <c r="AG4" t="str">
        <f>IF(AA4="","",Z4+AA4)</f>
        <v/>
      </c>
      <c r="AH4" t="str">
        <f>IF(AE4="","",AD4+AE4)</f>
        <v/>
      </c>
      <c r="AI4" t="str">
        <f>IF(AG4="","",AF4+AG4)</f>
        <v/>
      </c>
      <c r="AJ4" t="str">
        <f>IF(AI4="","",AH4+AI4)</f>
        <v/>
      </c>
      <c r="AK4" s="8">
        <f>L4-K4</f>
        <v>0.2</v>
      </c>
      <c r="AL4" s="8">
        <f>M4-J4</f>
        <v>7.7199999999999989</v>
      </c>
      <c r="AM4" s="8">
        <f>IF(N4="","",AL4+W4)</f>
        <v>11.85</v>
      </c>
    </row>
    <row r="5" spans="1:42" x14ac:dyDescent="0.3">
      <c r="A5" t="s">
        <v>36</v>
      </c>
      <c r="B5" s="6">
        <v>44967</v>
      </c>
      <c r="C5" s="7">
        <v>1</v>
      </c>
      <c r="D5" s="7">
        <v>3</v>
      </c>
      <c r="E5">
        <v>2</v>
      </c>
      <c r="F5" t="s">
        <v>37</v>
      </c>
      <c r="G5">
        <v>125</v>
      </c>
      <c r="H5">
        <v>108</v>
      </c>
      <c r="I5">
        <v>14.499000000000001</v>
      </c>
      <c r="J5">
        <v>15.019</v>
      </c>
      <c r="K5">
        <v>15.319000000000001</v>
      </c>
      <c r="L5">
        <v>15.298999999999999</v>
      </c>
      <c r="M5">
        <v>22.798999999999999</v>
      </c>
      <c r="N5">
        <v>27.029</v>
      </c>
      <c r="U5" s="8">
        <f>J5-K5</f>
        <v>-0.30000000000000071</v>
      </c>
      <c r="V5" s="8">
        <f>M5-K5</f>
        <v>7.4799999999999986</v>
      </c>
      <c r="W5" s="8">
        <f>IF(N5-M5&gt;0,N5-M5,"")</f>
        <v>4.2300000000000004</v>
      </c>
      <c r="X5" s="8" t="str">
        <f>IF(O5-N5&gt;0,O5-N5,"")</f>
        <v/>
      </c>
      <c r="Y5" s="8" t="str">
        <f>IF(P5-O5&gt;0,P5-O5,"")</f>
        <v/>
      </c>
      <c r="Z5" s="8" t="str">
        <f>IF(Q5-P5&gt;0,Q5-P5,"")</f>
        <v/>
      </c>
      <c r="AA5" s="8" t="str">
        <f>IF(R5-Q5&gt;0,R5-Q5,"")</f>
        <v/>
      </c>
      <c r="AB5" s="8" t="str">
        <f>IF(S5-R5&gt;0,S5-R5,"")</f>
        <v/>
      </c>
      <c r="AC5" s="8" t="str">
        <f>IF(T5-S5&gt;0,T5-S5,"")</f>
        <v/>
      </c>
      <c r="AD5" s="8">
        <f>IF(W5="","",V5+W5)</f>
        <v>11.709999999999999</v>
      </c>
      <c r="AE5" t="str">
        <f>IF(Y5="","",X5+Y5)</f>
        <v/>
      </c>
      <c r="AF5" t="str">
        <f>IF(Z5="","",Y5+Z5)</f>
        <v/>
      </c>
      <c r="AG5" t="str">
        <f>IF(AA5="","",Z5+AA5)</f>
        <v/>
      </c>
      <c r="AH5" t="str">
        <f>IF(AE5="","",AD5+AE5)</f>
        <v/>
      </c>
      <c r="AI5" t="str">
        <f>IF(AG5="","",AF5+AG5)</f>
        <v/>
      </c>
      <c r="AJ5" t="str">
        <f>IF(AI5="","",AH5+AI5)</f>
        <v/>
      </c>
      <c r="AK5" s="8">
        <f>L5-K5</f>
        <v>-2.000000000000135E-2</v>
      </c>
      <c r="AL5" s="8">
        <f>M5-J5</f>
        <v>7.7799999999999994</v>
      </c>
      <c r="AM5" s="8">
        <f>IF(N5="","",AL5+W5)</f>
        <v>12.01</v>
      </c>
      <c r="AO5" s="8"/>
    </row>
    <row r="6" spans="1:42" x14ac:dyDescent="0.3">
      <c r="A6" t="s">
        <v>38</v>
      </c>
      <c r="B6" s="6">
        <v>44967</v>
      </c>
      <c r="C6" s="7">
        <v>1</v>
      </c>
      <c r="D6" s="7">
        <v>3</v>
      </c>
      <c r="E6">
        <v>3</v>
      </c>
      <c r="F6" t="s">
        <v>37</v>
      </c>
      <c r="G6">
        <v>125</v>
      </c>
      <c r="H6">
        <v>106</v>
      </c>
      <c r="I6">
        <v>14.239000000000001</v>
      </c>
      <c r="J6">
        <v>14.978999999999999</v>
      </c>
      <c r="K6">
        <v>15.319000000000001</v>
      </c>
      <c r="L6">
        <v>15.279</v>
      </c>
      <c r="M6">
        <v>22.998999999999999</v>
      </c>
      <c r="N6">
        <v>27.158999999999999</v>
      </c>
      <c r="U6" s="8">
        <f>J6-K6</f>
        <v>-0.34000000000000163</v>
      </c>
      <c r="V6" s="8">
        <f>M6-K6</f>
        <v>7.6799999999999979</v>
      </c>
      <c r="W6" s="8">
        <f>IF(N6-M6&gt;0,N6-M6,"")</f>
        <v>4.16</v>
      </c>
      <c r="X6" s="8" t="str">
        <f>IF(O6-N6&gt;0,O6-N6,"")</f>
        <v/>
      </c>
      <c r="Y6" s="8" t="str">
        <f>IF(P6-O6&gt;0,P6-O6,"")</f>
        <v/>
      </c>
      <c r="Z6" s="8" t="str">
        <f>IF(Q6-P6&gt;0,Q6-P6,"")</f>
        <v/>
      </c>
      <c r="AA6" s="8" t="str">
        <f>IF(R6-Q6&gt;0,R6-Q6,"")</f>
        <v/>
      </c>
      <c r="AB6" s="8" t="str">
        <f>IF(S6-R6&gt;0,S6-R6,"")</f>
        <v/>
      </c>
      <c r="AC6" s="8" t="str">
        <f>IF(T6-S6&gt;0,T6-S6,"")</f>
        <v/>
      </c>
      <c r="AD6" s="8">
        <f>IF(W6="","",V6+W6)</f>
        <v>11.839999999999998</v>
      </c>
      <c r="AE6" t="str">
        <f>IF(Y6="","",X6+Y6)</f>
        <v/>
      </c>
      <c r="AF6" t="str">
        <f>IF(Z6="","",Y6+Z6)</f>
        <v/>
      </c>
      <c r="AG6" t="str">
        <f>IF(AA6="","",Z6+AA6)</f>
        <v/>
      </c>
      <c r="AH6" t="str">
        <f>IF(AE6="","",AD6+AE6)</f>
        <v/>
      </c>
      <c r="AI6" t="str">
        <f>IF(AG6="","",AF6+AG6)</f>
        <v/>
      </c>
      <c r="AJ6" t="str">
        <f>IF(AI6="","",AH6+AI6)</f>
        <v/>
      </c>
      <c r="AK6" s="8">
        <f>L6-K6</f>
        <v>-4.0000000000000924E-2</v>
      </c>
      <c r="AL6" s="8">
        <f>M6-J6</f>
        <v>8.02</v>
      </c>
      <c r="AM6" s="8">
        <f>IF(N6="","",AL6+W6)</f>
        <v>12.18</v>
      </c>
      <c r="AO6" s="8"/>
    </row>
    <row r="7" spans="1:42" x14ac:dyDescent="0.3">
      <c r="A7" t="s">
        <v>36</v>
      </c>
      <c r="B7" s="6">
        <v>45070</v>
      </c>
      <c r="C7" s="7">
        <v>1</v>
      </c>
      <c r="D7" s="7">
        <v>1</v>
      </c>
      <c r="E7">
        <v>1</v>
      </c>
      <c r="F7" t="s">
        <v>39</v>
      </c>
      <c r="G7">
        <v>62.5</v>
      </c>
      <c r="H7">
        <v>96</v>
      </c>
      <c r="I7">
        <v>0</v>
      </c>
      <c r="J7">
        <v>0</v>
      </c>
      <c r="K7">
        <v>-0.08</v>
      </c>
      <c r="L7">
        <v>0.1</v>
      </c>
      <c r="M7">
        <v>7.34</v>
      </c>
      <c r="U7" s="8">
        <f>J7-K7</f>
        <v>0.08</v>
      </c>
      <c r="V7" s="8">
        <f>M7-K7</f>
        <v>7.42</v>
      </c>
      <c r="W7" s="8" t="str">
        <f>IF(N7-M7&gt;0,N7-M7,"")</f>
        <v/>
      </c>
      <c r="X7" s="8" t="str">
        <f>IF(O7-N7&gt;0,O7-N7,"")</f>
        <v/>
      </c>
      <c r="Y7" s="8" t="str">
        <f>IF(P7-O7&gt;0,P7-O7,"")</f>
        <v/>
      </c>
      <c r="Z7" s="8" t="str">
        <f>IF(Q7-P7&gt;0,Q7-P7,"")</f>
        <v/>
      </c>
      <c r="AA7" s="8" t="str">
        <f>IF(R7-Q7&gt;0,R7-Q7,"")</f>
        <v/>
      </c>
      <c r="AB7" s="8" t="str">
        <f>IF(S7-R7&gt;0,S7-R7,"")</f>
        <v/>
      </c>
      <c r="AC7" s="8" t="str">
        <f>IF(T7-S7&gt;0,T7-S7,"")</f>
        <v/>
      </c>
      <c r="AD7" s="8" t="str">
        <f>IF(W7="","",V7+W7)</f>
        <v/>
      </c>
      <c r="AE7" t="str">
        <f>IF(Y7="","",X7+Y7)</f>
        <v/>
      </c>
      <c r="AF7" t="str">
        <f>IF(Z7="","",Y7+Z7)</f>
        <v/>
      </c>
      <c r="AG7" t="str">
        <f>IF(AA7="","",Z7+AA7)</f>
        <v/>
      </c>
      <c r="AH7" t="str">
        <f>IF(AE7="","",AD7+AE7)</f>
        <v/>
      </c>
      <c r="AI7" t="str">
        <f>IF(AG7="","",AF7+AG7)</f>
        <v/>
      </c>
      <c r="AJ7" t="str">
        <f>IF(AI7="","",AH7+AI7)</f>
        <v/>
      </c>
      <c r="AK7" s="8">
        <f>L7-K7</f>
        <v>0.18</v>
      </c>
      <c r="AL7" s="8">
        <f>M7-J7</f>
        <v>7.34</v>
      </c>
      <c r="AM7" s="8" t="str">
        <f>IF(N7="","",AL7+W7)</f>
        <v/>
      </c>
      <c r="AP7" t="s">
        <v>136</v>
      </c>
    </row>
    <row r="8" spans="1:42" x14ac:dyDescent="0.3">
      <c r="A8" t="s">
        <v>40</v>
      </c>
      <c r="B8" s="6">
        <v>45070</v>
      </c>
      <c r="C8" s="7">
        <v>1</v>
      </c>
      <c r="D8" s="7">
        <v>1</v>
      </c>
      <c r="E8">
        <v>2</v>
      </c>
      <c r="F8" t="s">
        <v>39</v>
      </c>
      <c r="G8">
        <v>62.5</v>
      </c>
      <c r="H8">
        <v>106</v>
      </c>
      <c r="I8">
        <v>0</v>
      </c>
      <c r="J8">
        <v>0.44</v>
      </c>
      <c r="K8">
        <v>0.61</v>
      </c>
      <c r="L8">
        <v>0.69</v>
      </c>
      <c r="M8">
        <v>8.3699999999999992</v>
      </c>
      <c r="U8" s="8">
        <f>J8-K8</f>
        <v>-0.16999999999999998</v>
      </c>
      <c r="V8" s="8">
        <f>M8-K8</f>
        <v>7.7599999999999989</v>
      </c>
      <c r="W8" s="8" t="str">
        <f>IF(N8-M8&gt;0,N8-M8,"")</f>
        <v/>
      </c>
      <c r="X8" s="8" t="str">
        <f>IF(O8-N8&gt;0,O8-N8,"")</f>
        <v/>
      </c>
      <c r="Y8" s="8" t="str">
        <f>IF(P8-O8&gt;0,P8-O8,"")</f>
        <v/>
      </c>
      <c r="Z8" s="8" t="str">
        <f>IF(Q8-P8&gt;0,Q8-P8,"")</f>
        <v/>
      </c>
      <c r="AA8" s="8" t="str">
        <f>IF(R8-Q8&gt;0,R8-Q8,"")</f>
        <v/>
      </c>
      <c r="AB8" s="8" t="str">
        <f>IF(S8-R8&gt;0,S8-R8,"")</f>
        <v/>
      </c>
      <c r="AC8" s="8" t="str">
        <f>IF(T8-S8&gt;0,T8-S8,"")</f>
        <v/>
      </c>
      <c r="AD8" s="8" t="str">
        <f>IF(W8="","",V8+W8)</f>
        <v/>
      </c>
      <c r="AE8" t="str">
        <f>IF(Y8="","",X8+Y8)</f>
        <v/>
      </c>
      <c r="AF8" t="str">
        <f>IF(Z8="","",Y8+Z8)</f>
        <v/>
      </c>
      <c r="AG8" t="str">
        <f>IF(AA8="","",Z8+AA8)</f>
        <v/>
      </c>
      <c r="AH8" t="str">
        <f>IF(AE8="","",AD8+AE8)</f>
        <v/>
      </c>
      <c r="AI8" t="str">
        <f>IF(AG8="","",AF8+AG8)</f>
        <v/>
      </c>
      <c r="AJ8" t="str">
        <f>IF(AI8="","",AH8+AI8)</f>
        <v/>
      </c>
      <c r="AK8" s="8">
        <f>L8-K8</f>
        <v>7.999999999999996E-2</v>
      </c>
      <c r="AL8" s="8">
        <f>M8-J8</f>
        <v>7.9299999999999988</v>
      </c>
      <c r="AM8" s="8"/>
      <c r="AP8" s="9" t="s">
        <v>136</v>
      </c>
    </row>
    <row r="9" spans="1:42" x14ac:dyDescent="0.3">
      <c r="A9" t="s">
        <v>38</v>
      </c>
      <c r="B9" s="6">
        <v>45070</v>
      </c>
      <c r="C9" s="7">
        <v>1</v>
      </c>
      <c r="D9" s="7">
        <v>1</v>
      </c>
      <c r="E9">
        <v>3</v>
      </c>
      <c r="F9" t="s">
        <v>39</v>
      </c>
      <c r="G9">
        <v>62.5</v>
      </c>
      <c r="H9">
        <v>108</v>
      </c>
      <c r="I9">
        <v>0</v>
      </c>
      <c r="J9">
        <v>0.24</v>
      </c>
      <c r="K9">
        <v>0.48</v>
      </c>
      <c r="L9">
        <v>0.44</v>
      </c>
      <c r="M9">
        <v>8.33</v>
      </c>
      <c r="U9" s="8">
        <f>J9-K9</f>
        <v>-0.24</v>
      </c>
      <c r="V9" s="8">
        <f>M9-K9</f>
        <v>7.85</v>
      </c>
      <c r="W9" s="8" t="str">
        <f>IF(N9-M9&gt;0,N9-M9,"")</f>
        <v/>
      </c>
      <c r="X9" s="8" t="str">
        <f>IF(O9-N9&gt;0,O9-N9,"")</f>
        <v/>
      </c>
      <c r="Y9" s="8" t="str">
        <f>IF(P9-O9&gt;0,P9-O9,"")</f>
        <v/>
      </c>
      <c r="Z9" s="8" t="str">
        <f>IF(Q9-P9&gt;0,Q9-P9,"")</f>
        <v/>
      </c>
      <c r="AA9" s="8" t="str">
        <f>IF(R9-Q9&gt;0,R9-Q9,"")</f>
        <v/>
      </c>
      <c r="AB9" s="8" t="str">
        <f>IF(S9-R9&gt;0,S9-R9,"")</f>
        <v/>
      </c>
      <c r="AC9" s="8" t="str">
        <f>IF(T9-S9&gt;0,T9-S9,"")</f>
        <v/>
      </c>
      <c r="AD9" s="8" t="str">
        <f>IF(W9="","",V9+W9)</f>
        <v/>
      </c>
      <c r="AE9" t="str">
        <f>IF(Y9="","",X9+Y9)</f>
        <v/>
      </c>
      <c r="AF9" t="str">
        <f>IF(Z9="","",Y9+Z9)</f>
        <v/>
      </c>
      <c r="AG9" t="str">
        <f>IF(AA9="","",Z9+AA9)</f>
        <v/>
      </c>
      <c r="AH9" t="str">
        <f>IF(AE9="","",AD9+AE9)</f>
        <v/>
      </c>
      <c r="AI9" t="str">
        <f>IF(AG9="","",AF9+AG9)</f>
        <v/>
      </c>
      <c r="AJ9" t="str">
        <f>IF(AI9="","",AH9+AI9)</f>
        <v/>
      </c>
      <c r="AK9" s="8">
        <f>L9-K9</f>
        <v>-3.999999999999998E-2</v>
      </c>
      <c r="AL9" s="8">
        <f>M9-J9</f>
        <v>8.09</v>
      </c>
      <c r="AM9" s="8" t="str">
        <f>IF(N9="","",AL9+W9)</f>
        <v/>
      </c>
      <c r="AP9" t="s">
        <v>136</v>
      </c>
    </row>
    <row r="10" spans="1:42" x14ac:dyDescent="0.3">
      <c r="A10" t="s">
        <v>41</v>
      </c>
      <c r="B10" s="6">
        <v>45070</v>
      </c>
      <c r="C10" s="7">
        <v>1</v>
      </c>
      <c r="D10" s="7">
        <v>1</v>
      </c>
      <c r="E10">
        <v>2</v>
      </c>
      <c r="F10" t="s">
        <v>42</v>
      </c>
      <c r="G10">
        <v>62.5</v>
      </c>
      <c r="H10">
        <v>106</v>
      </c>
      <c r="I10">
        <v>0</v>
      </c>
      <c r="J10">
        <v>0.42</v>
      </c>
      <c r="K10">
        <v>0.52</v>
      </c>
      <c r="L10">
        <v>0.56000000000000005</v>
      </c>
      <c r="M10">
        <v>8.39</v>
      </c>
      <c r="U10" s="8">
        <f>J10-K10</f>
        <v>-0.10000000000000003</v>
      </c>
      <c r="V10" s="8">
        <f>M10-K10</f>
        <v>7.870000000000001</v>
      </c>
      <c r="W10" s="8" t="str">
        <f>IF(N10-M10&gt;0,N10-M10,"")</f>
        <v/>
      </c>
      <c r="X10" s="8" t="str">
        <f>IF(O10-N10&gt;0,O10-N10,"")</f>
        <v/>
      </c>
      <c r="Y10" s="8" t="str">
        <f>IF(P10-O10&gt;0,P10-O10,"")</f>
        <v/>
      </c>
      <c r="Z10" s="8" t="str">
        <f>IF(Q10-P10&gt;0,Q10-P10,"")</f>
        <v/>
      </c>
      <c r="AA10" s="8" t="str">
        <f>IF(R10-Q10&gt;0,R10-Q10,"")</f>
        <v/>
      </c>
      <c r="AB10" s="8" t="str">
        <f>IF(S10-R10&gt;0,S10-R10,"")</f>
        <v/>
      </c>
      <c r="AC10" s="8" t="str">
        <f>IF(T10-S10&gt;0,T10-S10,"")</f>
        <v/>
      </c>
      <c r="AD10" s="8" t="str">
        <f>IF(W10="","",V10+W10)</f>
        <v/>
      </c>
      <c r="AE10" t="str">
        <f>IF(Y10="","",X10+Y10)</f>
        <v/>
      </c>
      <c r="AF10" t="str">
        <f>IF(Z10="","",Y10+Z10)</f>
        <v/>
      </c>
      <c r="AG10" t="str">
        <f>IF(AA10="","",Z10+AA10)</f>
        <v/>
      </c>
      <c r="AH10" t="str">
        <f>IF(AE10="","",AD10+AE10)</f>
        <v/>
      </c>
      <c r="AI10" t="str">
        <f>IF(AG10="","",AF10+AG10)</f>
        <v/>
      </c>
      <c r="AJ10" t="str">
        <f>IF(AI10="","",AH10+AI10)</f>
        <v/>
      </c>
      <c r="AK10" s="8">
        <f>L10-K10</f>
        <v>4.0000000000000036E-2</v>
      </c>
      <c r="AL10" s="8">
        <f>M10-J10</f>
        <v>7.9700000000000006</v>
      </c>
      <c r="AM10" s="8"/>
      <c r="AP10" t="s">
        <v>133</v>
      </c>
    </row>
    <row r="11" spans="1:42" x14ac:dyDescent="0.3">
      <c r="A11" t="s">
        <v>36</v>
      </c>
      <c r="B11" s="6">
        <v>45070</v>
      </c>
      <c r="C11" s="7">
        <v>1</v>
      </c>
      <c r="D11" s="7">
        <v>2</v>
      </c>
      <c r="E11">
        <v>1</v>
      </c>
      <c r="F11" t="s">
        <v>39</v>
      </c>
      <c r="G11">
        <v>62.5</v>
      </c>
      <c r="H11">
        <v>96</v>
      </c>
      <c r="I11">
        <v>0</v>
      </c>
      <c r="J11">
        <v>0.08</v>
      </c>
      <c r="K11">
        <v>0</v>
      </c>
      <c r="L11">
        <v>0.18</v>
      </c>
      <c r="M11">
        <v>7.44</v>
      </c>
      <c r="U11" s="8">
        <f>J11-K11</f>
        <v>0.08</v>
      </c>
      <c r="V11" s="8">
        <f>M11-K11</f>
        <v>7.44</v>
      </c>
      <c r="W11" s="8" t="str">
        <f>IF(N11-M11&gt;0,N11-M11,"")</f>
        <v/>
      </c>
      <c r="X11" s="8" t="str">
        <f>IF(O11-N11&gt;0,O11-N11,"")</f>
        <v/>
      </c>
      <c r="Y11" s="8" t="str">
        <f>IF(P11-O11&gt;0,P11-O11,"")</f>
        <v/>
      </c>
      <c r="Z11" s="8" t="str">
        <f>IF(Q11-P11&gt;0,Q11-P11,"")</f>
        <v/>
      </c>
      <c r="AA11" s="8" t="str">
        <f>IF(R11-Q11&gt;0,R11-Q11,"")</f>
        <v/>
      </c>
      <c r="AB11" s="8" t="str">
        <f>IF(S11-R11&gt;0,S11-R11,"")</f>
        <v/>
      </c>
      <c r="AC11" s="8" t="str">
        <f>IF(T11-S11&gt;0,T11-S11,"")</f>
        <v/>
      </c>
      <c r="AD11" s="8" t="str">
        <f>IF(W11="","",V11+W11)</f>
        <v/>
      </c>
      <c r="AE11" t="str">
        <f>IF(Y11="","",X11+Y11)</f>
        <v/>
      </c>
      <c r="AF11" t="str">
        <f>IF(Z11="","",Y11+Z11)</f>
        <v/>
      </c>
      <c r="AG11" t="str">
        <f>IF(AA11="","",Z11+AA11)</f>
        <v/>
      </c>
      <c r="AH11" t="str">
        <f>IF(AE11="","",AD11+AE11)</f>
        <v/>
      </c>
      <c r="AI11" t="str">
        <f>IF(AG11="","",AF11+AG11)</f>
        <v/>
      </c>
      <c r="AJ11" t="str">
        <f>IF(AI11="","",AH11+AI11)</f>
        <v/>
      </c>
      <c r="AK11" s="8">
        <f>L11-K11</f>
        <v>0.18</v>
      </c>
      <c r="AL11" s="8">
        <f>M11-J11</f>
        <v>7.36</v>
      </c>
      <c r="AM11" s="8" t="str">
        <f>IF(N11="","",AL11+W11)</f>
        <v/>
      </c>
      <c r="AP11" t="s">
        <v>137</v>
      </c>
    </row>
    <row r="12" spans="1:42" x14ac:dyDescent="0.3">
      <c r="A12" t="s">
        <v>40</v>
      </c>
      <c r="B12" s="6">
        <v>45070</v>
      </c>
      <c r="C12" s="7">
        <v>1</v>
      </c>
      <c r="D12" s="7">
        <v>2</v>
      </c>
      <c r="E12">
        <v>2</v>
      </c>
      <c r="F12" t="s">
        <v>39</v>
      </c>
      <c r="G12">
        <v>62.5</v>
      </c>
      <c r="H12">
        <v>106</v>
      </c>
      <c r="I12">
        <v>0</v>
      </c>
      <c r="J12">
        <v>0.39</v>
      </c>
      <c r="K12">
        <v>0.45</v>
      </c>
      <c r="L12">
        <v>0.59</v>
      </c>
      <c r="M12">
        <v>8.2799999999999994</v>
      </c>
      <c r="U12" s="8">
        <f>J12-K12</f>
        <v>-0.06</v>
      </c>
      <c r="V12" s="8">
        <f>M12-K12</f>
        <v>7.8299999999999992</v>
      </c>
      <c r="W12" s="8" t="str">
        <f>IF(N12-M12&gt;0,N12-M12,"")</f>
        <v/>
      </c>
      <c r="X12" s="8" t="str">
        <f>IF(O12-N12&gt;0,O12-N12,"")</f>
        <v/>
      </c>
      <c r="Y12" s="8" t="str">
        <f>IF(P12-O12&gt;0,P12-O12,"")</f>
        <v/>
      </c>
      <c r="Z12" s="8" t="str">
        <f>IF(Q12-P12&gt;0,Q12-P12,"")</f>
        <v/>
      </c>
      <c r="AA12" s="8" t="str">
        <f>IF(R12-Q12&gt;0,R12-Q12,"")</f>
        <v/>
      </c>
      <c r="AB12" s="8" t="str">
        <f>IF(S12-R12&gt;0,S12-R12,"")</f>
        <v/>
      </c>
      <c r="AC12" s="8" t="str">
        <f>IF(T12-S12&gt;0,T12-S12,"")</f>
        <v/>
      </c>
      <c r="AD12" s="8" t="str">
        <f>IF(W12="","",V12+W12)</f>
        <v/>
      </c>
      <c r="AE12" t="str">
        <f>IF(Y12="","",X12+Y12)</f>
        <v/>
      </c>
      <c r="AF12" t="str">
        <f>IF(Z12="","",Y12+Z12)</f>
        <v/>
      </c>
      <c r="AG12" t="str">
        <f>IF(AA12="","",Z12+AA12)</f>
        <v/>
      </c>
      <c r="AH12" t="str">
        <f>IF(AE12="","",AD12+AE12)</f>
        <v/>
      </c>
      <c r="AI12" t="str">
        <f>IF(AG12="","",AF12+AG12)</f>
        <v/>
      </c>
      <c r="AJ12" t="str">
        <f>IF(AI12="","",AH12+AI12)</f>
        <v/>
      </c>
      <c r="AK12" s="8">
        <f>L12-K12</f>
        <v>0.13999999999999996</v>
      </c>
      <c r="AL12" s="8">
        <f>M12-J12</f>
        <v>7.89</v>
      </c>
      <c r="AM12" s="8"/>
      <c r="AP12" t="s">
        <v>137</v>
      </c>
    </row>
    <row r="13" spans="1:42" x14ac:dyDescent="0.3">
      <c r="A13" t="s">
        <v>38</v>
      </c>
      <c r="B13" s="6">
        <v>45070</v>
      </c>
      <c r="C13" s="7">
        <v>1</v>
      </c>
      <c r="D13" s="7">
        <v>2</v>
      </c>
      <c r="E13">
        <v>3</v>
      </c>
      <c r="F13" t="s">
        <v>39</v>
      </c>
      <c r="G13">
        <v>62.5</v>
      </c>
      <c r="H13">
        <v>108</v>
      </c>
      <c r="I13">
        <v>0</v>
      </c>
      <c r="J13">
        <v>0.9</v>
      </c>
      <c r="K13">
        <v>1.02</v>
      </c>
      <c r="L13">
        <v>1.25</v>
      </c>
      <c r="M13">
        <v>9.0500000000000007</v>
      </c>
      <c r="U13" s="8">
        <f>J13-K13</f>
        <v>-0.12</v>
      </c>
      <c r="V13" s="8">
        <f>M13-K13</f>
        <v>8.0300000000000011</v>
      </c>
      <c r="W13" s="8" t="str">
        <f>IF(N13-M13&gt;0,N13-M13,"")</f>
        <v/>
      </c>
      <c r="X13" s="8" t="str">
        <f>IF(O13-N13&gt;0,O13-N13,"")</f>
        <v/>
      </c>
      <c r="Y13" s="8" t="str">
        <f>IF(P13-O13&gt;0,P13-O13,"")</f>
        <v/>
      </c>
      <c r="Z13" s="8" t="str">
        <f>IF(Q13-P13&gt;0,Q13-P13,"")</f>
        <v/>
      </c>
      <c r="AA13" s="8" t="str">
        <f>IF(R13-Q13&gt;0,R13-Q13,"")</f>
        <v/>
      </c>
      <c r="AB13" s="8" t="str">
        <f>IF(S13-R13&gt;0,S13-R13,"")</f>
        <v/>
      </c>
      <c r="AC13" s="8" t="str">
        <f>IF(T13-S13&gt;0,T13-S13,"")</f>
        <v/>
      </c>
      <c r="AD13" s="8" t="str">
        <f>IF(W13="","",V13+W13)</f>
        <v/>
      </c>
      <c r="AE13" t="str">
        <f>IF(Y13="","",X13+Y13)</f>
        <v/>
      </c>
      <c r="AF13" t="str">
        <f>IF(Z13="","",Y13+Z13)</f>
        <v/>
      </c>
      <c r="AG13" t="str">
        <f>IF(AA13="","",Z13+AA13)</f>
        <v/>
      </c>
      <c r="AH13" t="str">
        <f>IF(AE13="","",AD13+AE13)</f>
        <v/>
      </c>
      <c r="AI13" t="str">
        <f>IF(AG13="","",AF13+AG13)</f>
        <v/>
      </c>
      <c r="AJ13" t="str">
        <f>IF(AI13="","",AH13+AI13)</f>
        <v/>
      </c>
      <c r="AK13" s="8">
        <f>L13-K13</f>
        <v>0.22999999999999998</v>
      </c>
      <c r="AL13" s="8">
        <f>M13-J13</f>
        <v>8.15</v>
      </c>
      <c r="AM13" s="8" t="str">
        <f>IF(N13="","",AL13+W13)</f>
        <v/>
      </c>
      <c r="AP13" t="s">
        <v>137</v>
      </c>
    </row>
    <row r="14" spans="1:42" x14ac:dyDescent="0.3">
      <c r="A14" t="s">
        <v>41</v>
      </c>
      <c r="B14" s="6">
        <v>45070</v>
      </c>
      <c r="C14" s="7">
        <v>1</v>
      </c>
      <c r="D14" s="7">
        <v>2</v>
      </c>
      <c r="E14">
        <v>2</v>
      </c>
      <c r="F14" t="s">
        <v>42</v>
      </c>
      <c r="G14">
        <v>62.5</v>
      </c>
      <c r="H14">
        <v>106</v>
      </c>
      <c r="I14">
        <v>0</v>
      </c>
      <c r="J14">
        <v>0.26</v>
      </c>
      <c r="K14">
        <v>0.34</v>
      </c>
      <c r="L14">
        <v>0.51</v>
      </c>
      <c r="M14">
        <v>8.25</v>
      </c>
      <c r="U14" s="8">
        <f>J14-K14</f>
        <v>-8.0000000000000016E-2</v>
      </c>
      <c r="V14" s="8">
        <f>M14-K14</f>
        <v>7.91</v>
      </c>
      <c r="W14" s="8" t="str">
        <f>IF(N14-M14&gt;0,N14-M14,"")</f>
        <v/>
      </c>
      <c r="X14" s="8" t="str">
        <f>IF(O14-N14&gt;0,O14-N14,"")</f>
        <v/>
      </c>
      <c r="Y14" s="8" t="str">
        <f>IF(P14-O14&gt;0,P14-O14,"")</f>
        <v/>
      </c>
      <c r="Z14" s="8" t="str">
        <f>IF(Q14-P14&gt;0,Q14-P14,"")</f>
        <v/>
      </c>
      <c r="AA14" s="8" t="str">
        <f>IF(R14-Q14&gt;0,R14-Q14,"")</f>
        <v/>
      </c>
      <c r="AB14" s="8" t="str">
        <f>IF(S14-R14&gt;0,S14-R14,"")</f>
        <v/>
      </c>
      <c r="AC14" s="8" t="str">
        <f>IF(T14-S14&gt;0,T14-S14,"")</f>
        <v/>
      </c>
      <c r="AD14" s="8" t="str">
        <f>IF(W14="","",V14+W14)</f>
        <v/>
      </c>
      <c r="AE14" t="str">
        <f>IF(Y14="","",X14+Y14)</f>
        <v/>
      </c>
      <c r="AF14" t="str">
        <f>IF(Z14="","",Y14+Z14)</f>
        <v/>
      </c>
      <c r="AG14" t="str">
        <f>IF(AA14="","",Z14+AA14)</f>
        <v/>
      </c>
      <c r="AH14" t="str">
        <f>IF(AE14="","",AD14+AE14)</f>
        <v/>
      </c>
      <c r="AI14" t="str">
        <f>IF(AG14="","",AF14+AG14)</f>
        <v/>
      </c>
      <c r="AJ14" t="str">
        <f>IF(AI14="","",AH14+AI14)</f>
        <v/>
      </c>
      <c r="AK14" s="8">
        <f>L14-K14</f>
        <v>0.16999999999999998</v>
      </c>
      <c r="AL14" s="8">
        <f>M14-J14</f>
        <v>7.99</v>
      </c>
      <c r="AM14" s="8"/>
      <c r="AP14" t="s">
        <v>134</v>
      </c>
    </row>
    <row r="15" spans="1:42" x14ac:dyDescent="0.3">
      <c r="A15" t="s">
        <v>36</v>
      </c>
      <c r="B15" s="6">
        <v>45070</v>
      </c>
      <c r="C15" s="7">
        <v>1</v>
      </c>
      <c r="D15" s="7">
        <v>3</v>
      </c>
      <c r="E15">
        <v>1</v>
      </c>
      <c r="F15" t="s">
        <v>39</v>
      </c>
      <c r="G15">
        <v>125</v>
      </c>
      <c r="H15">
        <v>96</v>
      </c>
      <c r="I15">
        <v>0</v>
      </c>
      <c r="J15">
        <v>0</v>
      </c>
      <c r="K15">
        <v>-0.03</v>
      </c>
      <c r="L15">
        <v>0.16</v>
      </c>
      <c r="M15">
        <v>7.43</v>
      </c>
      <c r="N15">
        <v>11.64</v>
      </c>
      <c r="U15" s="8">
        <f>J15-K15</f>
        <v>0.03</v>
      </c>
      <c r="V15" s="8">
        <f>M15-K15</f>
        <v>7.46</v>
      </c>
      <c r="W15" s="8">
        <f>IF(N15-M15&gt;0,N15-M15,"")</f>
        <v>4.2100000000000009</v>
      </c>
      <c r="X15" s="8" t="str">
        <f>IF(O15-N15&gt;0,O15-N15,"")</f>
        <v/>
      </c>
      <c r="Y15" s="8" t="str">
        <f>IF(P15-O15&gt;0,P15-O15,"")</f>
        <v/>
      </c>
      <c r="Z15" s="8" t="str">
        <f>IF(Q15-P15&gt;0,Q15-P15,"")</f>
        <v/>
      </c>
      <c r="AA15" s="8" t="str">
        <f>IF(R15-Q15&gt;0,R15-Q15,"")</f>
        <v/>
      </c>
      <c r="AB15" s="8" t="str">
        <f>IF(S15-R15&gt;0,S15-R15,"")</f>
        <v/>
      </c>
      <c r="AC15" s="8" t="str">
        <f>IF(T15-S15&gt;0,T15-S15,"")</f>
        <v/>
      </c>
      <c r="AD15" s="8">
        <f>IF(W15="","",V15+W15)</f>
        <v>11.670000000000002</v>
      </c>
      <c r="AE15" t="str">
        <f>IF(Y15="","",X15+Y15)</f>
        <v/>
      </c>
      <c r="AF15" t="str">
        <f>IF(Z15="","",Y15+Z15)</f>
        <v/>
      </c>
      <c r="AG15" t="str">
        <f>IF(AA15="","",Z15+AA15)</f>
        <v/>
      </c>
      <c r="AH15" t="str">
        <f>IF(AE15="","",AD15+AE15)</f>
        <v/>
      </c>
      <c r="AI15" t="str">
        <f>IF(AG15="","",AF15+AG15)</f>
        <v/>
      </c>
      <c r="AJ15" t="str">
        <f>IF(AI15="","",AH15+AI15)</f>
        <v/>
      </c>
      <c r="AK15" s="8">
        <f>L15-K15</f>
        <v>0.19</v>
      </c>
      <c r="AL15" s="8">
        <f>M15-J15</f>
        <v>7.43</v>
      </c>
      <c r="AM15" s="8">
        <f>IF(N15="","",AL15+W15)</f>
        <v>11.64</v>
      </c>
      <c r="AP15" t="s">
        <v>138</v>
      </c>
    </row>
    <row r="16" spans="1:42" x14ac:dyDescent="0.3">
      <c r="A16" t="s">
        <v>40</v>
      </c>
      <c r="B16" s="6">
        <v>45070</v>
      </c>
      <c r="C16" s="7">
        <v>1</v>
      </c>
      <c r="D16" s="7">
        <v>3</v>
      </c>
      <c r="E16">
        <v>2</v>
      </c>
      <c r="F16" t="s">
        <v>39</v>
      </c>
      <c r="G16">
        <v>125</v>
      </c>
      <c r="H16">
        <v>106</v>
      </c>
      <c r="I16">
        <v>0</v>
      </c>
      <c r="J16">
        <v>0.43</v>
      </c>
      <c r="K16">
        <v>0.51</v>
      </c>
      <c r="L16">
        <v>0.63</v>
      </c>
      <c r="M16">
        <v>8.34</v>
      </c>
      <c r="N16">
        <v>12.64</v>
      </c>
      <c r="U16" s="8">
        <f>J16-K16</f>
        <v>-8.0000000000000016E-2</v>
      </c>
      <c r="V16" s="8">
        <f>M16-K16</f>
        <v>7.83</v>
      </c>
      <c r="W16" s="8">
        <f>IF(N16-M16&gt;0,N16-M16,"")</f>
        <v>4.3000000000000007</v>
      </c>
      <c r="X16" s="8" t="str">
        <f>IF(O16-N16&gt;0,O16-N16,"")</f>
        <v/>
      </c>
      <c r="Y16" s="8" t="str">
        <f>IF(P16-O16&gt;0,P16-O16,"")</f>
        <v/>
      </c>
      <c r="Z16" s="8" t="str">
        <f>IF(Q16-P16&gt;0,Q16-P16,"")</f>
        <v/>
      </c>
      <c r="AA16" s="8" t="str">
        <f>IF(R16-Q16&gt;0,R16-Q16,"")</f>
        <v/>
      </c>
      <c r="AB16" s="8" t="str">
        <f>IF(S16-R16&gt;0,S16-R16,"")</f>
        <v/>
      </c>
      <c r="AC16" s="8" t="str">
        <f>IF(T16-S16&gt;0,T16-S16,"")</f>
        <v/>
      </c>
      <c r="AD16" s="8">
        <f>IF(W16="","",V16+W16)</f>
        <v>12.13</v>
      </c>
      <c r="AE16" t="str">
        <f>IF(Y16="","",X16+Y16)</f>
        <v/>
      </c>
      <c r="AF16" t="str">
        <f>IF(Z16="","",Y16+Z16)</f>
        <v/>
      </c>
      <c r="AG16" t="str">
        <f>IF(AA16="","",Z16+AA16)</f>
        <v/>
      </c>
      <c r="AH16" t="str">
        <f>IF(AE16="","",AD16+AE16)</f>
        <v/>
      </c>
      <c r="AI16" t="str">
        <f>IF(AG16="","",AF16+AG16)</f>
        <v/>
      </c>
      <c r="AJ16" t="str">
        <f>IF(AI16="","",AH16+AI16)</f>
        <v/>
      </c>
      <c r="AK16" s="8">
        <f>L16-K16</f>
        <v>0.12</v>
      </c>
      <c r="AL16" s="8">
        <f>M16-J16</f>
        <v>7.91</v>
      </c>
      <c r="AM16" s="8">
        <f>IF(N16="","",AL16+W16)</f>
        <v>12.21</v>
      </c>
      <c r="AP16" t="s">
        <v>138</v>
      </c>
    </row>
    <row r="17" spans="1:42" x14ac:dyDescent="0.3">
      <c r="A17" t="s">
        <v>38</v>
      </c>
      <c r="B17" s="6">
        <v>45070</v>
      </c>
      <c r="C17" s="7">
        <v>1</v>
      </c>
      <c r="D17" s="7">
        <v>3</v>
      </c>
      <c r="E17">
        <v>3</v>
      </c>
      <c r="F17" t="s">
        <v>39</v>
      </c>
      <c r="G17">
        <v>125</v>
      </c>
      <c r="H17">
        <v>108</v>
      </c>
      <c r="I17">
        <v>0</v>
      </c>
      <c r="J17">
        <v>0.3</v>
      </c>
      <c r="K17">
        <v>0.51</v>
      </c>
      <c r="L17">
        <v>0.56999999999999995</v>
      </c>
      <c r="M17">
        <v>8.43</v>
      </c>
      <c r="N17">
        <v>12.82</v>
      </c>
      <c r="U17" s="8">
        <f>J17-K17</f>
        <v>-0.21000000000000002</v>
      </c>
      <c r="V17" s="8">
        <f>M17-K17</f>
        <v>7.92</v>
      </c>
      <c r="W17" s="8">
        <f>IF(N17-M17&gt;0,N17-M17,"")</f>
        <v>4.3900000000000006</v>
      </c>
      <c r="X17" s="8" t="str">
        <f>IF(O17-N17&gt;0,O17-N17,"")</f>
        <v/>
      </c>
      <c r="Y17" s="8" t="str">
        <f>IF(P17-O17&gt;0,P17-O17,"")</f>
        <v/>
      </c>
      <c r="Z17" s="8" t="str">
        <f>IF(Q17-P17&gt;0,Q17-P17,"")</f>
        <v/>
      </c>
      <c r="AA17" s="8" t="str">
        <f>IF(R17-Q17&gt;0,R17-Q17,"")</f>
        <v/>
      </c>
      <c r="AB17" s="8" t="str">
        <f>IF(S17-R17&gt;0,S17-R17,"")</f>
        <v/>
      </c>
      <c r="AC17" s="8" t="str">
        <f>IF(T17-S17&gt;0,T17-S17,"")</f>
        <v/>
      </c>
      <c r="AD17" s="8">
        <f>IF(W17="","",V17+W17)</f>
        <v>12.31</v>
      </c>
      <c r="AE17" t="str">
        <f>IF(Y17="","",X17+Y17)</f>
        <v/>
      </c>
      <c r="AF17" t="str">
        <f>IF(Z17="","",Y17+Z17)</f>
        <v/>
      </c>
      <c r="AG17" t="str">
        <f>IF(AA17="","",Z17+AA17)</f>
        <v/>
      </c>
      <c r="AH17" t="str">
        <f>IF(AE17="","",AD17+AE17)</f>
        <v/>
      </c>
      <c r="AI17" t="str">
        <f>IF(AG17="","",AF17+AG17)</f>
        <v/>
      </c>
      <c r="AJ17" t="str">
        <f>IF(AI17="","",AH17+AI17)</f>
        <v/>
      </c>
      <c r="AK17" s="8">
        <f>L17-K17</f>
        <v>5.9999999999999942E-2</v>
      </c>
      <c r="AL17" s="8">
        <f>M17-J17</f>
        <v>8.129999999999999</v>
      </c>
      <c r="AM17" s="8">
        <f>IF(N17="","",AL17+W17)</f>
        <v>12.52</v>
      </c>
      <c r="AP17" t="s">
        <v>138</v>
      </c>
    </row>
    <row r="18" spans="1:42" x14ac:dyDescent="0.3">
      <c r="A18" t="s">
        <v>41</v>
      </c>
      <c r="B18" s="6">
        <v>45070</v>
      </c>
      <c r="C18" s="7">
        <v>1</v>
      </c>
      <c r="D18" s="7">
        <v>3</v>
      </c>
      <c r="E18">
        <v>2</v>
      </c>
      <c r="F18" t="s">
        <v>42</v>
      </c>
      <c r="G18">
        <v>125</v>
      </c>
      <c r="H18">
        <v>106</v>
      </c>
      <c r="I18">
        <v>0</v>
      </c>
      <c r="J18">
        <v>0.26</v>
      </c>
      <c r="K18">
        <v>0.26</v>
      </c>
      <c r="L18">
        <v>0.48</v>
      </c>
      <c r="M18">
        <v>8.25</v>
      </c>
      <c r="N18">
        <v>12.64</v>
      </c>
      <c r="U18" s="8">
        <f>J18-K18</f>
        <v>0</v>
      </c>
      <c r="V18" s="8">
        <f>M18-K18</f>
        <v>7.99</v>
      </c>
      <c r="W18" s="8">
        <f>IF(N18-M18&gt;0,N18-M18,"")</f>
        <v>4.3900000000000006</v>
      </c>
      <c r="X18" s="8" t="str">
        <f>IF(O18-N18&gt;0,O18-N18,"")</f>
        <v/>
      </c>
      <c r="Y18" s="8" t="str">
        <f>IF(P18-O18&gt;0,P18-O18,"")</f>
        <v/>
      </c>
      <c r="Z18" s="8" t="str">
        <f>IF(Q18-P18&gt;0,Q18-P18,"")</f>
        <v/>
      </c>
      <c r="AA18" s="8" t="str">
        <f>IF(R18-Q18&gt;0,R18-Q18,"")</f>
        <v/>
      </c>
      <c r="AB18" s="8" t="str">
        <f>IF(S18-R18&gt;0,S18-R18,"")</f>
        <v/>
      </c>
      <c r="AC18" s="8" t="str">
        <f>IF(T18-S18&gt;0,T18-S18,"")</f>
        <v/>
      </c>
      <c r="AD18" s="8">
        <f>IF(W18="","",V18+W18)</f>
        <v>12.38</v>
      </c>
      <c r="AE18" t="str">
        <f>IF(Y18="","",X18+Y18)</f>
        <v/>
      </c>
      <c r="AF18" t="str">
        <f>IF(Z18="","",Y18+Z18)</f>
        <v/>
      </c>
      <c r="AG18" t="str">
        <f>IF(AA18="","",Z18+AA18)</f>
        <v/>
      </c>
      <c r="AH18" t="str">
        <f>IF(AE18="","",AD18+AE18)</f>
        <v/>
      </c>
      <c r="AI18" t="str">
        <f>IF(AG18="","",AF18+AG18)</f>
        <v/>
      </c>
      <c r="AJ18" t="str">
        <f>IF(AI18="","",AH18+AI18)</f>
        <v/>
      </c>
      <c r="AK18" s="8">
        <f>L18-K18</f>
        <v>0.21999999999999997</v>
      </c>
      <c r="AL18" s="8">
        <f>M18-J18</f>
        <v>7.99</v>
      </c>
      <c r="AM18" s="8">
        <f>IF(N18="","",AL18+W18)</f>
        <v>12.38</v>
      </c>
      <c r="AP18" t="s">
        <v>135</v>
      </c>
    </row>
    <row r="19" spans="1:42" x14ac:dyDescent="0.3">
      <c r="A19" t="s">
        <v>36</v>
      </c>
      <c r="B19" s="6">
        <v>45070</v>
      </c>
      <c r="C19" s="7">
        <v>2</v>
      </c>
      <c r="D19" s="7">
        <v>1</v>
      </c>
      <c r="E19">
        <v>1</v>
      </c>
      <c r="F19" t="s">
        <v>43</v>
      </c>
      <c r="G19">
        <v>62.5</v>
      </c>
      <c r="H19">
        <v>100</v>
      </c>
      <c r="I19">
        <v>0</v>
      </c>
      <c r="J19">
        <v>0</v>
      </c>
      <c r="K19">
        <v>-0.12</v>
      </c>
      <c r="L19">
        <v>0.1</v>
      </c>
      <c r="M19">
        <v>7.47</v>
      </c>
      <c r="U19" s="8">
        <f>J19-K19</f>
        <v>0.12</v>
      </c>
      <c r="V19" s="8">
        <f>M19-K19</f>
        <v>7.59</v>
      </c>
      <c r="W19" s="8" t="str">
        <f>IF(N19-M19&gt;0,N19-M19,"")</f>
        <v/>
      </c>
      <c r="X19" s="8" t="str">
        <f>IF(O19-N19&gt;0,O19-N19,"")</f>
        <v/>
      </c>
      <c r="Y19" s="8" t="str">
        <f>IF(P19-O19&gt;0,P19-O19,"")</f>
        <v/>
      </c>
      <c r="Z19" s="8" t="str">
        <f>IF(Q19-P19&gt;0,Q19-P19,"")</f>
        <v/>
      </c>
      <c r="AA19" s="8" t="str">
        <f>IF(R19-Q19&gt;0,R19-Q19,"")</f>
        <v/>
      </c>
      <c r="AB19" s="8" t="str">
        <f>IF(S19-R19&gt;0,S19-R19,"")</f>
        <v/>
      </c>
      <c r="AC19" s="8" t="str">
        <f>IF(T19-S19&gt;0,T19-S19,"")</f>
        <v/>
      </c>
      <c r="AD19" s="8" t="str">
        <f>IF(W19="","",V19+W19)</f>
        <v/>
      </c>
      <c r="AE19" t="str">
        <f>IF(Y19="","",X19+Y19)</f>
        <v/>
      </c>
      <c r="AF19" t="str">
        <f>IF(Z19="","",Y19+Z19)</f>
        <v/>
      </c>
      <c r="AG19" t="str">
        <f>IF(AA19="","",Z19+AA19)</f>
        <v/>
      </c>
      <c r="AH19" t="str">
        <f>IF(AE19="","",AD19+AE19)</f>
        <v/>
      </c>
      <c r="AI19" t="str">
        <f>IF(AG19="","",AF19+AG19)</f>
        <v/>
      </c>
      <c r="AJ19" t="str">
        <f>IF(AI19="","",AH19+AI19)</f>
        <v/>
      </c>
      <c r="AK19" s="8">
        <f>L19-K19</f>
        <v>0.22</v>
      </c>
      <c r="AL19" s="8">
        <f>M19-J19</f>
        <v>7.47</v>
      </c>
      <c r="AM19" s="8" t="str">
        <f>IF(N19="","",AL19+W19)</f>
        <v/>
      </c>
      <c r="AP19" t="s">
        <v>139</v>
      </c>
    </row>
    <row r="20" spans="1:42" x14ac:dyDescent="0.3">
      <c r="A20" t="s">
        <v>41</v>
      </c>
      <c r="B20" s="6">
        <v>45070</v>
      </c>
      <c r="C20" s="7">
        <v>2</v>
      </c>
      <c r="D20" s="7">
        <v>1</v>
      </c>
      <c r="E20">
        <v>2</v>
      </c>
      <c r="F20" t="s">
        <v>43</v>
      </c>
      <c r="G20">
        <v>62.5</v>
      </c>
      <c r="H20">
        <v>106</v>
      </c>
      <c r="I20">
        <v>0</v>
      </c>
      <c r="J20">
        <v>0.25</v>
      </c>
      <c r="K20">
        <v>0.28999999999999998</v>
      </c>
      <c r="L20">
        <v>0.39</v>
      </c>
      <c r="M20">
        <v>8.19</v>
      </c>
      <c r="U20" s="8">
        <f>J20-K20</f>
        <v>-3.999999999999998E-2</v>
      </c>
      <c r="V20" s="8">
        <f>M20-K20</f>
        <v>7.8999999999999995</v>
      </c>
      <c r="W20" s="8" t="str">
        <f>IF(N20-M20&gt;0,N20-M20,"")</f>
        <v/>
      </c>
      <c r="X20" s="8" t="str">
        <f>IF(O20-N20&gt;0,O20-N20,"")</f>
        <v/>
      </c>
      <c r="Y20" s="8" t="str">
        <f>IF(P20-O20&gt;0,P20-O20,"")</f>
        <v/>
      </c>
      <c r="Z20" s="8" t="str">
        <f>IF(Q20-P20&gt;0,Q20-P20,"")</f>
        <v/>
      </c>
      <c r="AA20" s="8" t="str">
        <f>IF(R20-Q20&gt;0,R20-Q20,"")</f>
        <v/>
      </c>
      <c r="AB20" s="8" t="str">
        <f>IF(S20-R20&gt;0,S20-R20,"")</f>
        <v/>
      </c>
      <c r="AC20" s="8" t="str">
        <f>IF(T20-S20&gt;0,T20-S20,"")</f>
        <v/>
      </c>
      <c r="AD20" s="8" t="str">
        <f>IF(W20="","",V20+W20)</f>
        <v/>
      </c>
      <c r="AE20" t="str">
        <f>IF(Y20="","",X20+Y20)</f>
        <v/>
      </c>
      <c r="AF20" t="str">
        <f>IF(Z20="","",Y20+Z20)</f>
        <v/>
      </c>
      <c r="AG20" t="str">
        <f>IF(AA20="","",Z20+AA20)</f>
        <v/>
      </c>
      <c r="AH20" t="str">
        <f>IF(AE20="","",AD20+AE20)</f>
        <v/>
      </c>
      <c r="AI20" t="str">
        <f>IF(AG20="","",AF20+AG20)</f>
        <v/>
      </c>
      <c r="AJ20" t="str">
        <f>IF(AI20="","",AH20+AI20)</f>
        <v/>
      </c>
      <c r="AK20" s="8">
        <f>L20-K20</f>
        <v>0.10000000000000003</v>
      </c>
      <c r="AL20" s="8">
        <f>M20-J20</f>
        <v>7.9399999999999995</v>
      </c>
      <c r="AM20" s="8"/>
      <c r="AP20" t="s">
        <v>139</v>
      </c>
    </row>
    <row r="21" spans="1:42" x14ac:dyDescent="0.3">
      <c r="A21" t="s">
        <v>40</v>
      </c>
      <c r="B21" s="6">
        <v>45070</v>
      </c>
      <c r="C21" s="7">
        <v>2</v>
      </c>
      <c r="D21" s="7">
        <v>1</v>
      </c>
      <c r="E21">
        <v>3</v>
      </c>
      <c r="F21" t="s">
        <v>43</v>
      </c>
      <c r="G21">
        <v>62.5</v>
      </c>
      <c r="H21">
        <v>108</v>
      </c>
      <c r="I21">
        <v>0</v>
      </c>
      <c r="J21">
        <v>0.35</v>
      </c>
      <c r="K21">
        <v>0.39</v>
      </c>
      <c r="L21">
        <v>0.68</v>
      </c>
      <c r="M21">
        <v>8.51</v>
      </c>
      <c r="U21" s="8">
        <f>J21-K21</f>
        <v>-4.0000000000000036E-2</v>
      </c>
      <c r="V21" s="8">
        <f>M21-K21</f>
        <v>8.1199999999999992</v>
      </c>
      <c r="W21" s="8" t="str">
        <f>IF(N21-M21&gt;0,N21-M21,"")</f>
        <v/>
      </c>
      <c r="X21" s="8" t="str">
        <f>IF(O21-N21&gt;0,O21-N21,"")</f>
        <v/>
      </c>
      <c r="Y21" s="8" t="str">
        <f>IF(P21-O21&gt;0,P21-O21,"")</f>
        <v/>
      </c>
      <c r="Z21" s="8" t="str">
        <f>IF(Q21-P21&gt;0,Q21-P21,"")</f>
        <v/>
      </c>
      <c r="AA21" s="8" t="str">
        <f>IF(R21-Q21&gt;0,R21-Q21,"")</f>
        <v/>
      </c>
      <c r="AB21" s="8" t="str">
        <f>IF(S21-R21&gt;0,S21-R21,"")</f>
        <v/>
      </c>
      <c r="AC21" s="8" t="str">
        <f>IF(T21-S21&gt;0,T21-S21,"")</f>
        <v/>
      </c>
      <c r="AD21" s="8" t="str">
        <f>IF(W21="","",V21+W21)</f>
        <v/>
      </c>
      <c r="AE21" t="str">
        <f>IF(Y21="","",X21+Y21)</f>
        <v/>
      </c>
      <c r="AF21" t="str">
        <f>IF(Z21="","",Y21+Z21)</f>
        <v/>
      </c>
      <c r="AG21" t="str">
        <f>IF(AA21="","",Z21+AA21)</f>
        <v/>
      </c>
      <c r="AH21" t="str">
        <f>IF(AE21="","",AD21+AE21)</f>
        <v/>
      </c>
      <c r="AI21" t="str">
        <f>IF(AG21="","",AF21+AG21)</f>
        <v/>
      </c>
      <c r="AJ21" t="str">
        <f>IF(AI21="","",AH21+AI21)</f>
        <v/>
      </c>
      <c r="AK21" s="8">
        <f>L21-K21</f>
        <v>0.29000000000000004</v>
      </c>
      <c r="AL21" s="8">
        <f>M21-J21</f>
        <v>8.16</v>
      </c>
      <c r="AM21" s="8" t="str">
        <f>IF(N21="","",AL21+W21)</f>
        <v/>
      </c>
      <c r="AP21" t="s">
        <v>139</v>
      </c>
    </row>
    <row r="22" spans="1:42" x14ac:dyDescent="0.3">
      <c r="A22" t="s">
        <v>38</v>
      </c>
      <c r="B22" s="6">
        <v>45070</v>
      </c>
      <c r="C22" s="7">
        <v>2</v>
      </c>
      <c r="D22" s="7">
        <v>1</v>
      </c>
      <c r="E22">
        <v>2</v>
      </c>
      <c r="F22" t="s">
        <v>42</v>
      </c>
      <c r="G22">
        <v>62.5</v>
      </c>
      <c r="H22">
        <v>106</v>
      </c>
      <c r="I22">
        <v>0</v>
      </c>
      <c r="J22">
        <v>0.3</v>
      </c>
      <c r="K22">
        <v>0.59</v>
      </c>
      <c r="L22">
        <v>0.47</v>
      </c>
      <c r="M22">
        <v>8.35</v>
      </c>
      <c r="U22" s="8">
        <f>J22-K22</f>
        <v>-0.28999999999999998</v>
      </c>
      <c r="V22" s="8">
        <f>M22-K22</f>
        <v>7.76</v>
      </c>
      <c r="W22" s="8" t="str">
        <f>IF(N22-M22&gt;0,N22-M22,"")</f>
        <v/>
      </c>
      <c r="X22" s="8" t="str">
        <f>IF(O22-N22&gt;0,O22-N22,"")</f>
        <v/>
      </c>
      <c r="Y22" s="8" t="str">
        <f>IF(P22-O22&gt;0,P22-O22,"")</f>
        <v/>
      </c>
      <c r="Z22" s="8" t="str">
        <f>IF(Q22-P22&gt;0,Q22-P22,"")</f>
        <v/>
      </c>
      <c r="AA22" s="8" t="str">
        <f>IF(R22-Q22&gt;0,R22-Q22,"")</f>
        <v/>
      </c>
      <c r="AB22" s="8" t="str">
        <f>IF(S22-R22&gt;0,S22-R22,"")</f>
        <v/>
      </c>
      <c r="AC22" s="8" t="str">
        <f>IF(T22-S22&gt;0,T22-S22,"")</f>
        <v/>
      </c>
      <c r="AD22" s="8" t="str">
        <f>IF(W22="","",V22+W22)</f>
        <v/>
      </c>
      <c r="AE22" t="str">
        <f>IF(Y22="","",X22+Y22)</f>
        <v/>
      </c>
      <c r="AF22" t="str">
        <f>IF(Z22="","",Y22+Z22)</f>
        <v/>
      </c>
      <c r="AG22" t="str">
        <f>IF(AA22="","",Z22+AA22)</f>
        <v/>
      </c>
      <c r="AH22" t="str">
        <f>IF(AE22="","",AD22+AE22)</f>
        <v/>
      </c>
      <c r="AI22" t="str">
        <f>IF(AG22="","",AF22+AG22)</f>
        <v/>
      </c>
      <c r="AJ22" t="str">
        <f>IF(AI22="","",AH22+AI22)</f>
        <v/>
      </c>
      <c r="AK22" s="8">
        <f>L22-K22</f>
        <v>-0.12</v>
      </c>
      <c r="AL22" s="8">
        <f>M22-J22</f>
        <v>8.0499999999999989</v>
      </c>
      <c r="AM22" s="8"/>
      <c r="AP22" t="s">
        <v>127</v>
      </c>
    </row>
    <row r="23" spans="1:42" x14ac:dyDescent="0.3">
      <c r="A23" t="s">
        <v>36</v>
      </c>
      <c r="B23" s="6">
        <v>45070</v>
      </c>
      <c r="C23" s="7">
        <v>2</v>
      </c>
      <c r="D23" s="7">
        <v>2</v>
      </c>
      <c r="E23">
        <v>1</v>
      </c>
      <c r="F23" t="s">
        <v>43</v>
      </c>
      <c r="G23">
        <v>62.5</v>
      </c>
      <c r="H23">
        <v>100</v>
      </c>
      <c r="I23">
        <v>0</v>
      </c>
      <c r="J23">
        <v>0</v>
      </c>
      <c r="K23">
        <v>-0.06</v>
      </c>
      <c r="L23">
        <v>0.04</v>
      </c>
      <c r="M23">
        <v>7.47</v>
      </c>
      <c r="U23" s="8">
        <f>J23-K23</f>
        <v>0.06</v>
      </c>
      <c r="V23" s="8">
        <f>M23-K23</f>
        <v>7.5299999999999994</v>
      </c>
      <c r="W23" s="8" t="str">
        <f>IF(N23-M23&gt;0,N23-M23,"")</f>
        <v/>
      </c>
      <c r="X23" s="8" t="str">
        <f>IF(O23-N23&gt;0,O23-N23,"")</f>
        <v/>
      </c>
      <c r="Y23" s="8" t="str">
        <f>IF(P23-O23&gt;0,P23-O23,"")</f>
        <v/>
      </c>
      <c r="Z23" s="8" t="str">
        <f>IF(Q23-P23&gt;0,Q23-P23,"")</f>
        <v/>
      </c>
      <c r="AA23" s="8" t="str">
        <f>IF(R23-Q23&gt;0,R23-Q23,"")</f>
        <v/>
      </c>
      <c r="AB23" s="8" t="str">
        <f>IF(S23-R23&gt;0,S23-R23,"")</f>
        <v/>
      </c>
      <c r="AC23" s="8" t="str">
        <f>IF(T23-S23&gt;0,T23-S23,"")</f>
        <v/>
      </c>
      <c r="AD23" s="8" t="str">
        <f>IF(W23="","",V23+W23)</f>
        <v/>
      </c>
      <c r="AE23" t="str">
        <f>IF(Y23="","",X23+Y23)</f>
        <v/>
      </c>
      <c r="AF23" t="str">
        <f>IF(Z23="","",Y23+Z23)</f>
        <v/>
      </c>
      <c r="AG23" t="str">
        <f>IF(AA23="","",Z23+AA23)</f>
        <v/>
      </c>
      <c r="AH23" t="str">
        <f>IF(AE23="","",AD23+AE23)</f>
        <v/>
      </c>
      <c r="AI23" t="str">
        <f>IF(AG23="","",AF23+AG23)</f>
        <v/>
      </c>
      <c r="AJ23" t="str">
        <f>IF(AI23="","",AH23+AI23)</f>
        <v/>
      </c>
      <c r="AK23" s="8">
        <f>L23-K23</f>
        <v>0.1</v>
      </c>
      <c r="AL23" s="8">
        <f>M23-J23</f>
        <v>7.47</v>
      </c>
      <c r="AM23" s="8" t="str">
        <f>IF(N23="","",AL23+W23)</f>
        <v/>
      </c>
      <c r="AP23" t="s">
        <v>125</v>
      </c>
    </row>
    <row r="24" spans="1:42" x14ac:dyDescent="0.3">
      <c r="A24" t="s">
        <v>41</v>
      </c>
      <c r="B24" s="6">
        <v>45070</v>
      </c>
      <c r="C24" s="7">
        <v>2</v>
      </c>
      <c r="D24" s="7">
        <v>2</v>
      </c>
      <c r="E24">
        <v>2</v>
      </c>
      <c r="F24" t="s">
        <v>43</v>
      </c>
      <c r="G24">
        <v>62.5</v>
      </c>
      <c r="H24">
        <v>106</v>
      </c>
      <c r="I24">
        <v>0</v>
      </c>
      <c r="J24">
        <v>0.24</v>
      </c>
      <c r="K24">
        <v>0.2</v>
      </c>
      <c r="L24">
        <v>0.68</v>
      </c>
      <c r="M24">
        <v>8.19</v>
      </c>
      <c r="U24" s="8">
        <f>J24-K24</f>
        <v>3.999999999999998E-2</v>
      </c>
      <c r="V24" s="8">
        <f>M24-K24</f>
        <v>7.9899999999999993</v>
      </c>
      <c r="W24" s="8" t="str">
        <f>IF(N24-M24&gt;0,N24-M24,"")</f>
        <v/>
      </c>
      <c r="X24" s="8" t="str">
        <f>IF(O24-N24&gt;0,O24-N24,"")</f>
        <v/>
      </c>
      <c r="Y24" s="8" t="str">
        <f>IF(P24-O24&gt;0,P24-O24,"")</f>
        <v/>
      </c>
      <c r="Z24" s="8" t="str">
        <f>IF(Q24-P24&gt;0,Q24-P24,"")</f>
        <v/>
      </c>
      <c r="AA24" s="8" t="str">
        <f>IF(R24-Q24&gt;0,R24-Q24,"")</f>
        <v/>
      </c>
      <c r="AB24" s="8" t="str">
        <f>IF(S24-R24&gt;0,S24-R24,"")</f>
        <v/>
      </c>
      <c r="AC24" s="8" t="str">
        <f>IF(T24-S24&gt;0,T24-S24,"")</f>
        <v/>
      </c>
      <c r="AD24" s="8" t="str">
        <f>IF(W24="","",V24+W24)</f>
        <v/>
      </c>
      <c r="AE24" t="str">
        <f>IF(Y24="","",X24+Y24)</f>
        <v/>
      </c>
      <c r="AF24" t="str">
        <f>IF(Z24="","",Y24+Z24)</f>
        <v/>
      </c>
      <c r="AG24" t="str">
        <f>IF(AA24="","",Z24+AA24)</f>
        <v/>
      </c>
      <c r="AH24" t="str">
        <f>IF(AE24="","",AD24+AE24)</f>
        <v/>
      </c>
      <c r="AI24" t="str">
        <f>IF(AG24="","",AF24+AG24)</f>
        <v/>
      </c>
      <c r="AJ24" t="str">
        <f>IF(AI24="","",AH24+AI24)</f>
        <v/>
      </c>
      <c r="AK24" s="8">
        <f>L24-K24</f>
        <v>0.48000000000000004</v>
      </c>
      <c r="AL24" s="8">
        <f>M24-J24</f>
        <v>7.9499999999999993</v>
      </c>
      <c r="AM24" s="8"/>
      <c r="AP24" t="s">
        <v>125</v>
      </c>
    </row>
    <row r="25" spans="1:42" x14ac:dyDescent="0.3">
      <c r="A25" t="s">
        <v>40</v>
      </c>
      <c r="B25" s="6">
        <v>45070</v>
      </c>
      <c r="C25" s="7">
        <v>2</v>
      </c>
      <c r="D25" s="7">
        <v>2</v>
      </c>
      <c r="E25">
        <v>3</v>
      </c>
      <c r="F25" t="s">
        <v>43</v>
      </c>
      <c r="G25">
        <v>62.5</v>
      </c>
      <c r="H25">
        <v>108</v>
      </c>
      <c r="I25">
        <v>0</v>
      </c>
      <c r="J25">
        <v>0.2</v>
      </c>
      <c r="K25">
        <v>0.32</v>
      </c>
      <c r="L25">
        <v>0.45</v>
      </c>
      <c r="M25">
        <v>8.48</v>
      </c>
      <c r="U25" s="8">
        <f>J25-K25</f>
        <v>-0.12</v>
      </c>
      <c r="V25" s="8">
        <f>M25-K25</f>
        <v>8.16</v>
      </c>
      <c r="W25" s="8" t="str">
        <f>IF(N25-M25&gt;0,N25-M25,"")</f>
        <v/>
      </c>
      <c r="X25" s="8" t="str">
        <f>IF(O25-N25&gt;0,O25-N25,"")</f>
        <v/>
      </c>
      <c r="Y25" s="8" t="str">
        <f>IF(P25-O25&gt;0,P25-O25,"")</f>
        <v/>
      </c>
      <c r="Z25" s="8" t="str">
        <f>IF(Q25-P25&gt;0,Q25-P25,"")</f>
        <v/>
      </c>
      <c r="AA25" s="8" t="str">
        <f>IF(R25-Q25&gt;0,R25-Q25,"")</f>
        <v/>
      </c>
      <c r="AB25" s="8" t="str">
        <f>IF(S25-R25&gt;0,S25-R25,"")</f>
        <v/>
      </c>
      <c r="AC25" s="8" t="str">
        <f>IF(T25-S25&gt;0,T25-S25,"")</f>
        <v/>
      </c>
      <c r="AD25" s="8" t="str">
        <f>IF(W25="","",V25+W25)</f>
        <v/>
      </c>
      <c r="AE25" t="str">
        <f>IF(Y25="","",X25+Y25)</f>
        <v/>
      </c>
      <c r="AF25" t="str">
        <f>IF(Z25="","",Y25+Z25)</f>
        <v/>
      </c>
      <c r="AG25" t="str">
        <f>IF(AA25="","",Z25+AA25)</f>
        <v/>
      </c>
      <c r="AH25" t="str">
        <f>IF(AE25="","",AD25+AE25)</f>
        <v/>
      </c>
      <c r="AI25" t="str">
        <f>IF(AG25="","",AF25+AG25)</f>
        <v/>
      </c>
      <c r="AJ25" t="str">
        <f>IF(AI25="","",AH25+AI25)</f>
        <v/>
      </c>
      <c r="AK25" s="8">
        <f>L25-K25</f>
        <v>0.13</v>
      </c>
      <c r="AL25" s="8">
        <f>M25-J25</f>
        <v>8.2800000000000011</v>
      </c>
      <c r="AM25" s="8" t="str">
        <f>IF(N25="","",AL25+W25)</f>
        <v/>
      </c>
      <c r="AP25" t="s">
        <v>125</v>
      </c>
    </row>
    <row r="26" spans="1:42" x14ac:dyDescent="0.3">
      <c r="A26" t="s">
        <v>38</v>
      </c>
      <c r="B26" s="6">
        <v>45070</v>
      </c>
      <c r="C26" s="7">
        <v>2</v>
      </c>
      <c r="D26" s="7">
        <v>2</v>
      </c>
      <c r="E26">
        <v>2</v>
      </c>
      <c r="F26" t="s">
        <v>42</v>
      </c>
      <c r="G26">
        <v>62.5</v>
      </c>
      <c r="H26">
        <v>106</v>
      </c>
      <c r="I26">
        <v>0</v>
      </c>
      <c r="J26">
        <v>0.28000000000000003</v>
      </c>
      <c r="K26">
        <v>0.44</v>
      </c>
      <c r="L26">
        <v>0.42</v>
      </c>
      <c r="M26">
        <v>8.31</v>
      </c>
      <c r="U26" s="8">
        <f>J26-K26</f>
        <v>-0.15999999999999998</v>
      </c>
      <c r="V26" s="8">
        <f>M26-K26</f>
        <v>7.87</v>
      </c>
      <c r="W26" s="8" t="str">
        <f>IF(N26-M26&gt;0,N26-M26,"")</f>
        <v/>
      </c>
      <c r="X26" s="8" t="str">
        <f>IF(O26-N26&gt;0,O26-N26,"")</f>
        <v/>
      </c>
      <c r="Y26" s="8" t="str">
        <f>IF(P26-O26&gt;0,P26-O26,"")</f>
        <v/>
      </c>
      <c r="Z26" s="8" t="str">
        <f>IF(Q26-P26&gt;0,Q26-P26,"")</f>
        <v/>
      </c>
      <c r="AA26" s="8" t="str">
        <f>IF(R26-Q26&gt;0,R26-Q26,"")</f>
        <v/>
      </c>
      <c r="AB26" s="8" t="str">
        <f>IF(S26-R26&gt;0,S26-R26,"")</f>
        <v/>
      </c>
      <c r="AC26" s="8" t="str">
        <f>IF(T26-S26&gt;0,T26-S26,"")</f>
        <v/>
      </c>
      <c r="AD26" s="8" t="str">
        <f>IF(W26="","",V26+W26)</f>
        <v/>
      </c>
      <c r="AE26" t="str">
        <f>IF(Y26="","",X26+Y26)</f>
        <v/>
      </c>
      <c r="AF26" t="str">
        <f>IF(Z26="","",Y26+Z26)</f>
        <v/>
      </c>
      <c r="AG26" t="str">
        <f>IF(AA26="","",Z26+AA26)</f>
        <v/>
      </c>
      <c r="AH26" t="str">
        <f>IF(AE26="","",AD26+AE26)</f>
        <v/>
      </c>
      <c r="AI26" t="str">
        <f>IF(AG26="","",AF26+AG26)</f>
        <v/>
      </c>
      <c r="AJ26" t="str">
        <f>IF(AI26="","",AH26+AI26)</f>
        <v/>
      </c>
      <c r="AK26" s="8">
        <f>L26-K26</f>
        <v>-2.0000000000000018E-2</v>
      </c>
      <c r="AL26" s="8">
        <f>M26-J26</f>
        <v>8.0300000000000011</v>
      </c>
      <c r="AM26" s="8"/>
      <c r="AP26" t="s">
        <v>128</v>
      </c>
    </row>
    <row r="27" spans="1:42" x14ac:dyDescent="0.3">
      <c r="A27" t="s">
        <v>36</v>
      </c>
      <c r="B27" s="6">
        <v>45070</v>
      </c>
      <c r="C27" s="7">
        <v>2</v>
      </c>
      <c r="D27" s="7">
        <v>3</v>
      </c>
      <c r="E27">
        <v>1</v>
      </c>
      <c r="F27" t="s">
        <v>43</v>
      </c>
      <c r="G27">
        <v>125</v>
      </c>
      <c r="H27">
        <v>100</v>
      </c>
      <c r="I27">
        <v>0</v>
      </c>
      <c r="J27">
        <v>0</v>
      </c>
      <c r="K27">
        <v>-0.08</v>
      </c>
      <c r="L27">
        <v>0.08</v>
      </c>
      <c r="M27">
        <v>7.44</v>
      </c>
      <c r="N27">
        <v>11.7</v>
      </c>
      <c r="U27" s="8">
        <f>J27-K27</f>
        <v>0.08</v>
      </c>
      <c r="V27" s="8">
        <f>M27-K27</f>
        <v>7.5200000000000005</v>
      </c>
      <c r="W27" s="8">
        <f>IF(N27-M27&gt;0,N27-M27,"")</f>
        <v>4.2599999999999989</v>
      </c>
      <c r="X27" s="8" t="str">
        <f>IF(O27-N27&gt;0,O27-N27,"")</f>
        <v/>
      </c>
      <c r="Y27" s="8" t="str">
        <f>IF(P27-O27&gt;0,P27-O27,"")</f>
        <v/>
      </c>
      <c r="Z27" s="8" t="str">
        <f>IF(Q27-P27&gt;0,Q27-P27,"")</f>
        <v/>
      </c>
      <c r="AA27" s="8" t="str">
        <f>IF(R27-Q27&gt;0,R27-Q27,"")</f>
        <v/>
      </c>
      <c r="AB27" s="8" t="str">
        <f>IF(S27-R27&gt;0,S27-R27,"")</f>
        <v/>
      </c>
      <c r="AC27" s="8" t="str">
        <f>IF(T27-S27&gt;0,T27-S27,"")</f>
        <v/>
      </c>
      <c r="AD27" s="8">
        <f>IF(W27="","",V27+W27)</f>
        <v>11.78</v>
      </c>
      <c r="AE27" t="str">
        <f>IF(Y27="","",X27+Y27)</f>
        <v/>
      </c>
      <c r="AF27" t="str">
        <f>IF(Z27="","",Y27+Z27)</f>
        <v/>
      </c>
      <c r="AG27" t="str">
        <f>IF(AA27="","",Z27+AA27)</f>
        <v/>
      </c>
      <c r="AH27" t="str">
        <f>IF(AE27="","",AD27+AE27)</f>
        <v/>
      </c>
      <c r="AI27" t="str">
        <f>IF(AG27="","",AF27+AG27)</f>
        <v/>
      </c>
      <c r="AJ27" t="str">
        <f>IF(AI27="","",AH27+AI27)</f>
        <v/>
      </c>
      <c r="AK27" s="8">
        <f>L27-K27</f>
        <v>0.16</v>
      </c>
      <c r="AL27" s="8">
        <f>M27-J27</f>
        <v>7.44</v>
      </c>
      <c r="AM27" s="8">
        <f>IF(N27="","",AL27+W27)</f>
        <v>11.7</v>
      </c>
      <c r="AP27" t="s">
        <v>126</v>
      </c>
    </row>
    <row r="28" spans="1:42" x14ac:dyDescent="0.3">
      <c r="A28" t="s">
        <v>41</v>
      </c>
      <c r="B28" s="6">
        <v>45070</v>
      </c>
      <c r="C28" s="7">
        <v>2</v>
      </c>
      <c r="D28" s="7">
        <v>3</v>
      </c>
      <c r="E28">
        <v>2</v>
      </c>
      <c r="F28" t="s">
        <v>43</v>
      </c>
      <c r="G28">
        <v>125</v>
      </c>
      <c r="H28">
        <v>106</v>
      </c>
      <c r="I28">
        <v>0</v>
      </c>
      <c r="J28">
        <v>0.22</v>
      </c>
      <c r="K28">
        <v>0.24</v>
      </c>
      <c r="L28">
        <v>0.48</v>
      </c>
      <c r="M28">
        <v>8.24</v>
      </c>
      <c r="N28">
        <v>12.56</v>
      </c>
      <c r="U28" s="8">
        <f>J28-K28</f>
        <v>-1.999999999999999E-2</v>
      </c>
      <c r="V28" s="8">
        <f>M28-K28</f>
        <v>8</v>
      </c>
      <c r="W28" s="8">
        <f>IF(N28-M28&gt;0,N28-M28,"")</f>
        <v>4.32</v>
      </c>
      <c r="X28" s="8" t="str">
        <f>IF(O28-N28&gt;0,O28-N28,"")</f>
        <v/>
      </c>
      <c r="Y28" s="8" t="str">
        <f>IF(P28-O28&gt;0,P28-O28,"")</f>
        <v/>
      </c>
      <c r="Z28" s="8" t="str">
        <f>IF(Q28-P28&gt;0,Q28-P28,"")</f>
        <v/>
      </c>
      <c r="AA28" s="8" t="str">
        <f>IF(R28-Q28&gt;0,R28-Q28,"")</f>
        <v/>
      </c>
      <c r="AB28" s="8" t="str">
        <f>IF(S28-R28&gt;0,S28-R28,"")</f>
        <v/>
      </c>
      <c r="AC28" s="8" t="str">
        <f>IF(T28-S28&gt;0,T28-S28,"")</f>
        <v/>
      </c>
      <c r="AD28" s="8">
        <f>IF(W28="","",V28+W28)</f>
        <v>12.32</v>
      </c>
      <c r="AE28" t="str">
        <f>IF(Y28="","",X28+Y28)</f>
        <v/>
      </c>
      <c r="AF28" t="str">
        <f>IF(Z28="","",Y28+Z28)</f>
        <v/>
      </c>
      <c r="AG28" t="str">
        <f>IF(AA28="","",Z28+AA28)</f>
        <v/>
      </c>
      <c r="AH28" t="str">
        <f>IF(AE28="","",AD28+AE28)</f>
        <v/>
      </c>
      <c r="AI28" t="str">
        <f>IF(AG28="","",AF28+AG28)</f>
        <v/>
      </c>
      <c r="AJ28" t="str">
        <f>IF(AI28="","",AH28+AI28)</f>
        <v/>
      </c>
      <c r="AK28" s="8">
        <f>L28-K28</f>
        <v>0.24</v>
      </c>
      <c r="AL28" s="8">
        <f>M28-J28</f>
        <v>8.02</v>
      </c>
      <c r="AM28" s="8">
        <f>IF(N28="","",AL28+W28)</f>
        <v>12.34</v>
      </c>
      <c r="AP28" t="s">
        <v>126</v>
      </c>
    </row>
    <row r="29" spans="1:42" x14ac:dyDescent="0.3">
      <c r="A29" t="s">
        <v>40</v>
      </c>
      <c r="B29" s="6">
        <v>45070</v>
      </c>
      <c r="C29" s="7">
        <v>2</v>
      </c>
      <c r="D29" s="7">
        <v>3</v>
      </c>
      <c r="E29">
        <v>3</v>
      </c>
      <c r="F29" t="s">
        <v>43</v>
      </c>
      <c r="G29">
        <v>125</v>
      </c>
      <c r="H29">
        <v>108</v>
      </c>
      <c r="I29">
        <v>0</v>
      </c>
      <c r="J29">
        <v>0.36</v>
      </c>
      <c r="K29">
        <v>0.32</v>
      </c>
      <c r="L29">
        <v>0.61</v>
      </c>
      <c r="M29">
        <v>8.5399999999999991</v>
      </c>
      <c r="N29">
        <v>12.81</v>
      </c>
      <c r="U29" s="8">
        <f>J29-K29</f>
        <v>3.999999999999998E-2</v>
      </c>
      <c r="V29" s="8">
        <f>M29-K29</f>
        <v>8.2199999999999989</v>
      </c>
      <c r="W29" s="8">
        <f>IF(N29-M29&gt;0,N29-M29,"")</f>
        <v>4.2700000000000014</v>
      </c>
      <c r="X29" s="8" t="str">
        <f>IF(O29-N29&gt;0,O29-N29,"")</f>
        <v/>
      </c>
      <c r="Y29" s="8" t="str">
        <f>IF(P29-O29&gt;0,P29-O29,"")</f>
        <v/>
      </c>
      <c r="Z29" s="8" t="str">
        <f>IF(Q29-P29&gt;0,Q29-P29,"")</f>
        <v/>
      </c>
      <c r="AA29" s="8" t="str">
        <f>IF(R29-Q29&gt;0,R29-Q29,"")</f>
        <v/>
      </c>
      <c r="AB29" s="8" t="str">
        <f>IF(S29-R29&gt;0,S29-R29,"")</f>
        <v/>
      </c>
      <c r="AC29" s="8" t="str">
        <f>IF(T29-S29&gt;0,T29-S29,"")</f>
        <v/>
      </c>
      <c r="AD29" s="8">
        <f>IF(W29="","",V29+W29)</f>
        <v>12.49</v>
      </c>
      <c r="AE29" t="str">
        <f>IF(Y29="","",X29+Y29)</f>
        <v/>
      </c>
      <c r="AF29" t="str">
        <f>IF(Z29="","",Y29+Z29)</f>
        <v/>
      </c>
      <c r="AG29" t="str">
        <f>IF(AA29="","",Z29+AA29)</f>
        <v/>
      </c>
      <c r="AH29" t="str">
        <f>IF(AE29="","",AD29+AE29)</f>
        <v/>
      </c>
      <c r="AI29" t="str">
        <f>IF(AG29="","",AF29+AG29)</f>
        <v/>
      </c>
      <c r="AJ29" t="str">
        <f>IF(AI29="","",AH29+AI29)</f>
        <v/>
      </c>
      <c r="AK29" s="8">
        <f>L29-K29</f>
        <v>0.28999999999999998</v>
      </c>
      <c r="AL29" s="8">
        <f>M29-J29</f>
        <v>8.18</v>
      </c>
      <c r="AM29" s="8">
        <f>IF(N29="","",AL29+W29)</f>
        <v>12.450000000000001</v>
      </c>
      <c r="AP29" t="s">
        <v>126</v>
      </c>
    </row>
    <row r="30" spans="1:42" x14ac:dyDescent="0.3">
      <c r="A30" t="s">
        <v>38</v>
      </c>
      <c r="B30" s="6">
        <v>45070</v>
      </c>
      <c r="C30" s="7">
        <v>2</v>
      </c>
      <c r="D30" s="7">
        <v>3</v>
      </c>
      <c r="E30">
        <v>2</v>
      </c>
      <c r="F30" t="s">
        <v>42</v>
      </c>
      <c r="G30">
        <v>125</v>
      </c>
      <c r="H30">
        <v>106</v>
      </c>
      <c r="I30">
        <v>33.380000000000003</v>
      </c>
      <c r="J30">
        <v>33.6</v>
      </c>
      <c r="K30">
        <v>33.61</v>
      </c>
      <c r="L30">
        <v>33.76</v>
      </c>
      <c r="M30">
        <v>41.52</v>
      </c>
      <c r="N30">
        <v>45.901000000000003</v>
      </c>
      <c r="U30" s="8">
        <f>J30-K30</f>
        <v>-9.9999999999980105E-3</v>
      </c>
      <c r="V30" s="8">
        <f>M30-K30</f>
        <v>7.9100000000000037</v>
      </c>
      <c r="W30" s="8">
        <f>IF(N30-M30&gt;0,N30-M30,"")</f>
        <v>4.3810000000000002</v>
      </c>
      <c r="X30" s="8" t="str">
        <f>IF(O30-N30&gt;0,O30-N30,"")</f>
        <v/>
      </c>
      <c r="Y30" s="8" t="str">
        <f>IF(P30-O30&gt;0,P30-O30,"")</f>
        <v/>
      </c>
      <c r="Z30" s="8" t="str">
        <f>IF(Q30-P30&gt;0,Q30-P30,"")</f>
        <v/>
      </c>
      <c r="AA30" s="8" t="str">
        <f>IF(R30-Q30&gt;0,R30-Q30,"")</f>
        <v/>
      </c>
      <c r="AB30" s="8" t="str">
        <f>IF(S30-R30&gt;0,S30-R30,"")</f>
        <v/>
      </c>
      <c r="AC30" s="8" t="str">
        <f>IF(T30-S30&gt;0,T30-S30,"")</f>
        <v/>
      </c>
      <c r="AD30" s="8">
        <f>IF(W30="","",V30+W30)</f>
        <v>12.291000000000004</v>
      </c>
      <c r="AE30" t="str">
        <f>IF(Y30="","",X30+Y30)</f>
        <v/>
      </c>
      <c r="AF30" t="str">
        <f>IF(Z30="","",Y30+Z30)</f>
        <v/>
      </c>
      <c r="AG30" t="str">
        <f>IF(AA30="","",Z30+AA30)</f>
        <v/>
      </c>
      <c r="AH30" t="str">
        <f>IF(AE30="","",AD30+AE30)</f>
        <v/>
      </c>
      <c r="AI30" t="str">
        <f>IF(AG30="","",AF30+AG30)</f>
        <v/>
      </c>
      <c r="AJ30" t="str">
        <f>IF(AI30="","",AH30+AI30)</f>
        <v/>
      </c>
      <c r="AK30" s="8">
        <f>L30-K30</f>
        <v>0.14999999999999858</v>
      </c>
      <c r="AL30" s="8">
        <f>M30-J30</f>
        <v>7.9200000000000017</v>
      </c>
      <c r="AM30" s="8">
        <f>IF(N30="","",AL30+W30)</f>
        <v>12.301000000000002</v>
      </c>
      <c r="AP30" t="s">
        <v>129</v>
      </c>
    </row>
    <row r="31" spans="1:42" x14ac:dyDescent="0.3">
      <c r="A31" t="s">
        <v>36</v>
      </c>
      <c r="B31" s="6">
        <v>45070</v>
      </c>
      <c r="C31" s="7">
        <v>3</v>
      </c>
      <c r="D31" s="7">
        <v>1</v>
      </c>
      <c r="E31">
        <v>1</v>
      </c>
      <c r="F31" t="s">
        <v>44</v>
      </c>
      <c r="G31">
        <v>62.5</v>
      </c>
      <c r="H31">
        <v>104</v>
      </c>
      <c r="I31">
        <v>50.296999999999997</v>
      </c>
      <c r="J31">
        <v>50.296999999999997</v>
      </c>
      <c r="K31">
        <v>50.237000000000002</v>
      </c>
      <c r="L31">
        <v>50.359000000000002</v>
      </c>
      <c r="M31">
        <v>57.798000000000002</v>
      </c>
      <c r="U31" s="8">
        <f>J31-K31</f>
        <v>5.9999999999995168E-2</v>
      </c>
      <c r="V31" s="8">
        <f>M31-K31</f>
        <v>7.5609999999999999</v>
      </c>
      <c r="W31" s="8" t="str">
        <f>IF(N31-M31&gt;0,N31-M31,"")</f>
        <v/>
      </c>
      <c r="X31" s="8" t="str">
        <f>IF(O31-N31&gt;0,O31-N31,"")</f>
        <v/>
      </c>
      <c r="Y31" s="8" t="str">
        <f>IF(P31-O31&gt;0,P31-O31,"")</f>
        <v/>
      </c>
      <c r="Z31" s="8" t="str">
        <f>IF(Q31-P31&gt;0,Q31-P31,"")</f>
        <v/>
      </c>
      <c r="AA31" s="8" t="str">
        <f>IF(R31-Q31&gt;0,R31-Q31,"")</f>
        <v/>
      </c>
      <c r="AB31" s="8" t="str">
        <f>IF(S31-R31&gt;0,S31-R31,"")</f>
        <v/>
      </c>
      <c r="AC31" s="8" t="str">
        <f>IF(T31-S31&gt;0,T31-S31,"")</f>
        <v/>
      </c>
      <c r="AD31" s="8" t="str">
        <f>IF(W31="","",V31+W31)</f>
        <v/>
      </c>
      <c r="AE31" t="str">
        <f>IF(Y31="","",X31+Y31)</f>
        <v/>
      </c>
      <c r="AF31" t="str">
        <f>IF(Z31="","",Y31+Z31)</f>
        <v/>
      </c>
      <c r="AG31" t="str">
        <f>IF(AA31="","",Z31+AA31)</f>
        <v/>
      </c>
      <c r="AH31" t="str">
        <f>IF(AE31="","",AD31+AE31)</f>
        <v/>
      </c>
      <c r="AI31" t="str">
        <f>IF(AG31="","",AF31+AG31)</f>
        <v/>
      </c>
      <c r="AJ31" t="str">
        <f>IF(AI31="","",AH31+AI31)</f>
        <v/>
      </c>
      <c r="AK31" s="8">
        <f>L31-K31</f>
        <v>0.12199999999999989</v>
      </c>
      <c r="AL31" s="8">
        <f>M31-J31</f>
        <v>7.5010000000000048</v>
      </c>
      <c r="AM31" s="8" t="str">
        <f>IF(N31="","",AL31+W31)</f>
        <v/>
      </c>
      <c r="AP31" t="s">
        <v>142</v>
      </c>
    </row>
    <row r="32" spans="1:42" x14ac:dyDescent="0.3">
      <c r="A32" t="s">
        <v>38</v>
      </c>
      <c r="B32" s="6">
        <v>45070</v>
      </c>
      <c r="C32" s="7">
        <v>3</v>
      </c>
      <c r="D32" s="7">
        <v>1</v>
      </c>
      <c r="E32">
        <v>2</v>
      </c>
      <c r="F32" t="s">
        <v>44</v>
      </c>
      <c r="G32">
        <v>62.5</v>
      </c>
      <c r="H32">
        <v>106</v>
      </c>
      <c r="I32">
        <v>49.875</v>
      </c>
      <c r="J32">
        <v>50.057000000000002</v>
      </c>
      <c r="K32">
        <v>50.237000000000002</v>
      </c>
      <c r="L32">
        <v>50.296999999999997</v>
      </c>
      <c r="M32">
        <v>58.085999999999999</v>
      </c>
      <c r="U32" s="8">
        <f>J32-K32</f>
        <v>-0.17999999999999972</v>
      </c>
      <c r="V32" s="8">
        <f>M32-K32</f>
        <v>7.8489999999999966</v>
      </c>
      <c r="W32" s="8" t="str">
        <f>IF(N32-M32&gt;0,N32-M32,"")</f>
        <v/>
      </c>
      <c r="X32" s="8" t="str">
        <f>IF(O32-N32&gt;0,O32-N32,"")</f>
        <v/>
      </c>
      <c r="Y32" s="8" t="str">
        <f>IF(P32-O32&gt;0,P32-O32,"")</f>
        <v/>
      </c>
      <c r="Z32" s="8" t="str">
        <f>IF(Q32-P32&gt;0,Q32-P32,"")</f>
        <v/>
      </c>
      <c r="AA32" s="8" t="str">
        <f>IF(R32-Q32&gt;0,R32-Q32,"")</f>
        <v/>
      </c>
      <c r="AB32" s="8" t="str">
        <f>IF(S32-R32&gt;0,S32-R32,"")</f>
        <v/>
      </c>
      <c r="AC32" s="8" t="str">
        <f>IF(T32-S32&gt;0,T32-S32,"")</f>
        <v/>
      </c>
      <c r="AD32" s="8" t="str">
        <f>IF(W32="","",V32+W32)</f>
        <v/>
      </c>
      <c r="AE32" t="str">
        <f>IF(Y32="","",X32+Y32)</f>
        <v/>
      </c>
      <c r="AF32" t="str">
        <f>IF(Z32="","",Y32+Z32)</f>
        <v/>
      </c>
      <c r="AG32" t="str">
        <f>IF(AA32="","",Z32+AA32)</f>
        <v/>
      </c>
      <c r="AH32" t="str">
        <f>IF(AE32="","",AD32+AE32)</f>
        <v/>
      </c>
      <c r="AI32" t="str">
        <f>IF(AG32="","",AF32+AG32)</f>
        <v/>
      </c>
      <c r="AJ32" t="str">
        <f>IF(AI32="","",AH32+AI32)</f>
        <v/>
      </c>
      <c r="AK32" s="8">
        <f>L32-K32</f>
        <v>5.9999999999995168E-2</v>
      </c>
      <c r="AL32" s="8">
        <f>M32-J32</f>
        <v>8.0289999999999964</v>
      </c>
      <c r="AM32" s="8"/>
      <c r="AO32" s="8"/>
      <c r="AP32" t="s">
        <v>142</v>
      </c>
    </row>
    <row r="33" spans="1:42" x14ac:dyDescent="0.3">
      <c r="A33" t="s">
        <v>41</v>
      </c>
      <c r="B33" s="6">
        <v>45070</v>
      </c>
      <c r="C33" s="7">
        <v>3</v>
      </c>
      <c r="D33" s="7">
        <v>1</v>
      </c>
      <c r="E33">
        <v>3</v>
      </c>
      <c r="F33" t="s">
        <v>44</v>
      </c>
      <c r="G33">
        <v>62.5</v>
      </c>
      <c r="H33">
        <v>108</v>
      </c>
      <c r="I33">
        <v>49.975000000000001</v>
      </c>
      <c r="J33">
        <v>50.197000000000003</v>
      </c>
      <c r="K33">
        <v>50.237000000000002</v>
      </c>
      <c r="L33">
        <v>50.436999999999998</v>
      </c>
      <c r="M33">
        <v>58.298000000000002</v>
      </c>
      <c r="U33" s="8">
        <f>J33-K33</f>
        <v>-3.9999999999999147E-2</v>
      </c>
      <c r="V33" s="8">
        <f>M33-K33</f>
        <v>8.0609999999999999</v>
      </c>
      <c r="W33" s="8" t="str">
        <f>IF(N33-M33&gt;0,N33-M33,"")</f>
        <v/>
      </c>
      <c r="X33" s="8" t="str">
        <f>IF(O33-N33&gt;0,O33-N33,"")</f>
        <v/>
      </c>
      <c r="Y33" s="8" t="str">
        <f>IF(P33-O33&gt;0,P33-O33,"")</f>
        <v/>
      </c>
      <c r="Z33" s="8" t="str">
        <f>IF(Q33-P33&gt;0,Q33-P33,"")</f>
        <v/>
      </c>
      <c r="AA33" s="8" t="str">
        <f>IF(R33-Q33&gt;0,R33-Q33,"")</f>
        <v/>
      </c>
      <c r="AB33" s="8" t="str">
        <f>IF(S33-R33&gt;0,S33-R33,"")</f>
        <v/>
      </c>
      <c r="AC33" s="8" t="str">
        <f>IF(T33-S33&gt;0,T33-S33,"")</f>
        <v/>
      </c>
      <c r="AD33" s="8" t="str">
        <f>IF(W33="","",V33+W33)</f>
        <v/>
      </c>
      <c r="AE33" t="str">
        <f>IF(Y33="","",X33+Y33)</f>
        <v/>
      </c>
      <c r="AF33" t="str">
        <f>IF(Z33="","",Y33+Z33)</f>
        <v/>
      </c>
      <c r="AG33" t="str">
        <f>IF(AA33="","",Z33+AA33)</f>
        <v/>
      </c>
      <c r="AH33" t="str">
        <f>IF(AE33="","",AD33+AE33)</f>
        <v/>
      </c>
      <c r="AI33" t="str">
        <f>IF(AG33="","",AF33+AG33)</f>
        <v/>
      </c>
      <c r="AJ33" t="str">
        <f>IF(AI33="","",AH33+AI33)</f>
        <v/>
      </c>
      <c r="AK33" s="8">
        <f>L33-K33</f>
        <v>0.19999999999999574</v>
      </c>
      <c r="AL33" s="8">
        <f>M33-J33</f>
        <v>8.1009999999999991</v>
      </c>
      <c r="AM33" s="8" t="str">
        <f>IF(N33="","",AL33+W33)</f>
        <v/>
      </c>
      <c r="AP33" t="s">
        <v>142</v>
      </c>
    </row>
    <row r="34" spans="1:42" x14ac:dyDescent="0.3">
      <c r="A34" t="s">
        <v>40</v>
      </c>
      <c r="B34" s="6">
        <v>45070</v>
      </c>
      <c r="C34" s="7">
        <v>3</v>
      </c>
      <c r="D34" s="7">
        <v>1</v>
      </c>
      <c r="E34">
        <v>2</v>
      </c>
      <c r="F34" t="s">
        <v>42</v>
      </c>
      <c r="G34">
        <v>62.5</v>
      </c>
      <c r="H34">
        <v>106</v>
      </c>
      <c r="I34">
        <v>0</v>
      </c>
      <c r="J34">
        <v>0.56000000000000005</v>
      </c>
      <c r="K34">
        <v>0.66</v>
      </c>
      <c r="L34">
        <v>0.76</v>
      </c>
      <c r="M34">
        <v>8.56</v>
      </c>
      <c r="U34" s="8">
        <f>J34-K34</f>
        <v>-9.9999999999999978E-2</v>
      </c>
      <c r="V34" s="8">
        <f>M34-K34</f>
        <v>7.9</v>
      </c>
      <c r="W34" s="8" t="str">
        <f>IF(N34-M34&gt;0,N34-M34,"")</f>
        <v/>
      </c>
      <c r="X34" s="8" t="str">
        <f>IF(O34-N34&gt;0,O34-N34,"")</f>
        <v/>
      </c>
      <c r="Y34" s="8" t="str">
        <f>IF(P34-O34&gt;0,P34-O34,"")</f>
        <v/>
      </c>
      <c r="Z34" s="8" t="str">
        <f>IF(Q34-P34&gt;0,Q34-P34,"")</f>
        <v/>
      </c>
      <c r="AA34" s="8" t="str">
        <f>IF(R34-Q34&gt;0,R34-Q34,"")</f>
        <v/>
      </c>
      <c r="AB34" s="8" t="str">
        <f>IF(S34-R34&gt;0,S34-R34,"")</f>
        <v/>
      </c>
      <c r="AC34" s="8" t="str">
        <f>IF(T34-S34&gt;0,T34-S34,"")</f>
        <v/>
      </c>
      <c r="AD34" s="8" t="str">
        <f>IF(W34="","",V34+W34)</f>
        <v/>
      </c>
      <c r="AE34" t="str">
        <f>IF(Y34="","",X34+Y34)</f>
        <v/>
      </c>
      <c r="AF34" t="str">
        <f>IF(Z34="","",Y34+Z34)</f>
        <v/>
      </c>
      <c r="AG34" t="str">
        <f>IF(AA34="","",Z34+AA34)</f>
        <v/>
      </c>
      <c r="AH34" t="str">
        <f>IF(AE34="","",AD34+AE34)</f>
        <v/>
      </c>
      <c r="AI34" t="str">
        <f>IF(AG34="","",AF34+AG34)</f>
        <v/>
      </c>
      <c r="AJ34" t="str">
        <f>IF(AI34="","",AH34+AI34)</f>
        <v/>
      </c>
      <c r="AK34" s="8">
        <f>L34-K34</f>
        <v>9.9999999999999978E-2</v>
      </c>
      <c r="AL34" s="8">
        <f>M34-J34</f>
        <v>8</v>
      </c>
      <c r="AM34" s="8"/>
      <c r="AP34" t="s">
        <v>130</v>
      </c>
    </row>
    <row r="35" spans="1:42" x14ac:dyDescent="0.3">
      <c r="A35" t="s">
        <v>36</v>
      </c>
      <c r="B35" s="6">
        <v>45070</v>
      </c>
      <c r="C35" s="7">
        <v>3</v>
      </c>
      <c r="D35" s="7">
        <v>2</v>
      </c>
      <c r="E35">
        <v>1</v>
      </c>
      <c r="F35" t="s">
        <v>44</v>
      </c>
      <c r="G35">
        <v>62.5</v>
      </c>
      <c r="H35">
        <v>104</v>
      </c>
      <c r="I35">
        <v>18.72</v>
      </c>
      <c r="J35">
        <v>18.72</v>
      </c>
      <c r="K35">
        <v>18.559999999999999</v>
      </c>
      <c r="L35">
        <v>18.8</v>
      </c>
      <c r="M35">
        <v>26.27</v>
      </c>
      <c r="U35" s="8">
        <f>J35-K35</f>
        <v>0.16000000000000014</v>
      </c>
      <c r="V35" s="8">
        <f>M35-K35</f>
        <v>7.7100000000000009</v>
      </c>
      <c r="W35" s="8" t="str">
        <f>IF(N35-M35&gt;0,N35-M35,"")</f>
        <v/>
      </c>
      <c r="X35" s="8" t="str">
        <f>IF(O35-N35&gt;0,O35-N35,"")</f>
        <v/>
      </c>
      <c r="Y35" s="8" t="str">
        <f>IF(P35-O35&gt;0,P35-O35,"")</f>
        <v/>
      </c>
      <c r="Z35" s="8" t="str">
        <f>IF(Q35-P35&gt;0,Q35-P35,"")</f>
        <v/>
      </c>
      <c r="AA35" s="8" t="str">
        <f>IF(R35-Q35&gt;0,R35-Q35,"")</f>
        <v/>
      </c>
      <c r="AB35" s="8" t="str">
        <f>IF(S35-R35&gt;0,S35-R35,"")</f>
        <v/>
      </c>
      <c r="AC35" s="8" t="str">
        <f>IF(T35-S35&gt;0,T35-S35,"")</f>
        <v/>
      </c>
      <c r="AD35" s="8" t="str">
        <f>IF(W35="","",V35+W35)</f>
        <v/>
      </c>
      <c r="AE35" t="str">
        <f>IF(Y35="","",X35+Y35)</f>
        <v/>
      </c>
      <c r="AF35" t="str">
        <f>IF(Z35="","",Y35+Z35)</f>
        <v/>
      </c>
      <c r="AG35" t="str">
        <f>IF(AA35="","",Z35+AA35)</f>
        <v/>
      </c>
      <c r="AH35" t="str">
        <f>IF(AE35="","",AD35+AE35)</f>
        <v/>
      </c>
      <c r="AI35" t="str">
        <f>IF(AG35="","",AF35+AG35)</f>
        <v/>
      </c>
      <c r="AJ35" t="str">
        <f>IF(AI35="","",AH35+AI35)</f>
        <v/>
      </c>
      <c r="AK35" s="8">
        <f>L35-K35</f>
        <v>0.24000000000000199</v>
      </c>
      <c r="AL35" s="8">
        <f>M35-J35</f>
        <v>7.5500000000000007</v>
      </c>
      <c r="AM35" s="8" t="str">
        <f>IF(N35="","",AL35+W35)</f>
        <v/>
      </c>
      <c r="AP35" t="s">
        <v>140</v>
      </c>
    </row>
    <row r="36" spans="1:42" x14ac:dyDescent="0.3">
      <c r="A36" t="s">
        <v>38</v>
      </c>
      <c r="B36" s="6">
        <v>45070</v>
      </c>
      <c r="C36" s="7">
        <v>3</v>
      </c>
      <c r="D36" s="7">
        <v>2</v>
      </c>
      <c r="E36">
        <v>2</v>
      </c>
      <c r="F36" t="s">
        <v>44</v>
      </c>
      <c r="G36">
        <v>62.5</v>
      </c>
      <c r="H36">
        <v>106</v>
      </c>
      <c r="I36">
        <v>18.3</v>
      </c>
      <c r="J36">
        <v>18.52</v>
      </c>
      <c r="K36">
        <v>18.559999999999999</v>
      </c>
      <c r="L36">
        <v>18.701000000000001</v>
      </c>
      <c r="M36">
        <v>26.48</v>
      </c>
      <c r="U36" s="8">
        <f>J36-K36</f>
        <v>-3.9999999999999147E-2</v>
      </c>
      <c r="V36" s="8">
        <f>M36-K36</f>
        <v>7.9200000000000017</v>
      </c>
      <c r="W36" s="8" t="str">
        <f>IF(N36-M36&gt;0,N36-M36,"")</f>
        <v/>
      </c>
      <c r="X36" s="8" t="str">
        <f>IF(O36-N36&gt;0,O36-N36,"")</f>
        <v/>
      </c>
      <c r="Y36" s="8" t="str">
        <f>IF(P36-O36&gt;0,P36-O36,"")</f>
        <v/>
      </c>
      <c r="Z36" s="8" t="str">
        <f>IF(Q36-P36&gt;0,Q36-P36,"")</f>
        <v/>
      </c>
      <c r="AA36" s="8" t="str">
        <f>IF(R36-Q36&gt;0,R36-Q36,"")</f>
        <v/>
      </c>
      <c r="AB36" s="8" t="str">
        <f>IF(S36-R36&gt;0,S36-R36,"")</f>
        <v/>
      </c>
      <c r="AC36" s="8" t="str">
        <f>IF(T36-S36&gt;0,T36-S36,"")</f>
        <v/>
      </c>
      <c r="AD36" s="8" t="str">
        <f>IF(W36="","",V36+W36)</f>
        <v/>
      </c>
      <c r="AE36" t="str">
        <f>IF(Y36="","",X36+Y36)</f>
        <v/>
      </c>
      <c r="AF36" t="str">
        <f>IF(Z36="","",Y36+Z36)</f>
        <v/>
      </c>
      <c r="AG36" t="str">
        <f>IF(AA36="","",Z36+AA36)</f>
        <v/>
      </c>
      <c r="AH36" t="str">
        <f>IF(AE36="","",AD36+AE36)</f>
        <v/>
      </c>
      <c r="AI36" t="str">
        <f>IF(AG36="","",AF36+AG36)</f>
        <v/>
      </c>
      <c r="AJ36" t="str">
        <f>IF(AI36="","",AH36+AI36)</f>
        <v/>
      </c>
      <c r="AK36" s="8">
        <f>L36-K36</f>
        <v>0.14100000000000179</v>
      </c>
      <c r="AL36" s="8">
        <f>M36-J36</f>
        <v>7.9600000000000009</v>
      </c>
      <c r="AM36" s="8"/>
      <c r="AO36" s="8"/>
      <c r="AP36" t="s">
        <v>140</v>
      </c>
    </row>
    <row r="37" spans="1:42" x14ac:dyDescent="0.3">
      <c r="A37" t="s">
        <v>41</v>
      </c>
      <c r="B37" s="6">
        <v>45070</v>
      </c>
      <c r="C37" s="7">
        <v>3</v>
      </c>
      <c r="D37" s="7">
        <v>2</v>
      </c>
      <c r="E37">
        <v>3</v>
      </c>
      <c r="F37" t="s">
        <v>44</v>
      </c>
      <c r="G37">
        <v>62.5</v>
      </c>
      <c r="H37">
        <v>108</v>
      </c>
      <c r="I37">
        <v>18.260999999999999</v>
      </c>
      <c r="J37">
        <v>18.48</v>
      </c>
      <c r="K37">
        <v>18.559999999999999</v>
      </c>
      <c r="L37">
        <v>18.701000000000001</v>
      </c>
      <c r="M37">
        <v>26.640999999999998</v>
      </c>
      <c r="U37" s="8">
        <f>J37-K37</f>
        <v>-7.9999999999998295E-2</v>
      </c>
      <c r="V37" s="8">
        <f>M37-K37</f>
        <v>8.0809999999999995</v>
      </c>
      <c r="W37" s="8" t="str">
        <f>IF(N37-M37&gt;0,N37-M37,"")</f>
        <v/>
      </c>
      <c r="X37" s="8" t="str">
        <f>IF(O37-N37&gt;0,O37-N37,"")</f>
        <v/>
      </c>
      <c r="Y37" s="8" t="str">
        <f>IF(P37-O37&gt;0,P37-O37,"")</f>
        <v/>
      </c>
      <c r="Z37" s="8" t="str">
        <f>IF(Q37-P37&gt;0,Q37-P37,"")</f>
        <v/>
      </c>
      <c r="AA37" s="8" t="str">
        <f>IF(R37-Q37&gt;0,R37-Q37,"")</f>
        <v/>
      </c>
      <c r="AB37" s="8" t="str">
        <f>IF(S37-R37&gt;0,S37-R37,"")</f>
        <v/>
      </c>
      <c r="AC37" s="8" t="str">
        <f>IF(T37-S37&gt;0,T37-S37,"")</f>
        <v/>
      </c>
      <c r="AD37" s="8" t="str">
        <f>IF(W37="","",V37+W37)</f>
        <v/>
      </c>
      <c r="AE37" t="str">
        <f>IF(Y37="","",X37+Y37)</f>
        <v/>
      </c>
      <c r="AF37" t="str">
        <f>IF(Z37="","",Y37+Z37)</f>
        <v/>
      </c>
      <c r="AG37" t="str">
        <f>IF(AA37="","",Z37+AA37)</f>
        <v/>
      </c>
      <c r="AH37" t="str">
        <f>IF(AE37="","",AD37+AE37)</f>
        <v/>
      </c>
      <c r="AI37" t="str">
        <f>IF(AG37="","",AF37+AG37)</f>
        <v/>
      </c>
      <c r="AJ37" t="str">
        <f>IF(AI37="","",AH37+AI37)</f>
        <v/>
      </c>
      <c r="AK37" s="8">
        <f>L37-K37</f>
        <v>0.14100000000000179</v>
      </c>
      <c r="AL37" s="8">
        <f>M37-J37</f>
        <v>8.1609999999999978</v>
      </c>
      <c r="AM37" s="8" t="str">
        <f>IF(N37="","",AL37+W37)</f>
        <v/>
      </c>
      <c r="AP37" t="s">
        <v>140</v>
      </c>
    </row>
    <row r="38" spans="1:42" x14ac:dyDescent="0.3">
      <c r="A38" t="s">
        <v>40</v>
      </c>
      <c r="B38" s="6">
        <v>45070</v>
      </c>
      <c r="C38" s="7">
        <v>3</v>
      </c>
      <c r="D38" s="7">
        <v>2</v>
      </c>
      <c r="E38">
        <v>2</v>
      </c>
      <c r="F38" t="s">
        <v>42</v>
      </c>
      <c r="G38">
        <v>62.5</v>
      </c>
      <c r="H38">
        <v>106</v>
      </c>
      <c r="I38">
        <v>0</v>
      </c>
      <c r="J38">
        <v>0.3</v>
      </c>
      <c r="K38">
        <v>0.52</v>
      </c>
      <c r="L38">
        <v>0.51</v>
      </c>
      <c r="M38">
        <v>8.34</v>
      </c>
      <c r="U38" s="8">
        <f>J38-K38</f>
        <v>-0.22000000000000003</v>
      </c>
      <c r="V38" s="8">
        <f>M38-K38</f>
        <v>7.82</v>
      </c>
      <c r="W38" s="8" t="str">
        <f>IF(N38-M38&gt;0,N38-M38,"")</f>
        <v/>
      </c>
      <c r="X38" s="8" t="str">
        <f>IF(O38-N38&gt;0,O38-N38,"")</f>
        <v/>
      </c>
      <c r="Y38" s="8" t="str">
        <f>IF(P38-O38&gt;0,P38-O38,"")</f>
        <v/>
      </c>
      <c r="Z38" s="8" t="str">
        <f>IF(Q38-P38&gt;0,Q38-P38,"")</f>
        <v/>
      </c>
      <c r="AA38" s="8" t="str">
        <f>IF(R38-Q38&gt;0,R38-Q38,"")</f>
        <v/>
      </c>
      <c r="AB38" s="8" t="str">
        <f>IF(S38-R38&gt;0,S38-R38,"")</f>
        <v/>
      </c>
      <c r="AC38" s="8" t="str">
        <f>IF(T38-S38&gt;0,T38-S38,"")</f>
        <v/>
      </c>
      <c r="AD38" s="8" t="str">
        <f>IF(W38="","",V38+W38)</f>
        <v/>
      </c>
      <c r="AE38" t="str">
        <f>IF(Y38="","",X38+Y38)</f>
        <v/>
      </c>
      <c r="AF38" t="str">
        <f>IF(Z38="","",Y38+Z38)</f>
        <v/>
      </c>
      <c r="AG38" t="str">
        <f>IF(AA38="","",Z38+AA38)</f>
        <v/>
      </c>
      <c r="AH38" t="str">
        <f>IF(AE38="","",AD38+AE38)</f>
        <v/>
      </c>
      <c r="AI38" t="str">
        <f>IF(AG38="","",AF38+AG38)</f>
        <v/>
      </c>
      <c r="AJ38" t="str">
        <f>IF(AI38="","",AH38+AI38)</f>
        <v/>
      </c>
      <c r="AK38" s="8">
        <f>L38-K38</f>
        <v>-1.0000000000000009E-2</v>
      </c>
      <c r="AL38" s="8">
        <f>M38-J38</f>
        <v>8.0399999999999991</v>
      </c>
      <c r="AM38" s="8"/>
      <c r="AP38" t="s">
        <v>131</v>
      </c>
    </row>
    <row r="39" spans="1:42" x14ac:dyDescent="0.3">
      <c r="A39" t="s">
        <v>36</v>
      </c>
      <c r="B39" s="6">
        <v>45070</v>
      </c>
      <c r="C39" s="7">
        <v>3</v>
      </c>
      <c r="D39" s="7">
        <v>3</v>
      </c>
      <c r="E39">
        <v>1</v>
      </c>
      <c r="F39" t="s">
        <v>44</v>
      </c>
      <c r="G39">
        <v>125</v>
      </c>
      <c r="H39">
        <v>104</v>
      </c>
      <c r="I39">
        <v>18.303000000000001</v>
      </c>
      <c r="J39">
        <v>18.303000000000001</v>
      </c>
      <c r="K39">
        <v>18.204000000000001</v>
      </c>
      <c r="L39">
        <v>18.382000000000001</v>
      </c>
      <c r="M39">
        <v>25.891999999999999</v>
      </c>
      <c r="N39">
        <v>30.181000000000001</v>
      </c>
      <c r="U39" s="8">
        <f>J39-K39</f>
        <v>9.9000000000000199E-2</v>
      </c>
      <c r="V39" s="8">
        <f>M39-K39</f>
        <v>7.6879999999999988</v>
      </c>
      <c r="W39" s="8">
        <f>IF(N39-M39&gt;0,N39-M39,"")</f>
        <v>4.2890000000000015</v>
      </c>
      <c r="X39" s="8" t="str">
        <f>IF(O39-N39&gt;0,O39-N39,"")</f>
        <v/>
      </c>
      <c r="Y39" s="8" t="str">
        <f>IF(P39-O39&gt;0,P39-O39,"")</f>
        <v/>
      </c>
      <c r="Z39" s="8" t="str">
        <f>IF(Q39-P39&gt;0,Q39-P39,"")</f>
        <v/>
      </c>
      <c r="AA39" s="8" t="str">
        <f>IF(R39-Q39&gt;0,R39-Q39,"")</f>
        <v/>
      </c>
      <c r="AB39" s="8" t="str">
        <f>IF(S39-R39&gt;0,S39-R39,"")</f>
        <v/>
      </c>
      <c r="AC39" s="8" t="str">
        <f>IF(T39-S39&gt;0,T39-S39,"")</f>
        <v/>
      </c>
      <c r="AD39" s="8">
        <f>IF(W39="","",V39+W39)</f>
        <v>11.977</v>
      </c>
      <c r="AE39" t="str">
        <f>IF(Y39="","",X39+Y39)</f>
        <v/>
      </c>
      <c r="AF39" t="str">
        <f>IF(Z39="","",Y39+Z39)</f>
        <v/>
      </c>
      <c r="AG39" t="str">
        <f>IF(AA39="","",Z39+AA39)</f>
        <v/>
      </c>
      <c r="AH39" t="str">
        <f>IF(AE39="","",AD39+AE39)</f>
        <v/>
      </c>
      <c r="AI39" t="str">
        <f>IF(AG39="","",AF39+AG39)</f>
        <v/>
      </c>
      <c r="AJ39" t="str">
        <f>IF(AI39="","",AH39+AI39)</f>
        <v/>
      </c>
      <c r="AK39" s="8">
        <f>L39-K39</f>
        <v>0.17800000000000082</v>
      </c>
      <c r="AL39" s="8">
        <f>M39-J39</f>
        <v>7.5889999999999986</v>
      </c>
      <c r="AM39" s="8">
        <f>IF(N39="","",AL39+W39)</f>
        <v>11.878</v>
      </c>
      <c r="AP39" t="s">
        <v>141</v>
      </c>
    </row>
    <row r="40" spans="1:42" x14ac:dyDescent="0.3">
      <c r="A40" t="s">
        <v>38</v>
      </c>
      <c r="B40" s="6">
        <v>45070</v>
      </c>
      <c r="C40" s="7">
        <v>3</v>
      </c>
      <c r="D40" s="7">
        <v>3</v>
      </c>
      <c r="E40">
        <v>2</v>
      </c>
      <c r="F40" t="s">
        <v>44</v>
      </c>
      <c r="G40">
        <v>125</v>
      </c>
      <c r="H40">
        <v>106</v>
      </c>
      <c r="I40">
        <v>17.823</v>
      </c>
      <c r="J40">
        <v>18.04</v>
      </c>
      <c r="K40">
        <v>18.204000000000001</v>
      </c>
      <c r="L40">
        <v>18.222999999999999</v>
      </c>
      <c r="M40">
        <v>26.023</v>
      </c>
      <c r="N40">
        <v>30.32</v>
      </c>
      <c r="U40" s="8">
        <f>J40-K40</f>
        <v>-0.16400000000000148</v>
      </c>
      <c r="V40" s="8">
        <f>M40-K40</f>
        <v>7.8189999999999991</v>
      </c>
      <c r="W40" s="8">
        <f>IF(N40-M40&gt;0,N40-M40,"")</f>
        <v>4.2970000000000006</v>
      </c>
      <c r="X40" s="8" t="str">
        <f>IF(O40-N40&gt;0,O40-N40,"")</f>
        <v/>
      </c>
      <c r="Y40" s="8" t="str">
        <f>IF(P40-O40&gt;0,P40-O40,"")</f>
        <v/>
      </c>
      <c r="Z40" s="8" t="str">
        <f>IF(Q40-P40&gt;0,Q40-P40,"")</f>
        <v/>
      </c>
      <c r="AA40" s="8" t="str">
        <f>IF(R40-Q40&gt;0,R40-Q40,"")</f>
        <v/>
      </c>
      <c r="AB40" s="8" t="str">
        <f>IF(S40-R40&gt;0,S40-R40,"")</f>
        <v/>
      </c>
      <c r="AC40" s="8" t="str">
        <f>IF(T40-S40&gt;0,T40-S40,"")</f>
        <v/>
      </c>
      <c r="AD40" s="8">
        <f>IF(W40="","",V40+W40)</f>
        <v>12.116</v>
      </c>
      <c r="AE40" t="str">
        <f>IF(Y40="","",X40+Y40)</f>
        <v/>
      </c>
      <c r="AF40" t="str">
        <f>IF(Z40="","",Y40+Z40)</f>
        <v/>
      </c>
      <c r="AG40" t="str">
        <f>IF(AA40="","",Z40+AA40)</f>
        <v/>
      </c>
      <c r="AH40" t="str">
        <f>IF(AE40="","",AD40+AE40)</f>
        <v/>
      </c>
      <c r="AI40" t="str">
        <f>IF(AG40="","",AF40+AG40)</f>
        <v/>
      </c>
      <c r="AJ40" t="str">
        <f>IF(AI40="","",AH40+AI40)</f>
        <v/>
      </c>
      <c r="AK40" s="8">
        <f>L40-K40</f>
        <v>1.8999999999998352E-2</v>
      </c>
      <c r="AL40" s="8">
        <f>M40-J40</f>
        <v>7.9830000000000005</v>
      </c>
      <c r="AM40" s="8">
        <f>IF(N40="","",AL40+W40)</f>
        <v>12.280000000000001</v>
      </c>
      <c r="AP40" t="s">
        <v>141</v>
      </c>
    </row>
    <row r="41" spans="1:42" x14ac:dyDescent="0.3">
      <c r="A41" t="s">
        <v>41</v>
      </c>
      <c r="B41" s="6">
        <v>45070</v>
      </c>
      <c r="C41" s="7">
        <v>3</v>
      </c>
      <c r="D41" s="7">
        <v>3</v>
      </c>
      <c r="E41">
        <v>3</v>
      </c>
      <c r="F41" t="s">
        <v>44</v>
      </c>
      <c r="G41">
        <v>125</v>
      </c>
      <c r="H41">
        <v>108</v>
      </c>
      <c r="I41">
        <v>17.843</v>
      </c>
      <c r="J41">
        <v>18.004000000000001</v>
      </c>
      <c r="K41">
        <v>18.204000000000001</v>
      </c>
      <c r="L41">
        <v>18.244</v>
      </c>
      <c r="M41">
        <v>26.181999999999999</v>
      </c>
      <c r="N41">
        <v>30.474</v>
      </c>
      <c r="U41" s="8">
        <f>J41-K41</f>
        <v>-0.19999999999999929</v>
      </c>
      <c r="V41" s="8">
        <f>M41-K41</f>
        <v>7.977999999999998</v>
      </c>
      <c r="W41" s="8">
        <f>IF(N41-M41&gt;0,N41-M41,"")</f>
        <v>4.2920000000000016</v>
      </c>
      <c r="X41" s="8" t="str">
        <f>IF(O41-N41&gt;0,O41-N41,"")</f>
        <v/>
      </c>
      <c r="Y41" s="8" t="str">
        <f>IF(P41-O41&gt;0,P41-O41,"")</f>
        <v/>
      </c>
      <c r="Z41" s="8" t="str">
        <f>IF(Q41-P41&gt;0,Q41-P41,"")</f>
        <v/>
      </c>
      <c r="AA41" s="8" t="str">
        <f>IF(R41-Q41&gt;0,R41-Q41,"")</f>
        <v/>
      </c>
      <c r="AB41" s="8" t="str">
        <f>IF(S41-R41&gt;0,S41-R41,"")</f>
        <v/>
      </c>
      <c r="AC41" s="8" t="str">
        <f>IF(T41-S41&gt;0,T41-S41,"")</f>
        <v/>
      </c>
      <c r="AD41" s="8">
        <f>IF(W41="","",V41+W41)</f>
        <v>12.27</v>
      </c>
      <c r="AE41" t="str">
        <f>IF(Y41="","",X41+Y41)</f>
        <v/>
      </c>
      <c r="AF41" t="str">
        <f>IF(Z41="","",Y41+Z41)</f>
        <v/>
      </c>
      <c r="AG41" t="str">
        <f>IF(AA41="","",Z41+AA41)</f>
        <v/>
      </c>
      <c r="AH41" t="str">
        <f>IF(AE41="","",AD41+AE41)</f>
        <v/>
      </c>
      <c r="AI41" t="str">
        <f>IF(AG41="","",AF41+AG41)</f>
        <v/>
      </c>
      <c r="AJ41" t="str">
        <f>IF(AI41="","",AH41+AI41)</f>
        <v/>
      </c>
      <c r="AK41" s="8">
        <f>L41-K41</f>
        <v>3.9999999999999147E-2</v>
      </c>
      <c r="AL41" s="8">
        <f>M41-J41</f>
        <v>8.1779999999999973</v>
      </c>
      <c r="AM41" s="8">
        <f>IF(N41="","",AL41+W41)</f>
        <v>12.469999999999999</v>
      </c>
      <c r="AP41" t="s">
        <v>141</v>
      </c>
    </row>
    <row r="42" spans="1:42" x14ac:dyDescent="0.3">
      <c r="A42" t="s">
        <v>40</v>
      </c>
      <c r="B42" s="6">
        <v>45070</v>
      </c>
      <c r="C42" s="7">
        <v>3</v>
      </c>
      <c r="D42" s="7">
        <v>3</v>
      </c>
      <c r="E42">
        <v>2</v>
      </c>
      <c r="F42" t="s">
        <v>42</v>
      </c>
      <c r="G42">
        <v>125</v>
      </c>
      <c r="H42">
        <v>106</v>
      </c>
      <c r="I42">
        <v>0</v>
      </c>
      <c r="J42">
        <v>0.3</v>
      </c>
      <c r="K42">
        <v>0.4</v>
      </c>
      <c r="L42">
        <v>0.54</v>
      </c>
      <c r="M42">
        <v>8.33</v>
      </c>
      <c r="N42">
        <v>12.8</v>
      </c>
      <c r="U42" s="8">
        <f>J42-K42</f>
        <v>-0.10000000000000003</v>
      </c>
      <c r="V42" s="8">
        <f>M42-K42</f>
        <v>7.93</v>
      </c>
      <c r="W42" s="8">
        <f>IF(N42-M42&gt;0,N42-M42,"")</f>
        <v>4.4700000000000006</v>
      </c>
      <c r="X42" s="8" t="str">
        <f>IF(O42-N42&gt;0,O42-N42,"")</f>
        <v/>
      </c>
      <c r="Y42" s="8" t="str">
        <f>IF(P42-O42&gt;0,P42-O42,"")</f>
        <v/>
      </c>
      <c r="Z42" s="8" t="str">
        <f>IF(Q42-P42&gt;0,Q42-P42,"")</f>
        <v/>
      </c>
      <c r="AA42" s="8" t="str">
        <f>IF(R42-Q42&gt;0,R42-Q42,"")</f>
        <v/>
      </c>
      <c r="AB42" s="8" t="str">
        <f>IF(S42-R42&gt;0,S42-R42,"")</f>
        <v/>
      </c>
      <c r="AC42" s="8" t="str">
        <f>IF(T42-S42&gt;0,T42-S42,"")</f>
        <v/>
      </c>
      <c r="AD42" s="8">
        <f>IF(W42="","",V42+W42)</f>
        <v>12.4</v>
      </c>
      <c r="AE42" t="str">
        <f>IF(Y42="","",X42+Y42)</f>
        <v/>
      </c>
      <c r="AF42" t="str">
        <f>IF(Z42="","",Y42+Z42)</f>
        <v/>
      </c>
      <c r="AG42" t="str">
        <f>IF(AA42="","",Z42+AA42)</f>
        <v/>
      </c>
      <c r="AH42" t="str">
        <f>IF(AE42="","",AD42+AE42)</f>
        <v/>
      </c>
      <c r="AI42" t="str">
        <f>IF(AG42="","",AF42+AG42)</f>
        <v/>
      </c>
      <c r="AJ42" t="str">
        <f>IF(AI42="","",AH42+AI42)</f>
        <v/>
      </c>
      <c r="AK42" s="8">
        <f>L42-K42</f>
        <v>0.14000000000000001</v>
      </c>
      <c r="AL42" s="8">
        <f>M42-J42</f>
        <v>8.0299999999999994</v>
      </c>
      <c r="AM42" s="8">
        <f>IF(N42="","",AL42+W42)</f>
        <v>12.5</v>
      </c>
      <c r="AP42" t="s">
        <v>132</v>
      </c>
    </row>
    <row r="43" spans="1:42" x14ac:dyDescent="0.3">
      <c r="A43" t="s">
        <v>155</v>
      </c>
      <c r="B43" s="6">
        <v>45071</v>
      </c>
      <c r="C43" s="7">
        <v>1</v>
      </c>
      <c r="D43" s="7">
        <v>1</v>
      </c>
      <c r="E43">
        <v>1</v>
      </c>
      <c r="F43" t="s">
        <v>42</v>
      </c>
      <c r="G43">
        <v>60</v>
      </c>
      <c r="H43">
        <v>110</v>
      </c>
      <c r="J43">
        <v>12.198</v>
      </c>
      <c r="M43">
        <v>20.436</v>
      </c>
      <c r="U43" s="8"/>
      <c r="V43" s="8"/>
      <c r="W43" s="8" t="str">
        <f>IF(N43-M43&gt;0,N43-M43,"")</f>
        <v/>
      </c>
      <c r="X43" s="8" t="str">
        <f>IF(O43-N43&gt;0,O43-N43,"")</f>
        <v/>
      </c>
      <c r="Y43" s="8" t="str">
        <f>IF(P43-O43&gt;0,P43-O43,"")</f>
        <v/>
      </c>
      <c r="Z43" s="8" t="str">
        <f>IF(Q43-P43&gt;0,Q43-P43,"")</f>
        <v/>
      </c>
      <c r="AA43" s="8" t="str">
        <f>IF(R43-Q43&gt;0,R43-Q43,"")</f>
        <v/>
      </c>
      <c r="AB43" s="8" t="str">
        <f>IF(S43-R43&gt;0,S43-R43,"")</f>
        <v/>
      </c>
      <c r="AC43" s="8" t="str">
        <f>IF(T43-S43&gt;0,T43-S43,"")</f>
        <v/>
      </c>
      <c r="AD43" s="8" t="str">
        <f>IF(W43="","",V43+W43)</f>
        <v/>
      </c>
      <c r="AE43" t="str">
        <f>IF(Y43="","",X43+Y43)</f>
        <v/>
      </c>
      <c r="AF43" t="str">
        <f>IF(Z43="","",Y43+Z43)</f>
        <v/>
      </c>
      <c r="AG43" t="str">
        <f>IF(AA43="","",Z43+AA43)</f>
        <v/>
      </c>
      <c r="AH43" t="str">
        <f>IF(AE43="","",AD43+AE43)</f>
        <v/>
      </c>
      <c r="AI43" t="str">
        <f>IF(AG43="","",AF43+AG43)</f>
        <v/>
      </c>
      <c r="AJ43" t="str">
        <f>IF(AI43="","",AH43+AI43)</f>
        <v/>
      </c>
      <c r="AK43" s="8"/>
      <c r="AL43" s="8">
        <f>M43-J43</f>
        <v>8.2379999999999995</v>
      </c>
      <c r="AM43" s="8" t="str">
        <f>IF(N43="","",AL43+W43)</f>
        <v/>
      </c>
    </row>
    <row r="44" spans="1:42" x14ac:dyDescent="0.3">
      <c r="A44" t="s">
        <v>155</v>
      </c>
      <c r="B44" s="6">
        <v>45071</v>
      </c>
      <c r="C44" s="7">
        <v>1</v>
      </c>
      <c r="D44" s="7">
        <v>2</v>
      </c>
      <c r="E44">
        <v>1</v>
      </c>
      <c r="F44" t="s">
        <v>42</v>
      </c>
      <c r="G44">
        <v>60</v>
      </c>
      <c r="H44">
        <v>110</v>
      </c>
      <c r="J44">
        <v>54.527999999999999</v>
      </c>
      <c r="L44">
        <v>54.747999999999998</v>
      </c>
      <c r="M44">
        <v>62.786000000000001</v>
      </c>
      <c r="U44" s="8"/>
      <c r="V44" s="8"/>
      <c r="W44" s="8" t="str">
        <f>IF(N44-M44&gt;0,N44-M44,"")</f>
        <v/>
      </c>
      <c r="X44" s="8" t="str">
        <f>IF(O44-N44&gt;0,O44-N44,"")</f>
        <v/>
      </c>
      <c r="Y44" s="8" t="str">
        <f>IF(P44-O44&gt;0,P44-O44,"")</f>
        <v/>
      </c>
      <c r="Z44" s="8" t="str">
        <f>IF(Q44-P44&gt;0,Q44-P44,"")</f>
        <v/>
      </c>
      <c r="AA44" s="8" t="str">
        <f>IF(R44-Q44&gt;0,R44-Q44,"")</f>
        <v/>
      </c>
      <c r="AB44" s="8" t="str">
        <f>IF(S44-R44&gt;0,S44-R44,"")</f>
        <v/>
      </c>
      <c r="AC44" s="8" t="str">
        <f>IF(T44-S44&gt;0,T44-S44,"")</f>
        <v/>
      </c>
      <c r="AD44" s="8" t="str">
        <f>IF(W44="","",V44+W44)</f>
        <v/>
      </c>
      <c r="AE44" t="str">
        <f>IF(Y44="","",X44+Y44)</f>
        <v/>
      </c>
      <c r="AF44" t="str">
        <f>IF(Z44="","",Y44+Z44)</f>
        <v/>
      </c>
      <c r="AG44" t="str">
        <f>IF(AA44="","",Z44+AA44)</f>
        <v/>
      </c>
      <c r="AH44" t="str">
        <f>IF(AE44="","",AD44+AE44)</f>
        <v/>
      </c>
      <c r="AI44" t="str">
        <f>IF(AG44="","",AF44+AG44)</f>
        <v/>
      </c>
      <c r="AJ44" t="str">
        <f>IF(AI44="","",AH44+AI44)</f>
        <v/>
      </c>
      <c r="AK44" s="8"/>
      <c r="AL44" s="8">
        <f>M44-J44</f>
        <v>8.2580000000000027</v>
      </c>
      <c r="AM44" s="8" t="str">
        <f>IF(N44="","",AL44+W44)</f>
        <v/>
      </c>
    </row>
    <row r="45" spans="1:42" x14ac:dyDescent="0.3">
      <c r="A45" t="s">
        <v>155</v>
      </c>
      <c r="B45" s="6">
        <v>45071</v>
      </c>
      <c r="C45" s="7">
        <v>2</v>
      </c>
      <c r="D45" s="7">
        <v>1</v>
      </c>
      <c r="E45">
        <v>1</v>
      </c>
      <c r="F45" t="s">
        <v>42</v>
      </c>
      <c r="G45">
        <v>125</v>
      </c>
      <c r="H45">
        <v>102</v>
      </c>
      <c r="J45">
        <v>31.78</v>
      </c>
      <c r="L45">
        <v>31.594999999999999</v>
      </c>
      <c r="M45">
        <v>39.856000000000002</v>
      </c>
      <c r="N45">
        <v>44.244999999999997</v>
      </c>
      <c r="O45">
        <v>48.137</v>
      </c>
      <c r="P45">
        <v>51.845999999999997</v>
      </c>
      <c r="U45" s="8"/>
      <c r="V45" s="10">
        <v>7.88</v>
      </c>
      <c r="W45" s="8">
        <f>IF(N45-M45&gt;0,N45-M45,"")</f>
        <v>4.3889999999999958</v>
      </c>
      <c r="X45" s="8">
        <f>IF(O45-N45&gt;0,O45-N45,"")</f>
        <v>3.892000000000003</v>
      </c>
      <c r="Y45" s="8">
        <f>IF(P45-O45&gt;0,P45-O45,"")</f>
        <v>3.7089999999999961</v>
      </c>
      <c r="Z45" s="8" t="str">
        <f>IF(Q45-P45&gt;0,Q45-P45,"")</f>
        <v/>
      </c>
      <c r="AA45" s="8" t="str">
        <f>IF(R45-Q45&gt;0,R45-Q45,"")</f>
        <v/>
      </c>
      <c r="AB45" s="8" t="str">
        <f>IF(S45-R45&gt;0,S45-R45,"")</f>
        <v/>
      </c>
      <c r="AC45" s="8" t="str">
        <f>IF(T45-S45&gt;0,T45-S45,"")</f>
        <v/>
      </c>
      <c r="AD45" s="8">
        <f>IF(W45="","",V45+W45)</f>
        <v>12.268999999999995</v>
      </c>
      <c r="AE45" s="8">
        <f>IF(Y45="","",X45+Y45)</f>
        <v>7.6009999999999991</v>
      </c>
      <c r="AF45" t="str">
        <f>IF(Z45="","",Y45+Z45)</f>
        <v/>
      </c>
      <c r="AG45" t="str">
        <f>IF(AA45="","",Z45+AA45)</f>
        <v/>
      </c>
      <c r="AH45">
        <f>IF(AE45="","",AD45+AE45)</f>
        <v>19.869999999999994</v>
      </c>
      <c r="AI45" t="str">
        <f>IF(AG45="","",AF45+AG45)</f>
        <v/>
      </c>
      <c r="AJ45" t="str">
        <f>IF(AI45="","",AH45+AI45)</f>
        <v/>
      </c>
      <c r="AK45" s="8">
        <f>L45-K45</f>
        <v>31.594999999999999</v>
      </c>
      <c r="AL45" s="8">
        <f>M45-J45</f>
        <v>8.0760000000000005</v>
      </c>
      <c r="AM45" s="8">
        <f>IF(N45="","",AL45+W45)</f>
        <v>12.464999999999996</v>
      </c>
      <c r="AN45" s="8">
        <f>AM45+AE45</f>
        <v>20.065999999999995</v>
      </c>
    </row>
    <row r="46" spans="1:42" x14ac:dyDescent="0.3">
      <c r="A46" t="s">
        <v>155</v>
      </c>
      <c r="B46" s="6">
        <v>45071</v>
      </c>
      <c r="C46" s="7">
        <v>3</v>
      </c>
      <c r="D46" s="7">
        <v>1</v>
      </c>
      <c r="E46">
        <v>2</v>
      </c>
      <c r="F46" t="s">
        <v>42</v>
      </c>
      <c r="G46">
        <v>60</v>
      </c>
      <c r="H46">
        <v>106</v>
      </c>
      <c r="J46" s="8">
        <v>33.542000000000002</v>
      </c>
      <c r="M46" s="8">
        <v>41.582000000000001</v>
      </c>
      <c r="N46" s="8">
        <v>45.97</v>
      </c>
      <c r="O46" s="8"/>
      <c r="P46" s="8"/>
      <c r="Q46" s="8"/>
      <c r="R46" s="8"/>
      <c r="S46" s="8"/>
      <c r="T46" s="8"/>
      <c r="U46" s="8"/>
      <c r="V46" s="8"/>
      <c r="W46" s="8">
        <f>IF(N46-M46&gt;0,N46-M46,"")</f>
        <v>4.3879999999999981</v>
      </c>
      <c r="X46" s="8" t="str">
        <f>IF(O46-N46&gt;0,O46-N46,"")</f>
        <v/>
      </c>
      <c r="Y46" s="8" t="str">
        <f>IF(P46-O46&gt;0,P46-O46,"")</f>
        <v/>
      </c>
      <c r="Z46" s="8" t="str">
        <f>IF(Q46-P46&gt;0,Q46-P46,"")</f>
        <v/>
      </c>
      <c r="AA46" s="8" t="str">
        <f>IF(R46-Q46&gt;0,R46-Q46,"")</f>
        <v/>
      </c>
      <c r="AB46" s="8" t="str">
        <f>IF(S46-R46&gt;0,S46-R46,"")</f>
        <v/>
      </c>
      <c r="AC46" s="8" t="str">
        <f>IF(T46-S46&gt;0,T46-S46,"")</f>
        <v/>
      </c>
      <c r="AD46" s="8"/>
      <c r="AE46" t="str">
        <f>IF(Y46="","",X46+Y46)</f>
        <v/>
      </c>
      <c r="AF46" t="str">
        <f>IF(Z46="","",Y46+Z46)</f>
        <v/>
      </c>
      <c r="AG46" t="str">
        <f>IF(AA46="","",Z46+AA46)</f>
        <v/>
      </c>
      <c r="AH46" t="str">
        <f>IF(AE46="","",AD46+AE46)</f>
        <v/>
      </c>
      <c r="AI46" t="str">
        <f>IF(AG46="","",AF46+AG46)</f>
        <v/>
      </c>
      <c r="AJ46" t="str">
        <f>IF(AI46="","",AH46+AI46)</f>
        <v/>
      </c>
      <c r="AK46" s="8">
        <f>L46-K46</f>
        <v>0</v>
      </c>
      <c r="AL46" s="8">
        <f>M46-J46</f>
        <v>8.0399999999999991</v>
      </c>
      <c r="AM46" s="8">
        <f>IF(N46="","",AL46+W46)</f>
        <v>12.427999999999997</v>
      </c>
    </row>
    <row r="47" spans="1:42" x14ac:dyDescent="0.3">
      <c r="A47" t="s">
        <v>38</v>
      </c>
      <c r="B47" s="6">
        <v>45079</v>
      </c>
      <c r="C47" s="7">
        <v>1</v>
      </c>
      <c r="D47" s="7">
        <v>1</v>
      </c>
      <c r="E47">
        <v>2</v>
      </c>
      <c r="F47" t="s">
        <v>42</v>
      </c>
      <c r="G47">
        <v>62.5</v>
      </c>
      <c r="H47">
        <v>106</v>
      </c>
      <c r="J47">
        <v>46.613</v>
      </c>
      <c r="K47">
        <v>46.893999999999998</v>
      </c>
      <c r="L47">
        <v>46.774000000000001</v>
      </c>
      <c r="M47">
        <v>54.573999999999998</v>
      </c>
      <c r="U47" s="8">
        <f>J47-K47</f>
        <v>-0.28099999999999881</v>
      </c>
      <c r="V47" s="8">
        <f>M47-K47</f>
        <v>7.68</v>
      </c>
      <c r="W47" s="8" t="str">
        <f>IF(N47-M47&gt;0,N47-M47,"")</f>
        <v/>
      </c>
      <c r="X47" s="8" t="str">
        <f>IF(O47-N47&gt;0,O47-N47,"")</f>
        <v/>
      </c>
      <c r="Y47" s="8" t="str">
        <f>IF(P47-O47&gt;0,P47-O47,"")</f>
        <v/>
      </c>
      <c r="Z47" s="8" t="str">
        <f>IF(Q47-P47&gt;0,Q47-P47,"")</f>
        <v/>
      </c>
      <c r="AA47" s="8" t="str">
        <f>IF(R47-Q47&gt;0,R47-Q47,"")</f>
        <v/>
      </c>
      <c r="AB47" s="8" t="str">
        <f>IF(S47-R47&gt;0,S47-R47,"")</f>
        <v/>
      </c>
      <c r="AC47" s="8" t="str">
        <f>IF(T47-S47&gt;0,T47-S47,"")</f>
        <v/>
      </c>
      <c r="AD47" s="8" t="str">
        <f>IF(W47="","",V47+W47)</f>
        <v/>
      </c>
      <c r="AE47" t="str">
        <f>IF(Y47="","",X47+Y47)</f>
        <v/>
      </c>
      <c r="AF47" t="str">
        <f>IF(Z47="","",Y47+Z47)</f>
        <v/>
      </c>
      <c r="AG47" t="str">
        <f>IF(AA47="","",Z47+AA47)</f>
        <v/>
      </c>
      <c r="AH47" t="str">
        <f>IF(AE47="","",AD47+AE47)</f>
        <v/>
      </c>
      <c r="AI47" t="str">
        <f>IF(AG47="","",AF47+AG47)</f>
        <v/>
      </c>
      <c r="AJ47" t="str">
        <f>IF(AI47="","",AH47+AI47)</f>
        <v/>
      </c>
      <c r="AK47" s="8">
        <f>L47-K47</f>
        <v>-0.11999999999999744</v>
      </c>
      <c r="AL47" s="8">
        <f>M47-J47</f>
        <v>7.9609999999999985</v>
      </c>
      <c r="AM47" s="8"/>
      <c r="AP47" t="s">
        <v>113</v>
      </c>
    </row>
    <row r="48" spans="1:42" x14ac:dyDescent="0.3">
      <c r="A48" t="s">
        <v>41</v>
      </c>
      <c r="B48" s="6">
        <v>45079</v>
      </c>
      <c r="C48" s="7">
        <v>1</v>
      </c>
      <c r="D48" s="7">
        <v>1</v>
      </c>
      <c r="E48">
        <v>2</v>
      </c>
      <c r="F48" t="s">
        <v>42</v>
      </c>
      <c r="G48">
        <v>62.5</v>
      </c>
      <c r="H48">
        <v>106</v>
      </c>
      <c r="J48">
        <v>56.99</v>
      </c>
      <c r="K48">
        <v>57.19</v>
      </c>
      <c r="L48">
        <v>57.13</v>
      </c>
      <c r="M48">
        <v>64.930000000000007</v>
      </c>
      <c r="U48" s="8">
        <f>J48-K48</f>
        <v>-0.19999999999999574</v>
      </c>
      <c r="V48" s="8">
        <f>M48-K48</f>
        <v>7.7400000000000091</v>
      </c>
      <c r="W48" s="8" t="str">
        <f>IF(N48-M48&gt;0,N48-M48,"")</f>
        <v/>
      </c>
      <c r="X48" s="8" t="str">
        <f>IF(O48-N48&gt;0,O48-N48,"")</f>
        <v/>
      </c>
      <c r="Y48" s="8" t="str">
        <f>IF(P48-O48&gt;0,P48-O48,"")</f>
        <v/>
      </c>
      <c r="Z48" s="8" t="str">
        <f>IF(Q48-P48&gt;0,Q48-P48,"")</f>
        <v/>
      </c>
      <c r="AA48" s="8" t="str">
        <f>IF(R48-Q48&gt;0,R48-Q48,"")</f>
        <v/>
      </c>
      <c r="AB48" s="8" t="str">
        <f>IF(S48-R48&gt;0,S48-R48,"")</f>
        <v/>
      </c>
      <c r="AC48" s="8" t="str">
        <f>IF(T48-S48&gt;0,T48-S48,"")</f>
        <v/>
      </c>
      <c r="AD48" s="8" t="str">
        <f>IF(W48="","",V48+W48)</f>
        <v/>
      </c>
      <c r="AE48" t="str">
        <f>IF(Y48="","",X48+Y48)</f>
        <v/>
      </c>
      <c r="AF48" t="str">
        <f>IF(Z48="","",Y48+Z48)</f>
        <v/>
      </c>
      <c r="AG48" t="str">
        <f>IF(AA48="","",Z48+AA48)</f>
        <v/>
      </c>
      <c r="AH48" t="str">
        <f>IF(AE48="","",AD48+AE48)</f>
        <v/>
      </c>
      <c r="AI48" t="str">
        <f>IF(AG48="","",AF48+AG48)</f>
        <v/>
      </c>
      <c r="AJ48" t="str">
        <f>IF(AI48="","",AH48+AI48)</f>
        <v/>
      </c>
      <c r="AK48" s="8">
        <f>L48-K48</f>
        <v>-5.9999999999995168E-2</v>
      </c>
      <c r="AL48" s="8">
        <f>M48-J48</f>
        <v>7.9400000000000048</v>
      </c>
      <c r="AM48" s="8"/>
      <c r="AP48" t="s">
        <v>123</v>
      </c>
    </row>
    <row r="49" spans="1:42" x14ac:dyDescent="0.3">
      <c r="A49" t="s">
        <v>40</v>
      </c>
      <c r="B49" s="6">
        <v>45079</v>
      </c>
      <c r="C49" s="7">
        <v>1</v>
      </c>
      <c r="D49" s="7">
        <v>1</v>
      </c>
      <c r="E49">
        <v>2</v>
      </c>
      <c r="F49" t="s">
        <v>42</v>
      </c>
      <c r="G49">
        <v>62.5</v>
      </c>
      <c r="H49">
        <v>106</v>
      </c>
      <c r="J49">
        <v>50.156999999999996</v>
      </c>
      <c r="K49">
        <v>50.377000000000002</v>
      </c>
      <c r="L49">
        <v>50.417000000000002</v>
      </c>
      <c r="M49">
        <v>58.235999999999997</v>
      </c>
      <c r="U49" s="8">
        <f>J49-K49</f>
        <v>-0.22000000000000597</v>
      </c>
      <c r="V49" s="8">
        <f>M49-K49</f>
        <v>7.8589999999999947</v>
      </c>
      <c r="W49" s="8" t="str">
        <f>IF(N49-M49&gt;0,N49-M49,"")</f>
        <v/>
      </c>
      <c r="X49" s="8" t="str">
        <f>IF(O49-N49&gt;0,O49-N49,"")</f>
        <v/>
      </c>
      <c r="Y49" s="8" t="str">
        <f>IF(P49-O49&gt;0,P49-O49,"")</f>
        <v/>
      </c>
      <c r="Z49" s="8" t="str">
        <f>IF(Q49-P49&gt;0,Q49-P49,"")</f>
        <v/>
      </c>
      <c r="AA49" s="8" t="str">
        <f>IF(R49-Q49&gt;0,R49-Q49,"")</f>
        <v/>
      </c>
      <c r="AB49" s="8" t="str">
        <f>IF(S49-R49&gt;0,S49-R49,"")</f>
        <v/>
      </c>
      <c r="AC49" s="8" t="str">
        <f>IF(T49-S49&gt;0,T49-S49,"")</f>
        <v/>
      </c>
      <c r="AD49" s="8" t="str">
        <f>IF(W49="","",V49+W49)</f>
        <v/>
      </c>
      <c r="AE49" t="str">
        <f>IF(Y49="","",X49+Y49)</f>
        <v/>
      </c>
      <c r="AF49" t="str">
        <f>IF(Z49="","",Y49+Z49)</f>
        <v/>
      </c>
      <c r="AG49" t="str">
        <f>IF(AA49="","",Z49+AA49)</f>
        <v/>
      </c>
      <c r="AH49" t="str">
        <f>IF(AE49="","",AD49+AE49)</f>
        <v/>
      </c>
      <c r="AI49" t="str">
        <f>IF(AG49="","",AF49+AG49)</f>
        <v/>
      </c>
      <c r="AJ49" t="str">
        <f>IF(AI49="","",AH49+AI49)</f>
        <v/>
      </c>
      <c r="AK49" s="8">
        <f>L49-K49</f>
        <v>3.9999999999999147E-2</v>
      </c>
      <c r="AL49" s="8">
        <f>M49-J49</f>
        <v>8.0790000000000006</v>
      </c>
      <c r="AM49" s="8"/>
      <c r="AP49" t="s">
        <v>106</v>
      </c>
    </row>
    <row r="50" spans="1:42" x14ac:dyDescent="0.3">
      <c r="A50" t="s">
        <v>38</v>
      </c>
      <c r="B50" s="6">
        <v>45079</v>
      </c>
      <c r="C50" s="7">
        <v>1</v>
      </c>
      <c r="D50" s="7">
        <v>2</v>
      </c>
      <c r="E50">
        <v>2</v>
      </c>
      <c r="F50" t="s">
        <v>42</v>
      </c>
      <c r="G50">
        <v>62.5</v>
      </c>
      <c r="H50">
        <v>106</v>
      </c>
      <c r="J50">
        <v>19.518000000000001</v>
      </c>
      <c r="K50">
        <v>19.638000000000002</v>
      </c>
      <c r="L50">
        <v>19.716999999999999</v>
      </c>
      <c r="M50">
        <v>27.437000000000001</v>
      </c>
      <c r="U50" s="8">
        <f>J50-K50</f>
        <v>-0.12000000000000099</v>
      </c>
      <c r="V50" s="8">
        <f>M50-K50</f>
        <v>7.7989999999999995</v>
      </c>
      <c r="W50" s="8" t="str">
        <f>IF(N50-M50&gt;0,N50-M50,"")</f>
        <v/>
      </c>
      <c r="X50" s="8" t="str">
        <f>IF(O50-N50&gt;0,O50-N50,"")</f>
        <v/>
      </c>
      <c r="Y50" s="8" t="str">
        <f>IF(P50-O50&gt;0,P50-O50,"")</f>
        <v/>
      </c>
      <c r="Z50" s="8" t="str">
        <f>IF(Q50-P50&gt;0,Q50-P50,"")</f>
        <v/>
      </c>
      <c r="AA50" s="8" t="str">
        <f>IF(R50-Q50&gt;0,R50-Q50,"")</f>
        <v/>
      </c>
      <c r="AB50" s="8" t="str">
        <f>IF(S50-R50&gt;0,S50-R50,"")</f>
        <v/>
      </c>
      <c r="AC50" s="8" t="str">
        <f>IF(T50-S50&gt;0,T50-S50,"")</f>
        <v/>
      </c>
      <c r="AD50" s="8" t="str">
        <f>IF(W50="","",V50+W50)</f>
        <v/>
      </c>
      <c r="AE50" t="str">
        <f>IF(Y50="","",X50+Y50)</f>
        <v/>
      </c>
      <c r="AF50" t="str">
        <f>IF(Z50="","",Y50+Z50)</f>
        <v/>
      </c>
      <c r="AG50" t="str">
        <f>IF(AA50="","",Z50+AA50)</f>
        <v/>
      </c>
      <c r="AH50" t="str">
        <f>IF(AE50="","",AD50+AE50)</f>
        <v/>
      </c>
      <c r="AI50" t="str">
        <f>IF(AG50="","",AF50+AG50)</f>
        <v/>
      </c>
      <c r="AJ50" t="str">
        <f>IF(AI50="","",AH50+AI50)</f>
        <v/>
      </c>
      <c r="AK50" s="8">
        <f>L50-K50</f>
        <v>7.8999999999997073E-2</v>
      </c>
      <c r="AL50" s="8">
        <f>M50-J50</f>
        <v>7.9190000000000005</v>
      </c>
      <c r="AM50" s="8"/>
      <c r="AP50" t="s">
        <v>114</v>
      </c>
    </row>
    <row r="51" spans="1:42" x14ac:dyDescent="0.3">
      <c r="A51" t="s">
        <v>40</v>
      </c>
      <c r="B51" s="6">
        <v>45079</v>
      </c>
      <c r="C51" s="7">
        <v>1</v>
      </c>
      <c r="D51" s="7">
        <v>2</v>
      </c>
      <c r="E51">
        <v>2</v>
      </c>
      <c r="F51" t="s">
        <v>42</v>
      </c>
      <c r="G51">
        <v>62.5</v>
      </c>
      <c r="H51">
        <v>106</v>
      </c>
      <c r="J51">
        <v>17.981000000000002</v>
      </c>
      <c r="K51">
        <v>18.100999999999999</v>
      </c>
      <c r="L51">
        <v>18.221</v>
      </c>
      <c r="M51">
        <v>25.98</v>
      </c>
      <c r="U51" s="8">
        <f>J51-K51</f>
        <v>-0.11999999999999744</v>
      </c>
      <c r="V51" s="8">
        <f>M51-K51</f>
        <v>7.8790000000000013</v>
      </c>
      <c r="W51" s="8" t="str">
        <f>IF(N51-M51&gt;0,N51-M51,"")</f>
        <v/>
      </c>
      <c r="X51" s="8" t="str">
        <f>IF(O51-N51&gt;0,O51-N51,"")</f>
        <v/>
      </c>
      <c r="Y51" s="8" t="str">
        <f>IF(P51-O51&gt;0,P51-O51,"")</f>
        <v/>
      </c>
      <c r="Z51" s="8" t="str">
        <f>IF(Q51-P51&gt;0,Q51-P51,"")</f>
        <v/>
      </c>
      <c r="AA51" s="8" t="str">
        <f>IF(R51-Q51&gt;0,R51-Q51,"")</f>
        <v/>
      </c>
      <c r="AB51" s="8" t="str">
        <f>IF(S51-R51&gt;0,S51-R51,"")</f>
        <v/>
      </c>
      <c r="AC51" s="8" t="str">
        <f>IF(T51-S51&gt;0,T51-S51,"")</f>
        <v/>
      </c>
      <c r="AD51" s="8" t="str">
        <f>IF(W51="","",V51+W51)</f>
        <v/>
      </c>
      <c r="AE51" t="str">
        <f>IF(Y51="","",X51+Y51)</f>
        <v/>
      </c>
      <c r="AF51" t="str">
        <f>IF(Z51="","",Y51+Z51)</f>
        <v/>
      </c>
      <c r="AG51" t="str">
        <f>IF(AA51="","",Z51+AA51)</f>
        <v/>
      </c>
      <c r="AH51" t="str">
        <f>IF(AE51="","",AD51+AE51)</f>
        <v/>
      </c>
      <c r="AI51" t="str">
        <f>IF(AG51="","",AF51+AG51)</f>
        <v/>
      </c>
      <c r="AJ51" t="str">
        <f>IF(AI51="","",AH51+AI51)</f>
        <v/>
      </c>
      <c r="AK51" s="8">
        <f>L51-K51</f>
        <v>0.12000000000000099</v>
      </c>
      <c r="AL51" s="8">
        <f>M51-J51</f>
        <v>7.9989999999999988</v>
      </c>
      <c r="AM51" s="8"/>
      <c r="AP51" t="s">
        <v>107</v>
      </c>
    </row>
    <row r="52" spans="1:42" x14ac:dyDescent="0.3">
      <c r="A52" t="s">
        <v>41</v>
      </c>
      <c r="B52" s="6">
        <v>45079</v>
      </c>
      <c r="C52" s="7">
        <v>1</v>
      </c>
      <c r="D52" s="7">
        <v>2</v>
      </c>
      <c r="E52">
        <v>2</v>
      </c>
      <c r="F52" t="s">
        <v>42</v>
      </c>
      <c r="G52">
        <v>62.5</v>
      </c>
      <c r="H52">
        <v>106</v>
      </c>
      <c r="J52">
        <v>14.143000000000001</v>
      </c>
      <c r="K52">
        <v>14.223000000000001</v>
      </c>
      <c r="L52">
        <v>14.362</v>
      </c>
      <c r="M52">
        <v>22.231999999999999</v>
      </c>
      <c r="U52" s="8">
        <f>J52-K52</f>
        <v>-8.0000000000000071E-2</v>
      </c>
      <c r="V52" s="8">
        <f>M52-K52</f>
        <v>8.0089999999999986</v>
      </c>
      <c r="W52" s="8" t="str">
        <f>IF(N52-M52&gt;0,N52-M52,"")</f>
        <v/>
      </c>
      <c r="X52" s="8" t="str">
        <f>IF(O52-N52&gt;0,O52-N52,"")</f>
        <v/>
      </c>
      <c r="Y52" s="8" t="str">
        <f>IF(P52-O52&gt;0,P52-O52,"")</f>
        <v/>
      </c>
      <c r="Z52" s="8" t="str">
        <f>IF(Q52-P52&gt;0,Q52-P52,"")</f>
        <v/>
      </c>
      <c r="AA52" s="8" t="str">
        <f>IF(R52-Q52&gt;0,R52-Q52,"")</f>
        <v/>
      </c>
      <c r="AB52" s="8" t="str">
        <f>IF(S52-R52&gt;0,S52-R52,"")</f>
        <v/>
      </c>
      <c r="AC52" s="8" t="str">
        <f>IF(T52-S52&gt;0,T52-S52,"")</f>
        <v/>
      </c>
      <c r="AD52" s="8" t="str">
        <f>IF(W52="","",V52+W52)</f>
        <v/>
      </c>
      <c r="AE52" t="str">
        <f>IF(Y52="","",X52+Y52)</f>
        <v/>
      </c>
      <c r="AF52" t="str">
        <f>IF(Z52="","",Y52+Z52)</f>
        <v/>
      </c>
      <c r="AG52" t="str">
        <f>IF(AA52="","",Z52+AA52)</f>
        <v/>
      </c>
      <c r="AH52" t="str">
        <f>IF(AE52="","",AD52+AE52)</f>
        <v/>
      </c>
      <c r="AI52" t="str">
        <f>IF(AG52="","",AF52+AG52)</f>
        <v/>
      </c>
      <c r="AJ52" t="str">
        <f>IF(AI52="","",AH52+AI52)</f>
        <v/>
      </c>
      <c r="AK52" s="8">
        <f>L52-K52</f>
        <v>0.13899999999999935</v>
      </c>
      <c r="AL52" s="8">
        <f>M52-J52</f>
        <v>8.0889999999999986</v>
      </c>
      <c r="AM52" s="8"/>
      <c r="AP52" t="s">
        <v>124</v>
      </c>
    </row>
    <row r="53" spans="1:42" x14ac:dyDescent="0.3">
      <c r="A53" t="s">
        <v>41</v>
      </c>
      <c r="B53" s="6">
        <v>45079</v>
      </c>
      <c r="C53" s="7">
        <v>1</v>
      </c>
      <c r="D53" s="7">
        <v>3</v>
      </c>
      <c r="E53">
        <v>2</v>
      </c>
      <c r="F53" t="s">
        <v>42</v>
      </c>
      <c r="G53">
        <v>125</v>
      </c>
      <c r="H53">
        <v>106</v>
      </c>
      <c r="J53">
        <v>28.207000000000001</v>
      </c>
      <c r="K53">
        <v>28.466000000000001</v>
      </c>
      <c r="L53">
        <v>28.385999999999999</v>
      </c>
      <c r="M53">
        <v>36.206000000000003</v>
      </c>
      <c r="N53">
        <v>40.606999999999999</v>
      </c>
      <c r="U53" s="8">
        <f>J53-K53</f>
        <v>-0.25900000000000034</v>
      </c>
      <c r="V53" s="8">
        <f>M53-K53</f>
        <v>7.740000000000002</v>
      </c>
      <c r="W53" s="8">
        <f>IF(N53-M53&gt;0,N53-M53,"")</f>
        <v>4.4009999999999962</v>
      </c>
      <c r="X53" s="8" t="str">
        <f>IF(O53-N53&gt;0,O53-N53,"")</f>
        <v/>
      </c>
      <c r="Y53" s="8" t="str">
        <f>IF(P53-O53&gt;0,P53-O53,"")</f>
        <v/>
      </c>
      <c r="Z53" s="8" t="str">
        <f>IF(Q53-P53&gt;0,Q53-P53,"")</f>
        <v/>
      </c>
      <c r="AA53" s="8" t="str">
        <f>IF(R53-Q53&gt;0,R53-Q53,"")</f>
        <v/>
      </c>
      <c r="AB53" s="8" t="str">
        <f>IF(S53-R53&gt;0,S53-R53,"")</f>
        <v/>
      </c>
      <c r="AC53" s="8" t="str">
        <f>IF(T53-S53&gt;0,T53-S53,"")</f>
        <v/>
      </c>
      <c r="AD53" s="8">
        <f>IF(W53="","",V53+W53)</f>
        <v>12.140999999999998</v>
      </c>
      <c r="AE53" t="str">
        <f>IF(Y53="","",X53+Y53)</f>
        <v/>
      </c>
      <c r="AF53" t="str">
        <f>IF(Z53="","",Y53+Z53)</f>
        <v/>
      </c>
      <c r="AG53" t="str">
        <f>IF(AA53="","",Z53+AA53)</f>
        <v/>
      </c>
      <c r="AH53" t="str">
        <f>IF(AE53="","",AD53+AE53)</f>
        <v/>
      </c>
      <c r="AI53" t="str">
        <f>IF(AG53="","",AF53+AG53)</f>
        <v/>
      </c>
      <c r="AJ53" t="str">
        <f>IF(AI53="","",AH53+AI53)</f>
        <v/>
      </c>
      <c r="AK53" s="8">
        <f>L53-K53</f>
        <v>-8.0000000000001847E-2</v>
      </c>
      <c r="AL53" s="8">
        <f>M53-J53</f>
        <v>7.9990000000000023</v>
      </c>
      <c r="AM53" s="8">
        <f>IF(N53="","",AL53+W53)</f>
        <v>12.399999999999999</v>
      </c>
      <c r="AP53" s="9" t="s">
        <v>116</v>
      </c>
    </row>
    <row r="54" spans="1:42" x14ac:dyDescent="0.3">
      <c r="A54" t="s">
        <v>40</v>
      </c>
      <c r="B54" s="6">
        <v>45079</v>
      </c>
      <c r="C54" s="7">
        <v>1</v>
      </c>
      <c r="D54" s="7">
        <v>3</v>
      </c>
      <c r="E54">
        <v>2</v>
      </c>
      <c r="F54" t="s">
        <v>42</v>
      </c>
      <c r="G54">
        <v>125</v>
      </c>
      <c r="H54">
        <v>106</v>
      </c>
      <c r="J54">
        <v>48.703000000000003</v>
      </c>
      <c r="K54">
        <v>48.944000000000003</v>
      </c>
      <c r="L54">
        <v>48.963999999999999</v>
      </c>
      <c r="M54">
        <v>56.762999999999998</v>
      </c>
      <c r="N54">
        <v>61.204000000000001</v>
      </c>
      <c r="U54" s="8">
        <f>J54-K54</f>
        <v>-0.24099999999999966</v>
      </c>
      <c r="V54" s="8">
        <f>M54-K54</f>
        <v>7.8189999999999955</v>
      </c>
      <c r="W54" s="8">
        <f>IF(N54-M54&gt;0,N54-M54,"")</f>
        <v>4.4410000000000025</v>
      </c>
      <c r="X54" s="8" t="str">
        <f>IF(O54-N54&gt;0,O54-N54,"")</f>
        <v/>
      </c>
      <c r="Y54" s="8" t="str">
        <f>IF(P54-O54&gt;0,P54-O54,"")</f>
        <v/>
      </c>
      <c r="Z54" s="8" t="str">
        <f>IF(Q54-P54&gt;0,Q54-P54,"")</f>
        <v/>
      </c>
      <c r="AA54" s="8" t="str">
        <f>IF(R54-Q54&gt;0,R54-Q54,"")</f>
        <v/>
      </c>
      <c r="AB54" s="8" t="str">
        <f>IF(S54-R54&gt;0,S54-R54,"")</f>
        <v/>
      </c>
      <c r="AC54" s="8" t="str">
        <f>IF(T54-S54&gt;0,T54-S54,"")</f>
        <v/>
      </c>
      <c r="AD54" s="8">
        <f>IF(W54="","",V54+W54)</f>
        <v>12.259999999999998</v>
      </c>
      <c r="AE54" t="str">
        <f>IF(Y54="","",X54+Y54)</f>
        <v/>
      </c>
      <c r="AF54" t="str">
        <f>IF(Z54="","",Y54+Z54)</f>
        <v/>
      </c>
      <c r="AG54" t="str">
        <f>IF(AA54="","",Z54+AA54)</f>
        <v/>
      </c>
      <c r="AH54" t="str">
        <f>IF(AE54="","",AD54+AE54)</f>
        <v/>
      </c>
      <c r="AI54" t="str">
        <f>IF(AG54="","",AF54+AG54)</f>
        <v/>
      </c>
      <c r="AJ54" t="str">
        <f>IF(AI54="","",AH54+AI54)</f>
        <v/>
      </c>
      <c r="AK54" s="8">
        <f>L54-K54</f>
        <v>1.9999999999996021E-2</v>
      </c>
      <c r="AL54" s="8">
        <f>M54-J54</f>
        <v>8.0599999999999952</v>
      </c>
      <c r="AM54" s="8">
        <f>IF(N54="","",AL54+W54)</f>
        <v>12.500999999999998</v>
      </c>
      <c r="AP54" t="s">
        <v>108</v>
      </c>
    </row>
    <row r="55" spans="1:42" x14ac:dyDescent="0.3">
      <c r="A55" t="s">
        <v>38</v>
      </c>
      <c r="B55" s="6">
        <v>45079</v>
      </c>
      <c r="C55" s="7">
        <v>1</v>
      </c>
      <c r="D55" s="7">
        <v>3</v>
      </c>
      <c r="E55">
        <v>2</v>
      </c>
      <c r="F55" t="s">
        <v>42</v>
      </c>
      <c r="G55">
        <v>125</v>
      </c>
      <c r="H55">
        <v>106</v>
      </c>
      <c r="J55">
        <v>22.024999999999999</v>
      </c>
      <c r="K55">
        <v>22.045000000000002</v>
      </c>
      <c r="L55">
        <v>22.225000000000001</v>
      </c>
      <c r="M55">
        <v>29.984999999999999</v>
      </c>
      <c r="N55">
        <v>34.344999999999999</v>
      </c>
      <c r="U55" s="8">
        <f>J55-K55</f>
        <v>-2.0000000000003126E-2</v>
      </c>
      <c r="V55" s="8">
        <f>M55-K55</f>
        <v>7.9399999999999977</v>
      </c>
      <c r="W55" s="8">
        <f>IF(N55-M55&gt;0,N55-M55,"")</f>
        <v>4.3599999999999994</v>
      </c>
      <c r="X55" s="8" t="str">
        <f>IF(O55-N55&gt;0,O55-N55,"")</f>
        <v/>
      </c>
      <c r="Y55" s="8" t="str">
        <f>IF(P55-O55&gt;0,P55-O55,"")</f>
        <v/>
      </c>
      <c r="Z55" s="8" t="str">
        <f>IF(Q55-P55&gt;0,Q55-P55,"")</f>
        <v/>
      </c>
      <c r="AA55" s="8" t="str">
        <f>IF(R55-Q55&gt;0,R55-Q55,"")</f>
        <v/>
      </c>
      <c r="AB55" s="8" t="str">
        <f>IF(S55-R55&gt;0,S55-R55,"")</f>
        <v/>
      </c>
      <c r="AC55" s="8" t="str">
        <f>IF(T55-S55&gt;0,T55-S55,"")</f>
        <v/>
      </c>
      <c r="AD55" s="8">
        <f>IF(W55="","",V55+W55)</f>
        <v>12.299999999999997</v>
      </c>
      <c r="AE55" t="str">
        <f>IF(Y55="","",X55+Y55)</f>
        <v/>
      </c>
      <c r="AF55" t="str">
        <f>IF(Z55="","",Y55+Z55)</f>
        <v/>
      </c>
      <c r="AG55" t="str">
        <f>IF(AA55="","",Z55+AA55)</f>
        <v/>
      </c>
      <c r="AH55" t="str">
        <f>IF(AE55="","",AD55+AE55)</f>
        <v/>
      </c>
      <c r="AI55" t="str">
        <f>IF(AG55="","",AF55+AG55)</f>
        <v/>
      </c>
      <c r="AJ55" t="str">
        <f>IF(AI55="","",AH55+AI55)</f>
        <v/>
      </c>
      <c r="AK55" s="8">
        <f>L55-K55</f>
        <v>0.17999999999999972</v>
      </c>
      <c r="AL55" s="8">
        <f>M55-J55</f>
        <v>7.9600000000000009</v>
      </c>
      <c r="AM55" s="8">
        <f>IF(N55="","",AL55+W55)</f>
        <v>12.32</v>
      </c>
      <c r="AP55" t="s">
        <v>115</v>
      </c>
    </row>
    <row r="56" spans="1:42" x14ac:dyDescent="0.3">
      <c r="A56" t="s">
        <v>38</v>
      </c>
      <c r="B56" s="6">
        <v>45079</v>
      </c>
      <c r="C56" s="7">
        <v>1</v>
      </c>
      <c r="D56" s="7">
        <v>4</v>
      </c>
      <c r="E56">
        <v>2</v>
      </c>
      <c r="F56" t="s">
        <v>42</v>
      </c>
      <c r="G56">
        <v>62.5</v>
      </c>
      <c r="H56">
        <v>106</v>
      </c>
      <c r="J56">
        <v>10.128</v>
      </c>
      <c r="K56">
        <v>10.189</v>
      </c>
      <c r="L56">
        <v>10.348000000000001</v>
      </c>
      <c r="M56">
        <v>18.128</v>
      </c>
      <c r="U56" s="8">
        <f>J56-K56</f>
        <v>-6.0999999999999943E-2</v>
      </c>
      <c r="V56" s="8">
        <f>M56-K56</f>
        <v>7.9390000000000001</v>
      </c>
      <c r="W56" s="8" t="str">
        <f>IF(N56-M56&gt;0,N56-M56,"")</f>
        <v/>
      </c>
      <c r="X56" s="8" t="str">
        <f>IF(O56-N56&gt;0,O56-N56,"")</f>
        <v/>
      </c>
      <c r="Y56" s="8" t="str">
        <f>IF(P56-O56&gt;0,P56-O56,"")</f>
        <v/>
      </c>
      <c r="Z56" s="8" t="str">
        <f>IF(Q56-P56&gt;0,Q56-P56,"")</f>
        <v/>
      </c>
      <c r="AA56" s="8" t="str">
        <f>IF(R56-Q56&gt;0,R56-Q56,"")</f>
        <v/>
      </c>
      <c r="AB56" s="8" t="str">
        <f>IF(S56-R56&gt;0,S56-R56,"")</f>
        <v/>
      </c>
      <c r="AC56" s="8" t="str">
        <f>IF(T56-S56&gt;0,T56-S56,"")</f>
        <v/>
      </c>
      <c r="AD56" s="8" t="str">
        <f>IF(W56="","",V56+W56)</f>
        <v/>
      </c>
      <c r="AE56" t="str">
        <f>IF(Y56="","",X56+Y56)</f>
        <v/>
      </c>
      <c r="AF56" t="str">
        <f>IF(Z56="","",Y56+Z56)</f>
        <v/>
      </c>
      <c r="AG56" t="str">
        <f>IF(AA56="","",Z56+AA56)</f>
        <v/>
      </c>
      <c r="AH56" t="str">
        <f>IF(AE56="","",AD56+AE56)</f>
        <v/>
      </c>
      <c r="AI56" t="str">
        <f>IF(AG56="","",AF56+AG56)</f>
        <v/>
      </c>
      <c r="AJ56" t="str">
        <f>IF(AI56="","",AH56+AI56)</f>
        <v/>
      </c>
      <c r="AK56" s="8">
        <f>L56-K56</f>
        <v>0.1590000000000007</v>
      </c>
      <c r="AL56" s="8">
        <f>M56-J56</f>
        <v>8</v>
      </c>
      <c r="AM56" s="8"/>
      <c r="AP56" t="s">
        <v>101</v>
      </c>
    </row>
    <row r="57" spans="1:42" x14ac:dyDescent="0.3">
      <c r="A57" t="s">
        <v>41</v>
      </c>
      <c r="B57" s="6">
        <v>45079</v>
      </c>
      <c r="C57" s="7">
        <v>1</v>
      </c>
      <c r="D57" s="7">
        <v>4</v>
      </c>
      <c r="E57">
        <v>2</v>
      </c>
      <c r="F57" t="s">
        <v>42</v>
      </c>
      <c r="G57">
        <v>62.5</v>
      </c>
      <c r="H57">
        <v>106</v>
      </c>
      <c r="J57">
        <v>21.75</v>
      </c>
      <c r="K57">
        <v>21.91</v>
      </c>
      <c r="L57">
        <v>21.989000000000001</v>
      </c>
      <c r="M57">
        <v>29.849</v>
      </c>
      <c r="U57" s="8">
        <f>J57-K57</f>
        <v>-0.16000000000000014</v>
      </c>
      <c r="V57" s="8">
        <f>M57-K57</f>
        <v>7.9390000000000001</v>
      </c>
      <c r="W57" s="8" t="str">
        <f>IF(N57-M57&gt;0,N57-M57,"")</f>
        <v/>
      </c>
      <c r="X57" s="8" t="str">
        <f>IF(O57-N57&gt;0,O57-N57,"")</f>
        <v/>
      </c>
      <c r="Y57" s="8" t="str">
        <f>IF(P57-O57&gt;0,P57-O57,"")</f>
        <v/>
      </c>
      <c r="Z57" s="8" t="str">
        <f>IF(Q57-P57&gt;0,Q57-P57,"")</f>
        <v/>
      </c>
      <c r="AA57" s="8" t="str">
        <f>IF(R57-Q57&gt;0,R57-Q57,"")</f>
        <v/>
      </c>
      <c r="AB57" s="8" t="str">
        <f>IF(S57-R57&gt;0,S57-R57,"")</f>
        <v/>
      </c>
      <c r="AC57" s="8" t="str">
        <f>IF(T57-S57&gt;0,T57-S57,"")</f>
        <v/>
      </c>
      <c r="AD57" s="8" t="str">
        <f>IF(W57="","",V57+W57)</f>
        <v/>
      </c>
      <c r="AE57" t="str">
        <f>IF(Y57="","",X57+Y57)</f>
        <v/>
      </c>
      <c r="AF57" t="str">
        <f>IF(Z57="","",Y57+Z57)</f>
        <v/>
      </c>
      <c r="AG57" t="str">
        <f>IF(AA57="","",Z57+AA57)</f>
        <v/>
      </c>
      <c r="AH57" t="str">
        <f>IF(AE57="","",AD57+AE57)</f>
        <v/>
      </c>
      <c r="AI57" t="str">
        <f>IF(AG57="","",AF57+AG57)</f>
        <v/>
      </c>
      <c r="AJ57" t="str">
        <f>IF(AI57="","",AH57+AI57)</f>
        <v/>
      </c>
      <c r="AK57" s="8">
        <f>L57-K57</f>
        <v>7.9000000000000625E-2</v>
      </c>
      <c r="AL57" s="8">
        <f>M57-J57</f>
        <v>8.0990000000000002</v>
      </c>
      <c r="AM57" s="8"/>
      <c r="AP57" t="s">
        <v>117</v>
      </c>
    </row>
    <row r="58" spans="1:42" x14ac:dyDescent="0.3">
      <c r="A58" t="s">
        <v>40</v>
      </c>
      <c r="B58" s="6">
        <v>45079</v>
      </c>
      <c r="C58" s="7">
        <v>1</v>
      </c>
      <c r="D58" s="7">
        <v>4</v>
      </c>
      <c r="E58">
        <v>2</v>
      </c>
      <c r="F58" t="s">
        <v>42</v>
      </c>
      <c r="G58">
        <v>62.5</v>
      </c>
      <c r="H58">
        <v>106</v>
      </c>
      <c r="J58">
        <v>56.487000000000002</v>
      </c>
      <c r="K58">
        <v>56.686999999999998</v>
      </c>
      <c r="L58">
        <v>56.747</v>
      </c>
      <c r="M58">
        <v>64.628</v>
      </c>
      <c r="U58" s="8">
        <f>J58-K58</f>
        <v>-0.19999999999999574</v>
      </c>
      <c r="V58" s="8">
        <f>M58-K58</f>
        <v>7.9410000000000025</v>
      </c>
      <c r="W58" s="8" t="str">
        <f>IF(N58-M58&gt;0,N58-M58,"")</f>
        <v/>
      </c>
      <c r="X58" s="8" t="str">
        <f>IF(O58-N58&gt;0,O58-N58,"")</f>
        <v/>
      </c>
      <c r="Y58" s="8" t="str">
        <f>IF(P58-O58&gt;0,P58-O58,"")</f>
        <v/>
      </c>
      <c r="Z58" s="8" t="str">
        <f>IF(Q58-P58&gt;0,Q58-P58,"")</f>
        <v/>
      </c>
      <c r="AA58" s="8" t="str">
        <f>IF(R58-Q58&gt;0,R58-Q58,"")</f>
        <v/>
      </c>
      <c r="AB58" s="8" t="str">
        <f>IF(S58-R58&gt;0,S58-R58,"")</f>
        <v/>
      </c>
      <c r="AC58" s="8" t="str">
        <f>IF(T58-S58&gt;0,T58-S58,"")</f>
        <v/>
      </c>
      <c r="AD58" s="8" t="str">
        <f>IF(W58="","",V58+W58)</f>
        <v/>
      </c>
      <c r="AE58" t="str">
        <f>IF(Y58="","",X58+Y58)</f>
        <v/>
      </c>
      <c r="AF58" t="str">
        <f>IF(Z58="","",Y58+Z58)</f>
        <v/>
      </c>
      <c r="AG58" t="str">
        <f>IF(AA58="","",Z58+AA58)</f>
        <v/>
      </c>
      <c r="AH58" t="str">
        <f>IF(AE58="","",AD58+AE58)</f>
        <v/>
      </c>
      <c r="AI58" t="str">
        <f>IF(AG58="","",AF58+AG58)</f>
        <v/>
      </c>
      <c r="AJ58" t="str">
        <f>IF(AI58="","",AH58+AI58)</f>
        <v/>
      </c>
      <c r="AK58" s="8">
        <f>L58-K58</f>
        <v>6.0000000000002274E-2</v>
      </c>
      <c r="AL58" s="8">
        <f>M58-J58</f>
        <v>8.1409999999999982</v>
      </c>
      <c r="AM58" s="8"/>
      <c r="AP58" t="s">
        <v>109</v>
      </c>
    </row>
    <row r="59" spans="1:42" x14ac:dyDescent="0.3">
      <c r="A59" t="s">
        <v>38</v>
      </c>
      <c r="B59" s="6">
        <v>45079</v>
      </c>
      <c r="C59" s="7">
        <v>2</v>
      </c>
      <c r="D59" s="7">
        <v>1</v>
      </c>
      <c r="E59">
        <v>2</v>
      </c>
      <c r="F59" t="s">
        <v>42</v>
      </c>
      <c r="G59">
        <v>62.5</v>
      </c>
      <c r="H59">
        <v>102</v>
      </c>
      <c r="J59">
        <v>33.241999999999997</v>
      </c>
      <c r="K59">
        <v>33.481999999999999</v>
      </c>
      <c r="L59">
        <v>33.402000000000001</v>
      </c>
      <c r="M59">
        <v>41.052</v>
      </c>
      <c r="U59" s="8">
        <f>J59-K59</f>
        <v>-0.24000000000000199</v>
      </c>
      <c r="V59" s="8">
        <f>M59-K59</f>
        <v>7.57</v>
      </c>
      <c r="W59" s="8" t="str">
        <f>IF(N59-M59&gt;0,N59-M59,"")</f>
        <v/>
      </c>
      <c r="X59" s="8" t="str">
        <f>IF(O59-N59&gt;0,O59-N59,"")</f>
        <v/>
      </c>
      <c r="Y59" s="8" t="str">
        <f>IF(P59-O59&gt;0,P59-O59,"")</f>
        <v/>
      </c>
      <c r="Z59" s="8" t="str">
        <f>IF(Q59-P59&gt;0,Q59-P59,"")</f>
        <v/>
      </c>
      <c r="AA59" s="8" t="str">
        <f>IF(R59-Q59&gt;0,R59-Q59,"")</f>
        <v/>
      </c>
      <c r="AB59" s="8" t="str">
        <f>IF(S59-R59&gt;0,S59-R59,"")</f>
        <v/>
      </c>
      <c r="AC59" s="8" t="str">
        <f>IF(T59-S59&gt;0,T59-S59,"")</f>
        <v/>
      </c>
      <c r="AD59" s="8" t="str">
        <f>IF(W59="","",V59+W59)</f>
        <v/>
      </c>
      <c r="AE59" t="str">
        <f>IF(Y59="","",X59+Y59)</f>
        <v/>
      </c>
      <c r="AF59" t="str">
        <f>IF(Z59="","",Y59+Z59)</f>
        <v/>
      </c>
      <c r="AG59" t="str">
        <f>IF(AA59="","",Z59+AA59)</f>
        <v/>
      </c>
      <c r="AH59" t="str">
        <f>IF(AE59="","",AD59+AE59)</f>
        <v/>
      </c>
      <c r="AI59" t="str">
        <f>IF(AG59="","",AF59+AG59)</f>
        <v/>
      </c>
      <c r="AJ59" t="str">
        <f>IF(AI59="","",AH59+AI59)</f>
        <v/>
      </c>
      <c r="AK59" s="8">
        <f>L59-K59</f>
        <v>-7.9999999999998295E-2</v>
      </c>
      <c r="AL59" s="8">
        <f>M59-J59</f>
        <v>7.8100000000000023</v>
      </c>
      <c r="AM59" s="8"/>
      <c r="AP59" t="s">
        <v>102</v>
      </c>
    </row>
    <row r="60" spans="1:42" x14ac:dyDescent="0.3">
      <c r="A60" t="s">
        <v>41</v>
      </c>
      <c r="B60" s="6">
        <v>45079</v>
      </c>
      <c r="C60" s="7">
        <v>2</v>
      </c>
      <c r="D60" s="7">
        <v>1</v>
      </c>
      <c r="E60">
        <v>2</v>
      </c>
      <c r="F60" t="s">
        <v>42</v>
      </c>
      <c r="G60">
        <v>62.5</v>
      </c>
      <c r="H60">
        <v>102</v>
      </c>
      <c r="J60">
        <v>34.823999999999998</v>
      </c>
      <c r="K60">
        <v>35.003999999999998</v>
      </c>
      <c r="L60">
        <v>35.043999999999997</v>
      </c>
      <c r="M60">
        <v>42.834000000000003</v>
      </c>
      <c r="U60" s="8">
        <f>J60-K60</f>
        <v>-0.17999999999999972</v>
      </c>
      <c r="V60" s="8">
        <f>M60-K60</f>
        <v>7.8300000000000054</v>
      </c>
      <c r="W60" s="8" t="str">
        <f>IF(N60-M60&gt;0,N60-M60,"")</f>
        <v/>
      </c>
      <c r="X60" s="8" t="str">
        <f>IF(O60-N60&gt;0,O60-N60,"")</f>
        <v/>
      </c>
      <c r="Y60" s="8" t="str">
        <f>IF(P60-O60&gt;0,P60-O60,"")</f>
        <v/>
      </c>
      <c r="Z60" s="8" t="str">
        <f>IF(Q60-P60&gt;0,Q60-P60,"")</f>
        <v/>
      </c>
      <c r="AA60" s="8" t="str">
        <f>IF(R60-Q60&gt;0,R60-Q60,"")</f>
        <v/>
      </c>
      <c r="AB60" s="8" t="str">
        <f>IF(S60-R60&gt;0,S60-R60,"")</f>
        <v/>
      </c>
      <c r="AC60" s="8" t="str">
        <f>IF(T60-S60&gt;0,T60-S60,"")</f>
        <v/>
      </c>
      <c r="AD60" s="8" t="str">
        <f>IF(W60="","",V60+W60)</f>
        <v/>
      </c>
      <c r="AE60" t="str">
        <f>IF(Y60="","",X60+Y60)</f>
        <v/>
      </c>
      <c r="AF60" t="str">
        <f>IF(Z60="","",Y60+Z60)</f>
        <v/>
      </c>
      <c r="AG60" t="str">
        <f>IF(AA60="","",Z60+AA60)</f>
        <v/>
      </c>
      <c r="AH60" t="str">
        <f>IF(AE60="","",AD60+AE60)</f>
        <v/>
      </c>
      <c r="AI60" t="str">
        <f>IF(AG60="","",AF60+AG60)</f>
        <v/>
      </c>
      <c r="AJ60" t="str">
        <f>IF(AI60="","",AH60+AI60)</f>
        <v/>
      </c>
      <c r="AK60" s="8">
        <f>L60-K60</f>
        <v>3.9999999999999147E-2</v>
      </c>
      <c r="AL60" s="8">
        <f>M60-J60</f>
        <v>8.0100000000000051</v>
      </c>
      <c r="AM60" s="8"/>
      <c r="AP60" t="s">
        <v>118</v>
      </c>
    </row>
    <row r="61" spans="1:42" x14ac:dyDescent="0.3">
      <c r="A61" t="s">
        <v>40</v>
      </c>
      <c r="B61" s="6">
        <v>45079</v>
      </c>
      <c r="C61" s="7">
        <v>2</v>
      </c>
      <c r="D61" s="7">
        <v>1</v>
      </c>
      <c r="E61">
        <v>2</v>
      </c>
      <c r="F61" t="s">
        <v>42</v>
      </c>
      <c r="G61">
        <v>62.5</v>
      </c>
      <c r="H61">
        <v>102</v>
      </c>
      <c r="J61">
        <v>33.6</v>
      </c>
      <c r="K61">
        <v>33.76</v>
      </c>
      <c r="L61">
        <v>33.78</v>
      </c>
      <c r="M61">
        <v>41.68</v>
      </c>
      <c r="U61" s="8">
        <f>J61-K61</f>
        <v>-0.15999999999999659</v>
      </c>
      <c r="V61" s="8">
        <f>M61-K61</f>
        <v>7.9200000000000017</v>
      </c>
      <c r="W61" s="8" t="str">
        <f>IF(N61-M61&gt;0,N61-M61,"")</f>
        <v/>
      </c>
      <c r="X61" s="8" t="str">
        <f>IF(O61-N61&gt;0,O61-N61,"")</f>
        <v/>
      </c>
      <c r="Y61" s="8" t="str">
        <f>IF(P61-O61&gt;0,P61-O61,"")</f>
        <v/>
      </c>
      <c r="Z61" s="8" t="str">
        <f>IF(Q61-P61&gt;0,Q61-P61,"")</f>
        <v/>
      </c>
      <c r="AA61" s="8" t="str">
        <f>IF(R61-Q61&gt;0,R61-Q61,"")</f>
        <v/>
      </c>
      <c r="AB61" s="8" t="str">
        <f>IF(S61-R61&gt;0,S61-R61,"")</f>
        <v/>
      </c>
      <c r="AC61" s="8" t="str">
        <f>IF(T61-S61&gt;0,T61-S61,"")</f>
        <v/>
      </c>
      <c r="AD61" s="8" t="str">
        <f>IF(W61="","",V61+W61)</f>
        <v/>
      </c>
      <c r="AE61" t="str">
        <f>IF(Y61="","",X61+Y61)</f>
        <v/>
      </c>
      <c r="AF61" t="str">
        <f>IF(Z61="","",Y61+Z61)</f>
        <v/>
      </c>
      <c r="AG61" t="str">
        <f>IF(AA61="","",Z61+AA61)</f>
        <v/>
      </c>
      <c r="AH61" t="str">
        <f>IF(AE61="","",AD61+AE61)</f>
        <v/>
      </c>
      <c r="AI61" t="str">
        <f>IF(AG61="","",AF61+AG61)</f>
        <v/>
      </c>
      <c r="AJ61" t="str">
        <f>IF(AI61="","",AH61+AI61)</f>
        <v/>
      </c>
      <c r="AK61" s="8">
        <f>L61-K61</f>
        <v>2.0000000000003126E-2</v>
      </c>
      <c r="AL61" s="8">
        <f>M61-J61</f>
        <v>8.0799999999999983</v>
      </c>
      <c r="AM61" s="8"/>
      <c r="AP61" t="s">
        <v>110</v>
      </c>
    </row>
    <row r="62" spans="1:42" x14ac:dyDescent="0.3">
      <c r="A62" t="s">
        <v>38</v>
      </c>
      <c r="B62" s="6">
        <v>45079</v>
      </c>
      <c r="C62" s="7">
        <v>2</v>
      </c>
      <c r="D62" s="7">
        <v>2</v>
      </c>
      <c r="E62">
        <v>2</v>
      </c>
      <c r="F62" t="s">
        <v>42</v>
      </c>
      <c r="G62">
        <v>250</v>
      </c>
      <c r="H62">
        <v>102</v>
      </c>
      <c r="J62">
        <v>6.8490000000000002</v>
      </c>
      <c r="K62">
        <v>7.0279999999999996</v>
      </c>
      <c r="L62">
        <v>7.0279999999999996</v>
      </c>
      <c r="M62">
        <v>14.667999999999999</v>
      </c>
      <c r="N62">
        <v>18.989000000000001</v>
      </c>
      <c r="O62">
        <v>22.867999999999999</v>
      </c>
      <c r="P62">
        <v>26.6</v>
      </c>
      <c r="U62" s="8">
        <f>J62-K62</f>
        <v>-0.17899999999999938</v>
      </c>
      <c r="V62" s="8">
        <f>M62-K62</f>
        <v>7.64</v>
      </c>
      <c r="W62" s="8">
        <f>IF(N62-M62&gt;0,N62-M62,"")</f>
        <v>4.3210000000000015</v>
      </c>
      <c r="X62" s="8">
        <f>IF(O62-N62&gt;0,O62-N62,"")</f>
        <v>3.8789999999999978</v>
      </c>
      <c r="Y62" s="8">
        <f>IF(P62-O62&gt;0,P62-O62,"")</f>
        <v>3.7320000000000029</v>
      </c>
      <c r="Z62" s="8" t="str">
        <f>IF(Q62-P62&gt;0,Q62-P62,"")</f>
        <v/>
      </c>
      <c r="AA62" s="8" t="str">
        <f>IF(R62-Q62&gt;0,R62-Q62,"")</f>
        <v/>
      </c>
      <c r="AB62" s="8" t="str">
        <f>IF(S62-R62&gt;0,S62-R62,"")</f>
        <v/>
      </c>
      <c r="AC62" s="8" t="str">
        <f>IF(T62-S62&gt;0,T62-S62,"")</f>
        <v/>
      </c>
      <c r="AD62" s="8">
        <f>IF(W62="","",V62+W62)</f>
        <v>11.961000000000002</v>
      </c>
      <c r="AE62" s="8">
        <f>IF(Y62="","",X62+Y62)</f>
        <v>7.6110000000000007</v>
      </c>
      <c r="AF62" t="str">
        <f>IF(Z62="","",Y62+Z62)</f>
        <v/>
      </c>
      <c r="AG62" t="str">
        <f>IF(AA62="","",Z62+AA62)</f>
        <v/>
      </c>
      <c r="AH62">
        <f>IF(AE62="","",AD62+AE62)</f>
        <v>19.572000000000003</v>
      </c>
      <c r="AI62" t="str">
        <f>IF(AG62="","",AF62+AG62)</f>
        <v/>
      </c>
      <c r="AJ62" t="str">
        <f>IF(AI62="","",AH62+AI62)</f>
        <v/>
      </c>
      <c r="AK62" s="8">
        <f>L62-K62</f>
        <v>0</v>
      </c>
      <c r="AL62" s="8">
        <f>M62-J62</f>
        <v>7.8189999999999991</v>
      </c>
      <c r="AM62" s="8">
        <f>IF(N62="","",AL62+W62)</f>
        <v>12.14</v>
      </c>
      <c r="AN62" s="8">
        <f>AM62+AE62</f>
        <v>19.751000000000001</v>
      </c>
      <c r="AP62" t="s">
        <v>103</v>
      </c>
    </row>
    <row r="63" spans="1:42" x14ac:dyDescent="0.3">
      <c r="A63" t="s">
        <v>41</v>
      </c>
      <c r="B63" s="6">
        <v>45079</v>
      </c>
      <c r="C63" s="7">
        <v>2</v>
      </c>
      <c r="D63" s="7">
        <v>2</v>
      </c>
      <c r="E63">
        <v>2</v>
      </c>
      <c r="F63" t="s">
        <v>42</v>
      </c>
      <c r="G63">
        <v>250</v>
      </c>
      <c r="H63">
        <v>102</v>
      </c>
      <c r="J63">
        <v>45.951000000000001</v>
      </c>
      <c r="K63">
        <v>46.091000000000001</v>
      </c>
      <c r="L63">
        <v>46.131</v>
      </c>
      <c r="M63">
        <v>53.890999999999998</v>
      </c>
      <c r="N63">
        <v>58.262</v>
      </c>
      <c r="O63">
        <v>62.110999999999997</v>
      </c>
      <c r="P63">
        <v>65.8</v>
      </c>
      <c r="U63" s="8">
        <f>J63-K63</f>
        <v>-0.14000000000000057</v>
      </c>
      <c r="V63" s="8">
        <f>M63-K63</f>
        <v>7.7999999999999972</v>
      </c>
      <c r="W63" s="8">
        <f>IF(N63-M63&gt;0,N63-M63,"")</f>
        <v>4.3710000000000022</v>
      </c>
      <c r="X63" s="8">
        <f>IF(O63-N63&gt;0,O63-N63,"")</f>
        <v>3.8489999999999966</v>
      </c>
      <c r="Y63" s="8">
        <f>IF(P63-O63&gt;0,P63-O63,"")</f>
        <v>3.6890000000000001</v>
      </c>
      <c r="Z63" s="8" t="str">
        <f>IF(Q63-P63&gt;0,Q63-P63,"")</f>
        <v/>
      </c>
      <c r="AA63" s="8" t="str">
        <f>IF(R63-Q63&gt;0,R63-Q63,"")</f>
        <v/>
      </c>
      <c r="AB63" s="8" t="str">
        <f>IF(S63-R63&gt;0,S63-R63,"")</f>
        <v/>
      </c>
      <c r="AC63" s="8" t="str">
        <f>IF(T63-S63&gt;0,T63-S63,"")</f>
        <v/>
      </c>
      <c r="AD63" s="8">
        <f>IF(W63="","",V63+W63)</f>
        <v>12.170999999999999</v>
      </c>
      <c r="AE63" s="8">
        <f>IF(Y63="","",X63+Y63)</f>
        <v>7.5379999999999967</v>
      </c>
      <c r="AF63" t="str">
        <f>IF(Z63="","",Y63+Z63)</f>
        <v/>
      </c>
      <c r="AG63" t="str">
        <f>IF(AA63="","",Z63+AA63)</f>
        <v/>
      </c>
      <c r="AH63">
        <f>IF(AE63="","",AD63+AE63)</f>
        <v>19.708999999999996</v>
      </c>
      <c r="AI63" t="str">
        <f>IF(AG63="","",AF63+AG63)</f>
        <v/>
      </c>
      <c r="AJ63" t="str">
        <f>IF(AI63="","",AH63+AI63)</f>
        <v/>
      </c>
      <c r="AK63" s="8">
        <f>L63-K63</f>
        <v>3.9999999999999147E-2</v>
      </c>
      <c r="AL63" s="8">
        <f>M63-J63</f>
        <v>7.9399999999999977</v>
      </c>
      <c r="AM63" s="8">
        <f>IF(N63="","",AL63+W63)</f>
        <v>12.311</v>
      </c>
      <c r="AN63" s="8">
        <f>AM63+AE63</f>
        <v>19.848999999999997</v>
      </c>
      <c r="AP63" t="s">
        <v>119</v>
      </c>
    </row>
    <row r="64" spans="1:42" x14ac:dyDescent="0.3">
      <c r="A64" t="s">
        <v>40</v>
      </c>
      <c r="B64" s="6">
        <v>45079</v>
      </c>
      <c r="C64" s="7">
        <v>2</v>
      </c>
      <c r="D64" s="7">
        <v>2</v>
      </c>
      <c r="E64">
        <v>2</v>
      </c>
      <c r="F64" t="s">
        <v>42</v>
      </c>
      <c r="G64">
        <v>250</v>
      </c>
      <c r="H64">
        <v>102</v>
      </c>
      <c r="J64">
        <v>11.865</v>
      </c>
      <c r="K64">
        <v>11.904999999999999</v>
      </c>
      <c r="L64">
        <v>12.085000000000001</v>
      </c>
      <c r="M64">
        <v>19.905999999999999</v>
      </c>
      <c r="N64">
        <v>24.306000000000001</v>
      </c>
      <c r="O64">
        <v>28.225999999999999</v>
      </c>
      <c r="P64">
        <v>32.01</v>
      </c>
      <c r="U64" s="8">
        <f>J64-K64</f>
        <v>-3.9999999999999147E-2</v>
      </c>
      <c r="V64" s="8">
        <f>M64-K64</f>
        <v>8.0009999999999994</v>
      </c>
      <c r="W64" s="8">
        <f>IF(N64-M64&gt;0,N64-M64,"")</f>
        <v>4.4000000000000021</v>
      </c>
      <c r="X64" s="8">
        <f>IF(O64-N64&gt;0,O64-N64,"")</f>
        <v>3.9199999999999982</v>
      </c>
      <c r="Y64" s="8">
        <f>IF(P64-O64&gt;0,P64-O64,"")</f>
        <v>3.7839999999999989</v>
      </c>
      <c r="Z64" s="8" t="str">
        <f>IF(Q64-P64&gt;0,Q64-P64,"")</f>
        <v/>
      </c>
      <c r="AA64" s="8" t="str">
        <f>IF(R64-Q64&gt;0,R64-Q64,"")</f>
        <v/>
      </c>
      <c r="AB64" s="8" t="str">
        <f>IF(S64-R64&gt;0,S64-R64,"")</f>
        <v/>
      </c>
      <c r="AC64" s="8" t="str">
        <f>IF(T64-S64&gt;0,T64-S64,"")</f>
        <v/>
      </c>
      <c r="AD64" s="8">
        <f>IF(W64="","",V64+W64)</f>
        <v>12.401000000000002</v>
      </c>
      <c r="AE64" s="8">
        <f>IF(Y64="","",X64+Y64)</f>
        <v>7.7039999999999971</v>
      </c>
      <c r="AF64" t="str">
        <f>IF(Z64="","",Y64+Z64)</f>
        <v/>
      </c>
      <c r="AG64" t="str">
        <f>IF(AA64="","",Z64+AA64)</f>
        <v/>
      </c>
      <c r="AH64">
        <f>IF(AE64="","",AD64+AE64)</f>
        <v>20.104999999999997</v>
      </c>
      <c r="AI64" t="str">
        <f>IF(AG64="","",AF64+AG64)</f>
        <v/>
      </c>
      <c r="AJ64" t="str">
        <f>IF(AI64="","",AH64+AI64)</f>
        <v/>
      </c>
      <c r="AK64" s="8">
        <f>L64-K64</f>
        <v>0.18000000000000149</v>
      </c>
      <c r="AL64" s="8">
        <f>M64-J64</f>
        <v>8.0409999999999986</v>
      </c>
      <c r="AM64" s="8">
        <f>IF(N64="","",AL64+W64)</f>
        <v>12.441000000000001</v>
      </c>
      <c r="AN64" s="8">
        <f>AM64+AE64</f>
        <v>20.144999999999996</v>
      </c>
      <c r="AP64" s="9" t="s">
        <v>111</v>
      </c>
    </row>
    <row r="65" spans="1:42" x14ac:dyDescent="0.3">
      <c r="A65" t="s">
        <v>38</v>
      </c>
      <c r="B65" s="6">
        <v>45079</v>
      </c>
      <c r="C65" s="7">
        <v>2</v>
      </c>
      <c r="D65" s="7">
        <v>3</v>
      </c>
      <c r="E65">
        <v>2</v>
      </c>
      <c r="F65" t="s">
        <v>42</v>
      </c>
      <c r="G65">
        <v>62.5</v>
      </c>
      <c r="H65">
        <v>102</v>
      </c>
      <c r="J65">
        <v>40.256</v>
      </c>
      <c r="K65">
        <v>40.295999999999999</v>
      </c>
      <c r="L65">
        <v>40.415999999999997</v>
      </c>
      <c r="M65">
        <v>48.136000000000003</v>
      </c>
      <c r="U65" s="8">
        <f>J65-K65</f>
        <v>-3.9999999999999147E-2</v>
      </c>
      <c r="V65" s="8">
        <f>M65-K65</f>
        <v>7.8400000000000034</v>
      </c>
      <c r="W65" s="8" t="str">
        <f>IF(N65-M65&gt;0,N65-M65,"")</f>
        <v/>
      </c>
      <c r="X65" s="8" t="str">
        <f>IF(O65-N65&gt;0,O65-N65,"")</f>
        <v/>
      </c>
      <c r="Y65" s="8" t="str">
        <f>IF(P65-O65&gt;0,P65-O65,"")</f>
        <v/>
      </c>
      <c r="Z65" s="8" t="str">
        <f>IF(Q65-P65&gt;0,Q65-P65,"")</f>
        <v/>
      </c>
      <c r="AA65" s="8" t="str">
        <f>IF(R65-Q65&gt;0,R65-Q65,"")</f>
        <v/>
      </c>
      <c r="AB65" s="8" t="str">
        <f>IF(S65-R65&gt;0,S65-R65,"")</f>
        <v/>
      </c>
      <c r="AC65" s="8" t="str">
        <f>IF(T65-S65&gt;0,T65-S65,"")</f>
        <v/>
      </c>
      <c r="AD65" s="8" t="str">
        <f>IF(W65="","",V65+W65)</f>
        <v/>
      </c>
      <c r="AE65" t="str">
        <f>IF(Y65="","",X65+Y65)</f>
        <v/>
      </c>
      <c r="AF65" t="str">
        <f>IF(Z65="","",Y65+Z65)</f>
        <v/>
      </c>
      <c r="AG65" t="str">
        <f>IF(AA65="","",Z65+AA65)</f>
        <v/>
      </c>
      <c r="AH65" t="str">
        <f>IF(AE65="","",AD65+AE65)</f>
        <v/>
      </c>
      <c r="AI65" t="str">
        <f>IF(AG65="","",AF65+AG65)</f>
        <v/>
      </c>
      <c r="AJ65" t="str">
        <f>IF(AI65="","",AH65+AI65)</f>
        <v/>
      </c>
      <c r="AK65" s="8">
        <f>L65-K65</f>
        <v>0.11999999999999744</v>
      </c>
      <c r="AL65" s="8">
        <f>M65-J65</f>
        <v>7.8800000000000026</v>
      </c>
      <c r="AM65" s="8"/>
      <c r="AP65" t="s">
        <v>104</v>
      </c>
    </row>
    <row r="66" spans="1:42" x14ac:dyDescent="0.3">
      <c r="A66" t="s">
        <v>40</v>
      </c>
      <c r="B66" s="6">
        <v>45079</v>
      </c>
      <c r="C66" s="7">
        <v>2</v>
      </c>
      <c r="D66" s="7">
        <v>3</v>
      </c>
      <c r="E66">
        <v>2</v>
      </c>
      <c r="F66" t="s">
        <v>42</v>
      </c>
      <c r="G66">
        <v>62.5</v>
      </c>
      <c r="H66">
        <v>102</v>
      </c>
      <c r="J66">
        <v>39.155000000000001</v>
      </c>
      <c r="K66">
        <v>39.295000000000002</v>
      </c>
      <c r="L66">
        <v>39.354999999999997</v>
      </c>
      <c r="M66">
        <v>47.215000000000003</v>
      </c>
      <c r="U66" s="8">
        <f>J66-K66</f>
        <v>-0.14000000000000057</v>
      </c>
      <c r="V66" s="8">
        <f>M66-K66</f>
        <v>7.9200000000000017</v>
      </c>
      <c r="W66" s="8" t="str">
        <f>IF(N66-M66&gt;0,N66-M66,"")</f>
        <v/>
      </c>
      <c r="X66" s="8" t="str">
        <f>IF(O66-N66&gt;0,O66-N66,"")</f>
        <v/>
      </c>
      <c r="Y66" s="8" t="str">
        <f>IF(P66-O66&gt;0,P66-O66,"")</f>
        <v/>
      </c>
      <c r="Z66" s="8" t="str">
        <f>IF(Q66-P66&gt;0,Q66-P66,"")</f>
        <v/>
      </c>
      <c r="AA66" s="8" t="str">
        <f>IF(R66-Q66&gt;0,R66-Q66,"")</f>
        <v/>
      </c>
      <c r="AB66" s="8" t="str">
        <f>IF(S66-R66&gt;0,S66-R66,"")</f>
        <v/>
      </c>
      <c r="AC66" s="8" t="str">
        <f>IF(T66-S66&gt;0,T66-S66,"")</f>
        <v/>
      </c>
      <c r="AD66" s="8" t="str">
        <f>IF(W66="","",V66+W66)</f>
        <v/>
      </c>
      <c r="AE66" t="str">
        <f>IF(Y66="","",X66+Y66)</f>
        <v/>
      </c>
      <c r="AF66" t="str">
        <f>IF(Z66="","",Y66+Z66)</f>
        <v/>
      </c>
      <c r="AG66" t="str">
        <f>IF(AA66="","",Z66+AA66)</f>
        <v/>
      </c>
      <c r="AH66" t="str">
        <f>IF(AE66="","",AD66+AE66)</f>
        <v/>
      </c>
      <c r="AI66" t="str">
        <f>IF(AG66="","",AF66+AG66)</f>
        <v/>
      </c>
      <c r="AJ66" t="str">
        <f>IF(AI66="","",AH66+AI66)</f>
        <v/>
      </c>
      <c r="AK66" s="8">
        <f>L66-K66</f>
        <v>5.9999999999995168E-2</v>
      </c>
      <c r="AL66" s="8">
        <f>M66-J66</f>
        <v>8.0600000000000023</v>
      </c>
      <c r="AM66" s="8"/>
      <c r="AP66" t="s">
        <v>112</v>
      </c>
    </row>
    <row r="67" spans="1:42" x14ac:dyDescent="0.3">
      <c r="A67" t="s">
        <v>41</v>
      </c>
      <c r="B67" s="6">
        <v>45079</v>
      </c>
      <c r="C67" s="7">
        <v>2</v>
      </c>
      <c r="D67" s="7">
        <v>3</v>
      </c>
      <c r="E67">
        <v>2</v>
      </c>
      <c r="F67" t="s">
        <v>42</v>
      </c>
      <c r="G67">
        <v>62.5</v>
      </c>
      <c r="H67">
        <v>102</v>
      </c>
      <c r="J67">
        <v>14.779</v>
      </c>
      <c r="K67">
        <v>15.039</v>
      </c>
      <c r="L67">
        <v>15.039</v>
      </c>
      <c r="M67">
        <v>22.96</v>
      </c>
      <c r="U67" s="8">
        <f>J67-K67</f>
        <v>-0.25999999999999979</v>
      </c>
      <c r="V67" s="8">
        <f>M67-K67</f>
        <v>7.9210000000000012</v>
      </c>
      <c r="W67" s="8" t="str">
        <f>IF(N67-M67&gt;0,N67-M67,"")</f>
        <v/>
      </c>
      <c r="X67" s="8" t="str">
        <f>IF(O67-N67&gt;0,O67-N67,"")</f>
        <v/>
      </c>
      <c r="Y67" s="8" t="str">
        <f>IF(P67-O67&gt;0,P67-O67,"")</f>
        <v/>
      </c>
      <c r="Z67" s="8" t="str">
        <f>IF(Q67-P67&gt;0,Q67-P67,"")</f>
        <v/>
      </c>
      <c r="AA67" s="8" t="str">
        <f>IF(R67-Q67&gt;0,R67-Q67,"")</f>
        <v/>
      </c>
      <c r="AB67" s="8" t="str">
        <f>IF(S67-R67&gt;0,S67-R67,"")</f>
        <v/>
      </c>
      <c r="AC67" s="8" t="str">
        <f>IF(T67-S67&gt;0,T67-S67,"")</f>
        <v/>
      </c>
      <c r="AD67" s="8" t="str">
        <f>IF(W67="","",V67+W67)</f>
        <v/>
      </c>
      <c r="AE67" t="str">
        <f>IF(Y67="","",X67+Y67)</f>
        <v/>
      </c>
      <c r="AF67" t="str">
        <f>IF(Z67="","",Y67+Z67)</f>
        <v/>
      </c>
      <c r="AG67" t="str">
        <f>IF(AA67="","",Z67+AA67)</f>
        <v/>
      </c>
      <c r="AH67" t="str">
        <f>IF(AE67="","",AD67+AE67)</f>
        <v/>
      </c>
      <c r="AI67" t="str">
        <f>IF(AG67="","",AF67+AG67)</f>
        <v/>
      </c>
      <c r="AJ67" t="str">
        <f>IF(AI67="","",AH67+AI67)</f>
        <v/>
      </c>
      <c r="AK67" s="8">
        <f>L67-K67</f>
        <v>0</v>
      </c>
      <c r="AL67" s="8">
        <f>M67-J67</f>
        <v>8.1810000000000009</v>
      </c>
      <c r="AM67" s="8"/>
      <c r="AP67" t="s">
        <v>120</v>
      </c>
    </row>
    <row r="68" spans="1:42" x14ac:dyDescent="0.3">
      <c r="A68" t="s">
        <v>38</v>
      </c>
      <c r="B68" s="6">
        <v>45079</v>
      </c>
      <c r="C68" s="7">
        <v>2</v>
      </c>
      <c r="D68" s="7">
        <v>4</v>
      </c>
      <c r="E68">
        <v>2</v>
      </c>
      <c r="F68" t="s">
        <v>42</v>
      </c>
      <c r="G68">
        <v>62.5</v>
      </c>
      <c r="H68">
        <v>102</v>
      </c>
      <c r="J68">
        <v>31.783000000000001</v>
      </c>
      <c r="K68">
        <v>31.963000000000001</v>
      </c>
      <c r="L68">
        <v>31.943000000000001</v>
      </c>
      <c r="M68">
        <v>39.722999999999999</v>
      </c>
      <c r="U68" s="8">
        <f>J68-K68</f>
        <v>-0.17999999999999972</v>
      </c>
      <c r="V68" s="8">
        <f>M68-K68</f>
        <v>7.759999999999998</v>
      </c>
      <c r="W68" s="8" t="str">
        <f>IF(N68-M68&gt;0,N68-M68,"")</f>
        <v/>
      </c>
      <c r="X68" s="8" t="str">
        <f>IF(O68-N68&gt;0,O68-N68,"")</f>
        <v/>
      </c>
      <c r="Y68" s="8" t="str">
        <f>IF(P68-O68&gt;0,P68-O68,"")</f>
        <v/>
      </c>
      <c r="Z68" s="8" t="str">
        <f>IF(Q68-P68&gt;0,Q68-P68,"")</f>
        <v/>
      </c>
      <c r="AA68" s="8" t="str">
        <f>IF(R68-Q68&gt;0,R68-Q68,"")</f>
        <v/>
      </c>
      <c r="AB68" s="8" t="str">
        <f>IF(S68-R68&gt;0,S68-R68,"")</f>
        <v/>
      </c>
      <c r="AC68" s="8" t="str">
        <f>IF(T68-S68&gt;0,T68-S68,"")</f>
        <v/>
      </c>
      <c r="AD68" s="8" t="str">
        <f>IF(W68="","",V68+W68)</f>
        <v/>
      </c>
      <c r="AE68" t="str">
        <f>IF(Y68="","",X68+Y68)</f>
        <v/>
      </c>
      <c r="AF68" t="str">
        <f>IF(Z68="","",Y68+Z68)</f>
        <v/>
      </c>
      <c r="AG68" t="str">
        <f>IF(AA68="","",Z68+AA68)</f>
        <v/>
      </c>
      <c r="AH68" t="str">
        <f>IF(AE68="","",AD68+AE68)</f>
        <v/>
      </c>
      <c r="AI68" t="str">
        <f>IF(AG68="","",AF68+AG68)</f>
        <v/>
      </c>
      <c r="AJ68" t="str">
        <f>IF(AI68="","",AH68+AI68)</f>
        <v/>
      </c>
      <c r="AK68" s="8">
        <f>L68-K68</f>
        <v>-1.9999999999999574E-2</v>
      </c>
      <c r="AL68" s="8">
        <f>M68-J68</f>
        <v>7.9399999999999977</v>
      </c>
      <c r="AM68" s="8"/>
      <c r="AP68" t="s">
        <v>105</v>
      </c>
    </row>
    <row r="69" spans="1:42" x14ac:dyDescent="0.3">
      <c r="A69" t="s">
        <v>40</v>
      </c>
      <c r="B69" s="6">
        <v>45079</v>
      </c>
      <c r="C69" s="7">
        <v>2</v>
      </c>
      <c r="D69" s="7">
        <v>4</v>
      </c>
      <c r="E69">
        <v>2</v>
      </c>
      <c r="F69" t="s">
        <v>42</v>
      </c>
      <c r="G69">
        <v>62.5</v>
      </c>
      <c r="H69">
        <v>102</v>
      </c>
      <c r="J69">
        <v>12.101000000000001</v>
      </c>
      <c r="K69">
        <v>12.101000000000001</v>
      </c>
      <c r="L69">
        <v>12.36</v>
      </c>
      <c r="M69">
        <v>20.100999999999999</v>
      </c>
      <c r="U69" s="8">
        <f>J69-K69</f>
        <v>0</v>
      </c>
      <c r="V69" s="8">
        <f>M69-K69</f>
        <v>7.9999999999999982</v>
      </c>
      <c r="W69" s="8" t="str">
        <f>IF(N69-M69&gt;0,N69-M69,"")</f>
        <v/>
      </c>
      <c r="X69" s="8" t="str">
        <f>IF(O69-N69&gt;0,O69-N69,"")</f>
        <v/>
      </c>
      <c r="Y69" s="8" t="str">
        <f>IF(P69-O69&gt;0,P69-O69,"")</f>
        <v/>
      </c>
      <c r="Z69" s="8" t="str">
        <f>IF(Q69-P69&gt;0,Q69-P69,"")</f>
        <v/>
      </c>
      <c r="AA69" s="8" t="str">
        <f>IF(R69-Q69&gt;0,R69-Q69,"")</f>
        <v/>
      </c>
      <c r="AB69" s="8" t="str">
        <f>IF(S69-R69&gt;0,S69-R69,"")</f>
        <v/>
      </c>
      <c r="AC69" s="8" t="str">
        <f>IF(T69-S69&gt;0,T69-S69,"")</f>
        <v/>
      </c>
      <c r="AD69" s="8" t="str">
        <f>IF(W69="","",V69+W69)</f>
        <v/>
      </c>
      <c r="AE69" t="str">
        <f>IF(Y69="","",X69+Y69)</f>
        <v/>
      </c>
      <c r="AF69" t="str">
        <f>IF(Z69="","",Y69+Z69)</f>
        <v/>
      </c>
      <c r="AG69" t="str">
        <f>IF(AA69="","",Z69+AA69)</f>
        <v/>
      </c>
      <c r="AH69" t="str">
        <f>IF(AE69="","",AD69+AE69)</f>
        <v/>
      </c>
      <c r="AI69" t="str">
        <f>IF(AG69="","",AF69+AG69)</f>
        <v/>
      </c>
      <c r="AJ69" t="str">
        <f>IF(AI69="","",AH69+AI69)</f>
        <v/>
      </c>
      <c r="AK69" s="8">
        <f>L69-K69</f>
        <v>0.25899999999999856</v>
      </c>
      <c r="AL69" s="8">
        <f>M69-J69</f>
        <v>7.9999999999999982</v>
      </c>
      <c r="AM69" s="8"/>
      <c r="AP69" t="s">
        <v>122</v>
      </c>
    </row>
    <row r="70" spans="1:42" x14ac:dyDescent="0.3">
      <c r="A70" t="s">
        <v>41</v>
      </c>
      <c r="B70" s="6">
        <v>45079</v>
      </c>
      <c r="C70" s="7">
        <v>2</v>
      </c>
      <c r="D70" s="7">
        <v>4</v>
      </c>
      <c r="E70">
        <v>2</v>
      </c>
      <c r="F70" t="s">
        <v>42</v>
      </c>
      <c r="G70">
        <v>62.5</v>
      </c>
      <c r="H70">
        <v>102</v>
      </c>
      <c r="J70">
        <v>29.704000000000001</v>
      </c>
      <c r="K70">
        <v>29.844999999999999</v>
      </c>
      <c r="L70">
        <v>29.805</v>
      </c>
      <c r="M70">
        <v>37.884999999999998</v>
      </c>
      <c r="U70" s="8">
        <f>J70-K70</f>
        <v>-0.14099999999999824</v>
      </c>
      <c r="V70" s="8">
        <f>M70-K70</f>
        <v>8.0399999999999991</v>
      </c>
      <c r="W70" s="8" t="str">
        <f>IF(N70-M70&gt;0,N70-M70,"")</f>
        <v/>
      </c>
      <c r="X70" s="8" t="str">
        <f>IF(O70-N70&gt;0,O70-N70,"")</f>
        <v/>
      </c>
      <c r="Y70" s="8" t="str">
        <f>IF(P70-O70&gt;0,P70-O70,"")</f>
        <v/>
      </c>
      <c r="Z70" s="8" t="str">
        <f>IF(Q70-P70&gt;0,Q70-P70,"")</f>
        <v/>
      </c>
      <c r="AA70" s="8" t="str">
        <f>IF(R70-Q70&gt;0,R70-Q70,"")</f>
        <v/>
      </c>
      <c r="AB70" s="8" t="str">
        <f>IF(S70-R70&gt;0,S70-R70,"")</f>
        <v/>
      </c>
      <c r="AC70" s="8" t="str">
        <f>IF(T70-S70&gt;0,T70-S70,"")</f>
        <v/>
      </c>
      <c r="AD70" s="8" t="str">
        <f>IF(W70="","",V70+W70)</f>
        <v/>
      </c>
      <c r="AE70" t="str">
        <f>IF(Y70="","",X70+Y70)</f>
        <v/>
      </c>
      <c r="AF70" t="str">
        <f>IF(Z70="","",Y70+Z70)</f>
        <v/>
      </c>
      <c r="AG70" t="str">
        <f>IF(AA70="","",Z70+AA70)</f>
        <v/>
      </c>
      <c r="AH70" t="str">
        <f>IF(AE70="","",AD70+AE70)</f>
        <v/>
      </c>
      <c r="AI70" t="str">
        <f>IF(AG70="","",AF70+AG70)</f>
        <v/>
      </c>
      <c r="AJ70" t="str">
        <f>IF(AI70="","",AH70+AI70)</f>
        <v/>
      </c>
      <c r="AK70" s="8">
        <f>L70-K70</f>
        <v>-3.9999999999999147E-2</v>
      </c>
      <c r="AL70" s="8">
        <f>M70-J70</f>
        <v>8.1809999999999974</v>
      </c>
      <c r="AM70" s="8"/>
      <c r="AP70" t="s">
        <v>121</v>
      </c>
    </row>
    <row r="71" spans="1:42" x14ac:dyDescent="0.3">
      <c r="A71" t="s">
        <v>38</v>
      </c>
      <c r="B71" s="6">
        <v>45084</v>
      </c>
      <c r="C71" s="7">
        <v>1</v>
      </c>
      <c r="D71" s="7">
        <v>1</v>
      </c>
      <c r="E71">
        <v>2</v>
      </c>
      <c r="F71" t="s">
        <v>45</v>
      </c>
      <c r="G71">
        <v>62.5</v>
      </c>
      <c r="H71">
        <v>102</v>
      </c>
      <c r="I71">
        <v>14.271000000000001</v>
      </c>
      <c r="J71">
        <v>14.510999999999999</v>
      </c>
      <c r="K71">
        <v>14.670999999999999</v>
      </c>
      <c r="L71">
        <v>14.711</v>
      </c>
      <c r="M71">
        <v>22.411999999999999</v>
      </c>
      <c r="U71" s="8">
        <f>J71-K71</f>
        <v>-0.16000000000000014</v>
      </c>
      <c r="V71" s="8">
        <f>M71-K71</f>
        <v>7.7409999999999997</v>
      </c>
      <c r="W71" s="8" t="str">
        <f>IF(N71-M71&gt;0,N71-M71,"")</f>
        <v/>
      </c>
      <c r="X71" s="8" t="str">
        <f>IF(O71-N71&gt;0,O71-N71,"")</f>
        <v/>
      </c>
      <c r="Y71" s="8" t="str">
        <f>IF(P71-O71&gt;0,P71-O71,"")</f>
        <v/>
      </c>
      <c r="Z71" s="8" t="str">
        <f>IF(Q71-P71&gt;0,Q71-P71,"")</f>
        <v/>
      </c>
      <c r="AA71" s="8" t="str">
        <f>IF(R71-Q71&gt;0,R71-Q71,"")</f>
        <v/>
      </c>
      <c r="AB71" s="8" t="str">
        <f>IF(S71-R71&gt;0,S71-R71,"")</f>
        <v/>
      </c>
      <c r="AC71" s="8" t="str">
        <f>IF(T71-S71&gt;0,T71-S71,"")</f>
        <v/>
      </c>
      <c r="AD71" s="8" t="str">
        <f>IF(W71="","",V71+W71)</f>
        <v/>
      </c>
      <c r="AE71" t="str">
        <f>IF(Y71="","",X71+Y71)</f>
        <v/>
      </c>
      <c r="AF71" t="str">
        <f>IF(Z71="","",Y71+Z71)</f>
        <v/>
      </c>
      <c r="AG71" t="str">
        <f>IF(AA71="","",Z71+AA71)</f>
        <v/>
      </c>
      <c r="AH71" t="str">
        <f>IF(AE71="","",AD71+AE71)</f>
        <v/>
      </c>
      <c r="AI71" t="str">
        <f>IF(AG71="","",AF71+AG71)</f>
        <v/>
      </c>
      <c r="AJ71" t="str">
        <f>IF(AI71="","",AH71+AI71)</f>
        <v/>
      </c>
      <c r="AK71" s="8">
        <f>L71-K71</f>
        <v>4.0000000000000924E-2</v>
      </c>
      <c r="AL71" s="8">
        <f>M71-J71</f>
        <v>7.9009999999999998</v>
      </c>
      <c r="AM71" s="8"/>
      <c r="AP71" t="s">
        <v>97</v>
      </c>
    </row>
    <row r="72" spans="1:42" x14ac:dyDescent="0.3">
      <c r="A72" t="s">
        <v>40</v>
      </c>
      <c r="B72" s="6">
        <v>45084</v>
      </c>
      <c r="C72" s="7">
        <v>1</v>
      </c>
      <c r="D72" s="7">
        <v>1</v>
      </c>
      <c r="E72">
        <v>3</v>
      </c>
      <c r="F72" t="s">
        <v>45</v>
      </c>
      <c r="G72">
        <v>62.5</v>
      </c>
      <c r="H72">
        <v>102</v>
      </c>
      <c r="I72">
        <v>14.45</v>
      </c>
      <c r="J72">
        <v>14.571</v>
      </c>
      <c r="K72">
        <v>14.670999999999999</v>
      </c>
      <c r="L72">
        <v>14.791</v>
      </c>
      <c r="M72">
        <v>22.550999999999998</v>
      </c>
      <c r="U72" s="8">
        <f>J72-K72</f>
        <v>-9.9999999999999645E-2</v>
      </c>
      <c r="V72" s="8">
        <f>M72-K72</f>
        <v>7.879999999999999</v>
      </c>
      <c r="W72" s="8" t="str">
        <f>IF(N72-M72&gt;0,N72-M72,"")</f>
        <v/>
      </c>
      <c r="X72" s="8" t="str">
        <f>IF(O72-N72&gt;0,O72-N72,"")</f>
        <v/>
      </c>
      <c r="Y72" s="8" t="str">
        <f>IF(P72-O72&gt;0,P72-O72,"")</f>
        <v/>
      </c>
      <c r="Z72" s="8" t="str">
        <f>IF(Q72-P72&gt;0,Q72-P72,"")</f>
        <v/>
      </c>
      <c r="AA72" s="8" t="str">
        <f>IF(R72-Q72&gt;0,R72-Q72,"")</f>
        <v/>
      </c>
      <c r="AB72" s="8" t="str">
        <f>IF(S72-R72&gt;0,S72-R72,"")</f>
        <v/>
      </c>
      <c r="AC72" s="8" t="str">
        <f>IF(T72-S72&gt;0,T72-S72,"")</f>
        <v/>
      </c>
      <c r="AD72" s="8" t="str">
        <f>IF(W72="","",V72+W72)</f>
        <v/>
      </c>
      <c r="AE72" t="str">
        <f>IF(Y72="","",X72+Y72)</f>
        <v/>
      </c>
      <c r="AF72" t="str">
        <f>IF(Z72="","",Y72+Z72)</f>
        <v/>
      </c>
      <c r="AG72" t="str">
        <f>IF(AA72="","",Z72+AA72)</f>
        <v/>
      </c>
      <c r="AH72" t="str">
        <f>IF(AE72="","",AD72+AE72)</f>
        <v/>
      </c>
      <c r="AI72" t="str">
        <f>IF(AG72="","",AF72+AG72)</f>
        <v/>
      </c>
      <c r="AJ72" t="str">
        <f>IF(AI72="","",AH72+AI72)</f>
        <v/>
      </c>
      <c r="AK72" s="8">
        <f>L72-K72</f>
        <v>0.12000000000000099</v>
      </c>
      <c r="AL72" s="8">
        <f>M72-J72</f>
        <v>7.9799999999999986</v>
      </c>
      <c r="AM72" s="8" t="str">
        <f>IF(N72="","",AL72+W72)</f>
        <v/>
      </c>
      <c r="AP72" t="s">
        <v>97</v>
      </c>
    </row>
    <row r="73" spans="1:42" x14ac:dyDescent="0.3">
      <c r="A73" t="s">
        <v>41</v>
      </c>
      <c r="B73" s="6">
        <v>45084</v>
      </c>
      <c r="C73" s="7">
        <v>1</v>
      </c>
      <c r="D73" s="7">
        <v>1</v>
      </c>
      <c r="E73">
        <v>2</v>
      </c>
      <c r="F73" t="s">
        <v>46</v>
      </c>
      <c r="G73">
        <v>62.5</v>
      </c>
      <c r="H73">
        <v>102</v>
      </c>
      <c r="I73">
        <v>18.809999999999999</v>
      </c>
      <c r="J73">
        <v>19.03</v>
      </c>
      <c r="K73">
        <v>19.29</v>
      </c>
      <c r="L73">
        <v>19.21</v>
      </c>
      <c r="M73">
        <v>26.94</v>
      </c>
      <c r="U73" s="8">
        <f>J73-K73</f>
        <v>-0.25999999999999801</v>
      </c>
      <c r="V73" s="8">
        <f>M73-K73</f>
        <v>7.6500000000000021</v>
      </c>
      <c r="W73" s="8" t="str">
        <f>IF(N73-M73&gt;0,N73-M73,"")</f>
        <v/>
      </c>
      <c r="X73" s="8" t="str">
        <f>IF(O73-N73&gt;0,O73-N73,"")</f>
        <v/>
      </c>
      <c r="Y73" s="8" t="str">
        <f>IF(P73-O73&gt;0,P73-O73,"")</f>
        <v/>
      </c>
      <c r="Z73" s="8" t="str">
        <f>IF(Q73-P73&gt;0,Q73-P73,"")</f>
        <v/>
      </c>
      <c r="AA73" s="8" t="str">
        <f>IF(R73-Q73&gt;0,R73-Q73,"")</f>
        <v/>
      </c>
      <c r="AB73" s="8" t="str">
        <f>IF(S73-R73&gt;0,S73-R73,"")</f>
        <v/>
      </c>
      <c r="AC73" s="8" t="str">
        <f>IF(T73-S73&gt;0,T73-S73,"")</f>
        <v/>
      </c>
      <c r="AD73" s="8" t="str">
        <f>IF(W73="","",V73+W73)</f>
        <v/>
      </c>
      <c r="AE73" t="str">
        <f>IF(Y73="","",X73+Y73)</f>
        <v/>
      </c>
      <c r="AF73" t="str">
        <f>IF(Z73="","",Y73+Z73)</f>
        <v/>
      </c>
      <c r="AG73" t="str">
        <f>IF(AA73="","",Z73+AA73)</f>
        <v/>
      </c>
      <c r="AH73" t="str">
        <f>IF(AE73="","",AD73+AE73)</f>
        <v/>
      </c>
      <c r="AI73" t="str">
        <f>IF(AG73="","",AF73+AG73)</f>
        <v/>
      </c>
      <c r="AJ73" t="str">
        <f>IF(AI73="","",AH73+AI73)</f>
        <v/>
      </c>
      <c r="AK73" s="8">
        <f>L73-K73</f>
        <v>-7.9999999999998295E-2</v>
      </c>
      <c r="AL73" s="8">
        <f>M73-J73</f>
        <v>7.91</v>
      </c>
      <c r="AM73" s="8"/>
      <c r="AP73" t="s">
        <v>95</v>
      </c>
    </row>
    <row r="74" spans="1:42" x14ac:dyDescent="0.3">
      <c r="A74" t="s">
        <v>38</v>
      </c>
      <c r="B74" s="6">
        <v>45084</v>
      </c>
      <c r="C74" s="7">
        <v>1</v>
      </c>
      <c r="D74" s="7">
        <v>2</v>
      </c>
      <c r="E74">
        <v>2</v>
      </c>
      <c r="F74" t="s">
        <v>47</v>
      </c>
      <c r="G74">
        <v>62.5</v>
      </c>
      <c r="H74">
        <v>102</v>
      </c>
      <c r="I74">
        <v>2.5070000000000001</v>
      </c>
      <c r="J74">
        <v>2.6869999999999998</v>
      </c>
      <c r="K74">
        <v>2.8279999999999998</v>
      </c>
      <c r="L74">
        <v>2.887</v>
      </c>
      <c r="M74">
        <v>10.606999999999999</v>
      </c>
      <c r="U74" s="8">
        <f>J74-K74</f>
        <v>-0.14100000000000001</v>
      </c>
      <c r="V74" s="8">
        <f>M74-K74</f>
        <v>7.7789999999999999</v>
      </c>
      <c r="W74" s="8" t="str">
        <f>IF(N74-M74&gt;0,N74-M74,"")</f>
        <v/>
      </c>
      <c r="X74" s="8" t="str">
        <f>IF(O74-N74&gt;0,O74-N74,"")</f>
        <v/>
      </c>
      <c r="Y74" s="8" t="str">
        <f>IF(P74-O74&gt;0,P74-O74,"")</f>
        <v/>
      </c>
      <c r="Z74" s="8" t="str">
        <f>IF(Q74-P74&gt;0,Q74-P74,"")</f>
        <v/>
      </c>
      <c r="AA74" s="8" t="str">
        <f>IF(R74-Q74&gt;0,R74-Q74,"")</f>
        <v/>
      </c>
      <c r="AB74" s="8" t="str">
        <f>IF(S74-R74&gt;0,S74-R74,"")</f>
        <v/>
      </c>
      <c r="AC74" s="8" t="str">
        <f>IF(T74-S74&gt;0,T74-S74,"")</f>
        <v/>
      </c>
      <c r="AD74" s="8" t="str">
        <f>IF(W74="","",V74+W74)</f>
        <v/>
      </c>
      <c r="AE74" t="str">
        <f>IF(Y74="","",X74+Y74)</f>
        <v/>
      </c>
      <c r="AF74" t="str">
        <f>IF(Z74="","",Y74+Z74)</f>
        <v/>
      </c>
      <c r="AG74" t="str">
        <f>IF(AA74="","",Z74+AA74)</f>
        <v/>
      </c>
      <c r="AH74" t="str">
        <f>IF(AE74="","",AD74+AE74)</f>
        <v/>
      </c>
      <c r="AI74" t="str">
        <f>IF(AG74="","",AF74+AG74)</f>
        <v/>
      </c>
      <c r="AJ74" t="str">
        <f>IF(AI74="","",AH74+AI74)</f>
        <v/>
      </c>
      <c r="AK74" s="8">
        <f>L74-K74</f>
        <v>5.9000000000000163E-2</v>
      </c>
      <c r="AL74" s="8">
        <f>M74-J74</f>
        <v>7.92</v>
      </c>
      <c r="AM74" s="8"/>
      <c r="AP74" s="9" t="s">
        <v>94</v>
      </c>
    </row>
    <row r="75" spans="1:42" x14ac:dyDescent="0.3">
      <c r="A75" t="s">
        <v>40</v>
      </c>
      <c r="B75" s="6">
        <v>45084</v>
      </c>
      <c r="C75" s="7">
        <v>1</v>
      </c>
      <c r="D75" s="7">
        <v>2</v>
      </c>
      <c r="E75">
        <v>2</v>
      </c>
      <c r="F75" t="s">
        <v>48</v>
      </c>
      <c r="G75">
        <v>62.5</v>
      </c>
      <c r="H75">
        <v>102</v>
      </c>
      <c r="I75">
        <v>17.706</v>
      </c>
      <c r="J75">
        <v>18.206</v>
      </c>
      <c r="K75">
        <v>18.346</v>
      </c>
      <c r="L75">
        <v>18.425999999999998</v>
      </c>
      <c r="M75">
        <v>26.106000000000002</v>
      </c>
      <c r="U75" s="8">
        <f>J75-K75</f>
        <v>-0.14000000000000057</v>
      </c>
      <c r="V75" s="8">
        <f>M75-K75</f>
        <v>7.7600000000000016</v>
      </c>
      <c r="W75" s="8" t="str">
        <f>IF(N75-M75&gt;0,N75-M75,"")</f>
        <v/>
      </c>
      <c r="X75" s="8" t="str">
        <f>IF(O75-N75&gt;0,O75-N75,"")</f>
        <v/>
      </c>
      <c r="Y75" s="8" t="str">
        <f>IF(P75-O75&gt;0,P75-O75,"")</f>
        <v/>
      </c>
      <c r="Z75" s="8" t="str">
        <f>IF(Q75-P75&gt;0,Q75-P75,"")</f>
        <v/>
      </c>
      <c r="AA75" s="8" t="str">
        <f>IF(R75-Q75&gt;0,R75-Q75,"")</f>
        <v/>
      </c>
      <c r="AB75" s="8" t="str">
        <f>IF(S75-R75&gt;0,S75-R75,"")</f>
        <v/>
      </c>
      <c r="AC75" s="8" t="str">
        <f>IF(T75-S75&gt;0,T75-S75,"")</f>
        <v/>
      </c>
      <c r="AD75" s="8" t="str">
        <f>IF(W75="","",V75+W75)</f>
        <v/>
      </c>
      <c r="AE75" t="str">
        <f>IF(Y75="","",X75+Y75)</f>
        <v/>
      </c>
      <c r="AF75" t="str">
        <f>IF(Z75="","",Y75+Z75)</f>
        <v/>
      </c>
      <c r="AG75" t="str">
        <f>IF(AA75="","",Z75+AA75)</f>
        <v/>
      </c>
      <c r="AH75" t="str">
        <f>IF(AE75="","",AD75+AE75)</f>
        <v/>
      </c>
      <c r="AI75" t="str">
        <f>IF(AG75="","",AF75+AG75)</f>
        <v/>
      </c>
      <c r="AJ75" t="str">
        <f>IF(AI75="","",AH75+AI75)</f>
        <v/>
      </c>
      <c r="AK75" s="8">
        <f>L75-K75</f>
        <v>7.9999999999998295E-2</v>
      </c>
      <c r="AL75" s="8">
        <f>M75-J75</f>
        <v>7.9000000000000021</v>
      </c>
      <c r="AM75" s="8"/>
      <c r="AP75" t="s">
        <v>98</v>
      </c>
    </row>
    <row r="76" spans="1:42" x14ac:dyDescent="0.3">
      <c r="A76" t="s">
        <v>41</v>
      </c>
      <c r="B76" s="6">
        <v>45084</v>
      </c>
      <c r="C76" s="7">
        <v>1</v>
      </c>
      <c r="D76" s="7">
        <v>2</v>
      </c>
      <c r="E76">
        <v>3</v>
      </c>
      <c r="F76" t="s">
        <v>48</v>
      </c>
      <c r="G76">
        <v>62.5</v>
      </c>
      <c r="H76">
        <v>102</v>
      </c>
      <c r="I76">
        <v>17.946999999999999</v>
      </c>
      <c r="J76">
        <v>18.106000000000002</v>
      </c>
      <c r="K76">
        <v>18.346</v>
      </c>
      <c r="L76">
        <v>18.306000000000001</v>
      </c>
      <c r="M76">
        <v>26.216000000000001</v>
      </c>
      <c r="U76" s="8">
        <f>J76-K76</f>
        <v>-0.23999999999999844</v>
      </c>
      <c r="V76" s="8">
        <f>M76-K76</f>
        <v>7.870000000000001</v>
      </c>
      <c r="W76" s="8" t="str">
        <f>IF(N76-M76&gt;0,N76-M76,"")</f>
        <v/>
      </c>
      <c r="X76" s="8" t="str">
        <f>IF(O76-N76&gt;0,O76-N76,"")</f>
        <v/>
      </c>
      <c r="Y76" s="8" t="str">
        <f>IF(P76-O76&gt;0,P76-O76,"")</f>
        <v/>
      </c>
      <c r="Z76" s="8" t="str">
        <f>IF(Q76-P76&gt;0,Q76-P76,"")</f>
        <v/>
      </c>
      <c r="AA76" s="8" t="str">
        <f>IF(R76-Q76&gt;0,R76-Q76,"")</f>
        <v/>
      </c>
      <c r="AB76" s="8" t="str">
        <f>IF(S76-R76&gt;0,S76-R76,"")</f>
        <v/>
      </c>
      <c r="AC76" s="8" t="str">
        <f>IF(T76-S76&gt;0,T76-S76,"")</f>
        <v/>
      </c>
      <c r="AD76" s="8" t="str">
        <f>IF(W76="","",V76+W76)</f>
        <v/>
      </c>
      <c r="AE76" t="str">
        <f>IF(Y76="","",X76+Y76)</f>
        <v/>
      </c>
      <c r="AF76" t="str">
        <f>IF(Z76="","",Y76+Z76)</f>
        <v/>
      </c>
      <c r="AG76" t="str">
        <f>IF(AA76="","",Z76+AA76)</f>
        <v/>
      </c>
      <c r="AH76" t="str">
        <f>IF(AE76="","",AD76+AE76)</f>
        <v/>
      </c>
      <c r="AI76" t="str">
        <f>IF(AG76="","",AF76+AG76)</f>
        <v/>
      </c>
      <c r="AJ76" t="str">
        <f>IF(AI76="","",AH76+AI76)</f>
        <v/>
      </c>
      <c r="AK76" s="8">
        <f>L76-K76</f>
        <v>-3.9999999999999147E-2</v>
      </c>
      <c r="AL76" s="8">
        <f>M76-J76</f>
        <v>8.11</v>
      </c>
      <c r="AM76" s="8" t="str">
        <f>IF(N76="","",AL76+W76)</f>
        <v/>
      </c>
      <c r="AP76" t="s">
        <v>98</v>
      </c>
    </row>
    <row r="77" spans="1:42" x14ac:dyDescent="0.3">
      <c r="A77" t="s">
        <v>38</v>
      </c>
      <c r="B77" s="6">
        <v>45084</v>
      </c>
      <c r="C77" s="7">
        <v>1</v>
      </c>
      <c r="D77" s="7">
        <v>3</v>
      </c>
      <c r="E77">
        <v>3</v>
      </c>
      <c r="F77" t="s">
        <v>45</v>
      </c>
      <c r="G77">
        <v>125</v>
      </c>
      <c r="H77">
        <v>102</v>
      </c>
      <c r="I77">
        <v>44.363</v>
      </c>
      <c r="J77">
        <v>44.601999999999997</v>
      </c>
      <c r="K77">
        <v>44.781999999999996</v>
      </c>
      <c r="L77">
        <v>44.841999999999999</v>
      </c>
      <c r="M77">
        <v>52.37</v>
      </c>
      <c r="N77">
        <v>56.881999999999998</v>
      </c>
      <c r="U77" s="8">
        <f>J77-K77</f>
        <v>-0.17999999999999972</v>
      </c>
      <c r="V77" s="8">
        <f>M77-K77</f>
        <v>7.588000000000001</v>
      </c>
      <c r="W77" s="8">
        <f>IF(N77-M77&gt;0,N77-M77,"")</f>
        <v>4.5120000000000005</v>
      </c>
      <c r="X77" s="8" t="str">
        <f>IF(O77-N77&gt;0,O77-N77,"")</f>
        <v/>
      </c>
      <c r="Y77" s="8" t="str">
        <f>IF(P77-O77&gt;0,P77-O77,"")</f>
        <v/>
      </c>
      <c r="Z77" s="8" t="str">
        <f>IF(Q77-P77&gt;0,Q77-P77,"")</f>
        <v/>
      </c>
      <c r="AA77" s="8" t="str">
        <f>IF(R77-Q77&gt;0,R77-Q77,"")</f>
        <v/>
      </c>
      <c r="AB77" s="8" t="str">
        <f>IF(S77-R77&gt;0,S77-R77,"")</f>
        <v/>
      </c>
      <c r="AC77" s="8" t="str">
        <f>IF(T77-S77&gt;0,T77-S77,"")</f>
        <v/>
      </c>
      <c r="AD77" s="8">
        <f>IF(W77="","",V77+W77)</f>
        <v>12.100000000000001</v>
      </c>
      <c r="AE77" t="str">
        <f>IF(Y77="","",X77+Y77)</f>
        <v/>
      </c>
      <c r="AF77" t="str">
        <f>IF(Z77="","",Y77+Z77)</f>
        <v/>
      </c>
      <c r="AG77" t="str">
        <f>IF(AA77="","",Z77+AA77)</f>
        <v/>
      </c>
      <c r="AH77" t="str">
        <f>IF(AE77="","",AD77+AE77)</f>
        <v/>
      </c>
      <c r="AI77" t="str">
        <f>IF(AG77="","",AF77+AG77)</f>
        <v/>
      </c>
      <c r="AJ77" t="str">
        <f>IF(AI77="","",AH77+AI77)</f>
        <v/>
      </c>
      <c r="AK77" s="8">
        <f>L77-K77</f>
        <v>6.0000000000002274E-2</v>
      </c>
      <c r="AL77" s="8">
        <f>M77-J77</f>
        <v>7.7680000000000007</v>
      </c>
      <c r="AM77" s="8">
        <f>IF(N77="","",AL77+W77)</f>
        <v>12.280000000000001</v>
      </c>
      <c r="AN77" s="8"/>
      <c r="AP77" t="s">
        <v>99</v>
      </c>
    </row>
    <row r="78" spans="1:42" x14ac:dyDescent="0.3">
      <c r="A78" t="s">
        <v>40</v>
      </c>
      <c r="B78" s="6">
        <v>45084</v>
      </c>
      <c r="C78" s="7">
        <v>1</v>
      </c>
      <c r="D78" s="7">
        <v>3</v>
      </c>
      <c r="E78">
        <v>3</v>
      </c>
      <c r="F78" t="s">
        <v>45</v>
      </c>
      <c r="G78">
        <v>125</v>
      </c>
      <c r="H78">
        <v>102</v>
      </c>
      <c r="I78">
        <v>44.262999999999998</v>
      </c>
      <c r="J78">
        <v>44.643000000000001</v>
      </c>
      <c r="K78">
        <v>44.781999999999996</v>
      </c>
      <c r="L78">
        <v>44.781999999999996</v>
      </c>
      <c r="M78">
        <v>52.582999999999998</v>
      </c>
      <c r="N78">
        <v>57.042000000000002</v>
      </c>
      <c r="U78" s="8">
        <f>J78-K78</f>
        <v>-0.13899999999999579</v>
      </c>
      <c r="V78" s="8">
        <f>M78-K78</f>
        <v>7.8010000000000019</v>
      </c>
      <c r="W78" s="8">
        <f>IF(N78-M78&gt;0,N78-M78,"")</f>
        <v>4.4590000000000032</v>
      </c>
      <c r="X78" s="8" t="str">
        <f>IF(O78-N78&gt;0,O78-N78,"")</f>
        <v/>
      </c>
      <c r="Y78" s="8" t="str">
        <f>IF(P78-O78&gt;0,P78-O78,"")</f>
        <v/>
      </c>
      <c r="Z78" s="8" t="str">
        <f>IF(Q78-P78&gt;0,Q78-P78,"")</f>
        <v/>
      </c>
      <c r="AA78" s="8" t="str">
        <f>IF(R78-Q78&gt;0,R78-Q78,"")</f>
        <v/>
      </c>
      <c r="AB78" s="8" t="str">
        <f>IF(S78-R78&gt;0,S78-R78,"")</f>
        <v/>
      </c>
      <c r="AC78" s="8" t="str">
        <f>IF(T78-S78&gt;0,T78-S78,"")</f>
        <v/>
      </c>
      <c r="AD78" s="8">
        <f>IF(W78="","",V78+W78)</f>
        <v>12.260000000000005</v>
      </c>
      <c r="AE78" t="str">
        <f>IF(Y78="","",X78+Y78)</f>
        <v/>
      </c>
      <c r="AF78" t="str">
        <f>IF(Z78="","",Y78+Z78)</f>
        <v/>
      </c>
      <c r="AG78" t="str">
        <f>IF(AA78="","",Z78+AA78)</f>
        <v/>
      </c>
      <c r="AH78" t="str">
        <f>IF(AE78="","",AD78+AE78)</f>
        <v/>
      </c>
      <c r="AI78" t="str">
        <f>IF(AG78="","",AF78+AG78)</f>
        <v/>
      </c>
      <c r="AJ78" t="str">
        <f>IF(AI78="","",AH78+AI78)</f>
        <v/>
      </c>
      <c r="AK78" s="8">
        <f>L78-K78</f>
        <v>0</v>
      </c>
      <c r="AL78" s="8">
        <f>M78-J78</f>
        <v>7.9399999999999977</v>
      </c>
      <c r="AM78" s="8">
        <f>IF(N78="","",AL78+W78)</f>
        <v>12.399000000000001</v>
      </c>
      <c r="AN78" s="8"/>
      <c r="AP78" s="9" t="s">
        <v>99</v>
      </c>
    </row>
    <row r="79" spans="1:42" x14ac:dyDescent="0.3">
      <c r="A79" t="s">
        <v>41</v>
      </c>
      <c r="B79" s="6">
        <v>45084</v>
      </c>
      <c r="C79" s="7">
        <v>1</v>
      </c>
      <c r="D79" s="7">
        <v>3</v>
      </c>
      <c r="E79">
        <v>2</v>
      </c>
      <c r="F79" t="s">
        <v>46</v>
      </c>
      <c r="G79">
        <v>62.5</v>
      </c>
      <c r="H79">
        <v>102</v>
      </c>
      <c r="I79">
        <v>19.501000000000001</v>
      </c>
      <c r="J79">
        <v>19.741</v>
      </c>
      <c r="K79">
        <v>19.861000000000001</v>
      </c>
      <c r="L79">
        <v>19.899999999999999</v>
      </c>
      <c r="M79">
        <v>27.411000000000001</v>
      </c>
      <c r="U79" s="8">
        <f>J79-K79</f>
        <v>-0.12000000000000099</v>
      </c>
      <c r="V79" s="8">
        <f>M79-K79</f>
        <v>7.5500000000000007</v>
      </c>
      <c r="W79" s="8" t="str">
        <f>IF(N79-M79&gt;0,N79-M79,"")</f>
        <v/>
      </c>
      <c r="X79" s="8" t="str">
        <f>IF(O79-N79&gt;0,O79-N79,"")</f>
        <v/>
      </c>
      <c r="Y79" s="8" t="str">
        <f>IF(P79-O79&gt;0,P79-O79,"")</f>
        <v/>
      </c>
      <c r="Z79" s="8" t="str">
        <f>IF(Q79-P79&gt;0,Q79-P79,"")</f>
        <v/>
      </c>
      <c r="AA79" s="8" t="str">
        <f>IF(R79-Q79&gt;0,R79-Q79,"")</f>
        <v/>
      </c>
      <c r="AB79" s="8" t="str">
        <f>IF(S79-R79&gt;0,S79-R79,"")</f>
        <v/>
      </c>
      <c r="AC79" s="8" t="str">
        <f>IF(T79-S79&gt;0,T79-S79,"")</f>
        <v/>
      </c>
      <c r="AD79" s="8" t="str">
        <f>IF(W79="","",V79+W79)</f>
        <v/>
      </c>
      <c r="AE79" t="str">
        <f>IF(Y79="","",X79+Y79)</f>
        <v/>
      </c>
      <c r="AF79" t="str">
        <f>IF(Z79="","",Y79+Z79)</f>
        <v/>
      </c>
      <c r="AG79" t="str">
        <f>IF(AA79="","",Z79+AA79)</f>
        <v/>
      </c>
      <c r="AH79" t="str">
        <f>IF(AE79="","",AD79+AE79)</f>
        <v/>
      </c>
      <c r="AI79" t="str">
        <f>IF(AG79="","",AF79+AG79)</f>
        <v/>
      </c>
      <c r="AJ79" t="str">
        <f>IF(AI79="","",AH79+AI79)</f>
        <v/>
      </c>
      <c r="AK79" s="8">
        <f>L79-K79</f>
        <v>3.8999999999997925E-2</v>
      </c>
      <c r="AL79" s="8">
        <f>M79-J79</f>
        <v>7.6700000000000017</v>
      </c>
      <c r="AM79" s="8"/>
      <c r="AP79" t="s">
        <v>96</v>
      </c>
    </row>
    <row r="80" spans="1:42" x14ac:dyDescent="0.3">
      <c r="A80" t="s">
        <v>41</v>
      </c>
      <c r="B80" s="6">
        <v>45084</v>
      </c>
      <c r="C80" s="7">
        <v>2</v>
      </c>
      <c r="D80" s="7">
        <v>1</v>
      </c>
      <c r="E80">
        <v>2</v>
      </c>
      <c r="F80" t="s">
        <v>42</v>
      </c>
      <c r="G80">
        <v>500</v>
      </c>
      <c r="H80">
        <v>102</v>
      </c>
      <c r="I80">
        <v>6.43</v>
      </c>
      <c r="J80">
        <v>6.65</v>
      </c>
      <c r="K80">
        <v>6.79</v>
      </c>
      <c r="L80">
        <v>6.79</v>
      </c>
      <c r="M80">
        <v>14.38</v>
      </c>
      <c r="N80">
        <v>18.71</v>
      </c>
      <c r="O80">
        <v>22.51</v>
      </c>
      <c r="P80">
        <v>26.17</v>
      </c>
      <c r="Q80">
        <v>29.78</v>
      </c>
      <c r="R80">
        <v>33.42</v>
      </c>
      <c r="S80">
        <v>37.125</v>
      </c>
      <c r="T80">
        <v>40.909999999999997</v>
      </c>
      <c r="U80" s="8">
        <f>J80-K80</f>
        <v>-0.13999999999999968</v>
      </c>
      <c r="V80" s="8">
        <f>M80-K80</f>
        <v>7.5900000000000007</v>
      </c>
      <c r="W80" s="8">
        <f>IF(N80-M80&gt;0,N80-M80,"")</f>
        <v>4.33</v>
      </c>
      <c r="X80" s="8">
        <f>IF(O80-N80&gt;0,O80-N80,"")</f>
        <v>3.8000000000000007</v>
      </c>
      <c r="Y80" s="8">
        <f>IF(P80-O80&gt;0,P80-O80,"")</f>
        <v>3.66</v>
      </c>
      <c r="Z80" s="8">
        <f>IF(Q80-P80&gt;0,Q80-P80,"")</f>
        <v>3.6099999999999994</v>
      </c>
      <c r="AA80" s="8">
        <f>IF(R80-Q80&gt;0,R80-Q80,"")</f>
        <v>3.6400000000000006</v>
      </c>
      <c r="AB80" s="8">
        <f>IF(S80-R80&gt;0,S80-R80,"")</f>
        <v>3.7049999999999983</v>
      </c>
      <c r="AC80" s="8">
        <f>IF(T80-S80&gt;0,T80-S80,"")</f>
        <v>3.7849999999999966</v>
      </c>
      <c r="AD80" s="8">
        <f>IF(W80="","",V80+W80)</f>
        <v>11.920000000000002</v>
      </c>
      <c r="AE80">
        <f>IF(Y80="","",X80+Y80)</f>
        <v>7.4600000000000009</v>
      </c>
      <c r="AF80">
        <f>IF(Z80="","",Y80+Z80)</f>
        <v>7.27</v>
      </c>
      <c r="AG80">
        <f>IF(AA80="","",Z80+AA80)</f>
        <v>7.25</v>
      </c>
      <c r="AH80">
        <f>IF(AE80="","",AD80+AE80)</f>
        <v>19.380000000000003</v>
      </c>
      <c r="AI80">
        <f>IF(AG80="","",AF80+AG80)</f>
        <v>14.52</v>
      </c>
      <c r="AJ80">
        <f>IF(AI80="","",AH80+AI80)</f>
        <v>33.900000000000006</v>
      </c>
      <c r="AK80" s="8">
        <f>L80-K80</f>
        <v>0</v>
      </c>
      <c r="AL80" s="8">
        <f>M80-J80</f>
        <v>7.73</v>
      </c>
      <c r="AM80" s="8">
        <f>IF(N80="","",AL80+W80)</f>
        <v>12.06</v>
      </c>
      <c r="AN80" s="8">
        <f>AM80+AE80</f>
        <v>19.520000000000003</v>
      </c>
      <c r="AO80" s="8">
        <f>AI80+AN80</f>
        <v>34.040000000000006</v>
      </c>
      <c r="AP80" t="s">
        <v>92</v>
      </c>
    </row>
    <row r="81" spans="1:42" x14ac:dyDescent="0.3">
      <c r="A81" t="s">
        <v>38</v>
      </c>
      <c r="B81" s="6">
        <v>45084</v>
      </c>
      <c r="C81" s="7">
        <v>2</v>
      </c>
      <c r="D81" s="7">
        <v>1</v>
      </c>
      <c r="E81">
        <v>2</v>
      </c>
      <c r="F81" t="s">
        <v>42</v>
      </c>
      <c r="G81">
        <v>500</v>
      </c>
      <c r="H81">
        <v>102</v>
      </c>
      <c r="I81">
        <v>8.9700000000000006</v>
      </c>
      <c r="J81">
        <v>9.17</v>
      </c>
      <c r="K81">
        <v>9.41</v>
      </c>
      <c r="L81">
        <v>9.26</v>
      </c>
      <c r="M81">
        <v>16.96</v>
      </c>
      <c r="N81">
        <v>21.32</v>
      </c>
      <c r="O81">
        <v>25.16</v>
      </c>
      <c r="P81">
        <v>28.86</v>
      </c>
      <c r="Q81">
        <v>32.51</v>
      </c>
      <c r="R81">
        <v>36.18</v>
      </c>
      <c r="S81">
        <v>39.875</v>
      </c>
      <c r="T81">
        <v>43.65</v>
      </c>
      <c r="U81" s="8">
        <f>J81-K81</f>
        <v>-0.24000000000000021</v>
      </c>
      <c r="V81" s="8">
        <f>M81-K81</f>
        <v>7.5500000000000007</v>
      </c>
      <c r="W81" s="8">
        <f>IF(N81-M81&gt;0,N81-M81,"")</f>
        <v>4.3599999999999994</v>
      </c>
      <c r="X81" s="8">
        <f>IF(O81-N81&gt;0,O81-N81,"")</f>
        <v>3.84</v>
      </c>
      <c r="Y81" s="8">
        <f>IF(P81-O81&gt;0,P81-O81,"")</f>
        <v>3.6999999999999993</v>
      </c>
      <c r="Z81" s="8">
        <f>IF(Q81-P81&gt;0,Q81-P81,"")</f>
        <v>3.6499999999999986</v>
      </c>
      <c r="AA81" s="8">
        <f>IF(R81-Q81&gt;0,R81-Q81,"")</f>
        <v>3.6700000000000017</v>
      </c>
      <c r="AB81" s="8">
        <f>IF(S81-R81&gt;0,S81-R81,"")</f>
        <v>3.6950000000000003</v>
      </c>
      <c r="AC81" s="8">
        <f>IF(T81-S81&gt;0,T81-S81,"")</f>
        <v>3.7749999999999986</v>
      </c>
      <c r="AD81" s="8">
        <f>IF(W81="","",V81+W81)</f>
        <v>11.91</v>
      </c>
      <c r="AE81">
        <f>IF(Y81="","",X81+Y81)</f>
        <v>7.5399999999999991</v>
      </c>
      <c r="AF81">
        <f>IF(Z81="","",Y81+Z81)</f>
        <v>7.3499999999999979</v>
      </c>
      <c r="AG81">
        <f>IF(AA81="","",Z81+AA81)</f>
        <v>7.32</v>
      </c>
      <c r="AH81">
        <f>IF(AE81="","",AD81+AE81)</f>
        <v>19.45</v>
      </c>
      <c r="AI81">
        <f>IF(AG81="","",AF81+AG81)</f>
        <v>14.669999999999998</v>
      </c>
      <c r="AJ81">
        <f>IF(AI81="","",AH81+AI81)</f>
        <v>34.119999999999997</v>
      </c>
      <c r="AK81" s="8">
        <f>L81-K81</f>
        <v>-0.15000000000000036</v>
      </c>
      <c r="AL81" s="8">
        <f>M81-J81</f>
        <v>7.7900000000000009</v>
      </c>
      <c r="AM81" s="8">
        <f>IF(N81="","",AL81+W81)</f>
        <v>12.15</v>
      </c>
      <c r="AN81" s="8">
        <f>AM81+AE81</f>
        <v>19.689999999999998</v>
      </c>
      <c r="AO81" s="8">
        <f>AI81+AN81</f>
        <v>34.36</v>
      </c>
      <c r="AP81" t="s">
        <v>93</v>
      </c>
    </row>
    <row r="82" spans="1:42" x14ac:dyDescent="0.3">
      <c r="A82" t="s">
        <v>40</v>
      </c>
      <c r="B82" s="6">
        <v>45084</v>
      </c>
      <c r="C82" s="7">
        <v>2</v>
      </c>
      <c r="D82" s="7">
        <v>1</v>
      </c>
      <c r="E82">
        <v>2</v>
      </c>
      <c r="F82" t="s">
        <v>42</v>
      </c>
      <c r="G82">
        <v>500</v>
      </c>
      <c r="H82">
        <v>102</v>
      </c>
      <c r="I82">
        <v>7.43</v>
      </c>
      <c r="J82">
        <v>7.88</v>
      </c>
      <c r="K82">
        <v>7.98</v>
      </c>
      <c r="L82">
        <v>8.11</v>
      </c>
      <c r="M82">
        <v>15.73</v>
      </c>
      <c r="N82">
        <v>20.13</v>
      </c>
      <c r="O82">
        <v>24.02</v>
      </c>
      <c r="P82">
        <v>27.754999999999999</v>
      </c>
      <c r="Q82">
        <v>31.44</v>
      </c>
      <c r="R82">
        <v>35.119999999999997</v>
      </c>
      <c r="S82">
        <v>38.869999999999997</v>
      </c>
      <c r="T82">
        <v>42.7</v>
      </c>
      <c r="U82" s="8">
        <f>J82-K82</f>
        <v>-0.10000000000000053</v>
      </c>
      <c r="V82" s="8">
        <f>M82-K82</f>
        <v>7.75</v>
      </c>
      <c r="W82" s="8">
        <f>IF(N82-M82&gt;0,N82-M82,"")</f>
        <v>4.3999999999999986</v>
      </c>
      <c r="X82" s="8">
        <f>IF(O82-N82&gt;0,O82-N82,"")</f>
        <v>3.8900000000000006</v>
      </c>
      <c r="Y82" s="8">
        <f>IF(P82-O82&gt;0,P82-O82,"")</f>
        <v>3.7349999999999994</v>
      </c>
      <c r="Z82" s="8">
        <f>IF(Q82-P82&gt;0,Q82-P82,"")</f>
        <v>3.6850000000000023</v>
      </c>
      <c r="AA82" s="8">
        <f>IF(R82-Q82&gt;0,R82-Q82,"")</f>
        <v>3.6799999999999962</v>
      </c>
      <c r="AB82" s="8">
        <f>IF(S82-R82&gt;0,S82-R82,"")</f>
        <v>3.75</v>
      </c>
      <c r="AC82" s="8">
        <f>IF(T82-S82&gt;0,T82-S82,"")</f>
        <v>3.8300000000000054</v>
      </c>
      <c r="AD82" s="8">
        <f>IF(W82="","",V82+W82)</f>
        <v>12.149999999999999</v>
      </c>
      <c r="AE82">
        <f>IF(Y82="","",X82+Y82)</f>
        <v>7.625</v>
      </c>
      <c r="AF82">
        <f>IF(Z82="","",Y82+Z82)</f>
        <v>7.4200000000000017</v>
      </c>
      <c r="AG82">
        <f>IF(AA82="","",Z82+AA82)</f>
        <v>7.3649999999999984</v>
      </c>
      <c r="AH82">
        <f>IF(AE82="","",AD82+AE82)</f>
        <v>19.774999999999999</v>
      </c>
      <c r="AI82">
        <f>IF(AG82="","",AF82+AG82)</f>
        <v>14.785</v>
      </c>
      <c r="AJ82">
        <f>IF(AI82="","",AH82+AI82)</f>
        <v>34.56</v>
      </c>
      <c r="AK82" s="8">
        <f>L82-K82</f>
        <v>0.12999999999999901</v>
      </c>
      <c r="AL82" s="8">
        <f>M82-J82</f>
        <v>7.8500000000000005</v>
      </c>
      <c r="AM82" s="8">
        <f>IF(N82="","",AL82+W82)</f>
        <v>12.25</v>
      </c>
      <c r="AN82" s="8">
        <f>AM82+AE82</f>
        <v>19.875</v>
      </c>
      <c r="AO82" s="8">
        <f>AI82+AN82</f>
        <v>34.659999999999997</v>
      </c>
      <c r="AP82" t="s">
        <v>100</v>
      </c>
    </row>
    <row r="83" spans="1:42" x14ac:dyDescent="0.3">
      <c r="A83" t="s">
        <v>41</v>
      </c>
      <c r="B83" s="6">
        <v>45089</v>
      </c>
      <c r="C83" s="7">
        <v>1</v>
      </c>
      <c r="D83" s="7">
        <v>1</v>
      </c>
      <c r="E83">
        <v>2</v>
      </c>
      <c r="F83" t="s">
        <v>49</v>
      </c>
      <c r="G83">
        <v>62.5</v>
      </c>
      <c r="H83">
        <v>108</v>
      </c>
      <c r="I83">
        <v>29.271000000000001</v>
      </c>
      <c r="J83">
        <v>29.471</v>
      </c>
      <c r="K83">
        <v>29.670999999999999</v>
      </c>
      <c r="L83">
        <v>29.631</v>
      </c>
      <c r="M83">
        <v>37.491</v>
      </c>
      <c r="U83" s="8">
        <f>J83-K83</f>
        <v>-0.19999999999999929</v>
      </c>
      <c r="V83" s="8">
        <f>M83-K83</f>
        <v>7.82</v>
      </c>
      <c r="W83" s="8" t="str">
        <f>IF(N83-M83&gt;0,N83-M83,"")</f>
        <v/>
      </c>
      <c r="X83" s="8"/>
      <c r="Y83" s="8" t="str">
        <f>IF(P83-O83&gt;0,P83-O83,"")</f>
        <v/>
      </c>
      <c r="Z83" s="8" t="str">
        <f>IF(Q83-P83&gt;0,Q83-P83,"")</f>
        <v/>
      </c>
      <c r="AA83" s="8" t="str">
        <f>IF(R83-Q83&gt;0,R83-Q83,"")</f>
        <v/>
      </c>
      <c r="AB83" s="8" t="str">
        <f>IF(S83-R83&gt;0,S83-R83,"")</f>
        <v/>
      </c>
      <c r="AC83" s="8" t="str">
        <f>IF(T83-S83&gt;0,T83-S83,"")</f>
        <v/>
      </c>
      <c r="AD83" s="8" t="str">
        <f>IF(W83="","",V83+W83)</f>
        <v/>
      </c>
      <c r="AE83" t="str">
        <f>IF(Y83="","",X83+Y83)</f>
        <v/>
      </c>
      <c r="AF83" t="str">
        <f>IF(Z83="","",Y83+Z83)</f>
        <v/>
      </c>
      <c r="AG83" t="str">
        <f>IF(AA83="","",Z83+AA83)</f>
        <v/>
      </c>
      <c r="AI83" t="str">
        <f>IF(AG83="","",AF83+AG83)</f>
        <v/>
      </c>
      <c r="AJ83" t="str">
        <f>IF(AI83="","",AH83+AI83)</f>
        <v/>
      </c>
      <c r="AK83" s="8">
        <f>L83-K83</f>
        <v>-3.9999999999999147E-2</v>
      </c>
      <c r="AL83" s="8">
        <f>M83-J83</f>
        <v>8.02</v>
      </c>
      <c r="AM83" s="8"/>
      <c r="AP83" t="s">
        <v>87</v>
      </c>
    </row>
    <row r="84" spans="1:42" x14ac:dyDescent="0.3">
      <c r="A84" t="s">
        <v>38</v>
      </c>
      <c r="B84" s="6">
        <v>45089</v>
      </c>
      <c r="C84" s="7">
        <v>1</v>
      </c>
      <c r="D84" s="7">
        <v>1</v>
      </c>
      <c r="E84">
        <v>3</v>
      </c>
      <c r="F84" t="s">
        <v>49</v>
      </c>
      <c r="G84">
        <v>62.5</v>
      </c>
      <c r="H84">
        <v>108</v>
      </c>
      <c r="I84">
        <v>29.210999999999999</v>
      </c>
      <c r="J84">
        <v>29.471</v>
      </c>
      <c r="K84">
        <v>29.670999999999999</v>
      </c>
      <c r="L84">
        <v>29.631</v>
      </c>
      <c r="M84">
        <v>37.651000000000003</v>
      </c>
      <c r="U84" s="8">
        <f>J84-K84</f>
        <v>-0.19999999999999929</v>
      </c>
      <c r="V84" s="8">
        <f>M84-K84</f>
        <v>7.980000000000004</v>
      </c>
      <c r="W84" s="8" t="str">
        <f>IF(N84-M84&gt;0,N84-M84,"")</f>
        <v/>
      </c>
      <c r="X84" s="8"/>
      <c r="Y84" s="8" t="str">
        <f>IF(P84-O84&gt;0,P84-O84,"")</f>
        <v/>
      </c>
      <c r="Z84" s="8" t="str">
        <f>IF(Q84-P84&gt;0,Q84-P84,"")</f>
        <v/>
      </c>
      <c r="AA84" s="8" t="str">
        <f>IF(R84-Q84&gt;0,R84-Q84,"")</f>
        <v/>
      </c>
      <c r="AB84" s="8" t="str">
        <f>IF(S84-R84&gt;0,S84-R84,"")</f>
        <v/>
      </c>
      <c r="AC84" s="8" t="str">
        <f>IF(T84-S84&gt;0,T84-S84,"")</f>
        <v/>
      </c>
      <c r="AD84" s="8" t="str">
        <f>IF(W84="","",V84+W84)</f>
        <v/>
      </c>
      <c r="AE84" t="str">
        <f>IF(Y84="","",X84+Y84)</f>
        <v/>
      </c>
      <c r="AF84" t="str">
        <f>IF(Z84="","",Y84+Z84)</f>
        <v/>
      </c>
      <c r="AG84" t="str">
        <f>IF(AA84="","",Z84+AA84)</f>
        <v/>
      </c>
      <c r="AI84" t="str">
        <f>IF(AG84="","",AF84+AG84)</f>
        <v/>
      </c>
      <c r="AJ84" t="str">
        <f>IF(AI84="","",AH84+AI84)</f>
        <v/>
      </c>
      <c r="AK84" s="8">
        <f>L84-K84</f>
        <v>-3.9999999999999147E-2</v>
      </c>
      <c r="AL84" s="8">
        <f>M84-J84</f>
        <v>8.1800000000000033</v>
      </c>
      <c r="AM84" s="8" t="str">
        <f>IF(N84="","",AL84+W84)</f>
        <v/>
      </c>
      <c r="AP84" t="s">
        <v>87</v>
      </c>
    </row>
    <row r="85" spans="1:42" x14ac:dyDescent="0.3">
      <c r="A85" t="s">
        <v>40</v>
      </c>
      <c r="B85" s="6">
        <v>45089</v>
      </c>
      <c r="C85" s="7">
        <v>1</v>
      </c>
      <c r="D85" s="7">
        <v>1</v>
      </c>
      <c r="F85" t="s">
        <v>42</v>
      </c>
      <c r="G85">
        <v>62.5</v>
      </c>
      <c r="H85">
        <v>108</v>
      </c>
      <c r="I85">
        <v>26.83</v>
      </c>
      <c r="J85">
        <v>27.13</v>
      </c>
      <c r="K85">
        <v>27.19</v>
      </c>
      <c r="L85">
        <v>27.45</v>
      </c>
      <c r="M85">
        <v>35.32</v>
      </c>
      <c r="U85" s="8">
        <f>J85-K85</f>
        <v>-6.0000000000002274E-2</v>
      </c>
      <c r="V85" s="8">
        <f>M85-K85</f>
        <v>8.129999999999999</v>
      </c>
      <c r="W85" s="8" t="str">
        <f>IF(N85-M85&gt;0,N85-M85,"")</f>
        <v/>
      </c>
      <c r="X85" s="8"/>
      <c r="Y85" s="8" t="str">
        <f>IF(P85-O85&gt;0,P85-O85,"")</f>
        <v/>
      </c>
      <c r="Z85" s="8" t="str">
        <f>IF(Q85-P85&gt;0,Q85-P85,"")</f>
        <v/>
      </c>
      <c r="AA85" s="8" t="str">
        <f>IF(R85-Q85&gt;0,R85-Q85,"")</f>
        <v/>
      </c>
      <c r="AB85" s="8" t="str">
        <f>IF(S85-R85&gt;0,S85-R85,"")</f>
        <v/>
      </c>
      <c r="AC85" s="8" t="str">
        <f>IF(T85-S85&gt;0,T85-S85,"")</f>
        <v/>
      </c>
      <c r="AD85" s="8" t="str">
        <f>IF(W85="","",V85+W85)</f>
        <v/>
      </c>
      <c r="AE85" t="str">
        <f>IF(Y85="","",X85+Y85)</f>
        <v/>
      </c>
      <c r="AF85" t="str">
        <f>IF(Z85="","",Y85+Z85)</f>
        <v/>
      </c>
      <c r="AG85" t="str">
        <f>IF(AA85="","",Z85+AA85)</f>
        <v/>
      </c>
      <c r="AI85" t="str">
        <f>IF(AG85="","",AF85+AG85)</f>
        <v/>
      </c>
      <c r="AJ85" t="str">
        <f>IF(AI85="","",AH85+AI85)</f>
        <v/>
      </c>
      <c r="AK85" s="8">
        <f>L85-K85</f>
        <v>0.25999999999999801</v>
      </c>
      <c r="AL85" s="8">
        <f>M85-J85</f>
        <v>8.1900000000000013</v>
      </c>
      <c r="AM85" s="8" t="str">
        <f>IF(N85="","",AL85+W85)</f>
        <v/>
      </c>
      <c r="AP85" t="s">
        <v>83</v>
      </c>
    </row>
    <row r="86" spans="1:42" x14ac:dyDescent="0.3">
      <c r="A86" t="s">
        <v>41</v>
      </c>
      <c r="B86" s="6">
        <v>45089</v>
      </c>
      <c r="C86" s="7">
        <v>1</v>
      </c>
      <c r="D86" s="7">
        <v>2</v>
      </c>
      <c r="E86">
        <v>2</v>
      </c>
      <c r="F86" t="s">
        <v>50</v>
      </c>
      <c r="G86">
        <v>62.5</v>
      </c>
      <c r="H86">
        <v>108</v>
      </c>
      <c r="I86">
        <v>32.122999999999998</v>
      </c>
      <c r="J86">
        <v>32.383000000000003</v>
      </c>
      <c r="K86">
        <v>32.363</v>
      </c>
      <c r="L86">
        <v>32.563000000000002</v>
      </c>
      <c r="M86">
        <v>40.603000000000002</v>
      </c>
      <c r="U86" s="8">
        <f>J86-K86</f>
        <v>2.0000000000003126E-2</v>
      </c>
      <c r="V86" s="8">
        <f>M86-K86</f>
        <v>8.240000000000002</v>
      </c>
      <c r="W86" s="8" t="str">
        <f>IF(N86-M86&gt;0,N86-M86,"")</f>
        <v/>
      </c>
      <c r="X86" s="8"/>
      <c r="Y86" s="8"/>
      <c r="Z86" s="8" t="str">
        <f>IF(Q86-P86&gt;0,Q86-P86,"")</f>
        <v/>
      </c>
      <c r="AA86" s="8" t="str">
        <f>IF(R86-Q86&gt;0,R86-Q86,"")</f>
        <v/>
      </c>
      <c r="AB86" s="8" t="str">
        <f>IF(S86-R86&gt;0,S86-R86,"")</f>
        <v/>
      </c>
      <c r="AC86" s="8" t="str">
        <f>IF(T86-S86&gt;0,T86-S86,"")</f>
        <v/>
      </c>
      <c r="AD86" s="8" t="str">
        <f>IF(W86="","",V86+W86)</f>
        <v/>
      </c>
      <c r="AF86" t="str">
        <f>IF(Z86="","",Y86+Z86)</f>
        <v/>
      </c>
      <c r="AG86" t="str">
        <f>IF(AA86="","",Z86+AA86)</f>
        <v/>
      </c>
      <c r="AI86" t="str">
        <f>IF(AG86="","",AF86+AG86)</f>
        <v/>
      </c>
      <c r="AJ86" t="str">
        <f>IF(AI86="","",AH86+AI86)</f>
        <v/>
      </c>
      <c r="AK86" s="8">
        <f>L86-K86</f>
        <v>0.20000000000000284</v>
      </c>
      <c r="AL86" s="8">
        <f>M86-J86</f>
        <v>8.2199999999999989</v>
      </c>
      <c r="AM86" s="8"/>
      <c r="AP86" s="9" t="s">
        <v>88</v>
      </c>
    </row>
    <row r="87" spans="1:42" x14ac:dyDescent="0.3">
      <c r="A87" t="s">
        <v>40</v>
      </c>
      <c r="B87" s="6">
        <v>45089</v>
      </c>
      <c r="C87" s="7">
        <v>1</v>
      </c>
      <c r="D87" s="7">
        <v>2</v>
      </c>
      <c r="F87" t="s">
        <v>50</v>
      </c>
      <c r="G87">
        <v>62.5</v>
      </c>
      <c r="H87">
        <v>108</v>
      </c>
      <c r="I87">
        <v>32.082999999999998</v>
      </c>
      <c r="J87">
        <v>32.363</v>
      </c>
      <c r="K87">
        <v>32.363</v>
      </c>
      <c r="L87">
        <v>32.662999999999997</v>
      </c>
      <c r="M87">
        <v>40.642000000000003</v>
      </c>
      <c r="U87" s="8">
        <f>J87-K87</f>
        <v>0</v>
      </c>
      <c r="V87" s="8">
        <f>M87-K87</f>
        <v>8.2790000000000035</v>
      </c>
      <c r="W87" s="8" t="str">
        <f>IF(N87-M87&gt;0,N87-M87,"")</f>
        <v/>
      </c>
      <c r="X87" s="8"/>
      <c r="Y87" s="8"/>
      <c r="Z87" s="8"/>
      <c r="AA87" s="8"/>
      <c r="AB87" s="8"/>
      <c r="AC87" s="8"/>
      <c r="AD87" s="8" t="str">
        <f>IF(W87="","",V87+W87)</f>
        <v/>
      </c>
      <c r="AK87" s="8">
        <f>L87-K87</f>
        <v>0.29999999999999716</v>
      </c>
      <c r="AL87" s="8">
        <f>M87-J87</f>
        <v>8.2790000000000035</v>
      </c>
      <c r="AM87" s="8" t="str">
        <f>IF(N87="","",AL87+W87)</f>
        <v/>
      </c>
      <c r="AP87" t="s">
        <v>88</v>
      </c>
    </row>
    <row r="88" spans="1:42" x14ac:dyDescent="0.3">
      <c r="A88" t="s">
        <v>36</v>
      </c>
      <c r="B88" s="6">
        <v>45089</v>
      </c>
      <c r="C88" s="7">
        <v>1</v>
      </c>
      <c r="D88" s="7">
        <v>2</v>
      </c>
      <c r="E88">
        <v>1</v>
      </c>
      <c r="F88" t="s">
        <v>42</v>
      </c>
      <c r="G88">
        <v>62.5</v>
      </c>
      <c r="H88">
        <v>99.6</v>
      </c>
      <c r="J88">
        <v>48.088999999999999</v>
      </c>
      <c r="K88">
        <v>48.009</v>
      </c>
      <c r="L88">
        <v>48.189</v>
      </c>
      <c r="M88">
        <v>55.579000000000001</v>
      </c>
      <c r="U88" s="8">
        <f>J88-K88</f>
        <v>7.9999999999998295E-2</v>
      </c>
      <c r="V88" s="8">
        <f>M88-K88</f>
        <v>7.57</v>
      </c>
      <c r="W88" s="8" t="str">
        <f>IF(N88-M88&gt;0,N88-M88,"")</f>
        <v/>
      </c>
      <c r="X88" s="8"/>
      <c r="Y88" s="8"/>
      <c r="Z88" s="8" t="str">
        <f>IF(Q88-P88&gt;0,Q88-P88,"")</f>
        <v/>
      </c>
      <c r="AA88" s="8" t="str">
        <f>IF(R88-Q88&gt;0,R88-Q88,"")</f>
        <v/>
      </c>
      <c r="AB88" s="8" t="str">
        <f>IF(S88-R88&gt;0,S88-R88,"")</f>
        <v/>
      </c>
      <c r="AC88" s="8" t="str">
        <f>IF(T88-S88&gt;0,T88-S88,"")</f>
        <v/>
      </c>
      <c r="AD88" s="8" t="str">
        <f>IF(W88="","",V88+W88)</f>
        <v/>
      </c>
      <c r="AE88" t="str">
        <f>IF(Y88="","",X88+Y88)</f>
        <v/>
      </c>
      <c r="AF88" t="str">
        <f>IF(Z88="","",Y88+Z88)</f>
        <v/>
      </c>
      <c r="AG88" t="str">
        <f>IF(AA88="","",Z88+AA88)</f>
        <v/>
      </c>
      <c r="AI88" t="str">
        <f>IF(AG88="","",AF88+AG88)</f>
        <v/>
      </c>
      <c r="AJ88" t="str">
        <f>IF(AI88="","",AH88+AI88)</f>
        <v/>
      </c>
      <c r="AK88" s="8">
        <f>L88-K88</f>
        <v>0.17999999999999972</v>
      </c>
      <c r="AL88" s="8">
        <f>M88-J88</f>
        <v>7.490000000000002</v>
      </c>
      <c r="AM88" s="8" t="str">
        <f>IF(N88="","",AL88+W88)</f>
        <v/>
      </c>
      <c r="AP88" t="s">
        <v>86</v>
      </c>
    </row>
    <row r="89" spans="1:42" x14ac:dyDescent="0.3">
      <c r="A89" t="s">
        <v>38</v>
      </c>
      <c r="B89" s="6">
        <v>45089</v>
      </c>
      <c r="C89" s="7">
        <v>1</v>
      </c>
      <c r="D89" s="7">
        <v>2</v>
      </c>
      <c r="E89">
        <v>2</v>
      </c>
      <c r="F89" t="s">
        <v>42</v>
      </c>
      <c r="G89">
        <v>62.5</v>
      </c>
      <c r="H89">
        <v>108</v>
      </c>
      <c r="I89">
        <v>31.041</v>
      </c>
      <c r="J89">
        <v>31.321000000000002</v>
      </c>
      <c r="K89">
        <v>31.58</v>
      </c>
      <c r="L89">
        <v>31.56</v>
      </c>
      <c r="M89">
        <v>39.320999999999998</v>
      </c>
      <c r="U89" s="8">
        <f>J89-K89</f>
        <v>-0.25899999999999679</v>
      </c>
      <c r="V89" s="8">
        <f>M89-K89</f>
        <v>7.7409999999999997</v>
      </c>
      <c r="W89" s="8" t="str">
        <f>IF(N89-M89&gt;0,N89-M89,"")</f>
        <v/>
      </c>
      <c r="X89" s="8"/>
      <c r="Y89" s="8"/>
      <c r="Z89" s="8"/>
      <c r="AA89" s="8"/>
      <c r="AB89" s="8"/>
      <c r="AC89" s="8"/>
      <c r="AD89" s="8" t="str">
        <f>IF(W89="","",V89+W89)</f>
        <v/>
      </c>
      <c r="AK89" s="8">
        <f>L89-K89</f>
        <v>-1.9999999999999574E-2</v>
      </c>
      <c r="AL89" s="8">
        <f>M89-J89</f>
        <v>7.9999999999999964</v>
      </c>
      <c r="AM89" s="8"/>
      <c r="AP89" t="s">
        <v>82</v>
      </c>
    </row>
    <row r="90" spans="1:42" x14ac:dyDescent="0.3">
      <c r="A90" t="s">
        <v>36</v>
      </c>
      <c r="B90" s="6">
        <v>45089</v>
      </c>
      <c r="C90" s="7">
        <v>1</v>
      </c>
      <c r="D90" s="7">
        <v>3</v>
      </c>
      <c r="E90">
        <v>1</v>
      </c>
      <c r="F90" t="s">
        <v>51</v>
      </c>
      <c r="G90">
        <v>125</v>
      </c>
      <c r="H90">
        <v>99.6</v>
      </c>
      <c r="J90">
        <v>34.851999999999997</v>
      </c>
      <c r="K90">
        <v>34.712000000000003</v>
      </c>
      <c r="L90">
        <v>34.951999999999998</v>
      </c>
      <c r="M90">
        <v>42.262</v>
      </c>
      <c r="N90">
        <v>46.530999999999999</v>
      </c>
      <c r="U90" s="8">
        <f>J90-K90</f>
        <v>0.13999999999999346</v>
      </c>
      <c r="V90" s="8">
        <f>M90-K90</f>
        <v>7.5499999999999972</v>
      </c>
      <c r="W90" s="8">
        <f>IF(N90-M90&gt;0,N90-M90,"")</f>
        <v>4.2689999999999984</v>
      </c>
      <c r="X90" s="8"/>
      <c r="Y90" s="8"/>
      <c r="Z90" s="8"/>
      <c r="AA90" s="8"/>
      <c r="AB90" s="8"/>
      <c r="AC90" s="8"/>
      <c r="AD90" s="8">
        <f>IF(W90="","",V90+W90)</f>
        <v>11.818999999999996</v>
      </c>
      <c r="AK90" s="8">
        <f>L90-K90</f>
        <v>0.23999999999999488</v>
      </c>
      <c r="AL90" s="8">
        <f>M90-J90</f>
        <v>7.4100000000000037</v>
      </c>
      <c r="AM90" s="8">
        <f>IF(N90="","",AL90+W90)</f>
        <v>11.679000000000002</v>
      </c>
      <c r="AP90" t="s">
        <v>89</v>
      </c>
    </row>
    <row r="91" spans="1:42" x14ac:dyDescent="0.3">
      <c r="A91" t="s">
        <v>41</v>
      </c>
      <c r="B91" s="6">
        <v>45089</v>
      </c>
      <c r="C91" s="7">
        <v>1</v>
      </c>
      <c r="D91" s="7">
        <v>3</v>
      </c>
      <c r="E91">
        <v>2</v>
      </c>
      <c r="F91" t="s">
        <v>51</v>
      </c>
      <c r="G91">
        <v>125</v>
      </c>
      <c r="H91">
        <v>108</v>
      </c>
      <c r="I91">
        <v>34.351999999999997</v>
      </c>
      <c r="J91">
        <v>34.572000000000003</v>
      </c>
      <c r="K91">
        <v>34.712000000000003</v>
      </c>
      <c r="L91">
        <v>34.792000000000002</v>
      </c>
      <c r="M91">
        <v>42.570999999999998</v>
      </c>
      <c r="N91">
        <v>46.850999999999999</v>
      </c>
      <c r="U91" s="8">
        <f>J91-K91</f>
        <v>-0.14000000000000057</v>
      </c>
      <c r="V91" s="8">
        <f>M91-K91</f>
        <v>7.8589999999999947</v>
      </c>
      <c r="W91" s="8">
        <f>IF(N91-M91&gt;0,N91-M91,"")</f>
        <v>4.2800000000000011</v>
      </c>
      <c r="X91" s="8"/>
      <c r="Y91" s="8"/>
      <c r="Z91" s="8"/>
      <c r="AA91" s="8"/>
      <c r="AB91" s="8"/>
      <c r="AC91" s="8"/>
      <c r="AD91" s="8">
        <f>IF(W91="","",V91+W91)</f>
        <v>12.138999999999996</v>
      </c>
      <c r="AK91" s="8">
        <f>L91-K91</f>
        <v>7.9999999999998295E-2</v>
      </c>
      <c r="AL91" s="8">
        <f>M91-J91</f>
        <v>7.9989999999999952</v>
      </c>
      <c r="AM91" s="8">
        <f>IF(N91="","",AL91+W91)</f>
        <v>12.278999999999996</v>
      </c>
      <c r="AP91" t="s">
        <v>89</v>
      </c>
    </row>
    <row r="92" spans="1:42" x14ac:dyDescent="0.3">
      <c r="A92" t="s">
        <v>38</v>
      </c>
      <c r="B92" s="6">
        <v>45089</v>
      </c>
      <c r="C92" s="7">
        <v>1</v>
      </c>
      <c r="D92" s="7">
        <v>3</v>
      </c>
      <c r="E92">
        <v>3</v>
      </c>
      <c r="F92" t="s">
        <v>51</v>
      </c>
      <c r="G92">
        <v>125</v>
      </c>
      <c r="H92">
        <v>108</v>
      </c>
      <c r="I92">
        <v>34.292000000000002</v>
      </c>
      <c r="J92">
        <v>34.552</v>
      </c>
      <c r="K92">
        <v>34.712000000000003</v>
      </c>
      <c r="L92">
        <v>34.752000000000002</v>
      </c>
      <c r="M92">
        <v>42.731000000000002</v>
      </c>
      <c r="N92">
        <v>47.051000000000002</v>
      </c>
      <c r="U92" s="8">
        <f>J92-K92</f>
        <v>-0.16000000000000369</v>
      </c>
      <c r="V92" s="8">
        <f>M92-K92</f>
        <v>8.0189999999999984</v>
      </c>
      <c r="W92" s="8">
        <f>IF(N92-M92&gt;0,N92-M92,"")</f>
        <v>4.32</v>
      </c>
      <c r="X92" s="8"/>
      <c r="Y92" s="8"/>
      <c r="Z92" s="8"/>
      <c r="AA92" s="8"/>
      <c r="AB92" s="8"/>
      <c r="AC92" s="8"/>
      <c r="AD92" s="8">
        <f>IF(W92="","",V92+W92)</f>
        <v>12.338999999999999</v>
      </c>
      <c r="AK92" s="8">
        <f>L92-K92</f>
        <v>3.9999999999999147E-2</v>
      </c>
      <c r="AL92" s="8">
        <f>M92-J92</f>
        <v>8.179000000000002</v>
      </c>
      <c r="AM92" s="8">
        <f>IF(N92="","",AL92+W92)</f>
        <v>12.499000000000002</v>
      </c>
      <c r="AP92" t="s">
        <v>89</v>
      </c>
    </row>
    <row r="93" spans="1:42" x14ac:dyDescent="0.3">
      <c r="A93" t="s">
        <v>40</v>
      </c>
      <c r="B93" s="6">
        <v>45089</v>
      </c>
      <c r="C93" s="7">
        <v>1</v>
      </c>
      <c r="D93" s="7">
        <v>3</v>
      </c>
      <c r="E93">
        <v>2</v>
      </c>
      <c r="F93" t="s">
        <v>42</v>
      </c>
      <c r="G93">
        <v>125</v>
      </c>
      <c r="H93">
        <v>108</v>
      </c>
      <c r="I93">
        <v>32.134999999999998</v>
      </c>
      <c r="J93">
        <v>32.414999999999999</v>
      </c>
      <c r="K93">
        <v>32.414999999999999</v>
      </c>
      <c r="L93">
        <v>32.594999999999999</v>
      </c>
      <c r="M93">
        <v>40.409999999999997</v>
      </c>
      <c r="N93">
        <v>44.905000000000001</v>
      </c>
      <c r="U93" s="8">
        <f>J93-K93</f>
        <v>0</v>
      </c>
      <c r="V93" s="8">
        <f>M93-K93</f>
        <v>7.9949999999999974</v>
      </c>
      <c r="W93" s="8">
        <f>IF(N93-M93&gt;0,N93-M93,"")</f>
        <v>4.4950000000000045</v>
      </c>
      <c r="X93" s="8"/>
      <c r="Y93" s="8"/>
      <c r="Z93" s="8"/>
      <c r="AA93" s="8"/>
      <c r="AB93" s="8"/>
      <c r="AC93" s="8"/>
      <c r="AD93" s="8">
        <f>IF(W93="","",V93+W93)</f>
        <v>12.490000000000002</v>
      </c>
      <c r="AK93" s="8">
        <f>L93-K93</f>
        <v>0.17999999999999972</v>
      </c>
      <c r="AL93" s="8">
        <f>M93-J93</f>
        <v>7.9949999999999974</v>
      </c>
      <c r="AM93" s="8">
        <f>IF(N93="","",AL93+W93)</f>
        <v>12.490000000000002</v>
      </c>
      <c r="AP93" t="s">
        <v>84</v>
      </c>
    </row>
    <row r="94" spans="1:42" x14ac:dyDescent="0.3">
      <c r="A94" t="s">
        <v>36</v>
      </c>
      <c r="B94" s="6">
        <v>45089</v>
      </c>
      <c r="C94" s="7">
        <v>2</v>
      </c>
      <c r="D94" s="7">
        <v>1</v>
      </c>
      <c r="E94">
        <v>1</v>
      </c>
      <c r="F94" t="s">
        <v>52</v>
      </c>
      <c r="G94">
        <v>62.5</v>
      </c>
      <c r="H94">
        <v>99.6</v>
      </c>
      <c r="J94">
        <v>24.422000000000001</v>
      </c>
      <c r="K94">
        <v>24.603000000000002</v>
      </c>
      <c r="L94">
        <v>24.702999999999999</v>
      </c>
      <c r="M94">
        <v>32.317</v>
      </c>
      <c r="U94" s="8">
        <f>IF(J94="","",J94-K94)</f>
        <v>-0.18100000000000094</v>
      </c>
      <c r="V94" s="8">
        <f>IF(K94="","",M94-K94)</f>
        <v>7.7139999999999986</v>
      </c>
      <c r="W94" s="8" t="str">
        <f>IF(N94-M94&gt;0,N94-M94,"")</f>
        <v/>
      </c>
      <c r="X94" s="8"/>
      <c r="Y94" s="8"/>
      <c r="Z94" s="8"/>
      <c r="AA94" s="8"/>
      <c r="AB94" s="8"/>
      <c r="AC94" s="8"/>
      <c r="AD94" s="8" t="str">
        <f>IF(W94="","",V94+W94)</f>
        <v/>
      </c>
      <c r="AK94" s="8">
        <f>L94-K94</f>
        <v>9.9999999999997868E-2</v>
      </c>
      <c r="AL94" s="8">
        <f>IF(M94="","",M94-J94)</f>
        <v>7.8949999999999996</v>
      </c>
      <c r="AM94" s="8"/>
      <c r="AP94" t="s">
        <v>90</v>
      </c>
    </row>
    <row r="95" spans="1:42" x14ac:dyDescent="0.3">
      <c r="A95" t="s">
        <v>38</v>
      </c>
      <c r="B95" s="6">
        <v>45089</v>
      </c>
      <c r="C95" s="7">
        <v>2</v>
      </c>
      <c r="D95" s="7">
        <v>1</v>
      </c>
      <c r="E95">
        <v>2</v>
      </c>
      <c r="F95" t="s">
        <v>52</v>
      </c>
      <c r="G95">
        <v>62.5</v>
      </c>
      <c r="H95">
        <v>108</v>
      </c>
      <c r="I95">
        <v>24.140999999999998</v>
      </c>
      <c r="J95">
        <v>24.382000000000001</v>
      </c>
      <c r="K95">
        <v>24.603000000000002</v>
      </c>
      <c r="L95">
        <v>24.562000000000001</v>
      </c>
      <c r="M95">
        <v>32.557000000000002</v>
      </c>
      <c r="U95" s="8">
        <f>IF(J95="","",J95-K95)</f>
        <v>-0.22100000000000009</v>
      </c>
      <c r="V95" s="8">
        <f>IF(K95="","",M95-K95)</f>
        <v>7.9540000000000006</v>
      </c>
      <c r="W95" s="8" t="str">
        <f>IF(N95-M95&gt;0,N95-M95,"")</f>
        <v/>
      </c>
      <c r="X95" s="8"/>
      <c r="Y95" s="8"/>
      <c r="Z95" s="8"/>
      <c r="AA95" s="8"/>
      <c r="AB95" s="8"/>
      <c r="AC95" s="8"/>
      <c r="AD95" s="8" t="str">
        <f>IF(W95="","",V95+W95)</f>
        <v/>
      </c>
      <c r="AK95" s="8">
        <f>L95-K95</f>
        <v>-4.1000000000000369E-2</v>
      </c>
      <c r="AL95" s="8">
        <f>IF(M95="","",M95-J95)</f>
        <v>8.1750000000000007</v>
      </c>
      <c r="AM95" s="8"/>
      <c r="AP95" t="s">
        <v>90</v>
      </c>
    </row>
    <row r="96" spans="1:42" x14ac:dyDescent="0.3">
      <c r="A96" t="s">
        <v>40</v>
      </c>
      <c r="B96" s="6">
        <v>45089</v>
      </c>
      <c r="C96" s="7">
        <v>2</v>
      </c>
      <c r="D96" s="7">
        <v>1</v>
      </c>
      <c r="E96">
        <v>3</v>
      </c>
      <c r="F96" t="s">
        <v>52</v>
      </c>
      <c r="G96">
        <v>62.5</v>
      </c>
      <c r="H96">
        <v>108</v>
      </c>
      <c r="I96">
        <v>24.021000000000001</v>
      </c>
      <c r="J96">
        <v>24.683</v>
      </c>
      <c r="K96">
        <v>24.603000000000002</v>
      </c>
      <c r="L96">
        <v>24.742999999999999</v>
      </c>
      <c r="M96">
        <v>32.758000000000003</v>
      </c>
      <c r="U96" s="8">
        <f>IF(J96="","",J96-K96)</f>
        <v>7.9999999999998295E-2</v>
      </c>
      <c r="V96" s="8">
        <f>IF(K96="","",M96-K96)</f>
        <v>8.1550000000000011</v>
      </c>
      <c r="W96" s="8" t="str">
        <f>IF(N96-M96&gt;0,N96-M96,"")</f>
        <v/>
      </c>
      <c r="X96" s="8"/>
      <c r="Y96" s="8"/>
      <c r="Z96" s="8"/>
      <c r="AA96" s="8"/>
      <c r="AB96" s="8"/>
      <c r="AC96" s="8"/>
      <c r="AD96" s="8" t="str">
        <f>IF(W96="","",V96+W96)</f>
        <v/>
      </c>
      <c r="AK96" s="8">
        <f>L96-K96</f>
        <v>0.13999999999999702</v>
      </c>
      <c r="AL96" s="8">
        <f>IF(M96="","",M96-J96)</f>
        <v>8.0750000000000028</v>
      </c>
      <c r="AM96" s="8"/>
      <c r="AP96" t="s">
        <v>90</v>
      </c>
    </row>
    <row r="97" spans="1:42" x14ac:dyDescent="0.3">
      <c r="A97" t="s">
        <v>41</v>
      </c>
      <c r="B97" s="6">
        <v>45089</v>
      </c>
      <c r="C97" s="7">
        <v>2</v>
      </c>
      <c r="D97" s="7">
        <v>1</v>
      </c>
      <c r="E97">
        <v>2</v>
      </c>
      <c r="F97" t="s">
        <v>42</v>
      </c>
      <c r="G97">
        <v>62.5</v>
      </c>
      <c r="H97">
        <v>108</v>
      </c>
      <c r="I97">
        <v>30.838999999999999</v>
      </c>
      <c r="J97">
        <v>31.059000000000001</v>
      </c>
      <c r="K97">
        <v>31.259</v>
      </c>
      <c r="L97">
        <v>31.219000000000001</v>
      </c>
      <c r="M97">
        <v>39.158999999999999</v>
      </c>
      <c r="U97" s="8">
        <f>IF(J97="","",J97-K97)</f>
        <v>-0.19999999999999929</v>
      </c>
      <c r="V97" s="8">
        <f>IF(K97="","",M97-K97)</f>
        <v>7.8999999999999986</v>
      </c>
      <c r="W97" s="8" t="str">
        <f>IF(N97-M97&gt;0,N97-M97,"")</f>
        <v/>
      </c>
      <c r="X97" s="8"/>
      <c r="Y97" s="8"/>
      <c r="Z97" s="8"/>
      <c r="AA97" s="8"/>
      <c r="AB97" s="8"/>
      <c r="AC97" s="8"/>
      <c r="AD97" s="8" t="str">
        <f>IF(W97="","",V97+W97)</f>
        <v/>
      </c>
      <c r="AK97" s="8">
        <f>L97-K97</f>
        <v>-3.9999999999999147E-2</v>
      </c>
      <c r="AL97" s="8">
        <f>IF(M97="","",M97-J97)</f>
        <v>8.0999999999999979</v>
      </c>
      <c r="AM97" s="8"/>
      <c r="AP97" t="s">
        <v>166</v>
      </c>
    </row>
    <row r="98" spans="1:42" x14ac:dyDescent="0.3">
      <c r="A98" t="s">
        <v>36</v>
      </c>
      <c r="B98" s="6">
        <v>45089</v>
      </c>
      <c r="C98" s="7">
        <v>2</v>
      </c>
      <c r="D98" s="7">
        <v>2</v>
      </c>
      <c r="E98">
        <v>1</v>
      </c>
      <c r="F98" t="s">
        <v>51</v>
      </c>
      <c r="G98">
        <v>62.5</v>
      </c>
      <c r="H98">
        <v>99.6</v>
      </c>
      <c r="J98">
        <v>57.459000000000003</v>
      </c>
      <c r="K98">
        <v>57.399000000000001</v>
      </c>
      <c r="L98">
        <v>57.558999999999997</v>
      </c>
      <c r="M98">
        <v>64.938999999999993</v>
      </c>
      <c r="U98" s="8">
        <f>IF(J98="","",J98-K98)</f>
        <v>6.0000000000002274E-2</v>
      </c>
      <c r="V98" s="8">
        <f>IF(K98="","",M98-K98)</f>
        <v>7.539999999999992</v>
      </c>
      <c r="W98" s="8" t="str">
        <f>IF(N98-M98&gt;0,N98-M98,"")</f>
        <v/>
      </c>
      <c r="X98" s="8"/>
      <c r="Y98" s="8"/>
      <c r="Z98" s="8"/>
      <c r="AA98" s="8"/>
      <c r="AB98" s="8"/>
      <c r="AC98" s="8"/>
      <c r="AD98" s="8" t="str">
        <f>IF(W98="","",V98+W98)</f>
        <v/>
      </c>
      <c r="AK98" s="8">
        <f>L98-K98</f>
        <v>0.15999999999999659</v>
      </c>
      <c r="AL98" s="8">
        <f>IF(M98="","",M98-J98)</f>
        <v>7.4799999999999898</v>
      </c>
      <c r="AM98" s="8"/>
      <c r="AP98" t="s">
        <v>91</v>
      </c>
    </row>
    <row r="99" spans="1:42" x14ac:dyDescent="0.3">
      <c r="A99" t="s">
        <v>41</v>
      </c>
      <c r="B99" s="6">
        <v>45089</v>
      </c>
      <c r="C99" s="7">
        <v>2</v>
      </c>
      <c r="D99" s="7">
        <v>2</v>
      </c>
      <c r="E99">
        <v>2</v>
      </c>
      <c r="F99" t="s">
        <v>51</v>
      </c>
      <c r="G99">
        <v>62.5</v>
      </c>
      <c r="H99">
        <v>108</v>
      </c>
      <c r="I99">
        <v>57.039000000000001</v>
      </c>
      <c r="J99">
        <v>57.259</v>
      </c>
      <c r="K99">
        <v>57.399000000000001</v>
      </c>
      <c r="L99">
        <v>57.418999999999997</v>
      </c>
      <c r="M99">
        <v>65.338999999999999</v>
      </c>
      <c r="U99" s="8">
        <f>IF(J99="","",J99-K99)</f>
        <v>-0.14000000000000057</v>
      </c>
      <c r="V99" s="8">
        <f>IF(K99="","",M99-K99)</f>
        <v>7.9399999999999977</v>
      </c>
      <c r="W99" s="8" t="str">
        <f>IF(N99-M99&gt;0,N99-M99,"")</f>
        <v/>
      </c>
      <c r="X99" s="8"/>
      <c r="Y99" s="8"/>
      <c r="Z99" s="8"/>
      <c r="AA99" s="8"/>
      <c r="AB99" s="8"/>
      <c r="AC99" s="8"/>
      <c r="AD99" s="8" t="str">
        <f>IF(W99="","",V99+W99)</f>
        <v/>
      </c>
      <c r="AK99" s="8">
        <f>L99-K99</f>
        <v>1.9999999999996021E-2</v>
      </c>
      <c r="AL99" s="8">
        <f>IF(M99="","",M99-J99)</f>
        <v>8.0799999999999983</v>
      </c>
      <c r="AM99" s="8"/>
      <c r="AP99" t="s">
        <v>91</v>
      </c>
    </row>
    <row r="100" spans="1:42" x14ac:dyDescent="0.3">
      <c r="A100" t="s">
        <v>38</v>
      </c>
      <c r="B100" s="6">
        <v>45089</v>
      </c>
      <c r="C100" s="7">
        <v>2</v>
      </c>
      <c r="D100" s="7">
        <v>2</v>
      </c>
      <c r="E100">
        <v>3</v>
      </c>
      <c r="F100" t="s">
        <v>51</v>
      </c>
      <c r="G100">
        <v>62.5</v>
      </c>
      <c r="H100">
        <v>108</v>
      </c>
      <c r="I100">
        <v>56.959000000000003</v>
      </c>
      <c r="J100">
        <v>57.238999999999997</v>
      </c>
      <c r="K100">
        <v>57.399000000000001</v>
      </c>
      <c r="L100">
        <v>57.499000000000002</v>
      </c>
      <c r="M100">
        <v>65.459000000000003</v>
      </c>
      <c r="U100" s="8">
        <f>IF(J100="","",J100-K100)</f>
        <v>-0.16000000000000369</v>
      </c>
      <c r="V100" s="8">
        <f>IF(K100="","",M100-K100)</f>
        <v>8.0600000000000023</v>
      </c>
      <c r="W100" s="8" t="str">
        <f>IF(N100-M100&gt;0,N100-M100,"")</f>
        <v/>
      </c>
      <c r="X100" s="8"/>
      <c r="Y100" s="8"/>
      <c r="Z100" s="8"/>
      <c r="AA100" s="8"/>
      <c r="AB100" s="8"/>
      <c r="AC100" s="8"/>
      <c r="AD100" s="8" t="str">
        <f>IF(W100="","",V100+W100)</f>
        <v/>
      </c>
      <c r="AK100" s="8">
        <f>L100-K100</f>
        <v>0.10000000000000142</v>
      </c>
      <c r="AL100" s="8">
        <f>IF(M100="","",M100-J100)</f>
        <v>8.220000000000006</v>
      </c>
      <c r="AM100" s="8"/>
      <c r="AP100" t="s">
        <v>91</v>
      </c>
    </row>
    <row r="101" spans="1:42" x14ac:dyDescent="0.3">
      <c r="A101" t="s">
        <v>40</v>
      </c>
      <c r="B101" s="6">
        <v>45089</v>
      </c>
      <c r="C101" s="7">
        <v>2</v>
      </c>
      <c r="D101" s="7">
        <v>2</v>
      </c>
      <c r="E101">
        <v>2</v>
      </c>
      <c r="F101" t="s">
        <v>42</v>
      </c>
      <c r="G101">
        <v>62.5</v>
      </c>
      <c r="H101">
        <v>108</v>
      </c>
      <c r="I101">
        <v>14.179</v>
      </c>
      <c r="J101">
        <v>14.459</v>
      </c>
      <c r="K101">
        <v>14.558999999999999</v>
      </c>
      <c r="L101">
        <v>14.718999999999999</v>
      </c>
      <c r="M101">
        <v>22.614999999999998</v>
      </c>
      <c r="U101" s="8">
        <f>IF(J101="","",J101-K101)</f>
        <v>-9.9999999999999645E-2</v>
      </c>
      <c r="V101" s="8">
        <f>IF(K101="","",M101-K101)</f>
        <v>8.0559999999999992</v>
      </c>
      <c r="W101" s="8" t="str">
        <f>IF(N101-M101&gt;0,N101-M101,"")</f>
        <v/>
      </c>
      <c r="X101" s="8"/>
      <c r="Y101" s="8"/>
      <c r="Z101" s="8"/>
      <c r="AA101" s="8"/>
      <c r="AB101" s="8"/>
      <c r="AC101" s="8"/>
      <c r="AD101" s="8" t="str">
        <f>IF(W101="","",V101+W101)</f>
        <v/>
      </c>
      <c r="AK101" s="8">
        <f>L101-K101</f>
        <v>0.16000000000000014</v>
      </c>
      <c r="AL101" s="8">
        <f>IF(M101="","",M101-J101)</f>
        <v>8.1559999999999988</v>
      </c>
      <c r="AM101" s="8"/>
      <c r="AP101" t="s">
        <v>85</v>
      </c>
    </row>
    <row r="102" spans="1:42" x14ac:dyDescent="0.3">
      <c r="A102" t="s">
        <v>36</v>
      </c>
      <c r="B102" s="6">
        <v>45089</v>
      </c>
      <c r="C102" s="7">
        <v>2</v>
      </c>
      <c r="D102" s="7">
        <v>3</v>
      </c>
      <c r="E102">
        <v>1</v>
      </c>
      <c r="F102" t="s">
        <v>52</v>
      </c>
      <c r="G102">
        <v>125</v>
      </c>
      <c r="H102">
        <v>99.6</v>
      </c>
      <c r="J102">
        <v>28.419</v>
      </c>
      <c r="K102">
        <v>28.338999999999999</v>
      </c>
      <c r="L102">
        <v>28.498999999999999</v>
      </c>
      <c r="M102">
        <v>35.899000000000001</v>
      </c>
      <c r="N102">
        <v>40.189</v>
      </c>
      <c r="U102" s="8">
        <f>IF(J102="","",J102-K102)</f>
        <v>8.0000000000001847E-2</v>
      </c>
      <c r="V102" s="8">
        <f>IF(K102="","",M102-K102)</f>
        <v>7.5600000000000023</v>
      </c>
      <c r="W102" s="8">
        <f>IF(N102-M102&gt;0,N102-M102,"")</f>
        <v>4.2899999999999991</v>
      </c>
      <c r="X102" s="8"/>
      <c r="Y102" s="8"/>
      <c r="Z102" s="8"/>
      <c r="AA102" s="8"/>
      <c r="AB102" s="8"/>
      <c r="AC102" s="8"/>
      <c r="AD102" s="8">
        <f>IF(W102="","",V102+W102)</f>
        <v>11.850000000000001</v>
      </c>
      <c r="AK102" s="8">
        <f>L102-K102</f>
        <v>0.16000000000000014</v>
      </c>
      <c r="AL102" s="8">
        <f>IF(M102="","",M102-J102)</f>
        <v>7.48</v>
      </c>
      <c r="AM102" s="8">
        <f>IF(N102="","",AL102+W102)</f>
        <v>11.77</v>
      </c>
      <c r="AP102" t="s">
        <v>81</v>
      </c>
    </row>
    <row r="103" spans="1:42" x14ac:dyDescent="0.3">
      <c r="A103" t="s">
        <v>38</v>
      </c>
      <c r="B103" s="6">
        <v>45089</v>
      </c>
      <c r="C103" s="7">
        <v>2</v>
      </c>
      <c r="D103" s="7">
        <v>3</v>
      </c>
      <c r="E103">
        <v>2</v>
      </c>
      <c r="F103" t="s">
        <v>52</v>
      </c>
      <c r="G103">
        <v>125</v>
      </c>
      <c r="H103">
        <v>108</v>
      </c>
      <c r="I103">
        <v>27.939</v>
      </c>
      <c r="J103">
        <v>28.158999999999999</v>
      </c>
      <c r="K103">
        <v>28.338999999999999</v>
      </c>
      <c r="L103">
        <v>28.379000000000001</v>
      </c>
      <c r="M103">
        <v>36.158999999999999</v>
      </c>
      <c r="N103">
        <v>40.475000000000001</v>
      </c>
      <c r="U103" s="8">
        <f>IF(J103="","",J103-K103)</f>
        <v>-0.17999999999999972</v>
      </c>
      <c r="V103" s="8">
        <f>IF(K103="","",M103-K103)</f>
        <v>7.82</v>
      </c>
      <c r="W103" s="8">
        <f>IF(N103-M103&gt;0,N103-M103,"")</f>
        <v>4.3160000000000025</v>
      </c>
      <c r="X103" s="8"/>
      <c r="Y103" s="8"/>
      <c r="Z103" s="8"/>
      <c r="AA103" s="8"/>
      <c r="AB103" s="8"/>
      <c r="AC103" s="8"/>
      <c r="AD103" s="8">
        <f>IF(W103="","",V103+W103)</f>
        <v>12.136000000000003</v>
      </c>
      <c r="AK103" s="8">
        <f>L103-K103</f>
        <v>4.00000000000027E-2</v>
      </c>
      <c r="AL103" s="8">
        <f>IF(M103="","",M103-J103)</f>
        <v>8</v>
      </c>
      <c r="AM103" s="8">
        <f>IF(N103="","",AL103+W103)</f>
        <v>12.316000000000003</v>
      </c>
      <c r="AP103" t="s">
        <v>81</v>
      </c>
    </row>
    <row r="104" spans="1:42" x14ac:dyDescent="0.3">
      <c r="A104" t="s">
        <v>40</v>
      </c>
      <c r="B104" s="6">
        <v>45089</v>
      </c>
      <c r="C104" s="7">
        <v>2</v>
      </c>
      <c r="D104" s="7">
        <v>3</v>
      </c>
      <c r="E104">
        <v>3</v>
      </c>
      <c r="F104" t="s">
        <v>52</v>
      </c>
      <c r="G104">
        <v>125</v>
      </c>
      <c r="H104">
        <v>108</v>
      </c>
      <c r="I104">
        <v>27.998999999999999</v>
      </c>
      <c r="J104">
        <v>28.279</v>
      </c>
      <c r="K104">
        <v>28.338999999999999</v>
      </c>
      <c r="L104">
        <v>28.617999999999999</v>
      </c>
      <c r="M104">
        <v>36.359000000000002</v>
      </c>
      <c r="N104">
        <v>40.628999999999998</v>
      </c>
      <c r="U104" s="8">
        <f>IF(J104="","",J104-K104)</f>
        <v>-5.9999999999998721E-2</v>
      </c>
      <c r="V104" s="8">
        <f>IF(K104="","",M104-K104)</f>
        <v>8.0200000000000031</v>
      </c>
      <c r="W104" s="8">
        <f>IF(N104-M104&gt;0,N104-M104,"")</f>
        <v>4.269999999999996</v>
      </c>
      <c r="X104" s="8"/>
      <c r="Y104" s="8"/>
      <c r="Z104" s="8"/>
      <c r="AA104" s="8"/>
      <c r="AB104" s="8"/>
      <c r="AC104" s="8"/>
      <c r="AD104" s="8">
        <f>IF(W104="","",V104+W104)</f>
        <v>12.29</v>
      </c>
      <c r="AK104" s="8">
        <f>L104-K104</f>
        <v>0.27899999999999991</v>
      </c>
      <c r="AL104" s="8">
        <f>IF(M104="","",M104-J104)</f>
        <v>8.0800000000000018</v>
      </c>
      <c r="AM104" s="8">
        <f>IF(N104="","",AL104+W104)</f>
        <v>12.349999999999998</v>
      </c>
      <c r="AP104" t="s">
        <v>81</v>
      </c>
    </row>
    <row r="105" spans="1:42" x14ac:dyDescent="0.3">
      <c r="A105" t="s">
        <v>36</v>
      </c>
      <c r="B105" s="6">
        <v>45096</v>
      </c>
      <c r="C105" s="7">
        <v>1</v>
      </c>
      <c r="D105" s="7">
        <v>1</v>
      </c>
      <c r="E105">
        <v>1</v>
      </c>
      <c r="F105" t="s">
        <v>51</v>
      </c>
      <c r="G105">
        <v>62.5</v>
      </c>
      <c r="H105">
        <v>100</v>
      </c>
      <c r="J105">
        <v>1.714</v>
      </c>
      <c r="K105">
        <v>1.635</v>
      </c>
      <c r="L105">
        <v>1.794</v>
      </c>
      <c r="M105">
        <v>9.1340000000000003</v>
      </c>
      <c r="U105" s="8">
        <f>IF(J105="","",J105-K105)</f>
        <v>7.8999999999999959E-2</v>
      </c>
      <c r="V105" s="8">
        <f>IF(K105="","",M105-K105)</f>
        <v>7.4990000000000006</v>
      </c>
      <c r="W105" s="8" t="str">
        <f>IF(N105-M105&gt;0,N105-M105,"")</f>
        <v/>
      </c>
      <c r="X105" s="8"/>
      <c r="Y105" s="8"/>
      <c r="Z105" s="8"/>
      <c r="AA105" s="8"/>
      <c r="AB105" s="8"/>
      <c r="AC105" s="8"/>
      <c r="AD105" s="8" t="str">
        <f>IF(W105="","",V105+W105)</f>
        <v/>
      </c>
      <c r="AK105" s="8">
        <f>L105-K105</f>
        <v>0.15900000000000003</v>
      </c>
      <c r="AL105" s="8">
        <f>IF(M105="","",M105-J105)</f>
        <v>7.42</v>
      </c>
      <c r="AM105" s="8"/>
      <c r="AP105" t="s">
        <v>69</v>
      </c>
    </row>
    <row r="106" spans="1:42" x14ac:dyDescent="0.3">
      <c r="A106" t="s">
        <v>41</v>
      </c>
      <c r="B106" s="6">
        <v>45096</v>
      </c>
      <c r="C106" s="7">
        <v>1</v>
      </c>
      <c r="D106" s="7">
        <v>1</v>
      </c>
      <c r="E106">
        <v>2</v>
      </c>
      <c r="F106" t="s">
        <v>51</v>
      </c>
      <c r="G106">
        <v>62.5</v>
      </c>
      <c r="H106">
        <v>106</v>
      </c>
      <c r="I106">
        <v>1.194</v>
      </c>
      <c r="J106">
        <v>1.454</v>
      </c>
      <c r="K106">
        <v>1.635</v>
      </c>
      <c r="L106">
        <v>1.7350000000000001</v>
      </c>
      <c r="M106">
        <v>9.4960000000000004</v>
      </c>
      <c r="U106" s="8">
        <f>IF(J106="","",J106-K106)</f>
        <v>-0.18100000000000005</v>
      </c>
      <c r="V106" s="8">
        <f>IF(K106="","",M106-K106)</f>
        <v>7.8610000000000007</v>
      </c>
      <c r="W106" s="8" t="str">
        <f>IF(N106-M106&gt;0,N106-M106,"")</f>
        <v/>
      </c>
      <c r="X106" s="8"/>
      <c r="Y106" s="8"/>
      <c r="Z106" s="8"/>
      <c r="AA106" s="8"/>
      <c r="AB106" s="8"/>
      <c r="AC106" s="8"/>
      <c r="AD106" s="8" t="str">
        <f>IF(W106="","",V106+W106)</f>
        <v/>
      </c>
      <c r="AK106" s="8">
        <f>L106-K106</f>
        <v>0.10000000000000009</v>
      </c>
      <c r="AL106" s="8">
        <f>IF(M106="","",M106-J106)</f>
        <v>8.0419999999999998</v>
      </c>
      <c r="AM106" s="8"/>
      <c r="AP106" t="s">
        <v>69</v>
      </c>
    </row>
    <row r="107" spans="1:42" x14ac:dyDescent="0.3">
      <c r="A107" t="s">
        <v>38</v>
      </c>
      <c r="B107" s="6">
        <v>45096</v>
      </c>
      <c r="C107" s="7">
        <v>1</v>
      </c>
      <c r="D107" s="7">
        <v>1</v>
      </c>
      <c r="E107">
        <v>3</v>
      </c>
      <c r="F107" t="s">
        <v>51</v>
      </c>
      <c r="G107">
        <v>62.5</v>
      </c>
      <c r="H107">
        <v>108</v>
      </c>
      <c r="I107">
        <v>1.1339999999999999</v>
      </c>
      <c r="J107">
        <v>1.3740000000000001</v>
      </c>
      <c r="K107">
        <v>1.635</v>
      </c>
      <c r="L107">
        <v>1.6140000000000001</v>
      </c>
      <c r="M107">
        <v>9.5540000000000003</v>
      </c>
      <c r="U107" s="8">
        <f>IF(J107="","",J107-K107)</f>
        <v>-0.2609999999999999</v>
      </c>
      <c r="V107" s="8">
        <f>IF(K107="","",M107-K107)</f>
        <v>7.9190000000000005</v>
      </c>
      <c r="W107" s="8" t="str">
        <f>IF(N107-M107&gt;0,N107-M107,"")</f>
        <v/>
      </c>
      <c r="X107" s="8"/>
      <c r="Y107" s="8"/>
      <c r="Z107" s="8"/>
      <c r="AA107" s="8"/>
      <c r="AB107" s="8"/>
      <c r="AC107" s="8"/>
      <c r="AD107" s="8" t="str">
        <f>IF(W107="","",V107+W107)</f>
        <v/>
      </c>
      <c r="AK107" s="8">
        <f>L107-K107</f>
        <v>-2.0999999999999908E-2</v>
      </c>
      <c r="AL107" s="8">
        <f>IF(M107="","",M107-J107)</f>
        <v>8.18</v>
      </c>
      <c r="AM107" s="8"/>
      <c r="AP107" t="s">
        <v>69</v>
      </c>
    </row>
    <row r="108" spans="1:42" x14ac:dyDescent="0.3">
      <c r="A108" t="s">
        <v>40</v>
      </c>
      <c r="B108" s="6">
        <v>45096</v>
      </c>
      <c r="C108" s="7">
        <v>1</v>
      </c>
      <c r="D108" s="7">
        <v>1</v>
      </c>
      <c r="E108">
        <v>2</v>
      </c>
      <c r="F108" t="s">
        <v>42</v>
      </c>
      <c r="G108">
        <v>62.5</v>
      </c>
      <c r="H108">
        <v>108</v>
      </c>
      <c r="I108">
        <v>15.834</v>
      </c>
      <c r="J108">
        <v>16.134</v>
      </c>
      <c r="K108">
        <v>16.254000000000001</v>
      </c>
      <c r="L108">
        <v>16.513999999999999</v>
      </c>
      <c r="M108">
        <v>24.274000000000001</v>
      </c>
      <c r="U108" s="8">
        <f>IF(J108="","",J108-K108)</f>
        <v>-0.12000000000000099</v>
      </c>
      <c r="V108" s="8">
        <f>IF(K108="","",M108-K108)</f>
        <v>8.02</v>
      </c>
      <c r="W108" s="8" t="str">
        <f>IF(N108-M108&gt;0,N108-M108,"")</f>
        <v/>
      </c>
      <c r="X108" s="8"/>
      <c r="Y108" s="8"/>
      <c r="Z108" s="8"/>
      <c r="AA108" s="8"/>
      <c r="AB108" s="8"/>
      <c r="AC108" s="8"/>
      <c r="AD108" s="8" t="str">
        <f>IF(W108="","",V108+W108)</f>
        <v/>
      </c>
      <c r="AK108" s="8">
        <f>L108-K108</f>
        <v>0.25999999999999801</v>
      </c>
      <c r="AL108" s="8">
        <f>IF(M108="","",M108-J108)</f>
        <v>8.14</v>
      </c>
      <c r="AM108" s="8"/>
      <c r="AP108" t="s">
        <v>75</v>
      </c>
    </row>
    <row r="109" spans="1:42" x14ac:dyDescent="0.3">
      <c r="A109" t="s">
        <v>36</v>
      </c>
      <c r="B109" s="6">
        <v>45096</v>
      </c>
      <c r="C109" s="7">
        <v>1</v>
      </c>
      <c r="D109" s="7">
        <v>2</v>
      </c>
      <c r="E109">
        <v>1</v>
      </c>
      <c r="F109" t="s">
        <v>51</v>
      </c>
      <c r="G109">
        <v>62.5</v>
      </c>
      <c r="H109">
        <v>100</v>
      </c>
      <c r="J109">
        <v>60.292999999999999</v>
      </c>
      <c r="K109">
        <v>60.253999999999998</v>
      </c>
      <c r="L109">
        <v>60.414000000000001</v>
      </c>
      <c r="M109">
        <v>67.674000000000007</v>
      </c>
      <c r="U109" s="8">
        <f>IF(J109="","",J109-K109)</f>
        <v>3.9000000000001478E-2</v>
      </c>
      <c r="V109" s="8">
        <f>IF(K109="","",M109-K109)</f>
        <v>7.4200000000000088</v>
      </c>
      <c r="W109" s="8" t="str">
        <f>IF(N109-M109&gt;0,N109-M109,"")</f>
        <v/>
      </c>
      <c r="X109" s="8"/>
      <c r="Y109" s="8"/>
      <c r="Z109" s="8"/>
      <c r="AA109" s="8"/>
      <c r="AB109" s="8"/>
      <c r="AC109" s="8"/>
      <c r="AD109" s="8" t="str">
        <f>IF(W109="","",V109+W109)</f>
        <v/>
      </c>
      <c r="AK109" s="8">
        <f>L109-K109</f>
        <v>0.16000000000000369</v>
      </c>
      <c r="AL109" s="8">
        <f>IF(M109="","",M109-J109)</f>
        <v>7.3810000000000073</v>
      </c>
      <c r="AM109" s="8"/>
      <c r="AP109" t="s">
        <v>70</v>
      </c>
    </row>
    <row r="110" spans="1:42" x14ac:dyDescent="0.3">
      <c r="A110" t="s">
        <v>41</v>
      </c>
      <c r="B110" s="6">
        <v>45096</v>
      </c>
      <c r="C110" s="7">
        <v>1</v>
      </c>
      <c r="D110" s="7">
        <v>2</v>
      </c>
      <c r="E110">
        <v>2</v>
      </c>
      <c r="F110" t="s">
        <v>51</v>
      </c>
      <c r="G110">
        <v>62.5</v>
      </c>
      <c r="H110">
        <v>106</v>
      </c>
      <c r="I110">
        <v>59.793999999999997</v>
      </c>
      <c r="J110">
        <v>60.012999999999998</v>
      </c>
      <c r="K110">
        <v>60.253999999999998</v>
      </c>
      <c r="L110">
        <v>60.292999999999999</v>
      </c>
      <c r="M110">
        <v>68.033000000000001</v>
      </c>
      <c r="U110" s="8">
        <f>IF(J110="","",J110-K110)</f>
        <v>-0.24099999999999966</v>
      </c>
      <c r="V110" s="8">
        <f>IF(K110="","",M110-K110)</f>
        <v>7.7790000000000035</v>
      </c>
      <c r="W110" s="8" t="str">
        <f>IF(N110-M110&gt;0,N110-M110,"")</f>
        <v/>
      </c>
      <c r="X110" s="8"/>
      <c r="Y110" s="8"/>
      <c r="Z110" s="8"/>
      <c r="AA110" s="8"/>
      <c r="AB110" s="8"/>
      <c r="AC110" s="8"/>
      <c r="AD110" s="8" t="str">
        <f>IF(W110="","",V110+W110)</f>
        <v/>
      </c>
      <c r="AK110" s="8">
        <f>L110-K110</f>
        <v>3.9000000000001478E-2</v>
      </c>
      <c r="AL110" s="8">
        <f>IF(M110="","",M110-J110)</f>
        <v>8.0200000000000031</v>
      </c>
      <c r="AM110" s="8"/>
      <c r="AP110" t="s">
        <v>70</v>
      </c>
    </row>
    <row r="111" spans="1:42" x14ac:dyDescent="0.3">
      <c r="A111" t="s">
        <v>38</v>
      </c>
      <c r="B111" s="6">
        <v>45096</v>
      </c>
      <c r="C111" s="7">
        <v>1</v>
      </c>
      <c r="D111" s="7">
        <v>2</v>
      </c>
      <c r="E111">
        <v>3</v>
      </c>
      <c r="F111" t="s">
        <v>51</v>
      </c>
      <c r="G111">
        <v>62.5</v>
      </c>
      <c r="H111">
        <v>108</v>
      </c>
      <c r="I111">
        <v>59.753</v>
      </c>
      <c r="J111">
        <v>60.113999999999997</v>
      </c>
      <c r="K111">
        <v>60.253999999999998</v>
      </c>
      <c r="L111">
        <v>60.332999999999998</v>
      </c>
      <c r="M111">
        <v>68.173000000000002</v>
      </c>
      <c r="U111" s="8">
        <f>IF(J111="","",J111-K111)</f>
        <v>-0.14000000000000057</v>
      </c>
      <c r="V111" s="8">
        <f>IF(K111="","",M111-K111)</f>
        <v>7.919000000000004</v>
      </c>
      <c r="W111" s="8" t="str">
        <f>IF(N111-M111&gt;0,N111-M111,"")</f>
        <v/>
      </c>
      <c r="X111" s="8"/>
      <c r="Y111" s="8"/>
      <c r="Z111" s="8"/>
      <c r="AA111" s="8"/>
      <c r="AB111" s="8"/>
      <c r="AC111" s="8"/>
      <c r="AD111" s="8" t="str">
        <f>IF(W111="","",V111+W111)</f>
        <v/>
      </c>
      <c r="AK111" s="8">
        <f>L111-K111</f>
        <v>7.9000000000000625E-2</v>
      </c>
      <c r="AL111" s="8">
        <f>IF(M111="","",M111-J111)</f>
        <v>8.0590000000000046</v>
      </c>
      <c r="AM111" s="8"/>
      <c r="AP111" t="s">
        <v>70</v>
      </c>
    </row>
    <row r="112" spans="1:42" x14ac:dyDescent="0.3">
      <c r="A112" t="s">
        <v>40</v>
      </c>
      <c r="B112" s="6">
        <v>45096</v>
      </c>
      <c r="C112" s="7">
        <v>1</v>
      </c>
      <c r="D112" s="7">
        <v>2</v>
      </c>
      <c r="E112">
        <v>2</v>
      </c>
      <c r="F112" t="s">
        <v>42</v>
      </c>
      <c r="G112">
        <v>62.5</v>
      </c>
      <c r="H112">
        <v>108</v>
      </c>
      <c r="I112">
        <v>0.47299999999999998</v>
      </c>
      <c r="J112">
        <v>0.91300000000000003</v>
      </c>
      <c r="K112">
        <v>1.093</v>
      </c>
      <c r="L112">
        <v>1.153</v>
      </c>
      <c r="M112">
        <v>8.9930000000000003</v>
      </c>
      <c r="U112" s="8">
        <f>IF(J112="","",J112-K112)</f>
        <v>-0.17999999999999994</v>
      </c>
      <c r="V112" s="8">
        <f>IF(K112="","",M112-K112)</f>
        <v>7.9</v>
      </c>
      <c r="W112" s="8" t="str">
        <f>IF(N112-M112&gt;0,N112-M112,"")</f>
        <v/>
      </c>
      <c r="X112" s="8"/>
      <c r="Y112" s="8"/>
      <c r="Z112" s="8"/>
      <c r="AA112" s="8"/>
      <c r="AB112" s="8"/>
      <c r="AC112" s="8"/>
      <c r="AD112" s="8" t="str">
        <f>IF(W112="","",V112+W112)</f>
        <v/>
      </c>
      <c r="AK112" s="8">
        <f>L112-K112</f>
        <v>6.0000000000000053E-2</v>
      </c>
      <c r="AL112" s="8">
        <f>IF(M112="","",M112-J112)</f>
        <v>8.08</v>
      </c>
      <c r="AM112" s="8"/>
      <c r="AP112" t="s">
        <v>76</v>
      </c>
    </row>
    <row r="113" spans="1:42" x14ac:dyDescent="0.3">
      <c r="A113" t="s">
        <v>36</v>
      </c>
      <c r="B113" s="6">
        <v>45096</v>
      </c>
      <c r="C113" s="7">
        <v>1</v>
      </c>
      <c r="D113" s="7">
        <v>3</v>
      </c>
      <c r="E113">
        <v>1</v>
      </c>
      <c r="F113" t="s">
        <v>51</v>
      </c>
      <c r="G113">
        <v>125</v>
      </c>
      <c r="H113">
        <v>100</v>
      </c>
      <c r="J113">
        <v>47.372</v>
      </c>
      <c r="K113">
        <v>47.292000000000002</v>
      </c>
      <c r="L113">
        <v>47.451999999999998</v>
      </c>
      <c r="M113">
        <v>54.682000000000002</v>
      </c>
      <c r="N113">
        <v>58.951999999999998</v>
      </c>
      <c r="U113" s="8">
        <f>IF(J113="","",J113-K113)</f>
        <v>7.9999999999998295E-2</v>
      </c>
      <c r="V113" s="8">
        <f>IF(K113="","",M113-K113)</f>
        <v>7.3900000000000006</v>
      </c>
      <c r="W113" s="8">
        <f>IF(N113-M113&gt;0,N113-M113,"")</f>
        <v>4.269999999999996</v>
      </c>
      <c r="X113" s="8"/>
      <c r="Y113" s="8"/>
      <c r="Z113" s="8"/>
      <c r="AA113" s="8"/>
      <c r="AB113" s="8"/>
      <c r="AC113" s="8"/>
      <c r="AD113" s="8">
        <f>IF(W113="","",V113+W113)</f>
        <v>11.659999999999997</v>
      </c>
      <c r="AK113" s="8">
        <f>L113-K113</f>
        <v>0.15999999999999659</v>
      </c>
      <c r="AL113" s="8">
        <f>IF(M113="","",M113-J113)</f>
        <v>7.3100000000000023</v>
      </c>
      <c r="AM113" s="8">
        <f>IF(N113="","",AL113+W113)</f>
        <v>11.579999999999998</v>
      </c>
      <c r="AP113" t="s">
        <v>71</v>
      </c>
    </row>
    <row r="114" spans="1:42" x14ac:dyDescent="0.3">
      <c r="A114" t="s">
        <v>41</v>
      </c>
      <c r="B114" s="6">
        <v>45096</v>
      </c>
      <c r="C114" s="7">
        <v>1</v>
      </c>
      <c r="D114" s="7">
        <v>3</v>
      </c>
      <c r="E114">
        <v>2</v>
      </c>
      <c r="F114" t="s">
        <v>51</v>
      </c>
      <c r="G114">
        <v>125</v>
      </c>
      <c r="H114">
        <v>106</v>
      </c>
      <c r="I114">
        <v>47.012</v>
      </c>
      <c r="J114">
        <v>47.252000000000002</v>
      </c>
      <c r="K114">
        <v>47.292000000000002</v>
      </c>
      <c r="L114">
        <v>47.451999999999998</v>
      </c>
      <c r="M114">
        <v>55.112000000000002</v>
      </c>
      <c r="N114">
        <v>59.411999999999999</v>
      </c>
      <c r="U114" s="8">
        <f>IF(J114="","",J114-K114)</f>
        <v>-3.9999999999999147E-2</v>
      </c>
      <c r="V114" s="8">
        <f>IF(K114="","",M114-K114)</f>
        <v>7.82</v>
      </c>
      <c r="W114" s="8">
        <f>IF(N114-M114&gt;0,N114-M114,"")</f>
        <v>4.2999999999999972</v>
      </c>
      <c r="X114" s="8"/>
      <c r="Y114" s="8"/>
      <c r="Z114" s="8"/>
      <c r="AA114" s="8"/>
      <c r="AB114" s="8"/>
      <c r="AC114" s="8"/>
      <c r="AD114" s="8">
        <f>IF(W114="","",V114+W114)</f>
        <v>12.119999999999997</v>
      </c>
      <c r="AK114" s="8">
        <f>L114-K114</f>
        <v>0.15999999999999659</v>
      </c>
      <c r="AL114" s="8">
        <f>IF(M114="","",M114-J114)</f>
        <v>7.8599999999999994</v>
      </c>
      <c r="AM114" s="8">
        <f>IF(N114="","",AL114+W114)</f>
        <v>12.159999999999997</v>
      </c>
      <c r="AP114" t="s">
        <v>71</v>
      </c>
    </row>
    <row r="115" spans="1:42" x14ac:dyDescent="0.3">
      <c r="A115" t="s">
        <v>38</v>
      </c>
      <c r="B115" s="6">
        <v>45096</v>
      </c>
      <c r="C115" s="7">
        <v>1</v>
      </c>
      <c r="D115" s="7">
        <v>3</v>
      </c>
      <c r="E115">
        <v>3</v>
      </c>
      <c r="F115" t="s">
        <v>51</v>
      </c>
      <c r="G115">
        <v>125</v>
      </c>
      <c r="H115">
        <v>108</v>
      </c>
      <c r="I115">
        <v>46.911999999999999</v>
      </c>
      <c r="J115">
        <v>47.112000000000002</v>
      </c>
      <c r="K115">
        <v>47.292000000000002</v>
      </c>
      <c r="L115">
        <v>47.392000000000003</v>
      </c>
      <c r="M115">
        <v>55.212000000000003</v>
      </c>
      <c r="N115">
        <v>59.561999999999998</v>
      </c>
      <c r="U115" s="8">
        <f>IF(J115="","",J115-K115)</f>
        <v>-0.17999999999999972</v>
      </c>
      <c r="V115" s="8">
        <f>IF(K115="","",M115-K115)</f>
        <v>7.9200000000000017</v>
      </c>
      <c r="W115" s="8">
        <f>IF(N115-M115&gt;0,N115-M115,"")</f>
        <v>4.3499999999999943</v>
      </c>
      <c r="X115" s="8"/>
      <c r="Y115" s="8"/>
      <c r="Z115" s="8"/>
      <c r="AA115" s="8"/>
      <c r="AB115" s="8"/>
      <c r="AC115" s="8"/>
      <c r="AD115" s="8">
        <f>IF(W115="","",V115+W115)</f>
        <v>12.269999999999996</v>
      </c>
      <c r="AK115" s="8">
        <f>L115-K115</f>
        <v>0.10000000000000142</v>
      </c>
      <c r="AL115" s="8">
        <f>IF(M115="","",M115-J115)</f>
        <v>8.1000000000000014</v>
      </c>
      <c r="AM115" s="8">
        <f>IF(N115="","",AL115+W115)</f>
        <v>12.449999999999996</v>
      </c>
      <c r="AP115" t="s">
        <v>71</v>
      </c>
    </row>
    <row r="116" spans="1:42" x14ac:dyDescent="0.3">
      <c r="A116" t="s">
        <v>40</v>
      </c>
      <c r="B116" s="6">
        <v>45096</v>
      </c>
      <c r="C116" s="7">
        <v>1</v>
      </c>
      <c r="D116" s="7">
        <v>3</v>
      </c>
      <c r="E116">
        <v>2</v>
      </c>
      <c r="F116" t="s">
        <v>42</v>
      </c>
      <c r="G116">
        <v>125</v>
      </c>
      <c r="H116">
        <v>108</v>
      </c>
      <c r="I116">
        <v>5.1520000000000001</v>
      </c>
      <c r="J116">
        <v>5.492</v>
      </c>
      <c r="K116">
        <v>5.5110000000000001</v>
      </c>
      <c r="L116">
        <v>5.7110000000000003</v>
      </c>
      <c r="M116">
        <v>13.571</v>
      </c>
      <c r="N116">
        <v>18.052</v>
      </c>
      <c r="U116" s="8">
        <f>IF(J116="","",J116-K116)</f>
        <v>-1.9000000000000128E-2</v>
      </c>
      <c r="V116" s="8">
        <f>IF(K116="","",M116-K116)</f>
        <v>8.0599999999999987</v>
      </c>
      <c r="W116" s="8">
        <f>IF(N116-M116&gt;0,N116-M116,"")</f>
        <v>4.4809999999999999</v>
      </c>
      <c r="X116" s="8"/>
      <c r="Y116" s="8"/>
      <c r="Z116" s="8"/>
      <c r="AA116" s="8"/>
      <c r="AB116" s="8"/>
      <c r="AC116" s="8"/>
      <c r="AD116" s="8">
        <f>IF(W116="","",V116+W116)</f>
        <v>12.540999999999999</v>
      </c>
      <c r="AK116" s="8">
        <f>L116-K116</f>
        <v>0.20000000000000018</v>
      </c>
      <c r="AL116" s="8">
        <f>IF(M116="","",M116-J116)</f>
        <v>8.0790000000000006</v>
      </c>
      <c r="AM116" s="8">
        <f>IF(N116="","",AL116+W116)</f>
        <v>12.56</v>
      </c>
      <c r="AP116" t="s">
        <v>77</v>
      </c>
    </row>
    <row r="117" spans="1:42" x14ac:dyDescent="0.3">
      <c r="A117" t="s">
        <v>36</v>
      </c>
      <c r="B117" s="6">
        <v>45096</v>
      </c>
      <c r="C117" s="7">
        <v>2</v>
      </c>
      <c r="D117" s="7">
        <v>1</v>
      </c>
      <c r="E117">
        <v>1</v>
      </c>
      <c r="F117" t="s">
        <v>52</v>
      </c>
      <c r="G117">
        <v>62.5</v>
      </c>
      <c r="H117">
        <v>100</v>
      </c>
      <c r="J117">
        <v>26.013000000000002</v>
      </c>
      <c r="K117">
        <v>25.974</v>
      </c>
      <c r="L117">
        <v>26.113</v>
      </c>
      <c r="M117">
        <v>33.402999999999999</v>
      </c>
      <c r="U117" s="8">
        <f>IF(J117="","",J117-K117)</f>
        <v>3.9000000000001478E-2</v>
      </c>
      <c r="V117" s="8">
        <f>IF(K117="","",M117-K117)</f>
        <v>7.4289999999999985</v>
      </c>
      <c r="W117" s="8" t="str">
        <f>IF(N117-M117&gt;0,N117-M117,"")</f>
        <v/>
      </c>
      <c r="X117" s="8"/>
      <c r="Y117" s="8"/>
      <c r="Z117" s="8"/>
      <c r="AA117" s="8"/>
      <c r="AB117" s="8"/>
      <c r="AC117" s="8"/>
      <c r="AD117" s="8" t="str">
        <f>IF(W117="","",V117+W117)</f>
        <v/>
      </c>
      <c r="AK117" s="8">
        <f>L117-K117</f>
        <v>0.13899999999999935</v>
      </c>
      <c r="AL117" s="8">
        <f>IF(M117="","",M117-J117)</f>
        <v>7.389999999999997</v>
      </c>
      <c r="AM117" s="8"/>
      <c r="AP117" t="s">
        <v>72</v>
      </c>
    </row>
    <row r="118" spans="1:42" x14ac:dyDescent="0.3">
      <c r="A118" t="s">
        <v>38</v>
      </c>
      <c r="B118" s="6">
        <v>45096</v>
      </c>
      <c r="C118" s="7">
        <v>2</v>
      </c>
      <c r="D118" s="7">
        <v>1</v>
      </c>
      <c r="E118">
        <v>2</v>
      </c>
      <c r="F118" t="s">
        <v>52</v>
      </c>
      <c r="G118">
        <v>62.5</v>
      </c>
      <c r="H118">
        <v>106</v>
      </c>
      <c r="I118">
        <v>25.533000000000001</v>
      </c>
      <c r="J118">
        <v>25.733000000000001</v>
      </c>
      <c r="K118">
        <v>25.974</v>
      </c>
      <c r="L118">
        <v>26.013000000000002</v>
      </c>
      <c r="M118">
        <v>33.652999999999999</v>
      </c>
      <c r="U118" s="8">
        <f>IF(J118="","",J118-K118)</f>
        <v>-0.24099999999999966</v>
      </c>
      <c r="V118" s="8">
        <f>IF(K118="","",M118-K118)</f>
        <v>7.6789999999999985</v>
      </c>
      <c r="W118" s="8" t="str">
        <f>IF(N118-M118&gt;0,N118-M118,"")</f>
        <v/>
      </c>
      <c r="X118" s="8"/>
      <c r="Y118" s="8"/>
      <c r="Z118" s="8"/>
      <c r="AA118" s="8"/>
      <c r="AB118" s="8"/>
      <c r="AC118" s="8"/>
      <c r="AD118" s="8" t="str">
        <f>IF(W118="","",V118+W118)</f>
        <v/>
      </c>
      <c r="AK118" s="8">
        <f>L118-K118</f>
        <v>3.9000000000001478E-2</v>
      </c>
      <c r="AL118" s="8">
        <f>IF(M118="","",M118-J118)</f>
        <v>7.9199999999999982</v>
      </c>
      <c r="AM118" s="8"/>
      <c r="AP118" t="s">
        <v>72</v>
      </c>
    </row>
    <row r="119" spans="1:42" x14ac:dyDescent="0.3">
      <c r="A119" t="s">
        <v>40</v>
      </c>
      <c r="B119" s="6">
        <v>45096</v>
      </c>
      <c r="C119" s="7">
        <v>2</v>
      </c>
      <c r="D119" s="7">
        <v>1</v>
      </c>
      <c r="E119">
        <v>3</v>
      </c>
      <c r="F119" t="s">
        <v>52</v>
      </c>
      <c r="G119">
        <v>62.5</v>
      </c>
      <c r="H119">
        <v>108</v>
      </c>
      <c r="I119">
        <v>25.553000000000001</v>
      </c>
      <c r="J119">
        <v>25.893000000000001</v>
      </c>
      <c r="K119">
        <v>25.974</v>
      </c>
      <c r="L119">
        <v>26.173999999999999</v>
      </c>
      <c r="M119">
        <v>33.874000000000002</v>
      </c>
      <c r="U119" s="8">
        <f>IF(J119="","",J119-K119)</f>
        <v>-8.0999999999999517E-2</v>
      </c>
      <c r="V119" s="8">
        <f>IF(K119="","",M119-K119)</f>
        <v>7.9000000000000021</v>
      </c>
      <c r="W119" s="8" t="str">
        <f>IF(N119-M119&gt;0,N119-M119,"")</f>
        <v/>
      </c>
      <c r="X119" s="8"/>
      <c r="Y119" s="8"/>
      <c r="Z119" s="8"/>
      <c r="AA119" s="8"/>
      <c r="AB119" s="8"/>
      <c r="AC119" s="8"/>
      <c r="AD119" s="8" t="str">
        <f>IF(W119="","",V119+W119)</f>
        <v/>
      </c>
      <c r="AK119" s="8">
        <f>L119-K119</f>
        <v>0.19999999999999929</v>
      </c>
      <c r="AL119" s="8">
        <f>IF(M119="","",M119-J119)</f>
        <v>7.9810000000000016</v>
      </c>
      <c r="AM119" s="8"/>
      <c r="AP119" t="s">
        <v>72</v>
      </c>
    </row>
    <row r="120" spans="1:42" x14ac:dyDescent="0.3">
      <c r="A120" t="s">
        <v>41</v>
      </c>
      <c r="B120" s="6">
        <v>45096</v>
      </c>
      <c r="C120" s="7">
        <v>2</v>
      </c>
      <c r="D120" s="7">
        <v>1</v>
      </c>
      <c r="E120">
        <v>1</v>
      </c>
      <c r="F120" t="s">
        <v>42</v>
      </c>
      <c r="G120">
        <v>62.5</v>
      </c>
      <c r="H120">
        <v>106</v>
      </c>
      <c r="J120">
        <v>51.432000000000002</v>
      </c>
      <c r="K120">
        <v>51.372</v>
      </c>
      <c r="L120">
        <v>51.531999999999996</v>
      </c>
      <c r="M120">
        <v>59.433</v>
      </c>
      <c r="U120" s="8">
        <f>IF(J120="","",J120-K120)</f>
        <v>6.0000000000002274E-2</v>
      </c>
      <c r="V120" s="8">
        <f>IF(K120="","",M120-K120)</f>
        <v>8.0609999999999999</v>
      </c>
      <c r="W120" s="8" t="str">
        <f>IF(N120-M120&gt;0,N120-M120,"")</f>
        <v/>
      </c>
      <c r="X120" s="8"/>
      <c r="Y120" s="8"/>
      <c r="Z120" s="8"/>
      <c r="AA120" s="8"/>
      <c r="AB120" s="8"/>
      <c r="AC120" s="8"/>
      <c r="AD120" s="8" t="str">
        <f>IF(W120="","",V120+W120)</f>
        <v/>
      </c>
      <c r="AK120" s="8">
        <f>L120-K120</f>
        <v>0.15999999999999659</v>
      </c>
      <c r="AL120" s="8">
        <f>IF(M120="","",M120-J120)</f>
        <v>8.0009999999999977</v>
      </c>
      <c r="AM120" s="8" t="str">
        <f>IF(N120="","",AL120+W120)</f>
        <v/>
      </c>
      <c r="AP120" t="s">
        <v>78</v>
      </c>
    </row>
    <row r="121" spans="1:42" x14ac:dyDescent="0.3">
      <c r="A121" t="s">
        <v>36</v>
      </c>
      <c r="B121" s="6">
        <v>45096</v>
      </c>
      <c r="C121" s="7">
        <v>2</v>
      </c>
      <c r="D121" s="7">
        <v>2</v>
      </c>
      <c r="E121">
        <v>1</v>
      </c>
      <c r="F121" t="s">
        <v>52</v>
      </c>
      <c r="G121">
        <v>125</v>
      </c>
      <c r="H121">
        <v>100</v>
      </c>
      <c r="J121">
        <v>37.392000000000003</v>
      </c>
      <c r="K121">
        <v>37.911000000000001</v>
      </c>
      <c r="L121">
        <v>38.091000000000001</v>
      </c>
      <c r="M121">
        <v>45.371000000000002</v>
      </c>
      <c r="N121">
        <v>49.640999999999998</v>
      </c>
      <c r="U121" s="8">
        <f>IF(J121="","",J121-K121)</f>
        <v>-0.51899999999999835</v>
      </c>
      <c r="V121" s="8">
        <f>IF(K121="","",M121-K121)</f>
        <v>7.4600000000000009</v>
      </c>
      <c r="W121" s="8">
        <f>IF(N121-M121&gt;0,N121-M121,"")</f>
        <v>4.269999999999996</v>
      </c>
      <c r="X121" s="8"/>
      <c r="Y121" s="8"/>
      <c r="Z121" s="8"/>
      <c r="AA121" s="8"/>
      <c r="AB121" s="8"/>
      <c r="AC121" s="8"/>
      <c r="AD121" s="8">
        <f>IF(W121="","",V121+W121)</f>
        <v>11.729999999999997</v>
      </c>
      <c r="AK121" s="8">
        <f>L121-K121</f>
        <v>0.17999999999999972</v>
      </c>
      <c r="AL121" s="8">
        <f>IF(M121="","",M121-J121)</f>
        <v>7.9789999999999992</v>
      </c>
      <c r="AM121" s="8">
        <f>IF(N121="","",AL121+W121)</f>
        <v>12.248999999999995</v>
      </c>
      <c r="AP121" t="s">
        <v>73</v>
      </c>
    </row>
    <row r="122" spans="1:42" x14ac:dyDescent="0.3">
      <c r="A122" t="s">
        <v>38</v>
      </c>
      <c r="B122" s="6">
        <v>45096</v>
      </c>
      <c r="C122" s="7">
        <v>2</v>
      </c>
      <c r="D122" s="7">
        <v>2</v>
      </c>
      <c r="E122">
        <v>2</v>
      </c>
      <c r="F122" t="s">
        <v>52</v>
      </c>
      <c r="G122">
        <v>125</v>
      </c>
      <c r="H122">
        <v>106</v>
      </c>
      <c r="I122">
        <v>37.491</v>
      </c>
      <c r="J122">
        <v>37.670999999999999</v>
      </c>
      <c r="K122">
        <v>37.911000000000001</v>
      </c>
      <c r="L122">
        <v>37.911000000000001</v>
      </c>
      <c r="M122">
        <v>45.591000000000001</v>
      </c>
      <c r="N122">
        <v>49.811</v>
      </c>
      <c r="U122" s="8">
        <f>IF(J122="","",J122-K122)</f>
        <v>-0.24000000000000199</v>
      </c>
      <c r="V122" s="8">
        <f>IF(K122="","",M122-K122)</f>
        <v>7.68</v>
      </c>
      <c r="W122" s="8">
        <f>IF(N122-M122&gt;0,N122-M122,"")</f>
        <v>4.2199999999999989</v>
      </c>
      <c r="X122" s="8"/>
      <c r="Y122" s="8"/>
      <c r="Z122" s="8"/>
      <c r="AA122" s="8"/>
      <c r="AB122" s="8"/>
      <c r="AC122" s="8"/>
      <c r="AD122" s="8">
        <f>IF(W122="","",V122+W122)</f>
        <v>11.899999999999999</v>
      </c>
      <c r="AK122" s="8">
        <f>L122-K122</f>
        <v>0</v>
      </c>
      <c r="AL122" s="8">
        <f>IF(M122="","",M122-J122)</f>
        <v>7.9200000000000017</v>
      </c>
      <c r="AM122" s="8">
        <f>IF(N122="","",AL122+W122)</f>
        <v>12.14</v>
      </c>
      <c r="AP122" t="s">
        <v>73</v>
      </c>
    </row>
    <row r="123" spans="1:42" x14ac:dyDescent="0.3">
      <c r="A123" t="s">
        <v>40</v>
      </c>
      <c r="B123" s="6">
        <v>45096</v>
      </c>
      <c r="C123" s="7">
        <v>2</v>
      </c>
      <c r="D123" s="7">
        <v>2</v>
      </c>
      <c r="E123">
        <v>3</v>
      </c>
      <c r="F123" t="s">
        <v>52</v>
      </c>
      <c r="G123">
        <v>125</v>
      </c>
      <c r="H123">
        <v>108</v>
      </c>
      <c r="I123">
        <v>37.531999999999996</v>
      </c>
      <c r="J123">
        <v>37.790999999999997</v>
      </c>
      <c r="K123">
        <v>37.911000000000001</v>
      </c>
      <c r="L123">
        <v>38.051000000000002</v>
      </c>
      <c r="M123">
        <v>45.790999999999997</v>
      </c>
      <c r="N123">
        <v>50.070999999999998</v>
      </c>
      <c r="U123" s="8">
        <f>IF(J123="","",J123-K123)</f>
        <v>-0.12000000000000455</v>
      </c>
      <c r="V123" s="8">
        <f>IF(K123="","",M123-K123)</f>
        <v>7.8799999999999955</v>
      </c>
      <c r="W123" s="8">
        <f>IF(N123-M123&gt;0,N123-M123,"")</f>
        <v>4.2800000000000011</v>
      </c>
      <c r="X123" s="8"/>
      <c r="Y123" s="8"/>
      <c r="Z123" s="8"/>
      <c r="AA123" s="8"/>
      <c r="AB123" s="8"/>
      <c r="AC123" s="8"/>
      <c r="AD123" s="8">
        <f>IF(W123="","",V123+W123)</f>
        <v>12.159999999999997</v>
      </c>
      <c r="AK123" s="8">
        <f>L123-K123</f>
        <v>0.14000000000000057</v>
      </c>
      <c r="AL123" s="8">
        <f>IF(M123="","",M123-J123)</f>
        <v>8</v>
      </c>
      <c r="AM123" s="8">
        <f>IF(N123="","",AL123+W123)</f>
        <v>12.280000000000001</v>
      </c>
      <c r="AP123" t="s">
        <v>73</v>
      </c>
    </row>
    <row r="124" spans="1:42" x14ac:dyDescent="0.3">
      <c r="A124" t="s">
        <v>41</v>
      </c>
      <c r="B124" s="6">
        <v>45096</v>
      </c>
      <c r="C124" s="7">
        <v>2</v>
      </c>
      <c r="D124" s="7">
        <v>2</v>
      </c>
      <c r="E124">
        <v>1</v>
      </c>
      <c r="F124" t="s">
        <v>42</v>
      </c>
      <c r="G124">
        <v>62.5</v>
      </c>
      <c r="H124">
        <v>106</v>
      </c>
      <c r="J124">
        <v>43.55</v>
      </c>
      <c r="K124">
        <v>43.47</v>
      </c>
      <c r="L124">
        <v>43.65</v>
      </c>
      <c r="M124">
        <v>51.55</v>
      </c>
      <c r="U124" s="8">
        <f>IF(J124="","",J124-K124)</f>
        <v>7.9999999999998295E-2</v>
      </c>
      <c r="V124" s="8">
        <f>IF(K124="","",M124-K124)</f>
        <v>8.0799999999999983</v>
      </c>
      <c r="W124" s="8" t="str">
        <f>IF(N124-M124&gt;0,N124-M124,"")</f>
        <v/>
      </c>
      <c r="X124" s="8"/>
      <c r="Y124" s="8"/>
      <c r="Z124" s="8"/>
      <c r="AA124" s="8"/>
      <c r="AB124" s="8"/>
      <c r="AC124" s="8"/>
      <c r="AD124" s="8"/>
      <c r="AK124" s="8">
        <f>L124-K124</f>
        <v>0.17999999999999972</v>
      </c>
      <c r="AL124" s="8">
        <f>IF(M124="","",M124-J124)</f>
        <v>8</v>
      </c>
      <c r="AM124" s="8" t="str">
        <f>IF(N124="","",AL124+W124)</f>
        <v/>
      </c>
      <c r="AP124" t="s">
        <v>79</v>
      </c>
    </row>
    <row r="125" spans="1:42" x14ac:dyDescent="0.3">
      <c r="A125" t="s">
        <v>36</v>
      </c>
      <c r="B125" s="6">
        <v>45096</v>
      </c>
      <c r="C125" s="7">
        <v>2</v>
      </c>
      <c r="D125" s="7">
        <v>3</v>
      </c>
      <c r="E125">
        <v>1</v>
      </c>
      <c r="F125" t="s">
        <v>52</v>
      </c>
      <c r="G125">
        <v>62.5</v>
      </c>
      <c r="H125">
        <v>100</v>
      </c>
      <c r="J125">
        <v>12.829000000000001</v>
      </c>
      <c r="K125">
        <v>12.749000000000001</v>
      </c>
      <c r="L125">
        <v>12.89</v>
      </c>
      <c r="M125">
        <v>20.47</v>
      </c>
      <c r="U125" s="8">
        <f>IF(J125="","",J125-K125)</f>
        <v>8.0000000000000071E-2</v>
      </c>
      <c r="V125" s="8">
        <f>IF(K125="","",M125-K125)</f>
        <v>7.7209999999999983</v>
      </c>
      <c r="W125" s="8"/>
      <c r="X125" s="8"/>
      <c r="Y125" s="8"/>
      <c r="Z125" s="8"/>
      <c r="AA125" s="8"/>
      <c r="AB125" s="8"/>
      <c r="AC125" s="8"/>
      <c r="AD125" s="8"/>
      <c r="AK125" s="8">
        <f>L125-K125</f>
        <v>0.14100000000000001</v>
      </c>
      <c r="AL125" s="8">
        <f>IF(M125="","",M125-J125)</f>
        <v>7.6409999999999982</v>
      </c>
      <c r="AM125" s="8"/>
      <c r="AP125" t="s">
        <v>74</v>
      </c>
    </row>
    <row r="126" spans="1:42" x14ac:dyDescent="0.3">
      <c r="A126" t="s">
        <v>38</v>
      </c>
      <c r="B126" s="6">
        <v>45096</v>
      </c>
      <c r="C126" s="7">
        <v>2</v>
      </c>
      <c r="D126" s="7">
        <v>3</v>
      </c>
      <c r="E126">
        <v>2</v>
      </c>
      <c r="F126" t="s">
        <v>52</v>
      </c>
      <c r="G126">
        <v>62.5</v>
      </c>
      <c r="H126">
        <v>106</v>
      </c>
      <c r="I126">
        <v>12.49</v>
      </c>
      <c r="J126">
        <v>12.709</v>
      </c>
      <c r="K126">
        <v>12.749000000000001</v>
      </c>
      <c r="L126">
        <v>12.909000000000001</v>
      </c>
      <c r="M126">
        <v>20.709</v>
      </c>
      <c r="U126" s="8">
        <f>IF(J126="","",J126-K126)</f>
        <v>-4.0000000000000924E-2</v>
      </c>
      <c r="V126" s="8">
        <f>IF(K126="","",M126-K126)</f>
        <v>7.9599999999999991</v>
      </c>
      <c r="W126" s="8"/>
      <c r="X126" s="8"/>
      <c r="Y126" s="8"/>
      <c r="Z126" s="8"/>
      <c r="AA126" s="8"/>
      <c r="AB126" s="8"/>
      <c r="AC126" s="8"/>
      <c r="AD126" s="8"/>
      <c r="AK126" s="8">
        <f>L126-K126</f>
        <v>0.16000000000000014</v>
      </c>
      <c r="AL126" s="8">
        <f>IF(M126="","",M126-J126)</f>
        <v>8</v>
      </c>
      <c r="AM126" s="8"/>
      <c r="AP126" t="s">
        <v>74</v>
      </c>
    </row>
    <row r="127" spans="1:42" x14ac:dyDescent="0.3">
      <c r="A127" t="s">
        <v>40</v>
      </c>
      <c r="B127" s="6">
        <v>45096</v>
      </c>
      <c r="C127" s="7">
        <v>2</v>
      </c>
      <c r="D127" s="7">
        <v>3</v>
      </c>
      <c r="E127">
        <v>3</v>
      </c>
      <c r="F127" t="s">
        <v>52</v>
      </c>
      <c r="G127">
        <v>62.5</v>
      </c>
      <c r="H127">
        <v>108</v>
      </c>
      <c r="I127">
        <v>12.329000000000001</v>
      </c>
      <c r="J127">
        <v>12.69</v>
      </c>
      <c r="K127">
        <v>12.749000000000001</v>
      </c>
      <c r="L127">
        <v>12.968999999999999</v>
      </c>
      <c r="M127">
        <v>20.869</v>
      </c>
      <c r="U127" s="8">
        <f>IF(J127="","",J127-K127)</f>
        <v>-5.9000000000001052E-2</v>
      </c>
      <c r="V127" s="8">
        <f>IF(K127="","",M127-K127)</f>
        <v>8.1199999999999992</v>
      </c>
      <c r="W127" s="8"/>
      <c r="X127" s="8"/>
      <c r="Y127" s="8"/>
      <c r="Z127" s="8"/>
      <c r="AA127" s="8"/>
      <c r="AB127" s="8"/>
      <c r="AC127" s="8"/>
      <c r="AD127" s="8"/>
      <c r="AK127" s="8">
        <f>L127-K127</f>
        <v>0.21999999999999886</v>
      </c>
      <c r="AL127" s="8">
        <f>IF(M127="","",M127-J127)</f>
        <v>8.1790000000000003</v>
      </c>
      <c r="AM127" s="8"/>
      <c r="AP127" t="s">
        <v>74</v>
      </c>
    </row>
    <row r="128" spans="1:42" x14ac:dyDescent="0.3">
      <c r="A128" t="s">
        <v>41</v>
      </c>
      <c r="B128" s="6">
        <v>45096</v>
      </c>
      <c r="C128" s="7">
        <v>2</v>
      </c>
      <c r="D128" s="7">
        <v>3</v>
      </c>
      <c r="E128">
        <v>2</v>
      </c>
      <c r="F128" t="s">
        <v>42</v>
      </c>
      <c r="G128">
        <v>125</v>
      </c>
      <c r="H128">
        <v>106</v>
      </c>
      <c r="J128">
        <v>0.129</v>
      </c>
      <c r="K128">
        <v>8.8999999999999996E-2</v>
      </c>
      <c r="L128">
        <v>0.188</v>
      </c>
      <c r="M128">
        <v>8.17</v>
      </c>
      <c r="N128">
        <v>12.609</v>
      </c>
      <c r="U128" s="8">
        <f>IF(J128="","",J128-K128)</f>
        <v>4.0000000000000008E-2</v>
      </c>
      <c r="V128" s="8">
        <f>IF(K128="","",M128-K128)</f>
        <v>8.0809999999999995</v>
      </c>
      <c r="W128" s="8">
        <f>IF(N128-M128&gt;0,N128-M128,"")</f>
        <v>4.4390000000000001</v>
      </c>
      <c r="X128" s="8"/>
      <c r="Y128" s="8"/>
      <c r="Z128" s="8"/>
      <c r="AA128" s="8"/>
      <c r="AB128" s="8"/>
      <c r="AC128" s="8"/>
      <c r="AD128" s="8">
        <f>IF(W128="","",V128+W128)</f>
        <v>12.52</v>
      </c>
      <c r="AK128" s="8">
        <f>L128-K128</f>
        <v>9.9000000000000005E-2</v>
      </c>
      <c r="AL128" s="8">
        <f>IF(M128="","",M128-J128)</f>
        <v>8.0410000000000004</v>
      </c>
      <c r="AM128" s="8">
        <f>IF(N128="","",AL128+W128)</f>
        <v>12.48</v>
      </c>
      <c r="AP128" t="s">
        <v>80</v>
      </c>
    </row>
    <row r="129" spans="1:42" x14ac:dyDescent="0.3">
      <c r="A129" t="s">
        <v>36</v>
      </c>
      <c r="B129" s="6">
        <v>45103</v>
      </c>
      <c r="C129" s="7">
        <v>1</v>
      </c>
      <c r="D129" s="7">
        <v>1</v>
      </c>
      <c r="E129">
        <v>1</v>
      </c>
      <c r="F129" t="s">
        <v>51</v>
      </c>
      <c r="G129">
        <v>62.5</v>
      </c>
      <c r="H129">
        <v>98</v>
      </c>
      <c r="J129">
        <v>52.362000000000002</v>
      </c>
      <c r="K129">
        <v>52.302</v>
      </c>
      <c r="L129">
        <v>52.442</v>
      </c>
      <c r="M129">
        <v>60.302</v>
      </c>
      <c r="U129" s="8">
        <f>IF(J129="","",J129-K129)</f>
        <v>6.0000000000002274E-2</v>
      </c>
      <c r="V129" s="8">
        <f>IF(K129="","",M129-K129)</f>
        <v>8</v>
      </c>
      <c r="W129" s="8"/>
      <c r="X129" s="8"/>
      <c r="Y129" s="8"/>
      <c r="Z129" s="8"/>
      <c r="AA129" s="8"/>
      <c r="AB129" s="8"/>
      <c r="AC129" s="8"/>
      <c r="AD129" s="8"/>
      <c r="AK129" s="8">
        <f>L129-K129</f>
        <v>0.14000000000000057</v>
      </c>
      <c r="AL129" s="8">
        <f>IF(M129="","",M129-J129)</f>
        <v>7.9399999999999977</v>
      </c>
      <c r="AM129" s="8"/>
      <c r="AP129" t="s">
        <v>54</v>
      </c>
    </row>
    <row r="130" spans="1:42" x14ac:dyDescent="0.3">
      <c r="A130" t="s">
        <v>41</v>
      </c>
      <c r="B130" s="6">
        <v>45103</v>
      </c>
      <c r="C130" s="7">
        <v>1</v>
      </c>
      <c r="D130" s="7">
        <v>1</v>
      </c>
      <c r="E130">
        <v>2</v>
      </c>
      <c r="F130" t="s">
        <v>51</v>
      </c>
      <c r="G130">
        <v>62.5</v>
      </c>
      <c r="H130">
        <v>104</v>
      </c>
      <c r="I130">
        <v>51.991999999999997</v>
      </c>
      <c r="J130">
        <v>52.203000000000003</v>
      </c>
      <c r="K130">
        <v>52.302</v>
      </c>
      <c r="L130">
        <v>52.421999999999997</v>
      </c>
      <c r="M130">
        <v>60.661999999999999</v>
      </c>
      <c r="U130" s="8">
        <f>IF(J130="","",J130-K130)</f>
        <v>-9.8999999999996646E-2</v>
      </c>
      <c r="V130" s="8">
        <f>IF(K130="","",M130-K130)</f>
        <v>8.36</v>
      </c>
      <c r="W130" s="8"/>
      <c r="X130" s="8"/>
      <c r="Y130" s="8"/>
      <c r="Z130" s="8"/>
      <c r="AA130" s="8"/>
      <c r="AB130" s="8"/>
      <c r="AC130" s="8"/>
      <c r="AD130" s="8"/>
      <c r="AK130" s="8">
        <f>L130-K130</f>
        <v>0.11999999999999744</v>
      </c>
      <c r="AL130" s="8">
        <f>IF(M130="","",M130-J130)</f>
        <v>8.4589999999999961</v>
      </c>
      <c r="AM130" s="8"/>
      <c r="AP130" t="s">
        <v>54</v>
      </c>
    </row>
    <row r="131" spans="1:42" x14ac:dyDescent="0.3">
      <c r="A131" t="s">
        <v>38</v>
      </c>
      <c r="B131" s="6">
        <v>45103</v>
      </c>
      <c r="C131" s="7">
        <v>1</v>
      </c>
      <c r="D131" s="7">
        <v>1</v>
      </c>
      <c r="E131">
        <v>3</v>
      </c>
      <c r="F131" t="s">
        <v>51</v>
      </c>
      <c r="G131">
        <v>62.5</v>
      </c>
      <c r="H131">
        <v>106</v>
      </c>
      <c r="I131">
        <v>51.902000000000001</v>
      </c>
      <c r="J131">
        <v>52.182000000000002</v>
      </c>
      <c r="K131">
        <v>52.302</v>
      </c>
      <c r="L131">
        <v>52.421999999999997</v>
      </c>
      <c r="M131">
        <v>60.762</v>
      </c>
      <c r="U131" s="8">
        <f>IF(J131="","",J131-K131)</f>
        <v>-0.11999999999999744</v>
      </c>
      <c r="V131" s="8">
        <f>IF(K131="","",M131-K131)</f>
        <v>8.4600000000000009</v>
      </c>
      <c r="W131" s="8"/>
      <c r="X131" s="8"/>
      <c r="Y131" s="8"/>
      <c r="Z131" s="8"/>
      <c r="AA131" s="8"/>
      <c r="AB131" s="8"/>
      <c r="AC131" s="8"/>
      <c r="AD131" s="8"/>
      <c r="AK131" s="8">
        <f>L131-K131</f>
        <v>0.11999999999999744</v>
      </c>
      <c r="AL131" s="8">
        <f>IF(M131="","",M131-J131)</f>
        <v>8.5799999999999983</v>
      </c>
      <c r="AM131" s="8"/>
      <c r="AP131" t="s">
        <v>54</v>
      </c>
    </row>
    <row r="132" spans="1:42" x14ac:dyDescent="0.3">
      <c r="A132" t="s">
        <v>40</v>
      </c>
      <c r="B132" s="6">
        <v>45103</v>
      </c>
      <c r="C132" s="7">
        <v>1</v>
      </c>
      <c r="D132" s="7">
        <v>1</v>
      </c>
      <c r="E132">
        <v>2</v>
      </c>
      <c r="F132" t="s">
        <v>42</v>
      </c>
      <c r="G132">
        <v>62.5</v>
      </c>
      <c r="H132">
        <v>106</v>
      </c>
      <c r="I132">
        <v>35.140999999999998</v>
      </c>
      <c r="J132">
        <v>35.320999999999998</v>
      </c>
      <c r="K132">
        <v>35.420999999999999</v>
      </c>
      <c r="L132">
        <v>35.540999999999997</v>
      </c>
      <c r="M132">
        <v>43.420999999999999</v>
      </c>
      <c r="U132" s="8">
        <f>IF(J132="","",J132-K132)</f>
        <v>-0.10000000000000142</v>
      </c>
      <c r="V132" s="8">
        <f>IF(K132="","",M132-K132)</f>
        <v>8</v>
      </c>
      <c r="W132" s="8"/>
      <c r="X132" s="8"/>
      <c r="Y132" s="8"/>
      <c r="Z132" s="8"/>
      <c r="AA132" s="8"/>
      <c r="AB132" s="8"/>
      <c r="AC132" s="8"/>
      <c r="AD132" s="8"/>
      <c r="AK132" s="8">
        <f>L132-K132</f>
        <v>0.11999999999999744</v>
      </c>
      <c r="AL132" s="8">
        <f>IF(M132="","",M132-J132)</f>
        <v>8.1000000000000014</v>
      </c>
      <c r="AM132" s="8"/>
      <c r="AP132" t="s">
        <v>62</v>
      </c>
    </row>
    <row r="133" spans="1:42" x14ac:dyDescent="0.3">
      <c r="A133" t="s">
        <v>36</v>
      </c>
      <c r="B133" s="6">
        <v>45103</v>
      </c>
      <c r="C133" s="7">
        <v>1</v>
      </c>
      <c r="D133" s="7">
        <v>2</v>
      </c>
      <c r="E133">
        <v>1</v>
      </c>
      <c r="F133" t="s">
        <v>51</v>
      </c>
      <c r="G133">
        <v>62.5</v>
      </c>
      <c r="H133">
        <v>98</v>
      </c>
      <c r="J133">
        <v>55.921999999999997</v>
      </c>
      <c r="K133">
        <v>55.841999999999999</v>
      </c>
      <c r="L133">
        <v>55.981000000000002</v>
      </c>
      <c r="M133">
        <v>63.271000000000001</v>
      </c>
      <c r="U133" s="8">
        <f>IF(J133="","",J133-K133)</f>
        <v>7.9999999999998295E-2</v>
      </c>
      <c r="V133" s="8">
        <f>IF(K133="","",M133-K133)</f>
        <v>7.429000000000002</v>
      </c>
      <c r="W133" s="8"/>
      <c r="X133" s="8"/>
      <c r="Y133" s="8"/>
      <c r="Z133" s="8"/>
      <c r="AA133" s="8"/>
      <c r="AB133" s="8"/>
      <c r="AC133" s="8"/>
      <c r="AD133" s="8"/>
      <c r="AK133" s="8">
        <f>L133-K133</f>
        <v>0.1390000000000029</v>
      </c>
      <c r="AL133" s="8">
        <f>IF(M133="","",M133-J133)</f>
        <v>7.3490000000000038</v>
      </c>
      <c r="AM133" s="8"/>
      <c r="AP133" t="s">
        <v>55</v>
      </c>
    </row>
    <row r="134" spans="1:42" x14ac:dyDescent="0.3">
      <c r="A134" t="s">
        <v>41</v>
      </c>
      <c r="B134" s="6">
        <v>45103</v>
      </c>
      <c r="C134" s="7">
        <v>1</v>
      </c>
      <c r="D134" s="7">
        <v>2</v>
      </c>
      <c r="E134">
        <v>2</v>
      </c>
      <c r="F134" t="s">
        <v>51</v>
      </c>
      <c r="G134">
        <v>62.5</v>
      </c>
      <c r="H134">
        <v>104</v>
      </c>
      <c r="I134">
        <v>55.401000000000003</v>
      </c>
      <c r="J134">
        <v>55.642000000000003</v>
      </c>
      <c r="K134">
        <v>55.841999999999999</v>
      </c>
      <c r="L134">
        <v>55.860999999999997</v>
      </c>
      <c r="M134">
        <v>63.640999999999998</v>
      </c>
      <c r="U134" s="8">
        <f>IF(J134="","",J134-K134)</f>
        <v>-0.19999999999999574</v>
      </c>
      <c r="V134" s="8">
        <f>IF(K134="","",M134-K134)</f>
        <v>7.7989999999999995</v>
      </c>
      <c r="W134" s="8"/>
      <c r="X134" s="8"/>
      <c r="Y134" s="8"/>
      <c r="Z134" s="8"/>
      <c r="AA134" s="8"/>
      <c r="AB134" s="8"/>
      <c r="AC134" s="8"/>
      <c r="AD134" s="8"/>
      <c r="AK134" s="8">
        <f>L134-K134</f>
        <v>1.8999999999998352E-2</v>
      </c>
      <c r="AL134" s="8">
        <f>IF(M134="","",M134-J134)</f>
        <v>7.9989999999999952</v>
      </c>
      <c r="AM134" s="8"/>
      <c r="AP134" t="s">
        <v>55</v>
      </c>
    </row>
    <row r="135" spans="1:42" x14ac:dyDescent="0.3">
      <c r="A135" t="s">
        <v>38</v>
      </c>
      <c r="B135" s="6">
        <v>45103</v>
      </c>
      <c r="C135" s="7">
        <v>1</v>
      </c>
      <c r="D135" s="7">
        <v>2</v>
      </c>
      <c r="E135">
        <v>3</v>
      </c>
      <c r="F135" t="s">
        <v>51</v>
      </c>
      <c r="G135">
        <v>62.5</v>
      </c>
      <c r="H135">
        <v>106</v>
      </c>
      <c r="I135">
        <v>55.561</v>
      </c>
      <c r="J135">
        <v>55.780999999999999</v>
      </c>
      <c r="K135">
        <v>55.841999999999999</v>
      </c>
      <c r="L135">
        <v>56.000999999999998</v>
      </c>
      <c r="M135">
        <v>63.820999999999998</v>
      </c>
      <c r="U135" s="8">
        <f>IF(J135="","",J135-K135)</f>
        <v>-6.0999999999999943E-2</v>
      </c>
      <c r="V135" s="8">
        <f>IF(K135="","",M135-K135)</f>
        <v>7.9789999999999992</v>
      </c>
      <c r="W135" s="8"/>
      <c r="X135" s="8"/>
      <c r="Y135" s="8"/>
      <c r="Z135" s="8"/>
      <c r="AA135" s="8"/>
      <c r="AB135" s="8"/>
      <c r="AC135" s="8"/>
      <c r="AD135" s="8"/>
      <c r="AK135" s="8">
        <f>L135-K135</f>
        <v>0.15899999999999892</v>
      </c>
      <c r="AL135" s="8">
        <f>IF(M135="","",M135-J135)</f>
        <v>8.0399999999999991</v>
      </c>
      <c r="AM135" s="8"/>
      <c r="AP135" t="s">
        <v>55</v>
      </c>
    </row>
    <row r="136" spans="1:42" x14ac:dyDescent="0.3">
      <c r="A136" t="s">
        <v>40</v>
      </c>
      <c r="B136" s="6">
        <v>45103</v>
      </c>
      <c r="C136" s="7">
        <v>1</v>
      </c>
      <c r="D136" s="7">
        <v>2</v>
      </c>
      <c r="E136">
        <v>2</v>
      </c>
      <c r="F136" t="s">
        <v>42</v>
      </c>
      <c r="G136">
        <v>62.5</v>
      </c>
      <c r="H136">
        <v>106</v>
      </c>
      <c r="I136">
        <v>3.141</v>
      </c>
      <c r="J136">
        <v>3.4609999999999999</v>
      </c>
      <c r="K136">
        <v>3.52</v>
      </c>
      <c r="L136">
        <v>3.72</v>
      </c>
      <c r="M136">
        <v>11.420999999999999</v>
      </c>
      <c r="U136" s="8">
        <f>IF(J136="","",J136-K136)</f>
        <v>-5.9000000000000163E-2</v>
      </c>
      <c r="V136" s="8">
        <f>IF(K136="","",M136-K136)</f>
        <v>7.9009999999999998</v>
      </c>
      <c r="W136" s="8"/>
      <c r="X136" s="8"/>
      <c r="Y136" s="8"/>
      <c r="Z136" s="8"/>
      <c r="AA136" s="8"/>
      <c r="AB136" s="8"/>
      <c r="AC136" s="8"/>
      <c r="AD136" s="8"/>
      <c r="AK136" s="8">
        <f>L136-K136</f>
        <v>0.20000000000000018</v>
      </c>
      <c r="AL136" s="8">
        <f>IF(M136="","",M136-J136)</f>
        <v>7.9599999999999991</v>
      </c>
      <c r="AM136" s="8"/>
      <c r="AP136" t="s">
        <v>63</v>
      </c>
    </row>
    <row r="137" spans="1:42" x14ac:dyDescent="0.3">
      <c r="A137" t="s">
        <v>36</v>
      </c>
      <c r="B137" s="6">
        <v>45103</v>
      </c>
      <c r="C137" s="7">
        <v>1</v>
      </c>
      <c r="D137" s="7">
        <v>3</v>
      </c>
      <c r="E137">
        <v>1</v>
      </c>
      <c r="F137" t="s">
        <v>51</v>
      </c>
      <c r="G137">
        <v>125</v>
      </c>
      <c r="H137">
        <v>98</v>
      </c>
      <c r="J137">
        <v>52.12</v>
      </c>
      <c r="K137">
        <v>52.06</v>
      </c>
      <c r="L137">
        <v>52.201000000000001</v>
      </c>
      <c r="M137">
        <v>59.5</v>
      </c>
      <c r="N137">
        <v>63.71</v>
      </c>
      <c r="U137" s="8">
        <f>IF(J137="","",J137-K137)</f>
        <v>5.9999999999995168E-2</v>
      </c>
      <c r="V137" s="8">
        <f>IF(K137="","",M137-K137)</f>
        <v>7.4399999999999977</v>
      </c>
      <c r="W137" s="8">
        <f>IF(N137-M137&gt;0,N137-M137,"")</f>
        <v>4.2100000000000009</v>
      </c>
      <c r="X137" s="8"/>
      <c r="Y137" s="8"/>
      <c r="Z137" s="8"/>
      <c r="AA137" s="8"/>
      <c r="AB137" s="8"/>
      <c r="AC137" s="8"/>
      <c r="AD137" s="8">
        <f>IF(W137="","",V137+W137)</f>
        <v>11.649999999999999</v>
      </c>
      <c r="AK137" s="8">
        <f>L137-K137</f>
        <v>0.14099999999999824</v>
      </c>
      <c r="AL137" s="8">
        <f>IF(M137="","",M137-J137)</f>
        <v>7.3800000000000026</v>
      </c>
      <c r="AM137" s="8">
        <f>IF(N137="","",AL137+W137)</f>
        <v>11.590000000000003</v>
      </c>
      <c r="AP137" t="s">
        <v>56</v>
      </c>
    </row>
    <row r="138" spans="1:42" x14ac:dyDescent="0.3">
      <c r="A138" t="s">
        <v>41</v>
      </c>
      <c r="B138" s="6">
        <v>45103</v>
      </c>
      <c r="C138" s="7">
        <v>1</v>
      </c>
      <c r="D138" s="7">
        <v>3</v>
      </c>
      <c r="E138">
        <v>2</v>
      </c>
      <c r="F138" t="s">
        <v>51</v>
      </c>
      <c r="G138">
        <v>125</v>
      </c>
      <c r="H138">
        <v>104</v>
      </c>
      <c r="I138">
        <v>52.64</v>
      </c>
      <c r="J138">
        <v>51.84</v>
      </c>
      <c r="K138">
        <v>52.06</v>
      </c>
      <c r="L138">
        <v>52.1</v>
      </c>
      <c r="M138">
        <v>59.78</v>
      </c>
      <c r="N138">
        <v>64.058999999999997</v>
      </c>
      <c r="U138" s="8">
        <f>IF(J138="","",J138-K138)</f>
        <v>-0.21999999999999886</v>
      </c>
      <c r="V138" s="8">
        <f>IF(K138="","",M138-K138)</f>
        <v>7.7199999999999989</v>
      </c>
      <c r="W138" s="8">
        <f>IF(N138-M138&gt;0,N138-M138,"")</f>
        <v>4.2789999999999964</v>
      </c>
      <c r="X138" s="8"/>
      <c r="Y138" s="8"/>
      <c r="Z138" s="8"/>
      <c r="AA138" s="8"/>
      <c r="AB138" s="8"/>
      <c r="AC138" s="8"/>
      <c r="AD138" s="8">
        <f>IF(W138="","",V138+W138)</f>
        <v>11.998999999999995</v>
      </c>
      <c r="AK138" s="8">
        <f>L138-K138</f>
        <v>3.9999999999999147E-2</v>
      </c>
      <c r="AL138" s="8">
        <f>IF(M138="","",M138-J138)</f>
        <v>7.9399999999999977</v>
      </c>
      <c r="AM138" s="8">
        <f>IF(N138="","",AL138+W138)</f>
        <v>12.218999999999994</v>
      </c>
      <c r="AP138" t="s">
        <v>56</v>
      </c>
    </row>
    <row r="139" spans="1:42" x14ac:dyDescent="0.3">
      <c r="A139" t="s">
        <v>38</v>
      </c>
      <c r="B139" s="6">
        <v>45103</v>
      </c>
      <c r="C139" s="7">
        <v>1</v>
      </c>
      <c r="D139" s="7">
        <v>3</v>
      </c>
      <c r="E139">
        <v>3</v>
      </c>
      <c r="F139" t="s">
        <v>51</v>
      </c>
      <c r="G139">
        <v>125</v>
      </c>
      <c r="H139">
        <v>106</v>
      </c>
      <c r="I139">
        <v>51.52</v>
      </c>
      <c r="J139">
        <v>51.82</v>
      </c>
      <c r="K139">
        <v>52.06</v>
      </c>
      <c r="L139">
        <v>52.1</v>
      </c>
      <c r="M139">
        <v>59.94</v>
      </c>
      <c r="N139">
        <v>64.2</v>
      </c>
      <c r="U139" s="8">
        <f>IF(J139="","",J139-K139)</f>
        <v>-0.24000000000000199</v>
      </c>
      <c r="V139" s="8">
        <f>IF(K139="","",M139-K139)</f>
        <v>7.8799999999999955</v>
      </c>
      <c r="W139" s="8">
        <f>IF(N139-M139&gt;0,N139-M139,"")</f>
        <v>4.2600000000000051</v>
      </c>
      <c r="X139" s="8"/>
      <c r="Y139" s="8"/>
      <c r="Z139" s="8"/>
      <c r="AA139" s="8"/>
      <c r="AB139" s="8"/>
      <c r="AC139" s="8"/>
      <c r="AD139" s="8">
        <f>IF(W139="","",V139+W139)</f>
        <v>12.14</v>
      </c>
      <c r="AK139" s="8">
        <f>L139-K139</f>
        <v>3.9999999999999147E-2</v>
      </c>
      <c r="AL139" s="8">
        <f>IF(M139="","",M139-J139)</f>
        <v>8.1199999999999974</v>
      </c>
      <c r="AM139" s="8">
        <f>IF(N139="","",AL139+W139)</f>
        <v>12.380000000000003</v>
      </c>
      <c r="AP139" t="s">
        <v>56</v>
      </c>
    </row>
    <row r="140" spans="1:42" x14ac:dyDescent="0.3">
      <c r="A140" t="s">
        <v>40</v>
      </c>
      <c r="B140" s="6">
        <v>45103</v>
      </c>
      <c r="C140" s="7">
        <v>1</v>
      </c>
      <c r="D140" s="7">
        <v>3</v>
      </c>
      <c r="E140">
        <v>2</v>
      </c>
      <c r="F140" t="s">
        <v>42</v>
      </c>
      <c r="G140">
        <v>62.5</v>
      </c>
      <c r="H140">
        <v>106</v>
      </c>
      <c r="I140">
        <v>13.558999999999999</v>
      </c>
      <c r="J140">
        <v>13.759</v>
      </c>
      <c r="K140">
        <v>13.759</v>
      </c>
      <c r="L140">
        <v>14.119</v>
      </c>
      <c r="M140">
        <v>21.879000000000001</v>
      </c>
      <c r="U140" s="8">
        <f>IF(J140="","",J140-K140)</f>
        <v>0</v>
      </c>
      <c r="V140" s="8">
        <f>IF(K140="","",M140-K140)</f>
        <v>8.120000000000001</v>
      </c>
      <c r="W140" s="8" t="str">
        <f>IF(N140-M140&gt;0,N140-M140,"")</f>
        <v/>
      </c>
      <c r="X140" s="8"/>
      <c r="Y140" s="8"/>
      <c r="Z140" s="8"/>
      <c r="AA140" s="8"/>
      <c r="AB140" s="8"/>
      <c r="AC140" s="8"/>
      <c r="AD140" s="8"/>
      <c r="AK140" s="8">
        <f>L140-K140</f>
        <v>0.35999999999999943</v>
      </c>
      <c r="AL140" s="8">
        <f>IF(M140="","",M140-J140)</f>
        <v>8.120000000000001</v>
      </c>
      <c r="AM140" s="8"/>
      <c r="AP140" t="s">
        <v>64</v>
      </c>
    </row>
    <row r="141" spans="1:42" x14ac:dyDescent="0.3">
      <c r="A141" t="s">
        <v>36</v>
      </c>
      <c r="B141" s="6">
        <v>45103</v>
      </c>
      <c r="C141" s="7">
        <v>1</v>
      </c>
      <c r="D141" s="7">
        <v>4</v>
      </c>
      <c r="E141">
        <v>1</v>
      </c>
      <c r="F141" t="s">
        <v>51</v>
      </c>
      <c r="G141">
        <v>62.5</v>
      </c>
      <c r="H141">
        <v>98</v>
      </c>
      <c r="J141">
        <v>51.777999999999999</v>
      </c>
      <c r="K141">
        <v>51.698</v>
      </c>
      <c r="L141">
        <v>51.857999999999997</v>
      </c>
      <c r="M141">
        <v>59.219000000000001</v>
      </c>
      <c r="U141" s="8">
        <f>IF(J141="","",J141-K141)</f>
        <v>7.9999999999998295E-2</v>
      </c>
      <c r="V141" s="8">
        <f>IF(K141="","",M141-K141)</f>
        <v>7.5210000000000008</v>
      </c>
      <c r="W141" s="8" t="str">
        <f>IF(N141-M141&gt;0,N141-M141,"")</f>
        <v/>
      </c>
      <c r="X141" s="8"/>
      <c r="Y141" s="8"/>
      <c r="Z141" s="8"/>
      <c r="AA141" s="8"/>
      <c r="AB141" s="8"/>
      <c r="AC141" s="8"/>
      <c r="AD141" s="8"/>
      <c r="AK141" s="8">
        <f>L141-K141</f>
        <v>0.15999999999999659</v>
      </c>
      <c r="AL141" s="8">
        <f>IF(M141="","",M141-J141)</f>
        <v>7.4410000000000025</v>
      </c>
      <c r="AM141" s="8"/>
      <c r="AP141" t="s">
        <v>57</v>
      </c>
    </row>
    <row r="142" spans="1:42" x14ac:dyDescent="0.3">
      <c r="A142" t="s">
        <v>41</v>
      </c>
      <c r="B142" s="6">
        <v>45103</v>
      </c>
      <c r="C142" s="7">
        <v>1</v>
      </c>
      <c r="D142" s="7">
        <v>4</v>
      </c>
      <c r="E142">
        <v>2</v>
      </c>
      <c r="F142" t="s">
        <v>51</v>
      </c>
      <c r="G142">
        <v>62.5</v>
      </c>
      <c r="H142">
        <v>104</v>
      </c>
      <c r="I142">
        <v>51.317999999999998</v>
      </c>
      <c r="J142">
        <v>51.539000000000001</v>
      </c>
      <c r="K142">
        <v>51.698</v>
      </c>
      <c r="L142">
        <v>51.738</v>
      </c>
      <c r="M142">
        <v>59.478000000000002</v>
      </c>
      <c r="U142" s="8">
        <f>IF(J142="","",J142-K142)</f>
        <v>-0.15899999999999892</v>
      </c>
      <c r="V142" s="8">
        <f>IF(K142="","",M142-K142)</f>
        <v>7.7800000000000011</v>
      </c>
      <c r="W142" s="8" t="str">
        <f>IF(N142-M142&gt;0,N142-M142,"")</f>
        <v/>
      </c>
      <c r="X142" s="8"/>
      <c r="Y142" s="8"/>
      <c r="Z142" s="8"/>
      <c r="AA142" s="8"/>
      <c r="AB142" s="8"/>
      <c r="AC142" s="8"/>
      <c r="AD142" s="8"/>
      <c r="AK142" s="8">
        <f>L142-K142</f>
        <v>3.9999999999999147E-2</v>
      </c>
      <c r="AL142" s="8">
        <f>IF(M142="","",M142-J142)</f>
        <v>7.9390000000000001</v>
      </c>
      <c r="AM142" s="8"/>
      <c r="AP142" t="s">
        <v>57</v>
      </c>
    </row>
    <row r="143" spans="1:42" x14ac:dyDescent="0.3">
      <c r="A143" t="s">
        <v>38</v>
      </c>
      <c r="B143" s="6">
        <v>45103</v>
      </c>
      <c r="C143" s="7">
        <v>1</v>
      </c>
      <c r="D143" s="7">
        <v>4</v>
      </c>
      <c r="E143">
        <v>3</v>
      </c>
      <c r="F143" t="s">
        <v>51</v>
      </c>
      <c r="G143">
        <v>62.5</v>
      </c>
      <c r="H143">
        <v>106</v>
      </c>
      <c r="I143">
        <v>51.357999999999997</v>
      </c>
      <c r="J143">
        <v>51.558</v>
      </c>
      <c r="K143">
        <v>51.698</v>
      </c>
      <c r="L143">
        <v>51.758000000000003</v>
      </c>
      <c r="M143">
        <v>59.677999999999997</v>
      </c>
      <c r="U143" s="8">
        <f>IF(J143="","",J143-K143)</f>
        <v>-0.14000000000000057</v>
      </c>
      <c r="V143" s="8">
        <f>IF(K143="","",M143-K143)</f>
        <v>7.9799999999999969</v>
      </c>
      <c r="W143" s="8" t="str">
        <f>IF(N143-M143&gt;0,N143-M143,"")</f>
        <v/>
      </c>
      <c r="X143" s="8"/>
      <c r="Y143" s="8"/>
      <c r="Z143" s="8"/>
      <c r="AA143" s="8"/>
      <c r="AB143" s="8"/>
      <c r="AC143" s="8"/>
      <c r="AD143" s="8"/>
      <c r="AK143" s="8">
        <f>L143-K143</f>
        <v>6.0000000000002274E-2</v>
      </c>
      <c r="AL143" s="8">
        <f>IF(M143="","",M143-J143)</f>
        <v>8.1199999999999974</v>
      </c>
      <c r="AM143" s="8"/>
      <c r="AP143" t="s">
        <v>57</v>
      </c>
    </row>
    <row r="144" spans="1:42" x14ac:dyDescent="0.3">
      <c r="A144" t="s">
        <v>40</v>
      </c>
      <c r="B144" s="6">
        <v>45103</v>
      </c>
      <c r="C144" s="7">
        <v>1</v>
      </c>
      <c r="D144" s="7">
        <v>4</v>
      </c>
      <c r="E144">
        <v>2</v>
      </c>
      <c r="F144" t="s">
        <v>42</v>
      </c>
      <c r="G144">
        <v>125</v>
      </c>
      <c r="H144">
        <v>106</v>
      </c>
      <c r="I144">
        <v>50.118000000000002</v>
      </c>
      <c r="J144">
        <v>50.398000000000003</v>
      </c>
      <c r="K144">
        <v>50.417999999999999</v>
      </c>
      <c r="L144">
        <v>50.698</v>
      </c>
      <c r="M144">
        <v>58.518000000000001</v>
      </c>
      <c r="N144">
        <v>62.978000000000002</v>
      </c>
      <c r="U144" s="8">
        <f>IF(J144="","",J144-K144)</f>
        <v>-1.9999999999996021E-2</v>
      </c>
      <c r="V144" s="8">
        <f>IF(K144="","",M144-K144)</f>
        <v>8.1000000000000014</v>
      </c>
      <c r="W144" s="8">
        <f>IF(N144-M144&gt;0,N144-M144,"")</f>
        <v>4.4600000000000009</v>
      </c>
      <c r="X144" s="8"/>
      <c r="Y144" s="8"/>
      <c r="Z144" s="8"/>
      <c r="AA144" s="8"/>
      <c r="AB144" s="8"/>
      <c r="AC144" s="8"/>
      <c r="AD144" s="8">
        <f>IF(W144="","",V144+W144)</f>
        <v>12.560000000000002</v>
      </c>
      <c r="AK144" s="8">
        <f>L144-K144</f>
        <v>0.28000000000000114</v>
      </c>
      <c r="AL144" s="8">
        <f>IF(M144="","",M144-J144)</f>
        <v>8.1199999999999974</v>
      </c>
      <c r="AM144" s="8">
        <f>IF(N144="","",AL144+W144)</f>
        <v>12.579999999999998</v>
      </c>
      <c r="AP144" t="s">
        <v>65</v>
      </c>
    </row>
    <row r="145" spans="1:42" x14ac:dyDescent="0.3">
      <c r="A145" t="s">
        <v>36</v>
      </c>
      <c r="B145" s="6">
        <v>45103</v>
      </c>
      <c r="C145" s="7">
        <v>2</v>
      </c>
      <c r="D145" s="7">
        <v>1</v>
      </c>
      <c r="E145">
        <v>1</v>
      </c>
      <c r="F145" t="s">
        <v>52</v>
      </c>
      <c r="G145">
        <v>62.5</v>
      </c>
      <c r="H145">
        <v>98</v>
      </c>
      <c r="J145">
        <v>25.692</v>
      </c>
      <c r="K145">
        <v>25.631</v>
      </c>
      <c r="L145">
        <v>25.792000000000002</v>
      </c>
      <c r="M145">
        <v>33.152000000000001</v>
      </c>
      <c r="U145" s="8">
        <f>IF(J145="","",J145-K145)</f>
        <v>6.0999999999999943E-2</v>
      </c>
      <c r="V145" s="8">
        <f>IF(K145="","",M145-K145)</f>
        <v>7.5210000000000008</v>
      </c>
      <c r="W145" s="8" t="str">
        <f>IF(N145-M145&gt;0,N145-M145,"")</f>
        <v/>
      </c>
      <c r="X145" s="8"/>
      <c r="Y145" s="8"/>
      <c r="Z145" s="8"/>
      <c r="AA145" s="8"/>
      <c r="AB145" s="8"/>
      <c r="AC145" s="8"/>
      <c r="AD145" s="8"/>
      <c r="AK145" s="8">
        <f>L145-K145</f>
        <v>0.16100000000000136</v>
      </c>
      <c r="AL145" s="8">
        <f>IF(M145="","",M145-J145)</f>
        <v>7.4600000000000009</v>
      </c>
      <c r="AM145" s="8"/>
      <c r="AP145" t="s">
        <v>58</v>
      </c>
    </row>
    <row r="146" spans="1:42" x14ac:dyDescent="0.3">
      <c r="A146" t="s">
        <v>38</v>
      </c>
      <c r="B146" s="6">
        <v>45103</v>
      </c>
      <c r="C146" s="7">
        <v>2</v>
      </c>
      <c r="D146" s="7">
        <v>1</v>
      </c>
      <c r="E146">
        <v>2</v>
      </c>
      <c r="F146" t="s">
        <v>52</v>
      </c>
      <c r="G146">
        <v>62.5</v>
      </c>
      <c r="H146">
        <v>104</v>
      </c>
      <c r="I146">
        <v>25.152000000000001</v>
      </c>
      <c r="J146">
        <v>25.391999999999999</v>
      </c>
      <c r="K146">
        <v>25.631</v>
      </c>
      <c r="L146">
        <v>25.651</v>
      </c>
      <c r="M146">
        <v>33.371000000000002</v>
      </c>
      <c r="U146" s="8">
        <f>IF(J146="","",J146-K146)</f>
        <v>-0.23900000000000077</v>
      </c>
      <c r="V146" s="8">
        <f>IF(K146="","",M146-K146)</f>
        <v>7.740000000000002</v>
      </c>
      <c r="W146" s="8" t="str">
        <f>IF(N146-M146&gt;0,N146-M146,"")</f>
        <v/>
      </c>
      <c r="X146" s="8"/>
      <c r="Y146" s="8"/>
      <c r="Z146" s="8"/>
      <c r="AA146" s="8"/>
      <c r="AB146" s="8"/>
      <c r="AC146" s="8"/>
      <c r="AD146" s="8"/>
      <c r="AK146" s="8">
        <f>L146-K146</f>
        <v>1.9999999999999574E-2</v>
      </c>
      <c r="AL146" s="8">
        <f>IF(M146="","",M146-J146)</f>
        <v>7.9790000000000028</v>
      </c>
      <c r="AM146" s="8"/>
      <c r="AP146" t="s">
        <v>58</v>
      </c>
    </row>
    <row r="147" spans="1:42" x14ac:dyDescent="0.3">
      <c r="A147" t="s">
        <v>40</v>
      </c>
      <c r="B147" s="6">
        <v>45103</v>
      </c>
      <c r="C147" s="7">
        <v>2</v>
      </c>
      <c r="D147" s="7">
        <v>1</v>
      </c>
      <c r="E147">
        <v>3</v>
      </c>
      <c r="F147" t="s">
        <v>52</v>
      </c>
      <c r="G147">
        <v>62.5</v>
      </c>
      <c r="H147">
        <v>106</v>
      </c>
      <c r="I147">
        <v>25.292000000000002</v>
      </c>
      <c r="J147">
        <v>25.530999999999999</v>
      </c>
      <c r="K147">
        <v>25.631</v>
      </c>
      <c r="L147">
        <v>25.751000000000001</v>
      </c>
      <c r="M147">
        <v>33.570999999999998</v>
      </c>
      <c r="U147" s="8">
        <f>IF(J147="","",J147-K147)</f>
        <v>-0.10000000000000142</v>
      </c>
      <c r="V147" s="8">
        <f>IF(K147="","",M147-K147)</f>
        <v>7.9399999999999977</v>
      </c>
      <c r="W147" s="8" t="str">
        <f>IF(N147-M147&gt;0,N147-M147,"")</f>
        <v/>
      </c>
      <c r="X147" s="8"/>
      <c r="Y147" s="8"/>
      <c r="Z147" s="8"/>
      <c r="AA147" s="8"/>
      <c r="AB147" s="8"/>
      <c r="AC147" s="8"/>
      <c r="AD147" s="8"/>
      <c r="AK147" s="8">
        <f>L147-K147</f>
        <v>0.12000000000000099</v>
      </c>
      <c r="AL147" s="8">
        <f>IF(M147="","",M147-J147)</f>
        <v>8.0399999999999991</v>
      </c>
      <c r="AM147" s="8"/>
      <c r="AP147" t="s">
        <v>58</v>
      </c>
    </row>
    <row r="148" spans="1:42" x14ac:dyDescent="0.3">
      <c r="A148" t="s">
        <v>41</v>
      </c>
      <c r="B148" s="6">
        <v>45103</v>
      </c>
      <c r="C148" s="7">
        <v>2</v>
      </c>
      <c r="D148" s="7">
        <v>1</v>
      </c>
      <c r="E148">
        <v>1</v>
      </c>
      <c r="F148" t="s">
        <v>42</v>
      </c>
      <c r="G148">
        <v>62.5</v>
      </c>
      <c r="H148">
        <v>96</v>
      </c>
      <c r="J148">
        <v>31.311</v>
      </c>
      <c r="K148">
        <v>31.231000000000002</v>
      </c>
      <c r="L148">
        <v>31.411000000000001</v>
      </c>
      <c r="M148">
        <v>38.911000000000001</v>
      </c>
      <c r="U148" s="8">
        <f>IF(J148="","",J148-K148)</f>
        <v>7.9999999999998295E-2</v>
      </c>
      <c r="V148" s="8">
        <f>IF(K148="","",M148-K148)</f>
        <v>7.68</v>
      </c>
      <c r="W148" s="8" t="str">
        <f>IF(N148-M148&gt;0,N148-M148,"")</f>
        <v/>
      </c>
      <c r="X148" s="8"/>
      <c r="Y148" s="8"/>
      <c r="Z148" s="8"/>
      <c r="AA148" s="8"/>
      <c r="AB148" s="8"/>
      <c r="AC148" s="8"/>
      <c r="AD148" s="8"/>
      <c r="AK148" s="8">
        <f>L148-K148</f>
        <v>0.17999999999999972</v>
      </c>
      <c r="AL148" s="8">
        <f>IF(M148="","",M148-J148)</f>
        <v>7.6000000000000014</v>
      </c>
      <c r="AM148" s="8" t="str">
        <f>IF(N148="","",AL148+W148)</f>
        <v/>
      </c>
      <c r="AP148" t="s">
        <v>66</v>
      </c>
    </row>
    <row r="149" spans="1:42" x14ac:dyDescent="0.3">
      <c r="A149" t="s">
        <v>36</v>
      </c>
      <c r="B149" s="6">
        <v>45103</v>
      </c>
      <c r="C149" s="7">
        <v>2</v>
      </c>
      <c r="D149" s="7">
        <v>2</v>
      </c>
      <c r="E149">
        <v>1</v>
      </c>
      <c r="F149" t="s">
        <v>52</v>
      </c>
      <c r="G149">
        <v>62.5</v>
      </c>
      <c r="H149">
        <v>98</v>
      </c>
      <c r="J149">
        <v>33.348999999999997</v>
      </c>
      <c r="K149">
        <v>33.308999999999997</v>
      </c>
      <c r="L149">
        <v>33.448999999999998</v>
      </c>
      <c r="M149">
        <v>40.829000000000001</v>
      </c>
      <c r="U149" s="8">
        <f>IF(J149="","",J149-K149)</f>
        <v>3.9999999999999147E-2</v>
      </c>
      <c r="V149" s="8">
        <f>IF(K149="","",M149-K149)</f>
        <v>7.5200000000000031</v>
      </c>
      <c r="W149" s="8" t="str">
        <f>IF(N149-M149&gt;0,N149-M149,"")</f>
        <v/>
      </c>
      <c r="X149" s="8"/>
      <c r="Y149" s="8"/>
      <c r="Z149" s="8"/>
      <c r="AA149" s="8"/>
      <c r="AB149" s="8"/>
      <c r="AC149" s="8"/>
      <c r="AD149" s="8"/>
      <c r="AK149" s="8">
        <f>L149-K149</f>
        <v>0.14000000000000057</v>
      </c>
      <c r="AL149" s="8">
        <f>IF(M149="","",M149-J149)</f>
        <v>7.480000000000004</v>
      </c>
      <c r="AM149" s="8"/>
      <c r="AP149" t="s">
        <v>59</v>
      </c>
    </row>
    <row r="150" spans="1:42" x14ac:dyDescent="0.3">
      <c r="A150" t="s">
        <v>38</v>
      </c>
      <c r="B150" s="6">
        <v>45103</v>
      </c>
      <c r="C150" s="7">
        <v>2</v>
      </c>
      <c r="D150" s="7">
        <v>2</v>
      </c>
      <c r="E150">
        <v>2</v>
      </c>
      <c r="F150" t="s">
        <v>52</v>
      </c>
      <c r="G150">
        <v>62.5</v>
      </c>
      <c r="H150">
        <v>104</v>
      </c>
      <c r="I150">
        <v>32.948999999999998</v>
      </c>
      <c r="J150">
        <v>33.189</v>
      </c>
      <c r="K150">
        <v>33.308999999999997</v>
      </c>
      <c r="L150">
        <v>33.389000000000003</v>
      </c>
      <c r="M150">
        <v>41.069000000000003</v>
      </c>
      <c r="U150" s="8">
        <f>IF(J150="","",J150-K150)</f>
        <v>-0.11999999999999744</v>
      </c>
      <c r="V150" s="8">
        <f>IF(K150="","",M150-K150)</f>
        <v>7.7600000000000051</v>
      </c>
      <c r="W150" s="8" t="str">
        <f>IF(N150-M150&gt;0,N150-M150,"")</f>
        <v/>
      </c>
      <c r="X150" s="8"/>
      <c r="Y150" s="8"/>
      <c r="Z150" s="8"/>
      <c r="AA150" s="8"/>
      <c r="AB150" s="8"/>
      <c r="AC150" s="8"/>
      <c r="AD150" s="8"/>
      <c r="AK150" s="8">
        <f>L150-K150</f>
        <v>8.00000000000054E-2</v>
      </c>
      <c r="AL150" s="8">
        <f>IF(M150="","",M150-J150)</f>
        <v>7.8800000000000026</v>
      </c>
      <c r="AM150" s="8"/>
      <c r="AP150" t="s">
        <v>59</v>
      </c>
    </row>
    <row r="151" spans="1:42" x14ac:dyDescent="0.3">
      <c r="A151" t="s">
        <v>40</v>
      </c>
      <c r="B151" s="6">
        <v>45103</v>
      </c>
      <c r="C151" s="7">
        <v>2</v>
      </c>
      <c r="D151" s="7">
        <v>2</v>
      </c>
      <c r="E151">
        <v>3</v>
      </c>
      <c r="F151" t="s">
        <v>52</v>
      </c>
      <c r="G151">
        <v>62.5</v>
      </c>
      <c r="H151">
        <v>106</v>
      </c>
      <c r="I151">
        <v>33.048999999999999</v>
      </c>
      <c r="J151">
        <v>33.329000000000001</v>
      </c>
      <c r="K151">
        <v>33.308999999999997</v>
      </c>
      <c r="L151">
        <v>33.588999999999999</v>
      </c>
      <c r="M151">
        <v>41.249000000000002</v>
      </c>
      <c r="U151" s="8">
        <f>IF(J151="","",J151-K151)</f>
        <v>2.0000000000003126E-2</v>
      </c>
      <c r="V151" s="8">
        <f>IF(K151="","",M151-K151)</f>
        <v>7.9400000000000048</v>
      </c>
      <c r="W151" s="8" t="str">
        <f>IF(N151-M151&gt;0,N151-M151,"")</f>
        <v/>
      </c>
      <c r="X151" s="8"/>
      <c r="Y151" s="8"/>
      <c r="Z151" s="8"/>
      <c r="AA151" s="8"/>
      <c r="AB151" s="8"/>
      <c r="AC151" s="8"/>
      <c r="AD151" s="8"/>
      <c r="AK151" s="8">
        <f>L151-K151</f>
        <v>0.28000000000000114</v>
      </c>
      <c r="AL151" s="8">
        <f>IF(M151="","",M151-J151)</f>
        <v>7.9200000000000017</v>
      </c>
      <c r="AM151" s="8"/>
      <c r="AP151" t="s">
        <v>59</v>
      </c>
    </row>
    <row r="152" spans="1:42" x14ac:dyDescent="0.3">
      <c r="A152" t="s">
        <v>41</v>
      </c>
      <c r="B152" s="6">
        <v>45103</v>
      </c>
      <c r="C152" s="7">
        <v>2</v>
      </c>
      <c r="D152" s="7">
        <v>2</v>
      </c>
      <c r="E152">
        <v>1</v>
      </c>
      <c r="F152" t="s">
        <v>42</v>
      </c>
      <c r="G152">
        <v>250</v>
      </c>
      <c r="H152">
        <v>96</v>
      </c>
      <c r="J152">
        <v>33.829000000000001</v>
      </c>
      <c r="K152">
        <v>33.81</v>
      </c>
      <c r="L152">
        <v>33.948999999999998</v>
      </c>
      <c r="M152">
        <v>41.488999999999997</v>
      </c>
      <c r="N152">
        <v>45.819000000000003</v>
      </c>
      <c r="O152">
        <v>49.649000000000001</v>
      </c>
      <c r="P152">
        <v>53.319000000000003</v>
      </c>
      <c r="U152" s="8">
        <f>IF(J152="","",J152-K152)</f>
        <v>1.8999999999998352E-2</v>
      </c>
      <c r="V152" s="8">
        <f>IF(K152="","",M152-K152)</f>
        <v>7.6789999999999949</v>
      </c>
      <c r="W152" s="8">
        <f>IF(N152-M152&gt;0,N152-M152,"")</f>
        <v>4.3300000000000054</v>
      </c>
      <c r="X152" s="8">
        <f>IF(O152-N152&gt;0,O152-N152,"")</f>
        <v>3.8299999999999983</v>
      </c>
      <c r="Y152" s="8">
        <f>IF(P152-O152&gt;0,P152-O152,"")</f>
        <v>3.6700000000000017</v>
      </c>
      <c r="Z152" s="8"/>
      <c r="AA152" s="8"/>
      <c r="AB152" s="8"/>
      <c r="AC152" s="8"/>
      <c r="AD152" s="8">
        <f>IF(W152="","",V152+W152)</f>
        <v>12.009</v>
      </c>
      <c r="AE152">
        <f>IF(Y152="","",X152+Y152)</f>
        <v>7.5</v>
      </c>
      <c r="AK152" s="8">
        <f>L152-K152</f>
        <v>0.13899999999999579</v>
      </c>
      <c r="AL152" s="8">
        <f>IF(M152="","",M152-J152)</f>
        <v>7.6599999999999966</v>
      </c>
      <c r="AM152" s="8">
        <f>IF(N152="","",AL152+W152)</f>
        <v>11.990000000000002</v>
      </c>
      <c r="AN152" s="8">
        <f>AM152+AE152</f>
        <v>19.490000000000002</v>
      </c>
      <c r="AP152" t="s">
        <v>67</v>
      </c>
    </row>
    <row r="153" spans="1:42" x14ac:dyDescent="0.3">
      <c r="A153" t="s">
        <v>36</v>
      </c>
      <c r="B153" s="6">
        <v>45103</v>
      </c>
      <c r="C153" s="7">
        <v>2</v>
      </c>
      <c r="D153" s="7">
        <v>3</v>
      </c>
      <c r="E153">
        <v>1</v>
      </c>
      <c r="F153" t="s">
        <v>52</v>
      </c>
      <c r="G153">
        <v>62.5</v>
      </c>
      <c r="H153">
        <v>98</v>
      </c>
      <c r="J153">
        <v>16.148</v>
      </c>
      <c r="K153">
        <v>16.047999999999998</v>
      </c>
      <c r="L153">
        <v>16.207999999999998</v>
      </c>
      <c r="M153">
        <v>23.488</v>
      </c>
      <c r="U153" s="8">
        <f>IF(J153="","",J153-K153)</f>
        <v>0.10000000000000142</v>
      </c>
      <c r="V153" s="8">
        <f>IF(K153="","",M153-K153)</f>
        <v>7.4400000000000013</v>
      </c>
      <c r="W153" s="8" t="str">
        <f>IF(N153-M153&gt;0,N153-M153,"")</f>
        <v/>
      </c>
      <c r="X153" s="8"/>
      <c r="Y153" s="8"/>
      <c r="Z153" s="8"/>
      <c r="AA153" s="8"/>
      <c r="AB153" s="8"/>
      <c r="AC153" s="8"/>
      <c r="AD153" s="8"/>
      <c r="AK153" s="8">
        <f>L153-K153</f>
        <v>0.16000000000000014</v>
      </c>
      <c r="AL153" s="8">
        <f>IF(M153="","",M153-J153)</f>
        <v>7.34</v>
      </c>
      <c r="AM153" s="8"/>
      <c r="AP153" t="s">
        <v>60</v>
      </c>
    </row>
    <row r="154" spans="1:42" x14ac:dyDescent="0.3">
      <c r="A154" t="s">
        <v>38</v>
      </c>
      <c r="B154" s="6">
        <v>45103</v>
      </c>
      <c r="C154" s="7">
        <v>2</v>
      </c>
      <c r="D154" s="7">
        <v>3</v>
      </c>
      <c r="E154">
        <v>2</v>
      </c>
      <c r="F154" t="s">
        <v>52</v>
      </c>
      <c r="G154">
        <v>62.5</v>
      </c>
      <c r="H154">
        <v>104</v>
      </c>
      <c r="I154">
        <v>15.587999999999999</v>
      </c>
      <c r="J154">
        <v>15.827999999999999</v>
      </c>
      <c r="K154">
        <v>16.047999999999998</v>
      </c>
      <c r="L154">
        <v>16.068000000000001</v>
      </c>
      <c r="M154">
        <v>23.768000000000001</v>
      </c>
      <c r="U154" s="8">
        <f>IF(J154="","",J154-K154)</f>
        <v>-0.21999999999999886</v>
      </c>
      <c r="V154" s="8">
        <f>IF(K154="","",M154-K154)</f>
        <v>7.7200000000000024</v>
      </c>
      <c r="W154" s="8" t="str">
        <f>IF(N154-M154&gt;0,N154-M154,"")</f>
        <v/>
      </c>
      <c r="X154" s="8"/>
      <c r="Y154" s="8"/>
      <c r="Z154" s="8"/>
      <c r="AA154" s="8"/>
      <c r="AB154" s="8"/>
      <c r="AC154" s="8"/>
      <c r="AD154" s="8"/>
      <c r="AK154" s="8">
        <f>L154-K154</f>
        <v>2.0000000000003126E-2</v>
      </c>
      <c r="AL154" s="8">
        <f>IF(M154="","",M154-J154)</f>
        <v>7.9400000000000013</v>
      </c>
      <c r="AM154" s="8"/>
      <c r="AP154" t="s">
        <v>60</v>
      </c>
    </row>
    <row r="155" spans="1:42" x14ac:dyDescent="0.3">
      <c r="A155" t="s">
        <v>40</v>
      </c>
      <c r="B155" s="6">
        <v>45103</v>
      </c>
      <c r="C155" s="7">
        <v>2</v>
      </c>
      <c r="D155" s="7">
        <v>3</v>
      </c>
      <c r="E155">
        <v>3</v>
      </c>
      <c r="F155" t="s">
        <v>52</v>
      </c>
      <c r="G155">
        <v>62.5</v>
      </c>
      <c r="H155">
        <v>106</v>
      </c>
      <c r="I155">
        <v>15.488</v>
      </c>
      <c r="J155">
        <v>15.988</v>
      </c>
      <c r="K155">
        <v>16.047999999999998</v>
      </c>
      <c r="L155">
        <v>16.228000000000002</v>
      </c>
      <c r="M155">
        <v>23.968</v>
      </c>
      <c r="U155" s="8">
        <f>IF(J155="","",J155-K155)</f>
        <v>-5.9999999999998721E-2</v>
      </c>
      <c r="V155" s="8">
        <f>IF(K155="","",M155-K155)</f>
        <v>7.9200000000000017</v>
      </c>
      <c r="W155" s="8" t="str">
        <f>IF(N155-M155&gt;0,N155-M155,"")</f>
        <v/>
      </c>
      <c r="X155" s="8"/>
      <c r="Y155" s="8"/>
      <c r="Z155" s="8"/>
      <c r="AA155" s="8"/>
      <c r="AB155" s="8"/>
      <c r="AC155" s="8"/>
      <c r="AD155" s="8"/>
      <c r="AK155" s="8">
        <f>L155-K155</f>
        <v>0.18000000000000327</v>
      </c>
      <c r="AL155" s="8">
        <f>IF(M155="","",M155-J155)</f>
        <v>7.98</v>
      </c>
      <c r="AM155" s="8"/>
      <c r="AP155" t="s">
        <v>60</v>
      </c>
    </row>
    <row r="156" spans="1:42" x14ac:dyDescent="0.3">
      <c r="A156" t="s">
        <v>41</v>
      </c>
      <c r="B156" s="6">
        <v>45103</v>
      </c>
      <c r="C156" s="7">
        <v>2</v>
      </c>
      <c r="D156" s="7">
        <v>3</v>
      </c>
      <c r="E156">
        <v>1</v>
      </c>
      <c r="F156" t="s">
        <v>42</v>
      </c>
      <c r="G156">
        <v>62.5</v>
      </c>
      <c r="H156">
        <v>96</v>
      </c>
      <c r="J156">
        <v>56.247</v>
      </c>
      <c r="K156">
        <v>56.186</v>
      </c>
      <c r="L156">
        <v>56.326000000000001</v>
      </c>
      <c r="M156">
        <v>63.917000000000002</v>
      </c>
      <c r="U156" s="8">
        <f>IF(J156="","",J156-K156)</f>
        <v>6.0999999999999943E-2</v>
      </c>
      <c r="V156" s="8">
        <f>IF(K156="","",M156-K156)</f>
        <v>7.7310000000000016</v>
      </c>
      <c r="W156" s="8" t="str">
        <f>IF(N156-M156&gt;0,N156-M156,"")</f>
        <v/>
      </c>
      <c r="X156" s="8"/>
      <c r="Y156" s="8"/>
      <c r="Z156" s="8"/>
      <c r="AA156" s="8"/>
      <c r="AB156" s="8"/>
      <c r="AC156" s="8"/>
      <c r="AD156" s="8"/>
      <c r="AK156" s="8">
        <f>L156-K156</f>
        <v>0.14000000000000057</v>
      </c>
      <c r="AL156" s="8">
        <f>IF(M156="","",M156-J156)</f>
        <v>7.6700000000000017</v>
      </c>
      <c r="AM156" s="8" t="str">
        <f>IF(N156="","",AL156+W156)</f>
        <v/>
      </c>
      <c r="AP156" t="s">
        <v>68</v>
      </c>
    </row>
    <row r="157" spans="1:42" x14ac:dyDescent="0.3">
      <c r="A157" t="s">
        <v>36</v>
      </c>
      <c r="B157" s="6">
        <v>45103</v>
      </c>
      <c r="C157" s="7">
        <v>2</v>
      </c>
      <c r="D157" s="7">
        <v>4</v>
      </c>
      <c r="E157">
        <v>1</v>
      </c>
      <c r="F157" t="s">
        <v>52</v>
      </c>
      <c r="G157">
        <v>62.5</v>
      </c>
      <c r="H157">
        <v>98</v>
      </c>
      <c r="J157">
        <v>55.186</v>
      </c>
      <c r="K157">
        <v>55.106000000000002</v>
      </c>
      <c r="L157">
        <v>55.246000000000002</v>
      </c>
      <c r="M157">
        <v>62.625999999999998</v>
      </c>
      <c r="U157" s="8">
        <f>IF(J157="","",J157-K157)</f>
        <v>7.9999999999998295E-2</v>
      </c>
      <c r="V157" s="8">
        <f>IF(K157="","",M157-K157)</f>
        <v>7.519999999999996</v>
      </c>
      <c r="W157" s="8" t="str">
        <f>IF(N157-M157&gt;0,N157-M157,"")</f>
        <v/>
      </c>
      <c r="X157" s="8"/>
      <c r="Y157" s="8"/>
      <c r="Z157" s="8"/>
      <c r="AA157" s="8"/>
      <c r="AB157" s="8"/>
      <c r="AC157" s="8"/>
      <c r="AD157" s="8"/>
      <c r="AK157" s="8">
        <f>L157-K157</f>
        <v>0.14000000000000057</v>
      </c>
      <c r="AL157" s="8">
        <f>IF(M157="","",M157-J157)</f>
        <v>7.4399999999999977</v>
      </c>
      <c r="AM157" s="8"/>
      <c r="AP157" t="s">
        <v>61</v>
      </c>
    </row>
    <row r="158" spans="1:42" x14ac:dyDescent="0.3">
      <c r="A158" t="s">
        <v>38</v>
      </c>
      <c r="B158" s="6">
        <v>45103</v>
      </c>
      <c r="C158" s="7">
        <v>2</v>
      </c>
      <c r="D158" s="7">
        <v>4</v>
      </c>
      <c r="E158">
        <v>2</v>
      </c>
      <c r="F158" t="s">
        <v>52</v>
      </c>
      <c r="G158">
        <v>62.5</v>
      </c>
      <c r="H158">
        <v>104</v>
      </c>
      <c r="I158">
        <v>54.805999999999997</v>
      </c>
      <c r="J158">
        <v>55.045999999999999</v>
      </c>
      <c r="K158">
        <v>55.106000000000002</v>
      </c>
      <c r="L158">
        <v>55.206000000000003</v>
      </c>
      <c r="M158">
        <v>62.926000000000002</v>
      </c>
      <c r="U158" s="8">
        <f>IF(J158="","",J158-K158)</f>
        <v>-6.0000000000002274E-2</v>
      </c>
      <c r="V158" s="8">
        <f>IF(K158="","",M158-K158)</f>
        <v>7.82</v>
      </c>
      <c r="W158" s="8" t="str">
        <f>IF(N158-M158&gt;0,N158-M158,"")</f>
        <v/>
      </c>
      <c r="X158" s="8"/>
      <c r="Y158" s="8"/>
      <c r="Z158" s="8"/>
      <c r="AA158" s="8"/>
      <c r="AB158" s="8"/>
      <c r="AC158" s="8"/>
      <c r="AD158" s="8"/>
      <c r="AK158" s="8">
        <f>L158-K158</f>
        <v>0.10000000000000142</v>
      </c>
      <c r="AL158" s="8">
        <f>IF(M158="","",M158-J158)</f>
        <v>7.8800000000000026</v>
      </c>
      <c r="AM158" s="8"/>
      <c r="AP158" t="s">
        <v>61</v>
      </c>
    </row>
    <row r="159" spans="1:42" x14ac:dyDescent="0.3">
      <c r="A159" t="s">
        <v>40</v>
      </c>
      <c r="B159" s="6">
        <v>45103</v>
      </c>
      <c r="C159" s="7">
        <v>2</v>
      </c>
      <c r="D159" s="7">
        <v>4</v>
      </c>
      <c r="E159">
        <v>3</v>
      </c>
      <c r="F159" t="s">
        <v>52</v>
      </c>
      <c r="G159">
        <v>62.5</v>
      </c>
      <c r="H159">
        <v>106</v>
      </c>
      <c r="I159">
        <v>54.725999999999999</v>
      </c>
      <c r="J159">
        <v>55.165999999999997</v>
      </c>
      <c r="K159">
        <v>55.106000000000002</v>
      </c>
      <c r="L159">
        <v>55.366</v>
      </c>
      <c r="M159">
        <v>63.106000000000002</v>
      </c>
      <c r="U159" s="8">
        <f>IF(J159="","",J159-K159)</f>
        <v>5.9999999999995168E-2</v>
      </c>
      <c r="V159" s="8">
        <f>IF(K159="","",M159-K159)</f>
        <v>8</v>
      </c>
      <c r="W159" s="8" t="str">
        <f>IF(N159-M159&gt;0,N159-M159,"")</f>
        <v/>
      </c>
      <c r="X159" s="8"/>
      <c r="Y159" s="8"/>
      <c r="Z159" s="8"/>
      <c r="AA159" s="8"/>
      <c r="AB159" s="8"/>
      <c r="AC159" s="8"/>
      <c r="AD159" s="8"/>
      <c r="AK159" s="8">
        <f>L159-K159</f>
        <v>0.25999999999999801</v>
      </c>
      <c r="AL159" s="8">
        <f>IF(M159="","",M159-J159)</f>
        <v>7.9400000000000048</v>
      </c>
      <c r="AM159" s="8"/>
      <c r="AP159" t="s">
        <v>61</v>
      </c>
    </row>
    <row r="160" spans="1:42" x14ac:dyDescent="0.3">
      <c r="A160" t="s">
        <v>36</v>
      </c>
      <c r="B160" s="6">
        <v>45110</v>
      </c>
      <c r="C160" s="7">
        <v>1</v>
      </c>
      <c r="D160" s="7">
        <v>1</v>
      </c>
      <c r="E160">
        <v>1</v>
      </c>
      <c r="F160" t="s">
        <v>51</v>
      </c>
      <c r="G160">
        <v>62.5</v>
      </c>
      <c r="H160">
        <v>98</v>
      </c>
      <c r="J160">
        <v>27.992000000000001</v>
      </c>
      <c r="K160">
        <v>27.914000000000001</v>
      </c>
      <c r="L160">
        <v>28.052</v>
      </c>
      <c r="M160">
        <v>35.472000000000001</v>
      </c>
      <c r="U160" s="8">
        <f>IF(J160="","",J160-K160)</f>
        <v>7.7999999999999403E-2</v>
      </c>
      <c r="V160" s="8">
        <f>IF(K160="","",M160-K160)</f>
        <v>7.5579999999999998</v>
      </c>
      <c r="W160" s="8" t="str">
        <f>IF(N160-M160&gt;0,N160-M160,"")</f>
        <v/>
      </c>
      <c r="X160" s="8"/>
      <c r="Y160" s="8"/>
      <c r="Z160" s="8"/>
      <c r="AA160" s="8"/>
      <c r="AB160" s="8"/>
      <c r="AC160" s="8"/>
      <c r="AD160" s="8"/>
      <c r="AK160" s="8">
        <f>L160-K160</f>
        <v>0.13799999999999812</v>
      </c>
      <c r="AL160" s="8">
        <f>IF(M160="","",M160-J160)</f>
        <v>7.48</v>
      </c>
      <c r="AM160" s="8"/>
      <c r="AP160" t="s">
        <v>145</v>
      </c>
    </row>
    <row r="161" spans="1:42" x14ac:dyDescent="0.3">
      <c r="A161" t="s">
        <v>41</v>
      </c>
      <c r="B161" s="6">
        <v>45110</v>
      </c>
      <c r="C161" s="7">
        <v>1</v>
      </c>
      <c r="D161" s="7">
        <v>1</v>
      </c>
      <c r="E161">
        <v>2</v>
      </c>
      <c r="F161" t="s">
        <v>51</v>
      </c>
      <c r="G161">
        <v>62.5</v>
      </c>
      <c r="H161">
        <v>104</v>
      </c>
      <c r="I161">
        <v>27.492000000000001</v>
      </c>
      <c r="J161">
        <v>27.713999999999999</v>
      </c>
      <c r="K161">
        <v>27.914000000000001</v>
      </c>
      <c r="L161">
        <v>27.855</v>
      </c>
      <c r="M161">
        <v>35.773000000000003</v>
      </c>
      <c r="U161" s="8">
        <f>IF(J161="","",J161-K161)</f>
        <v>-0.20000000000000284</v>
      </c>
      <c r="V161" s="8">
        <f>IF(K161="","",M161-K161)</f>
        <v>7.8590000000000018</v>
      </c>
      <c r="W161" s="8" t="str">
        <f>IF(N161-M161&gt;0,N161-M161,"")</f>
        <v/>
      </c>
      <c r="X161" s="8"/>
      <c r="Y161" s="8"/>
      <c r="Z161" s="8"/>
      <c r="AA161" s="8"/>
      <c r="AB161" s="8"/>
      <c r="AC161" s="8"/>
      <c r="AD161" s="8"/>
      <c r="AK161" s="8">
        <f>L161-K161</f>
        <v>-5.9000000000001052E-2</v>
      </c>
      <c r="AL161" s="8">
        <f>IF(M161="","",M161-J161)</f>
        <v>8.0590000000000046</v>
      </c>
      <c r="AM161" s="8"/>
      <c r="AP161" t="s">
        <v>145</v>
      </c>
    </row>
    <row r="162" spans="1:42" x14ac:dyDescent="0.3">
      <c r="A162" t="s">
        <v>38</v>
      </c>
      <c r="B162" s="6">
        <v>45110</v>
      </c>
      <c r="C162" s="7">
        <v>1</v>
      </c>
      <c r="D162" s="7">
        <v>1</v>
      </c>
      <c r="E162">
        <v>3</v>
      </c>
      <c r="F162" t="s">
        <v>51</v>
      </c>
      <c r="G162">
        <v>62.5</v>
      </c>
      <c r="H162">
        <v>106</v>
      </c>
      <c r="I162">
        <v>27.513999999999999</v>
      </c>
      <c r="J162">
        <v>27.731999999999999</v>
      </c>
      <c r="K162">
        <v>27.914000000000001</v>
      </c>
      <c r="L162">
        <v>27.914000000000001</v>
      </c>
      <c r="M162">
        <v>35.933999999999997</v>
      </c>
      <c r="U162" s="8">
        <f>IF(J162="","",J162-K162)</f>
        <v>-0.18200000000000216</v>
      </c>
      <c r="V162" s="8">
        <f>IF(K162="","",M162-K162)</f>
        <v>8.019999999999996</v>
      </c>
      <c r="W162" s="8" t="str">
        <f>IF(N162-M162&gt;0,N162-M162,"")</f>
        <v/>
      </c>
      <c r="X162" s="8"/>
      <c r="Y162" s="8"/>
      <c r="Z162" s="8"/>
      <c r="AA162" s="8"/>
      <c r="AB162" s="8"/>
      <c r="AC162" s="8"/>
      <c r="AD162" s="8"/>
      <c r="AK162" s="8">
        <f>L162-K162</f>
        <v>0</v>
      </c>
      <c r="AL162" s="8">
        <f>IF(M162="","",M162-J162)</f>
        <v>8.2019999999999982</v>
      </c>
      <c r="AM162" s="8"/>
      <c r="AP162" t="s">
        <v>145</v>
      </c>
    </row>
    <row r="163" spans="1:42" x14ac:dyDescent="0.3">
      <c r="A163" t="s">
        <v>40</v>
      </c>
      <c r="B163" s="6">
        <v>45110</v>
      </c>
      <c r="C163" s="7">
        <v>1</v>
      </c>
      <c r="D163" s="7">
        <v>1</v>
      </c>
      <c r="E163">
        <v>3</v>
      </c>
      <c r="F163" t="s">
        <v>42</v>
      </c>
      <c r="G163">
        <v>62.5</v>
      </c>
      <c r="H163">
        <v>106</v>
      </c>
      <c r="I163">
        <v>26.173999999999999</v>
      </c>
      <c r="J163">
        <v>26.434000000000001</v>
      </c>
      <c r="K163">
        <v>26.614999999999998</v>
      </c>
      <c r="L163">
        <v>26.614999999999998</v>
      </c>
      <c r="M163">
        <v>34.673999999999999</v>
      </c>
      <c r="U163" s="8">
        <f>IF(J163="","",J163-K163)</f>
        <v>-0.18099999999999739</v>
      </c>
      <c r="V163" s="8">
        <f>IF(K163="","",M163-K163)</f>
        <v>8.0590000000000011</v>
      </c>
      <c r="W163" s="8" t="str">
        <f>IF(N163-M163&gt;0,N163-M163,"")</f>
        <v/>
      </c>
      <c r="X163" s="8"/>
      <c r="Y163" s="8"/>
      <c r="Z163" s="8"/>
      <c r="AA163" s="8"/>
      <c r="AB163" s="8"/>
      <c r="AC163" s="8"/>
      <c r="AD163" s="8"/>
      <c r="AK163" s="8">
        <f>L163-K163</f>
        <v>0</v>
      </c>
      <c r="AL163" s="8">
        <f>IF(M163="","",M163-J163)</f>
        <v>8.2399999999999984</v>
      </c>
      <c r="AM163" s="8" t="str">
        <f>IF(N163="","",AL163+W163)</f>
        <v/>
      </c>
      <c r="AP163" t="s">
        <v>151</v>
      </c>
    </row>
    <row r="164" spans="1:42" x14ac:dyDescent="0.3">
      <c r="A164" t="s">
        <v>36</v>
      </c>
      <c r="B164" s="6">
        <v>45110</v>
      </c>
      <c r="C164" s="7">
        <v>1</v>
      </c>
      <c r="D164" s="7">
        <v>2</v>
      </c>
      <c r="E164">
        <v>1</v>
      </c>
      <c r="F164" t="s">
        <v>51</v>
      </c>
      <c r="G164">
        <v>62.5</v>
      </c>
      <c r="H164">
        <v>98</v>
      </c>
      <c r="J164">
        <v>55.014000000000003</v>
      </c>
      <c r="K164">
        <v>54.951999999999998</v>
      </c>
      <c r="L164">
        <v>55.073999999999998</v>
      </c>
      <c r="M164">
        <v>62.432000000000002</v>
      </c>
      <c r="U164" s="8">
        <f>IF(J164="","",J164-K164)</f>
        <v>6.2000000000004718E-2</v>
      </c>
      <c r="V164" s="8">
        <f>IF(K164="","",M164-K164)</f>
        <v>7.480000000000004</v>
      </c>
      <c r="W164" s="8" t="str">
        <f>IF(N164-M164&gt;0,N164-M164,"")</f>
        <v/>
      </c>
      <c r="X164" s="8"/>
      <c r="Y164" s="8"/>
      <c r="Z164" s="8"/>
      <c r="AA164" s="8"/>
      <c r="AB164" s="8"/>
      <c r="AC164" s="8"/>
      <c r="AD164" s="8"/>
      <c r="AK164" s="8">
        <f>L164-K164</f>
        <v>0.12199999999999989</v>
      </c>
      <c r="AL164" s="8">
        <f>IF(M164="","",M164-J164)</f>
        <v>7.4179999999999993</v>
      </c>
      <c r="AM164" s="8"/>
      <c r="AP164" t="s">
        <v>146</v>
      </c>
    </row>
    <row r="165" spans="1:42" x14ac:dyDescent="0.3">
      <c r="A165" t="s">
        <v>41</v>
      </c>
      <c r="B165" s="6">
        <v>45110</v>
      </c>
      <c r="C165" s="7">
        <v>1</v>
      </c>
      <c r="D165" s="7">
        <v>2</v>
      </c>
      <c r="E165">
        <v>2</v>
      </c>
      <c r="F165" t="s">
        <v>51</v>
      </c>
      <c r="G165">
        <v>62.5</v>
      </c>
      <c r="H165">
        <v>104</v>
      </c>
      <c r="I165">
        <v>54.451999999999998</v>
      </c>
      <c r="J165">
        <v>54.713999999999999</v>
      </c>
      <c r="K165">
        <v>54.951999999999998</v>
      </c>
      <c r="L165">
        <v>54.914000000000001</v>
      </c>
      <c r="M165">
        <v>62.713000000000001</v>
      </c>
      <c r="U165" s="8">
        <f>IF(J165="","",J165-K165)</f>
        <v>-0.23799999999999955</v>
      </c>
      <c r="V165" s="8">
        <f>IF(K165="","",M165-K165)</f>
        <v>7.7610000000000028</v>
      </c>
      <c r="W165" s="8" t="str">
        <f>IF(N165-M165&gt;0,N165-M165,"")</f>
        <v/>
      </c>
      <c r="X165" s="8"/>
      <c r="Y165" s="8"/>
      <c r="Z165" s="8"/>
      <c r="AA165" s="8"/>
      <c r="AB165" s="8"/>
      <c r="AC165" s="8"/>
      <c r="AD165" s="8"/>
      <c r="AK165" s="8">
        <f>L165-K165</f>
        <v>-3.7999999999996703E-2</v>
      </c>
      <c r="AL165" s="8">
        <f>IF(M165="","",M165-J165)</f>
        <v>7.9990000000000023</v>
      </c>
      <c r="AM165" s="8"/>
      <c r="AP165" t="s">
        <v>146</v>
      </c>
    </row>
    <row r="166" spans="1:42" x14ac:dyDescent="0.3">
      <c r="A166" t="s">
        <v>38</v>
      </c>
      <c r="B166" s="6">
        <v>45110</v>
      </c>
      <c r="C166" s="7">
        <v>1</v>
      </c>
      <c r="D166" s="7">
        <v>2</v>
      </c>
      <c r="E166">
        <v>3</v>
      </c>
      <c r="F166" t="s">
        <v>51</v>
      </c>
      <c r="G166">
        <v>62.5</v>
      </c>
      <c r="H166">
        <v>106</v>
      </c>
      <c r="I166">
        <v>54.573999999999998</v>
      </c>
      <c r="J166">
        <v>54.774000000000001</v>
      </c>
      <c r="K166">
        <v>54.951999999999998</v>
      </c>
      <c r="L166">
        <v>54.973999999999997</v>
      </c>
      <c r="M166">
        <v>62.874000000000002</v>
      </c>
      <c r="U166" s="8">
        <f>IF(J166="","",J166-K166)</f>
        <v>-0.17799999999999727</v>
      </c>
      <c r="V166" s="8">
        <f>IF(K166="","",M166-K166)</f>
        <v>7.9220000000000041</v>
      </c>
      <c r="W166" s="8" t="str">
        <f>IF(N166-M166&gt;0,N166-M166,"")</f>
        <v/>
      </c>
      <c r="X166" s="8"/>
      <c r="Y166" s="8"/>
      <c r="Z166" s="8"/>
      <c r="AA166" s="8"/>
      <c r="AB166" s="8"/>
      <c r="AC166" s="8"/>
      <c r="AD166" s="8"/>
      <c r="AK166" s="8">
        <f>L166-K166</f>
        <v>2.1999999999998465E-2</v>
      </c>
      <c r="AL166" s="8">
        <f>IF(M166="","",M166-J166)</f>
        <v>8.1000000000000014</v>
      </c>
      <c r="AM166" s="8"/>
      <c r="AP166" t="s">
        <v>146</v>
      </c>
    </row>
    <row r="167" spans="1:42" x14ac:dyDescent="0.3">
      <c r="A167" t="s">
        <v>40</v>
      </c>
      <c r="B167" s="6">
        <v>45110</v>
      </c>
      <c r="C167" s="7">
        <v>1</v>
      </c>
      <c r="D167" s="7">
        <v>2</v>
      </c>
      <c r="E167">
        <v>3</v>
      </c>
      <c r="F167" t="s">
        <v>42</v>
      </c>
      <c r="G167">
        <v>62.5</v>
      </c>
      <c r="H167">
        <v>106</v>
      </c>
      <c r="I167">
        <v>52.131</v>
      </c>
      <c r="J167">
        <v>52.332000000000001</v>
      </c>
      <c r="K167">
        <v>52.451999999999998</v>
      </c>
      <c r="L167">
        <v>52.591999999999999</v>
      </c>
      <c r="M167">
        <v>60.572000000000003</v>
      </c>
      <c r="U167" s="8">
        <f>IF(J167="","",J167-K167)</f>
        <v>-0.11999999999999744</v>
      </c>
      <c r="V167" s="8">
        <f>IF(K167="","",M167-K167)</f>
        <v>8.1200000000000045</v>
      </c>
      <c r="W167" s="8" t="str">
        <f>IF(N167-M167&gt;0,N167-M167,"")</f>
        <v/>
      </c>
      <c r="X167" s="8"/>
      <c r="Y167" s="8"/>
      <c r="Z167" s="8"/>
      <c r="AA167" s="8"/>
      <c r="AB167" s="8"/>
      <c r="AC167" s="8"/>
      <c r="AD167" s="8"/>
      <c r="AK167" s="8">
        <f>L167-K167</f>
        <v>0.14000000000000057</v>
      </c>
      <c r="AL167" s="8">
        <f>IF(M167="","",M167-J167)</f>
        <v>8.240000000000002</v>
      </c>
      <c r="AM167" s="8" t="str">
        <f>IF(N167="","",AL167+W167)</f>
        <v/>
      </c>
      <c r="AP167" t="s">
        <v>152</v>
      </c>
    </row>
    <row r="168" spans="1:42" x14ac:dyDescent="0.3">
      <c r="A168" t="s">
        <v>36</v>
      </c>
      <c r="B168" s="6">
        <v>45110</v>
      </c>
      <c r="C168" s="7">
        <v>1</v>
      </c>
      <c r="D168" s="7">
        <v>3</v>
      </c>
      <c r="E168">
        <v>1</v>
      </c>
      <c r="F168" t="s">
        <v>51</v>
      </c>
      <c r="G168">
        <v>125</v>
      </c>
      <c r="H168">
        <v>98</v>
      </c>
      <c r="J168">
        <v>33.25</v>
      </c>
      <c r="K168">
        <v>33.15</v>
      </c>
      <c r="L168">
        <v>33.311999999999998</v>
      </c>
      <c r="M168">
        <v>40.612000000000002</v>
      </c>
      <c r="N168">
        <v>44.860999999999997</v>
      </c>
      <c r="U168" s="8">
        <f>IF(J168="","",J168-K168)</f>
        <v>0.10000000000000142</v>
      </c>
      <c r="V168" s="8">
        <f>IF(K168="","",M168-K168)</f>
        <v>7.4620000000000033</v>
      </c>
      <c r="W168" s="8">
        <f>IF(N168-M168&gt;0,N168-M168,"")</f>
        <v>4.2489999999999952</v>
      </c>
      <c r="X168" s="8"/>
      <c r="Y168" s="8"/>
      <c r="Z168" s="8"/>
      <c r="AA168" s="8"/>
      <c r="AB168" s="8"/>
      <c r="AC168" s="8"/>
      <c r="AD168" s="8">
        <f>IF(W168="","",V168+W168)</f>
        <v>11.710999999999999</v>
      </c>
      <c r="AK168" s="8">
        <f>L168-K168</f>
        <v>0.16199999999999903</v>
      </c>
      <c r="AL168" s="8">
        <f>IF(M168="","",M168-J168)</f>
        <v>7.3620000000000019</v>
      </c>
      <c r="AM168" s="8">
        <f>IF(N168="","",AL168+W168)</f>
        <v>11.610999999999997</v>
      </c>
      <c r="AP168" t="s">
        <v>147</v>
      </c>
    </row>
    <row r="169" spans="1:42" x14ac:dyDescent="0.3">
      <c r="A169" t="s">
        <v>41</v>
      </c>
      <c r="B169" s="6">
        <v>45110</v>
      </c>
      <c r="C169" s="7">
        <v>1</v>
      </c>
      <c r="D169" s="7">
        <v>3</v>
      </c>
      <c r="E169">
        <v>2</v>
      </c>
      <c r="F169" t="s">
        <v>51</v>
      </c>
      <c r="G169">
        <v>125</v>
      </c>
      <c r="H169">
        <v>104</v>
      </c>
      <c r="I169">
        <v>32.811999999999998</v>
      </c>
      <c r="J169">
        <v>33.052</v>
      </c>
      <c r="K169">
        <v>33.15</v>
      </c>
      <c r="L169">
        <v>33.170999999999999</v>
      </c>
      <c r="M169">
        <v>40.933</v>
      </c>
      <c r="N169">
        <v>45.19</v>
      </c>
      <c r="U169" s="8">
        <f>IF(J169="","",J169-K169)</f>
        <v>-9.7999999999998977E-2</v>
      </c>
      <c r="V169" s="8">
        <f>IF(K169="","",M169-K169)</f>
        <v>7.7830000000000013</v>
      </c>
      <c r="W169" s="8">
        <f>IF(N169-M169&gt;0,N169-M169,"")</f>
        <v>4.2569999999999979</v>
      </c>
      <c r="X169" s="8"/>
      <c r="Y169" s="8"/>
      <c r="Z169" s="8"/>
      <c r="AA169" s="8"/>
      <c r="AB169" s="8"/>
      <c r="AC169" s="8"/>
      <c r="AD169" s="8">
        <f>IF(W169="","",V169+W169)</f>
        <v>12.04</v>
      </c>
      <c r="AK169" s="8">
        <f>L169-K169</f>
        <v>2.1000000000000796E-2</v>
      </c>
      <c r="AL169" s="8">
        <f>IF(M169="","",M169-J169)</f>
        <v>7.8810000000000002</v>
      </c>
      <c r="AM169" s="8">
        <f>IF(N169="","",AL169+W169)</f>
        <v>12.137999999999998</v>
      </c>
      <c r="AP169" t="s">
        <v>147</v>
      </c>
    </row>
    <row r="170" spans="1:42" x14ac:dyDescent="0.3">
      <c r="A170" t="s">
        <v>38</v>
      </c>
      <c r="B170" s="6">
        <v>45110</v>
      </c>
      <c r="C170" s="7">
        <v>1</v>
      </c>
      <c r="D170" s="7">
        <v>3</v>
      </c>
      <c r="E170">
        <v>3</v>
      </c>
      <c r="F170" t="s">
        <v>51</v>
      </c>
      <c r="G170">
        <v>125</v>
      </c>
      <c r="H170">
        <v>106</v>
      </c>
      <c r="I170">
        <v>32.612000000000002</v>
      </c>
      <c r="J170">
        <v>32.97</v>
      </c>
      <c r="K170">
        <v>33.15</v>
      </c>
      <c r="L170">
        <v>33.170999999999999</v>
      </c>
      <c r="M170">
        <v>41.070999999999998</v>
      </c>
      <c r="N170">
        <v>45.350999999999999</v>
      </c>
      <c r="U170" s="8">
        <f>IF(J170="","",J170-K170)</f>
        <v>-0.17999999999999972</v>
      </c>
      <c r="V170" s="8">
        <f>IF(K170="","",M170-K170)</f>
        <v>7.9209999999999994</v>
      </c>
      <c r="W170" s="8">
        <f>IF(N170-M170&gt;0,N170-M170,"")</f>
        <v>4.2800000000000011</v>
      </c>
      <c r="X170" s="8"/>
      <c r="Y170" s="8"/>
      <c r="Z170" s="8"/>
      <c r="AA170" s="8"/>
      <c r="AB170" s="8"/>
      <c r="AC170" s="8"/>
      <c r="AD170" s="8">
        <f>IF(W170="","",V170+W170)</f>
        <v>12.201000000000001</v>
      </c>
      <c r="AK170" s="8">
        <f>L170-K170</f>
        <v>2.1000000000000796E-2</v>
      </c>
      <c r="AL170" s="8">
        <f>IF(M170="","",M170-J170)</f>
        <v>8.1009999999999991</v>
      </c>
      <c r="AM170" s="8">
        <f>IF(N170="","",AL170+W170)</f>
        <v>12.381</v>
      </c>
      <c r="AP170" t="s">
        <v>147</v>
      </c>
    </row>
    <row r="171" spans="1:42" x14ac:dyDescent="0.3">
      <c r="A171" t="s">
        <v>40</v>
      </c>
      <c r="B171" s="6">
        <v>45110</v>
      </c>
      <c r="C171" s="7">
        <v>1</v>
      </c>
      <c r="D171" s="7">
        <v>3</v>
      </c>
      <c r="E171">
        <v>3</v>
      </c>
      <c r="F171" t="s">
        <v>42</v>
      </c>
      <c r="G171">
        <v>125</v>
      </c>
      <c r="H171">
        <v>106</v>
      </c>
      <c r="I171">
        <v>45.89</v>
      </c>
      <c r="J171">
        <v>46.19</v>
      </c>
      <c r="K171">
        <v>46.271999999999998</v>
      </c>
      <c r="L171">
        <v>46.430999999999997</v>
      </c>
      <c r="M171">
        <v>54.43</v>
      </c>
      <c r="N171">
        <v>58.73</v>
      </c>
      <c r="U171" s="8">
        <f>IF(J171="","",J171-K171)</f>
        <v>-8.2000000000000739E-2</v>
      </c>
      <c r="V171" s="8">
        <f>IF(K171="","",M171-K171)</f>
        <v>8.1580000000000013</v>
      </c>
      <c r="W171" s="8">
        <f>IF(N171-M171&gt;0,N171-M171,"")</f>
        <v>4.2999999999999972</v>
      </c>
      <c r="X171" s="8"/>
      <c r="Y171" s="8"/>
      <c r="Z171" s="8"/>
      <c r="AA171" s="8"/>
      <c r="AB171" s="8"/>
      <c r="AC171" s="8"/>
      <c r="AD171" s="8">
        <f>IF(W171="","",V171+W171)</f>
        <v>12.457999999999998</v>
      </c>
      <c r="AK171" s="8">
        <f>L171-K171</f>
        <v>0.15899999999999892</v>
      </c>
      <c r="AL171" s="8">
        <f>IF(M171="","",M171-J171)</f>
        <v>8.240000000000002</v>
      </c>
      <c r="AM171" s="8">
        <f>IF(N171="","",AL171+W171)</f>
        <v>12.54</v>
      </c>
      <c r="AP171" t="s">
        <v>153</v>
      </c>
    </row>
    <row r="172" spans="1:42" x14ac:dyDescent="0.3">
      <c r="A172" t="s">
        <v>36</v>
      </c>
      <c r="B172" s="6">
        <v>45110</v>
      </c>
      <c r="C172" s="7">
        <v>2</v>
      </c>
      <c r="D172" s="7">
        <v>1</v>
      </c>
      <c r="E172">
        <v>1</v>
      </c>
      <c r="F172" t="s">
        <v>52</v>
      </c>
      <c r="G172">
        <v>62.5</v>
      </c>
      <c r="H172">
        <v>98</v>
      </c>
      <c r="J172">
        <v>56.274000000000001</v>
      </c>
      <c r="K172">
        <v>56.194000000000003</v>
      </c>
      <c r="L172">
        <v>56.354999999999997</v>
      </c>
      <c r="M172">
        <v>63.633000000000003</v>
      </c>
      <c r="U172" s="8">
        <f>IF(J172="","",J172-K172)</f>
        <v>7.9999999999998295E-2</v>
      </c>
      <c r="V172" s="8">
        <f>IF(K172="","",M172-K172)</f>
        <v>7.4390000000000001</v>
      </c>
      <c r="W172" s="8" t="str">
        <f>IF(N172-M172&gt;0,N172-M172,"")</f>
        <v/>
      </c>
      <c r="X172" s="8"/>
      <c r="Y172" s="8"/>
      <c r="Z172" s="8"/>
      <c r="AA172" s="8"/>
      <c r="AB172" s="8"/>
      <c r="AC172" s="8"/>
      <c r="AD172" s="8"/>
      <c r="AK172" s="8">
        <f>L172-K172</f>
        <v>0.16099999999999426</v>
      </c>
      <c r="AL172" s="8">
        <f>IF(M172="","",M172-J172)</f>
        <v>7.3590000000000018</v>
      </c>
      <c r="AM172" s="8"/>
      <c r="AP172" t="s">
        <v>148</v>
      </c>
    </row>
    <row r="173" spans="1:42" x14ac:dyDescent="0.3">
      <c r="A173" t="s">
        <v>38</v>
      </c>
      <c r="B173" s="6">
        <v>45110</v>
      </c>
      <c r="C173" s="7">
        <v>2</v>
      </c>
      <c r="D173" s="7">
        <v>1</v>
      </c>
      <c r="E173">
        <v>2</v>
      </c>
      <c r="F173" t="s">
        <v>52</v>
      </c>
      <c r="G173">
        <v>62.5</v>
      </c>
      <c r="H173">
        <v>104</v>
      </c>
      <c r="I173">
        <v>55.792999999999999</v>
      </c>
      <c r="J173">
        <v>56.055</v>
      </c>
      <c r="K173">
        <v>56.194000000000003</v>
      </c>
      <c r="L173">
        <v>56.314</v>
      </c>
      <c r="M173">
        <v>64.015000000000001</v>
      </c>
      <c r="U173" s="8">
        <f>IF(J173="","",J173-K173)</f>
        <v>-0.1390000000000029</v>
      </c>
      <c r="V173" s="8">
        <f>IF(K173="","",M173-K173)</f>
        <v>7.820999999999998</v>
      </c>
      <c r="W173" s="8" t="str">
        <f>IF(N173-M173&gt;0,N173-M173,"")</f>
        <v/>
      </c>
      <c r="X173" s="8"/>
      <c r="Y173" s="8"/>
      <c r="Z173" s="8"/>
      <c r="AA173" s="8"/>
      <c r="AB173" s="8"/>
      <c r="AC173" s="8"/>
      <c r="AD173" s="8"/>
      <c r="AK173" s="8">
        <f>L173-K173</f>
        <v>0.11999999999999744</v>
      </c>
      <c r="AL173" s="8">
        <f>IF(M173="","",M173-J173)</f>
        <v>7.9600000000000009</v>
      </c>
      <c r="AM173" s="8"/>
      <c r="AP173" t="s">
        <v>148</v>
      </c>
    </row>
    <row r="174" spans="1:42" x14ac:dyDescent="0.3">
      <c r="A174" t="s">
        <v>40</v>
      </c>
      <c r="B174" s="6">
        <v>45110</v>
      </c>
      <c r="C174" s="7">
        <v>2</v>
      </c>
      <c r="D174" s="7">
        <v>1</v>
      </c>
      <c r="E174">
        <v>3</v>
      </c>
      <c r="F174" t="s">
        <v>52</v>
      </c>
      <c r="G174">
        <v>62.5</v>
      </c>
      <c r="H174">
        <v>106</v>
      </c>
      <c r="I174">
        <v>55.732999999999997</v>
      </c>
      <c r="J174">
        <v>56.113999999999997</v>
      </c>
      <c r="K174">
        <v>56.194000000000003</v>
      </c>
      <c r="L174">
        <v>56.334000000000003</v>
      </c>
      <c r="M174">
        <v>64.215000000000003</v>
      </c>
      <c r="U174" s="8">
        <f>IF(J174="","",J174-K174)</f>
        <v>-8.00000000000054E-2</v>
      </c>
      <c r="V174" s="8">
        <f>IF(K174="","",M174-K174)</f>
        <v>8.0210000000000008</v>
      </c>
      <c r="W174" s="8" t="str">
        <f>IF(N174-M174&gt;0,N174-M174,"")</f>
        <v/>
      </c>
      <c r="X174" s="8"/>
      <c r="Y174" s="8"/>
      <c r="Z174" s="8"/>
      <c r="AA174" s="8"/>
      <c r="AB174" s="8"/>
      <c r="AC174" s="8"/>
      <c r="AD174" s="8"/>
      <c r="AK174" s="8">
        <f>L174-K174</f>
        <v>0.14000000000000057</v>
      </c>
      <c r="AL174" s="8">
        <f>IF(M174="","",M174-J174)</f>
        <v>8.1010000000000062</v>
      </c>
      <c r="AM174" s="8"/>
      <c r="AP174" t="s">
        <v>148</v>
      </c>
    </row>
    <row r="175" spans="1:42" x14ac:dyDescent="0.3">
      <c r="A175" t="s">
        <v>41</v>
      </c>
      <c r="B175" s="6">
        <v>45110</v>
      </c>
      <c r="C175" s="7">
        <v>2</v>
      </c>
      <c r="D175" s="7">
        <v>1</v>
      </c>
      <c r="E175">
        <v>2</v>
      </c>
      <c r="F175" t="s">
        <v>42</v>
      </c>
      <c r="G175">
        <v>62.5</v>
      </c>
      <c r="H175">
        <v>104</v>
      </c>
      <c r="I175">
        <v>52.334000000000003</v>
      </c>
      <c r="J175">
        <v>52.615000000000002</v>
      </c>
      <c r="K175">
        <v>52.715000000000003</v>
      </c>
      <c r="L175">
        <v>52.773000000000003</v>
      </c>
      <c r="M175">
        <v>60.715000000000003</v>
      </c>
      <c r="U175" s="8">
        <f>IF(J175="","",J175-K175)</f>
        <v>-0.10000000000000142</v>
      </c>
      <c r="V175" s="8">
        <f>IF(K175="","",M175-K175)</f>
        <v>8</v>
      </c>
      <c r="W175" s="8" t="str">
        <f>IF(N175-M175&gt;0,N175-M175,"")</f>
        <v/>
      </c>
      <c r="X175" s="8"/>
      <c r="Y175" s="8"/>
      <c r="Z175" s="8"/>
      <c r="AA175" s="8"/>
      <c r="AB175" s="8"/>
      <c r="AC175" s="8"/>
      <c r="AD175" s="8"/>
      <c r="AK175" s="8">
        <f>L175-K175</f>
        <v>5.7999999999999829E-2</v>
      </c>
      <c r="AL175" s="8">
        <f>IF(M175="","",M175-J175)</f>
        <v>8.1000000000000014</v>
      </c>
      <c r="AM175" s="8"/>
      <c r="AP175" t="s">
        <v>154</v>
      </c>
    </row>
    <row r="176" spans="1:42" x14ac:dyDescent="0.3">
      <c r="A176" t="s">
        <v>36</v>
      </c>
      <c r="B176" s="6">
        <v>45110</v>
      </c>
      <c r="C176" s="7">
        <v>2</v>
      </c>
      <c r="D176" s="7">
        <v>2</v>
      </c>
      <c r="E176">
        <v>1</v>
      </c>
      <c r="F176" t="s">
        <v>52</v>
      </c>
      <c r="G176">
        <v>62.5</v>
      </c>
      <c r="H176">
        <v>98</v>
      </c>
      <c r="J176">
        <v>8.7949999999999999</v>
      </c>
      <c r="K176">
        <v>8.7349999999999994</v>
      </c>
      <c r="L176">
        <v>8.8960000000000008</v>
      </c>
      <c r="M176">
        <v>16.216999999999999</v>
      </c>
      <c r="U176" s="8">
        <f>IF(J176="","",J176-K176)</f>
        <v>6.0000000000000497E-2</v>
      </c>
      <c r="V176" s="8">
        <f>IF(K176="","",M176-K176)</f>
        <v>7.4819999999999993</v>
      </c>
      <c r="W176" s="8" t="str">
        <f>IF(N176-M176&gt;0,N176-M176,"")</f>
        <v/>
      </c>
      <c r="X176" s="8"/>
      <c r="Y176" s="8"/>
      <c r="Z176" s="8"/>
      <c r="AA176" s="8"/>
      <c r="AB176" s="8"/>
      <c r="AC176" s="8"/>
      <c r="AD176" s="8"/>
      <c r="AK176" s="8">
        <f>L176-K176</f>
        <v>0.16100000000000136</v>
      </c>
      <c r="AL176" s="8">
        <f>IF(M176="","",M176-J176)</f>
        <v>7.4219999999999988</v>
      </c>
      <c r="AM176" s="8"/>
      <c r="AP176" t="s">
        <v>149</v>
      </c>
    </row>
    <row r="177" spans="1:42" x14ac:dyDescent="0.3">
      <c r="A177" t="s">
        <v>38</v>
      </c>
      <c r="B177" s="6">
        <v>45110</v>
      </c>
      <c r="C177" s="7">
        <v>2</v>
      </c>
      <c r="D177" s="7">
        <v>2</v>
      </c>
      <c r="E177">
        <v>2</v>
      </c>
      <c r="F177" t="s">
        <v>52</v>
      </c>
      <c r="G177">
        <v>62.5</v>
      </c>
      <c r="H177">
        <v>104</v>
      </c>
      <c r="I177">
        <v>8.5350000000000001</v>
      </c>
      <c r="J177">
        <v>8.6959999999999997</v>
      </c>
      <c r="K177">
        <v>8.7349999999999994</v>
      </c>
      <c r="L177">
        <v>8.8960000000000008</v>
      </c>
      <c r="M177">
        <v>16.696000000000002</v>
      </c>
      <c r="U177" s="8">
        <f>IF(J177="","",J177-K177)</f>
        <v>-3.8999999999999702E-2</v>
      </c>
      <c r="V177" s="8">
        <f>IF(K177="","",M177-K177)</f>
        <v>7.9610000000000021</v>
      </c>
      <c r="W177" s="8" t="str">
        <f>IF(N177-M177&gt;0,N177-M177,"")</f>
        <v/>
      </c>
      <c r="X177" s="8"/>
      <c r="Y177" s="8"/>
      <c r="Z177" s="8"/>
      <c r="AA177" s="8"/>
      <c r="AB177" s="8"/>
      <c r="AC177" s="8"/>
      <c r="AD177" s="8"/>
      <c r="AK177" s="8">
        <f>L177-K177</f>
        <v>0.16100000000000136</v>
      </c>
      <c r="AL177" s="8">
        <f>IF(M177="","",M177-J177)</f>
        <v>8.0000000000000018</v>
      </c>
      <c r="AM177" s="8"/>
      <c r="AP177" t="s">
        <v>149</v>
      </c>
    </row>
    <row r="178" spans="1:42" x14ac:dyDescent="0.3">
      <c r="A178" t="s">
        <v>40</v>
      </c>
      <c r="B178" s="6">
        <v>45110</v>
      </c>
      <c r="C178" s="7">
        <v>2</v>
      </c>
      <c r="D178" s="7">
        <v>2</v>
      </c>
      <c r="E178">
        <v>3</v>
      </c>
      <c r="F178" t="s">
        <v>52</v>
      </c>
      <c r="G178">
        <v>62.5</v>
      </c>
      <c r="H178">
        <v>106</v>
      </c>
      <c r="I178">
        <v>8.3170000000000002</v>
      </c>
      <c r="J178">
        <v>8.6780000000000008</v>
      </c>
      <c r="K178">
        <v>8.7349999999999994</v>
      </c>
      <c r="L178">
        <v>8.9169999999999998</v>
      </c>
      <c r="M178">
        <v>16.856000000000002</v>
      </c>
      <c r="U178" s="8">
        <f>IF(J178="","",J178-K178)</f>
        <v>-5.6999999999998607E-2</v>
      </c>
      <c r="V178" s="8">
        <f>IF(K178="","",M178-K178)</f>
        <v>8.1210000000000022</v>
      </c>
      <c r="W178" s="8" t="str">
        <f>IF(N178-M178&gt;0,N178-M178,"")</f>
        <v/>
      </c>
      <c r="X178" s="8"/>
      <c r="Y178" s="8"/>
      <c r="Z178" s="8"/>
      <c r="AA178" s="8"/>
      <c r="AB178" s="8"/>
      <c r="AC178" s="8"/>
      <c r="AD178" s="8"/>
      <c r="AK178" s="8">
        <f>L178-K178</f>
        <v>0.18200000000000038</v>
      </c>
      <c r="AL178" s="8">
        <f>IF(M178="","",M178-J178)</f>
        <v>8.1780000000000008</v>
      </c>
      <c r="AM178" s="8"/>
      <c r="AP178" t="s">
        <v>149</v>
      </c>
    </row>
    <row r="179" spans="1:42" x14ac:dyDescent="0.3">
      <c r="A179" t="s">
        <v>41</v>
      </c>
      <c r="B179" s="6">
        <v>45110</v>
      </c>
      <c r="C179" s="7">
        <v>2</v>
      </c>
      <c r="D179" s="7">
        <v>2</v>
      </c>
      <c r="E179">
        <v>2</v>
      </c>
      <c r="F179" t="s">
        <v>42</v>
      </c>
      <c r="G179">
        <v>62.5</v>
      </c>
      <c r="H179">
        <v>104</v>
      </c>
      <c r="I179">
        <v>11.518000000000001</v>
      </c>
      <c r="J179">
        <v>11.818</v>
      </c>
      <c r="K179">
        <v>11.936999999999999</v>
      </c>
      <c r="L179">
        <v>11.936999999999999</v>
      </c>
      <c r="M179">
        <v>19.878</v>
      </c>
      <c r="U179" s="8">
        <f>IF(J179="","",J179-K179)</f>
        <v>-0.11899999999999977</v>
      </c>
      <c r="V179" s="8">
        <f>IF(K179="","",M179-K179)</f>
        <v>7.9410000000000007</v>
      </c>
      <c r="W179" s="8" t="str">
        <f>IF(N179-M179&gt;0,N179-M179,"")</f>
        <v/>
      </c>
      <c r="X179" s="8"/>
      <c r="Y179" s="8"/>
      <c r="Z179" s="8"/>
      <c r="AA179" s="8"/>
      <c r="AB179" s="8"/>
      <c r="AC179" s="8"/>
      <c r="AD179" s="8"/>
      <c r="AK179" s="8">
        <f>L179-K179</f>
        <v>0</v>
      </c>
      <c r="AL179" s="8">
        <f>IF(M179="","",M179-J179)</f>
        <v>8.06</v>
      </c>
      <c r="AM179" s="8"/>
      <c r="AP179" t="s">
        <v>143</v>
      </c>
    </row>
    <row r="180" spans="1:42" x14ac:dyDescent="0.3">
      <c r="A180" t="s">
        <v>36</v>
      </c>
      <c r="B180" s="6">
        <v>45110</v>
      </c>
      <c r="C180" s="7">
        <v>2</v>
      </c>
      <c r="D180" s="7">
        <v>3</v>
      </c>
      <c r="E180">
        <v>1</v>
      </c>
      <c r="F180" t="s">
        <v>52</v>
      </c>
      <c r="G180">
        <v>125</v>
      </c>
      <c r="H180">
        <v>98</v>
      </c>
      <c r="J180">
        <v>8.9610000000000003</v>
      </c>
      <c r="K180">
        <v>8.8610000000000007</v>
      </c>
      <c r="L180">
        <v>9.0410000000000004</v>
      </c>
      <c r="M180">
        <v>16.321000000000002</v>
      </c>
      <c r="N180">
        <v>20.582000000000001</v>
      </c>
      <c r="U180" s="8">
        <f>IF(J180="","",J180-K180)</f>
        <v>9.9999999999999645E-2</v>
      </c>
      <c r="V180" s="8">
        <f>IF(K180="","",M180-K180)</f>
        <v>7.4600000000000009</v>
      </c>
      <c r="W180" s="8">
        <f>IF(N180-M180&gt;0,N180-M180,"")</f>
        <v>4.2609999999999992</v>
      </c>
      <c r="X180" s="8"/>
      <c r="Y180" s="8"/>
      <c r="Z180" s="8"/>
      <c r="AA180" s="8"/>
      <c r="AB180" s="8"/>
      <c r="AC180" s="8"/>
      <c r="AD180" s="8">
        <f>IF(W180="","",V180+W180)</f>
        <v>11.721</v>
      </c>
      <c r="AK180" s="8">
        <f>L180-K180</f>
        <v>0.17999999999999972</v>
      </c>
      <c r="AL180" s="8">
        <f>IF(M180="","",M180-J180)</f>
        <v>7.3600000000000012</v>
      </c>
      <c r="AM180" s="8">
        <f>IF(N180="","",AL180+W180)</f>
        <v>11.621</v>
      </c>
      <c r="AP180" t="s">
        <v>150</v>
      </c>
    </row>
    <row r="181" spans="1:42" x14ac:dyDescent="0.3">
      <c r="A181" t="s">
        <v>38</v>
      </c>
      <c r="B181" s="6">
        <v>45110</v>
      </c>
      <c r="C181" s="7">
        <v>2</v>
      </c>
      <c r="D181" s="7">
        <v>3</v>
      </c>
      <c r="E181">
        <v>2</v>
      </c>
      <c r="F181" t="s">
        <v>52</v>
      </c>
      <c r="G181">
        <v>125</v>
      </c>
      <c r="H181">
        <v>104</v>
      </c>
      <c r="I181">
        <v>8.6210000000000004</v>
      </c>
      <c r="J181">
        <v>8.8010000000000002</v>
      </c>
      <c r="K181">
        <v>8.8610000000000007</v>
      </c>
      <c r="L181">
        <v>9.0009999999999994</v>
      </c>
      <c r="M181">
        <v>16.64</v>
      </c>
      <c r="N181">
        <v>20.940999999999999</v>
      </c>
      <c r="U181" s="8">
        <f>IF(J181="","",J181-K181)</f>
        <v>-6.0000000000000497E-2</v>
      </c>
      <c r="V181" s="8">
        <f>IF(K181="","",M181-K181)</f>
        <v>7.7789999999999999</v>
      </c>
      <c r="W181" s="8">
        <f>IF(N181-M181&gt;0,N181-M181,"")</f>
        <v>4.3009999999999984</v>
      </c>
      <c r="X181" s="8"/>
      <c r="Y181" s="8"/>
      <c r="Z181" s="8"/>
      <c r="AA181" s="8"/>
      <c r="AB181" s="8"/>
      <c r="AC181" s="8"/>
      <c r="AD181" s="8">
        <f>IF(W181="","",V181+W181)</f>
        <v>12.079999999999998</v>
      </c>
      <c r="AK181" s="8">
        <f>L181-K181</f>
        <v>0.13999999999999879</v>
      </c>
      <c r="AL181" s="8">
        <f>IF(M181="","",M181-J181)</f>
        <v>7.8390000000000004</v>
      </c>
      <c r="AM181" s="8">
        <f>IF(N181="","",AL181+W181)</f>
        <v>12.139999999999999</v>
      </c>
      <c r="AP181" t="s">
        <v>150</v>
      </c>
    </row>
    <row r="182" spans="1:42" x14ac:dyDescent="0.3">
      <c r="A182" t="s">
        <v>40</v>
      </c>
      <c r="B182" s="6">
        <v>45110</v>
      </c>
      <c r="C182" s="7">
        <v>2</v>
      </c>
      <c r="D182" s="7">
        <v>3</v>
      </c>
      <c r="E182">
        <v>3</v>
      </c>
      <c r="F182" t="s">
        <v>52</v>
      </c>
      <c r="G182">
        <v>125</v>
      </c>
      <c r="H182">
        <v>106</v>
      </c>
      <c r="I182">
        <v>8.4209999999999994</v>
      </c>
      <c r="J182">
        <v>8.7799999999999994</v>
      </c>
      <c r="K182">
        <v>8.8610000000000007</v>
      </c>
      <c r="L182">
        <v>8.98</v>
      </c>
      <c r="M182">
        <v>16.86</v>
      </c>
      <c r="N182">
        <v>21.120999999999999</v>
      </c>
      <c r="U182" s="8">
        <f>IF(J182="","",J182-K182)</f>
        <v>-8.1000000000001293E-2</v>
      </c>
      <c r="V182" s="8">
        <f>IF(K182="","",M182-K182)</f>
        <v>7.9989999999999988</v>
      </c>
      <c r="W182" s="8">
        <f>IF(N182-M182&gt;0,N182-M182,"")</f>
        <v>4.2609999999999992</v>
      </c>
      <c r="X182" s="8"/>
      <c r="Y182" s="8"/>
      <c r="Z182" s="8"/>
      <c r="AA182" s="8"/>
      <c r="AB182" s="8"/>
      <c r="AC182" s="8"/>
      <c r="AD182" s="8">
        <f>IF(W182="","",V182+W182)</f>
        <v>12.259999999999998</v>
      </c>
      <c r="AK182" s="8">
        <f>L182-K182</f>
        <v>0.11899999999999977</v>
      </c>
      <c r="AL182" s="8">
        <f>IF(M182="","",M182-J182)</f>
        <v>8.08</v>
      </c>
      <c r="AM182" s="8">
        <f>IF(N182="","",AL182+W182)</f>
        <v>12.340999999999999</v>
      </c>
      <c r="AP182" t="s">
        <v>150</v>
      </c>
    </row>
    <row r="183" spans="1:42" x14ac:dyDescent="0.3">
      <c r="A183" t="s">
        <v>41</v>
      </c>
      <c r="B183" s="6">
        <v>45110</v>
      </c>
      <c r="C183" s="7">
        <v>2</v>
      </c>
      <c r="D183" s="7">
        <v>3</v>
      </c>
      <c r="E183">
        <v>2</v>
      </c>
      <c r="F183" t="s">
        <v>42</v>
      </c>
      <c r="G183">
        <v>62.5</v>
      </c>
      <c r="H183">
        <v>104</v>
      </c>
      <c r="I183">
        <v>37.802</v>
      </c>
      <c r="J183">
        <v>38.023000000000003</v>
      </c>
      <c r="K183">
        <v>38.081000000000003</v>
      </c>
      <c r="L183">
        <v>38.222999999999999</v>
      </c>
      <c r="M183">
        <v>46.061999999999998</v>
      </c>
      <c r="N183">
        <v>50.281999999999996</v>
      </c>
      <c r="U183" s="8">
        <f>IF(J183="","",J183-K183)</f>
        <v>-5.7999999999999829E-2</v>
      </c>
      <c r="V183" s="8">
        <f>IF(K183="","",M183-K183)</f>
        <v>7.9809999999999945</v>
      </c>
      <c r="W183" s="8">
        <f>IF(N183-M183&gt;0,N183-M183,"")</f>
        <v>4.2199999999999989</v>
      </c>
      <c r="X183" s="8"/>
      <c r="Y183" s="8"/>
      <c r="Z183" s="8"/>
      <c r="AA183" s="8"/>
      <c r="AB183" s="8"/>
      <c r="AC183" s="8"/>
      <c r="AD183" s="8">
        <f>IF(W183="","",V183+W183)</f>
        <v>12.200999999999993</v>
      </c>
      <c r="AK183" s="8">
        <f>L183-K183</f>
        <v>0.14199999999999591</v>
      </c>
      <c r="AL183" s="8">
        <f>IF(M183="","",M183-J183)</f>
        <v>8.0389999999999944</v>
      </c>
      <c r="AM183" s="8">
        <f>IF(N183="","",AL183+W183)</f>
        <v>12.258999999999993</v>
      </c>
      <c r="AP183" t="s">
        <v>144</v>
      </c>
    </row>
    <row r="184" spans="1:42" x14ac:dyDescent="0.3">
      <c r="A184" t="s">
        <v>36</v>
      </c>
      <c r="B184" s="6">
        <v>45117</v>
      </c>
      <c r="C184" s="7">
        <v>2</v>
      </c>
      <c r="D184" s="7">
        <v>1</v>
      </c>
      <c r="E184">
        <v>1</v>
      </c>
      <c r="F184" t="s">
        <v>51</v>
      </c>
      <c r="G184">
        <v>62.5</v>
      </c>
      <c r="J184">
        <v>6.4109999999999996</v>
      </c>
      <c r="K184">
        <v>6.327</v>
      </c>
      <c r="L184">
        <v>6.4669999999999996</v>
      </c>
      <c r="M184">
        <v>13.776999999999999</v>
      </c>
      <c r="U184" s="8">
        <f>IF(J184="","",J184-K184)</f>
        <v>8.3999999999999631E-2</v>
      </c>
      <c r="V184" s="8">
        <f>IF(K184="","",M184-K184)</f>
        <v>7.4499999999999993</v>
      </c>
      <c r="W184" s="8" t="str">
        <f>IF(N184-M184&gt;0,N184-M184,"")</f>
        <v/>
      </c>
      <c r="X184" s="8"/>
      <c r="Y184" s="8"/>
      <c r="Z184" s="8"/>
      <c r="AA184" s="8"/>
      <c r="AB184" s="8"/>
      <c r="AC184" s="8"/>
      <c r="AD184" s="8" t="str">
        <f>IF(W184="","",V184+W184)</f>
        <v/>
      </c>
      <c r="AK184" s="8">
        <f>L184-K184</f>
        <v>0.13999999999999968</v>
      </c>
      <c r="AL184" s="8">
        <f>IF(M184="","",M184-J184)</f>
        <v>7.3659999999999997</v>
      </c>
      <c r="AM184" s="8" t="str">
        <f>IF(N184="","",AL184+W184)</f>
        <v/>
      </c>
      <c r="AP184" t="s">
        <v>158</v>
      </c>
    </row>
    <row r="185" spans="1:42" x14ac:dyDescent="0.3">
      <c r="A185" t="s">
        <v>41</v>
      </c>
      <c r="B185" s="6">
        <v>45117</v>
      </c>
      <c r="C185" s="7">
        <v>2</v>
      </c>
      <c r="D185" s="7">
        <v>1</v>
      </c>
      <c r="E185">
        <v>2</v>
      </c>
      <c r="F185" t="s">
        <v>51</v>
      </c>
      <c r="G185">
        <v>62.5</v>
      </c>
      <c r="I185">
        <v>5.931</v>
      </c>
      <c r="J185">
        <v>6.1310000000000002</v>
      </c>
      <c r="K185">
        <v>6.327</v>
      </c>
      <c r="L185">
        <v>6.327</v>
      </c>
      <c r="M185">
        <v>13.951000000000001</v>
      </c>
      <c r="U185" s="8">
        <f>IF(J185="","",J185-K185)</f>
        <v>-0.19599999999999973</v>
      </c>
      <c r="V185" s="8">
        <f>IF(K185="","",M185-K185)</f>
        <v>7.6240000000000006</v>
      </c>
      <c r="W185" s="8" t="str">
        <f>IF(N185-M185&gt;0,N185-M185,"")</f>
        <v/>
      </c>
      <c r="X185" s="8"/>
      <c r="Y185" s="8"/>
      <c r="Z185" s="8"/>
      <c r="AA185" s="8"/>
      <c r="AB185" s="8"/>
      <c r="AC185" s="8"/>
      <c r="AD185" s="8" t="str">
        <f>IF(W185="","",V185+W185)</f>
        <v/>
      </c>
      <c r="AK185" s="8">
        <f>L185-K185</f>
        <v>0</v>
      </c>
      <c r="AL185" s="8">
        <f>IF(M185="","",M185-J185)</f>
        <v>7.82</v>
      </c>
      <c r="AM185" s="8" t="str">
        <f>IF(N185="","",AL185+W185)</f>
        <v/>
      </c>
      <c r="AP185" t="s">
        <v>158</v>
      </c>
    </row>
    <row r="186" spans="1:42" x14ac:dyDescent="0.3">
      <c r="A186" t="s">
        <v>38</v>
      </c>
      <c r="B186" s="6">
        <v>45117</v>
      </c>
      <c r="C186" s="7">
        <v>2</v>
      </c>
      <c r="D186" s="7">
        <v>1</v>
      </c>
      <c r="E186">
        <v>3</v>
      </c>
      <c r="F186" t="s">
        <v>51</v>
      </c>
      <c r="G186">
        <v>62.5</v>
      </c>
      <c r="I186">
        <v>5.931</v>
      </c>
      <c r="J186">
        <v>6.1109999999999998</v>
      </c>
      <c r="K186">
        <v>6.327</v>
      </c>
      <c r="L186">
        <v>6.2709999999999999</v>
      </c>
      <c r="M186">
        <v>14.147</v>
      </c>
      <c r="U186" s="8">
        <f>IF(J186="","",J186-K186)</f>
        <v>-0.21600000000000019</v>
      </c>
      <c r="V186" s="8">
        <f>IF(K186="","",M186-K186)</f>
        <v>7.82</v>
      </c>
      <c r="W186" s="8" t="str">
        <f>IF(N186-M186&gt;0,N186-M186,"")</f>
        <v/>
      </c>
      <c r="X186" s="8"/>
      <c r="Y186" s="8"/>
      <c r="Z186" s="8"/>
      <c r="AA186" s="8"/>
      <c r="AB186" s="8"/>
      <c r="AC186" s="8"/>
      <c r="AD186" s="8" t="str">
        <f>IF(W186="","",V186+W186)</f>
        <v/>
      </c>
      <c r="AK186" s="8">
        <f>L186-K186</f>
        <v>-5.600000000000005E-2</v>
      </c>
      <c r="AL186" s="8">
        <f>IF(M186="","",M186-J186)</f>
        <v>8.0360000000000014</v>
      </c>
      <c r="AM186" s="8" t="str">
        <f>IF(N186="","",AL186+W186)</f>
        <v/>
      </c>
      <c r="AP186" t="s">
        <v>158</v>
      </c>
    </row>
    <row r="187" spans="1:42" x14ac:dyDescent="0.3">
      <c r="A187" t="s">
        <v>40</v>
      </c>
      <c r="B187" s="6">
        <v>45117</v>
      </c>
      <c r="C187" s="7">
        <v>2</v>
      </c>
      <c r="D187" s="7">
        <v>1</v>
      </c>
      <c r="E187">
        <v>3</v>
      </c>
      <c r="F187" t="s">
        <v>42</v>
      </c>
      <c r="G187">
        <v>62.5</v>
      </c>
      <c r="I187">
        <v>36.328000000000003</v>
      </c>
      <c r="J187">
        <v>36.648000000000003</v>
      </c>
      <c r="K187">
        <v>36.726999999999997</v>
      </c>
      <c r="L187">
        <v>36.948</v>
      </c>
      <c r="M187">
        <v>44.576999999999998</v>
      </c>
      <c r="U187" s="8">
        <f>IF(J187="","",J187-K187)</f>
        <v>-7.899999999999352E-2</v>
      </c>
      <c r="V187" s="8">
        <f>IF(K187="","",M187-K187)</f>
        <v>7.8500000000000014</v>
      </c>
      <c r="W187" s="8" t="str">
        <f>IF(N187-M187&gt;0,N187-M187,"")</f>
        <v/>
      </c>
      <c r="X187" s="8"/>
      <c r="Y187" s="8"/>
      <c r="Z187" s="8"/>
      <c r="AA187" s="8"/>
      <c r="AB187" s="8"/>
      <c r="AC187" s="8"/>
      <c r="AD187" s="8" t="str">
        <f>IF(W187="","",V187+W187)</f>
        <v/>
      </c>
      <c r="AK187" s="8">
        <f>L187-K187</f>
        <v>0.22100000000000364</v>
      </c>
      <c r="AL187" s="8">
        <f>IF(M187="","",M187-J187)</f>
        <v>7.9289999999999949</v>
      </c>
      <c r="AM187" s="8" t="str">
        <f>IF(N187="","",AL187+W187)</f>
        <v/>
      </c>
      <c r="AP187" t="s">
        <v>162</v>
      </c>
    </row>
    <row r="188" spans="1:42" x14ac:dyDescent="0.3">
      <c r="A188" t="s">
        <v>36</v>
      </c>
      <c r="B188" s="6">
        <v>45117</v>
      </c>
      <c r="C188" s="7">
        <v>2</v>
      </c>
      <c r="D188" s="7">
        <v>2</v>
      </c>
      <c r="E188">
        <v>1</v>
      </c>
      <c r="F188" t="s">
        <v>51</v>
      </c>
      <c r="G188">
        <v>125</v>
      </c>
      <c r="J188">
        <v>3.5089999999999999</v>
      </c>
      <c r="K188">
        <v>3.4929999999999999</v>
      </c>
      <c r="L188">
        <v>3.609</v>
      </c>
      <c r="M188">
        <v>10.869</v>
      </c>
      <c r="N188">
        <v>15.148999999999999</v>
      </c>
      <c r="U188" s="8">
        <f>IF(J188="","",J188-K188)</f>
        <v>1.6000000000000014E-2</v>
      </c>
      <c r="V188" s="8">
        <f>IF(K188="","",M188-K188)</f>
        <v>7.3759999999999994</v>
      </c>
      <c r="W188" s="8">
        <f>IF(N188-M188&gt;0,N188-M188,"")</f>
        <v>4.2799999999999994</v>
      </c>
      <c r="X188" s="8"/>
      <c r="Y188" s="8"/>
      <c r="Z188" s="8"/>
      <c r="AA188" s="8"/>
      <c r="AB188" s="8"/>
      <c r="AC188" s="8"/>
      <c r="AD188" s="8">
        <f>IF(W188="","",V188+W188)</f>
        <v>11.655999999999999</v>
      </c>
      <c r="AK188" s="8">
        <f>L188-K188</f>
        <v>0.1160000000000001</v>
      </c>
      <c r="AL188" s="8">
        <f>IF(M188="","",M188-J188)</f>
        <v>7.3599999999999994</v>
      </c>
      <c r="AM188" s="8">
        <f>IF(N188="","",AL188+W188)</f>
        <v>11.639999999999999</v>
      </c>
      <c r="AP188" t="s">
        <v>159</v>
      </c>
    </row>
    <row r="189" spans="1:42" x14ac:dyDescent="0.3">
      <c r="A189" t="s">
        <v>41</v>
      </c>
      <c r="B189" s="6">
        <v>45117</v>
      </c>
      <c r="C189" s="7">
        <v>2</v>
      </c>
      <c r="D189" s="7">
        <v>2</v>
      </c>
      <c r="E189">
        <v>2</v>
      </c>
      <c r="F189" t="s">
        <v>51</v>
      </c>
      <c r="G189">
        <v>125</v>
      </c>
      <c r="I189">
        <v>2.9889999999999999</v>
      </c>
      <c r="J189">
        <v>3.2490000000000001</v>
      </c>
      <c r="K189">
        <v>3.4929999999999999</v>
      </c>
      <c r="L189">
        <v>3.4489999999999998</v>
      </c>
      <c r="M189">
        <v>11.169</v>
      </c>
      <c r="N189">
        <v>15.429</v>
      </c>
      <c r="U189" s="8">
        <f>IF(J189="","",J189-K189)</f>
        <v>-0.24399999999999977</v>
      </c>
      <c r="V189" s="8">
        <f>IF(K189="","",M189-K189)</f>
        <v>7.6760000000000002</v>
      </c>
      <c r="W189" s="8">
        <f>IF(N189-M189&gt;0,N189-M189,"")</f>
        <v>4.26</v>
      </c>
      <c r="X189" s="8"/>
      <c r="Y189" s="8"/>
      <c r="Z189" s="8"/>
      <c r="AA189" s="8"/>
      <c r="AB189" s="8"/>
      <c r="AC189" s="8"/>
      <c r="AD189" s="8">
        <f>IF(W189="","",V189+W189)</f>
        <v>11.936</v>
      </c>
      <c r="AK189" s="8">
        <f>L189-K189</f>
        <v>-4.4000000000000039E-2</v>
      </c>
      <c r="AL189" s="8">
        <f>IF(M189="","",M189-J189)</f>
        <v>7.92</v>
      </c>
      <c r="AM189" s="8">
        <f>IF(N189="","",AL189+W189)</f>
        <v>12.18</v>
      </c>
      <c r="AP189" t="s">
        <v>159</v>
      </c>
    </row>
    <row r="190" spans="1:42" x14ac:dyDescent="0.3">
      <c r="A190" t="s">
        <v>38</v>
      </c>
      <c r="B190" s="6">
        <v>45117</v>
      </c>
      <c r="C190" s="7">
        <v>2</v>
      </c>
      <c r="D190" s="7">
        <v>2</v>
      </c>
      <c r="E190">
        <v>3</v>
      </c>
      <c r="F190" t="s">
        <v>51</v>
      </c>
      <c r="G190">
        <v>125</v>
      </c>
      <c r="I190">
        <v>3.149</v>
      </c>
      <c r="J190">
        <v>3.3490000000000002</v>
      </c>
      <c r="K190">
        <v>3.4929999999999999</v>
      </c>
      <c r="L190">
        <v>3.4929999999999999</v>
      </c>
      <c r="M190">
        <v>11.289</v>
      </c>
      <c r="N190">
        <v>15.569000000000001</v>
      </c>
      <c r="U190" s="8">
        <f>IF(J190="","",J190-K190)</f>
        <v>-0.14399999999999968</v>
      </c>
      <c r="V190" s="8">
        <f>IF(K190="","",M190-K190)</f>
        <v>7.7959999999999994</v>
      </c>
      <c r="W190" s="8">
        <f>IF(N190-M190&gt;0,N190-M190,"")</f>
        <v>4.2800000000000011</v>
      </c>
      <c r="X190" s="8"/>
      <c r="Y190" s="8"/>
      <c r="Z190" s="8"/>
      <c r="AA190" s="8"/>
      <c r="AB190" s="8"/>
      <c r="AC190" s="8"/>
      <c r="AD190" s="8">
        <f>IF(W190="","",V190+W190)</f>
        <v>12.076000000000001</v>
      </c>
      <c r="AK190" s="8">
        <f>L190-K190</f>
        <v>0</v>
      </c>
      <c r="AL190" s="8">
        <f>IF(M190="","",M190-J190)</f>
        <v>7.9399999999999995</v>
      </c>
      <c r="AM190" s="8">
        <f>IF(N190="","",AL190+W190)</f>
        <v>12.22</v>
      </c>
      <c r="AP190" t="s">
        <v>159</v>
      </c>
    </row>
    <row r="191" spans="1:42" x14ac:dyDescent="0.3">
      <c r="A191" t="s">
        <v>40</v>
      </c>
      <c r="B191" s="6">
        <v>45117</v>
      </c>
      <c r="C191" s="7">
        <v>2</v>
      </c>
      <c r="D191" s="7">
        <v>2</v>
      </c>
      <c r="E191">
        <v>3</v>
      </c>
      <c r="F191" t="s">
        <v>42</v>
      </c>
      <c r="G191">
        <v>62.5</v>
      </c>
      <c r="I191">
        <v>28.492999999999999</v>
      </c>
      <c r="J191">
        <v>28.768999999999998</v>
      </c>
      <c r="K191">
        <v>28.85</v>
      </c>
      <c r="L191">
        <v>29.009</v>
      </c>
      <c r="M191">
        <v>36.713000000000001</v>
      </c>
      <c r="U191" s="8">
        <f>IF(J191="","",J191-K191)</f>
        <v>-8.100000000000307E-2</v>
      </c>
      <c r="V191" s="8">
        <f>IF(K191="","",M191-K191)</f>
        <v>7.8629999999999995</v>
      </c>
      <c r="W191" s="8" t="str">
        <f>IF(N191-M191&gt;0,N191-M191,"")</f>
        <v/>
      </c>
      <c r="X191" s="8"/>
      <c r="Y191" s="8"/>
      <c r="Z191" s="8"/>
      <c r="AA191" s="8"/>
      <c r="AB191" s="8"/>
      <c r="AC191" s="8"/>
      <c r="AD191" s="8" t="str">
        <f>IF(W191="","",V191+W191)</f>
        <v/>
      </c>
      <c r="AK191" s="8">
        <f>L191-K191</f>
        <v>0.15899999999999892</v>
      </c>
      <c r="AL191" s="8">
        <f>IF(M191="","",M191-J191)</f>
        <v>7.9440000000000026</v>
      </c>
      <c r="AM191" s="8" t="str">
        <f>IF(N191="","",AL191+W191)</f>
        <v/>
      </c>
      <c r="AP191" t="s">
        <v>163</v>
      </c>
    </row>
    <row r="192" spans="1:42" x14ac:dyDescent="0.3">
      <c r="A192" t="s">
        <v>40</v>
      </c>
      <c r="B192" s="6">
        <v>45117</v>
      </c>
      <c r="C192" s="7">
        <v>2</v>
      </c>
      <c r="D192" s="7">
        <v>3</v>
      </c>
      <c r="E192">
        <v>3</v>
      </c>
      <c r="F192" t="s">
        <v>42</v>
      </c>
      <c r="G192">
        <v>125</v>
      </c>
      <c r="I192">
        <v>4.3109999999999999</v>
      </c>
      <c r="J192">
        <v>4.5910000000000002</v>
      </c>
      <c r="K192">
        <v>4.5910000000000002</v>
      </c>
      <c r="L192">
        <v>4.8310000000000004</v>
      </c>
      <c r="M192">
        <v>12.510999999999999</v>
      </c>
      <c r="N192">
        <v>16.960999999999999</v>
      </c>
      <c r="U192" s="8">
        <f>IF(J192="","",J192-K192)</f>
        <v>0</v>
      </c>
      <c r="V192" s="8">
        <f>IF(K192="","",M192-K192)</f>
        <v>7.919999999999999</v>
      </c>
      <c r="W192" s="8">
        <f>IF(N192-M192&gt;0,N192-M192,"")</f>
        <v>4.4499999999999993</v>
      </c>
      <c r="X192" s="8"/>
      <c r="Y192" s="8"/>
      <c r="Z192" s="8"/>
      <c r="AA192" s="8"/>
      <c r="AB192" s="8"/>
      <c r="AC192" s="8"/>
      <c r="AD192" s="8">
        <f>IF(W192="","",V192+W192)</f>
        <v>12.369999999999997</v>
      </c>
      <c r="AK192" s="8">
        <f>L192-K192</f>
        <v>0.24000000000000021</v>
      </c>
      <c r="AL192" s="8">
        <f>IF(M192="","",M192-J192)</f>
        <v>7.919999999999999</v>
      </c>
      <c r="AM192" s="8">
        <f>IF(N192="","",AL192+W192)</f>
        <v>12.369999999999997</v>
      </c>
      <c r="AP192" s="9" t="s">
        <v>164</v>
      </c>
    </row>
    <row r="193" spans="1:42" x14ac:dyDescent="0.3">
      <c r="A193" t="s">
        <v>36</v>
      </c>
      <c r="B193" s="6">
        <v>45117</v>
      </c>
      <c r="C193" s="7">
        <v>3</v>
      </c>
      <c r="D193" s="7">
        <v>1</v>
      </c>
      <c r="E193">
        <v>1</v>
      </c>
      <c r="F193" t="s">
        <v>44</v>
      </c>
      <c r="G193">
        <v>62.5</v>
      </c>
      <c r="J193">
        <v>19.425000000000001</v>
      </c>
      <c r="K193">
        <v>19.344999999999999</v>
      </c>
      <c r="L193">
        <v>19.469000000000001</v>
      </c>
      <c r="M193">
        <v>26.789000000000001</v>
      </c>
      <c r="U193" s="8">
        <f>IF(J193="","",J193-K193)</f>
        <v>8.0000000000001847E-2</v>
      </c>
      <c r="V193" s="8">
        <f>IF(K193="","",M193-K193)</f>
        <v>7.4440000000000026</v>
      </c>
      <c r="W193" s="8" t="str">
        <f>IF(N193-M193&gt;0,N193-M193,"")</f>
        <v/>
      </c>
      <c r="X193" s="8"/>
      <c r="Y193" s="8"/>
      <c r="Z193" s="8"/>
      <c r="AA193" s="8"/>
      <c r="AB193" s="8"/>
      <c r="AC193" s="8"/>
      <c r="AD193" s="8" t="str">
        <f>IF(W193="","",V193+W193)</f>
        <v/>
      </c>
      <c r="AK193" s="8">
        <f>L193-K193</f>
        <v>0.12400000000000233</v>
      </c>
      <c r="AL193" s="8">
        <f>IF(M193="","",M193-J193)</f>
        <v>7.3640000000000008</v>
      </c>
      <c r="AM193" s="8" t="str">
        <f>IF(N193="","",AL193+W193)</f>
        <v/>
      </c>
      <c r="AP193" t="s">
        <v>160</v>
      </c>
    </row>
    <row r="194" spans="1:42" x14ac:dyDescent="0.3">
      <c r="A194" t="s">
        <v>38</v>
      </c>
      <c r="B194" s="6">
        <v>45117</v>
      </c>
      <c r="C194" s="7">
        <v>3</v>
      </c>
      <c r="D194" s="7">
        <v>1</v>
      </c>
      <c r="E194">
        <v>2</v>
      </c>
      <c r="F194" t="s">
        <v>44</v>
      </c>
      <c r="G194">
        <v>62.5</v>
      </c>
      <c r="I194">
        <v>18.905000000000001</v>
      </c>
      <c r="J194">
        <v>19.149000000000001</v>
      </c>
      <c r="K194">
        <v>19.344999999999999</v>
      </c>
      <c r="L194">
        <v>19.344999999999999</v>
      </c>
      <c r="M194">
        <v>27.029</v>
      </c>
      <c r="U194" s="8">
        <f>IF(J194="","",J194-K194)</f>
        <v>-0.19599999999999795</v>
      </c>
      <c r="V194" s="8">
        <f>IF(K194="","",M194-K194)</f>
        <v>7.6840000000000011</v>
      </c>
      <c r="W194" s="8" t="str">
        <f>IF(N194-M194&gt;0,N194-M194,"")</f>
        <v/>
      </c>
      <c r="X194" s="8"/>
      <c r="Y194" s="8"/>
      <c r="Z194" s="8"/>
      <c r="AA194" s="8"/>
      <c r="AB194" s="8"/>
      <c r="AC194" s="8"/>
      <c r="AD194" s="8" t="str">
        <f>IF(W194="","",V194+W194)</f>
        <v/>
      </c>
      <c r="AK194" s="8">
        <f>L194-K194</f>
        <v>0</v>
      </c>
      <c r="AL194" s="8">
        <f>IF(M194="","",M194-J194)</f>
        <v>7.879999999999999</v>
      </c>
      <c r="AM194" s="8" t="str">
        <f>IF(N194="","",AL194+W194)</f>
        <v/>
      </c>
      <c r="AP194" t="s">
        <v>160</v>
      </c>
    </row>
    <row r="195" spans="1:42" x14ac:dyDescent="0.3">
      <c r="A195" t="s">
        <v>41</v>
      </c>
      <c r="B195" s="6">
        <v>45117</v>
      </c>
      <c r="C195" s="7">
        <v>3</v>
      </c>
      <c r="D195" s="7">
        <v>1</v>
      </c>
      <c r="E195">
        <v>3</v>
      </c>
      <c r="F195" t="s">
        <v>44</v>
      </c>
      <c r="G195">
        <v>62.5</v>
      </c>
      <c r="I195">
        <v>18.925000000000001</v>
      </c>
      <c r="J195">
        <v>19.184999999999999</v>
      </c>
      <c r="K195">
        <v>19.344999999999999</v>
      </c>
      <c r="L195">
        <v>19.364999999999998</v>
      </c>
      <c r="M195">
        <v>27.199000000000002</v>
      </c>
      <c r="U195" s="8">
        <f>IF(J195="","",J195-K195)</f>
        <v>-0.16000000000000014</v>
      </c>
      <c r="V195" s="8">
        <f>IF(K195="","",M195-K195)</f>
        <v>7.8540000000000028</v>
      </c>
      <c r="W195" s="8" t="str">
        <f>IF(N195-M195&gt;0,N195-M195,"")</f>
        <v/>
      </c>
      <c r="X195" s="8"/>
      <c r="Y195" s="8"/>
      <c r="Z195" s="8"/>
      <c r="AA195" s="8"/>
      <c r="AB195" s="8"/>
      <c r="AC195" s="8"/>
      <c r="AD195" s="8" t="str">
        <f>IF(W195="","",V195+W195)</f>
        <v/>
      </c>
      <c r="AK195" s="8">
        <f>L195-K195</f>
        <v>1.9999999999999574E-2</v>
      </c>
      <c r="AL195" s="8">
        <f>IF(M195="","",M195-J195)</f>
        <v>8.0140000000000029</v>
      </c>
      <c r="AM195" s="8" t="str">
        <f>IF(N195="","",AL195+W195)</f>
        <v/>
      </c>
      <c r="AP195" t="s">
        <v>160</v>
      </c>
    </row>
    <row r="196" spans="1:42" x14ac:dyDescent="0.3">
      <c r="A196" t="s">
        <v>40</v>
      </c>
      <c r="B196" s="6">
        <v>45117</v>
      </c>
      <c r="C196" s="7">
        <v>3</v>
      </c>
      <c r="D196" s="7">
        <v>1</v>
      </c>
      <c r="E196">
        <v>3</v>
      </c>
      <c r="F196" t="s">
        <v>42</v>
      </c>
      <c r="G196">
        <v>62.5</v>
      </c>
      <c r="I196">
        <v>52.368000000000002</v>
      </c>
      <c r="J196">
        <v>53.664000000000001</v>
      </c>
      <c r="K196">
        <v>53.744</v>
      </c>
      <c r="L196">
        <v>53.927999999999997</v>
      </c>
      <c r="M196">
        <v>61.677999999999997</v>
      </c>
      <c r="U196" s="8">
        <f>IF(J196="","",J196-L196)</f>
        <v>-0.26399999999999579</v>
      </c>
      <c r="V196" s="8">
        <f>IF(L196="","",M196-L196)</f>
        <v>7.75</v>
      </c>
      <c r="W196" s="8" t="str">
        <f>IF(N196-M196&gt;0,N196-M196,"")</f>
        <v/>
      </c>
      <c r="X196" s="8"/>
      <c r="Y196" s="8"/>
      <c r="Z196" s="8"/>
      <c r="AA196" s="8"/>
      <c r="AB196" s="8"/>
      <c r="AC196" s="8"/>
      <c r="AD196" s="8" t="str">
        <f>IF(W196="","",V196+W196)</f>
        <v/>
      </c>
      <c r="AK196" s="8">
        <f>L196-K196</f>
        <v>0.1839999999999975</v>
      </c>
      <c r="AL196" s="8">
        <f>IF(M196="","",M196-J196)</f>
        <v>8.0139999999999958</v>
      </c>
      <c r="AM196" s="8" t="str">
        <f>IF(N196="","",AL196+W196)</f>
        <v/>
      </c>
      <c r="AP196" t="s">
        <v>165</v>
      </c>
    </row>
    <row r="197" spans="1:42" x14ac:dyDescent="0.3">
      <c r="A197" t="s">
        <v>36</v>
      </c>
      <c r="B197" s="6">
        <v>45117</v>
      </c>
      <c r="C197" s="7">
        <v>3</v>
      </c>
      <c r="D197" s="7">
        <v>2</v>
      </c>
      <c r="E197">
        <v>1</v>
      </c>
      <c r="F197" t="s">
        <v>44</v>
      </c>
      <c r="G197">
        <v>125</v>
      </c>
      <c r="J197">
        <v>23.126999999999999</v>
      </c>
      <c r="K197">
        <v>23.010999999999999</v>
      </c>
      <c r="L197">
        <v>23.167000000000002</v>
      </c>
      <c r="M197">
        <v>30.420999999999999</v>
      </c>
      <c r="N197">
        <v>34.667000000000002</v>
      </c>
      <c r="U197" s="8">
        <f>IF(J197="","",J197-K197)</f>
        <v>0.11599999999999966</v>
      </c>
      <c r="V197" s="8">
        <f>IF(K197="","",M197-K197)</f>
        <v>7.41</v>
      </c>
      <c r="W197" s="8">
        <f>IF(N197-M197&gt;0,N197-M197,"")</f>
        <v>4.2460000000000022</v>
      </c>
      <c r="X197" s="8"/>
      <c r="Y197" s="8"/>
      <c r="Z197" s="8"/>
      <c r="AA197" s="8"/>
      <c r="AB197" s="8"/>
      <c r="AC197" s="8"/>
      <c r="AD197" s="8">
        <f>IF(W197="","",V197+W197)</f>
        <v>11.656000000000002</v>
      </c>
      <c r="AK197" s="8">
        <f>L197-K197</f>
        <v>0.15600000000000236</v>
      </c>
      <c r="AL197" s="8">
        <f>IF(M197="","",M197-J197)</f>
        <v>7.2940000000000005</v>
      </c>
      <c r="AM197" s="8">
        <f>IF(N197="","",AL197+W197)</f>
        <v>11.540000000000003</v>
      </c>
      <c r="AP197" t="s">
        <v>161</v>
      </c>
    </row>
    <row r="198" spans="1:42" x14ac:dyDescent="0.3">
      <c r="A198" t="s">
        <v>38</v>
      </c>
      <c r="B198" s="6">
        <v>45117</v>
      </c>
      <c r="C198" s="7">
        <v>3</v>
      </c>
      <c r="D198" s="7">
        <v>2</v>
      </c>
      <c r="E198">
        <v>2</v>
      </c>
      <c r="F198" t="s">
        <v>44</v>
      </c>
      <c r="G198">
        <v>125</v>
      </c>
      <c r="I198">
        <v>22.646999999999998</v>
      </c>
      <c r="J198">
        <v>22.827000000000002</v>
      </c>
      <c r="K198">
        <v>23.010999999999999</v>
      </c>
      <c r="L198">
        <v>23.067</v>
      </c>
      <c r="M198">
        <v>30.646999999999998</v>
      </c>
      <c r="N198">
        <v>34.866999999999997</v>
      </c>
      <c r="U198" s="8">
        <f>IF(J198="","",J198-K198)</f>
        <v>-0.1839999999999975</v>
      </c>
      <c r="V198" s="8">
        <f>IF(K198="","",M198-K198)</f>
        <v>7.6359999999999992</v>
      </c>
      <c r="W198" s="8">
        <f>IF(N198-M198&gt;0,N198-M198,"")</f>
        <v>4.2199999999999989</v>
      </c>
      <c r="X198" s="8"/>
      <c r="Y198" s="8"/>
      <c r="Z198" s="8"/>
      <c r="AA198" s="8"/>
      <c r="AB198" s="8"/>
      <c r="AC198" s="8"/>
      <c r="AD198" s="8">
        <f>IF(W198="","",V198+W198)</f>
        <v>11.855999999999998</v>
      </c>
      <c r="AK198" s="8">
        <f>L198-K198</f>
        <v>5.6000000000000938E-2</v>
      </c>
      <c r="AL198" s="8">
        <f>IF(M198="","",M198-J198)</f>
        <v>7.8199999999999967</v>
      </c>
      <c r="AM198" s="8">
        <f>IF(N198="","",AL198+W198)</f>
        <v>12.039999999999996</v>
      </c>
      <c r="AP198" t="s">
        <v>161</v>
      </c>
    </row>
    <row r="199" spans="1:42" x14ac:dyDescent="0.3">
      <c r="A199" t="s">
        <v>41</v>
      </c>
      <c r="B199" s="6">
        <v>45117</v>
      </c>
      <c r="C199" s="7">
        <v>3</v>
      </c>
      <c r="D199" s="7">
        <v>2</v>
      </c>
      <c r="E199">
        <v>3</v>
      </c>
      <c r="F199" t="s">
        <v>44</v>
      </c>
      <c r="G199">
        <v>125</v>
      </c>
      <c r="I199">
        <v>22.547000000000001</v>
      </c>
      <c r="J199">
        <v>22.788</v>
      </c>
      <c r="K199">
        <v>23.010999999999999</v>
      </c>
      <c r="L199">
        <v>23.010999999999999</v>
      </c>
      <c r="M199">
        <v>30.847000000000001</v>
      </c>
      <c r="N199">
        <v>35.088000000000001</v>
      </c>
      <c r="U199" s="8">
        <f>IF(J199="","",J199-K199)</f>
        <v>-0.22299999999999898</v>
      </c>
      <c r="V199" s="8">
        <f>IF(K199="","",M199-K199)</f>
        <v>7.8360000000000021</v>
      </c>
      <c r="W199" s="8">
        <f>IF(N199-M199&gt;0,N199-M199,"")</f>
        <v>4.2409999999999997</v>
      </c>
      <c r="X199" s="8"/>
      <c r="Y199" s="8"/>
      <c r="Z199" s="8"/>
      <c r="AA199" s="8"/>
      <c r="AB199" s="8"/>
      <c r="AC199" s="8"/>
      <c r="AD199" s="8">
        <f>IF(W199="","",V199+W199)</f>
        <v>12.077000000000002</v>
      </c>
      <c r="AK199" s="8">
        <f>L199-K199</f>
        <v>0</v>
      </c>
      <c r="AL199" s="8">
        <f>IF(M199="","",M199-J199)</f>
        <v>8.0590000000000011</v>
      </c>
      <c r="AM199" s="8">
        <f>IF(N199="","",AL199+W199)</f>
        <v>12.3</v>
      </c>
      <c r="AP199" t="s">
        <v>161</v>
      </c>
    </row>
    <row r="200" spans="1:42" x14ac:dyDescent="0.3">
      <c r="A200" t="s">
        <v>40</v>
      </c>
      <c r="B200" s="6">
        <v>45117</v>
      </c>
      <c r="C200" s="7">
        <v>3</v>
      </c>
      <c r="D200" s="7">
        <v>2</v>
      </c>
      <c r="E200">
        <v>3</v>
      </c>
      <c r="F200" t="s">
        <v>42</v>
      </c>
      <c r="G200">
        <v>62.5</v>
      </c>
      <c r="I200">
        <v>20.51</v>
      </c>
      <c r="J200">
        <v>20.85</v>
      </c>
      <c r="K200">
        <v>20.77</v>
      </c>
      <c r="L200">
        <v>21.085999999999999</v>
      </c>
      <c r="M200">
        <v>28.946000000000002</v>
      </c>
      <c r="U200" s="8">
        <f>IF(J200="","",J200-K200)</f>
        <v>8.0000000000001847E-2</v>
      </c>
      <c r="V200" s="8">
        <f>IF(K200="","",M200-K200)</f>
        <v>8.1760000000000019</v>
      </c>
      <c r="W200" s="8" t="str">
        <f>IF(N200-M200&gt;0,N200-M200,"")</f>
        <v/>
      </c>
      <c r="X200" s="8"/>
      <c r="Y200" s="8"/>
      <c r="Z200" s="8"/>
      <c r="AA200" s="8"/>
      <c r="AB200" s="8"/>
      <c r="AC200" s="8"/>
      <c r="AD200" s="8" t="str">
        <f>IF(W200="","",V200+W200)</f>
        <v/>
      </c>
      <c r="AK200" s="8">
        <f>L200-K200</f>
        <v>0.31599999999999895</v>
      </c>
      <c r="AL200" s="8">
        <f>IF(M200="","",M200-J200)</f>
        <v>8.0960000000000001</v>
      </c>
      <c r="AM200" s="8" t="str">
        <f>IF(N200="","",AL200+W200)</f>
        <v/>
      </c>
      <c r="AP200" t="s">
        <v>156</v>
      </c>
    </row>
    <row r="201" spans="1:42" x14ac:dyDescent="0.3">
      <c r="A201" t="s">
        <v>40</v>
      </c>
      <c r="B201" s="6">
        <v>45117</v>
      </c>
      <c r="C201" s="7">
        <v>3</v>
      </c>
      <c r="D201" s="7">
        <v>3</v>
      </c>
      <c r="E201">
        <v>3</v>
      </c>
      <c r="F201" t="s">
        <v>42</v>
      </c>
      <c r="G201">
        <v>125</v>
      </c>
      <c r="I201">
        <v>29.414000000000001</v>
      </c>
      <c r="J201">
        <v>29.75</v>
      </c>
      <c r="K201">
        <v>29.77</v>
      </c>
      <c r="L201">
        <v>30.03</v>
      </c>
      <c r="M201">
        <v>37.81</v>
      </c>
      <c r="N201">
        <v>42.29</v>
      </c>
      <c r="U201" s="8">
        <f>IF(J201="","",J201-K201)</f>
        <v>-1.9999999999999574E-2</v>
      </c>
      <c r="V201" s="8">
        <f>IF(K201="","",M201-K201)</f>
        <v>8.0400000000000027</v>
      </c>
      <c r="W201" s="8">
        <f>IF(N201-M201&gt;0,N201-M201,"")</f>
        <v>4.4799999999999969</v>
      </c>
      <c r="X201" s="8"/>
      <c r="Y201" s="8"/>
      <c r="Z201" s="8"/>
      <c r="AA201" s="8"/>
      <c r="AB201" s="8"/>
      <c r="AC201" s="8"/>
      <c r="AD201" s="8">
        <f>IF(W201="","",V201+W201)</f>
        <v>12.52</v>
      </c>
      <c r="AK201" s="8">
        <f>L201-K201</f>
        <v>0.26000000000000156</v>
      </c>
      <c r="AL201" s="8">
        <f>IF(M201="","",M201-J201)</f>
        <v>8.0600000000000023</v>
      </c>
      <c r="AM201" s="8">
        <f>IF(N201="","",AL201+W201)</f>
        <v>12.54</v>
      </c>
      <c r="AP201" t="s">
        <v>157</v>
      </c>
    </row>
  </sheetData>
  <autoFilter ref="A1:AP197" xr:uid="{6951EBBC-4A15-4CDE-96E1-7BBCD62A6995}">
    <sortState xmlns:xlrd2="http://schemas.microsoft.com/office/spreadsheetml/2017/richdata2" ref="A2:AP201">
      <sortCondition ref="B1:B197"/>
    </sortState>
  </autoFilter>
  <hyperlinks>
    <hyperlink ref="AP74" r:id="rId1" xr:uid="{D5B5E7E6-BCD4-42E6-9DC3-F9FB7F99A03A}"/>
    <hyperlink ref="AP64" r:id="rId2" xr:uid="{EAFBBBB5-6237-4301-A7FD-1C8BD7D2E8B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2023-06-28T23:01:56Z</dcterms:created>
  <dcterms:modified xsi:type="dcterms:W3CDTF">2023-07-11T00:55:06Z</dcterms:modified>
</cp:coreProperties>
</file>