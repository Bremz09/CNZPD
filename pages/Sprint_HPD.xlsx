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rtnzgroup-my.sharepoint.com/personal/anja_kuys_hpsnz_org_nz/Documents/Desktop/Scripts/CNZPD/pages/"/>
    </mc:Choice>
  </mc:AlternateContent>
  <xr:revisionPtr revIDLastSave="181" documentId="8_{3C656A40-C702-4F2B-8ADA-13FB10F0D55F}" xr6:coauthVersionLast="47" xr6:coauthVersionMax="47" xr10:uidLastSave="{9499B98C-3EF6-4EFE-AFDC-A59BADECF7BC}"/>
  <bookViews>
    <workbookView xWindow="28680" yWindow="1620" windowWidth="29040" windowHeight="15720" xr2:uid="{D7417A83-FA4A-4979-989E-0D3DE9D758AB}"/>
  </bookViews>
  <sheets>
    <sheet name="Sheet1" sheetId="1" r:id="rId1"/>
    <sheet name="S250" sheetId="2" r:id="rId2"/>
    <sheet name="F20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3" l="1"/>
  <c r="K15" i="3"/>
  <c r="J14" i="3"/>
  <c r="J15" i="3"/>
  <c r="K11" i="3"/>
  <c r="K12" i="3"/>
  <c r="K13" i="3"/>
  <c r="J11" i="3"/>
  <c r="J12" i="3"/>
  <c r="J13" i="3"/>
  <c r="K10" i="3"/>
  <c r="K9" i="3"/>
  <c r="K6" i="3"/>
  <c r="K7" i="3"/>
  <c r="K8" i="3"/>
  <c r="J6" i="3"/>
  <c r="J7" i="3"/>
  <c r="J8" i="3"/>
  <c r="J9" i="3"/>
  <c r="J10" i="3"/>
  <c r="J5" i="3"/>
  <c r="K5" i="3"/>
  <c r="K3" i="3"/>
  <c r="K4" i="3"/>
  <c r="K2" i="3"/>
  <c r="J3" i="3"/>
  <c r="J4" i="3"/>
  <c r="J2" i="3"/>
  <c r="H7" i="2"/>
  <c r="H5" i="2"/>
  <c r="H6" i="2"/>
  <c r="H3" i="2"/>
  <c r="H4" i="2"/>
  <c r="H2" i="2"/>
</calcChain>
</file>

<file path=xl/sharedStrings.xml><?xml version="1.0" encoding="utf-8"?>
<sst xmlns="http://schemas.openxmlformats.org/spreadsheetml/2006/main" count="128" uniqueCount="59">
  <si>
    <t>Rider Details</t>
  </si>
  <si>
    <t>Track Performance Indicators</t>
  </si>
  <si>
    <t>Name:</t>
  </si>
  <si>
    <t>DOB:</t>
  </si>
  <si>
    <t>Age Category:</t>
  </si>
  <si>
    <t>Standing 65m</t>
  </si>
  <si>
    <t>Standing 125m</t>
  </si>
  <si>
    <t>Standing 250m</t>
  </si>
  <si>
    <t>250m Min Standard</t>
  </si>
  <si>
    <t>Performance Indicator</t>
  </si>
  <si>
    <t>Flying 50m</t>
  </si>
  <si>
    <t>Flying 100m</t>
  </si>
  <si>
    <t>Flying 200m</t>
  </si>
  <si>
    <t>200m Min Standard</t>
  </si>
  <si>
    <t>Alex Schuler</t>
  </si>
  <si>
    <t>MU23</t>
  </si>
  <si>
    <t>Ben Murphy</t>
  </si>
  <si>
    <t>MU19</t>
  </si>
  <si>
    <t>Jaxson Russell</t>
  </si>
  <si>
    <t>Liam Cavanagh</t>
  </si>
  <si>
    <t>Luke Blackwood</t>
  </si>
  <si>
    <t>Riley Faulkner</t>
  </si>
  <si>
    <t>FU23</t>
  </si>
  <si>
    <t>Date</t>
  </si>
  <si>
    <t>Year</t>
  </si>
  <si>
    <t>Event</t>
  </si>
  <si>
    <t>Athlete</t>
  </si>
  <si>
    <t>Location</t>
  </si>
  <si>
    <t>Gear</t>
  </si>
  <si>
    <t>Total</t>
  </si>
  <si>
    <t>Dec Bench</t>
  </si>
  <si>
    <t>Cambridge</t>
  </si>
  <si>
    <t>SCHULER Alex</t>
  </si>
  <si>
    <t>RUSSELL Jaxson</t>
  </si>
  <si>
    <t>CAVANAGH Liam</t>
  </si>
  <si>
    <t>BLACKWOOD Luke</t>
  </si>
  <si>
    <t>FAULKNER Riley</t>
  </si>
  <si>
    <t>Oceania</t>
  </si>
  <si>
    <t>NTS</t>
  </si>
  <si>
    <t xml:space="preserve">Northern Cup </t>
  </si>
  <si>
    <t>Oceanias</t>
  </si>
  <si>
    <t>115"</t>
  </si>
  <si>
    <t>Difference</t>
  </si>
  <si>
    <t>MURPHY Ben</t>
  </si>
  <si>
    <t>Mado Nats</t>
  </si>
  <si>
    <t>Northern Cup</t>
  </si>
  <si>
    <t>113"</t>
  </si>
  <si>
    <t>125"</t>
  </si>
  <si>
    <t>127"</t>
  </si>
  <si>
    <t>Men</t>
  </si>
  <si>
    <t xml:space="preserve">Age </t>
  </si>
  <si>
    <t>Race</t>
  </si>
  <si>
    <t>Time</t>
  </si>
  <si>
    <t>Gender</t>
  </si>
  <si>
    <t>U19</t>
  </si>
  <si>
    <t>U23</t>
  </si>
  <si>
    <t>Women</t>
  </si>
  <si>
    <t>S250</t>
  </si>
  <si>
    <t>F200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</si>
</sst>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u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14" fontId="5" fillId="0" borderId="8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0" fontId="2" fillId="5" borderId="8" xfId="0" applyNumberFormat="1" applyFont="1" applyFill="1" applyBorder="1"/>
    <xf numFmtId="10" fontId="1" fillId="6" borderId="9" xfId="0" applyNumberFormat="1" applyFont="1" applyFill="1" applyBorder="1" applyAlignment="1">
      <alignment horizontal="center"/>
    </xf>
    <xf numFmtId="10" fontId="1" fillId="6" borderId="8" xfId="0" applyNumberFormat="1" applyFont="1" applyFill="1" applyBorder="1"/>
    <xf numFmtId="10" fontId="2" fillId="5" borderId="9" xfId="0" applyNumberFormat="1" applyFont="1" applyFill="1" applyBorder="1" applyAlignment="1">
      <alignment horizontal="center"/>
    </xf>
    <xf numFmtId="10" fontId="5" fillId="0" borderId="9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4" fontId="0" fillId="0" borderId="0" xfId="0" applyNumberFormat="1"/>
    <xf numFmtId="2" fontId="0" fillId="0" borderId="0" xfId="0" applyNumberFormat="1"/>
    <xf numFmtId="14" fontId="5" fillId="0" borderId="0" xfId="0" applyNumberFormat="1" applyFont="1"/>
    <xf numFmtId="0" fontId="5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8230-1E9B-479E-B49D-558D60FFC17B}">
  <dimension ref="A1:N20"/>
  <sheetViews>
    <sheetView tabSelected="1" workbookViewId="0">
      <selection activeCell="N20" sqref="N20"/>
    </sheetView>
  </sheetViews>
  <sheetFormatPr defaultRowHeight="14.5" x14ac:dyDescent="0.35"/>
  <cols>
    <col min="1" max="1" width="13.81640625" bestFit="1" customWidth="1"/>
    <col min="2" max="2" width="10.08984375" bestFit="1" customWidth="1"/>
    <col min="3" max="3" width="12.08984375" bestFit="1" customWidth="1"/>
    <col min="4" max="4" width="0.81640625" customWidth="1"/>
    <col min="5" max="5" width="12.26953125" bestFit="1" customWidth="1"/>
    <col min="6" max="7" width="13.36328125" bestFit="1" customWidth="1"/>
    <col min="8" max="8" width="17.08984375" bestFit="1" customWidth="1"/>
    <col min="9" max="9" width="19.6328125" bestFit="1" customWidth="1"/>
    <col min="10" max="10" width="9.81640625" bestFit="1" customWidth="1"/>
    <col min="11" max="12" width="10.81640625" bestFit="1" customWidth="1"/>
    <col min="13" max="13" width="17.08984375" bestFit="1" customWidth="1"/>
    <col min="14" max="14" width="19.6328125" bestFit="1" customWidth="1"/>
  </cols>
  <sheetData>
    <row r="1" spans="1:14" ht="16.5" thickBot="1" x14ac:dyDescent="0.45">
      <c r="A1" s="21" t="s">
        <v>0</v>
      </c>
      <c r="B1" s="22"/>
      <c r="C1" s="22"/>
      <c r="D1" s="23"/>
      <c r="E1" s="25" t="s">
        <v>1</v>
      </c>
      <c r="F1" s="26"/>
      <c r="G1" s="26"/>
      <c r="H1" s="26"/>
      <c r="I1" s="26"/>
      <c r="J1" s="26"/>
      <c r="K1" s="26"/>
      <c r="L1" s="26"/>
      <c r="M1" s="26"/>
      <c r="N1" s="26"/>
    </row>
    <row r="2" spans="1:14" x14ac:dyDescent="0.35">
      <c r="A2" s="1" t="s">
        <v>2</v>
      </c>
      <c r="B2" s="2" t="s">
        <v>3</v>
      </c>
      <c r="C2" s="3" t="s">
        <v>4</v>
      </c>
      <c r="D2" s="24"/>
      <c r="E2" s="4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1" t="s">
        <v>10</v>
      </c>
      <c r="K2" s="2" t="s">
        <v>11</v>
      </c>
      <c r="L2" s="2" t="s">
        <v>12</v>
      </c>
      <c r="M2" s="2" t="s">
        <v>13</v>
      </c>
      <c r="N2" s="7" t="s">
        <v>9</v>
      </c>
    </row>
    <row r="3" spans="1:14" x14ac:dyDescent="0.35">
      <c r="A3" s="8" t="s">
        <v>14</v>
      </c>
      <c r="B3" s="9">
        <v>39387</v>
      </c>
      <c r="C3" s="8" t="s">
        <v>15</v>
      </c>
      <c r="D3" s="24"/>
      <c r="E3" s="8">
        <v>0</v>
      </c>
      <c r="F3" s="8">
        <v>11.64</v>
      </c>
      <c r="G3" s="8">
        <v>18.559999999999999</v>
      </c>
      <c r="H3" s="10">
        <v>18.2</v>
      </c>
      <c r="I3" s="11">
        <v>1.9800000000000002E-2</v>
      </c>
      <c r="J3" s="8">
        <v>0</v>
      </c>
      <c r="K3" s="8">
        <v>4.9969999999999999</v>
      </c>
      <c r="L3" s="8">
        <v>10.103999999999999</v>
      </c>
      <c r="M3" s="10">
        <v>10.3</v>
      </c>
      <c r="N3" s="12">
        <v>-1.9E-2</v>
      </c>
    </row>
    <row r="4" spans="1:14" x14ac:dyDescent="0.35">
      <c r="A4" s="8" t="s">
        <v>16</v>
      </c>
      <c r="B4" s="9">
        <v>38111</v>
      </c>
      <c r="C4" s="8" t="s">
        <v>17</v>
      </c>
      <c r="D4" s="24"/>
      <c r="E4" s="8">
        <v>0</v>
      </c>
      <c r="F4" s="8">
        <v>0</v>
      </c>
      <c r="G4" s="8">
        <v>0</v>
      </c>
      <c r="H4" s="10">
        <v>18.2</v>
      </c>
      <c r="I4" s="13">
        <v>-1</v>
      </c>
      <c r="J4" s="8">
        <v>0</v>
      </c>
      <c r="K4" s="8">
        <v>5.28</v>
      </c>
      <c r="L4" s="8">
        <v>10.819000000000001</v>
      </c>
      <c r="M4" s="10">
        <v>10.4</v>
      </c>
      <c r="N4" s="14">
        <v>0.04</v>
      </c>
    </row>
    <row r="5" spans="1:14" x14ac:dyDescent="0.35">
      <c r="A5" s="8" t="s">
        <v>18</v>
      </c>
      <c r="B5" s="9">
        <v>38212</v>
      </c>
      <c r="C5" s="8" t="s">
        <v>15</v>
      </c>
      <c r="D5" s="24"/>
      <c r="E5" s="8">
        <v>0</v>
      </c>
      <c r="F5" s="8">
        <v>11.14</v>
      </c>
      <c r="G5" s="8">
        <v>17.920000000000002</v>
      </c>
      <c r="H5" s="10">
        <v>18.2</v>
      </c>
      <c r="I5" s="13">
        <v>-1.54E-2</v>
      </c>
      <c r="J5" s="8">
        <v>0</v>
      </c>
      <c r="K5" s="8">
        <v>4.9770000000000003</v>
      </c>
      <c r="L5" s="8">
        <v>9.9930000000000003</v>
      </c>
      <c r="M5" s="10">
        <v>10.3</v>
      </c>
      <c r="N5" s="12">
        <v>-2.98E-2</v>
      </c>
    </row>
    <row r="6" spans="1:14" x14ac:dyDescent="0.35">
      <c r="A6" s="8" t="s">
        <v>19</v>
      </c>
      <c r="B6" s="9">
        <v>38032</v>
      </c>
      <c r="C6" s="8" t="s">
        <v>15</v>
      </c>
      <c r="D6" s="24"/>
      <c r="E6" s="8">
        <v>0</v>
      </c>
      <c r="F6" s="8">
        <v>11.22</v>
      </c>
      <c r="G6" s="8">
        <v>18.28</v>
      </c>
      <c r="H6" s="10">
        <v>18.2</v>
      </c>
      <c r="I6" s="11">
        <v>4.4000000000000003E-3</v>
      </c>
      <c r="J6" s="8">
        <v>0</v>
      </c>
      <c r="K6" s="8">
        <v>4.9720000000000004</v>
      </c>
      <c r="L6" s="8">
        <v>10.109</v>
      </c>
      <c r="M6" s="10">
        <v>10.3</v>
      </c>
      <c r="N6" s="12">
        <v>-1.8499999999999999E-2</v>
      </c>
    </row>
    <row r="7" spans="1:14" x14ac:dyDescent="0.35">
      <c r="A7" s="8" t="s">
        <v>20</v>
      </c>
      <c r="B7" s="9">
        <v>38258</v>
      </c>
      <c r="C7" s="8" t="s">
        <v>15</v>
      </c>
      <c r="D7" s="24"/>
      <c r="E7" s="8">
        <v>0</v>
      </c>
      <c r="F7" s="8">
        <v>11.02</v>
      </c>
      <c r="G7" s="8">
        <v>17.88</v>
      </c>
      <c r="H7" s="10">
        <v>18.2</v>
      </c>
      <c r="I7" s="13">
        <v>-1.7600000000000001E-2</v>
      </c>
      <c r="J7" s="8">
        <v>0</v>
      </c>
      <c r="K7" s="8">
        <v>4.95</v>
      </c>
      <c r="L7" s="8">
        <v>9.9559999999999995</v>
      </c>
      <c r="M7" s="10">
        <v>10.3</v>
      </c>
      <c r="N7" s="12">
        <v>-3.3399999999999999E-2</v>
      </c>
    </row>
    <row r="8" spans="1:14" x14ac:dyDescent="0.35">
      <c r="A8" s="8" t="s">
        <v>21</v>
      </c>
      <c r="B8" s="9">
        <v>39382</v>
      </c>
      <c r="C8" s="8" t="s">
        <v>22</v>
      </c>
      <c r="D8" s="24"/>
      <c r="E8" s="8">
        <v>0</v>
      </c>
      <c r="F8" s="8">
        <v>11.82</v>
      </c>
      <c r="G8" s="8">
        <v>19.54</v>
      </c>
      <c r="H8" s="10">
        <v>19.899999999999999</v>
      </c>
      <c r="I8" s="13">
        <v>-1.8100000000000002E-2</v>
      </c>
      <c r="J8" s="8">
        <v>0</v>
      </c>
      <c r="K8" s="8">
        <v>5.4969999999999999</v>
      </c>
      <c r="L8" s="8">
        <v>11.1</v>
      </c>
      <c r="M8" s="10">
        <v>11.1</v>
      </c>
      <c r="N8" s="15">
        <v>0</v>
      </c>
    </row>
    <row r="12" spans="1:14" x14ac:dyDescent="0.35">
      <c r="E12" t="s">
        <v>53</v>
      </c>
      <c r="F12" t="s">
        <v>50</v>
      </c>
      <c r="G12" t="s">
        <v>51</v>
      </c>
      <c r="H12" t="s">
        <v>52</v>
      </c>
      <c r="I12" t="s">
        <v>28</v>
      </c>
    </row>
    <row r="13" spans="1:14" x14ac:dyDescent="0.35">
      <c r="E13" t="s">
        <v>49</v>
      </c>
      <c r="F13" t="s">
        <v>54</v>
      </c>
      <c r="G13" t="s">
        <v>57</v>
      </c>
      <c r="H13">
        <v>18.2</v>
      </c>
    </row>
    <row r="14" spans="1:14" x14ac:dyDescent="0.35">
      <c r="G14" t="s">
        <v>58</v>
      </c>
      <c r="H14">
        <v>10.4</v>
      </c>
    </row>
    <row r="15" spans="1:14" x14ac:dyDescent="0.35">
      <c r="E15" t="s">
        <v>49</v>
      </c>
      <c r="F15" t="s">
        <v>55</v>
      </c>
      <c r="G15" t="s">
        <v>57</v>
      </c>
      <c r="H15">
        <v>18.2</v>
      </c>
    </row>
    <row r="16" spans="1:14" x14ac:dyDescent="0.35">
      <c r="G16" t="s">
        <v>58</v>
      </c>
      <c r="H16">
        <v>10.3</v>
      </c>
    </row>
    <row r="17" spans="5:8" x14ac:dyDescent="0.35">
      <c r="E17" t="s">
        <v>56</v>
      </c>
      <c r="F17" t="s">
        <v>54</v>
      </c>
      <c r="G17" t="s">
        <v>57</v>
      </c>
    </row>
    <row r="18" spans="5:8" x14ac:dyDescent="0.35">
      <c r="G18" t="s">
        <v>58</v>
      </c>
    </row>
    <row r="19" spans="5:8" x14ac:dyDescent="0.35">
      <c r="E19" t="s">
        <v>56</v>
      </c>
      <c r="F19" t="s">
        <v>55</v>
      </c>
      <c r="G19" t="s">
        <v>57</v>
      </c>
      <c r="H19">
        <v>19.899999999999999</v>
      </c>
    </row>
    <row r="20" spans="5:8" x14ac:dyDescent="0.35">
      <c r="G20" t="s">
        <v>58</v>
      </c>
      <c r="H20">
        <v>11.1</v>
      </c>
    </row>
  </sheetData>
  <mergeCells count="3">
    <mergeCell ref="A1:C1"/>
    <mergeCell ref="D1:D8"/>
    <mergeCell ref="E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B12B-3474-41D2-8922-79364920377D}">
  <dimension ref="A1:I7"/>
  <sheetViews>
    <sheetView workbookViewId="0">
      <selection sqref="A1:I7"/>
    </sheetView>
  </sheetViews>
  <sheetFormatPr defaultRowHeight="14.5" x14ac:dyDescent="0.35"/>
  <cols>
    <col min="1" max="1" width="10.08984375" bestFit="1" customWidth="1"/>
    <col min="3" max="3" width="9.54296875" bestFit="1" customWidth="1"/>
    <col min="4" max="4" width="16.08984375" bestFit="1" customWidth="1"/>
  </cols>
  <sheetData>
    <row r="1" spans="1:9" x14ac:dyDescent="0.35">
      <c r="A1" s="16" t="s">
        <v>23</v>
      </c>
      <c r="B1" s="16" t="s">
        <v>24</v>
      </c>
      <c r="C1" s="16" t="s">
        <v>25</v>
      </c>
      <c r="D1" s="16" t="s">
        <v>26</v>
      </c>
      <c r="E1" s="16" t="s">
        <v>27</v>
      </c>
      <c r="F1" s="16" t="s">
        <v>28</v>
      </c>
      <c r="G1" s="16">
        <v>125</v>
      </c>
      <c r="H1" s="16">
        <v>250</v>
      </c>
      <c r="I1" s="16" t="s">
        <v>29</v>
      </c>
    </row>
    <row r="2" spans="1:9" x14ac:dyDescent="0.35">
      <c r="A2" s="17">
        <v>45993</v>
      </c>
      <c r="B2">
        <v>2025</v>
      </c>
      <c r="C2" t="s">
        <v>30</v>
      </c>
      <c r="D2" t="s">
        <v>32</v>
      </c>
      <c r="E2" t="s">
        <v>31</v>
      </c>
      <c r="G2">
        <v>11.64</v>
      </c>
      <c r="H2">
        <f>I2-G2</f>
        <v>6.9199999999999982</v>
      </c>
      <c r="I2">
        <v>18.559999999999999</v>
      </c>
    </row>
    <row r="3" spans="1:9" x14ac:dyDescent="0.35">
      <c r="A3" s="17">
        <v>45993</v>
      </c>
      <c r="B3">
        <v>2025</v>
      </c>
      <c r="C3" t="s">
        <v>30</v>
      </c>
      <c r="D3" t="s">
        <v>33</v>
      </c>
      <c r="E3" t="s">
        <v>31</v>
      </c>
      <c r="G3">
        <v>11.14</v>
      </c>
      <c r="H3">
        <f>I3-G3</f>
        <v>6.7800000000000011</v>
      </c>
      <c r="I3">
        <v>17.920000000000002</v>
      </c>
    </row>
    <row r="4" spans="1:9" x14ac:dyDescent="0.35">
      <c r="A4" s="17">
        <v>45993</v>
      </c>
      <c r="B4">
        <v>2025</v>
      </c>
      <c r="C4" t="s">
        <v>30</v>
      </c>
      <c r="D4" t="s">
        <v>34</v>
      </c>
      <c r="E4" t="s">
        <v>31</v>
      </c>
      <c r="G4">
        <v>11.22</v>
      </c>
      <c r="H4">
        <f t="shared" ref="H4:H6" si="0">I4-G4</f>
        <v>7.0600000000000005</v>
      </c>
      <c r="I4">
        <v>18.28</v>
      </c>
    </row>
    <row r="5" spans="1:9" x14ac:dyDescent="0.35">
      <c r="A5" s="17">
        <v>45993</v>
      </c>
      <c r="B5">
        <v>2025</v>
      </c>
      <c r="C5" t="s">
        <v>30</v>
      </c>
      <c r="D5" t="s">
        <v>35</v>
      </c>
      <c r="E5" t="s">
        <v>31</v>
      </c>
      <c r="G5">
        <v>11.02</v>
      </c>
      <c r="H5">
        <f t="shared" si="0"/>
        <v>6.8599999999999994</v>
      </c>
      <c r="I5">
        <v>17.88</v>
      </c>
    </row>
    <row r="6" spans="1:9" x14ac:dyDescent="0.35">
      <c r="A6" s="17">
        <v>45993</v>
      </c>
      <c r="B6">
        <v>2025</v>
      </c>
      <c r="C6" t="s">
        <v>30</v>
      </c>
      <c r="D6" t="s">
        <v>36</v>
      </c>
      <c r="E6" t="s">
        <v>31</v>
      </c>
      <c r="G6">
        <v>11.82</v>
      </c>
      <c r="H6">
        <f t="shared" si="0"/>
        <v>7.7199999999999989</v>
      </c>
      <c r="I6">
        <v>19.54</v>
      </c>
    </row>
    <row r="7" spans="1:9" x14ac:dyDescent="0.35">
      <c r="A7" s="17">
        <v>46073</v>
      </c>
      <c r="B7">
        <v>2026</v>
      </c>
      <c r="C7" t="s">
        <v>37</v>
      </c>
      <c r="D7" t="s">
        <v>36</v>
      </c>
      <c r="E7" t="s">
        <v>31</v>
      </c>
      <c r="G7" s="18">
        <v>11.805999999999999</v>
      </c>
      <c r="H7" s="18">
        <f>I7-G7</f>
        <v>7.8070000000000004</v>
      </c>
      <c r="I7" s="18">
        <v>19.613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9319-3C1D-4F73-AF00-8D634CE50CC9}">
  <dimension ref="A1:K15"/>
  <sheetViews>
    <sheetView workbookViewId="0">
      <selection activeCell="M12" sqref="M12"/>
    </sheetView>
  </sheetViews>
  <sheetFormatPr defaultRowHeight="14.5" x14ac:dyDescent="0.35"/>
  <cols>
    <col min="1" max="1" width="10.08984375" bestFit="1" customWidth="1"/>
    <col min="2" max="2" width="7.36328125" customWidth="1"/>
    <col min="3" max="3" width="12" bestFit="1" customWidth="1"/>
    <col min="4" max="4" width="16.08984375" bestFit="1" customWidth="1"/>
    <col min="5" max="5" width="9.6328125" bestFit="1" customWidth="1"/>
    <col min="6" max="6" width="4.453125" bestFit="1" customWidth="1"/>
    <col min="7" max="7" width="8.26953125" customWidth="1"/>
    <col min="8" max="8" width="7.7265625" customWidth="1"/>
    <col min="9" max="9" width="8" customWidth="1"/>
    <col min="10" max="10" width="8.453125" customWidth="1"/>
    <col min="11" max="11" width="10.7265625" customWidth="1"/>
  </cols>
  <sheetData>
    <row r="1" spans="1:11" x14ac:dyDescent="0.35">
      <c r="A1" s="16" t="s">
        <v>23</v>
      </c>
      <c r="B1" s="16" t="s">
        <v>24</v>
      </c>
      <c r="C1" s="16" t="s">
        <v>25</v>
      </c>
      <c r="D1" s="16" t="s">
        <v>26</v>
      </c>
      <c r="E1" s="16" t="s">
        <v>27</v>
      </c>
      <c r="F1" s="16" t="s">
        <v>28</v>
      </c>
      <c r="G1" s="16">
        <v>50</v>
      </c>
      <c r="H1" s="16">
        <v>100</v>
      </c>
      <c r="I1" s="16">
        <v>200</v>
      </c>
      <c r="J1" s="16" t="s">
        <v>29</v>
      </c>
      <c r="K1" s="16" t="s">
        <v>42</v>
      </c>
    </row>
    <row r="2" spans="1:11" x14ac:dyDescent="0.35">
      <c r="A2" s="19">
        <v>45784</v>
      </c>
      <c r="B2">
        <v>2025</v>
      </c>
      <c r="C2" t="s">
        <v>38</v>
      </c>
      <c r="D2" t="s">
        <v>32</v>
      </c>
      <c r="E2" t="s">
        <v>31</v>
      </c>
      <c r="H2">
        <v>5.117</v>
      </c>
      <c r="I2">
        <v>5.1550000000000002</v>
      </c>
      <c r="J2">
        <f>H2+I2</f>
        <v>10.272</v>
      </c>
      <c r="K2">
        <f>I2-H2</f>
        <v>3.8000000000000256E-2</v>
      </c>
    </row>
    <row r="3" spans="1:11" x14ac:dyDescent="0.35">
      <c r="A3" s="19">
        <v>46046</v>
      </c>
      <c r="B3">
        <v>2026</v>
      </c>
      <c r="C3" t="s">
        <v>39</v>
      </c>
      <c r="D3" t="s">
        <v>32</v>
      </c>
      <c r="E3" t="s">
        <v>31</v>
      </c>
      <c r="F3" t="s">
        <v>41</v>
      </c>
      <c r="H3">
        <v>5.0750000000000002</v>
      </c>
      <c r="I3">
        <v>5.149</v>
      </c>
      <c r="J3">
        <f t="shared" ref="J3:J4" si="0">H3+I3</f>
        <v>10.224</v>
      </c>
      <c r="K3">
        <f t="shared" ref="K3:K4" si="1">I3-H3</f>
        <v>7.3999999999999844E-2</v>
      </c>
    </row>
    <row r="4" spans="1:11" x14ac:dyDescent="0.35">
      <c r="A4" s="19">
        <v>46070</v>
      </c>
      <c r="B4">
        <v>2026</v>
      </c>
      <c r="C4" t="s">
        <v>40</v>
      </c>
      <c r="D4" t="s">
        <v>32</v>
      </c>
      <c r="E4" t="s">
        <v>31</v>
      </c>
      <c r="H4">
        <v>4.9969999999999999</v>
      </c>
      <c r="I4">
        <v>5.1070000000000002</v>
      </c>
      <c r="J4">
        <f t="shared" si="0"/>
        <v>10.103999999999999</v>
      </c>
      <c r="K4">
        <f t="shared" si="1"/>
        <v>0.11000000000000032</v>
      </c>
    </row>
    <row r="5" spans="1:11" x14ac:dyDescent="0.35">
      <c r="A5" s="19">
        <v>46070</v>
      </c>
      <c r="B5">
        <v>2026</v>
      </c>
      <c r="C5" t="s">
        <v>40</v>
      </c>
      <c r="D5" t="s">
        <v>43</v>
      </c>
      <c r="E5" t="s">
        <v>31</v>
      </c>
      <c r="H5">
        <v>5.28</v>
      </c>
      <c r="I5">
        <v>5.5389999999999997</v>
      </c>
      <c r="J5">
        <f t="shared" ref="J5:J15" si="2">H5+I5</f>
        <v>10.818999999999999</v>
      </c>
      <c r="K5">
        <f t="shared" ref="K5:K15" si="3">I5-H5</f>
        <v>0.25899999999999945</v>
      </c>
    </row>
    <row r="6" spans="1:11" x14ac:dyDescent="0.35">
      <c r="A6" s="19">
        <v>45942</v>
      </c>
      <c r="B6">
        <v>2025</v>
      </c>
      <c r="C6" t="s">
        <v>44</v>
      </c>
      <c r="D6" t="s">
        <v>33</v>
      </c>
      <c r="E6" t="s">
        <v>31</v>
      </c>
      <c r="H6">
        <v>5.032</v>
      </c>
      <c r="I6">
        <v>5.1219999999999999</v>
      </c>
      <c r="J6">
        <f t="shared" si="2"/>
        <v>10.154</v>
      </c>
      <c r="K6">
        <f t="shared" si="3"/>
        <v>8.9999999999999858E-2</v>
      </c>
    </row>
    <row r="7" spans="1:11" x14ac:dyDescent="0.35">
      <c r="A7" s="19">
        <v>46046</v>
      </c>
      <c r="B7">
        <v>2026</v>
      </c>
      <c r="C7" t="s">
        <v>45</v>
      </c>
      <c r="D7" t="s">
        <v>33</v>
      </c>
      <c r="E7" t="s">
        <v>31</v>
      </c>
      <c r="F7" t="s">
        <v>46</v>
      </c>
      <c r="H7">
        <v>5.0510000000000002</v>
      </c>
      <c r="I7">
        <v>5.0970000000000004</v>
      </c>
      <c r="J7">
        <f t="shared" si="2"/>
        <v>10.148</v>
      </c>
      <c r="K7">
        <f t="shared" si="3"/>
        <v>4.6000000000000263E-2</v>
      </c>
    </row>
    <row r="8" spans="1:11" x14ac:dyDescent="0.35">
      <c r="A8" s="19">
        <v>46064</v>
      </c>
      <c r="B8">
        <v>2026</v>
      </c>
      <c r="C8" t="s">
        <v>40</v>
      </c>
      <c r="D8" t="s">
        <v>33</v>
      </c>
      <c r="E8" t="s">
        <v>31</v>
      </c>
      <c r="H8">
        <v>4.9770000000000003</v>
      </c>
      <c r="I8">
        <v>5.016</v>
      </c>
      <c r="J8">
        <f t="shared" si="2"/>
        <v>9.9930000000000003</v>
      </c>
      <c r="K8">
        <f t="shared" si="3"/>
        <v>3.8999999999999702E-2</v>
      </c>
    </row>
    <row r="9" spans="1:11" x14ac:dyDescent="0.35">
      <c r="A9" s="19">
        <v>45942</v>
      </c>
      <c r="B9">
        <v>2025</v>
      </c>
      <c r="C9" t="s">
        <v>44</v>
      </c>
      <c r="D9" t="s">
        <v>34</v>
      </c>
      <c r="E9" t="s">
        <v>31</v>
      </c>
      <c r="F9" t="s">
        <v>47</v>
      </c>
      <c r="H9">
        <v>4.9720000000000004</v>
      </c>
      <c r="I9">
        <v>5.1369999999999996</v>
      </c>
      <c r="J9">
        <f t="shared" si="2"/>
        <v>10.109</v>
      </c>
      <c r="K9">
        <f t="shared" si="3"/>
        <v>0.16499999999999915</v>
      </c>
    </row>
    <row r="10" spans="1:11" x14ac:dyDescent="0.35">
      <c r="A10" s="19">
        <v>46046</v>
      </c>
      <c r="B10">
        <v>2026</v>
      </c>
      <c r="C10" t="s">
        <v>45</v>
      </c>
      <c r="D10" t="s">
        <v>34</v>
      </c>
      <c r="E10" t="s">
        <v>31</v>
      </c>
      <c r="F10" t="s">
        <v>48</v>
      </c>
      <c r="H10">
        <v>4.9960000000000004</v>
      </c>
      <c r="I10">
        <v>5.1440000000000001</v>
      </c>
      <c r="J10">
        <f t="shared" si="2"/>
        <v>10.14</v>
      </c>
      <c r="K10">
        <f t="shared" si="3"/>
        <v>0.14799999999999969</v>
      </c>
    </row>
    <row r="11" spans="1:11" x14ac:dyDescent="0.35">
      <c r="A11" s="19">
        <v>46064</v>
      </c>
      <c r="B11">
        <v>2026</v>
      </c>
      <c r="C11" t="s">
        <v>40</v>
      </c>
      <c r="D11" t="s">
        <v>34</v>
      </c>
      <c r="E11" t="s">
        <v>31</v>
      </c>
      <c r="F11" t="s">
        <v>47</v>
      </c>
      <c r="H11">
        <v>5.0209999999999999</v>
      </c>
      <c r="I11">
        <v>5.1749999999999998</v>
      </c>
      <c r="J11">
        <f t="shared" si="2"/>
        <v>10.196</v>
      </c>
      <c r="K11">
        <f t="shared" si="3"/>
        <v>0.15399999999999991</v>
      </c>
    </row>
    <row r="12" spans="1:11" x14ac:dyDescent="0.35">
      <c r="A12" s="19">
        <v>45942</v>
      </c>
      <c r="B12">
        <v>2025</v>
      </c>
      <c r="C12" t="s">
        <v>44</v>
      </c>
      <c r="D12" t="s">
        <v>35</v>
      </c>
      <c r="E12" t="s">
        <v>31</v>
      </c>
      <c r="H12">
        <v>4.9960000000000004</v>
      </c>
      <c r="I12">
        <v>5.1840000000000002</v>
      </c>
      <c r="J12">
        <f t="shared" si="2"/>
        <v>10.18</v>
      </c>
      <c r="K12">
        <f t="shared" si="3"/>
        <v>0.18799999999999972</v>
      </c>
    </row>
    <row r="13" spans="1:11" x14ac:dyDescent="0.35">
      <c r="A13" s="19">
        <v>46046</v>
      </c>
      <c r="B13">
        <v>2026</v>
      </c>
      <c r="C13" t="s">
        <v>45</v>
      </c>
      <c r="D13" t="s">
        <v>35</v>
      </c>
      <c r="E13" t="s">
        <v>31</v>
      </c>
      <c r="H13">
        <v>4.9539999999999997</v>
      </c>
      <c r="I13">
        <v>5.0019999999999998</v>
      </c>
      <c r="J13">
        <f t="shared" si="2"/>
        <v>9.9559999999999995</v>
      </c>
      <c r="K13">
        <f t="shared" si="3"/>
        <v>4.8000000000000043E-2</v>
      </c>
    </row>
    <row r="14" spans="1:11" x14ac:dyDescent="0.35">
      <c r="A14" s="19">
        <v>46064</v>
      </c>
      <c r="B14">
        <v>2026</v>
      </c>
      <c r="C14" t="s">
        <v>40</v>
      </c>
      <c r="D14" t="s">
        <v>35</v>
      </c>
      <c r="E14" t="s">
        <v>31</v>
      </c>
      <c r="H14">
        <v>4.95</v>
      </c>
      <c r="I14">
        <v>5.0590000000000002</v>
      </c>
      <c r="J14">
        <f t="shared" si="2"/>
        <v>10.009</v>
      </c>
      <c r="K14">
        <f t="shared" si="3"/>
        <v>0.10899999999999999</v>
      </c>
    </row>
    <row r="15" spans="1:11" x14ac:dyDescent="0.35">
      <c r="A15" s="19">
        <v>46064</v>
      </c>
      <c r="B15">
        <v>2026</v>
      </c>
      <c r="C15" t="s">
        <v>40</v>
      </c>
      <c r="D15" t="s">
        <v>36</v>
      </c>
      <c r="E15" t="s">
        <v>31</v>
      </c>
      <c r="H15">
        <v>5.4969999999999999</v>
      </c>
      <c r="I15" s="20">
        <v>5.657</v>
      </c>
      <c r="J15">
        <f t="shared" si="2"/>
        <v>11.154</v>
      </c>
      <c r="K15">
        <f t="shared" si="3"/>
        <v>0.16000000000000014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5ca952-e4a5-43e6-b17c-c01d313ad135}" enabled="0" method="" siteId="{9d5ca952-e4a5-43e6-b17c-c01d313ad1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S250</vt:lpstr>
      <vt:lpstr>F200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Kuys</dc:creator>
  <cp:lastModifiedBy>Anja Kuys</cp:lastModifiedBy>
  <dcterms:created xsi:type="dcterms:W3CDTF">2026-04-07T00:01:32Z</dcterms:created>
  <dcterms:modified xsi:type="dcterms:W3CDTF">2026-04-08T22:20:18Z</dcterms:modified>
</cp:coreProperties>
</file>