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"/>
    </mc:Choice>
  </mc:AlternateContent>
  <xr:revisionPtr revIDLastSave="284" documentId="8_{0909FAA4-0DC0-4545-A039-391B64353CCE}" xr6:coauthVersionLast="47" xr6:coauthVersionMax="47" xr10:uidLastSave="{430791F5-1027-4A7A-996A-7750D3705721}"/>
  <bookViews>
    <workbookView xWindow="28680" yWindow="1620" windowWidth="29040" windowHeight="15720" activeTab="4" xr2:uid="{4FF542DD-B4FA-424F-AF68-66F091A6AE0E}"/>
  </bookViews>
  <sheets>
    <sheet name="Info" sheetId="1" r:id="rId1"/>
    <sheet name="Benchmarking" sheetId="2" r:id="rId2"/>
    <sheet name="B750" sheetId="3" r:id="rId3"/>
    <sheet name="F1000" sheetId="4" r:id="rId4"/>
    <sheet name="IP" sheetId="5" r:id="rId5"/>
    <sheet name="T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L5" i="5"/>
  <c r="L6" i="5"/>
  <c r="L7" i="5"/>
  <c r="I3" i="3"/>
  <c r="L3" i="5"/>
  <c r="L4" i="5"/>
  <c r="L2" i="5"/>
  <c r="I2" i="3" l="1"/>
</calcChain>
</file>

<file path=xl/sharedStrings.xml><?xml version="1.0" encoding="utf-8"?>
<sst xmlns="http://schemas.openxmlformats.org/spreadsheetml/2006/main" count="118" uniqueCount="48">
  <si>
    <t>Name</t>
  </si>
  <si>
    <t>DOB (dd/mm/yyyy)</t>
  </si>
  <si>
    <t>Age</t>
  </si>
  <si>
    <t>Date</t>
  </si>
  <si>
    <t>Race</t>
  </si>
  <si>
    <t>Time</t>
  </si>
  <si>
    <t>Gear</t>
  </si>
  <si>
    <t>Over U23 + Talent Transfer</t>
  </si>
  <si>
    <t>S 250m</t>
  </si>
  <si>
    <t>F 500m</t>
  </si>
  <si>
    <t>F 1000m</t>
  </si>
  <si>
    <t>IP</t>
  </si>
  <si>
    <t>TP</t>
  </si>
  <si>
    <t>U23</t>
  </si>
  <si>
    <t>U19</t>
  </si>
  <si>
    <t>Year</t>
  </si>
  <si>
    <t>Event</t>
  </si>
  <si>
    <t>Athlete</t>
  </si>
  <si>
    <t>Location</t>
  </si>
  <si>
    <t>S250</t>
  </si>
  <si>
    <t>F500</t>
  </si>
  <si>
    <t>Total</t>
  </si>
  <si>
    <t>Dev Camp</t>
  </si>
  <si>
    <t>Cambridge</t>
  </si>
  <si>
    <t>1km</t>
  </si>
  <si>
    <t>2km</t>
  </si>
  <si>
    <t>3km</t>
  </si>
  <si>
    <t>4km</t>
  </si>
  <si>
    <t>Avg Speed</t>
  </si>
  <si>
    <t>108"</t>
  </si>
  <si>
    <t>106.3"</t>
  </si>
  <si>
    <t>SYKES Amelia</t>
  </si>
  <si>
    <t>Open Benchmarking</t>
  </si>
  <si>
    <t>NZ Track Nationals (Qual)</t>
  </si>
  <si>
    <t>Invercargill</t>
  </si>
  <si>
    <t>NZ Track Nationals (Gold Final)</t>
  </si>
  <si>
    <t>Oceania Track Champa qual</t>
  </si>
  <si>
    <t>102.9"</t>
  </si>
  <si>
    <t>MCKENZIE Neve</t>
  </si>
  <si>
    <t>Northern Cup (U19)</t>
  </si>
  <si>
    <t>Oceania Champs (Qual)</t>
  </si>
  <si>
    <t>Oceania Champs (Gold Final)</t>
  </si>
  <si>
    <t>Amelia Sykes</t>
  </si>
  <si>
    <t>Neve Mckenzie</t>
  </si>
  <si>
    <t>Lucy Reeve</t>
  </si>
  <si>
    <t>108" +</t>
  </si>
  <si>
    <t>106" +</t>
  </si>
  <si>
    <t>102"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</si>
</sst>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7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1516-DEB8-4D9F-844C-AF9CB690A0A3}">
  <dimension ref="A1:C4"/>
  <sheetViews>
    <sheetView workbookViewId="0">
      <selection activeCell="J13" sqref="J13"/>
    </sheetView>
  </sheetViews>
  <sheetFormatPr defaultRowHeight="14.5" x14ac:dyDescent="0.35"/>
  <cols>
    <col min="1" max="1" width="13" bestFit="1" customWidth="1"/>
    <col min="2" max="2" width="15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42</v>
      </c>
      <c r="B2" s="9">
        <v>38182</v>
      </c>
      <c r="C2">
        <f t="shared" ref="C2:C4" ca="1" si="0">DATEDIF(B2, TODAY(), "Y")</f>
        <v>21</v>
      </c>
    </row>
    <row r="3" spans="1:3" x14ac:dyDescent="0.35">
      <c r="A3" t="s">
        <v>43</v>
      </c>
      <c r="B3" s="9">
        <v>39769</v>
      </c>
      <c r="C3">
        <f t="shared" ca="1" si="0"/>
        <v>17</v>
      </c>
    </row>
    <row r="4" spans="1:3" x14ac:dyDescent="0.35">
      <c r="A4" t="s">
        <v>44</v>
      </c>
      <c r="B4" s="9">
        <v>38978</v>
      </c>
      <c r="C4">
        <f t="shared" ca="1" si="0"/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2DAE-99AC-47E9-A490-7A4594F298F9}">
  <dimension ref="A1:E35"/>
  <sheetViews>
    <sheetView workbookViewId="0">
      <selection activeCell="J14" sqref="J14"/>
    </sheetView>
  </sheetViews>
  <sheetFormatPr defaultRowHeight="14.5" x14ac:dyDescent="0.35"/>
  <cols>
    <col min="2" max="2" width="22.26953125" bestFit="1" customWidth="1"/>
  </cols>
  <sheetData>
    <row r="1" spans="1:5" x14ac:dyDescent="0.35">
      <c r="A1" t="s">
        <v>3</v>
      </c>
      <c r="B1" t="s">
        <v>2</v>
      </c>
      <c r="C1" t="s">
        <v>4</v>
      </c>
      <c r="D1" t="s">
        <v>5</v>
      </c>
      <c r="E1" t="s">
        <v>6</v>
      </c>
    </row>
    <row r="2" spans="1:5" x14ac:dyDescent="0.35">
      <c r="B2" t="s">
        <v>7</v>
      </c>
      <c r="C2" t="s">
        <v>8</v>
      </c>
      <c r="D2">
        <v>22.5</v>
      </c>
      <c r="E2" t="s">
        <v>45</v>
      </c>
    </row>
    <row r="3" spans="1:5" x14ac:dyDescent="0.35">
      <c r="B3" t="s">
        <v>7</v>
      </c>
      <c r="C3" t="s">
        <v>9</v>
      </c>
      <c r="D3">
        <v>32.5</v>
      </c>
      <c r="E3" t="s">
        <v>45</v>
      </c>
    </row>
    <row r="4" spans="1:5" x14ac:dyDescent="0.35">
      <c r="B4" t="s">
        <v>7</v>
      </c>
      <c r="C4" t="s">
        <v>10</v>
      </c>
      <c r="D4">
        <v>63</v>
      </c>
      <c r="E4" t="s">
        <v>45</v>
      </c>
    </row>
    <row r="5" spans="1:5" x14ac:dyDescent="0.35">
      <c r="B5" t="s">
        <v>7</v>
      </c>
      <c r="C5" t="s">
        <v>11</v>
      </c>
      <c r="D5" s="1">
        <v>3.2638888888888891E-3</v>
      </c>
      <c r="E5" t="s">
        <v>45</v>
      </c>
    </row>
    <row r="6" spans="1:5" x14ac:dyDescent="0.35">
      <c r="B6" t="s">
        <v>7</v>
      </c>
      <c r="C6" t="s">
        <v>12</v>
      </c>
      <c r="D6" s="1">
        <v>2.9513888888888888E-3</v>
      </c>
      <c r="E6" t="s">
        <v>45</v>
      </c>
    </row>
    <row r="7" spans="1:5" x14ac:dyDescent="0.35">
      <c r="B7" t="s">
        <v>13</v>
      </c>
      <c r="C7" t="s">
        <v>8</v>
      </c>
      <c r="D7">
        <v>23</v>
      </c>
      <c r="E7" t="s">
        <v>46</v>
      </c>
    </row>
    <row r="8" spans="1:5" x14ac:dyDescent="0.35">
      <c r="B8" t="s">
        <v>13</v>
      </c>
      <c r="C8" t="s">
        <v>9</v>
      </c>
      <c r="D8">
        <v>33</v>
      </c>
      <c r="E8" t="s">
        <v>46</v>
      </c>
    </row>
    <row r="9" spans="1:5" x14ac:dyDescent="0.35">
      <c r="B9" t="s">
        <v>13</v>
      </c>
      <c r="C9" t="s">
        <v>10</v>
      </c>
      <c r="D9">
        <v>64</v>
      </c>
      <c r="E9" t="s">
        <v>46</v>
      </c>
    </row>
    <row r="10" spans="1:5" x14ac:dyDescent="0.35">
      <c r="B10" t="s">
        <v>13</v>
      </c>
      <c r="C10" t="s">
        <v>11</v>
      </c>
      <c r="D10" s="1">
        <v>3.3564814814814816E-3</v>
      </c>
      <c r="E10" t="s">
        <v>46</v>
      </c>
    </row>
    <row r="11" spans="1:5" x14ac:dyDescent="0.35">
      <c r="B11" t="s">
        <v>13</v>
      </c>
      <c r="C11" t="s">
        <v>12</v>
      </c>
      <c r="D11" s="1">
        <v>3.0092592592592593E-3</v>
      </c>
      <c r="E11" t="s">
        <v>46</v>
      </c>
    </row>
    <row r="12" spans="1:5" x14ac:dyDescent="0.35">
      <c r="B12" t="s">
        <v>14</v>
      </c>
      <c r="C12" t="s">
        <v>8</v>
      </c>
      <c r="D12">
        <v>23</v>
      </c>
      <c r="E12" t="s">
        <v>47</v>
      </c>
    </row>
    <row r="13" spans="1:5" x14ac:dyDescent="0.35">
      <c r="B13" t="s">
        <v>14</v>
      </c>
      <c r="C13" t="s">
        <v>9</v>
      </c>
      <c r="D13">
        <v>34</v>
      </c>
      <c r="E13" t="s">
        <v>47</v>
      </c>
    </row>
    <row r="14" spans="1:5" x14ac:dyDescent="0.35">
      <c r="B14" t="s">
        <v>14</v>
      </c>
      <c r="C14" t="s">
        <v>10</v>
      </c>
      <c r="D14">
        <v>66.5</v>
      </c>
      <c r="E14" t="s">
        <v>47</v>
      </c>
    </row>
    <row r="15" spans="1:5" x14ac:dyDescent="0.35">
      <c r="B15" t="s">
        <v>14</v>
      </c>
      <c r="C15" t="s">
        <v>11</v>
      </c>
      <c r="D15" s="1">
        <v>2.6041666666666665E-3</v>
      </c>
      <c r="E15" t="s">
        <v>47</v>
      </c>
    </row>
    <row r="16" spans="1:5" x14ac:dyDescent="0.35">
      <c r="B16" t="s">
        <v>14</v>
      </c>
      <c r="C16" t="s">
        <v>12</v>
      </c>
      <c r="D16" s="1">
        <v>3.1018518518518517E-3</v>
      </c>
      <c r="E16" t="s">
        <v>47</v>
      </c>
    </row>
    <row r="30" spans="4:4" x14ac:dyDescent="0.35">
      <c r="D30" s="1"/>
    </row>
    <row r="31" spans="4:4" x14ac:dyDescent="0.35">
      <c r="D31" s="1"/>
    </row>
    <row r="32" spans="4:4" x14ac:dyDescent="0.35">
      <c r="D32" s="1"/>
    </row>
    <row r="33" spans="4:4" x14ac:dyDescent="0.35">
      <c r="D33" s="1"/>
    </row>
    <row r="34" spans="4:4" x14ac:dyDescent="0.35">
      <c r="D34" s="1"/>
    </row>
    <row r="35" spans="4:4" x14ac:dyDescent="0.35">
      <c r="D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2768-F94F-4526-ACD6-37188346B2FE}">
  <dimension ref="A1:I5"/>
  <sheetViews>
    <sheetView workbookViewId="0">
      <selection activeCell="O7" sqref="O7"/>
    </sheetView>
  </sheetViews>
  <sheetFormatPr defaultRowHeight="14.5" x14ac:dyDescent="0.35"/>
  <cols>
    <col min="1" max="2" width="9.6328125" customWidth="1"/>
    <col min="3" max="3" width="15.6328125" bestFit="1" customWidth="1"/>
    <col min="4" max="4" width="13.7265625" bestFit="1" customWidth="1"/>
    <col min="5" max="9" width="9.6328125" customWidth="1"/>
  </cols>
  <sheetData>
    <row r="1" spans="1:9" x14ac:dyDescent="0.3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6</v>
      </c>
      <c r="G1" s="2" t="s">
        <v>19</v>
      </c>
      <c r="H1" s="2" t="s">
        <v>20</v>
      </c>
      <c r="I1" s="2" t="s">
        <v>21</v>
      </c>
    </row>
    <row r="2" spans="1:9" x14ac:dyDescent="0.35">
      <c r="A2" s="4">
        <v>46000</v>
      </c>
      <c r="B2">
        <v>2025</v>
      </c>
      <c r="C2" s="3" t="s">
        <v>32</v>
      </c>
      <c r="D2" s="3" t="s">
        <v>31</v>
      </c>
      <c r="E2" s="5" t="s">
        <v>23</v>
      </c>
      <c r="F2" s="5" t="s">
        <v>30</v>
      </c>
      <c r="G2" s="6">
        <v>21.74</v>
      </c>
      <c r="H2" s="6">
        <v>30.9</v>
      </c>
      <c r="I2" s="3">
        <f>G2+H2</f>
        <v>52.64</v>
      </c>
    </row>
    <row r="3" spans="1:9" x14ac:dyDescent="0.35">
      <c r="A3" s="4">
        <v>46006</v>
      </c>
      <c r="B3">
        <v>2025</v>
      </c>
      <c r="C3" s="3" t="s">
        <v>22</v>
      </c>
      <c r="D3" s="5" t="s">
        <v>38</v>
      </c>
      <c r="E3" s="5" t="s">
        <v>23</v>
      </c>
      <c r="F3" s="5" t="s">
        <v>37</v>
      </c>
      <c r="G3" s="5">
        <v>23.62</v>
      </c>
      <c r="H3" s="5">
        <v>34.200000000000003</v>
      </c>
      <c r="I3" s="3">
        <f t="shared" ref="I3:I5" si="0">G3+H3</f>
        <v>57.820000000000007</v>
      </c>
    </row>
    <row r="4" spans="1:9" x14ac:dyDescent="0.35">
      <c r="I4" s="3"/>
    </row>
    <row r="5" spans="1:9" x14ac:dyDescent="0.35">
      <c r="I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243A-CB9E-4CB6-808D-01EB8F24C0CD}">
  <dimension ref="A1:K3"/>
  <sheetViews>
    <sheetView workbookViewId="0">
      <selection activeCell="D3" sqref="D3"/>
    </sheetView>
  </sheetViews>
  <sheetFormatPr defaultRowHeight="14.5" x14ac:dyDescent="0.35"/>
  <cols>
    <col min="1" max="1" width="9.1796875" bestFit="1" customWidth="1"/>
    <col min="3" max="3" width="15.6328125" bestFit="1" customWidth="1"/>
    <col min="4" max="4" width="12.54296875" bestFit="1" customWidth="1"/>
  </cols>
  <sheetData>
    <row r="1" spans="1:11" x14ac:dyDescent="0.3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6</v>
      </c>
      <c r="G1" s="2">
        <v>250</v>
      </c>
      <c r="H1" s="2">
        <v>500</v>
      </c>
      <c r="I1" s="2">
        <v>750</v>
      </c>
      <c r="J1" s="2">
        <v>1000</v>
      </c>
      <c r="K1" s="2" t="s">
        <v>21</v>
      </c>
    </row>
    <row r="2" spans="1:11" x14ac:dyDescent="0.35">
      <c r="A2" s="4">
        <v>46000</v>
      </c>
      <c r="B2" s="3">
        <v>2025</v>
      </c>
      <c r="C2" s="3" t="s">
        <v>32</v>
      </c>
      <c r="D2" s="3" t="s">
        <v>31</v>
      </c>
      <c r="E2" s="3" t="s">
        <v>23</v>
      </c>
      <c r="F2" s="3" t="s">
        <v>29</v>
      </c>
      <c r="G2" s="3">
        <v>14.78</v>
      </c>
      <c r="H2" s="3">
        <v>15.16</v>
      </c>
      <c r="I2" s="8">
        <v>16</v>
      </c>
      <c r="J2" s="3">
        <v>16.78</v>
      </c>
      <c r="K2" s="3">
        <v>62.72</v>
      </c>
    </row>
    <row r="3" spans="1:11" x14ac:dyDescent="0.35">
      <c r="A3" s="4">
        <v>46006</v>
      </c>
      <c r="B3">
        <v>2025</v>
      </c>
      <c r="C3" s="3" t="s">
        <v>22</v>
      </c>
      <c r="D3" s="3" t="s">
        <v>38</v>
      </c>
      <c r="E3" s="5" t="s">
        <v>23</v>
      </c>
      <c r="F3" s="3" t="s">
        <v>37</v>
      </c>
      <c r="G3" s="3">
        <v>16.399999999999999</v>
      </c>
      <c r="H3" s="3">
        <v>16.2</v>
      </c>
      <c r="I3" s="3">
        <v>16.72</v>
      </c>
      <c r="J3" s="3">
        <v>17.420000000000002</v>
      </c>
      <c r="K3" s="3">
        <v>66.739999999999995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667F-E756-40C2-92B5-4C17A27E9B66}">
  <dimension ref="A1:L15"/>
  <sheetViews>
    <sheetView tabSelected="1" workbookViewId="0">
      <selection activeCell="C10" sqref="C10"/>
    </sheetView>
  </sheetViews>
  <sheetFormatPr defaultRowHeight="14.5" x14ac:dyDescent="0.35"/>
  <cols>
    <col min="1" max="1" width="9.1796875" bestFit="1" customWidth="1"/>
    <col min="3" max="3" width="23.6328125" bestFit="1" customWidth="1"/>
    <col min="4" max="4" width="12.54296875" bestFit="1" customWidth="1"/>
  </cols>
  <sheetData>
    <row r="1" spans="1:12" x14ac:dyDescent="0.3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6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21</v>
      </c>
      <c r="L1" s="2" t="s">
        <v>28</v>
      </c>
    </row>
    <row r="2" spans="1:12" x14ac:dyDescent="0.35">
      <c r="A2" s="4">
        <v>45712</v>
      </c>
      <c r="B2" s="3">
        <v>2025</v>
      </c>
      <c r="C2" s="3" t="s">
        <v>33</v>
      </c>
      <c r="D2" s="3" t="s">
        <v>31</v>
      </c>
      <c r="E2" s="3" t="s">
        <v>34</v>
      </c>
      <c r="F2" s="3"/>
      <c r="G2" s="8">
        <v>75.926000000000002</v>
      </c>
      <c r="H2" s="8">
        <v>71.352999999999994</v>
      </c>
      <c r="I2" s="8">
        <v>71.119999999999976</v>
      </c>
      <c r="J2" s="8">
        <v>72.597000000000008</v>
      </c>
      <c r="K2" s="8">
        <v>290.99599999999998</v>
      </c>
      <c r="L2" s="3">
        <f>IF(ISBLANK(J2),3.6*3000/K2,3.6*4000/K2)</f>
        <v>49.485216291632881</v>
      </c>
    </row>
    <row r="3" spans="1:12" x14ac:dyDescent="0.35">
      <c r="A3" s="4">
        <v>45712</v>
      </c>
      <c r="B3" s="3">
        <v>2025</v>
      </c>
      <c r="C3" s="3" t="s">
        <v>35</v>
      </c>
      <c r="D3" s="3" t="s">
        <v>31</v>
      </c>
      <c r="E3" s="3" t="s">
        <v>34</v>
      </c>
      <c r="F3" s="3"/>
      <c r="G3" s="8">
        <v>77.424999999999997</v>
      </c>
      <c r="H3" s="8">
        <v>69.959000000000017</v>
      </c>
      <c r="I3" s="8">
        <v>70.578000000000003</v>
      </c>
      <c r="J3" s="8">
        <v>69.647999999999996</v>
      </c>
      <c r="K3" s="8">
        <v>287.61</v>
      </c>
      <c r="L3" s="3">
        <f t="shared" ref="L3:L7" si="0">IF(ISBLANK(J3),3.6*3000/K3,3.6*4000/K3)</f>
        <v>50.067800146031082</v>
      </c>
    </row>
    <row r="4" spans="1:12" x14ac:dyDescent="0.35">
      <c r="A4" s="4">
        <v>46064</v>
      </c>
      <c r="B4" s="3">
        <v>2026</v>
      </c>
      <c r="C4" s="3" t="s">
        <v>36</v>
      </c>
      <c r="D4" s="3" t="s">
        <v>31</v>
      </c>
      <c r="E4" s="3" t="s">
        <v>23</v>
      </c>
      <c r="F4" s="3"/>
      <c r="G4" s="8">
        <v>76.444000000000003</v>
      </c>
      <c r="H4" s="8">
        <v>70.567999999999998</v>
      </c>
      <c r="I4" s="8">
        <v>68.212999999999994</v>
      </c>
      <c r="J4" s="8">
        <v>68.997</v>
      </c>
      <c r="K4" s="8">
        <v>284.2</v>
      </c>
      <c r="L4" s="3">
        <f t="shared" si="0"/>
        <v>50.668543279380721</v>
      </c>
    </row>
    <row r="5" spans="1:12" x14ac:dyDescent="0.35">
      <c r="A5" s="4">
        <v>46046</v>
      </c>
      <c r="B5" s="3">
        <v>2026</v>
      </c>
      <c r="C5" s="3" t="s">
        <v>39</v>
      </c>
      <c r="D5" s="3" t="s">
        <v>38</v>
      </c>
      <c r="E5" s="3" t="s">
        <v>23</v>
      </c>
      <c r="F5" s="3"/>
      <c r="G5" s="8">
        <v>75.575999999999993</v>
      </c>
      <c r="H5" s="8">
        <v>72.233000000000004</v>
      </c>
      <c r="I5" s="8">
        <v>72.711000000000013</v>
      </c>
      <c r="J5" s="8"/>
      <c r="K5" s="8">
        <v>220.5174476851852</v>
      </c>
      <c r="L5" s="3">
        <f t="shared" si="0"/>
        <v>48.975716494861125</v>
      </c>
    </row>
    <row r="6" spans="1:12" x14ac:dyDescent="0.35">
      <c r="A6" s="4">
        <v>46064</v>
      </c>
      <c r="B6" s="3">
        <v>2026</v>
      </c>
      <c r="C6" s="3" t="s">
        <v>40</v>
      </c>
      <c r="D6" s="3" t="s">
        <v>38</v>
      </c>
      <c r="E6" s="3" t="s">
        <v>23</v>
      </c>
      <c r="F6" s="3"/>
      <c r="G6" s="8">
        <v>87.353000000000009</v>
      </c>
      <c r="H6" s="8">
        <v>59.032999999999987</v>
      </c>
      <c r="I6" s="8">
        <v>71.675000000000011</v>
      </c>
      <c r="J6" s="8"/>
      <c r="K6" s="8">
        <v>218.05847614583334</v>
      </c>
      <c r="L6" s="3">
        <f t="shared" si="0"/>
        <v>49.527999052773197</v>
      </c>
    </row>
    <row r="7" spans="1:12" x14ac:dyDescent="0.35">
      <c r="A7" s="4">
        <v>46064</v>
      </c>
      <c r="B7" s="3">
        <v>2026</v>
      </c>
      <c r="C7" s="3" t="s">
        <v>41</v>
      </c>
      <c r="D7" s="3" t="s">
        <v>38</v>
      </c>
      <c r="E7" s="3" t="s">
        <v>23</v>
      </c>
      <c r="F7" s="3"/>
      <c r="G7" s="8">
        <v>75.644999999999996</v>
      </c>
      <c r="H7" s="8">
        <v>71.031999999999996</v>
      </c>
      <c r="I7" s="8">
        <v>72.331000000000017</v>
      </c>
      <c r="J7" s="8"/>
      <c r="K7" s="8">
        <v>219.00546518518519</v>
      </c>
      <c r="L7" s="3">
        <f t="shared" si="0"/>
        <v>49.313837857278166</v>
      </c>
    </row>
    <row r="8" spans="1:12" x14ac:dyDescent="0.35">
      <c r="A8" s="4"/>
      <c r="G8" s="3"/>
      <c r="H8" s="3"/>
      <c r="I8" s="3"/>
      <c r="J8" s="3"/>
      <c r="K8" s="3"/>
    </row>
    <row r="9" spans="1:12" x14ac:dyDescent="0.35">
      <c r="G9" s="7"/>
      <c r="H9" s="7"/>
      <c r="I9" s="7"/>
      <c r="J9" s="7"/>
      <c r="K9" s="7"/>
    </row>
    <row r="10" spans="1:12" x14ac:dyDescent="0.35">
      <c r="G10" s="7"/>
      <c r="H10" s="7"/>
      <c r="I10" s="7"/>
      <c r="J10" s="7"/>
      <c r="K10" s="7"/>
    </row>
    <row r="11" spans="1:12" x14ac:dyDescent="0.35">
      <c r="G11" s="7"/>
      <c r="H11" s="7"/>
      <c r="I11" s="7"/>
      <c r="J11" s="7"/>
      <c r="K11" s="7"/>
    </row>
    <row r="13" spans="1:12" x14ac:dyDescent="0.35">
      <c r="G13" s="7"/>
      <c r="H13" s="7"/>
      <c r="I13" s="7"/>
      <c r="J13" s="7"/>
    </row>
    <row r="14" spans="1:12" x14ac:dyDescent="0.35">
      <c r="G14" s="7"/>
      <c r="H14" s="7"/>
      <c r="I14" s="7"/>
      <c r="J14" s="7"/>
    </row>
    <row r="15" spans="1:12" x14ac:dyDescent="0.35">
      <c r="G15" s="7"/>
      <c r="H15" s="7"/>
      <c r="I15" s="7"/>
      <c r="J1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475D-1E41-41F1-AEB9-F52DAB63E8F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Benchmarking</vt:lpstr>
      <vt:lpstr>B750</vt:lpstr>
      <vt:lpstr>F1000</vt:lpstr>
      <vt:lpstr>IP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2026-04-06T22:33:58Z</dcterms:created>
  <dcterms:modified xsi:type="dcterms:W3CDTF">2026-04-06T23:54:37Z</dcterms:modified>
</cp:coreProperties>
</file>