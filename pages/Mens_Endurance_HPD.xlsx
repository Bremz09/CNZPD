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"/>
    </mc:Choice>
  </mc:AlternateContent>
  <xr:revisionPtr revIDLastSave="520" documentId="8_{5EA627CD-2583-40A6-8A1D-39A6D1AB87BA}" xr6:coauthVersionLast="47" xr6:coauthVersionMax="47" xr10:uidLastSave="{6EAC47D3-E003-4CCD-B855-442DA42C8294}"/>
  <bookViews>
    <workbookView xWindow="-110" yWindow="-110" windowWidth="19420" windowHeight="11500" activeTab="2" xr2:uid="{A33F4B03-4D72-4E82-89FA-184887AB1F00}"/>
  </bookViews>
  <sheets>
    <sheet name="Info" sheetId="4" r:id="rId1"/>
    <sheet name="Benchmarking" sheetId="5" r:id="rId2"/>
    <sheet name="B750" sheetId="1" r:id="rId3"/>
    <sheet name="F1000" sheetId="2" r:id="rId4"/>
    <sheet name="IP" sheetId="3" r:id="rId5"/>
    <sheet name="T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I22" i="1" l="1"/>
  <c r="I23" i="1"/>
  <c r="I24" i="1"/>
  <c r="I25" i="1"/>
  <c r="I26" i="1"/>
  <c r="I21" i="1"/>
  <c r="I18" i="1"/>
  <c r="I19" i="1"/>
  <c r="I20" i="1"/>
  <c r="I16" i="1"/>
  <c r="I1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</calcChain>
</file>

<file path=xl/sharedStrings.xml><?xml version="1.0" encoding="utf-8"?>
<sst xmlns="http://schemas.openxmlformats.org/spreadsheetml/2006/main" count="485" uniqueCount="89">
  <si>
    <t>Name</t>
  </si>
  <si>
    <t>Age</t>
  </si>
  <si>
    <t>Dan Morton</t>
  </si>
  <si>
    <t>DOB (dd/mm/yyyy)</t>
  </si>
  <si>
    <t>Date</t>
  </si>
  <si>
    <t>Event</t>
  </si>
  <si>
    <t>Gear</t>
  </si>
  <si>
    <t>S250</t>
  </si>
  <si>
    <t>F500</t>
  </si>
  <si>
    <t>Dev Camp</t>
  </si>
  <si>
    <t>Cambridge</t>
  </si>
  <si>
    <t>121.5"</t>
  </si>
  <si>
    <t>119.6"</t>
  </si>
  <si>
    <t>120.6"</t>
  </si>
  <si>
    <t>HP Pre-Worlds Camp</t>
  </si>
  <si>
    <t>Year</t>
  </si>
  <si>
    <t>Athlete</t>
  </si>
  <si>
    <t>MORTON Dan</t>
  </si>
  <si>
    <t>Total</t>
  </si>
  <si>
    <t>-</t>
  </si>
  <si>
    <t>Location</t>
  </si>
  <si>
    <t>1km</t>
  </si>
  <si>
    <t>2km</t>
  </si>
  <si>
    <t>3km</t>
  </si>
  <si>
    <t>4km</t>
  </si>
  <si>
    <t>108"</t>
  </si>
  <si>
    <t>NZ Track Nationals (Qual)</t>
  </si>
  <si>
    <t>NZ Track Nationals (Bronze Final)</t>
  </si>
  <si>
    <t>Oceania Track (Qual)</t>
  </si>
  <si>
    <t>Race</t>
  </si>
  <si>
    <t>F 500m</t>
  </si>
  <si>
    <t>S 250m</t>
  </si>
  <si>
    <t>Time</t>
  </si>
  <si>
    <t>Over U23 + Talent Transfer</t>
  </si>
  <si>
    <t>U23</t>
  </si>
  <si>
    <t>U19</t>
  </si>
  <si>
    <t>F 1000m</t>
  </si>
  <si>
    <t>IP</t>
  </si>
  <si>
    <t>TP</t>
  </si>
  <si>
    <t>117" +</t>
  </si>
  <si>
    <t>114" +</t>
  </si>
  <si>
    <t>110" +</t>
  </si>
  <si>
    <t>117.6"</t>
  </si>
  <si>
    <t>HP Dev Camp</t>
  </si>
  <si>
    <t>117"</t>
  </si>
  <si>
    <t>MURPHY Lucas</t>
  </si>
  <si>
    <t>118.8"</t>
  </si>
  <si>
    <t>JAMISON Magnus</t>
  </si>
  <si>
    <t>DALTON Hunter</t>
  </si>
  <si>
    <t>WATSON-PALMER Oliver</t>
  </si>
  <si>
    <t xml:space="preserve">Dev Camp </t>
  </si>
  <si>
    <t>KEAST Hamish</t>
  </si>
  <si>
    <t>KEAST Oliver</t>
  </si>
  <si>
    <t>CRAMPTON Riley</t>
  </si>
  <si>
    <t>Open Benchmarking</t>
  </si>
  <si>
    <t>ALLAN Jack</t>
  </si>
  <si>
    <t>DALTON Remi</t>
  </si>
  <si>
    <t>123.4"</t>
  </si>
  <si>
    <t>Invercargill</t>
  </si>
  <si>
    <t>NZ Track Nationals (Gold Final)</t>
  </si>
  <si>
    <t>National Track (Qual)</t>
  </si>
  <si>
    <t>National Track (Gold Final)</t>
  </si>
  <si>
    <t>NZ Track Nationals (J19 Qual)</t>
  </si>
  <si>
    <t>NZ Track Nationals (J19 Final)</t>
  </si>
  <si>
    <t>Junior World Champs (J19 Qual)</t>
  </si>
  <si>
    <t>Apeldoorn</t>
  </si>
  <si>
    <t>National Track (BFinal)</t>
  </si>
  <si>
    <t>106"</t>
  </si>
  <si>
    <t>Northern Cup (Qual)</t>
  </si>
  <si>
    <t>WATSON-PALMER -Oliver</t>
  </si>
  <si>
    <t>Southern Cup (J19)</t>
  </si>
  <si>
    <t>Oceania Track (J19 Qual)</t>
  </si>
  <si>
    <t>Nationals Track (J19 Qual)</t>
  </si>
  <si>
    <t>Northern Cup (J19)</t>
  </si>
  <si>
    <t>Nationals Track (GFinal Qual)</t>
  </si>
  <si>
    <t>Nationals Track (J19 GFinal)</t>
  </si>
  <si>
    <t>THOMPSON Jesse</t>
  </si>
  <si>
    <t>Nationals Track (J19 BFinal)</t>
  </si>
  <si>
    <t>Avg Speed</t>
  </si>
  <si>
    <t>Lucas Murphy</t>
  </si>
  <si>
    <t>Magnus Jamison</t>
  </si>
  <si>
    <t>Hunter Dalton</t>
  </si>
  <si>
    <t>Oliver Watson-Palmer</t>
  </si>
  <si>
    <t>Hamish Keast</t>
  </si>
  <si>
    <t>Riley Crampton</t>
  </si>
  <si>
    <t>Jack Allan</t>
  </si>
  <si>
    <t>Jesse Thompson</t>
  </si>
  <si>
    <t>Remi Dalton</t>
  </si>
  <si>
    <t>Oliver Keast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</si>
</sst>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7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1C3A-BDDF-43DD-98BE-9D37AD7469C5}">
  <dimension ref="A1:C12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8.6328125" bestFit="1" customWidth="1"/>
    <col min="2" max="2" width="17.26953125" bestFit="1" customWidth="1"/>
  </cols>
  <sheetData>
    <row r="1" spans="1:3" x14ac:dyDescent="0.35">
      <c r="A1" t="s">
        <v>0</v>
      </c>
      <c r="B1" t="s">
        <v>3</v>
      </c>
      <c r="C1" t="s">
        <v>1</v>
      </c>
    </row>
    <row r="2" spans="1:3" x14ac:dyDescent="0.35">
      <c r="A2" t="s">
        <v>2</v>
      </c>
      <c r="B2" s="1">
        <v>38797</v>
      </c>
      <c r="C2">
        <f t="shared" ref="C2:C12" ca="1" si="0">DATEDIF(B2, TODAY(), "Y")</f>
        <v>20</v>
      </c>
    </row>
    <row r="3" spans="1:3" x14ac:dyDescent="0.35">
      <c r="A3" t="s">
        <v>79</v>
      </c>
      <c r="B3" s="1">
        <v>37433</v>
      </c>
      <c r="C3">
        <f t="shared" ca="1" si="0"/>
        <v>23</v>
      </c>
    </row>
    <row r="4" spans="1:3" x14ac:dyDescent="0.35">
      <c r="A4" t="s">
        <v>80</v>
      </c>
      <c r="B4" s="1">
        <v>38939</v>
      </c>
      <c r="C4">
        <f t="shared" ca="1" si="0"/>
        <v>19</v>
      </c>
    </row>
    <row r="5" spans="1:3" x14ac:dyDescent="0.35">
      <c r="A5" t="s">
        <v>81</v>
      </c>
      <c r="B5" s="1">
        <v>39169</v>
      </c>
      <c r="C5">
        <f t="shared" ca="1" si="0"/>
        <v>19</v>
      </c>
    </row>
    <row r="6" spans="1:3" x14ac:dyDescent="0.35">
      <c r="A6" t="s">
        <v>82</v>
      </c>
      <c r="B6" s="1">
        <v>37994</v>
      </c>
      <c r="C6">
        <f t="shared" ca="1" si="0"/>
        <v>22</v>
      </c>
    </row>
    <row r="7" spans="1:3" x14ac:dyDescent="0.35">
      <c r="A7" t="s">
        <v>83</v>
      </c>
      <c r="B7" s="1">
        <v>36579</v>
      </c>
      <c r="C7">
        <f t="shared" ca="1" si="0"/>
        <v>26</v>
      </c>
    </row>
    <row r="8" spans="1:3" x14ac:dyDescent="0.35">
      <c r="A8" t="s">
        <v>88</v>
      </c>
      <c r="B8" s="1">
        <v>40169</v>
      </c>
      <c r="C8">
        <f t="shared" ca="1" si="0"/>
        <v>16</v>
      </c>
    </row>
    <row r="9" spans="1:3" x14ac:dyDescent="0.35">
      <c r="A9" t="s">
        <v>84</v>
      </c>
      <c r="B9" s="1">
        <v>39964</v>
      </c>
      <c r="C9">
        <f t="shared" ca="1" si="0"/>
        <v>16</v>
      </c>
    </row>
    <row r="10" spans="1:3" x14ac:dyDescent="0.35">
      <c r="A10" t="s">
        <v>85</v>
      </c>
      <c r="B10" s="1">
        <v>40091</v>
      </c>
      <c r="C10">
        <f t="shared" ca="1" si="0"/>
        <v>16</v>
      </c>
    </row>
    <row r="11" spans="1:3" x14ac:dyDescent="0.35">
      <c r="A11" t="s">
        <v>86</v>
      </c>
      <c r="B11" s="1"/>
      <c r="C11">
        <f t="shared" ca="1" si="0"/>
        <v>126</v>
      </c>
    </row>
    <row r="12" spans="1:3" x14ac:dyDescent="0.35">
      <c r="A12" t="s">
        <v>87</v>
      </c>
      <c r="B12" s="1">
        <v>40036</v>
      </c>
      <c r="C12">
        <f t="shared" ca="1" si="0"/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6EBD-0A5F-43F8-BD45-E252A140930C}">
  <dimension ref="A1:E35"/>
  <sheetViews>
    <sheetView workbookViewId="0">
      <selection activeCell="A20" sqref="A20:E35"/>
    </sheetView>
  </sheetViews>
  <sheetFormatPr defaultRowHeight="14.5" x14ac:dyDescent="0.35"/>
  <cols>
    <col min="1" max="1" width="11.7265625" bestFit="1" customWidth="1"/>
    <col min="2" max="2" width="23" bestFit="1" customWidth="1"/>
    <col min="3" max="3" width="11.7265625" bestFit="1" customWidth="1"/>
  </cols>
  <sheetData>
    <row r="1" spans="1:5" x14ac:dyDescent="0.35">
      <c r="A1" t="s">
        <v>4</v>
      </c>
      <c r="B1" t="s">
        <v>1</v>
      </c>
      <c r="C1" t="s">
        <v>29</v>
      </c>
      <c r="D1" t="s">
        <v>32</v>
      </c>
      <c r="E1" t="s">
        <v>6</v>
      </c>
    </row>
    <row r="2" spans="1:5" x14ac:dyDescent="0.35">
      <c r="B2" t="s">
        <v>33</v>
      </c>
      <c r="C2" t="s">
        <v>31</v>
      </c>
      <c r="D2">
        <v>21.5</v>
      </c>
      <c r="E2" t="s">
        <v>39</v>
      </c>
    </row>
    <row r="3" spans="1:5" x14ac:dyDescent="0.35">
      <c r="B3" t="s">
        <v>33</v>
      </c>
      <c r="C3" t="s">
        <v>30</v>
      </c>
      <c r="D3">
        <v>28.8</v>
      </c>
      <c r="E3" t="s">
        <v>39</v>
      </c>
    </row>
    <row r="4" spans="1:5" x14ac:dyDescent="0.35">
      <c r="B4" t="s">
        <v>33</v>
      </c>
      <c r="C4" t="s">
        <v>36</v>
      </c>
      <c r="D4">
        <v>57.2</v>
      </c>
      <c r="E4" t="s">
        <v>39</v>
      </c>
    </row>
    <row r="5" spans="1:5" x14ac:dyDescent="0.35">
      <c r="B5" t="s">
        <v>33</v>
      </c>
      <c r="C5" t="s">
        <v>37</v>
      </c>
      <c r="D5" s="5">
        <v>3.0092592592592593E-3</v>
      </c>
      <c r="E5" t="s">
        <v>39</v>
      </c>
    </row>
    <row r="6" spans="1:5" x14ac:dyDescent="0.35">
      <c r="B6" t="s">
        <v>33</v>
      </c>
      <c r="C6" t="s">
        <v>38</v>
      </c>
      <c r="D6" s="5">
        <v>2.7430555555555554E-3</v>
      </c>
      <c r="E6" t="s">
        <v>40</v>
      </c>
    </row>
    <row r="7" spans="1:5" x14ac:dyDescent="0.35">
      <c r="B7" t="s">
        <v>34</v>
      </c>
      <c r="C7" t="s">
        <v>31</v>
      </c>
      <c r="D7">
        <v>21.5</v>
      </c>
      <c r="E7" t="s">
        <v>40</v>
      </c>
    </row>
    <row r="8" spans="1:5" x14ac:dyDescent="0.35">
      <c r="B8" t="s">
        <v>34</v>
      </c>
      <c r="C8" t="s">
        <v>30</v>
      </c>
      <c r="D8">
        <v>29.4</v>
      </c>
      <c r="E8" t="s">
        <v>40</v>
      </c>
    </row>
    <row r="9" spans="1:5" x14ac:dyDescent="0.35">
      <c r="B9" t="s">
        <v>34</v>
      </c>
      <c r="C9" t="s">
        <v>36</v>
      </c>
      <c r="D9">
        <v>58.5</v>
      </c>
      <c r="E9" t="s">
        <v>40</v>
      </c>
    </row>
    <row r="10" spans="1:5" x14ac:dyDescent="0.35">
      <c r="B10" t="s">
        <v>34</v>
      </c>
      <c r="C10" t="s">
        <v>37</v>
      </c>
      <c r="D10" s="5">
        <v>3.0555555555555557E-3</v>
      </c>
      <c r="E10" t="s">
        <v>40</v>
      </c>
    </row>
    <row r="11" spans="1:5" x14ac:dyDescent="0.35">
      <c r="B11" t="s">
        <v>34</v>
      </c>
      <c r="C11" t="s">
        <v>38</v>
      </c>
      <c r="D11" s="5">
        <v>2.7893518518518519E-3</v>
      </c>
      <c r="E11" t="s">
        <v>40</v>
      </c>
    </row>
    <row r="12" spans="1:5" x14ac:dyDescent="0.35">
      <c r="B12" t="s">
        <v>35</v>
      </c>
      <c r="C12" t="s">
        <v>31</v>
      </c>
      <c r="D12">
        <v>21.5</v>
      </c>
      <c r="E12" t="s">
        <v>41</v>
      </c>
    </row>
    <row r="13" spans="1:5" x14ac:dyDescent="0.35">
      <c r="B13" t="s">
        <v>35</v>
      </c>
      <c r="C13" t="s">
        <v>30</v>
      </c>
      <c r="D13">
        <v>30</v>
      </c>
      <c r="E13" t="s">
        <v>41</v>
      </c>
    </row>
    <row r="14" spans="1:5" x14ac:dyDescent="0.35">
      <c r="B14" t="s">
        <v>35</v>
      </c>
      <c r="C14" t="s">
        <v>36</v>
      </c>
      <c r="D14">
        <v>59.6</v>
      </c>
      <c r="E14" t="s">
        <v>41</v>
      </c>
    </row>
    <row r="15" spans="1:5" x14ac:dyDescent="0.35">
      <c r="B15" t="s">
        <v>35</v>
      </c>
      <c r="C15" t="s">
        <v>37</v>
      </c>
      <c r="D15" s="5">
        <v>2.3148148148148147E-3</v>
      </c>
      <c r="E15" t="s">
        <v>41</v>
      </c>
    </row>
    <row r="16" spans="1:5" x14ac:dyDescent="0.35">
      <c r="B16" t="s">
        <v>35</v>
      </c>
      <c r="C16" t="s">
        <v>38</v>
      </c>
      <c r="D16" s="5">
        <v>2.8356481481481483E-3</v>
      </c>
      <c r="E16" t="s">
        <v>41</v>
      </c>
    </row>
    <row r="20" spans="1:5" x14ac:dyDescent="0.35">
      <c r="A20" t="s">
        <v>4</v>
      </c>
      <c r="B20" t="s">
        <v>1</v>
      </c>
      <c r="C20" t="s">
        <v>29</v>
      </c>
      <c r="D20" t="s">
        <v>32</v>
      </c>
      <c r="E20" t="s">
        <v>6</v>
      </c>
    </row>
    <row r="21" spans="1:5" x14ac:dyDescent="0.35">
      <c r="B21" t="s">
        <v>33</v>
      </c>
      <c r="C21" t="s">
        <v>31</v>
      </c>
      <c r="D21">
        <v>21.5</v>
      </c>
      <c r="E21" t="s">
        <v>39</v>
      </c>
    </row>
    <row r="22" spans="1:5" x14ac:dyDescent="0.35">
      <c r="B22" t="s">
        <v>34</v>
      </c>
      <c r="C22" t="s">
        <v>31</v>
      </c>
      <c r="D22">
        <v>21.5</v>
      </c>
      <c r="E22" t="s">
        <v>40</v>
      </c>
    </row>
    <row r="23" spans="1:5" x14ac:dyDescent="0.35">
      <c r="B23" t="s">
        <v>35</v>
      </c>
      <c r="C23" t="s">
        <v>31</v>
      </c>
      <c r="D23">
        <v>21.5</v>
      </c>
      <c r="E23" t="s">
        <v>41</v>
      </c>
    </row>
    <row r="24" spans="1:5" x14ac:dyDescent="0.35">
      <c r="B24" t="s">
        <v>33</v>
      </c>
      <c r="C24" t="s">
        <v>30</v>
      </c>
      <c r="D24">
        <v>28.8</v>
      </c>
      <c r="E24" t="s">
        <v>39</v>
      </c>
    </row>
    <row r="25" spans="1:5" x14ac:dyDescent="0.35">
      <c r="B25" t="s">
        <v>34</v>
      </c>
      <c r="C25" t="s">
        <v>30</v>
      </c>
      <c r="D25">
        <v>29.4</v>
      </c>
      <c r="E25" t="s">
        <v>40</v>
      </c>
    </row>
    <row r="26" spans="1:5" x14ac:dyDescent="0.35">
      <c r="B26" t="s">
        <v>35</v>
      </c>
      <c r="C26" t="s">
        <v>30</v>
      </c>
      <c r="D26">
        <v>30</v>
      </c>
      <c r="E26" t="s">
        <v>41</v>
      </c>
    </row>
    <row r="27" spans="1:5" x14ac:dyDescent="0.35">
      <c r="B27" t="s">
        <v>33</v>
      </c>
      <c r="C27" t="s">
        <v>36</v>
      </c>
      <c r="D27">
        <v>57.2</v>
      </c>
      <c r="E27" t="s">
        <v>39</v>
      </c>
    </row>
    <row r="28" spans="1:5" x14ac:dyDescent="0.35">
      <c r="B28" t="s">
        <v>34</v>
      </c>
      <c r="C28" t="s">
        <v>36</v>
      </c>
      <c r="D28">
        <v>58.5</v>
      </c>
      <c r="E28" t="s">
        <v>40</v>
      </c>
    </row>
    <row r="29" spans="1:5" x14ac:dyDescent="0.35">
      <c r="B29" t="s">
        <v>35</v>
      </c>
      <c r="C29" t="s">
        <v>36</v>
      </c>
      <c r="D29">
        <v>59.6</v>
      </c>
      <c r="E29" t="s">
        <v>41</v>
      </c>
    </row>
    <row r="30" spans="1:5" x14ac:dyDescent="0.35">
      <c r="B30" t="s">
        <v>33</v>
      </c>
      <c r="C30" t="s">
        <v>37</v>
      </c>
      <c r="D30" s="5">
        <v>3.0092592592592593E-3</v>
      </c>
      <c r="E30" t="s">
        <v>39</v>
      </c>
    </row>
    <row r="31" spans="1:5" x14ac:dyDescent="0.35">
      <c r="B31" t="s">
        <v>34</v>
      </c>
      <c r="C31" t="s">
        <v>37</v>
      </c>
      <c r="D31" s="5">
        <v>3.0555555555555557E-3</v>
      </c>
      <c r="E31" t="s">
        <v>40</v>
      </c>
    </row>
    <row r="32" spans="1:5" x14ac:dyDescent="0.35">
      <c r="B32" t="s">
        <v>35</v>
      </c>
      <c r="C32" t="s">
        <v>37</v>
      </c>
      <c r="D32" s="5">
        <v>2.3148148148148147E-3</v>
      </c>
      <c r="E32" t="s">
        <v>41</v>
      </c>
    </row>
    <row r="33" spans="2:5" x14ac:dyDescent="0.35">
      <c r="B33" t="s">
        <v>33</v>
      </c>
      <c r="C33" t="s">
        <v>38</v>
      </c>
      <c r="D33" s="5">
        <v>2.7430555555555554E-3</v>
      </c>
      <c r="E33" t="s">
        <v>40</v>
      </c>
    </row>
    <row r="34" spans="2:5" x14ac:dyDescent="0.35">
      <c r="B34" t="s">
        <v>34</v>
      </c>
      <c r="C34" t="s">
        <v>38</v>
      </c>
      <c r="D34" s="5">
        <v>2.7893518518518519E-3</v>
      </c>
      <c r="E34" t="s">
        <v>40</v>
      </c>
    </row>
    <row r="35" spans="2:5" x14ac:dyDescent="0.35">
      <c r="B35" t="s">
        <v>35</v>
      </c>
      <c r="C35" t="s">
        <v>38</v>
      </c>
      <c r="D35" s="5">
        <v>2.8356481481481483E-3</v>
      </c>
      <c r="E3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5EAC-B0B6-43CA-8F8B-5573DFAC4D5C}">
  <dimension ref="A1:I27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4.5" x14ac:dyDescent="0.35"/>
  <cols>
    <col min="1" max="1" width="10.08984375" bestFit="1" customWidth="1"/>
    <col min="3" max="3" width="16.36328125" bestFit="1" customWidth="1"/>
    <col min="4" max="4" width="14.81640625" bestFit="1" customWidth="1"/>
  </cols>
  <sheetData>
    <row r="1" spans="1:9" x14ac:dyDescent="0.35">
      <c r="A1" s="4" t="s">
        <v>4</v>
      </c>
      <c r="B1" s="4" t="s">
        <v>15</v>
      </c>
      <c r="C1" s="4" t="s">
        <v>5</v>
      </c>
      <c r="D1" s="4" t="s">
        <v>16</v>
      </c>
      <c r="E1" s="4" t="s">
        <v>20</v>
      </c>
      <c r="F1" s="4" t="s">
        <v>6</v>
      </c>
      <c r="G1" s="4" t="s">
        <v>7</v>
      </c>
      <c r="H1" s="4" t="s">
        <v>8</v>
      </c>
      <c r="I1" s="4" t="s">
        <v>18</v>
      </c>
    </row>
    <row r="2" spans="1:9" x14ac:dyDescent="0.35">
      <c r="A2" s="2">
        <v>45636</v>
      </c>
      <c r="B2" s="3">
        <v>2024</v>
      </c>
      <c r="C2" s="3" t="s">
        <v>9</v>
      </c>
      <c r="D2" s="3" t="s">
        <v>17</v>
      </c>
      <c r="E2" s="3" t="s">
        <v>10</v>
      </c>
      <c r="F2" s="3" t="s">
        <v>11</v>
      </c>
      <c r="G2" s="3">
        <v>21.09</v>
      </c>
      <c r="H2" s="3">
        <v>29.19</v>
      </c>
      <c r="I2" s="3">
        <f>G2+H2</f>
        <v>50.28</v>
      </c>
    </row>
    <row r="3" spans="1:9" x14ac:dyDescent="0.35">
      <c r="A3" s="2">
        <v>45724</v>
      </c>
      <c r="B3" s="3">
        <v>2025</v>
      </c>
      <c r="C3" s="3" t="s">
        <v>9</v>
      </c>
      <c r="D3" s="3" t="s">
        <v>17</v>
      </c>
      <c r="E3" s="3" t="s">
        <v>10</v>
      </c>
      <c r="F3" s="3" t="s">
        <v>12</v>
      </c>
      <c r="G3" s="3">
        <v>21.62</v>
      </c>
      <c r="H3" s="3">
        <v>28.87</v>
      </c>
      <c r="I3" s="3">
        <f t="shared" ref="I3:I26" si="0">G3+H3</f>
        <v>50.49</v>
      </c>
    </row>
    <row r="4" spans="1:9" x14ac:dyDescent="0.35">
      <c r="A4" s="2">
        <v>45751</v>
      </c>
      <c r="B4" s="3">
        <v>2025</v>
      </c>
      <c r="C4" s="3" t="s">
        <v>9</v>
      </c>
      <c r="D4" s="3" t="s">
        <v>17</v>
      </c>
      <c r="E4" s="3" t="s">
        <v>10</v>
      </c>
      <c r="F4" s="3" t="s">
        <v>13</v>
      </c>
      <c r="G4" s="3">
        <v>21.7</v>
      </c>
      <c r="H4" s="3">
        <v>28.88</v>
      </c>
      <c r="I4" s="3">
        <f t="shared" si="0"/>
        <v>50.58</v>
      </c>
    </row>
    <row r="5" spans="1:9" x14ac:dyDescent="0.35">
      <c r="A5" s="2">
        <v>45945</v>
      </c>
      <c r="B5" s="3">
        <v>2025</v>
      </c>
      <c r="C5" s="3" t="s">
        <v>14</v>
      </c>
      <c r="D5" s="3" t="s">
        <v>17</v>
      </c>
      <c r="E5" s="3" t="s">
        <v>10</v>
      </c>
      <c r="F5" s="3" t="s">
        <v>13</v>
      </c>
      <c r="G5" s="3">
        <v>21.38</v>
      </c>
      <c r="H5" s="3">
        <v>28.36</v>
      </c>
      <c r="I5" s="3">
        <f t="shared" si="0"/>
        <v>49.739999999999995</v>
      </c>
    </row>
    <row r="6" spans="1:9" x14ac:dyDescent="0.35">
      <c r="A6" s="2">
        <v>45636</v>
      </c>
      <c r="B6" s="3">
        <v>2024</v>
      </c>
      <c r="C6" s="3" t="s">
        <v>9</v>
      </c>
      <c r="D6" s="3" t="s">
        <v>45</v>
      </c>
      <c r="E6" s="3" t="s">
        <v>10</v>
      </c>
      <c r="F6" s="3" t="s">
        <v>12</v>
      </c>
      <c r="G6" s="3">
        <v>23.94</v>
      </c>
      <c r="H6" s="3">
        <v>29.95</v>
      </c>
      <c r="I6" s="3">
        <f t="shared" si="0"/>
        <v>53.89</v>
      </c>
    </row>
    <row r="7" spans="1:9" x14ac:dyDescent="0.35">
      <c r="A7" s="2">
        <v>45724</v>
      </c>
      <c r="B7" s="3">
        <v>2025</v>
      </c>
      <c r="C7" s="3" t="s">
        <v>9</v>
      </c>
      <c r="D7" s="3" t="s">
        <v>45</v>
      </c>
      <c r="E7" s="3" t="s">
        <v>10</v>
      </c>
      <c r="F7" s="3" t="s">
        <v>42</v>
      </c>
      <c r="G7" s="3">
        <v>22.74</v>
      </c>
      <c r="H7" s="3">
        <v>28.71</v>
      </c>
      <c r="I7" s="3">
        <f t="shared" si="0"/>
        <v>51.45</v>
      </c>
    </row>
    <row r="8" spans="1:9" x14ac:dyDescent="0.35">
      <c r="A8" s="2">
        <v>45751</v>
      </c>
      <c r="B8" s="3">
        <v>2025</v>
      </c>
      <c r="C8" s="3" t="s">
        <v>9</v>
      </c>
      <c r="D8" s="3" t="s">
        <v>45</v>
      </c>
      <c r="E8" s="3" t="s">
        <v>10</v>
      </c>
      <c r="F8" s="3" t="s">
        <v>42</v>
      </c>
      <c r="G8" s="3">
        <v>22.27</v>
      </c>
      <c r="H8" s="3">
        <v>29.16</v>
      </c>
      <c r="I8" s="3">
        <f t="shared" si="0"/>
        <v>51.43</v>
      </c>
    </row>
    <row r="9" spans="1:9" x14ac:dyDescent="0.35">
      <c r="A9" s="2">
        <v>45945</v>
      </c>
      <c r="B9" s="3">
        <v>2025</v>
      </c>
      <c r="C9" s="3" t="s">
        <v>43</v>
      </c>
      <c r="D9" s="3" t="s">
        <v>45</v>
      </c>
      <c r="E9" s="3" t="s">
        <v>10</v>
      </c>
      <c r="F9" s="3" t="s">
        <v>44</v>
      </c>
      <c r="G9" s="3">
        <v>21.26</v>
      </c>
      <c r="H9" s="3">
        <v>27.82</v>
      </c>
      <c r="I9" s="3">
        <f t="shared" si="0"/>
        <v>49.08</v>
      </c>
    </row>
    <row r="10" spans="1:9" x14ac:dyDescent="0.35">
      <c r="A10" s="2">
        <v>45636</v>
      </c>
      <c r="B10" s="3">
        <v>2024</v>
      </c>
      <c r="C10" s="3" t="s">
        <v>9</v>
      </c>
      <c r="D10" s="3" t="s">
        <v>47</v>
      </c>
      <c r="E10" s="3" t="s">
        <v>10</v>
      </c>
      <c r="F10" s="3" t="s">
        <v>13</v>
      </c>
      <c r="G10" s="3">
        <v>20.96</v>
      </c>
      <c r="H10" s="3">
        <v>29.1</v>
      </c>
      <c r="I10" s="3">
        <f t="shared" si="0"/>
        <v>50.06</v>
      </c>
    </row>
    <row r="11" spans="1:9" x14ac:dyDescent="0.35">
      <c r="A11" s="2">
        <v>45751</v>
      </c>
      <c r="B11" s="3">
        <v>2025</v>
      </c>
      <c r="C11" s="3" t="s">
        <v>9</v>
      </c>
      <c r="D11" s="3" t="s">
        <v>47</v>
      </c>
      <c r="E11" s="3" t="s">
        <v>10</v>
      </c>
      <c r="F11" s="3">
        <v>120.6</v>
      </c>
      <c r="G11" s="3">
        <v>20.079999999999998</v>
      </c>
      <c r="H11" s="3">
        <v>28.69</v>
      </c>
      <c r="I11" s="3">
        <f t="shared" si="0"/>
        <v>48.769999999999996</v>
      </c>
    </row>
    <row r="12" spans="1:9" x14ac:dyDescent="0.35">
      <c r="A12" s="2">
        <v>46107</v>
      </c>
      <c r="B12" s="3">
        <v>2026</v>
      </c>
      <c r="C12" s="3" t="s">
        <v>43</v>
      </c>
      <c r="D12" s="3" t="s">
        <v>47</v>
      </c>
      <c r="E12" s="3" t="s">
        <v>10</v>
      </c>
      <c r="F12" s="3" t="s">
        <v>46</v>
      </c>
      <c r="G12" s="3">
        <v>21.11</v>
      </c>
      <c r="H12" s="3">
        <v>28.14</v>
      </c>
      <c r="I12" s="3">
        <f t="shared" si="0"/>
        <v>49.25</v>
      </c>
    </row>
    <row r="13" spans="1:9" x14ac:dyDescent="0.35">
      <c r="A13" s="2">
        <v>45751</v>
      </c>
      <c r="B13" s="3">
        <v>2025</v>
      </c>
      <c r="C13" s="3" t="s">
        <v>9</v>
      </c>
      <c r="D13" s="3" t="s">
        <v>48</v>
      </c>
      <c r="E13" s="3" t="s">
        <v>10</v>
      </c>
      <c r="F13" s="3">
        <v>113.4</v>
      </c>
      <c r="G13" s="3">
        <v>21.56</v>
      </c>
      <c r="H13" s="3">
        <v>29.75</v>
      </c>
      <c r="I13" s="3">
        <f t="shared" si="0"/>
        <v>51.31</v>
      </c>
    </row>
    <row r="14" spans="1:9" x14ac:dyDescent="0.35">
      <c r="A14" s="2">
        <v>46006</v>
      </c>
      <c r="B14" s="3">
        <v>2025</v>
      </c>
      <c r="C14" s="3" t="s">
        <v>9</v>
      </c>
      <c r="D14" s="3" t="s">
        <v>48</v>
      </c>
      <c r="E14" s="3" t="s">
        <v>10</v>
      </c>
      <c r="F14" s="3">
        <v>115.7</v>
      </c>
      <c r="G14" s="3">
        <v>20.86</v>
      </c>
      <c r="H14" s="3">
        <v>29.04</v>
      </c>
      <c r="I14" s="3">
        <f t="shared" si="0"/>
        <v>49.9</v>
      </c>
    </row>
    <row r="15" spans="1:9" x14ac:dyDescent="0.35">
      <c r="A15" s="2">
        <v>46107</v>
      </c>
      <c r="B15" s="3">
        <v>2026</v>
      </c>
      <c r="C15" s="3" t="s">
        <v>43</v>
      </c>
      <c r="D15" s="3" t="s">
        <v>48</v>
      </c>
      <c r="E15" s="3" t="s">
        <v>10</v>
      </c>
      <c r="F15" s="3">
        <v>117.6</v>
      </c>
      <c r="G15" s="3">
        <v>20.82</v>
      </c>
      <c r="H15" s="3">
        <v>28.73</v>
      </c>
      <c r="I15" s="3">
        <f t="shared" si="0"/>
        <v>49.55</v>
      </c>
    </row>
    <row r="16" spans="1:9" x14ac:dyDescent="0.35">
      <c r="A16" s="2">
        <v>45636</v>
      </c>
      <c r="B16" s="3">
        <v>2024</v>
      </c>
      <c r="C16" s="3" t="s">
        <v>9</v>
      </c>
      <c r="D16" s="3" t="s">
        <v>49</v>
      </c>
      <c r="E16" s="3" t="s">
        <v>10</v>
      </c>
      <c r="F16" s="3" t="s">
        <v>11</v>
      </c>
      <c r="G16" s="3">
        <v>21.04</v>
      </c>
      <c r="H16" s="3">
        <v>28.4</v>
      </c>
      <c r="I16" s="3">
        <f t="shared" si="0"/>
        <v>49.44</v>
      </c>
    </row>
    <row r="17" spans="1:9" x14ac:dyDescent="0.35">
      <c r="A17" s="2">
        <v>46107</v>
      </c>
      <c r="B17" s="3">
        <v>2026</v>
      </c>
      <c r="C17" s="3" t="s">
        <v>43</v>
      </c>
      <c r="D17" s="3" t="s">
        <v>49</v>
      </c>
      <c r="E17" s="3" t="s">
        <v>10</v>
      </c>
      <c r="F17" s="3" t="s">
        <v>44</v>
      </c>
      <c r="G17" s="3">
        <v>20.48</v>
      </c>
      <c r="H17" s="3">
        <v>27.52</v>
      </c>
      <c r="I17" s="3">
        <f t="shared" si="0"/>
        <v>48</v>
      </c>
    </row>
    <row r="18" spans="1:9" x14ac:dyDescent="0.35">
      <c r="A18" s="2">
        <v>45636</v>
      </c>
      <c r="B18" s="3">
        <v>2024</v>
      </c>
      <c r="C18" s="3" t="s">
        <v>9</v>
      </c>
      <c r="D18" s="3" t="s">
        <v>51</v>
      </c>
      <c r="E18" s="3" t="s">
        <v>10</v>
      </c>
      <c r="F18" s="3" t="s">
        <v>44</v>
      </c>
      <c r="G18" s="3">
        <v>21.57</v>
      </c>
      <c r="H18" s="3">
        <v>29.05</v>
      </c>
      <c r="I18" s="3">
        <f t="shared" si="0"/>
        <v>50.620000000000005</v>
      </c>
    </row>
    <row r="19" spans="1:9" x14ac:dyDescent="0.35">
      <c r="A19" s="2">
        <v>45751</v>
      </c>
      <c r="B19" s="3">
        <v>2025</v>
      </c>
      <c r="C19" s="3" t="s">
        <v>50</v>
      </c>
      <c r="D19" s="3" t="s">
        <v>51</v>
      </c>
      <c r="E19" s="3" t="s">
        <v>10</v>
      </c>
      <c r="F19" s="3" t="s">
        <v>11</v>
      </c>
      <c r="G19" s="3">
        <v>21.44</v>
      </c>
      <c r="H19" s="3">
        <v>29.04</v>
      </c>
      <c r="I19" s="3">
        <f t="shared" si="0"/>
        <v>50.480000000000004</v>
      </c>
    </row>
    <row r="20" spans="1:9" x14ac:dyDescent="0.35">
      <c r="A20" s="2">
        <v>46107</v>
      </c>
      <c r="B20" s="3">
        <v>2026</v>
      </c>
      <c r="C20" s="3" t="s">
        <v>43</v>
      </c>
      <c r="D20" s="3" t="s">
        <v>51</v>
      </c>
      <c r="E20" s="3" t="s">
        <v>10</v>
      </c>
      <c r="F20" s="3" t="s">
        <v>44</v>
      </c>
      <c r="G20" s="3">
        <v>21.14</v>
      </c>
      <c r="H20" s="3">
        <v>28.05</v>
      </c>
      <c r="I20" s="3">
        <f t="shared" si="0"/>
        <v>49.19</v>
      </c>
    </row>
    <row r="21" spans="1:9" x14ac:dyDescent="0.35">
      <c r="A21" s="2">
        <v>46107</v>
      </c>
      <c r="B21" s="3">
        <v>2026</v>
      </c>
      <c r="C21" s="3" t="s">
        <v>43</v>
      </c>
      <c r="D21" s="3" t="s">
        <v>52</v>
      </c>
      <c r="E21" s="3" t="s">
        <v>10</v>
      </c>
      <c r="F21" s="3">
        <v>109.8</v>
      </c>
      <c r="G21" s="3">
        <v>20.56</v>
      </c>
      <c r="H21" s="3">
        <v>29</v>
      </c>
      <c r="I21" s="3">
        <f t="shared" si="0"/>
        <v>49.56</v>
      </c>
    </row>
    <row r="22" spans="1:9" x14ac:dyDescent="0.35">
      <c r="A22" s="2">
        <v>46107</v>
      </c>
      <c r="B22" s="3">
        <v>2026</v>
      </c>
      <c r="C22" s="3" t="s">
        <v>43</v>
      </c>
      <c r="D22" s="3" t="s">
        <v>53</v>
      </c>
      <c r="E22" s="3" t="s">
        <v>10</v>
      </c>
      <c r="F22" s="3">
        <v>109.8</v>
      </c>
      <c r="G22" s="3">
        <v>21.29</v>
      </c>
      <c r="H22" s="3">
        <v>29.19</v>
      </c>
      <c r="I22" s="3">
        <f t="shared" si="0"/>
        <v>50.480000000000004</v>
      </c>
    </row>
    <row r="23" spans="1:9" x14ac:dyDescent="0.35">
      <c r="A23" s="2">
        <v>46000</v>
      </c>
      <c r="B23" s="3">
        <v>2025</v>
      </c>
      <c r="C23" s="3" t="s">
        <v>54</v>
      </c>
      <c r="D23" s="3" t="s">
        <v>55</v>
      </c>
      <c r="E23" s="3" t="s">
        <v>10</v>
      </c>
      <c r="F23" s="3">
        <v>109.8</v>
      </c>
      <c r="G23" s="3">
        <v>21.8</v>
      </c>
      <c r="H23" s="3">
        <v>29.02</v>
      </c>
      <c r="I23" s="3">
        <f t="shared" si="0"/>
        <v>50.82</v>
      </c>
    </row>
    <row r="24" spans="1:9" x14ac:dyDescent="0.35">
      <c r="A24" s="2">
        <v>46107</v>
      </c>
      <c r="B24" s="3">
        <v>2026</v>
      </c>
      <c r="C24" s="3" t="s">
        <v>43</v>
      </c>
      <c r="D24" s="3" t="s">
        <v>55</v>
      </c>
      <c r="E24" s="3" t="s">
        <v>10</v>
      </c>
      <c r="F24" s="3">
        <v>109.8</v>
      </c>
      <c r="G24" s="3">
        <v>20.69</v>
      </c>
      <c r="H24" s="3">
        <v>29.56</v>
      </c>
      <c r="I24" s="3">
        <f t="shared" si="0"/>
        <v>50.25</v>
      </c>
    </row>
    <row r="25" spans="1:9" x14ac:dyDescent="0.35">
      <c r="A25" s="2">
        <v>46000</v>
      </c>
      <c r="B25" s="3">
        <v>2025</v>
      </c>
      <c r="C25" s="3" t="s">
        <v>54</v>
      </c>
      <c r="D25" s="3" t="s">
        <v>56</v>
      </c>
      <c r="E25" s="3" t="s">
        <v>10</v>
      </c>
      <c r="F25" s="3">
        <v>104.6</v>
      </c>
      <c r="G25" s="3">
        <v>21.21</v>
      </c>
      <c r="H25" s="3">
        <v>29.96</v>
      </c>
      <c r="I25" s="3">
        <f t="shared" si="0"/>
        <v>51.17</v>
      </c>
    </row>
    <row r="26" spans="1:9" x14ac:dyDescent="0.35">
      <c r="A26" s="2">
        <v>46107</v>
      </c>
      <c r="B26" s="3">
        <v>2026</v>
      </c>
      <c r="C26" s="3" t="s">
        <v>43</v>
      </c>
      <c r="D26" s="3" t="s">
        <v>56</v>
      </c>
      <c r="E26" s="3" t="s">
        <v>10</v>
      </c>
      <c r="F26" s="3">
        <v>109.8</v>
      </c>
      <c r="G26" s="3">
        <v>21.24</v>
      </c>
      <c r="H26" s="3">
        <v>29.09</v>
      </c>
      <c r="I26" s="3">
        <f t="shared" si="0"/>
        <v>50.33</v>
      </c>
    </row>
    <row r="27" spans="1:9" x14ac:dyDescent="0.35">
      <c r="I2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0CC9-648B-4F36-BA83-135DE4C35BA0}">
  <dimension ref="A1:K26"/>
  <sheetViews>
    <sheetView workbookViewId="0">
      <pane ySplit="1" topLeftCell="A2" activePane="bottomLeft" state="frozen"/>
      <selection pane="bottomLeft" activeCell="K5" sqref="K5"/>
    </sheetView>
  </sheetViews>
  <sheetFormatPr defaultRowHeight="14.5" x14ac:dyDescent="0.35"/>
  <cols>
    <col min="1" max="1" width="9.6328125" bestFit="1" customWidth="1"/>
    <col min="3" max="3" width="16.36328125" bestFit="1" customWidth="1"/>
    <col min="4" max="4" width="12.54296875" bestFit="1" customWidth="1"/>
    <col min="5" max="5" width="11" customWidth="1"/>
    <col min="6" max="11" width="7" customWidth="1"/>
  </cols>
  <sheetData>
    <row r="1" spans="1:11" x14ac:dyDescent="0.35">
      <c r="A1" s="4" t="s">
        <v>4</v>
      </c>
      <c r="B1" s="4" t="s">
        <v>15</v>
      </c>
      <c r="C1" s="4" t="s">
        <v>5</v>
      </c>
      <c r="D1" s="4" t="s">
        <v>16</v>
      </c>
      <c r="E1" s="4" t="s">
        <v>20</v>
      </c>
      <c r="F1" s="4" t="s">
        <v>6</v>
      </c>
      <c r="G1" s="4">
        <v>250</v>
      </c>
      <c r="H1" s="4">
        <v>500</v>
      </c>
      <c r="I1" s="4">
        <v>750</v>
      </c>
      <c r="J1" s="4">
        <v>1000</v>
      </c>
      <c r="K1" s="4" t="s">
        <v>18</v>
      </c>
    </row>
    <row r="2" spans="1:11" x14ac:dyDescent="0.35">
      <c r="A2" s="2">
        <v>45636</v>
      </c>
      <c r="B2" s="3">
        <v>2024</v>
      </c>
      <c r="C2" s="3" t="s">
        <v>9</v>
      </c>
      <c r="D2" s="3" t="s">
        <v>17</v>
      </c>
      <c r="E2" s="3" t="s">
        <v>10</v>
      </c>
      <c r="F2" s="3" t="s">
        <v>11</v>
      </c>
      <c r="G2" s="3">
        <v>14.01</v>
      </c>
      <c r="H2" s="3">
        <v>14.09</v>
      </c>
      <c r="I2" s="3">
        <v>14.62</v>
      </c>
      <c r="J2" s="3">
        <v>15.14</v>
      </c>
      <c r="K2" s="3">
        <v>57.85</v>
      </c>
    </row>
    <row r="3" spans="1:11" x14ac:dyDescent="0.35">
      <c r="A3" s="2">
        <v>45724</v>
      </c>
      <c r="B3" s="3">
        <v>2025</v>
      </c>
      <c r="C3" s="3" t="s">
        <v>9</v>
      </c>
      <c r="D3" s="3" t="s">
        <v>17</v>
      </c>
      <c r="E3" s="3" t="s">
        <v>10</v>
      </c>
      <c r="F3" s="3" t="s">
        <v>12</v>
      </c>
      <c r="G3" s="3">
        <v>13.99</v>
      </c>
      <c r="H3" s="3">
        <v>14.16</v>
      </c>
      <c r="I3" s="3">
        <v>14.48</v>
      </c>
      <c r="J3" s="3">
        <v>14.94</v>
      </c>
      <c r="K3" s="3">
        <v>57.57</v>
      </c>
    </row>
    <row r="4" spans="1:11" x14ac:dyDescent="0.35">
      <c r="A4" s="2">
        <v>45751</v>
      </c>
      <c r="B4" s="3">
        <v>2025</v>
      </c>
      <c r="C4" s="3" t="s">
        <v>9</v>
      </c>
      <c r="D4" s="3" t="s">
        <v>17</v>
      </c>
      <c r="E4" s="3" t="s">
        <v>10</v>
      </c>
      <c r="F4" s="3" t="s">
        <v>13</v>
      </c>
      <c r="G4" s="3">
        <v>13.89</v>
      </c>
      <c r="H4" s="3">
        <v>14.13</v>
      </c>
      <c r="I4" s="3">
        <v>14.78</v>
      </c>
      <c r="J4" s="3">
        <v>15.61</v>
      </c>
      <c r="K4" s="3">
        <v>58.4</v>
      </c>
    </row>
    <row r="5" spans="1:11" x14ac:dyDescent="0.35">
      <c r="A5" s="2">
        <v>45945</v>
      </c>
      <c r="B5" s="3">
        <v>2025</v>
      </c>
      <c r="C5" s="3" t="s">
        <v>14</v>
      </c>
      <c r="D5" s="3" t="s">
        <v>17</v>
      </c>
      <c r="E5" s="3" t="s">
        <v>10</v>
      </c>
      <c r="F5" s="3" t="s">
        <v>13</v>
      </c>
      <c r="G5" s="3" t="s">
        <v>19</v>
      </c>
      <c r="H5" s="3" t="s">
        <v>19</v>
      </c>
      <c r="I5" s="3" t="s">
        <v>19</v>
      </c>
      <c r="J5" s="3" t="s">
        <v>19</v>
      </c>
      <c r="K5" s="3">
        <v>56.67</v>
      </c>
    </row>
    <row r="6" spans="1:11" x14ac:dyDescent="0.35">
      <c r="A6" s="2">
        <v>45636</v>
      </c>
      <c r="B6" s="3">
        <v>2024</v>
      </c>
      <c r="C6" s="3" t="s">
        <v>9</v>
      </c>
      <c r="D6" s="3" t="s">
        <v>45</v>
      </c>
      <c r="E6" s="3" t="s">
        <v>10</v>
      </c>
      <c r="F6" s="3" t="s">
        <v>12</v>
      </c>
      <c r="G6" s="3">
        <v>14.86</v>
      </c>
      <c r="H6" s="3">
        <v>14.86</v>
      </c>
      <c r="I6" s="3">
        <v>14.96</v>
      </c>
      <c r="J6" s="3">
        <v>15.35</v>
      </c>
      <c r="K6" s="3">
        <v>60.05</v>
      </c>
    </row>
    <row r="7" spans="1:11" x14ac:dyDescent="0.35">
      <c r="A7" s="2">
        <v>45724</v>
      </c>
      <c r="B7" s="3">
        <v>2025</v>
      </c>
      <c r="C7" s="3" t="s">
        <v>9</v>
      </c>
      <c r="D7" s="3" t="s">
        <v>45</v>
      </c>
      <c r="E7" s="3" t="s">
        <v>10</v>
      </c>
      <c r="F7" s="3" t="s">
        <v>42</v>
      </c>
      <c r="G7" s="3">
        <v>13.94</v>
      </c>
      <c r="H7" s="3">
        <v>14.18</v>
      </c>
      <c r="I7" s="3">
        <v>14.48</v>
      </c>
      <c r="J7" s="3">
        <v>14.88</v>
      </c>
      <c r="K7" s="3">
        <v>57.48</v>
      </c>
    </row>
    <row r="8" spans="1:11" x14ac:dyDescent="0.35">
      <c r="A8" s="2">
        <v>45751</v>
      </c>
      <c r="B8" s="3">
        <v>2025</v>
      </c>
      <c r="C8" s="3" t="s">
        <v>9</v>
      </c>
      <c r="D8" s="3" t="s">
        <v>45</v>
      </c>
      <c r="E8" s="3" t="s">
        <v>10</v>
      </c>
      <c r="F8" s="3" t="s">
        <v>12</v>
      </c>
      <c r="G8" s="3">
        <v>13.9</v>
      </c>
      <c r="H8" s="3">
        <v>14.25</v>
      </c>
      <c r="I8" s="3">
        <v>14.59</v>
      </c>
      <c r="J8" s="3">
        <v>15.08</v>
      </c>
      <c r="K8" s="3">
        <v>57.81</v>
      </c>
    </row>
    <row r="9" spans="1:11" x14ac:dyDescent="0.35">
      <c r="A9" s="2">
        <v>45945</v>
      </c>
      <c r="B9" s="3">
        <v>2025</v>
      </c>
      <c r="C9" s="3" t="s">
        <v>43</v>
      </c>
      <c r="D9" s="3" t="s">
        <v>45</v>
      </c>
      <c r="E9" s="3" t="s">
        <v>10</v>
      </c>
      <c r="F9" s="3" t="s">
        <v>44</v>
      </c>
      <c r="G9" s="3">
        <v>13.84</v>
      </c>
      <c r="H9" s="3">
        <v>13.52</v>
      </c>
      <c r="I9" s="3">
        <v>13.74</v>
      </c>
      <c r="J9" s="3">
        <v>14.14</v>
      </c>
      <c r="K9" s="3">
        <v>55.24</v>
      </c>
    </row>
    <row r="10" spans="1:11" x14ac:dyDescent="0.35">
      <c r="A10" s="2">
        <v>45636</v>
      </c>
      <c r="B10" s="3">
        <v>2024</v>
      </c>
      <c r="C10" s="3" t="s">
        <v>9</v>
      </c>
      <c r="D10" s="3" t="s">
        <v>47</v>
      </c>
      <c r="E10" s="3" t="s">
        <v>10</v>
      </c>
      <c r="F10" s="3" t="s">
        <v>13</v>
      </c>
      <c r="G10" s="3">
        <v>14.65</v>
      </c>
      <c r="H10" s="3">
        <v>14.33</v>
      </c>
      <c r="I10" s="3">
        <v>14.36</v>
      </c>
      <c r="J10" s="3">
        <v>14.41</v>
      </c>
      <c r="K10" s="3">
        <v>57.72</v>
      </c>
    </row>
    <row r="11" spans="1:11" x14ac:dyDescent="0.35">
      <c r="A11" s="2">
        <v>45751</v>
      </c>
      <c r="B11" s="3">
        <v>2025</v>
      </c>
      <c r="C11" s="3" t="s">
        <v>9</v>
      </c>
      <c r="D11" s="3" t="s">
        <v>47</v>
      </c>
      <c r="E11" s="3" t="s">
        <v>10</v>
      </c>
      <c r="F11" s="3" t="s">
        <v>13</v>
      </c>
      <c r="G11" s="3">
        <v>13.65</v>
      </c>
      <c r="H11" s="3">
        <v>13.79</v>
      </c>
      <c r="I11" s="3">
        <v>14.21</v>
      </c>
      <c r="J11" s="3">
        <v>14.84</v>
      </c>
      <c r="K11" s="3">
        <v>56.49</v>
      </c>
    </row>
    <row r="12" spans="1:11" x14ac:dyDescent="0.35">
      <c r="A12" s="2">
        <v>46107</v>
      </c>
      <c r="B12" s="3">
        <v>2026</v>
      </c>
      <c r="C12" s="3" t="s">
        <v>43</v>
      </c>
      <c r="D12" s="3" t="s">
        <v>47</v>
      </c>
      <c r="E12" s="3" t="s">
        <v>10</v>
      </c>
      <c r="F12" s="3" t="s">
        <v>46</v>
      </c>
      <c r="G12" s="3">
        <v>13.72</v>
      </c>
      <c r="H12" s="3">
        <v>13.74</v>
      </c>
      <c r="I12" s="3">
        <v>14</v>
      </c>
      <c r="J12" s="3">
        <v>14.48</v>
      </c>
      <c r="K12" s="3">
        <v>55.94</v>
      </c>
    </row>
    <row r="13" spans="1:11" x14ac:dyDescent="0.35">
      <c r="A13" s="2">
        <v>45751</v>
      </c>
      <c r="B13" s="3">
        <v>2025</v>
      </c>
      <c r="C13" s="3" t="s">
        <v>9</v>
      </c>
      <c r="D13" s="3" t="s">
        <v>48</v>
      </c>
      <c r="E13" s="3" t="s">
        <v>10</v>
      </c>
      <c r="F13" s="3">
        <v>115.2</v>
      </c>
      <c r="G13" s="3">
        <v>14.47</v>
      </c>
      <c r="H13" s="3">
        <v>14.06</v>
      </c>
      <c r="I13" s="3">
        <v>14.52</v>
      </c>
      <c r="J13" s="3">
        <v>15.31</v>
      </c>
      <c r="K13" s="3">
        <v>58.35</v>
      </c>
    </row>
    <row r="14" spans="1:11" x14ac:dyDescent="0.35">
      <c r="A14" s="2">
        <v>46006</v>
      </c>
      <c r="B14" s="3">
        <v>2025</v>
      </c>
      <c r="C14" s="3" t="s">
        <v>9</v>
      </c>
      <c r="D14" s="3" t="s">
        <v>48</v>
      </c>
      <c r="E14" s="3" t="s">
        <v>10</v>
      </c>
      <c r="F14" s="3">
        <v>115.7</v>
      </c>
      <c r="G14" s="3">
        <v>13.84</v>
      </c>
      <c r="H14" s="3">
        <v>13.94</v>
      </c>
      <c r="I14" s="3">
        <v>14.54</v>
      </c>
      <c r="J14" s="3">
        <v>15</v>
      </c>
      <c r="K14" s="3">
        <v>57.32</v>
      </c>
    </row>
    <row r="15" spans="1:11" x14ac:dyDescent="0.35">
      <c r="A15" s="2">
        <v>46107</v>
      </c>
      <c r="B15" s="3">
        <v>2026</v>
      </c>
      <c r="C15" s="3" t="s">
        <v>43</v>
      </c>
      <c r="D15" s="3" t="s">
        <v>48</v>
      </c>
      <c r="E15" s="3" t="s">
        <v>10</v>
      </c>
      <c r="F15" s="3">
        <v>117.6</v>
      </c>
      <c r="G15" s="3">
        <v>13.96</v>
      </c>
      <c r="H15" s="3">
        <v>13.83</v>
      </c>
      <c r="I15" s="3">
        <v>14.12</v>
      </c>
      <c r="J15" s="3">
        <v>14.46</v>
      </c>
      <c r="K15" s="3">
        <v>56.37</v>
      </c>
    </row>
    <row r="16" spans="1:11" x14ac:dyDescent="0.35">
      <c r="A16" s="2">
        <v>45636</v>
      </c>
      <c r="B16" s="3">
        <v>2024</v>
      </c>
      <c r="C16" s="3" t="s">
        <v>9</v>
      </c>
      <c r="D16" s="3" t="s">
        <v>49</v>
      </c>
      <c r="E16" s="3" t="s">
        <v>10</v>
      </c>
      <c r="F16" s="3" t="s">
        <v>11</v>
      </c>
      <c r="G16" s="3">
        <v>13.73</v>
      </c>
      <c r="H16" s="3">
        <v>13.89</v>
      </c>
      <c r="I16" s="3">
        <v>14.29</v>
      </c>
      <c r="J16" s="3">
        <v>14.78</v>
      </c>
      <c r="K16" s="3">
        <v>56.72</v>
      </c>
    </row>
    <row r="17" spans="1:11" x14ac:dyDescent="0.35">
      <c r="A17" s="2">
        <v>46107</v>
      </c>
      <c r="B17" s="3">
        <v>2026</v>
      </c>
      <c r="C17" s="3" t="s">
        <v>43</v>
      </c>
      <c r="D17" s="3" t="s">
        <v>49</v>
      </c>
      <c r="E17" s="3" t="s">
        <v>10</v>
      </c>
      <c r="F17" s="3" t="s">
        <v>44</v>
      </c>
      <c r="G17" s="3">
        <v>13.5</v>
      </c>
      <c r="H17" s="3">
        <v>13.42</v>
      </c>
      <c r="I17" s="3">
        <v>13.86</v>
      </c>
      <c r="J17" s="3">
        <v>14.52</v>
      </c>
      <c r="K17" s="3">
        <v>55.3</v>
      </c>
    </row>
    <row r="18" spans="1:11" x14ac:dyDescent="0.35">
      <c r="A18" s="2">
        <v>45636</v>
      </c>
      <c r="B18" s="3">
        <v>2024</v>
      </c>
      <c r="C18" s="3" t="s">
        <v>9</v>
      </c>
      <c r="D18" s="3" t="s">
        <v>51</v>
      </c>
      <c r="E18" s="3" t="s">
        <v>10</v>
      </c>
      <c r="F18" s="3" t="s">
        <v>44</v>
      </c>
      <c r="G18" s="3">
        <v>14.08</v>
      </c>
      <c r="H18" s="3">
        <v>14.29</v>
      </c>
      <c r="I18" s="3">
        <v>14.51</v>
      </c>
      <c r="J18" s="3">
        <v>14.86</v>
      </c>
      <c r="K18" s="3">
        <v>57.7</v>
      </c>
    </row>
    <row r="19" spans="1:11" x14ac:dyDescent="0.35">
      <c r="A19" s="2">
        <v>45751</v>
      </c>
      <c r="B19" s="3">
        <v>2025</v>
      </c>
      <c r="C19" s="3" t="s">
        <v>50</v>
      </c>
      <c r="D19" s="3" t="s">
        <v>51</v>
      </c>
      <c r="E19" s="3" t="s">
        <v>10</v>
      </c>
      <c r="F19" s="3" t="s">
        <v>57</v>
      </c>
      <c r="G19" s="3">
        <v>13.93</v>
      </c>
      <c r="H19" s="3">
        <v>13.87</v>
      </c>
      <c r="I19" s="3">
        <v>14.11</v>
      </c>
      <c r="J19" s="3">
        <v>14.55</v>
      </c>
      <c r="K19" s="3">
        <v>56.45</v>
      </c>
    </row>
    <row r="20" spans="1:11" x14ac:dyDescent="0.35">
      <c r="A20" s="2">
        <v>46107</v>
      </c>
      <c r="B20" s="3">
        <v>2026</v>
      </c>
      <c r="C20" s="3" t="s">
        <v>43</v>
      </c>
      <c r="D20" s="3" t="s">
        <v>51</v>
      </c>
      <c r="E20" s="3" t="s">
        <v>10</v>
      </c>
      <c r="F20" s="3" t="s">
        <v>44</v>
      </c>
      <c r="G20" s="3">
        <v>13.76</v>
      </c>
      <c r="H20" s="3">
        <v>13.33</v>
      </c>
      <c r="I20" s="3">
        <v>13.64</v>
      </c>
      <c r="J20" s="3">
        <v>14.26</v>
      </c>
      <c r="K20" s="3">
        <v>54.99</v>
      </c>
    </row>
    <row r="21" spans="1:11" x14ac:dyDescent="0.35">
      <c r="A21" s="2">
        <v>46107</v>
      </c>
      <c r="B21" s="3">
        <v>2026</v>
      </c>
      <c r="C21" s="3" t="s">
        <v>43</v>
      </c>
      <c r="D21" s="3" t="s">
        <v>52</v>
      </c>
      <c r="E21" s="3" t="s">
        <v>10</v>
      </c>
      <c r="F21" s="3">
        <v>109.8</v>
      </c>
      <c r="G21" s="3">
        <v>14.3</v>
      </c>
      <c r="H21" s="3">
        <v>13.94</v>
      </c>
      <c r="I21" s="3">
        <v>14.3</v>
      </c>
      <c r="J21" s="3">
        <v>15.04</v>
      </c>
      <c r="K21" s="3">
        <v>57.58</v>
      </c>
    </row>
    <row r="22" spans="1:11" x14ac:dyDescent="0.35">
      <c r="A22" s="2">
        <v>46107</v>
      </c>
      <c r="B22" s="3">
        <v>2026</v>
      </c>
      <c r="C22" s="3" t="s">
        <v>43</v>
      </c>
      <c r="D22" s="3" t="s">
        <v>53</v>
      </c>
      <c r="E22" s="3" t="s">
        <v>10</v>
      </c>
      <c r="F22" s="3">
        <v>109.8</v>
      </c>
      <c r="G22" s="3">
        <v>14.34</v>
      </c>
      <c r="H22" s="3">
        <v>14.2</v>
      </c>
      <c r="I22" s="3">
        <v>14.48</v>
      </c>
      <c r="J22" s="3">
        <v>14.7</v>
      </c>
      <c r="K22" s="3">
        <v>57.72</v>
      </c>
    </row>
    <row r="23" spans="1:11" x14ac:dyDescent="0.35">
      <c r="A23" s="2">
        <v>46000</v>
      </c>
      <c r="B23" s="3">
        <v>2025</v>
      </c>
      <c r="C23" s="3" t="s">
        <v>54</v>
      </c>
      <c r="D23" s="3" t="s">
        <v>55</v>
      </c>
      <c r="E23" s="3" t="s">
        <v>10</v>
      </c>
      <c r="F23" s="3">
        <v>109.8</v>
      </c>
      <c r="G23" s="3">
        <v>14.66</v>
      </c>
      <c r="H23" s="3">
        <v>14.4</v>
      </c>
      <c r="I23" s="3">
        <v>14.54</v>
      </c>
      <c r="J23" s="3">
        <v>14.68</v>
      </c>
      <c r="K23" s="3">
        <v>58.28</v>
      </c>
    </row>
    <row r="24" spans="1:11" x14ac:dyDescent="0.35">
      <c r="A24" s="2">
        <v>46107</v>
      </c>
      <c r="B24" s="3">
        <v>2026</v>
      </c>
      <c r="C24" s="3" t="s">
        <v>43</v>
      </c>
      <c r="D24" s="3" t="s">
        <v>55</v>
      </c>
      <c r="E24" s="3" t="s">
        <v>10</v>
      </c>
      <c r="F24" s="3">
        <v>109.8</v>
      </c>
      <c r="G24" s="3">
        <v>14.44</v>
      </c>
      <c r="H24" s="3">
        <v>14.16</v>
      </c>
      <c r="I24" s="3">
        <v>14.34</v>
      </c>
      <c r="J24" s="3">
        <v>14.78</v>
      </c>
      <c r="K24" s="3">
        <v>57.72</v>
      </c>
    </row>
    <row r="25" spans="1:11" x14ac:dyDescent="0.35">
      <c r="A25" s="2">
        <v>46000</v>
      </c>
      <c r="B25" s="3">
        <v>2025</v>
      </c>
      <c r="C25" s="3" t="s">
        <v>54</v>
      </c>
      <c r="D25" s="3" t="s">
        <v>56</v>
      </c>
      <c r="E25" s="3" t="s">
        <v>10</v>
      </c>
      <c r="F25" s="3">
        <v>109.8</v>
      </c>
      <c r="G25" s="3">
        <v>14.68</v>
      </c>
      <c r="H25" s="3">
        <v>14.58</v>
      </c>
      <c r="I25" s="3">
        <v>14.88</v>
      </c>
      <c r="J25" s="3">
        <v>15.3</v>
      </c>
      <c r="K25" s="3">
        <v>59.44</v>
      </c>
    </row>
    <row r="26" spans="1:11" x14ac:dyDescent="0.35">
      <c r="A26" s="2">
        <v>46107</v>
      </c>
      <c r="B26" s="3">
        <v>2026</v>
      </c>
      <c r="C26" s="3" t="s">
        <v>43</v>
      </c>
      <c r="D26" s="3" t="s">
        <v>56</v>
      </c>
      <c r="E26" s="3" t="s">
        <v>10</v>
      </c>
      <c r="F26" s="3">
        <v>109.8</v>
      </c>
      <c r="G26" s="3">
        <v>13.82</v>
      </c>
      <c r="H26" s="3">
        <v>13.9</v>
      </c>
      <c r="I26" s="3">
        <v>14.4</v>
      </c>
      <c r="J26" s="3">
        <v>14.96</v>
      </c>
      <c r="K26" s="3">
        <v>57.08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CFC5-1FA2-4C89-B295-004A1910469D}">
  <dimension ref="A1:T51"/>
  <sheetViews>
    <sheetView workbookViewId="0">
      <pane ySplit="1" topLeftCell="A17" activePane="bottomLeft" state="frozen"/>
      <selection pane="bottomLeft" activeCell="K27" sqref="K27"/>
    </sheetView>
  </sheetViews>
  <sheetFormatPr defaultRowHeight="14.5" x14ac:dyDescent="0.35"/>
  <cols>
    <col min="1" max="1" width="16.7265625" customWidth="1"/>
    <col min="3" max="3" width="25.26953125" bestFit="1" customWidth="1"/>
    <col min="4" max="4" width="15.7265625" customWidth="1"/>
  </cols>
  <sheetData>
    <row r="1" spans="1:20" x14ac:dyDescent="0.35">
      <c r="A1" s="4" t="s">
        <v>4</v>
      </c>
      <c r="B1" s="4" t="s">
        <v>15</v>
      </c>
      <c r="C1" s="4" t="s">
        <v>5</v>
      </c>
      <c r="D1" s="4" t="s">
        <v>16</v>
      </c>
      <c r="E1" s="4" t="s">
        <v>20</v>
      </c>
      <c r="F1" s="4" t="s">
        <v>6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18</v>
      </c>
      <c r="L1" s="4" t="s">
        <v>78</v>
      </c>
      <c r="M1" s="4"/>
      <c r="N1" s="4"/>
      <c r="O1" s="4"/>
    </row>
    <row r="2" spans="1:20" x14ac:dyDescent="0.35">
      <c r="A2" s="2">
        <v>45636</v>
      </c>
      <c r="B2" s="3">
        <v>2024</v>
      </c>
      <c r="C2" s="3" t="s">
        <v>9</v>
      </c>
      <c r="D2" s="3" t="s">
        <v>17</v>
      </c>
      <c r="E2" s="3" t="s">
        <v>10</v>
      </c>
      <c r="F2" s="3" t="s">
        <v>25</v>
      </c>
      <c r="G2" s="6">
        <v>70</v>
      </c>
      <c r="H2" s="6">
        <v>64.300000000000011</v>
      </c>
      <c r="I2" s="6">
        <v>64.699999999999989</v>
      </c>
      <c r="J2" s="6">
        <v>66.600000000000009</v>
      </c>
      <c r="K2" s="6">
        <v>265.60000000000002</v>
      </c>
      <c r="L2">
        <f t="shared" ref="L2:L16" si="0">IF(ISBLANK(J2),3.6*3000/K2,3.6*4000/K2)</f>
        <v>54.21686746987951</v>
      </c>
      <c r="M2" s="5"/>
      <c r="N2" s="5"/>
      <c r="O2" s="5"/>
      <c r="P2" s="7"/>
      <c r="Q2" s="7"/>
      <c r="R2" s="7"/>
      <c r="S2" s="7"/>
      <c r="T2" s="7"/>
    </row>
    <row r="3" spans="1:20" x14ac:dyDescent="0.35">
      <c r="A3" s="2">
        <v>45713</v>
      </c>
      <c r="B3" s="3">
        <v>2025</v>
      </c>
      <c r="C3" s="3" t="s">
        <v>26</v>
      </c>
      <c r="D3" s="3" t="s">
        <v>17</v>
      </c>
      <c r="E3" s="3" t="s">
        <v>10</v>
      </c>
      <c r="F3" s="3"/>
      <c r="G3" s="6">
        <v>69.7</v>
      </c>
      <c r="H3" s="6">
        <v>63.754000000000012</v>
      </c>
      <c r="I3" s="6">
        <v>63.652999999999984</v>
      </c>
      <c r="J3" s="6">
        <v>64.445999999999984</v>
      </c>
      <c r="K3" s="6">
        <v>261.553</v>
      </c>
      <c r="L3">
        <f t="shared" si="0"/>
        <v>55.055763076699563</v>
      </c>
      <c r="M3" s="5"/>
      <c r="N3" s="5"/>
      <c r="O3" s="5"/>
      <c r="P3" s="7"/>
      <c r="Q3" s="7"/>
      <c r="R3" s="7"/>
      <c r="S3" s="7"/>
      <c r="T3" s="7"/>
    </row>
    <row r="4" spans="1:20" x14ac:dyDescent="0.35">
      <c r="A4" s="2">
        <v>45713</v>
      </c>
      <c r="B4" s="3">
        <v>2025</v>
      </c>
      <c r="C4" s="3" t="s">
        <v>27</v>
      </c>
      <c r="D4" s="3" t="s">
        <v>17</v>
      </c>
      <c r="E4" s="3" t="s">
        <v>10</v>
      </c>
      <c r="F4" s="3"/>
      <c r="G4" s="6">
        <v>70.5</v>
      </c>
      <c r="H4" s="6">
        <v>63.734000000000009</v>
      </c>
      <c r="I4" s="6">
        <v>64.73899999999999</v>
      </c>
      <c r="J4" s="6">
        <v>66.575999999999965</v>
      </c>
      <c r="K4" s="6">
        <v>265.54899999999998</v>
      </c>
      <c r="L4">
        <f t="shared" si="0"/>
        <v>54.227280087667438</v>
      </c>
      <c r="M4" s="5"/>
      <c r="N4" s="5"/>
      <c r="O4" s="5"/>
      <c r="P4" s="7"/>
      <c r="Q4" s="7"/>
      <c r="R4" s="7"/>
      <c r="S4" s="7"/>
      <c r="T4" s="7"/>
    </row>
    <row r="5" spans="1:20" x14ac:dyDescent="0.35">
      <c r="A5" s="2">
        <v>45945</v>
      </c>
      <c r="B5" s="3">
        <v>2025</v>
      </c>
      <c r="C5" s="3" t="s">
        <v>14</v>
      </c>
      <c r="D5" s="3" t="s">
        <v>17</v>
      </c>
      <c r="E5" s="3" t="s">
        <v>10</v>
      </c>
      <c r="F5" s="3"/>
      <c r="G5" s="6">
        <v>0</v>
      </c>
      <c r="H5" s="6">
        <v>0</v>
      </c>
      <c r="I5" s="6">
        <v>0</v>
      </c>
      <c r="J5" s="6">
        <v>0</v>
      </c>
      <c r="K5" s="6">
        <v>257</v>
      </c>
      <c r="L5">
        <f t="shared" si="0"/>
        <v>56.031128404669261</v>
      </c>
      <c r="M5" s="5"/>
      <c r="N5" s="5"/>
      <c r="O5" s="5"/>
      <c r="P5" s="7"/>
      <c r="Q5" s="7"/>
      <c r="R5" s="7"/>
      <c r="S5" s="7"/>
      <c r="T5" s="7"/>
    </row>
    <row r="6" spans="1:20" x14ac:dyDescent="0.35">
      <c r="A6" s="2">
        <v>46064</v>
      </c>
      <c r="B6" s="3">
        <v>2026</v>
      </c>
      <c r="C6" s="3" t="s">
        <v>28</v>
      </c>
      <c r="D6" s="3" t="s">
        <v>17</v>
      </c>
      <c r="E6" s="3" t="s">
        <v>10</v>
      </c>
      <c r="F6" s="3"/>
      <c r="G6" s="6">
        <v>69.153000000000006</v>
      </c>
      <c r="H6" s="6">
        <v>131.636</v>
      </c>
      <c r="I6" s="6">
        <v>194.71100000000001</v>
      </c>
      <c r="J6" s="6">
        <v>258.94200000000001</v>
      </c>
      <c r="K6" s="6">
        <v>259</v>
      </c>
      <c r="L6">
        <f t="shared" si="0"/>
        <v>55.598455598455601</v>
      </c>
      <c r="M6" s="5"/>
      <c r="N6" s="5"/>
      <c r="O6" s="5"/>
      <c r="P6" s="7"/>
      <c r="Q6" s="7"/>
      <c r="R6" s="7"/>
      <c r="S6" s="7"/>
      <c r="T6" s="7"/>
    </row>
    <row r="7" spans="1:20" x14ac:dyDescent="0.35">
      <c r="A7" s="2">
        <v>45636</v>
      </c>
      <c r="B7" s="3">
        <v>2024</v>
      </c>
      <c r="C7" s="3" t="s">
        <v>9</v>
      </c>
      <c r="D7" s="3" t="s">
        <v>45</v>
      </c>
      <c r="E7" s="3" t="s">
        <v>10</v>
      </c>
      <c r="F7" s="3" t="s">
        <v>25</v>
      </c>
      <c r="G7" s="6">
        <v>73.5</v>
      </c>
      <c r="H7" s="6">
        <v>65.8</v>
      </c>
      <c r="I7" s="6">
        <v>64.5</v>
      </c>
      <c r="J7" s="6">
        <v>65.2</v>
      </c>
      <c r="K7" s="6">
        <v>269</v>
      </c>
      <c r="L7">
        <f t="shared" si="0"/>
        <v>53.531598513011154</v>
      </c>
      <c r="M7" s="5"/>
      <c r="N7" s="5"/>
      <c r="O7" s="5"/>
      <c r="P7" s="7"/>
      <c r="Q7" s="7"/>
      <c r="R7" s="7"/>
      <c r="S7" s="7"/>
      <c r="T7" s="7"/>
    </row>
    <row r="8" spans="1:20" x14ac:dyDescent="0.35">
      <c r="A8" s="2">
        <v>45713</v>
      </c>
      <c r="B8" s="3">
        <v>2025</v>
      </c>
      <c r="C8" s="3" t="s">
        <v>26</v>
      </c>
      <c r="D8" s="3" t="s">
        <v>45</v>
      </c>
      <c r="E8" s="3" t="s">
        <v>58</v>
      </c>
      <c r="F8" s="3"/>
      <c r="G8" s="6">
        <v>68.662999999999997</v>
      </c>
      <c r="H8" s="6">
        <v>62.284999999999997</v>
      </c>
      <c r="I8" s="6">
        <v>63.190999999999995</v>
      </c>
      <c r="J8" s="6">
        <v>63.92499999999999</v>
      </c>
      <c r="K8" s="6">
        <v>258.06</v>
      </c>
      <c r="L8">
        <f t="shared" si="0"/>
        <v>55.800976517089047</v>
      </c>
      <c r="M8" s="5"/>
      <c r="N8" s="5"/>
      <c r="O8" s="5"/>
      <c r="P8" s="7"/>
      <c r="Q8" s="7"/>
      <c r="R8" s="7"/>
      <c r="S8" s="7"/>
      <c r="T8" s="7"/>
    </row>
    <row r="9" spans="1:20" x14ac:dyDescent="0.35">
      <c r="A9" s="2">
        <v>45713</v>
      </c>
      <c r="B9" s="3">
        <v>2025</v>
      </c>
      <c r="C9" s="3" t="s">
        <v>59</v>
      </c>
      <c r="D9" s="3" t="s">
        <v>45</v>
      </c>
      <c r="E9" s="3" t="s">
        <v>58</v>
      </c>
      <c r="F9" s="3"/>
      <c r="G9" s="6">
        <v>68.454000000000008</v>
      </c>
      <c r="H9" s="6">
        <v>62.132000000000005</v>
      </c>
      <c r="I9" s="6">
        <v>63.805</v>
      </c>
      <c r="J9" s="6">
        <v>64.914000000000001</v>
      </c>
      <c r="K9" s="6">
        <v>259.31</v>
      </c>
      <c r="L9">
        <f t="shared" si="0"/>
        <v>55.53198873934673</v>
      </c>
      <c r="M9" s="5"/>
      <c r="N9" s="5"/>
      <c r="O9" s="5"/>
      <c r="P9" s="7"/>
      <c r="Q9" s="7"/>
      <c r="R9" s="7"/>
      <c r="S9" s="7"/>
      <c r="T9" s="7"/>
    </row>
    <row r="10" spans="1:20" x14ac:dyDescent="0.35">
      <c r="A10" s="2">
        <v>46064</v>
      </c>
      <c r="B10" s="3">
        <v>2026</v>
      </c>
      <c r="C10" s="3" t="s">
        <v>28</v>
      </c>
      <c r="D10" s="3" t="s">
        <v>45</v>
      </c>
      <c r="E10" s="3" t="s">
        <v>10</v>
      </c>
      <c r="F10" s="3"/>
      <c r="G10" s="6">
        <v>69.221999999999994</v>
      </c>
      <c r="H10" s="6">
        <v>62.166999999999994</v>
      </c>
      <c r="I10" s="6">
        <v>62.250999999999998</v>
      </c>
      <c r="J10" s="6">
        <v>62.316000000000003</v>
      </c>
      <c r="K10" s="6">
        <v>255.96000000000004</v>
      </c>
      <c r="L10">
        <f t="shared" si="0"/>
        <v>56.258790436005619</v>
      </c>
      <c r="M10" s="5"/>
      <c r="N10" s="5"/>
      <c r="O10" s="5"/>
      <c r="P10" s="7"/>
      <c r="Q10" s="7"/>
      <c r="R10" s="7"/>
      <c r="S10" s="7"/>
      <c r="T10" s="7"/>
    </row>
    <row r="11" spans="1:20" x14ac:dyDescent="0.35">
      <c r="A11" s="2">
        <v>46088</v>
      </c>
      <c r="B11" s="3">
        <v>2026</v>
      </c>
      <c r="C11" s="3" t="s">
        <v>60</v>
      </c>
      <c r="D11" s="3" t="s">
        <v>45</v>
      </c>
      <c r="E11" s="3" t="s">
        <v>58</v>
      </c>
      <c r="F11" s="3"/>
      <c r="G11" s="6">
        <v>68.792000000000002</v>
      </c>
      <c r="H11" s="6">
        <v>61.984999999999992</v>
      </c>
      <c r="I11" s="6">
        <v>61.676000000000002</v>
      </c>
      <c r="J11" s="6">
        <v>63.25800000000001</v>
      </c>
      <c r="K11" s="6">
        <v>255.71</v>
      </c>
      <c r="L11">
        <f t="shared" si="0"/>
        <v>56.313792968597234</v>
      </c>
      <c r="M11" s="5"/>
      <c r="N11" s="5"/>
      <c r="O11" s="5"/>
      <c r="P11" s="7"/>
      <c r="Q11" s="7"/>
      <c r="R11" s="7"/>
      <c r="S11" s="7"/>
      <c r="T11" s="7"/>
    </row>
    <row r="12" spans="1:20" x14ac:dyDescent="0.35">
      <c r="A12" s="2">
        <v>46088</v>
      </c>
      <c r="B12" s="3">
        <v>2026</v>
      </c>
      <c r="C12" s="3" t="s">
        <v>61</v>
      </c>
      <c r="D12" s="3" t="s">
        <v>45</v>
      </c>
      <c r="E12" s="3" t="s">
        <v>58</v>
      </c>
      <c r="F12" s="3"/>
      <c r="G12" s="6">
        <v>68.311000000000007</v>
      </c>
      <c r="H12" s="6">
        <v>61.75</v>
      </c>
      <c r="I12" s="6">
        <v>62.122</v>
      </c>
      <c r="J12" s="6">
        <v>63.100999999999999</v>
      </c>
      <c r="K12" s="6">
        <v>255.28</v>
      </c>
      <c r="L12">
        <f t="shared" si="0"/>
        <v>56.408649326230019</v>
      </c>
      <c r="M12" s="5"/>
      <c r="N12" s="5"/>
      <c r="O12" s="5"/>
      <c r="P12" s="7"/>
      <c r="Q12" s="7"/>
      <c r="R12" s="7"/>
      <c r="S12" s="7"/>
      <c r="T12" s="7"/>
    </row>
    <row r="13" spans="1:20" x14ac:dyDescent="0.35">
      <c r="A13" s="2">
        <v>45636</v>
      </c>
      <c r="B13" s="3">
        <v>2024</v>
      </c>
      <c r="C13" s="3" t="s">
        <v>9</v>
      </c>
      <c r="D13" s="3" t="s">
        <v>47</v>
      </c>
      <c r="E13" s="3" t="s">
        <v>10</v>
      </c>
      <c r="F13" s="3">
        <v>106.4</v>
      </c>
      <c r="G13" s="6"/>
      <c r="H13" s="6"/>
      <c r="I13" s="6"/>
      <c r="J13" s="6">
        <v>266.7</v>
      </c>
      <c r="K13" s="6">
        <v>266.7</v>
      </c>
      <c r="L13">
        <f t="shared" si="0"/>
        <v>53.993250843644546</v>
      </c>
      <c r="M13" s="5"/>
      <c r="N13" s="5"/>
      <c r="O13" s="5"/>
      <c r="P13" s="7"/>
      <c r="Q13" s="7"/>
      <c r="R13" s="7"/>
      <c r="S13" s="7"/>
      <c r="T13" s="7"/>
    </row>
    <row r="14" spans="1:20" x14ac:dyDescent="0.35">
      <c r="A14" s="2">
        <v>45713</v>
      </c>
      <c r="B14" s="3">
        <v>2025</v>
      </c>
      <c r="C14" s="3" t="s">
        <v>26</v>
      </c>
      <c r="D14" s="3" t="s">
        <v>47</v>
      </c>
      <c r="E14" s="3" t="s">
        <v>58</v>
      </c>
      <c r="F14" s="3"/>
      <c r="G14" s="6">
        <v>70.468999999999994</v>
      </c>
      <c r="H14" s="6">
        <v>65.265000000000001</v>
      </c>
      <c r="I14" s="6">
        <v>57.255000000000003</v>
      </c>
      <c r="J14" s="6">
        <v>75.174999999999997</v>
      </c>
      <c r="K14" s="6">
        <v>268.10000000000002</v>
      </c>
      <c r="L14">
        <f t="shared" si="0"/>
        <v>53.711301753077208</v>
      </c>
      <c r="M14" s="5"/>
      <c r="N14" s="5"/>
      <c r="O14" s="5"/>
      <c r="P14" s="7"/>
      <c r="Q14" s="7"/>
      <c r="R14" s="7"/>
      <c r="S14" s="7"/>
      <c r="T14" s="7"/>
    </row>
    <row r="15" spans="1:20" x14ac:dyDescent="0.35">
      <c r="A15" s="2">
        <v>46064</v>
      </c>
      <c r="B15" s="3">
        <v>2026</v>
      </c>
      <c r="C15" s="3" t="s">
        <v>28</v>
      </c>
      <c r="D15" s="3" t="s">
        <v>47</v>
      </c>
      <c r="E15" s="3" t="s">
        <v>10</v>
      </c>
      <c r="F15" s="3" t="s">
        <v>19</v>
      </c>
      <c r="G15" s="6">
        <v>69.545000000000002</v>
      </c>
      <c r="H15" s="6">
        <v>62.025999999999989</v>
      </c>
      <c r="I15" s="6">
        <v>62.640000000000008</v>
      </c>
      <c r="J15" s="6">
        <v>64.099999999999994</v>
      </c>
      <c r="K15" s="6">
        <v>258.3</v>
      </c>
      <c r="L15">
        <f t="shared" si="0"/>
        <v>55.749128919860624</v>
      </c>
      <c r="M15" s="5"/>
      <c r="N15" s="5"/>
      <c r="O15" s="5"/>
      <c r="P15" s="7"/>
      <c r="Q15" s="7"/>
      <c r="R15" s="7"/>
      <c r="S15" s="7"/>
      <c r="T15" s="7"/>
    </row>
    <row r="16" spans="1:20" x14ac:dyDescent="0.35">
      <c r="A16" s="2">
        <v>46088</v>
      </c>
      <c r="B16" s="3">
        <v>2026</v>
      </c>
      <c r="C16" s="3" t="s">
        <v>60</v>
      </c>
      <c r="D16" s="3" t="s">
        <v>47</v>
      </c>
      <c r="E16" s="3" t="s">
        <v>58</v>
      </c>
      <c r="F16" s="3"/>
      <c r="G16" s="6">
        <v>68.254999999999995</v>
      </c>
      <c r="H16" s="6">
        <v>61.689000000000007</v>
      </c>
      <c r="I16" s="6">
        <v>66.185000000000002</v>
      </c>
      <c r="J16" s="6">
        <v>66.677999999999997</v>
      </c>
      <c r="K16" s="6">
        <v>262.8</v>
      </c>
      <c r="L16">
        <f t="shared" si="0"/>
        <v>54.794520547945204</v>
      </c>
      <c r="M16" s="5"/>
      <c r="N16" s="5"/>
      <c r="O16" s="5"/>
      <c r="P16" s="7"/>
      <c r="Q16" s="7"/>
      <c r="R16" s="7"/>
      <c r="S16" s="7"/>
      <c r="T16" s="7"/>
    </row>
    <row r="17" spans="1:20" x14ac:dyDescent="0.35">
      <c r="A17" s="2">
        <v>45713</v>
      </c>
      <c r="B17" s="3">
        <v>2025</v>
      </c>
      <c r="C17" s="3" t="s">
        <v>62</v>
      </c>
      <c r="D17" s="3" t="s">
        <v>48</v>
      </c>
      <c r="E17" s="3" t="s">
        <v>58</v>
      </c>
      <c r="F17" s="3"/>
      <c r="G17" s="6">
        <v>69.350999999999999</v>
      </c>
      <c r="H17" s="6">
        <v>64.965999999999994</v>
      </c>
      <c r="I17" s="6">
        <v>66.509</v>
      </c>
      <c r="J17" s="6"/>
      <c r="K17" s="6">
        <v>200.82599999999999</v>
      </c>
      <c r="L17">
        <f>IF(ISBLANK(J17),3.6*3000/K17,3.6*4000/K17)</f>
        <v>53.777897284216188</v>
      </c>
      <c r="M17" s="5"/>
      <c r="N17" s="5"/>
      <c r="O17" s="5"/>
      <c r="P17" s="7"/>
      <c r="Q17" s="7"/>
      <c r="R17" s="7"/>
      <c r="S17" s="7"/>
      <c r="T17" s="7"/>
    </row>
    <row r="18" spans="1:20" x14ac:dyDescent="0.35">
      <c r="A18" s="2">
        <v>45714</v>
      </c>
      <c r="B18" s="3">
        <v>2025</v>
      </c>
      <c r="C18" s="3" t="s">
        <v>63</v>
      </c>
      <c r="D18" s="3" t="s">
        <v>48</v>
      </c>
      <c r="E18" s="3" t="s">
        <v>58</v>
      </c>
      <c r="F18" s="3"/>
      <c r="G18" s="6">
        <v>70.516999999999996</v>
      </c>
      <c r="H18" s="6">
        <v>64.507999999999996</v>
      </c>
      <c r="I18" s="6">
        <v>64.218000000000004</v>
      </c>
      <c r="J18" s="6"/>
      <c r="K18" s="6">
        <v>199.244</v>
      </c>
      <c r="L18">
        <f t="shared" ref="L18:L51" si="1">IF(ISBLANK(J18),3.6*3000/K18,3.6*4000/K18)</f>
        <v>54.204894501214589</v>
      </c>
      <c r="M18" s="5"/>
      <c r="N18" s="5"/>
      <c r="O18" s="5"/>
      <c r="P18" s="7"/>
      <c r="Q18" s="7"/>
      <c r="R18" s="7"/>
      <c r="S18" s="7"/>
      <c r="T18" s="7"/>
    </row>
    <row r="19" spans="1:20" x14ac:dyDescent="0.35">
      <c r="A19" s="2">
        <v>45855</v>
      </c>
      <c r="B19" s="3">
        <v>2025</v>
      </c>
      <c r="C19" s="3" t="s">
        <v>64</v>
      </c>
      <c r="D19" s="3" t="s">
        <v>48</v>
      </c>
      <c r="E19" s="3" t="s">
        <v>65</v>
      </c>
      <c r="F19" s="3"/>
      <c r="G19" s="6">
        <v>69.42</v>
      </c>
      <c r="H19" s="6">
        <v>64.789000000000001</v>
      </c>
      <c r="I19" s="6">
        <v>66.397999999999996</v>
      </c>
      <c r="J19" s="6"/>
      <c r="K19" s="6">
        <v>200.607</v>
      </c>
      <c r="L19">
        <f t="shared" si="1"/>
        <v>53.836605901090195</v>
      </c>
      <c r="M19" s="5"/>
      <c r="N19" s="5"/>
      <c r="O19" s="5"/>
      <c r="P19" s="7"/>
      <c r="Q19" s="7"/>
      <c r="R19" s="7"/>
      <c r="S19" s="7"/>
      <c r="T19" s="7"/>
    </row>
    <row r="20" spans="1:20" x14ac:dyDescent="0.35">
      <c r="A20" s="2">
        <v>46064</v>
      </c>
      <c r="B20" s="3">
        <v>2026</v>
      </c>
      <c r="C20" s="3" t="s">
        <v>28</v>
      </c>
      <c r="D20" s="3" t="s">
        <v>48</v>
      </c>
      <c r="E20" s="3" t="s">
        <v>10</v>
      </c>
      <c r="F20" s="3"/>
      <c r="G20" s="6">
        <v>70.366</v>
      </c>
      <c r="H20" s="6">
        <v>65.12</v>
      </c>
      <c r="I20" s="6">
        <v>65.198000000000008</v>
      </c>
      <c r="J20" s="6">
        <v>65.212999999999994</v>
      </c>
      <c r="K20" s="6">
        <v>265.89699999999999</v>
      </c>
      <c r="L20">
        <f t="shared" si="1"/>
        <v>54.156308645829029</v>
      </c>
      <c r="M20" s="5"/>
      <c r="N20" s="5"/>
      <c r="O20" s="5"/>
      <c r="P20" s="7"/>
      <c r="Q20" s="7"/>
      <c r="R20" s="7"/>
      <c r="S20" s="7"/>
      <c r="T20" s="7"/>
    </row>
    <row r="21" spans="1:20" x14ac:dyDescent="0.35">
      <c r="A21" s="2">
        <v>46088</v>
      </c>
      <c r="B21" s="3">
        <v>2026</v>
      </c>
      <c r="C21" s="3" t="s">
        <v>60</v>
      </c>
      <c r="D21" s="3" t="s">
        <v>48</v>
      </c>
      <c r="E21" s="3" t="s">
        <v>58</v>
      </c>
      <c r="F21" s="3"/>
      <c r="G21" s="6">
        <v>68.784000000000006</v>
      </c>
      <c r="H21" s="6">
        <v>64.084000000000003</v>
      </c>
      <c r="I21" s="6">
        <v>64.186999999999998</v>
      </c>
      <c r="J21" s="6">
        <v>65.533000000000001</v>
      </c>
      <c r="K21" s="6">
        <v>262.60000000000002</v>
      </c>
      <c r="L21">
        <f t="shared" si="1"/>
        <v>54.836252856054834</v>
      </c>
      <c r="M21" s="5"/>
      <c r="N21" s="5"/>
      <c r="O21" s="5"/>
      <c r="P21" s="7"/>
      <c r="Q21" s="7"/>
      <c r="R21" s="7"/>
      <c r="S21" s="7"/>
      <c r="T21" s="7"/>
    </row>
    <row r="22" spans="1:20" x14ac:dyDescent="0.35">
      <c r="A22" s="2">
        <v>46088</v>
      </c>
      <c r="B22" s="3">
        <v>2026</v>
      </c>
      <c r="C22" s="3" t="s">
        <v>66</v>
      </c>
      <c r="D22" s="3" t="s">
        <v>48</v>
      </c>
      <c r="E22" s="3" t="s">
        <v>58</v>
      </c>
      <c r="F22" s="3"/>
      <c r="G22" s="6">
        <v>69.626000000000005</v>
      </c>
      <c r="H22" s="6">
        <v>64.656999999999996</v>
      </c>
      <c r="I22" s="6">
        <v>66.605999999999995</v>
      </c>
      <c r="J22" s="6">
        <v>68.426999999999992</v>
      </c>
      <c r="K22" s="6">
        <v>269.31900000000002</v>
      </c>
      <c r="L22">
        <f t="shared" si="1"/>
        <v>53.468191995366084</v>
      </c>
      <c r="M22" s="5"/>
      <c r="N22" s="5"/>
      <c r="O22" s="5"/>
      <c r="P22" s="7"/>
      <c r="Q22" s="7"/>
      <c r="R22" s="7"/>
      <c r="S22" s="7"/>
      <c r="T22" s="7"/>
    </row>
    <row r="23" spans="1:20" x14ac:dyDescent="0.35">
      <c r="A23" s="2">
        <v>45636</v>
      </c>
      <c r="B23" s="3">
        <v>2024</v>
      </c>
      <c r="C23" s="3" t="s">
        <v>9</v>
      </c>
      <c r="D23" s="3" t="s">
        <v>69</v>
      </c>
      <c r="E23" s="3" t="s">
        <v>10</v>
      </c>
      <c r="F23" s="3" t="s">
        <v>67</v>
      </c>
      <c r="G23" s="6"/>
      <c r="H23" s="6"/>
      <c r="I23" s="6"/>
      <c r="J23" s="6">
        <v>270.10000000000002</v>
      </c>
      <c r="K23" s="6">
        <v>270.10000000000002</v>
      </c>
      <c r="L23">
        <f t="shared" si="1"/>
        <v>53.313587560162901</v>
      </c>
      <c r="M23" s="5"/>
      <c r="N23" s="5"/>
      <c r="O23" s="5"/>
      <c r="P23" s="7"/>
      <c r="Q23" s="7"/>
      <c r="R23" s="7"/>
      <c r="S23" s="7"/>
      <c r="T23" s="7"/>
    </row>
    <row r="24" spans="1:20" x14ac:dyDescent="0.35">
      <c r="A24" s="2">
        <v>45713</v>
      </c>
      <c r="B24" s="3">
        <v>2025</v>
      </c>
      <c r="C24" s="3" t="s">
        <v>26</v>
      </c>
      <c r="D24" s="3" t="s">
        <v>69</v>
      </c>
      <c r="E24" s="3" t="s">
        <v>58</v>
      </c>
      <c r="F24" s="3"/>
      <c r="G24" s="6">
        <v>69.677999999999997</v>
      </c>
      <c r="H24" s="6">
        <v>64.501999999999995</v>
      </c>
      <c r="I24" s="6">
        <v>58.613</v>
      </c>
      <c r="J24" s="6">
        <v>75.350999999999999</v>
      </c>
      <c r="K24" s="6">
        <v>268.10000000000002</v>
      </c>
      <c r="L24">
        <f t="shared" si="1"/>
        <v>53.711301753077208</v>
      </c>
      <c r="M24" s="5"/>
      <c r="N24" s="5"/>
      <c r="O24" s="5"/>
      <c r="P24" s="7"/>
      <c r="Q24" s="7"/>
      <c r="R24" s="7"/>
      <c r="S24" s="7"/>
      <c r="T24" s="7"/>
    </row>
    <row r="25" spans="1:20" x14ac:dyDescent="0.35">
      <c r="A25" s="2">
        <v>46046</v>
      </c>
      <c r="B25" s="3">
        <v>2026</v>
      </c>
      <c r="C25" s="3" t="s">
        <v>68</v>
      </c>
      <c r="D25" s="3" t="s">
        <v>69</v>
      </c>
      <c r="E25" s="3" t="s">
        <v>10</v>
      </c>
      <c r="F25" s="3" t="s">
        <v>19</v>
      </c>
      <c r="G25" s="6">
        <v>69.144000000000005</v>
      </c>
      <c r="H25" s="6">
        <v>62.784999999999997</v>
      </c>
      <c r="I25" s="6">
        <v>64.337000000000003</v>
      </c>
      <c r="J25" s="6">
        <v>66.498999999999995</v>
      </c>
      <c r="K25" s="6">
        <v>262.76499999999999</v>
      </c>
      <c r="L25">
        <f t="shared" si="1"/>
        <v>54.801819115940098</v>
      </c>
      <c r="M25" s="5"/>
      <c r="N25" s="5"/>
      <c r="O25" s="5"/>
      <c r="P25" s="7"/>
      <c r="Q25" s="7"/>
      <c r="R25" s="7"/>
      <c r="S25" s="7"/>
      <c r="T25" s="7"/>
    </row>
    <row r="26" spans="1:20" x14ac:dyDescent="0.35">
      <c r="A26" s="2">
        <v>46064</v>
      </c>
      <c r="B26" s="3">
        <v>2026</v>
      </c>
      <c r="C26" s="3" t="s">
        <v>28</v>
      </c>
      <c r="D26" s="3" t="s">
        <v>69</v>
      </c>
      <c r="E26" s="3" t="s">
        <v>10</v>
      </c>
      <c r="F26" s="3" t="s">
        <v>19</v>
      </c>
      <c r="G26" s="6">
        <v>70.183999999999997</v>
      </c>
      <c r="H26" s="6">
        <v>63.320999999999998</v>
      </c>
      <c r="I26" s="6">
        <v>63.308999999999997</v>
      </c>
      <c r="J26" s="6">
        <v>63.922999999999995</v>
      </c>
      <c r="K26" s="6">
        <v>260.7</v>
      </c>
      <c r="L26">
        <f t="shared" si="1"/>
        <v>55.235903337169162</v>
      </c>
      <c r="M26" s="5"/>
      <c r="N26" s="5"/>
      <c r="O26" s="5"/>
      <c r="P26" s="7"/>
      <c r="Q26" s="7"/>
      <c r="R26" s="7"/>
      <c r="S26" s="7"/>
      <c r="T26" s="7"/>
    </row>
    <row r="27" spans="1:20" x14ac:dyDescent="0.35">
      <c r="A27" s="2">
        <v>46088</v>
      </c>
      <c r="B27" s="3">
        <v>2026</v>
      </c>
      <c r="C27" s="3" t="s">
        <v>60</v>
      </c>
      <c r="D27" s="3" t="s">
        <v>69</v>
      </c>
      <c r="E27" s="3" t="s">
        <v>58</v>
      </c>
      <c r="F27" s="3"/>
      <c r="G27" s="6">
        <v>70.263999999999996</v>
      </c>
      <c r="H27" s="6">
        <v>63.47</v>
      </c>
      <c r="I27" s="6">
        <v>63.33</v>
      </c>
      <c r="J27" s="6">
        <v>64.501000000000005</v>
      </c>
      <c r="K27" s="6">
        <v>261.56</v>
      </c>
      <c r="L27">
        <f t="shared" si="1"/>
        <v>55.054289646734972</v>
      </c>
      <c r="M27" s="5"/>
      <c r="N27" s="5"/>
      <c r="O27" s="5"/>
      <c r="P27" s="7"/>
      <c r="Q27" s="7"/>
      <c r="R27" s="7"/>
      <c r="S27" s="7"/>
      <c r="T27" s="7"/>
    </row>
    <row r="28" spans="1:20" x14ac:dyDescent="0.35">
      <c r="A28" s="2">
        <v>46088</v>
      </c>
      <c r="B28" s="3">
        <v>2026</v>
      </c>
      <c r="C28" s="3" t="s">
        <v>66</v>
      </c>
      <c r="D28" s="3" t="s">
        <v>69</v>
      </c>
      <c r="E28" s="3" t="s">
        <v>58</v>
      </c>
      <c r="F28" s="3"/>
      <c r="G28" s="6">
        <v>69.866</v>
      </c>
      <c r="H28" s="6">
        <v>63.49</v>
      </c>
      <c r="I28" s="6">
        <v>63.546999999999997</v>
      </c>
      <c r="J28" s="6">
        <v>63.828000000000003</v>
      </c>
      <c r="K28" s="6">
        <v>260.733</v>
      </c>
      <c r="L28">
        <f t="shared" si="1"/>
        <v>55.228912335607689</v>
      </c>
      <c r="M28" s="5"/>
      <c r="N28" s="5"/>
      <c r="O28" s="5"/>
      <c r="P28" s="7"/>
      <c r="Q28" s="7"/>
      <c r="R28" s="7"/>
      <c r="S28" s="7"/>
      <c r="T28" s="7"/>
    </row>
    <row r="29" spans="1:20" x14ac:dyDescent="0.35">
      <c r="A29" s="2">
        <v>45636</v>
      </c>
      <c r="B29" s="3">
        <v>2024</v>
      </c>
      <c r="C29" s="3" t="s">
        <v>9</v>
      </c>
      <c r="D29" s="3" t="s">
        <v>51</v>
      </c>
      <c r="E29" s="3" t="s">
        <v>10</v>
      </c>
      <c r="F29" s="3" t="s">
        <v>67</v>
      </c>
      <c r="G29" s="6">
        <v>71.5</v>
      </c>
      <c r="H29" s="6">
        <v>65.599999999999994</v>
      </c>
      <c r="I29" s="6">
        <v>64.900000000000006</v>
      </c>
      <c r="J29" s="6">
        <v>65.3</v>
      </c>
      <c r="K29" s="6">
        <v>267.3</v>
      </c>
      <c r="L29">
        <f t="shared" si="1"/>
        <v>53.872053872053868</v>
      </c>
      <c r="M29" s="5"/>
      <c r="N29" s="5"/>
      <c r="O29" s="5"/>
      <c r="P29" s="7"/>
      <c r="Q29" s="7"/>
      <c r="R29" s="7"/>
      <c r="S29" s="7"/>
      <c r="T29" s="7"/>
    </row>
    <row r="30" spans="1:20" x14ac:dyDescent="0.35">
      <c r="A30" s="2">
        <v>45713</v>
      </c>
      <c r="B30" s="3">
        <v>2025</v>
      </c>
      <c r="C30" s="3" t="s">
        <v>26</v>
      </c>
      <c r="D30" s="3" t="s">
        <v>51</v>
      </c>
      <c r="E30" s="3" t="s">
        <v>10</v>
      </c>
      <c r="F30" s="3"/>
      <c r="G30" s="6">
        <v>70.003</v>
      </c>
      <c r="H30" s="6">
        <v>63.838000000000001</v>
      </c>
      <c r="I30" s="6">
        <v>63.905000000000001</v>
      </c>
      <c r="J30" s="6">
        <v>64.537000000000006</v>
      </c>
      <c r="K30" s="6">
        <v>262.28300000000002</v>
      </c>
      <c r="L30">
        <f t="shared" si="1"/>
        <v>54.902528947739654</v>
      </c>
      <c r="M30" s="5"/>
      <c r="N30" s="5"/>
      <c r="O30" s="5"/>
      <c r="P30" s="7"/>
      <c r="Q30" s="7"/>
      <c r="R30" s="7"/>
      <c r="S30" s="7"/>
      <c r="T30" s="7"/>
    </row>
    <row r="31" spans="1:20" x14ac:dyDescent="0.35">
      <c r="A31" s="2">
        <v>45713</v>
      </c>
      <c r="B31" s="3">
        <v>2025</v>
      </c>
      <c r="C31" s="3" t="s">
        <v>27</v>
      </c>
      <c r="D31" s="3" t="s">
        <v>51</v>
      </c>
      <c r="E31" s="3" t="s">
        <v>10</v>
      </c>
      <c r="F31" s="3"/>
      <c r="G31" s="6">
        <v>70.492000000000004</v>
      </c>
      <c r="H31" s="6">
        <v>63.64</v>
      </c>
      <c r="I31" s="6">
        <v>64.099999999999994</v>
      </c>
      <c r="J31" s="6">
        <v>63.536000000000001</v>
      </c>
      <c r="K31" s="6">
        <v>261.7</v>
      </c>
      <c r="L31">
        <f t="shared" si="1"/>
        <v>55.024837600305695</v>
      </c>
      <c r="M31" s="5"/>
      <c r="N31" s="5"/>
      <c r="O31" s="5"/>
      <c r="P31" s="7"/>
      <c r="Q31" s="7"/>
      <c r="R31" s="7"/>
      <c r="S31" s="7"/>
      <c r="T31" s="7"/>
    </row>
    <row r="32" spans="1:20" x14ac:dyDescent="0.35">
      <c r="A32" s="2">
        <v>46064</v>
      </c>
      <c r="B32" s="3">
        <v>2026</v>
      </c>
      <c r="C32" s="3" t="s">
        <v>28</v>
      </c>
      <c r="D32" s="3" t="s">
        <v>51</v>
      </c>
      <c r="E32" s="3" t="s">
        <v>10</v>
      </c>
      <c r="F32" s="3" t="s">
        <v>19</v>
      </c>
      <c r="G32" s="6">
        <v>70.159000000000006</v>
      </c>
      <c r="H32" s="6">
        <v>62.850999999999999</v>
      </c>
      <c r="I32" s="6">
        <v>62.527000000000008</v>
      </c>
      <c r="J32" s="6">
        <v>63.311999999999998</v>
      </c>
      <c r="K32" s="6">
        <v>258.84899999999999</v>
      </c>
      <c r="L32">
        <f t="shared" si="1"/>
        <v>55.630889051145651</v>
      </c>
      <c r="M32" s="5"/>
      <c r="N32" s="5"/>
      <c r="O32" s="5"/>
      <c r="P32" s="7"/>
      <c r="Q32" s="7"/>
      <c r="R32" s="7"/>
      <c r="S32" s="7"/>
      <c r="T32" s="7"/>
    </row>
    <row r="33" spans="1:20" x14ac:dyDescent="0.35">
      <c r="A33" s="2">
        <v>46088</v>
      </c>
      <c r="B33" s="3">
        <v>2026</v>
      </c>
      <c r="C33" s="3" t="s">
        <v>60</v>
      </c>
      <c r="D33" s="3" t="s">
        <v>51</v>
      </c>
      <c r="E33" s="3" t="s">
        <v>58</v>
      </c>
      <c r="F33" s="3"/>
      <c r="G33" s="6">
        <v>69.710999999999999</v>
      </c>
      <c r="H33" s="6">
        <v>62.552</v>
      </c>
      <c r="I33" s="6">
        <v>62.156999999999996</v>
      </c>
      <c r="J33" s="6">
        <v>63.487000000000002</v>
      </c>
      <c r="K33" s="6">
        <v>257.89999999999998</v>
      </c>
      <c r="L33">
        <f t="shared" si="1"/>
        <v>55.835595191934864</v>
      </c>
      <c r="M33" s="5"/>
      <c r="N33" s="5"/>
      <c r="O33" s="5"/>
      <c r="P33" s="7"/>
      <c r="Q33" s="7"/>
      <c r="R33" s="7"/>
      <c r="S33" s="7"/>
      <c r="T33" s="7"/>
    </row>
    <row r="34" spans="1:20" x14ac:dyDescent="0.35">
      <c r="A34" s="2">
        <v>46088</v>
      </c>
      <c r="B34" s="3">
        <v>2026</v>
      </c>
      <c r="C34" s="3" t="s">
        <v>61</v>
      </c>
      <c r="D34" s="3" t="s">
        <v>51</v>
      </c>
      <c r="E34" s="3" t="s">
        <v>58</v>
      </c>
      <c r="F34" s="3"/>
      <c r="G34" s="6">
        <v>69.817999999999998</v>
      </c>
      <c r="H34" s="6">
        <v>62.938000000000002</v>
      </c>
      <c r="I34" s="6">
        <v>63.721000000000004</v>
      </c>
      <c r="J34" s="6">
        <v>66.700999999999993</v>
      </c>
      <c r="K34" s="6">
        <v>263.17899999999997</v>
      </c>
      <c r="L34">
        <f t="shared" si="1"/>
        <v>54.715611807933008</v>
      </c>
      <c r="M34" s="5"/>
      <c r="N34" s="5"/>
      <c r="O34" s="5"/>
      <c r="P34" s="7"/>
      <c r="Q34" s="7"/>
      <c r="R34" s="7"/>
      <c r="S34" s="7"/>
      <c r="T34" s="7"/>
    </row>
    <row r="35" spans="1:20" x14ac:dyDescent="0.35">
      <c r="A35" s="2">
        <v>45997</v>
      </c>
      <c r="B35" s="3">
        <v>2025</v>
      </c>
      <c r="C35" s="3" t="s">
        <v>70</v>
      </c>
      <c r="D35" s="3" t="s">
        <v>52</v>
      </c>
      <c r="E35" s="3" t="s">
        <v>58</v>
      </c>
      <c r="F35" s="3"/>
      <c r="G35" s="6">
        <v>70.025999999999996</v>
      </c>
      <c r="H35" s="6">
        <v>64.233999999999995</v>
      </c>
      <c r="I35" s="6">
        <v>66.256</v>
      </c>
      <c r="J35" s="6"/>
      <c r="K35" s="6">
        <v>200.5</v>
      </c>
      <c r="L35">
        <f t="shared" si="1"/>
        <v>53.865336658354117</v>
      </c>
      <c r="M35" s="5"/>
      <c r="N35" s="5"/>
      <c r="O35" s="5"/>
      <c r="P35" s="7"/>
      <c r="Q35" s="7"/>
      <c r="R35" s="7"/>
      <c r="S35" s="7"/>
      <c r="T35" s="7"/>
    </row>
    <row r="36" spans="1:20" x14ac:dyDescent="0.35">
      <c r="A36" s="2">
        <v>46064</v>
      </c>
      <c r="B36" s="3">
        <v>2026</v>
      </c>
      <c r="C36" s="3" t="s">
        <v>71</v>
      </c>
      <c r="D36" s="3" t="s">
        <v>52</v>
      </c>
      <c r="E36" s="3" t="s">
        <v>10</v>
      </c>
      <c r="F36" s="3"/>
      <c r="G36" s="6">
        <v>70.046999999999997</v>
      </c>
      <c r="H36" s="6">
        <v>64.397999999999996</v>
      </c>
      <c r="I36" s="6">
        <v>65.412999999999997</v>
      </c>
      <c r="J36" s="6"/>
      <c r="K36" s="6">
        <v>199.80000000000004</v>
      </c>
      <c r="L36">
        <f t="shared" si="1"/>
        <v>54.054054054054042</v>
      </c>
      <c r="M36" s="5"/>
      <c r="N36" s="5"/>
      <c r="O36" s="5"/>
      <c r="P36" s="7"/>
      <c r="Q36" s="7"/>
      <c r="R36" s="7"/>
      <c r="S36" s="7"/>
      <c r="T36" s="7"/>
    </row>
    <row r="37" spans="1:20" x14ac:dyDescent="0.35">
      <c r="A37" s="2">
        <v>46088</v>
      </c>
      <c r="B37" s="3">
        <v>2026</v>
      </c>
      <c r="C37" s="3" t="s">
        <v>72</v>
      </c>
      <c r="D37" s="3" t="s">
        <v>52</v>
      </c>
      <c r="E37" s="3" t="s">
        <v>58</v>
      </c>
      <c r="F37" s="3"/>
      <c r="G37" s="6">
        <v>70.194999999999993</v>
      </c>
      <c r="H37" s="6">
        <v>63.695999999999998</v>
      </c>
      <c r="I37" s="6">
        <v>64.192000000000007</v>
      </c>
      <c r="J37" s="6"/>
      <c r="K37" s="6">
        <v>198.1</v>
      </c>
      <c r="L37">
        <f t="shared" si="1"/>
        <v>54.517920242301869</v>
      </c>
      <c r="M37" s="5"/>
      <c r="N37" s="5"/>
      <c r="O37" s="5"/>
      <c r="P37" s="7"/>
      <c r="Q37" s="7"/>
      <c r="R37" s="7"/>
      <c r="S37" s="7"/>
      <c r="T37" s="7"/>
    </row>
    <row r="38" spans="1:20" x14ac:dyDescent="0.35">
      <c r="A38" s="2">
        <v>46046</v>
      </c>
      <c r="B38" s="3">
        <v>2026</v>
      </c>
      <c r="C38" s="3" t="s">
        <v>73</v>
      </c>
      <c r="D38" s="3" t="s">
        <v>53</v>
      </c>
      <c r="E38" s="3" t="s">
        <v>10</v>
      </c>
      <c r="F38" s="3"/>
      <c r="G38" s="6">
        <v>70.305999999999997</v>
      </c>
      <c r="H38" s="6">
        <v>63.987000000000002</v>
      </c>
      <c r="I38" s="6">
        <v>63.706000000000003</v>
      </c>
      <c r="J38" s="6"/>
      <c r="K38" s="6">
        <v>198</v>
      </c>
      <c r="L38">
        <f t="shared" si="1"/>
        <v>54.545454545454547</v>
      </c>
      <c r="M38" s="5"/>
      <c r="N38" s="5"/>
      <c r="O38" s="5"/>
      <c r="P38" s="7"/>
      <c r="Q38" s="7"/>
      <c r="R38" s="7"/>
      <c r="S38" s="7"/>
      <c r="T38" s="7"/>
    </row>
    <row r="39" spans="1:20" x14ac:dyDescent="0.35">
      <c r="A39" s="2">
        <v>46064</v>
      </c>
      <c r="B39" s="3">
        <v>2026</v>
      </c>
      <c r="C39" s="3" t="s">
        <v>71</v>
      </c>
      <c r="D39" s="3" t="s">
        <v>53</v>
      </c>
      <c r="E39" s="3" t="s">
        <v>10</v>
      </c>
      <c r="F39" s="3"/>
      <c r="G39" s="6">
        <v>71.278000000000006</v>
      </c>
      <c r="H39" s="6">
        <v>63.784999999999997</v>
      </c>
      <c r="I39" s="6">
        <v>62.445</v>
      </c>
      <c r="J39" s="6"/>
      <c r="K39" s="6">
        <v>197.49999999999997</v>
      </c>
      <c r="L39">
        <f t="shared" si="1"/>
        <v>54.683544303797476</v>
      </c>
      <c r="M39" s="5"/>
      <c r="N39" s="5"/>
      <c r="O39" s="5"/>
      <c r="P39" s="7"/>
      <c r="Q39" s="7"/>
      <c r="R39" s="7"/>
      <c r="S39" s="7"/>
      <c r="T39" s="7"/>
    </row>
    <row r="40" spans="1:20" x14ac:dyDescent="0.35">
      <c r="A40" s="2">
        <v>46088</v>
      </c>
      <c r="B40" s="3">
        <v>2026</v>
      </c>
      <c r="C40" s="3" t="s">
        <v>72</v>
      </c>
      <c r="D40" s="3" t="s">
        <v>53</v>
      </c>
      <c r="E40" s="3" t="s">
        <v>58</v>
      </c>
      <c r="F40" s="3"/>
      <c r="G40" s="6">
        <v>70.682999999999993</v>
      </c>
      <c r="H40" s="6">
        <v>63.077999999999996</v>
      </c>
      <c r="I40" s="6">
        <v>63.024000000000001</v>
      </c>
      <c r="J40" s="6"/>
      <c r="K40" s="6">
        <v>196.8</v>
      </c>
      <c r="L40">
        <f t="shared" si="1"/>
        <v>54.878048780487802</v>
      </c>
      <c r="M40" s="5"/>
      <c r="N40" s="5"/>
      <c r="O40" s="5"/>
      <c r="P40" s="7"/>
      <c r="Q40" s="7"/>
      <c r="R40" s="7"/>
      <c r="S40" s="7"/>
      <c r="T40" s="7"/>
    </row>
    <row r="41" spans="1:20" x14ac:dyDescent="0.35">
      <c r="A41" s="2">
        <v>46088</v>
      </c>
      <c r="B41" s="3">
        <v>2026</v>
      </c>
      <c r="C41" s="3" t="s">
        <v>74</v>
      </c>
      <c r="D41" s="3" t="s">
        <v>53</v>
      </c>
      <c r="E41" s="3" t="s">
        <v>58</v>
      </c>
      <c r="F41" s="3"/>
      <c r="G41" s="6">
        <v>71.707999999999998</v>
      </c>
      <c r="H41" s="6">
        <v>63.480999999999995</v>
      </c>
      <c r="I41" s="6">
        <v>63.299000000000007</v>
      </c>
      <c r="J41" s="6"/>
      <c r="K41" s="6">
        <v>198.50000000000003</v>
      </c>
      <c r="L41">
        <f t="shared" si="1"/>
        <v>54.408060453400495</v>
      </c>
      <c r="M41" s="5"/>
      <c r="N41" s="5"/>
      <c r="O41" s="5"/>
      <c r="P41" s="7"/>
      <c r="Q41" s="7"/>
      <c r="R41" s="7"/>
      <c r="S41" s="7"/>
      <c r="T41" s="7"/>
    </row>
    <row r="42" spans="1:20" x14ac:dyDescent="0.35">
      <c r="A42" s="2">
        <v>46046</v>
      </c>
      <c r="B42" s="3">
        <v>2026</v>
      </c>
      <c r="C42" s="3" t="s">
        <v>73</v>
      </c>
      <c r="D42" s="3" t="s">
        <v>55</v>
      </c>
      <c r="E42" s="3" t="s">
        <v>10</v>
      </c>
      <c r="F42" s="3"/>
      <c r="G42" s="6">
        <v>69.707999999999998</v>
      </c>
      <c r="H42" s="6">
        <v>63.465000000000003</v>
      </c>
      <c r="I42" s="6">
        <v>64.436000000000007</v>
      </c>
      <c r="J42" s="6"/>
      <c r="K42" s="6">
        <v>197.60900000000004</v>
      </c>
      <c r="L42">
        <f t="shared" si="1"/>
        <v>54.653381171910176</v>
      </c>
      <c r="M42" s="5"/>
      <c r="N42" s="5"/>
      <c r="O42" s="5"/>
      <c r="P42" s="7"/>
      <c r="Q42" s="7"/>
      <c r="R42" s="7"/>
      <c r="S42" s="7"/>
      <c r="T42" s="7"/>
    </row>
    <row r="43" spans="1:20" x14ac:dyDescent="0.35">
      <c r="A43" s="2">
        <v>46064</v>
      </c>
      <c r="B43" s="3">
        <v>2026</v>
      </c>
      <c r="C43" s="3" t="s">
        <v>71</v>
      </c>
      <c r="D43" s="3" t="s">
        <v>55</v>
      </c>
      <c r="E43" s="3" t="s">
        <v>10</v>
      </c>
      <c r="F43" s="3"/>
      <c r="G43" s="6">
        <v>69.769000000000005</v>
      </c>
      <c r="H43" s="6">
        <v>64.216999999999999</v>
      </c>
      <c r="I43" s="6">
        <v>64.388000000000005</v>
      </c>
      <c r="J43" s="6"/>
      <c r="K43" s="6">
        <v>198.37399999999997</v>
      </c>
      <c r="L43">
        <f t="shared" si="1"/>
        <v>54.442618488309968</v>
      </c>
      <c r="M43" s="5"/>
      <c r="N43" s="5"/>
      <c r="O43" s="5"/>
      <c r="P43" s="7"/>
      <c r="Q43" s="7"/>
      <c r="R43" s="7"/>
      <c r="S43" s="7"/>
      <c r="T43" s="7"/>
    </row>
    <row r="44" spans="1:20" x14ac:dyDescent="0.35">
      <c r="A44" s="2">
        <v>46088</v>
      </c>
      <c r="B44" s="3">
        <v>2026</v>
      </c>
      <c r="C44" s="3" t="s">
        <v>72</v>
      </c>
      <c r="D44" s="3" t="s">
        <v>55</v>
      </c>
      <c r="E44" s="3" t="s">
        <v>58</v>
      </c>
      <c r="F44" s="3"/>
      <c r="G44" s="6">
        <v>69.558999999999997</v>
      </c>
      <c r="H44" s="6">
        <v>63.616</v>
      </c>
      <c r="I44" s="6">
        <v>63.253</v>
      </c>
      <c r="J44" s="6"/>
      <c r="K44" s="6">
        <v>196.428</v>
      </c>
      <c r="L44">
        <f t="shared" si="1"/>
        <v>54.981978129390924</v>
      </c>
      <c r="M44" s="5"/>
      <c r="N44" s="5"/>
      <c r="O44" s="5"/>
      <c r="P44" s="7"/>
      <c r="Q44" s="7"/>
      <c r="R44" s="7"/>
      <c r="S44" s="7"/>
      <c r="T44" s="7"/>
    </row>
    <row r="45" spans="1:20" x14ac:dyDescent="0.35">
      <c r="A45" s="2">
        <v>46088</v>
      </c>
      <c r="B45" s="3">
        <v>2026</v>
      </c>
      <c r="C45" s="3" t="s">
        <v>75</v>
      </c>
      <c r="D45" s="3" t="s">
        <v>55</v>
      </c>
      <c r="E45" s="3" t="s">
        <v>58</v>
      </c>
      <c r="F45" s="3"/>
      <c r="G45" s="6">
        <v>69.087999999999994</v>
      </c>
      <c r="H45" s="6">
        <v>62.506</v>
      </c>
      <c r="I45" s="6">
        <v>64.168999999999997</v>
      </c>
      <c r="J45" s="6"/>
      <c r="K45" s="6">
        <v>195.76300000000001</v>
      </c>
      <c r="L45">
        <f t="shared" si="1"/>
        <v>55.168749968073641</v>
      </c>
      <c r="M45" s="5"/>
      <c r="N45" s="5"/>
      <c r="O45" s="5"/>
      <c r="P45" s="7"/>
      <c r="Q45" s="7"/>
      <c r="R45" s="7"/>
      <c r="S45" s="7"/>
      <c r="T45" s="7"/>
    </row>
    <row r="46" spans="1:20" x14ac:dyDescent="0.35">
      <c r="A46" s="2">
        <v>46088</v>
      </c>
      <c r="B46" s="3">
        <v>2026</v>
      </c>
      <c r="C46" s="3" t="s">
        <v>72</v>
      </c>
      <c r="D46" s="3" t="s">
        <v>76</v>
      </c>
      <c r="E46" s="3" t="s">
        <v>58</v>
      </c>
      <c r="F46" s="3"/>
      <c r="G46" s="6"/>
      <c r="H46" s="6"/>
      <c r="I46" s="6"/>
      <c r="J46" s="6"/>
      <c r="K46" s="6">
        <v>212.99999999999997</v>
      </c>
      <c r="L46">
        <f t="shared" si="1"/>
        <v>50.70422535211268</v>
      </c>
      <c r="M46" s="5"/>
      <c r="N46" s="5"/>
      <c r="O46" s="5"/>
      <c r="P46" s="7"/>
      <c r="Q46" s="7"/>
      <c r="R46" s="7"/>
      <c r="S46" s="7"/>
      <c r="T46" s="7"/>
    </row>
    <row r="47" spans="1:20" x14ac:dyDescent="0.35">
      <c r="A47" s="2">
        <v>46088</v>
      </c>
      <c r="B47" s="3">
        <v>2026</v>
      </c>
      <c r="C47" s="3" t="s">
        <v>75</v>
      </c>
      <c r="D47" s="3" t="s">
        <v>76</v>
      </c>
      <c r="E47" s="3" t="s">
        <v>58</v>
      </c>
      <c r="F47" s="3"/>
      <c r="G47" s="6"/>
      <c r="H47" s="6"/>
      <c r="I47" s="6"/>
      <c r="J47" s="6"/>
      <c r="K47" s="6">
        <v>220.74999999999997</v>
      </c>
      <c r="L47">
        <f t="shared" si="1"/>
        <v>48.924122310305783</v>
      </c>
      <c r="M47" s="5"/>
      <c r="N47" s="5"/>
      <c r="O47" s="5"/>
      <c r="P47" s="7"/>
      <c r="Q47" s="7"/>
      <c r="R47" s="7"/>
      <c r="S47" s="7"/>
      <c r="T47" s="7"/>
    </row>
    <row r="48" spans="1:20" x14ac:dyDescent="0.35">
      <c r="A48" s="2">
        <v>46046</v>
      </c>
      <c r="B48" s="3">
        <v>2026</v>
      </c>
      <c r="C48" s="3" t="s">
        <v>73</v>
      </c>
      <c r="D48" s="3" t="s">
        <v>56</v>
      </c>
      <c r="E48" s="3" t="s">
        <v>10</v>
      </c>
      <c r="F48" s="3"/>
      <c r="G48" s="6">
        <v>69.557000000000002</v>
      </c>
      <c r="H48" s="6">
        <v>63.561999999999991</v>
      </c>
      <c r="I48" s="6">
        <v>63.942999999999998</v>
      </c>
      <c r="J48" s="6"/>
      <c r="K48" s="6">
        <v>197.06200000000001</v>
      </c>
      <c r="L48">
        <f t="shared" si="1"/>
        <v>54.805086723975194</v>
      </c>
      <c r="M48" s="5"/>
      <c r="N48" s="5"/>
      <c r="O48" s="5"/>
      <c r="P48" s="7"/>
      <c r="Q48" s="7"/>
      <c r="R48" s="7"/>
      <c r="S48" s="7"/>
      <c r="T48" s="7"/>
    </row>
    <row r="49" spans="1:20" x14ac:dyDescent="0.35">
      <c r="A49" s="2">
        <v>46064</v>
      </c>
      <c r="B49" s="3">
        <v>2026</v>
      </c>
      <c r="C49" s="3" t="s">
        <v>71</v>
      </c>
      <c r="D49" s="3" t="s">
        <v>56</v>
      </c>
      <c r="E49" s="3" t="s">
        <v>10</v>
      </c>
      <c r="F49" s="3"/>
      <c r="G49" s="6">
        <v>68.352000000000004</v>
      </c>
      <c r="H49" s="6">
        <v>64.546999999999997</v>
      </c>
      <c r="I49" s="6">
        <v>68.659000000000006</v>
      </c>
      <c r="J49" s="6"/>
      <c r="K49" s="6">
        <v>201.55799999999999</v>
      </c>
      <c r="L49">
        <f t="shared" si="1"/>
        <v>53.582591611347603</v>
      </c>
      <c r="M49" s="5"/>
      <c r="N49" s="5"/>
      <c r="O49" s="5"/>
      <c r="P49" s="7"/>
      <c r="Q49" s="7"/>
      <c r="R49" s="7"/>
      <c r="S49" s="7"/>
      <c r="T49" s="7"/>
    </row>
    <row r="50" spans="1:20" x14ac:dyDescent="0.35">
      <c r="A50" s="2">
        <v>46088</v>
      </c>
      <c r="B50" s="3">
        <v>2026</v>
      </c>
      <c r="C50" s="3" t="s">
        <v>72</v>
      </c>
      <c r="D50" s="3" t="s">
        <v>56</v>
      </c>
      <c r="E50" s="3" t="s">
        <v>58</v>
      </c>
      <c r="F50" s="3"/>
      <c r="G50" s="6">
        <v>68.501000000000005</v>
      </c>
      <c r="H50" s="6">
        <v>64.093999999999994</v>
      </c>
      <c r="I50" s="6">
        <v>64.95</v>
      </c>
      <c r="J50" s="6"/>
      <c r="K50" s="6">
        <v>197.54500000000002</v>
      </c>
      <c r="L50">
        <f t="shared" si="1"/>
        <v>54.671087600293596</v>
      </c>
      <c r="M50" s="5"/>
      <c r="N50" s="5"/>
      <c r="O50" s="5"/>
      <c r="P50" s="7"/>
      <c r="Q50" s="7"/>
      <c r="R50" s="7"/>
      <c r="S50" s="7"/>
      <c r="T50" s="7"/>
    </row>
    <row r="51" spans="1:20" x14ac:dyDescent="0.35">
      <c r="A51" s="2">
        <v>46088</v>
      </c>
      <c r="B51" s="3">
        <v>2026</v>
      </c>
      <c r="C51" s="3" t="s">
        <v>77</v>
      </c>
      <c r="D51" s="3" t="s">
        <v>56</v>
      </c>
      <c r="E51" s="3" t="s">
        <v>58</v>
      </c>
      <c r="F51" s="3"/>
      <c r="G51" s="6">
        <v>68.935000000000002</v>
      </c>
      <c r="H51" s="6">
        <v>64.025000000000006</v>
      </c>
      <c r="I51" s="6">
        <v>65.823000000000008</v>
      </c>
      <c r="J51" s="6"/>
      <c r="K51" s="6">
        <v>198.78299999999999</v>
      </c>
      <c r="L51">
        <f t="shared" si="1"/>
        <v>54.330601711413955</v>
      </c>
      <c r="M51" s="5"/>
      <c r="N51" s="5"/>
      <c r="O51" s="5"/>
      <c r="P51" s="7"/>
      <c r="Q51" s="7"/>
      <c r="R51" s="7"/>
      <c r="S51" s="7"/>
      <c r="T5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30FD-673E-4EE5-87B3-680C7E4FA1D8}">
  <dimension ref="A1"/>
  <sheetViews>
    <sheetView workbookViewId="0">
      <selection activeCell="K16" sqref="K16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Benchmarking</vt:lpstr>
      <vt:lpstr>B750</vt:lpstr>
      <vt:lpstr>F1000</vt:lpstr>
      <vt:lpstr>IP</vt:lpstr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2026-04-01T20:40:25Z</dcterms:created>
  <dcterms:modified xsi:type="dcterms:W3CDTF">2026-04-07T00:11:49Z</dcterms:modified>
</cp:coreProperties>
</file>