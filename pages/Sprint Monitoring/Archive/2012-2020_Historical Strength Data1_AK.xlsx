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2"/>
  <workbookPr hidePivotFieldList="1" defaultThemeVersion="166925"/>
  <mc:AlternateContent xmlns:mc="http://schemas.openxmlformats.org/markup-compatibility/2006">
    <mc:Choice Requires="x15">
      <x15ac:absPath xmlns:x15ac="http://schemas.microsoft.com/office/spreadsheetml/2010/11/ac" url="https://sportnzgroup-my.sharepoint.com/personal/jamie_douglas_hpsnz_org_nz/Documents/Desktop/Cycling NZ 2018-2021/3. Profiling and Monitoring/3. Strength Testing/"/>
    </mc:Choice>
  </mc:AlternateContent>
  <xr:revisionPtr revIDLastSave="2" documentId="8_{C45BFA00-ECB0-47EA-AD52-2C35C095FA0A}" xr6:coauthVersionLast="47" xr6:coauthVersionMax="47" xr10:uidLastSave="{B00FC411-409B-4755-9BCC-1D5D01A90D1C}"/>
  <bookViews>
    <workbookView xWindow="-26192" yWindow="-109" windowWidth="26301" windowHeight="14305" firstSheet="2" activeTab="2" xr2:uid="{EAFA1FD8-299C-48C6-A1C0-9C5BC9BD9820}"/>
  </bookViews>
  <sheets>
    <sheet name="Data" sheetId="1" r:id="rId1"/>
    <sheet name="1RM Tracker" sheetId="8" r:id="rId2"/>
    <sheet name="Original Data"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____Nov1">[1]Sessions!#REF!</definedName>
    <definedName name="_____Oct27">[1]Sessions!#REF!</definedName>
    <definedName name="_____Oct28">[1]Sessions!#REF!</definedName>
    <definedName name="____Nov1">[1]Sessions!#REF!</definedName>
    <definedName name="____Nov30">#REF!</definedName>
    <definedName name="____Oct27">[1]Sessions!#REF!</definedName>
    <definedName name="____Oct28">[1]Sessions!#REF!</definedName>
    <definedName name="___Nov1">[1]Sessions!#REF!</definedName>
    <definedName name="___Nov30">'[2]Athlete Log'!#REF!</definedName>
    <definedName name="___Oct27">[1]Sessions!#REF!</definedName>
    <definedName name="___Oct28">[1]Sessions!#REF!</definedName>
    <definedName name="__Nov1">[1]Sessions!#REF!</definedName>
    <definedName name="__Nov30">'[2]Athlete Log'!#REF!</definedName>
    <definedName name="__Oct27">[1]Sessions!#REF!</definedName>
    <definedName name="__Oct28">[1]Sessions!#REF!</definedName>
    <definedName name="_Apr12">#REF!</definedName>
    <definedName name="_xlnm._FilterDatabase" localSheetId="0" hidden="1">Data!$A$1:$P$245</definedName>
    <definedName name="_Jun15">#REF!</definedName>
    <definedName name="_Mar23">#REF!</definedName>
    <definedName name="_May4">#REF!</definedName>
    <definedName name="_Nov1">#REF!</definedName>
    <definedName name="_Nov30">#REF!</definedName>
    <definedName name="_Oct27">#REF!</definedName>
    <definedName name="_Oct28">#REF!</definedName>
    <definedName name="Absorptions_Landings">#REF!</definedName>
    <definedName name="Adductors">'[3]Functional Warm-up Exercises'!#REF!</definedName>
    <definedName name="Alastair">#REF!</definedName>
    <definedName name="All_Touch">'[4]Drills List'!$A$1308</definedName>
    <definedName name="Allow_Kicks">'[4]Drills List'!$B$1249</definedName>
    <definedName name="Andrew">#REF!</definedName>
    <definedName name="Ankle">#REF!</definedName>
    <definedName name="AnkleStrength">[5]Options!$I$34</definedName>
    <definedName name="Ankling">#REF!</definedName>
    <definedName name="AnteriorChain">#REF!</definedName>
    <definedName name="April">'[6]Ethans Gym Phases 2012-2013'!$I$94</definedName>
    <definedName name="April2012">'[6]Ethans Gym Phases 2012-2013'!$I$1</definedName>
    <definedName name="April2014">'[7]2013 to 2014 WC Weekly Schedule'!$A$317</definedName>
    <definedName name="AscendingPyarmaid50100150">#REF!</definedName>
    <definedName name="Attack_Defense_Drill">[8]Drills!$A$442</definedName>
    <definedName name="AugSep">'[6]Ethans Gym Phases 2012-2013'!$I$135</definedName>
    <definedName name="August2013">'[7]2013 to 2014 WC Weekly Schedule'!#REF!</definedName>
    <definedName name="August2014">'[7]2013 to 2014 WC Weekly Schedule'!$A$521</definedName>
    <definedName name="AugustSeptember2010">#REF!</definedName>
    <definedName name="Aussie_Rules">'[4]Drills List'!$A$420</definedName>
    <definedName name="Back_Extensions">#REF!</definedName>
    <definedName name="BackwardsForwards">#REF!</definedName>
    <definedName name="Ball_Blockers">'[4]Drills List'!$A$672</definedName>
    <definedName name="Ball_Tag">'[4]Drills List'!$A$226</definedName>
    <definedName name="Ball_Tag_1">'[4]Drills List'!$A$302</definedName>
    <definedName name="Beatrix">#REF!</definedName>
    <definedName name="BecksFott">#REF!</definedName>
    <definedName name="Becky">'[9]October Programs'!$E$10</definedName>
    <definedName name="Behaviours">'[4]Drills List'!$A$11</definedName>
    <definedName name="Blanks">#REF!</definedName>
    <definedName name="Bodyweight">#REF!</definedName>
    <definedName name="Bounds">#REF!</definedName>
    <definedName name="Box_Jumps">#REF!</definedName>
    <definedName name="Bridges">#REF!</definedName>
    <definedName name="Bulgarian_Squats">#REF!</definedName>
    <definedName name="Bull_Rush">'[4]Drills List'!$A$262</definedName>
    <definedName name="Bulldog">'[4]Drills List'!$A$348</definedName>
    <definedName name="Butt">[5]Options!$I$40</definedName>
    <definedName name="Buzz">#REF!</definedName>
    <definedName name="Calf_Raises">#REF!</definedName>
    <definedName name="Calfs">#REF!</definedName>
    <definedName name="Cardio">#REF!</definedName>
    <definedName name="Carrys">[8]Drills!#REF!</definedName>
    <definedName name="Chain_Circle">'[4]Drills List'!$A$316</definedName>
    <definedName name="Chain_Tag">'[4]Drills List'!$A$291</definedName>
    <definedName name="Challenge">[10]Beach2!$A$1</definedName>
    <definedName name="Challenges">'[11]Steel Challenge Info'!$A$1</definedName>
    <definedName name="Chaos">'[4]Drills List'!$A$778</definedName>
    <definedName name="Chasing">[8]Drills!#REF!</definedName>
    <definedName name="Chest">#REF!</definedName>
    <definedName name="Chins">#REF!</definedName>
    <definedName name="Christina">'[9]October Programs'!$E$108</definedName>
    <definedName name="Claire">#REF!</definedName>
    <definedName name="Clean_Out_Drills">[8]Drills!$A$163</definedName>
    <definedName name="Conditioning_Games_Dan_Cottrell">'[4]Drills List'!$A$281</definedName>
    <definedName name="Cone_Ball">'[4]Drills List'!$A$201</definedName>
    <definedName name="Continuity_Drills">'[4]Drills List'!$A$158</definedName>
    <definedName name="Continuous_Touch_Options">'[4]Drills List'!$A$1367</definedName>
    <definedName name="Core">#REF!</definedName>
    <definedName name="CoreExercises">#REF!</definedName>
    <definedName name="Corners_4">[8]Drills!$A$134</definedName>
    <definedName name="Count_10">'[4]Drills List'!$A$187</definedName>
    <definedName name="Crawls">[8]Drills!$A$300</definedName>
    <definedName name="Deadlifts">#REF!</definedName>
    <definedName name="December2013">'[7]2013 to 2014 WC Weekly Schedule'!$A$101</definedName>
    <definedName name="DecJan">'[7]2013 to 2014 WC Weekly Schedule'!$A$89</definedName>
    <definedName name="Defence_Wide_Run">'[4]Drills List'!$A$248</definedName>
    <definedName name="Defenders_Drop_Knee">'[4]Drills List'!$B$1246</definedName>
    <definedName name="Defense_Drills">[8]Drills!$A$430</definedName>
    <definedName name="Depth_Jumps">#REF!</definedName>
    <definedName name="Diagonals">#REF!</definedName>
    <definedName name="Dodge_Ball">'[4]Drills List'!$A$228</definedName>
    <definedName name="Draw_and_Pass">[8]Drills!$A$264</definedName>
    <definedName name="Drop_and_Go">#REF!</definedName>
    <definedName name="Drop_Off_Touch">'[4]Drills List'!$A$1310</definedName>
    <definedName name="Dynamics">#REF!</definedName>
    <definedName name="EACHSIDE">[12]DATA!$F$1:$F$4</definedName>
    <definedName name="Elicia">#REF!</definedName>
    <definedName name="Elyse">#REF!</definedName>
    <definedName name="EnergyLevels">#REF!</definedName>
    <definedName name="Escape_From_Jail">'[4]Drills List'!$A$591</definedName>
    <definedName name="EXERCISETYPE">'[13]Exercise List'!$A$2:$M$2</definedName>
    <definedName name="Fast_Feet">#REF!</definedName>
    <definedName name="Feb8Meeting">#REF!</definedName>
    <definedName name="Feburary2013">'[7]2013 to 2014 WC Weekly Schedule'!#REF!</definedName>
    <definedName name="Feburary2014">'[7]2013 to 2014 WC Weekly Schedule'!$A$209</definedName>
    <definedName name="Feed_the_Dragon">'[4]Drills List'!$A$743</definedName>
    <definedName name="Form_Drills">#REF!</definedName>
    <definedName name="GeneralFullBody">'[3]Functional Warm-up Exercises'!#REF!</definedName>
    <definedName name="Glen">'[9]October Programs'!$E$218</definedName>
    <definedName name="GlenJan2011">#REF!</definedName>
    <definedName name="Groin">#REF!</definedName>
    <definedName name="GroinWU">'[3]Functional Warm-up Exercises'!#REF!</definedName>
    <definedName name="Group_Exercise_Challenges">[8]Drills!$A$495</definedName>
    <definedName name="Hack_Squats">#REF!</definedName>
    <definedName name="HammyEccentrics">'[3]Functional Warm-up Exercises'!#REF!</definedName>
    <definedName name="HamstringButt">'[3]Functional Warm-up Exercises'!#REF!</definedName>
    <definedName name="Hamstrings">#REF!</definedName>
    <definedName name="Hannah">#REF!</definedName>
    <definedName name="HannahJan10">#REF!</definedName>
    <definedName name="Hayley">#REF!</definedName>
    <definedName name="Hip_Flexors">#REF!</definedName>
    <definedName name="Hops">#REF!</definedName>
    <definedName name="Hurdle_Jumps">#REF!</definedName>
    <definedName name="Index">#REF!</definedName>
    <definedName name="Index1">#REF!</definedName>
    <definedName name="InsAndOuts">#REF!</definedName>
    <definedName name="James">#REF!</definedName>
    <definedName name="Jamiee">#REF!</definedName>
    <definedName name="January2013">'[7]2013 to 2014 WC Weekly Schedule'!#REF!</definedName>
    <definedName name="January2014">'[7]2013 to 2014 WC Weekly Schedule'!$A$161</definedName>
    <definedName name="Jenny">#REF!</definedName>
    <definedName name="Jeremy">#REF!</definedName>
    <definedName name="July2013">'[7]2013 to 2014 WC Weekly Schedule'!#REF!</definedName>
    <definedName name="July2014">'[7]2013 to 2014 WC Weekly Schedule'!$A$473</definedName>
    <definedName name="Jump">#REF!</definedName>
    <definedName name="Jump_Rope">#REF!</definedName>
    <definedName name="Jumps">#REF!</definedName>
    <definedName name="JumpsBoundsHops">'[3]Functional Warm-up Exercises'!#REF!</definedName>
    <definedName name="June2012">'[6]Ethans Gym Phases 2012-2013'!$I$53</definedName>
    <definedName name="June2013">'[7]2013 to 2014 WC Weekly Schedule'!#REF!</definedName>
    <definedName name="June2014">'[7]2013 to 2014 WC Weekly Schedule'!$A$413</definedName>
    <definedName name="Kabaddi">'[4]Drills List'!$A$326</definedName>
    <definedName name="Katie">#REF!</definedName>
    <definedName name="Kick_Return">'[4]Drills List'!$A$229</definedName>
    <definedName name="Kicking_Tennis">'[4]Drills List'!$A$439</definedName>
    <definedName name="Killer_Touch">'[4]Drills List'!$A$645</definedName>
    <definedName name="Kirsty">#REF!</definedName>
    <definedName name="Ladder1900m">#REF!</definedName>
    <definedName name="Landings">[5]Options!$Q$7</definedName>
    <definedName name="Last_Ball_Standing">'[4]Drills List'!$A$481</definedName>
    <definedName name="Lateral_Drills">#REF!</definedName>
    <definedName name="Lateral_Jumps">#REF!</definedName>
    <definedName name="Laura">#REF!</definedName>
    <definedName name="LeftCalf">#REF!</definedName>
    <definedName name="Leg_Extensions">#REF!</definedName>
    <definedName name="Leg_Knee_Raises">#REF!</definedName>
    <definedName name="Leg_Press">#REF!</definedName>
    <definedName name="Lisa">#REF!</definedName>
    <definedName name="Louise">#REF!</definedName>
    <definedName name="Lower_Abs">#REF!</definedName>
    <definedName name="LowerBody">[14]Options!#REF!</definedName>
    <definedName name="Lunges">#REF!</definedName>
    <definedName name="Lydia">#REF!</definedName>
    <definedName name="Lying_Hip_Extns">#REF!</definedName>
    <definedName name="Make_a_Group">'[4]Drills List'!$A$365</definedName>
    <definedName name="March2014">'[7]2013 to 2014 WC Weekly Schedule'!$A$257</definedName>
    <definedName name="Mark">#REF!</definedName>
    <definedName name="MASchallenge">#REF!</definedName>
    <definedName name="May">'[6]Ethans Gym Phases 2012-2013'!$I$27</definedName>
    <definedName name="May2013a">'[6]Ethans Gym Phases 2012-2013'!$I$114</definedName>
    <definedName name="May2014a">'[7]2013 to 2014 WC Weekly Schedule'!$A$365</definedName>
    <definedName name="Metabolic">[5]Options!$A$7</definedName>
    <definedName name="MidBack">#REF!</definedName>
    <definedName name="Minute20mShuttleChallenge">#REF!</definedName>
    <definedName name="Misc">#REF!</definedName>
    <definedName name="Modified_American_Football">'[4]Drills List'!$A$263</definedName>
    <definedName name="MuscleEndurance">#REF!</definedName>
    <definedName name="Neck">#REF!</definedName>
    <definedName name="Nissy">#REF!</definedName>
    <definedName name="November13">'[7]2013 to 2014 WC Weekly Schedule'!$A$41</definedName>
    <definedName name="October">'[7]2013 to 2014 WC Weekly Schedule'!#REF!</definedName>
    <definedName name="October13">'[7]2013 to 2014 WC Weekly Schedule'!$A$29</definedName>
    <definedName name="Offside_Touch">'[4]Drills List'!$A$1327</definedName>
    <definedName name="Ollie">#REF!</definedName>
    <definedName name="One_Touch">'[4]Drills List'!$A$1301</definedName>
    <definedName name="OrangesAndLemons">'[4]Drills List'!$A$408</definedName>
    <definedName name="Other">#REF!</definedName>
    <definedName name="Other_Stuff">'[4]Drills List'!$A$874</definedName>
    <definedName name="Overspeed">#REF!</definedName>
    <definedName name="Paige">#REF!</definedName>
    <definedName name="Passing_Waves">[8]Drills!$A$187</definedName>
    <definedName name="Person1">#REF!</definedName>
    <definedName name="Planning">'[15]2 May'!#REF!</definedName>
    <definedName name="Play_Adantage">'[4]Drills List'!$B$1244</definedName>
    <definedName name="PosteriorChain">[14]Options!#REF!</definedName>
    <definedName name="Power">#REF!</definedName>
    <definedName name="Prehab">#REF!</definedName>
    <definedName name="PrehabTemplates">#REF!</definedName>
    <definedName name="Press_Exercises">[8]Drills!$A$380</definedName>
    <definedName name="Press_Options">[8]Drills!#REF!</definedName>
    <definedName name="Press_Ups">[8]Drills!#REF!</definedName>
    <definedName name="Pressups">[8]Drills!#REF!</definedName>
    <definedName name="Primary">[16]Tables!$D$34:$AB$34</definedName>
    <definedName name="_xlnm.Print_Area" localSheetId="2">'Original Data'!$B$3:$AO$57,'Original Data'!$B$67:$AO$117,'Original Data'!$B$123:$AO$177,'Original Data'!$B$183:$AO$241,'Original Data'!$B$250:$AO$318,'Original Data'!$B$324:$AK$380,'Original Data'!$B$388:$AO$446,'Original Data'!$B$454:$AO$504</definedName>
    <definedName name="Prone_Arm_Raises">#REF!</definedName>
    <definedName name="Prone_Hold_Abs">#REF!</definedName>
    <definedName name="Proprioceptive">[5]Options!$I$7</definedName>
    <definedName name="Pull_Exercises">[8]Drills!$A$309</definedName>
    <definedName name="Pulldowns">#REF!</definedName>
    <definedName name="Relay_Races">[8]Drills!$A$502</definedName>
    <definedName name="Repeated100and200s">#REF!</definedName>
    <definedName name="Repeated100s">[14]Options!#REF!</definedName>
    <definedName name="REPMAX">'[12]1RM SHEET'!$C$2:$AA$50</definedName>
    <definedName name="RepsTemplates">#REF!</definedName>
    <definedName name="Resisted">#REF!</definedName>
    <definedName name="RestProgress51015105">#REF!</definedName>
    <definedName name="Reverse_Flyes">#REF!</definedName>
    <definedName name="Reverse_Hyperextensions">#REF!</definedName>
    <definedName name="RightCalf">#REF!</definedName>
    <definedName name="Rip_a_Rugby">'[4]Drills List'!$A$227</definedName>
    <definedName name="Roller">'[3]Functional Warm-up Exercises'!#REF!</definedName>
    <definedName name="RotatorsMidback">'[3]Functional Warm-up Exercises'!#REF!</definedName>
    <definedName name="Rows">#REF!</definedName>
    <definedName name="Rugby_Pentathlon">'[4]Drills List'!$A$713</definedName>
    <definedName name="Rugby_Rounders">'[4]Drills List'!$A$558</definedName>
    <definedName name="RugbyFieldSpritnWalkPyramid">#REF!</definedName>
    <definedName name="Sarah">#REF!</definedName>
    <definedName name="SepOct">'[6]Ethans Gym Phases 2012-2013'!$I$164</definedName>
    <definedName name="Sessions">#REF!</definedName>
    <definedName name="Shannon">'[14]20 June - U21s'!#REF!</definedName>
    <definedName name="ShortRepSprintPyramid">#REF!</definedName>
    <definedName name="Shoulder">[5]Options!$Y$27</definedName>
    <definedName name="Shuttles">[17]Monitors!#REF!</definedName>
    <definedName name="ShuttleTest300m">#REF!</definedName>
    <definedName name="ShuttleTest51015etc">#REF!</definedName>
    <definedName name="Side_Abs">#REF!</definedName>
    <definedName name="Side_Leg_Raises">#REF!</definedName>
    <definedName name="SideChain">'[3]Functional Warm-up Exercises'!#REF!</definedName>
    <definedName name="SitReach">#REF!</definedName>
    <definedName name="Six_on_3_3_Touch">'[4]Drills List'!$A$1353</definedName>
    <definedName name="Skipping_Drills">#REF!</definedName>
    <definedName name="Slicer_Depth1">#N/A</definedName>
    <definedName name="SnatchSquat">#REF!</definedName>
    <definedName name="Soreness">#REF!</definedName>
    <definedName name="Space_Communication_Games">[8]Drills!$A$28</definedName>
    <definedName name="Speed">#REF!</definedName>
    <definedName name="Speed_Agility_Games">[8]Drills!$A$454</definedName>
    <definedName name="Speed_Ball">'[4]Drills List'!$A$275</definedName>
    <definedName name="Speed_Drills">[8]Drills!$A$329</definedName>
    <definedName name="SpeedAgility">#REF!</definedName>
    <definedName name="SpeedAgilityGames">[8]Drills!#REF!</definedName>
    <definedName name="SpeedTemplates">#REF!</definedName>
    <definedName name="Split_Squat_Jumps">#REF!</definedName>
    <definedName name="Split_Squats">#REF!</definedName>
    <definedName name="Squat_Exercises">[8]Drills!$A$314</definedName>
    <definedName name="Squats">#REF!</definedName>
    <definedName name="SquatsLunges">[5]Options!$Q$34</definedName>
    <definedName name="Stacey">'[14]20 June - U21s'!#REF!</definedName>
    <definedName name="Stair_Jumps">#REF!</definedName>
    <definedName name="Stairs">[17]Monitors!#REF!</definedName>
    <definedName name="Start_56">#REF!</definedName>
    <definedName name="Start1">#REF!</definedName>
    <definedName name="Start100">'[7]Will Reports on Athletes'!$A$1</definedName>
    <definedName name="Start26">'[9]September Programs'!$A$1</definedName>
    <definedName name="Start27">'[9]August Programs'!$A$1</definedName>
    <definedName name="Start28">'[9]Sep - Hannah'!$A$1</definedName>
    <definedName name="Start29">'[9]July Prog - Becky'!$A$1</definedName>
    <definedName name="Start30">'[9]July Prog - Christina'!$A$1</definedName>
    <definedName name="Start31">'[9]April Prog - Becky'!$A$1</definedName>
    <definedName name="Start32">'[9]April Prog - Christina'!$A$1</definedName>
    <definedName name="Start33">'[9]April Prog - Glen'!$A$1</definedName>
    <definedName name="Start34">'[9]April Prog - Hannah'!$A$1</definedName>
    <definedName name="Start35">'[9]Feb Prog'!$A$1</definedName>
    <definedName name="Start36">'[9]Jan Prog'!$A$1</definedName>
    <definedName name="Start37">'[18]Dec Home Prog'!$A$1</definedName>
    <definedName name="Start38">'[18]Dec Prog'!$A$1</definedName>
    <definedName name="Start39">'[18]Nov Prog'!$A$1</definedName>
    <definedName name="Start40">'[18]Nov Home Prog'!$A$1</definedName>
    <definedName name="Start41">'[18]Nov Program - Glen'!$A$1</definedName>
    <definedName name="Start42">'[18]Oct Prog'!$A$1</definedName>
    <definedName name="Start43">'[18]Oct Home Prog'!$A$1</definedName>
    <definedName name="Start44">'[18]Sept 10 Intro Session Overviews'!$A$1</definedName>
    <definedName name="Start45">#REF!</definedName>
    <definedName name="Start46">#REF!</definedName>
    <definedName name="Start47">#REF!</definedName>
    <definedName name="Start48">#REF!</definedName>
    <definedName name="Start49">#REF!</definedName>
    <definedName name="Start50">#REF!</definedName>
    <definedName name="Start51">#REF!</definedName>
    <definedName name="Start52">#REF!</definedName>
    <definedName name="Start53">#REF!</definedName>
    <definedName name="Start54">#REF!</definedName>
    <definedName name="Start55">#REF!</definedName>
    <definedName name="Start56">#REF!</definedName>
    <definedName name="Start57">#REF!</definedName>
    <definedName name="Start58">#REF!</definedName>
    <definedName name="Start59">#REF!</definedName>
    <definedName name="Start60">#REF!</definedName>
    <definedName name="Start61">#REF!</definedName>
    <definedName name="Start62">#REF!</definedName>
    <definedName name="Start63">#REF!</definedName>
    <definedName name="Start64">#REF!</definedName>
    <definedName name="Start65">#REF!</definedName>
    <definedName name="Start66">#REF!</definedName>
    <definedName name="Start67">#REF!</definedName>
    <definedName name="Start68">#REF!</definedName>
    <definedName name="Start69">#REF!</definedName>
    <definedName name="Start70">#REF!</definedName>
    <definedName name="Start71">#REF!</definedName>
    <definedName name="Start72">#REF!</definedName>
    <definedName name="Start73">#REF!</definedName>
    <definedName name="Start74">#REF!</definedName>
    <definedName name="Start75">#REF!</definedName>
    <definedName name="Start76">#REF!</definedName>
    <definedName name="Start77">#REF!</definedName>
    <definedName name="Start78">#REF!</definedName>
    <definedName name="Start79">#REF!</definedName>
    <definedName name="Start80">#REF!</definedName>
    <definedName name="Start81">#REF!</definedName>
    <definedName name="Start82">#REF!</definedName>
    <definedName name="Start83">#REF!</definedName>
    <definedName name="Start84">#REF!</definedName>
    <definedName name="Start85">#REF!</definedName>
    <definedName name="Start86">#REF!</definedName>
    <definedName name="Start87">#REF!</definedName>
    <definedName name="Start88">#REF!</definedName>
    <definedName name="Start89">#REF!</definedName>
    <definedName name="Start90">#REF!</definedName>
    <definedName name="Start91">#REF!</definedName>
    <definedName name="Start92">#REF!</definedName>
    <definedName name="Start93">#REF!</definedName>
    <definedName name="Start94">#REF!</definedName>
    <definedName name="Start95">#REF!</definedName>
    <definedName name="Start96">#REF!</definedName>
    <definedName name="Start97">#REF!</definedName>
    <definedName name="Start99">'[7]2013 to 2014 WC Weekly Schedule'!$A$1</definedName>
    <definedName name="Starts">#REF!</definedName>
    <definedName name="Steph">#REF!</definedName>
    <definedName name="Stepups">#REF!</definedName>
    <definedName name="Storm">'[14]20 June - U21s'!#REF!</definedName>
    <definedName name="Strength">[19]Options!#REF!</definedName>
    <definedName name="Stretches">#REF!</definedName>
    <definedName name="Stuck_in_the_Mud">'[4]Drills List'!$A$619</definedName>
    <definedName name="Stuff">[8]Drills!$A$535</definedName>
    <definedName name="Supine_Chins">#REF!</definedName>
    <definedName name="Swap_and_score">'[4]Drills List'!$A$253</definedName>
    <definedName name="Tackle_Ball_Play">'[4]Drills List'!$B$1247</definedName>
    <definedName name="Tackle_Drills">[8]Drills!$A$290</definedName>
    <definedName name="Taper">#REF!</definedName>
    <definedName name="Technical">[5]Options!$A$36</definedName>
    <definedName name="Templates">'[20]Landscape, Sche, 6 Days'!#REF!</definedName>
    <definedName name="TempoSprintWalk">#REF!</definedName>
    <definedName name="TePaea">'[14]20 June - U21s'!#REF!</definedName>
    <definedName name="Testing">#REF!</definedName>
    <definedName name="ThomasTest">#REF!</definedName>
    <definedName name="Three_Passes_First">'[4]Drills List'!$B$1251</definedName>
    <definedName name="Throws">[5]Options!$Y$7</definedName>
    <definedName name="Toby">#REF!</definedName>
    <definedName name="Tom">#REF!</definedName>
    <definedName name="Touch_3on2">'[4]Drills List'!$A$1268</definedName>
    <definedName name="Touch_Ball_To_Ground">'[4]Drills List'!$B$1253</definedName>
    <definedName name="Touch_Games">[8]Drills!$A$80</definedName>
    <definedName name="Touch_Variations">'[4]Drills List'!$A$1224</definedName>
    <definedName name="TrackLapPyramids">#REF!</definedName>
    <definedName name="TrainingInformation">#REF!</definedName>
    <definedName name="Travelling_Jumps">#REF!</definedName>
    <definedName name="Twisting">'[3]Functional Warm-up Exercises'!#REF!</definedName>
    <definedName name="Twisting_Abs">#REF!</definedName>
    <definedName name="Two_Handed_Touch">'[4]Drills List'!$B$1229</definedName>
    <definedName name="Two_Touch">'[4]Drills List'!$A$1347</definedName>
    <definedName name="Ultimate_Frisbee">'[4]Drills List'!$A$509</definedName>
    <definedName name="UNIT">[12]DATA!$A$1:$A$14</definedName>
    <definedName name="Upper_Abs">#REF!</definedName>
    <definedName name="UpperBody">[14]Options!#REF!</definedName>
    <definedName name="Walking">[5]Options!$A$30</definedName>
    <definedName name="Warmup">[5]Options!$A$1</definedName>
    <definedName name="WeightsTemplate">#REF!</definedName>
    <definedName name="WORKOUT_TYPES">'[13]Exercise List'!$W$3:$W$59</definedName>
    <definedName name="Wrestling">[8]Drills!$A$331</definedName>
    <definedName name="Zone_Support">'[4]Drills List'!$B$1242</definedName>
  </definedNames>
  <calcPr calcId="191028"/>
  <pivotCaches>
    <pivotCache cacheId="180" r:id="rId24"/>
  </pivotCaches>
  <extLst>
    <ext xmlns:x14="http://schemas.microsoft.com/office/spreadsheetml/2009/9/main" uri="{BBE1A952-AA13-448e-AADC-164F8A28A991}">
      <x14:slicerCaches>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68" i="1" l="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1169" i="1"/>
  <c r="DT564" i="3" l="1"/>
  <c r="DS564" i="3"/>
  <c r="DR564" i="3"/>
  <c r="DQ564" i="3"/>
  <c r="DP564" i="3"/>
  <c r="DO564" i="3"/>
  <c r="DN564" i="3"/>
  <c r="DM564" i="3"/>
  <c r="DL564" i="3"/>
  <c r="DK564" i="3"/>
  <c r="DJ564" i="3"/>
  <c r="DI564" i="3"/>
  <c r="DH564" i="3"/>
  <c r="DG564" i="3"/>
  <c r="DF564" i="3"/>
  <c r="DE564" i="3"/>
  <c r="DD564" i="3"/>
  <c r="DC564" i="3"/>
  <c r="DB564" i="3"/>
  <c r="DA564" i="3"/>
  <c r="CZ564" i="3"/>
  <c r="CY564" i="3"/>
  <c r="CX564" i="3"/>
  <c r="CW564" i="3"/>
  <c r="CV564" i="3"/>
  <c r="CU564" i="3"/>
  <c r="CT564" i="3"/>
  <c r="CS564" i="3"/>
  <c r="CR564" i="3"/>
  <c r="CQ564" i="3"/>
  <c r="CP564" i="3"/>
  <c r="CO564" i="3"/>
  <c r="CN564" i="3"/>
  <c r="CM564" i="3"/>
  <c r="CL564" i="3"/>
  <c r="CK564" i="3"/>
  <c r="CJ564" i="3"/>
  <c r="CI564" i="3"/>
  <c r="CH564" i="3"/>
  <c r="CG564" i="3"/>
  <c r="CF564" i="3"/>
  <c r="CE564" i="3"/>
  <c r="CD564" i="3"/>
  <c r="CC564" i="3"/>
  <c r="CB564" i="3"/>
  <c r="CA564" i="3"/>
  <c r="BZ564" i="3"/>
  <c r="BY564" i="3"/>
  <c r="BX564" i="3"/>
  <c r="BW564" i="3"/>
  <c r="BV564" i="3"/>
  <c r="BU564" i="3"/>
  <c r="BT564" i="3"/>
  <c r="BS564" i="3"/>
  <c r="BR564" i="3"/>
  <c r="BQ564" i="3"/>
  <c r="BP564" i="3"/>
  <c r="BO564" i="3"/>
  <c r="BN564" i="3"/>
  <c r="BM564" i="3"/>
  <c r="BL564" i="3"/>
  <c r="BK564" i="3"/>
  <c r="BJ564" i="3"/>
  <c r="BI564" i="3"/>
  <c r="BH564" i="3"/>
  <c r="BG564" i="3"/>
  <c r="BF564" i="3"/>
  <c r="BE564" i="3"/>
  <c r="BD564" i="3"/>
  <c r="BC564" i="3"/>
  <c r="BB564" i="3"/>
  <c r="BA564" i="3"/>
  <c r="AZ564" i="3"/>
  <c r="AY564" i="3"/>
  <c r="AX564" i="3"/>
  <c r="AW564" i="3"/>
  <c r="AV564" i="3"/>
  <c r="AU564" i="3"/>
  <c r="AT564" i="3"/>
  <c r="AS564" i="3"/>
  <c r="AR564" i="3"/>
  <c r="AQ564" i="3"/>
  <c r="AP564" i="3"/>
  <c r="AO564" i="3"/>
  <c r="AN564" i="3"/>
  <c r="AM564" i="3"/>
  <c r="AL564" i="3"/>
  <c r="AK564" i="3"/>
  <c r="AJ564" i="3"/>
  <c r="AI564" i="3"/>
  <c r="AH564" i="3"/>
  <c r="AG564" i="3"/>
  <c r="AF564" i="3"/>
  <c r="AE564" i="3"/>
  <c r="AD564" i="3"/>
  <c r="AC564" i="3"/>
  <c r="AB564" i="3"/>
  <c r="AA564" i="3"/>
  <c r="Z564" i="3"/>
  <c r="Y564" i="3"/>
  <c r="X564" i="3"/>
  <c r="W564" i="3"/>
  <c r="V564" i="3"/>
  <c r="U564" i="3"/>
  <c r="T564" i="3"/>
  <c r="S564" i="3"/>
  <c r="R564" i="3"/>
  <c r="Q564" i="3"/>
  <c r="P564" i="3"/>
  <c r="O564" i="3"/>
  <c r="N564" i="3"/>
  <c r="M564" i="3"/>
  <c r="L564" i="3"/>
  <c r="K564" i="3"/>
  <c r="J564" i="3"/>
  <c r="I564" i="3"/>
  <c r="H564" i="3"/>
  <c r="G564" i="3"/>
  <c r="F564" i="3"/>
  <c r="E564" i="3"/>
  <c r="BS540" i="3"/>
  <c r="BH540" i="3"/>
  <c r="BP538" i="3"/>
  <c r="BS534" i="3"/>
  <c r="BT530" i="3"/>
  <c r="BI530" i="3"/>
  <c r="BF530" i="3"/>
  <c r="BT528" i="3"/>
  <c r="BP528" i="3"/>
  <c r="BG528" i="3"/>
  <c r="BS524" i="3"/>
  <c r="BO524" i="3"/>
  <c r="BS502" i="3"/>
  <c r="BP502" i="3"/>
  <c r="BM502" i="3"/>
  <c r="BJ502" i="3"/>
  <c r="BG502" i="3"/>
  <c r="X502" i="3"/>
  <c r="BA500" i="3"/>
  <c r="AX500" i="3"/>
  <c r="BS496" i="3"/>
  <c r="BM496" i="3"/>
  <c r="AM494" i="3"/>
  <c r="AJ494" i="3"/>
  <c r="AG494" i="3"/>
  <c r="AE494" i="3"/>
  <c r="BT492" i="3"/>
  <c r="BR492" i="3"/>
  <c r="BL492" i="3"/>
  <c r="BI492" i="3"/>
  <c r="BF492" i="3"/>
  <c r="AZ492" i="3"/>
  <c r="AW492" i="3"/>
  <c r="AT492" i="3"/>
  <c r="Z490" i="3"/>
  <c r="Y490" i="3"/>
  <c r="BK488" i="3"/>
  <c r="BH488" i="3"/>
  <c r="BA486" i="3"/>
  <c r="AX486" i="3"/>
  <c r="AK486" i="3"/>
  <c r="AH486" i="3"/>
  <c r="AB486" i="3"/>
  <c r="X486" i="3"/>
  <c r="AB485" i="3"/>
  <c r="BQ484" i="3"/>
  <c r="BN484" i="3"/>
  <c r="AC484" i="3"/>
  <c r="AE482" i="3"/>
  <c r="AC482" i="3"/>
  <c r="Y482" i="3"/>
  <c r="BT480" i="3"/>
  <c r="BM480" i="3"/>
  <c r="BJ480" i="3"/>
  <c r="BG480" i="3"/>
  <c r="AX480" i="3"/>
  <c r="AR480" i="3"/>
  <c r="AK480" i="3"/>
  <c r="AH480" i="3"/>
  <c r="Z478" i="3"/>
  <c r="BS476" i="3"/>
  <c r="BP476" i="3"/>
  <c r="AN476" i="3"/>
  <c r="AB476" i="3"/>
  <c r="BM474" i="3"/>
  <c r="BJ474" i="3"/>
  <c r="BG474" i="3"/>
  <c r="BN472" i="3"/>
  <c r="BK472" i="3"/>
  <c r="BH472" i="3"/>
  <c r="BB468" i="3"/>
  <c r="AY468" i="3"/>
  <c r="AY463" i="3" s="1"/>
  <c r="AV468" i="3"/>
  <c r="AI468" i="3"/>
  <c r="AI463" i="3" s="1"/>
  <c r="AA468" i="3"/>
  <c r="X468" i="3"/>
  <c r="BV466" i="3"/>
  <c r="BQ466" i="3"/>
  <c r="BP466" i="3"/>
  <c r="BP463" i="3" s="1"/>
  <c r="AO466" i="3"/>
  <c r="AO463" i="3" s="1"/>
  <c r="AN466" i="3"/>
  <c r="AL466" i="3"/>
  <c r="AD466" i="3"/>
  <c r="DT463" i="3"/>
  <c r="DS463" i="3"/>
  <c r="DR463" i="3"/>
  <c r="DQ463" i="3"/>
  <c r="DP463" i="3"/>
  <c r="DO463" i="3"/>
  <c r="DN463" i="3"/>
  <c r="DM463" i="3"/>
  <c r="DL463" i="3"/>
  <c r="DK463" i="3"/>
  <c r="DJ463" i="3"/>
  <c r="DI463" i="3"/>
  <c r="DH463" i="3"/>
  <c r="DG463" i="3"/>
  <c r="DF463" i="3"/>
  <c r="DE463" i="3"/>
  <c r="DD463" i="3"/>
  <c r="DC463" i="3"/>
  <c r="DB463" i="3"/>
  <c r="DA463" i="3"/>
  <c r="CZ463" i="3"/>
  <c r="CY463" i="3"/>
  <c r="CX463" i="3"/>
  <c r="CW463" i="3"/>
  <c r="CV463" i="3"/>
  <c r="CU463" i="3"/>
  <c r="CT463" i="3"/>
  <c r="CS463" i="3"/>
  <c r="CR463" i="3"/>
  <c r="CQ463" i="3"/>
  <c r="CP463" i="3"/>
  <c r="CO463" i="3"/>
  <c r="CN463" i="3"/>
  <c r="CM463" i="3"/>
  <c r="CL463" i="3"/>
  <c r="CK463" i="3"/>
  <c r="CJ463" i="3"/>
  <c r="CI463" i="3"/>
  <c r="CH463" i="3"/>
  <c r="CG463" i="3"/>
  <c r="CF463" i="3"/>
  <c r="CE463" i="3"/>
  <c r="CD463" i="3"/>
  <c r="CC463" i="3"/>
  <c r="CB463" i="3"/>
  <c r="CA463" i="3"/>
  <c r="BZ463" i="3"/>
  <c r="BY463" i="3"/>
  <c r="BX463" i="3"/>
  <c r="BW463" i="3"/>
  <c r="BV463" i="3"/>
  <c r="BU463" i="3"/>
  <c r="BT463" i="3"/>
  <c r="BS463" i="3"/>
  <c r="BR463" i="3"/>
  <c r="BQ463" i="3"/>
  <c r="BO463" i="3"/>
  <c r="BN463" i="3"/>
  <c r="BM463" i="3"/>
  <c r="BL463" i="3"/>
  <c r="BK463" i="3"/>
  <c r="BJ463" i="3"/>
  <c r="BI463" i="3"/>
  <c r="BH463" i="3"/>
  <c r="BG463" i="3"/>
  <c r="BF463" i="3"/>
  <c r="BE463" i="3"/>
  <c r="BD463" i="3"/>
  <c r="BC463" i="3"/>
  <c r="BB463" i="3"/>
  <c r="BA463" i="3"/>
  <c r="AZ463" i="3"/>
  <c r="AX463" i="3"/>
  <c r="AW463" i="3"/>
  <c r="AV463" i="3"/>
  <c r="AU463" i="3"/>
  <c r="AT463" i="3"/>
  <c r="AS463" i="3"/>
  <c r="AR463" i="3"/>
  <c r="AQ463" i="3"/>
  <c r="AP463" i="3"/>
  <c r="AN463" i="3"/>
  <c r="AM463" i="3"/>
  <c r="AL463" i="3"/>
  <c r="AK463" i="3"/>
  <c r="AJ463" i="3"/>
  <c r="AH463" i="3"/>
  <c r="AG463" i="3"/>
  <c r="AF463" i="3"/>
  <c r="AE463" i="3"/>
  <c r="AD463" i="3"/>
  <c r="AC463" i="3"/>
  <c r="AB463" i="3"/>
  <c r="AA463" i="3"/>
  <c r="Z463" i="3"/>
  <c r="Y463" i="3"/>
  <c r="X463" i="3"/>
  <c r="W463" i="3"/>
  <c r="V463" i="3"/>
  <c r="U463" i="3"/>
  <c r="T463" i="3"/>
  <c r="S463" i="3"/>
  <c r="R463" i="3"/>
  <c r="Q463" i="3"/>
  <c r="P463" i="3"/>
  <c r="O463" i="3"/>
  <c r="N463" i="3"/>
  <c r="M463" i="3"/>
  <c r="L463" i="3"/>
  <c r="K463" i="3"/>
  <c r="J463" i="3"/>
  <c r="I463" i="3"/>
  <c r="H463" i="3"/>
  <c r="G463" i="3"/>
  <c r="F463" i="3"/>
  <c r="E463" i="3"/>
  <c r="BA444" i="3"/>
  <c r="AV444" i="3"/>
  <c r="BS442" i="3"/>
  <c r="BN442" i="3"/>
  <c r="BK442" i="3"/>
  <c r="BH442" i="3"/>
  <c r="X442" i="3"/>
  <c r="AU440" i="3"/>
  <c r="BP436" i="3"/>
  <c r="BJ436" i="3"/>
  <c r="BG436" i="3"/>
  <c r="AU434" i="3"/>
  <c r="AG432" i="3"/>
  <c r="Z432" i="3"/>
  <c r="BU430" i="3"/>
  <c r="BR430" i="3"/>
  <c r="BO430" i="3"/>
  <c r="BL430" i="3"/>
  <c r="BI430" i="3"/>
  <c r="BF430" i="3"/>
  <c r="AZ430" i="3"/>
  <c r="AV430" i="3"/>
  <c r="AS430" i="3"/>
  <c r="Y428" i="3"/>
  <c r="BQ426" i="3"/>
  <c r="BN426" i="3"/>
  <c r="AM426" i="3"/>
  <c r="AJ426" i="3"/>
  <c r="AC426" i="3"/>
  <c r="BH424" i="3"/>
  <c r="BJ422" i="3"/>
  <c r="BG422" i="3"/>
  <c r="BA422" i="3"/>
  <c r="AV422" i="3"/>
  <c r="AK422" i="3"/>
  <c r="AI422" i="3"/>
  <c r="AB422" i="3"/>
  <c r="X422" i="3"/>
  <c r="AI421" i="3"/>
  <c r="AB421" i="3"/>
  <c r="AJ420" i="3"/>
  <c r="BP418" i="3"/>
  <c r="BJ418" i="3"/>
  <c r="BG418" i="3"/>
  <c r="AC418" i="3"/>
  <c r="Y418" i="3"/>
  <c r="BT416" i="3"/>
  <c r="BK416" i="3"/>
  <c r="BH416" i="3"/>
  <c r="BA416" i="3"/>
  <c r="AV416" i="3"/>
  <c r="AR416" i="3"/>
  <c r="AL416" i="3"/>
  <c r="AI416" i="3"/>
  <c r="AF416" i="3"/>
  <c r="AB416" i="3"/>
  <c r="Z414" i="3"/>
  <c r="BS412" i="3"/>
  <c r="BN412" i="3"/>
  <c r="AN412" i="3"/>
  <c r="AK412" i="3"/>
  <c r="AH412" i="3"/>
  <c r="AB412" i="3"/>
  <c r="AA408" i="3"/>
  <c r="X408" i="3"/>
  <c r="BV406" i="3"/>
  <c r="BV397" i="3" s="1"/>
  <c r="BQ406" i="3"/>
  <c r="AD406" i="3"/>
  <c r="BP404" i="3"/>
  <c r="BM404" i="3"/>
  <c r="BJ404" i="3"/>
  <c r="BG404" i="3"/>
  <c r="BB402" i="3"/>
  <c r="BB397" i="3" s="1"/>
  <c r="AY402" i="3"/>
  <c r="AY397" i="3" s="1"/>
  <c r="AV402" i="3"/>
  <c r="AI402" i="3"/>
  <c r="AF402" i="3"/>
  <c r="AQ400" i="3"/>
  <c r="AN400" i="3"/>
  <c r="AL400" i="3"/>
  <c r="I400" i="3"/>
  <c r="I397" i="3" s="1"/>
  <c r="DT397" i="3"/>
  <c r="DS397" i="3"/>
  <c r="DR397" i="3"/>
  <c r="DQ397" i="3"/>
  <c r="DP397" i="3"/>
  <c r="DO397" i="3"/>
  <c r="DN397" i="3"/>
  <c r="DM397" i="3"/>
  <c r="DL397" i="3"/>
  <c r="DK397" i="3"/>
  <c r="DJ397" i="3"/>
  <c r="DI397" i="3"/>
  <c r="DH397" i="3"/>
  <c r="DG397" i="3"/>
  <c r="DF397" i="3"/>
  <c r="DE397" i="3"/>
  <c r="DD397" i="3"/>
  <c r="DC397" i="3"/>
  <c r="DB397" i="3"/>
  <c r="DA397" i="3"/>
  <c r="CZ397" i="3"/>
  <c r="CY397" i="3"/>
  <c r="CX397" i="3"/>
  <c r="CW397" i="3"/>
  <c r="CV397" i="3"/>
  <c r="CU397" i="3"/>
  <c r="CT397" i="3"/>
  <c r="CS397" i="3"/>
  <c r="CR397" i="3"/>
  <c r="CQ397" i="3"/>
  <c r="CP397" i="3"/>
  <c r="CO397" i="3"/>
  <c r="CN397" i="3"/>
  <c r="CM397" i="3"/>
  <c r="CL397" i="3"/>
  <c r="CK397" i="3"/>
  <c r="CJ397" i="3"/>
  <c r="CI397" i="3"/>
  <c r="CH397" i="3"/>
  <c r="CG397" i="3"/>
  <c r="CF397" i="3"/>
  <c r="CE397" i="3"/>
  <c r="CD397" i="3"/>
  <c r="CC397" i="3"/>
  <c r="CB397" i="3"/>
  <c r="CA397" i="3"/>
  <c r="BZ397" i="3"/>
  <c r="BY397" i="3"/>
  <c r="BX397" i="3"/>
  <c r="BW397" i="3"/>
  <c r="BU397" i="3"/>
  <c r="BT397" i="3"/>
  <c r="BS397" i="3"/>
  <c r="BR397" i="3"/>
  <c r="BQ397" i="3"/>
  <c r="BP397" i="3"/>
  <c r="BO397" i="3"/>
  <c r="BN397" i="3"/>
  <c r="BM397" i="3"/>
  <c r="BL397" i="3"/>
  <c r="BK397" i="3"/>
  <c r="BJ397" i="3"/>
  <c r="BI397" i="3"/>
  <c r="BH397" i="3"/>
  <c r="BG397" i="3"/>
  <c r="BF397" i="3"/>
  <c r="BE397" i="3"/>
  <c r="BD397" i="3"/>
  <c r="BC397" i="3"/>
  <c r="BA397" i="3"/>
  <c r="AZ397" i="3"/>
  <c r="AX397" i="3"/>
  <c r="AW397" i="3"/>
  <c r="AV397" i="3"/>
  <c r="AU397" i="3"/>
  <c r="AT397" i="3"/>
  <c r="AS397" i="3"/>
  <c r="AR397" i="3"/>
  <c r="AQ397" i="3"/>
  <c r="AP397" i="3"/>
  <c r="AO397" i="3"/>
  <c r="AN397" i="3"/>
  <c r="AM397" i="3"/>
  <c r="AL397" i="3"/>
  <c r="AK397" i="3"/>
  <c r="AJ397" i="3"/>
  <c r="AI397" i="3"/>
  <c r="AH397" i="3"/>
  <c r="AG397" i="3"/>
  <c r="AF397" i="3"/>
  <c r="AE397" i="3"/>
  <c r="AD397" i="3"/>
  <c r="AC397" i="3"/>
  <c r="AB397" i="3"/>
  <c r="AA397" i="3"/>
  <c r="Z397" i="3"/>
  <c r="Y397" i="3"/>
  <c r="X397" i="3"/>
  <c r="W397" i="3"/>
  <c r="V397" i="3"/>
  <c r="U397" i="3"/>
  <c r="T397" i="3"/>
  <c r="S397" i="3"/>
  <c r="R397" i="3"/>
  <c r="Q397" i="3"/>
  <c r="P397" i="3"/>
  <c r="O397" i="3"/>
  <c r="N397" i="3"/>
  <c r="M397" i="3"/>
  <c r="L397" i="3"/>
  <c r="K397" i="3"/>
  <c r="J397" i="3"/>
  <c r="H397" i="3"/>
  <c r="G397" i="3"/>
  <c r="F397" i="3"/>
  <c r="E397" i="3"/>
  <c r="AS384" i="3"/>
  <c r="AX378" i="3"/>
  <c r="AV378" i="3"/>
  <c r="AS378" i="3"/>
  <c r="X378" i="3"/>
  <c r="BS376" i="3"/>
  <c r="BP376" i="3"/>
  <c r="BB376" i="3"/>
  <c r="BA376" i="3"/>
  <c r="BI372" i="3"/>
  <c r="AY372" i="3"/>
  <c r="BE370" i="3"/>
  <c r="BB370" i="3"/>
  <c r="AW370" i="3"/>
  <c r="AS370" i="3"/>
  <c r="Y370" i="3"/>
  <c r="BS368" i="3"/>
  <c r="BP368" i="3"/>
  <c r="AZ368" i="3"/>
  <c r="AY368" i="3"/>
  <c r="AX368" i="3"/>
  <c r="AU368" i="3"/>
  <c r="AB366" i="3"/>
  <c r="AG364" i="3"/>
  <c r="AF362" i="3"/>
  <c r="BO360" i="3"/>
  <c r="AE360" i="3"/>
  <c r="AC360" i="3"/>
  <c r="AX358" i="3"/>
  <c r="AU358" i="3"/>
  <c r="Y358" i="3"/>
  <c r="AH356" i="3"/>
  <c r="BQ354" i="3"/>
  <c r="BA354" i="3"/>
  <c r="AX354" i="3"/>
  <c r="AU354" i="3"/>
  <c r="AD354" i="3"/>
  <c r="Z354" i="3"/>
  <c r="BS352" i="3"/>
  <c r="BB350" i="3"/>
  <c r="AU350" i="3"/>
  <c r="AS350" i="3"/>
  <c r="AT348" i="3"/>
  <c r="BH344" i="3"/>
  <c r="AX344" i="3"/>
  <c r="AE342" i="3"/>
  <c r="BS340" i="3"/>
  <c r="BP340" i="3"/>
  <c r="BH340" i="3"/>
  <c r="BG340" i="3"/>
  <c r="AY340" i="3"/>
  <c r="Y338" i="3"/>
  <c r="X338" i="3"/>
  <c r="AC336" i="3"/>
  <c r="U336" i="3"/>
  <c r="DT333" i="3"/>
  <c r="DS333" i="3"/>
  <c r="DR333" i="3"/>
  <c r="DQ333" i="3"/>
  <c r="DP333" i="3"/>
  <c r="DO333" i="3"/>
  <c r="DN333" i="3"/>
  <c r="DM333" i="3"/>
  <c r="DL333" i="3"/>
  <c r="DK333" i="3"/>
  <c r="DJ333" i="3"/>
  <c r="DI333" i="3"/>
  <c r="DH333" i="3"/>
  <c r="DG333" i="3"/>
  <c r="DF333" i="3"/>
  <c r="DE333" i="3"/>
  <c r="DD333" i="3"/>
  <c r="DC333" i="3"/>
  <c r="DB333" i="3"/>
  <c r="DA333" i="3"/>
  <c r="CZ333" i="3"/>
  <c r="CY333" i="3"/>
  <c r="CX333" i="3"/>
  <c r="CW333" i="3"/>
  <c r="CV333" i="3"/>
  <c r="CU333" i="3"/>
  <c r="CT333" i="3"/>
  <c r="CS333" i="3"/>
  <c r="CR333" i="3"/>
  <c r="CQ333" i="3"/>
  <c r="CP333" i="3"/>
  <c r="CO333" i="3"/>
  <c r="CN333" i="3"/>
  <c r="CM333" i="3"/>
  <c r="CL333" i="3"/>
  <c r="CK333" i="3"/>
  <c r="CJ333" i="3"/>
  <c r="CI333" i="3"/>
  <c r="CH333" i="3"/>
  <c r="CG333" i="3"/>
  <c r="CF333" i="3"/>
  <c r="CE333" i="3"/>
  <c r="CD333" i="3"/>
  <c r="CC333" i="3"/>
  <c r="CB333" i="3"/>
  <c r="CA333" i="3"/>
  <c r="BZ333" i="3"/>
  <c r="BY333" i="3"/>
  <c r="BX333" i="3"/>
  <c r="BW333" i="3"/>
  <c r="BV333" i="3"/>
  <c r="BU333" i="3"/>
  <c r="BT333" i="3"/>
  <c r="BS333" i="3"/>
  <c r="BR333" i="3"/>
  <c r="BQ333" i="3"/>
  <c r="BP333" i="3"/>
  <c r="BO333" i="3"/>
  <c r="BN333" i="3"/>
  <c r="BM333" i="3"/>
  <c r="BL333" i="3"/>
  <c r="BK333" i="3"/>
  <c r="BJ333" i="3"/>
  <c r="BI333" i="3"/>
  <c r="BH333" i="3"/>
  <c r="BG333" i="3"/>
  <c r="BF333" i="3"/>
  <c r="BE333" i="3"/>
  <c r="BD333" i="3"/>
  <c r="BC333" i="3"/>
  <c r="BB333" i="3"/>
  <c r="BA333" i="3"/>
  <c r="AZ333" i="3"/>
  <c r="AY333" i="3"/>
  <c r="AX333" i="3"/>
  <c r="AW333" i="3"/>
  <c r="AV333" i="3"/>
  <c r="AU333" i="3"/>
  <c r="AT333" i="3"/>
  <c r="AS333" i="3"/>
  <c r="AR333" i="3"/>
  <c r="AQ333" i="3"/>
  <c r="AP333" i="3"/>
  <c r="AO333" i="3"/>
  <c r="AN333" i="3"/>
  <c r="AM333" i="3"/>
  <c r="AL333" i="3"/>
  <c r="AK333" i="3"/>
  <c r="AJ333" i="3"/>
  <c r="AI333" i="3"/>
  <c r="AH333" i="3"/>
  <c r="AG333" i="3"/>
  <c r="AF333" i="3"/>
  <c r="AE333" i="3"/>
  <c r="AD333" i="3"/>
  <c r="AC333" i="3"/>
  <c r="AB333" i="3"/>
  <c r="AA333" i="3"/>
  <c r="Z333" i="3"/>
  <c r="Y333" i="3"/>
  <c r="X333" i="3"/>
  <c r="W333" i="3"/>
  <c r="V333" i="3"/>
  <c r="U333" i="3"/>
  <c r="T333" i="3"/>
  <c r="S333" i="3"/>
  <c r="R333" i="3"/>
  <c r="Q333" i="3"/>
  <c r="P333" i="3"/>
  <c r="O333" i="3"/>
  <c r="N333" i="3"/>
  <c r="M333" i="3"/>
  <c r="L333" i="3"/>
  <c r="K333" i="3"/>
  <c r="J333" i="3"/>
  <c r="I333" i="3"/>
  <c r="H333" i="3"/>
  <c r="G333" i="3"/>
  <c r="F333" i="3"/>
  <c r="E333" i="3"/>
  <c r="AE314" i="3"/>
  <c r="BS312" i="3"/>
  <c r="BM312" i="3"/>
  <c r="BJ312" i="3"/>
  <c r="BG312" i="3"/>
  <c r="AI312" i="3"/>
  <c r="AA312" i="3"/>
  <c r="X312" i="3"/>
  <c r="AM310" i="3"/>
  <c r="AG310" i="3"/>
  <c r="Z310" i="3"/>
  <c r="U310" i="3"/>
  <c r="BU308" i="3"/>
  <c r="BR308" i="3"/>
  <c r="BO308" i="3"/>
  <c r="BK308" i="3"/>
  <c r="BI308" i="3"/>
  <c r="O304" i="3"/>
  <c r="N304" i="3"/>
  <c r="BS302" i="3"/>
  <c r="BP302" i="3"/>
  <c r="BM302" i="3"/>
  <c r="AI300" i="3"/>
  <c r="AC300" i="3"/>
  <c r="BN298" i="3"/>
  <c r="BK298" i="3"/>
  <c r="BH298" i="3"/>
  <c r="BE298" i="3"/>
  <c r="AO296" i="3"/>
  <c r="AL296" i="3"/>
  <c r="AA296" i="3"/>
  <c r="X296" i="3"/>
  <c r="V296" i="3"/>
  <c r="Q296" i="3"/>
  <c r="H296" i="3"/>
  <c r="G296" i="3"/>
  <c r="F296" i="3"/>
  <c r="K292" i="3"/>
  <c r="AH290" i="3"/>
  <c r="BT288" i="3"/>
  <c r="BM288" i="3"/>
  <c r="BJ288" i="3"/>
  <c r="BG288" i="3"/>
  <c r="AO288" i="3"/>
  <c r="AL288" i="3"/>
  <c r="S288" i="3"/>
  <c r="L288" i="3"/>
  <c r="BS286" i="3"/>
  <c r="BP286" i="3"/>
  <c r="AO286" i="3"/>
  <c r="AJ286" i="3"/>
  <c r="AD286" i="3"/>
  <c r="Q286" i="3"/>
  <c r="AB284" i="3"/>
  <c r="Y284" i="3"/>
  <c r="O284" i="3"/>
  <c r="N284" i="3"/>
  <c r="BJ282" i="3"/>
  <c r="BG282" i="3"/>
  <c r="AB280" i="3"/>
  <c r="Y280" i="3"/>
  <c r="BK278" i="3"/>
  <c r="BE278" i="3"/>
  <c r="AB278" i="3"/>
  <c r="Y278" i="3"/>
  <c r="BN276" i="3"/>
  <c r="BK276" i="3"/>
  <c r="BH276" i="3"/>
  <c r="BE276" i="3"/>
  <c r="W276" i="3"/>
  <c r="AA272" i="3"/>
  <c r="X272" i="3"/>
  <c r="V272" i="3"/>
  <c r="V259" i="3" s="1"/>
  <c r="BV266" i="3"/>
  <c r="BQ266" i="3"/>
  <c r="BQ259" i="3" s="1"/>
  <c r="BP266" i="3"/>
  <c r="P266" i="3"/>
  <c r="O266" i="3"/>
  <c r="O259" i="3" s="1"/>
  <c r="M266" i="3"/>
  <c r="M259" i="3" s="1"/>
  <c r="K266" i="3"/>
  <c r="J266" i="3"/>
  <c r="J259" i="3" s="1"/>
  <c r="AJ264" i="3"/>
  <c r="AC264" i="3"/>
  <c r="AC259" i="3" s="1"/>
  <c r="AN262" i="3"/>
  <c r="DT259" i="3"/>
  <c r="DS259" i="3"/>
  <c r="DR259" i="3"/>
  <c r="DQ259" i="3"/>
  <c r="DP259" i="3"/>
  <c r="DO259" i="3"/>
  <c r="DN259" i="3"/>
  <c r="DM259" i="3"/>
  <c r="DL259" i="3"/>
  <c r="DK259" i="3"/>
  <c r="DJ259" i="3"/>
  <c r="DI259" i="3"/>
  <c r="DH259" i="3"/>
  <c r="DG259" i="3"/>
  <c r="DF259" i="3"/>
  <c r="DE259" i="3"/>
  <c r="DD259" i="3"/>
  <c r="DC259" i="3"/>
  <c r="DB259" i="3"/>
  <c r="DA259" i="3"/>
  <c r="CZ259" i="3"/>
  <c r="CY259" i="3"/>
  <c r="CX259" i="3"/>
  <c r="CW259" i="3"/>
  <c r="CV259" i="3"/>
  <c r="CU259" i="3"/>
  <c r="CT259" i="3"/>
  <c r="CS259" i="3"/>
  <c r="CR259" i="3"/>
  <c r="CQ259" i="3"/>
  <c r="CP259" i="3"/>
  <c r="CO259" i="3"/>
  <c r="CN259" i="3"/>
  <c r="CM259" i="3"/>
  <c r="CL259" i="3"/>
  <c r="CK259" i="3"/>
  <c r="CJ259" i="3"/>
  <c r="CI259" i="3"/>
  <c r="CH259" i="3"/>
  <c r="CG259" i="3"/>
  <c r="CF259" i="3"/>
  <c r="CE259" i="3"/>
  <c r="CD259" i="3"/>
  <c r="CC259" i="3"/>
  <c r="CB259" i="3"/>
  <c r="CA259" i="3"/>
  <c r="BZ259" i="3"/>
  <c r="BY259" i="3"/>
  <c r="BX259" i="3"/>
  <c r="BW259" i="3"/>
  <c r="BV259" i="3"/>
  <c r="BU259" i="3"/>
  <c r="BT259" i="3"/>
  <c r="BS259" i="3"/>
  <c r="BR259" i="3"/>
  <c r="BP259" i="3"/>
  <c r="BO259" i="3"/>
  <c r="BN259" i="3"/>
  <c r="BM259" i="3"/>
  <c r="BL259" i="3"/>
  <c r="BK259" i="3"/>
  <c r="BJ259" i="3"/>
  <c r="BI259" i="3"/>
  <c r="BH259" i="3"/>
  <c r="BG259" i="3"/>
  <c r="BF259" i="3"/>
  <c r="BE259" i="3"/>
  <c r="BD259" i="3"/>
  <c r="BC259" i="3"/>
  <c r="BB259" i="3"/>
  <c r="BA259" i="3"/>
  <c r="AZ259" i="3"/>
  <c r="AY259" i="3"/>
  <c r="AX259" i="3"/>
  <c r="AW259" i="3"/>
  <c r="AV259" i="3"/>
  <c r="AU259" i="3"/>
  <c r="AT259" i="3"/>
  <c r="AS259" i="3"/>
  <c r="AR259" i="3"/>
  <c r="AQ259" i="3"/>
  <c r="AP259" i="3"/>
  <c r="AO259" i="3"/>
  <c r="AN259" i="3"/>
  <c r="AM259" i="3"/>
  <c r="AL259" i="3"/>
  <c r="AK259" i="3"/>
  <c r="AJ259" i="3"/>
  <c r="AI259" i="3"/>
  <c r="AH259" i="3"/>
  <c r="AG259" i="3"/>
  <c r="AF259" i="3"/>
  <c r="AE259" i="3"/>
  <c r="AD259" i="3"/>
  <c r="AB259" i="3"/>
  <c r="AA259" i="3"/>
  <c r="Z259" i="3"/>
  <c r="Y259" i="3"/>
  <c r="X259" i="3"/>
  <c r="W259" i="3"/>
  <c r="U259" i="3"/>
  <c r="T259" i="3"/>
  <c r="S259" i="3"/>
  <c r="R259" i="3"/>
  <c r="Q259" i="3"/>
  <c r="P259" i="3"/>
  <c r="N259" i="3"/>
  <c r="L259" i="3"/>
  <c r="K259" i="3"/>
  <c r="I259" i="3"/>
  <c r="H259" i="3"/>
  <c r="G259" i="3"/>
  <c r="F259" i="3"/>
  <c r="E259" i="3"/>
  <c r="AV245" i="3"/>
  <c r="AM239" i="3"/>
  <c r="AJ239" i="3"/>
  <c r="BH235" i="3"/>
  <c r="AY235" i="3"/>
  <c r="AV235" i="3"/>
  <c r="AS235" i="3"/>
  <c r="BB233" i="3"/>
  <c r="BA233" i="3"/>
  <c r="BE229" i="3"/>
  <c r="BB229" i="3"/>
  <c r="AW229" i="3"/>
  <c r="AS229" i="3"/>
  <c r="AL229" i="3"/>
  <c r="AH229" i="3"/>
  <c r="AC229" i="3"/>
  <c r="BS227" i="3"/>
  <c r="BP227" i="3"/>
  <c r="BG225" i="3"/>
  <c r="AZ225" i="3"/>
  <c r="AY225" i="3"/>
  <c r="AX225" i="3"/>
  <c r="AU225" i="3"/>
  <c r="AF225" i="3"/>
  <c r="AA225" i="3"/>
  <c r="H225" i="3"/>
  <c r="BS223" i="3"/>
  <c r="BE223" i="3"/>
  <c r="AH221" i="3"/>
  <c r="AE221" i="3"/>
  <c r="AC221" i="3"/>
  <c r="BI217" i="3"/>
  <c r="BF217" i="3"/>
  <c r="AZ217" i="3"/>
  <c r="AT217" i="3"/>
  <c r="BR215" i="3"/>
  <c r="AL215" i="3"/>
  <c r="AI215" i="3"/>
  <c r="BG213" i="3"/>
  <c r="AX213" i="3"/>
  <c r="AU213" i="3"/>
  <c r="Z213" i="3"/>
  <c r="BQ211" i="3"/>
  <c r="BG211" i="3"/>
  <c r="AX211" i="3"/>
  <c r="AU211" i="3"/>
  <c r="AN211" i="3"/>
  <c r="AK211" i="3"/>
  <c r="AB211" i="3"/>
  <c r="BS209" i="3"/>
  <c r="BB207" i="3"/>
  <c r="AV207" i="3"/>
  <c r="AS207" i="3"/>
  <c r="AT205" i="3"/>
  <c r="BH201" i="3"/>
  <c r="BG201" i="3"/>
  <c r="X201" i="3"/>
  <c r="BQ199" i="3"/>
  <c r="AY199" i="3"/>
  <c r="AX199" i="3"/>
  <c r="AF197" i="3"/>
  <c r="BS195" i="3"/>
  <c r="AO195" i="3"/>
  <c r="AO192" i="3" s="1"/>
  <c r="AI195" i="3"/>
  <c r="DT192" i="3"/>
  <c r="DS192" i="3"/>
  <c r="DR192" i="3"/>
  <c r="DQ192" i="3"/>
  <c r="DP192" i="3"/>
  <c r="DO192" i="3"/>
  <c r="DN192" i="3"/>
  <c r="DM192" i="3"/>
  <c r="DL192" i="3"/>
  <c r="DK192" i="3"/>
  <c r="DJ192" i="3"/>
  <c r="DI192" i="3"/>
  <c r="DH192" i="3"/>
  <c r="DG192" i="3"/>
  <c r="DF192" i="3"/>
  <c r="DE192" i="3"/>
  <c r="DD192" i="3"/>
  <c r="DC192" i="3"/>
  <c r="DB192" i="3"/>
  <c r="DA192" i="3"/>
  <c r="CZ192" i="3"/>
  <c r="CY192" i="3"/>
  <c r="CX192" i="3"/>
  <c r="CW192" i="3"/>
  <c r="CV192" i="3"/>
  <c r="CU192" i="3"/>
  <c r="CT192" i="3"/>
  <c r="CS192" i="3"/>
  <c r="CR192" i="3"/>
  <c r="CQ192" i="3"/>
  <c r="CP192" i="3"/>
  <c r="CO192" i="3"/>
  <c r="CN192" i="3"/>
  <c r="CM192" i="3"/>
  <c r="CL192" i="3"/>
  <c r="CK192" i="3"/>
  <c r="CJ192" i="3"/>
  <c r="CI192" i="3"/>
  <c r="CH192" i="3"/>
  <c r="CG192" i="3"/>
  <c r="CF192" i="3"/>
  <c r="CE192" i="3"/>
  <c r="CD192" i="3"/>
  <c r="CC192" i="3"/>
  <c r="CB192" i="3"/>
  <c r="CA192" i="3"/>
  <c r="BZ192" i="3"/>
  <c r="BY192" i="3"/>
  <c r="BX192" i="3"/>
  <c r="BW192" i="3"/>
  <c r="BV192" i="3"/>
  <c r="BU192" i="3"/>
  <c r="BT192" i="3"/>
  <c r="BS192" i="3"/>
  <c r="BR192" i="3"/>
  <c r="BQ192" i="3"/>
  <c r="BP192" i="3"/>
  <c r="BO192" i="3"/>
  <c r="BN192" i="3"/>
  <c r="BM192" i="3"/>
  <c r="BL192" i="3"/>
  <c r="BK192" i="3"/>
  <c r="BJ192" i="3"/>
  <c r="BI192" i="3"/>
  <c r="BH192" i="3"/>
  <c r="BG192" i="3"/>
  <c r="BF192" i="3"/>
  <c r="BE192" i="3"/>
  <c r="BD192" i="3"/>
  <c r="BC192" i="3"/>
  <c r="BB192" i="3"/>
  <c r="BA192" i="3"/>
  <c r="AZ192" i="3"/>
  <c r="AY192" i="3"/>
  <c r="AX192" i="3"/>
  <c r="AW192" i="3"/>
  <c r="AV192" i="3"/>
  <c r="AU192" i="3"/>
  <c r="AT192" i="3"/>
  <c r="AS192" i="3"/>
  <c r="AR192" i="3"/>
  <c r="AQ192" i="3"/>
  <c r="AP192" i="3"/>
  <c r="AN192" i="3"/>
  <c r="AM192" i="3"/>
  <c r="AL192" i="3"/>
  <c r="AK192" i="3"/>
  <c r="AJ192" i="3"/>
  <c r="AI192" i="3"/>
  <c r="AH192" i="3"/>
  <c r="AG192" i="3"/>
  <c r="AF192" i="3"/>
  <c r="AE192" i="3"/>
  <c r="AD192" i="3"/>
  <c r="AC192" i="3"/>
  <c r="AB192" i="3"/>
  <c r="AA192" i="3"/>
  <c r="Z192" i="3"/>
  <c r="Y192" i="3"/>
  <c r="X192" i="3"/>
  <c r="W192" i="3"/>
  <c r="V192" i="3"/>
  <c r="U192" i="3"/>
  <c r="T192" i="3"/>
  <c r="S192" i="3"/>
  <c r="R192" i="3"/>
  <c r="Q192" i="3"/>
  <c r="P192" i="3"/>
  <c r="O192" i="3"/>
  <c r="N192" i="3"/>
  <c r="M192" i="3"/>
  <c r="L192" i="3"/>
  <c r="K192" i="3"/>
  <c r="J192" i="3"/>
  <c r="I192" i="3"/>
  <c r="H192" i="3"/>
  <c r="G192" i="3"/>
  <c r="F192" i="3"/>
  <c r="E192" i="3"/>
  <c r="AV179" i="3"/>
  <c r="AS179" i="3"/>
  <c r="AV175" i="3"/>
  <c r="AS175" i="3"/>
  <c r="AM173" i="3"/>
  <c r="AJ173" i="3"/>
  <c r="AV165" i="3"/>
  <c r="AS165" i="3"/>
  <c r="BB163" i="3"/>
  <c r="BA163" i="3"/>
  <c r="AF161" i="3"/>
  <c r="R159" i="3"/>
  <c r="P159" i="3"/>
  <c r="AX157" i="3"/>
  <c r="AF157" i="3"/>
  <c r="T157" i="3"/>
  <c r="H157" i="3"/>
  <c r="G157" i="3"/>
  <c r="F157" i="3"/>
  <c r="BB155" i="3"/>
  <c r="AW155" i="3"/>
  <c r="AS155" i="3"/>
  <c r="AH153" i="3"/>
  <c r="AE153" i="3"/>
  <c r="AC153" i="3"/>
  <c r="M153" i="3"/>
  <c r="AL151" i="3"/>
  <c r="AI151" i="3"/>
  <c r="N151" i="3"/>
  <c r="AX149" i="3"/>
  <c r="Z149" i="3"/>
  <c r="R149" i="3"/>
  <c r="P149" i="3"/>
  <c r="AX147" i="3"/>
  <c r="AK147" i="3"/>
  <c r="AB147" i="3"/>
  <c r="V147" i="3"/>
  <c r="T147" i="3"/>
  <c r="BB145" i="3"/>
  <c r="AV145" i="3"/>
  <c r="AS145" i="3"/>
  <c r="AH145" i="3"/>
  <c r="AF137" i="3"/>
  <c r="AY135" i="3"/>
  <c r="AL135" i="3"/>
  <c r="AI135" i="3"/>
  <c r="AD135" i="3"/>
  <c r="W135" i="3"/>
  <c r="V135" i="3"/>
  <c r="S135" i="3"/>
  <c r="S132" i="3" s="1"/>
  <c r="Q135" i="3"/>
  <c r="O135" i="3"/>
  <c r="M135" i="3"/>
  <c r="M132" i="3" s="1"/>
  <c r="L135" i="3"/>
  <c r="DT132" i="3"/>
  <c r="DS132" i="3"/>
  <c r="DR132" i="3"/>
  <c r="DQ132" i="3"/>
  <c r="DP132" i="3"/>
  <c r="DO132" i="3"/>
  <c r="DN132" i="3"/>
  <c r="DM132" i="3"/>
  <c r="DL132" i="3"/>
  <c r="DK132" i="3"/>
  <c r="DJ132" i="3"/>
  <c r="DI132" i="3"/>
  <c r="DH132" i="3"/>
  <c r="DG132" i="3"/>
  <c r="DF132" i="3"/>
  <c r="DE132" i="3"/>
  <c r="DD132" i="3"/>
  <c r="DC132" i="3"/>
  <c r="DB132" i="3"/>
  <c r="DA132" i="3"/>
  <c r="CZ132" i="3"/>
  <c r="CY132" i="3"/>
  <c r="CX132" i="3"/>
  <c r="CW132" i="3"/>
  <c r="CV132" i="3"/>
  <c r="CU132" i="3"/>
  <c r="CT132" i="3"/>
  <c r="CS132" i="3"/>
  <c r="CR132" i="3"/>
  <c r="CQ132" i="3"/>
  <c r="CP132" i="3"/>
  <c r="CO132" i="3"/>
  <c r="CN132" i="3"/>
  <c r="CM132" i="3"/>
  <c r="CL132" i="3"/>
  <c r="CK132" i="3"/>
  <c r="CJ132" i="3"/>
  <c r="CI132" i="3"/>
  <c r="CH132" i="3"/>
  <c r="CG132" i="3"/>
  <c r="CF132" i="3"/>
  <c r="CE132" i="3"/>
  <c r="CD132" i="3"/>
  <c r="CC132" i="3"/>
  <c r="CB132" i="3"/>
  <c r="CA132" i="3"/>
  <c r="BZ132" i="3"/>
  <c r="BY132" i="3"/>
  <c r="BX132" i="3"/>
  <c r="BW132" i="3"/>
  <c r="BV132" i="3"/>
  <c r="BU132" i="3"/>
  <c r="BT132" i="3"/>
  <c r="BS132" i="3"/>
  <c r="BR132" i="3"/>
  <c r="BQ132" i="3"/>
  <c r="BP132" i="3"/>
  <c r="BO132" i="3"/>
  <c r="BN132" i="3"/>
  <c r="BM132" i="3"/>
  <c r="BL132" i="3"/>
  <c r="BK132" i="3"/>
  <c r="BJ132" i="3"/>
  <c r="BI132" i="3"/>
  <c r="BH132" i="3"/>
  <c r="BG132" i="3"/>
  <c r="BF132" i="3"/>
  <c r="BE132" i="3"/>
  <c r="BD132" i="3"/>
  <c r="BC132" i="3"/>
  <c r="BB132" i="3"/>
  <c r="BA132" i="3"/>
  <c r="AZ132" i="3"/>
  <c r="AY132" i="3"/>
  <c r="AX132" i="3"/>
  <c r="AW132" i="3"/>
  <c r="AV132" i="3"/>
  <c r="AU132" i="3"/>
  <c r="AT132" i="3"/>
  <c r="AS132" i="3"/>
  <c r="AR132" i="3"/>
  <c r="AQ132" i="3"/>
  <c r="AP132" i="3"/>
  <c r="AO132" i="3"/>
  <c r="AN132" i="3"/>
  <c r="AM132" i="3"/>
  <c r="AL132" i="3"/>
  <c r="AK132" i="3"/>
  <c r="AJ132" i="3"/>
  <c r="AI132" i="3"/>
  <c r="AH132" i="3"/>
  <c r="AG132" i="3"/>
  <c r="AF132" i="3"/>
  <c r="AE132" i="3"/>
  <c r="AD132" i="3"/>
  <c r="AC132" i="3"/>
  <c r="AB132" i="3"/>
  <c r="AA132" i="3"/>
  <c r="Z132" i="3"/>
  <c r="Y132" i="3"/>
  <c r="X132" i="3"/>
  <c r="W132" i="3"/>
  <c r="V132" i="3"/>
  <c r="U132" i="3"/>
  <c r="T132" i="3"/>
  <c r="R132" i="3"/>
  <c r="Q132" i="3"/>
  <c r="P132" i="3"/>
  <c r="O132" i="3"/>
  <c r="N132" i="3"/>
  <c r="L132" i="3"/>
  <c r="K132" i="3"/>
  <c r="J132" i="3"/>
  <c r="I132" i="3"/>
  <c r="H132" i="3"/>
  <c r="G132" i="3"/>
  <c r="F132" i="3"/>
  <c r="E132" i="3"/>
  <c r="BH111" i="3"/>
  <c r="AY111" i="3"/>
  <c r="AV111" i="3"/>
  <c r="AS111" i="3"/>
  <c r="AH111" i="3"/>
  <c r="BS109" i="3"/>
  <c r="BA109" i="3"/>
  <c r="AT107" i="3"/>
  <c r="AF107" i="3"/>
  <c r="BI105" i="3"/>
  <c r="BF105" i="3"/>
  <c r="AZ105" i="3"/>
  <c r="AW105" i="3"/>
  <c r="BS103" i="3"/>
  <c r="BS101" i="3"/>
  <c r="BP101" i="3"/>
  <c r="BG101" i="3"/>
  <c r="AZ101" i="3"/>
  <c r="AY101" i="3"/>
  <c r="AX101" i="3"/>
  <c r="AU101" i="3"/>
  <c r="AF101" i="3"/>
  <c r="W101" i="3"/>
  <c r="U101" i="3"/>
  <c r="Q101" i="3"/>
  <c r="H101" i="3"/>
  <c r="F101" i="3"/>
  <c r="BC99" i="3"/>
  <c r="AS99" i="3"/>
  <c r="AH97" i="3"/>
  <c r="AE97" i="3"/>
  <c r="M97" i="3"/>
  <c r="BP95" i="3"/>
  <c r="AL95" i="3"/>
  <c r="AI95" i="3"/>
  <c r="M95" i="3"/>
  <c r="BG93" i="3"/>
  <c r="AX93" i="3"/>
  <c r="AU93" i="3"/>
  <c r="Z93" i="3"/>
  <c r="O93" i="3"/>
  <c r="BG91" i="3"/>
  <c r="AX91" i="3"/>
  <c r="AU91" i="3"/>
  <c r="AN91" i="3"/>
  <c r="AK91" i="3"/>
  <c r="AB91" i="3"/>
  <c r="T91" i="3"/>
  <c r="Q91" i="3"/>
  <c r="BC89" i="3"/>
  <c r="AU89" i="3"/>
  <c r="AS89" i="3"/>
  <c r="BG81" i="3"/>
  <c r="AF81" i="3"/>
  <c r="BS79" i="3"/>
  <c r="BS76" i="3" s="1"/>
  <c r="BP79" i="3"/>
  <c r="BH79" i="3"/>
  <c r="AY79" i="3"/>
  <c r="AL79" i="3"/>
  <c r="AL76" i="3" s="1"/>
  <c r="AI79" i="3"/>
  <c r="AD79" i="3"/>
  <c r="S79" i="3"/>
  <c r="P79" i="3"/>
  <c r="N79" i="3"/>
  <c r="M79" i="3"/>
  <c r="M76" i="3" s="1"/>
  <c r="L79" i="3"/>
  <c r="DT76" i="3"/>
  <c r="DS76" i="3"/>
  <c r="DR76" i="3"/>
  <c r="DQ76" i="3"/>
  <c r="DP76" i="3"/>
  <c r="DO76" i="3"/>
  <c r="DN76" i="3"/>
  <c r="DM76" i="3"/>
  <c r="DL76" i="3"/>
  <c r="DK76" i="3"/>
  <c r="DJ76" i="3"/>
  <c r="DI76" i="3"/>
  <c r="DH76" i="3"/>
  <c r="DG76" i="3"/>
  <c r="DF76" i="3"/>
  <c r="DE76" i="3"/>
  <c r="DD76" i="3"/>
  <c r="DC76" i="3"/>
  <c r="DB76" i="3"/>
  <c r="DA76" i="3"/>
  <c r="CZ76" i="3"/>
  <c r="CY76" i="3"/>
  <c r="CX76" i="3"/>
  <c r="CW76" i="3"/>
  <c r="CV76" i="3"/>
  <c r="CU76" i="3"/>
  <c r="CT76" i="3"/>
  <c r="CS76" i="3"/>
  <c r="CR76" i="3"/>
  <c r="CQ76" i="3"/>
  <c r="CP76" i="3"/>
  <c r="CO76" i="3"/>
  <c r="CN76" i="3"/>
  <c r="CM76" i="3"/>
  <c r="CL76" i="3"/>
  <c r="CK76" i="3"/>
  <c r="CJ76" i="3"/>
  <c r="CI76" i="3"/>
  <c r="CH76" i="3"/>
  <c r="CG76" i="3"/>
  <c r="CF76" i="3"/>
  <c r="CE76" i="3"/>
  <c r="CD76" i="3"/>
  <c r="CC76" i="3"/>
  <c r="CB76" i="3"/>
  <c r="CA76" i="3"/>
  <c r="BZ76" i="3"/>
  <c r="BY76" i="3"/>
  <c r="BX76" i="3"/>
  <c r="BW76" i="3"/>
  <c r="BV76" i="3"/>
  <c r="BU76" i="3"/>
  <c r="BT76" i="3"/>
  <c r="BR76" i="3"/>
  <c r="BQ76" i="3"/>
  <c r="BP76" i="3"/>
  <c r="BO76" i="3"/>
  <c r="BN76" i="3"/>
  <c r="BM76" i="3"/>
  <c r="BL76" i="3"/>
  <c r="BK76" i="3"/>
  <c r="BJ76" i="3"/>
  <c r="BI76" i="3"/>
  <c r="BH76" i="3"/>
  <c r="BG76" i="3"/>
  <c r="BF76" i="3"/>
  <c r="BE76" i="3"/>
  <c r="BD76" i="3"/>
  <c r="BC76" i="3"/>
  <c r="BB76" i="3"/>
  <c r="BA76" i="3"/>
  <c r="AZ76" i="3"/>
  <c r="AY76" i="3"/>
  <c r="AX76" i="3"/>
  <c r="AW76" i="3"/>
  <c r="AV76" i="3"/>
  <c r="AU76" i="3"/>
  <c r="AT76" i="3"/>
  <c r="AS76" i="3"/>
  <c r="AR76" i="3"/>
  <c r="AQ76" i="3"/>
  <c r="AP76" i="3"/>
  <c r="AO76" i="3"/>
  <c r="AN76" i="3"/>
  <c r="AM76" i="3"/>
  <c r="AK76" i="3"/>
  <c r="AJ76" i="3"/>
  <c r="AI76" i="3"/>
  <c r="AH76" i="3"/>
  <c r="AG76" i="3"/>
  <c r="AF76" i="3"/>
  <c r="AE76" i="3"/>
  <c r="AD76" i="3"/>
  <c r="AC76" i="3"/>
  <c r="AB76" i="3"/>
  <c r="AA76" i="3"/>
  <c r="Z76" i="3"/>
  <c r="Y76" i="3"/>
  <c r="X76" i="3"/>
  <c r="W76" i="3"/>
  <c r="V76" i="3"/>
  <c r="U76" i="3"/>
  <c r="T76" i="3"/>
  <c r="S76" i="3"/>
  <c r="R76" i="3"/>
  <c r="Q76" i="3"/>
  <c r="P76" i="3"/>
  <c r="O76" i="3"/>
  <c r="N76" i="3"/>
  <c r="L76" i="3"/>
  <c r="K76" i="3"/>
  <c r="J76" i="3"/>
  <c r="I76" i="3"/>
  <c r="H76" i="3"/>
  <c r="G76" i="3"/>
  <c r="F76" i="3"/>
  <c r="E76" i="3"/>
  <c r="DT67" i="3"/>
  <c r="DS67" i="3"/>
  <c r="DR67" i="3"/>
  <c r="DQ67" i="3"/>
  <c r="DP67" i="3"/>
  <c r="DO67" i="3"/>
  <c r="DN67" i="3"/>
  <c r="DM67" i="3"/>
  <c r="DL67" i="3"/>
  <c r="DK67" i="3"/>
  <c r="DJ67" i="3"/>
  <c r="DI67" i="3"/>
  <c r="DH67" i="3"/>
  <c r="DG67" i="3"/>
  <c r="DF67" i="3"/>
  <c r="DE67" i="3"/>
  <c r="DD67" i="3"/>
  <c r="DC67" i="3"/>
  <c r="DB67" i="3"/>
  <c r="DA67" i="3"/>
  <c r="CZ67" i="3"/>
  <c r="CY67" i="3"/>
  <c r="CX67" i="3"/>
  <c r="CW67" i="3"/>
  <c r="CV67" i="3"/>
  <c r="CU67" i="3"/>
  <c r="CT67" i="3"/>
  <c r="CS67" i="3"/>
  <c r="CR67" i="3"/>
  <c r="CQ67" i="3"/>
  <c r="CP67" i="3"/>
  <c r="CO67" i="3"/>
  <c r="CN67" i="3"/>
  <c r="CM67" i="3"/>
  <c r="CL67" i="3"/>
  <c r="CK67" i="3"/>
  <c r="CJ67" i="3"/>
  <c r="CI67" i="3"/>
  <c r="CH67" i="3"/>
  <c r="AR67" i="3"/>
  <c r="AQ67" i="3"/>
  <c r="AP67" i="3"/>
  <c r="AV63" i="3"/>
  <c r="AS63" i="3"/>
  <c r="AV59" i="3"/>
  <c r="BH55" i="3"/>
  <c r="AY55" i="3"/>
  <c r="AV55" i="3"/>
  <c r="AS55" i="3"/>
  <c r="AF55" i="3"/>
  <c r="AA55" i="3"/>
  <c r="BS53" i="3"/>
  <c r="BE53" i="3"/>
  <c r="BB53" i="3"/>
  <c r="BA53" i="3"/>
  <c r="BE51" i="3"/>
  <c r="BB51" i="3"/>
  <c r="AS51" i="3"/>
  <c r="AC51" i="3"/>
  <c r="Y51" i="3"/>
  <c r="BS49" i="3"/>
  <c r="BP49" i="3"/>
  <c r="BG47" i="3"/>
  <c r="AY47" i="3"/>
  <c r="AX47" i="3"/>
  <c r="AU47" i="3"/>
  <c r="AF47" i="3"/>
  <c r="AE45" i="3"/>
  <c r="AC45" i="3"/>
  <c r="AB43" i="3"/>
  <c r="BP41" i="3"/>
  <c r="AL41" i="3"/>
  <c r="AH41" i="3"/>
  <c r="BG39" i="3"/>
  <c r="AX39" i="3"/>
  <c r="AU39" i="3"/>
  <c r="Z39" i="3"/>
  <c r="BQ37" i="3"/>
  <c r="BG37" i="3"/>
  <c r="BA37" i="3"/>
  <c r="AX37" i="3"/>
  <c r="AN37" i="3"/>
  <c r="AB37" i="3"/>
  <c r="AZ35" i="3"/>
  <c r="AW35" i="3"/>
  <c r="AT35" i="3"/>
  <c r="BS31" i="3"/>
  <c r="BB29" i="3"/>
  <c r="AV29" i="3"/>
  <c r="AS29" i="3"/>
  <c r="BG21" i="3"/>
  <c r="AU21" i="3"/>
  <c r="AN21" i="3"/>
  <c r="BS19" i="3"/>
  <c r="BP19" i="3"/>
  <c r="BP16" i="3" s="1"/>
  <c r="BH19" i="3"/>
  <c r="AY19" i="3"/>
  <c r="AY16" i="3" s="1"/>
  <c r="AX19" i="3"/>
  <c r="AX16" i="3" s="1"/>
  <c r="AL19" i="3"/>
  <c r="AL16" i="3" s="1"/>
  <c r="AI19" i="3"/>
  <c r="AD19" i="3"/>
  <c r="AD16" i="3" s="1"/>
  <c r="DT16" i="3"/>
  <c r="DS16" i="3"/>
  <c r="DR16" i="3"/>
  <c r="DQ16" i="3"/>
  <c r="DP16" i="3"/>
  <c r="DO16" i="3"/>
  <c r="DN16" i="3"/>
  <c r="DM16" i="3"/>
  <c r="DL16" i="3"/>
  <c r="DK16" i="3"/>
  <c r="DJ16" i="3"/>
  <c r="DI16" i="3"/>
  <c r="DH16" i="3"/>
  <c r="DG16" i="3"/>
  <c r="DF16" i="3"/>
  <c r="DE16" i="3"/>
  <c r="DD16" i="3"/>
  <c r="DC16" i="3"/>
  <c r="DB16" i="3"/>
  <c r="DA16" i="3"/>
  <c r="CZ16" i="3"/>
  <c r="CY16" i="3"/>
  <c r="CX16" i="3"/>
  <c r="CW16" i="3"/>
  <c r="CV16" i="3"/>
  <c r="CU16" i="3"/>
  <c r="CT16" i="3"/>
  <c r="CS16" i="3"/>
  <c r="CR16" i="3"/>
  <c r="CQ16" i="3"/>
  <c r="CP16" i="3"/>
  <c r="CO16" i="3"/>
  <c r="CN16" i="3"/>
  <c r="CM16" i="3"/>
  <c r="CL16" i="3"/>
  <c r="CK16" i="3"/>
  <c r="CJ16" i="3"/>
  <c r="CI16" i="3"/>
  <c r="CH16" i="3"/>
  <c r="CG16" i="3"/>
  <c r="CF16" i="3"/>
  <c r="CE16" i="3"/>
  <c r="CD16" i="3"/>
  <c r="CC16" i="3"/>
  <c r="CB16" i="3"/>
  <c r="CA16" i="3"/>
  <c r="BZ16" i="3"/>
  <c r="BY16" i="3"/>
  <c r="BX16" i="3"/>
  <c r="BW16" i="3"/>
  <c r="BV16" i="3"/>
  <c r="BU16" i="3"/>
  <c r="BT16" i="3"/>
  <c r="BS16" i="3"/>
  <c r="BR16" i="3"/>
  <c r="BQ16" i="3"/>
  <c r="BO16" i="3"/>
  <c r="BN16" i="3"/>
  <c r="BM16" i="3"/>
  <c r="BL16" i="3"/>
  <c r="BK16" i="3"/>
  <c r="BJ16" i="3"/>
  <c r="BI16" i="3"/>
  <c r="BH16" i="3"/>
  <c r="BG16" i="3"/>
  <c r="BF16" i="3"/>
  <c r="BE16" i="3"/>
  <c r="BD16" i="3"/>
  <c r="BC16" i="3"/>
  <c r="BB16" i="3"/>
  <c r="BA16" i="3"/>
  <c r="AZ16" i="3"/>
  <c r="AW16" i="3"/>
  <c r="AV16" i="3"/>
  <c r="AU16" i="3"/>
  <c r="AT16" i="3"/>
  <c r="AS16" i="3"/>
  <c r="AR16" i="3"/>
  <c r="AQ16" i="3"/>
  <c r="AP16" i="3"/>
  <c r="AO16" i="3"/>
  <c r="AN16" i="3"/>
  <c r="AM16" i="3"/>
  <c r="AK16" i="3"/>
  <c r="AJ16" i="3"/>
  <c r="AI16" i="3"/>
  <c r="AH16" i="3"/>
  <c r="AG16" i="3"/>
  <c r="AF16" i="3"/>
  <c r="AE16" i="3"/>
  <c r="AC16" i="3"/>
  <c r="AB16" i="3"/>
  <c r="AA16" i="3"/>
  <c r="Z16" i="3"/>
  <c r="Y16" i="3"/>
  <c r="X16" i="3"/>
  <c r="W16" i="3"/>
  <c r="V16" i="3"/>
  <c r="U16" i="3"/>
  <c r="T16" i="3"/>
  <c r="S16" i="3"/>
  <c r="R16" i="3"/>
  <c r="Q16" i="3"/>
  <c r="P16" i="3"/>
  <c r="O16" i="3"/>
  <c r="N16" i="3"/>
  <c r="M16" i="3"/>
  <c r="L16" i="3"/>
  <c r="K16" i="3"/>
  <c r="J16" i="3"/>
  <c r="I16" i="3"/>
  <c r="H16" i="3"/>
  <c r="G16" i="3"/>
  <c r="F16" i="3"/>
  <c r="E16" i="3"/>
  <c r="CC2" i="3"/>
  <c r="CB2" i="3"/>
  <c r="CA2" i="3"/>
  <c r="BZ2" i="3"/>
  <c r="BY2" i="3"/>
  <c r="CE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default-user</author>
    <author>andrewk</author>
  </authors>
  <commentList>
    <comment ref="CC1" authorId="0" shapeId="0" xr:uid="{5698C5D8-2299-4BA1-A8E9-478AEEA67408}">
      <text>
        <r>
          <rPr>
            <b/>
            <sz val="10"/>
            <color indexed="81"/>
            <rFont val="Tahoma"/>
            <family val="2"/>
          </rPr>
          <t>Brzycki, Matt. (1998). A Practical Approach to Strength Training. McGraw-Hill</t>
        </r>
      </text>
    </comment>
    <comment ref="AU21" authorId="1" shapeId="0" xr:uid="{B463E502-BC08-4C3D-842D-643EE089C02E}">
      <text>
        <r>
          <rPr>
            <b/>
            <sz val="9"/>
            <color indexed="81"/>
            <rFont val="Tahoma"/>
            <family val="2"/>
          </rPr>
          <t>andrewk:</t>
        </r>
        <r>
          <rPr>
            <sz val="9"/>
            <color indexed="81"/>
            <rFont val="Tahoma"/>
            <family val="2"/>
          </rPr>
          <t xml:space="preserve">
8 x 160, 170, 180</t>
        </r>
      </text>
    </comment>
    <comment ref="AV29" authorId="1" shapeId="0" xr:uid="{DF6B7C4F-9F45-44A4-9572-CD1B4CD0482F}">
      <text>
        <r>
          <rPr>
            <b/>
            <sz val="9"/>
            <color indexed="81"/>
            <rFont val="Tahoma"/>
            <family val="2"/>
          </rPr>
          <t>andrewk:</t>
        </r>
        <r>
          <rPr>
            <sz val="9"/>
            <color indexed="81"/>
            <rFont val="Tahoma"/>
            <family val="2"/>
          </rPr>
          <t xml:space="preserve">
5 x 120, 130, 130, 140</t>
        </r>
      </text>
    </comment>
  </commentList>
</comments>
</file>

<file path=xl/sharedStrings.xml><?xml version="1.0" encoding="utf-8"?>
<sst xmlns="http://schemas.openxmlformats.org/spreadsheetml/2006/main" count="7287" uniqueCount="571">
  <si>
    <t>Order</t>
  </si>
  <si>
    <t>First Name</t>
  </si>
  <si>
    <t>Last Name</t>
  </si>
  <si>
    <t>Date</t>
  </si>
  <si>
    <t>Lift</t>
  </si>
  <si>
    <t>Test or Training</t>
  </si>
  <si>
    <t>Belt</t>
  </si>
  <si>
    <t>Details</t>
  </si>
  <si>
    <t>Phase</t>
  </si>
  <si>
    <t>Weight</t>
  </si>
  <si>
    <t>Reps</t>
  </si>
  <si>
    <t>1RM</t>
  </si>
  <si>
    <t>Bodyweight</t>
  </si>
  <si>
    <t>Depth</t>
  </si>
  <si>
    <t>Notes</t>
  </si>
  <si>
    <t>Old Reps &amp; Notes</t>
  </si>
  <si>
    <t>Ethan</t>
  </si>
  <si>
    <t>Mitchell</t>
  </si>
  <si>
    <t>Back Squat</t>
  </si>
  <si>
    <t>Training</t>
  </si>
  <si>
    <t>Yes</t>
  </si>
  <si>
    <t>&lt;Parallel</t>
  </si>
  <si>
    <t>Gus</t>
  </si>
  <si>
    <t>Leg Press - Single Legged</t>
  </si>
  <si>
    <t>&lt;90Deg</t>
  </si>
  <si>
    <t>Bench Press</t>
  </si>
  <si>
    <t>Power Clean</t>
  </si>
  <si>
    <t>Matt</t>
  </si>
  <si>
    <t>Archibold</t>
  </si>
  <si>
    <t>Box Squat</t>
  </si>
  <si>
    <t>40cm</t>
  </si>
  <si>
    <t>Sam W</t>
  </si>
  <si>
    <t>Webster</t>
  </si>
  <si>
    <t>Simon</t>
  </si>
  <si>
    <t>Van Velt Hooven</t>
  </si>
  <si>
    <t>Depth? Belt, Damian</t>
  </si>
  <si>
    <t>Damian</t>
  </si>
  <si>
    <t>Rissy</t>
  </si>
  <si>
    <t>Jem</t>
  </si>
  <si>
    <t>Presbury</t>
  </si>
  <si>
    <t>Jonesy</t>
  </si>
  <si>
    <t>Steph</t>
  </si>
  <si>
    <t>McKenzie</t>
  </si>
  <si>
    <t>Trap Bar Deadlift</t>
  </si>
  <si>
    <t>From the Knees</t>
  </si>
  <si>
    <t>MTP</t>
  </si>
  <si>
    <t>Hang Clean</t>
  </si>
  <si>
    <t>Eddie</t>
  </si>
  <si>
    <t>Dawkins</t>
  </si>
  <si>
    <t>Deadlifts</t>
  </si>
  <si>
    <t>Thruster</t>
  </si>
  <si>
    <t>Ethan does not remember this</t>
  </si>
  <si>
    <t>50cm</t>
  </si>
  <si>
    <t>Clean Pulls</t>
  </si>
  <si>
    <t>No</t>
  </si>
  <si>
    <t>3-2-1 (15sec)</t>
  </si>
  <si>
    <t xml:space="preserve">3-2-1 (15sec) </t>
  </si>
  <si>
    <t>Will</t>
  </si>
  <si>
    <t>Test</t>
  </si>
  <si>
    <t>43cm</t>
  </si>
  <si>
    <t>Post-Mexico WC</t>
  </si>
  <si>
    <t>35cm</t>
  </si>
  <si>
    <t>Seated Hamstring Curls - Single Legged</t>
  </si>
  <si>
    <t>Zac</t>
  </si>
  <si>
    <t>Williams</t>
  </si>
  <si>
    <t>RDL</t>
  </si>
  <si>
    <t>Japan (Pre-Strength day)</t>
  </si>
  <si>
    <t>Leg Press</t>
  </si>
  <si>
    <t>Front Squat</t>
  </si>
  <si>
    <t>ATG</t>
  </si>
  <si>
    <t>Trap Bar RDLs</t>
  </si>
  <si>
    <t>Leg Extension</t>
  </si>
  <si>
    <t>&gt;20 reps</t>
  </si>
  <si>
    <t>Matrix</t>
  </si>
  <si>
    <t>Deep</t>
  </si>
  <si>
    <t>Good Mornings</t>
  </si>
  <si>
    <t>Left?</t>
  </si>
  <si>
    <t>Right?</t>
  </si>
  <si>
    <t>Good Morning</t>
  </si>
  <si>
    <t>Pin 5</t>
  </si>
  <si>
    <t>Sore Knee- Ham Curl</t>
  </si>
  <si>
    <t>Japan (Strength Day)</t>
  </si>
  <si>
    <t>34cm</t>
  </si>
  <si>
    <t>3 Rep Test</t>
  </si>
  <si>
    <t>Basic Strength (WK6)</t>
  </si>
  <si>
    <t>(203 x 3 Reps)</t>
  </si>
  <si>
    <t>(185 x 3 Reps)</t>
  </si>
  <si>
    <t>Archibald</t>
  </si>
  <si>
    <t>40cm Box</t>
  </si>
  <si>
    <t>(1 Rep, 40cm Box)</t>
  </si>
  <si>
    <t>(160 x 3 Reps)</t>
  </si>
  <si>
    <t>Japan</t>
  </si>
  <si>
    <t>(Japan)</t>
  </si>
  <si>
    <t>(155 x 6 Reps)</t>
  </si>
  <si>
    <t>Mackenzie</t>
  </si>
  <si>
    <t>Jeremy</t>
  </si>
  <si>
    <t>Sheppard</t>
  </si>
  <si>
    <t/>
  </si>
  <si>
    <t>Was Sick</t>
  </si>
  <si>
    <t>90 Deg</t>
  </si>
  <si>
    <t>Japan (Power 1)</t>
  </si>
  <si>
    <t>BB Squat Jumps</t>
  </si>
  <si>
    <t>Japan (Power 2)</t>
  </si>
  <si>
    <t>Hip Flexor - Total Hip</t>
  </si>
  <si>
    <t>Sore Knees</t>
  </si>
  <si>
    <t>Knee Sore</t>
  </si>
  <si>
    <t>2up1dn, Japan, (Strength Day)</t>
  </si>
  <si>
    <t>45cm</t>
  </si>
  <si>
    <t>OH Back Squat Jerk</t>
  </si>
  <si>
    <t>OH Squat Jerk</t>
  </si>
  <si>
    <t>Hang Cleans - From the Block</t>
  </si>
  <si>
    <t>Primer</t>
  </si>
  <si>
    <t>Split Jerk</t>
  </si>
  <si>
    <t>3-2-1 Cluster</t>
  </si>
  <si>
    <t>Power Cleans - From the Block</t>
  </si>
  <si>
    <t>1 Rep Test</t>
  </si>
  <si>
    <t>Max Strength (WK10)</t>
  </si>
  <si>
    <t>&lt;190</t>
  </si>
  <si>
    <t>Knee</t>
  </si>
  <si>
    <t>(170 x 3 Reps)</t>
  </si>
  <si>
    <t>(45cm)</t>
  </si>
  <si>
    <t>(3 Reps)</t>
  </si>
  <si>
    <t>Spotted</t>
  </si>
  <si>
    <t>DB Travelling Lunges</t>
  </si>
  <si>
    <t>Length</t>
  </si>
  <si>
    <t>1 Length</t>
  </si>
  <si>
    <t>55cm</t>
  </si>
  <si>
    <t>Back Extensions</t>
  </si>
  <si>
    <t>7cm</t>
  </si>
  <si>
    <t>Squats - From the rack</t>
  </si>
  <si>
    <t>Cluster</t>
  </si>
  <si>
    <t>BB Bulgarian Squat</t>
  </si>
  <si>
    <t>Pin 6</t>
  </si>
  <si>
    <t>Seated Hamstring Curls</t>
  </si>
  <si>
    <t>Pin 3.5</t>
  </si>
  <si>
    <t>Pin 2</t>
  </si>
  <si>
    <t>Leg Pres - Left Legged</t>
  </si>
  <si>
    <t>(250 x 8)</t>
  </si>
  <si>
    <t>(200 x  9)</t>
  </si>
  <si>
    <t>(240 x 12)</t>
  </si>
  <si>
    <t>(200 x 1)</t>
  </si>
  <si>
    <t>Natasha</t>
  </si>
  <si>
    <t>Hansen</t>
  </si>
  <si>
    <t>(120 x 10)</t>
  </si>
  <si>
    <t>(150 x 6)</t>
  </si>
  <si>
    <t>Leg Press - Right Legged</t>
  </si>
  <si>
    <t>(200 x 10)</t>
  </si>
  <si>
    <t>(240 x 9)</t>
  </si>
  <si>
    <t>Miss</t>
  </si>
  <si>
    <t>(200 x -)</t>
  </si>
  <si>
    <t>(140 x 6)</t>
  </si>
  <si>
    <t>(150 x 7)</t>
  </si>
  <si>
    <t>Rep Chall.</t>
  </si>
  <si>
    <t>Post-CWGs (Wk5)</t>
  </si>
  <si>
    <t>Reps,Wraps</t>
  </si>
  <si>
    <t>(220 x 5 Reps,Wraps)</t>
  </si>
  <si>
    <t>(160 x 6 Reps)</t>
  </si>
  <si>
    <t>(180 x 5 Reps,ATG)</t>
  </si>
  <si>
    <t>(140 x 8 Reps)</t>
  </si>
  <si>
    <t>(140 x 2 Reps, 45cm)</t>
  </si>
  <si>
    <t>Tier 1 Cambridge</t>
  </si>
  <si>
    <t>Light Session</t>
  </si>
  <si>
    <t xml:space="preserve">Power </t>
  </si>
  <si>
    <t>Katie</t>
  </si>
  <si>
    <t>Schofield</t>
  </si>
  <si>
    <t>Power</t>
  </si>
  <si>
    <t>4-3-2 (15sec)</t>
  </si>
  <si>
    <t>BB Step-ups</t>
  </si>
  <si>
    <t>Post-Oceanias (Wk1)</t>
  </si>
  <si>
    <t>(220 x 3 Reps,Wraps)</t>
  </si>
  <si>
    <t>Looked Easy</t>
  </si>
  <si>
    <t>(160 x 9 Reps, Looked Easy)</t>
  </si>
  <si>
    <t>ATG,Back gave out at 5. Feeling sick today</t>
  </si>
  <si>
    <t>(180 x 5 Reps,ATG,Back gave out at 5. Feeling sick today)</t>
  </si>
  <si>
    <t>, Felt right shoulder tightening up. Looked good.</t>
  </si>
  <si>
    <t>(140 x 5 Reps, Felt right shoulder tightening up. Looked good.)</t>
  </si>
  <si>
    <t>Japan, above is 20 Oct 14</t>
  </si>
  <si>
    <t>(Japan, above is 20 Oct 14)</t>
  </si>
  <si>
    <t>(130 x 7 Reps, 45cm)</t>
  </si>
  <si>
    <t>Post-CMGs Strength training</t>
  </si>
  <si>
    <t>(400 x 20)</t>
  </si>
  <si>
    <t>#7 depth ~ 100 degrees at knee</t>
  </si>
  <si>
    <t>(270 x 15)</t>
  </si>
  <si>
    <t>#1 depth, 90 Degrees at Knee</t>
  </si>
  <si>
    <t>(320 x 1)</t>
  </si>
  <si>
    <t>(340 x 6)</t>
  </si>
  <si>
    <t>(450 x 5)</t>
  </si>
  <si>
    <t>Snappy</t>
  </si>
  <si>
    <t>Leg Press - Single Legged, Banded</t>
  </si>
  <si>
    <t>Red Band</t>
  </si>
  <si>
    <t>Wraps</t>
  </si>
  <si>
    <t>Post-Tier 1 (Wk5)</t>
  </si>
  <si>
    <t>(180 x 6 Reps)</t>
  </si>
  <si>
    <t>(170 x 5 Reps)</t>
  </si>
  <si>
    <t>(120 x 4 Reps)</t>
  </si>
  <si>
    <t>DB Step-ups</t>
  </si>
  <si>
    <t>Post-Tier 1 (Wk6)</t>
  </si>
  <si>
    <t>(200 x 4 Reps)</t>
  </si>
  <si>
    <t>(185 x 4 Reps)</t>
  </si>
  <si>
    <t>Heat Camp</t>
  </si>
  <si>
    <t>Post-Tier 1 (Wk12)</t>
  </si>
  <si>
    <t>(180 x 2 Reps)</t>
  </si>
  <si>
    <t>Sick Early December</t>
  </si>
  <si>
    <t>Pre-Worlds</t>
  </si>
  <si>
    <t>Comp Phase</t>
  </si>
  <si>
    <t>(250 x 5 Reps,Wraps)</t>
  </si>
  <si>
    <t>(175 x 6 Reps)</t>
  </si>
  <si>
    <t>(200 x 4 Reps,ATG)</t>
  </si>
  <si>
    <t>(160 x 5 Reps)</t>
  </si>
  <si>
    <t>Bench Pull</t>
  </si>
  <si>
    <t>(220 x 7)</t>
  </si>
  <si>
    <t>(180 x 5)</t>
  </si>
  <si>
    <t>(200 x 8)</t>
  </si>
  <si>
    <t>105 x 11</t>
  </si>
  <si>
    <t>(160 x 4)</t>
  </si>
  <si>
    <t>#3</t>
  </si>
  <si>
    <t>180 x 8 (#3)</t>
  </si>
  <si>
    <t>Ben</t>
  </si>
  <si>
    <t>Stewart</t>
  </si>
  <si>
    <t>(260 x 7)</t>
  </si>
  <si>
    <t>Jordan</t>
  </si>
  <si>
    <t>Castle</t>
  </si>
  <si>
    <t>(160 x 5)</t>
  </si>
  <si>
    <t>(200 x 12)</t>
  </si>
  <si>
    <t>(180 x 4)</t>
  </si>
  <si>
    <t>105 x 13</t>
  </si>
  <si>
    <t>180 x 13 (#3)</t>
  </si>
  <si>
    <t>(260 x 12)</t>
  </si>
  <si>
    <t>Week 4</t>
  </si>
  <si>
    <t>(270 x 2 Reps,Wraps)</t>
  </si>
  <si>
    <t>(220 x 3 Reps,ATG)</t>
  </si>
  <si>
    <t>Slight spot on last rep</t>
  </si>
  <si>
    <t>(190 x 5 Reps, Slight spot on last rep)</t>
  </si>
  <si>
    <t>Knee Wraps</t>
  </si>
  <si>
    <t>(230 x 6, Knee Wraps)</t>
  </si>
  <si>
    <t>(170 x 4 Reps)</t>
  </si>
  <si>
    <t>Lewis</t>
  </si>
  <si>
    <t>Eccles</t>
  </si>
  <si>
    <t>3, 43cm, Hit safety on 1st attempt, 3rd rep</t>
  </si>
  <si>
    <t>(130 x 3 Reps, 43cm, Hit safety on 1st attempt, 3rd rep)</t>
  </si>
  <si>
    <t>(330x13,6 Apr)</t>
  </si>
  <si>
    <t>(440x5,8 May)</t>
  </si>
  <si>
    <t>End of Strength Phase</t>
  </si>
  <si>
    <t>460 x 1</t>
  </si>
  <si>
    <t>(1 Reps,Wraps)</t>
  </si>
  <si>
    <t>(200 x 2 Reps)</t>
  </si>
  <si>
    <t>40cm Box, Wraps</t>
  </si>
  <si>
    <t>(1 Rep, 40cm Box, Wraps)</t>
  </si>
  <si>
    <t>(180 x 1)</t>
  </si>
  <si>
    <t>(210 x 2 Reps)</t>
  </si>
  <si>
    <t>(260 x 2, Knee Wraps)</t>
  </si>
  <si>
    <t>(190 x 3 reps)</t>
  </si>
  <si>
    <t>(145 x  3 reps)</t>
  </si>
  <si>
    <t>(60 x 1)</t>
  </si>
  <si>
    <t>Strength Reload</t>
  </si>
  <si>
    <t>360 x 1</t>
  </si>
  <si>
    <t>September Re-Load</t>
  </si>
  <si>
    <t>(160 x 11)</t>
  </si>
  <si>
    <t>Potentiation Study Testing - 3 min rests</t>
  </si>
  <si>
    <t>No Wraps</t>
  </si>
  <si>
    <t>(225 x 3 - No Wraps)</t>
  </si>
  <si>
    <t>(180 x 3)</t>
  </si>
  <si>
    <t>(130 x 3)</t>
  </si>
  <si>
    <t>3-6 Rep Test</t>
  </si>
  <si>
    <t>Post-Strength Phase</t>
  </si>
  <si>
    <t>43.5cm, No Wraps</t>
  </si>
  <si>
    <t>(230x5, 43.5cm, No Wraps)</t>
  </si>
  <si>
    <t>(60 x 2</t>
  </si>
  <si>
    <t>Dec-Jan Re-load</t>
  </si>
  <si>
    <t>Back</t>
  </si>
  <si>
    <t>(200 x 3 Reps)</t>
  </si>
  <si>
    <t>April Prep Phase</t>
  </si>
  <si>
    <t>ATG, Belt &amp; Wraps</t>
  </si>
  <si>
    <t>(210 x 3 Reps,ATG, Belt &amp; Wraps)</t>
  </si>
  <si>
    <t>(170 x 1)</t>
  </si>
  <si>
    <t>(195x6)</t>
  </si>
  <si>
    <t>?</t>
  </si>
  <si>
    <t>43cm,B elt, No Wraps, Yellow Grip Strap in Right Hand</t>
  </si>
  <si>
    <t>(215x6, 43cm,Belt, No Wraps, Yellow Grip Strap in Right Hand)</t>
  </si>
  <si>
    <t>(190 x 4)</t>
  </si>
  <si>
    <t>Depth=1</t>
  </si>
  <si>
    <t>(160 x 4, Depth=1)</t>
  </si>
  <si>
    <t>(250 x 5)</t>
  </si>
  <si>
    <t>(170 x 7, Depth=1)</t>
  </si>
  <si>
    <t>(250 x 6)</t>
  </si>
  <si>
    <t>Olivia</t>
  </si>
  <si>
    <t>Podmore</t>
  </si>
  <si>
    <t>60*3</t>
  </si>
  <si>
    <t>(60*3)</t>
  </si>
  <si>
    <t>(190 x 1, Depth=1)</t>
  </si>
  <si>
    <t>(200 x 3, Depth=1)</t>
  </si>
  <si>
    <t>May Strength Phase</t>
  </si>
  <si>
    <t>(140 x 3, 16 Dec)</t>
  </si>
  <si>
    <t>5RM Rep Test</t>
  </si>
  <si>
    <t>April Prep Phase
Paralle Squats</t>
  </si>
  <si>
    <t>Bradley</t>
  </si>
  <si>
    <t>Knipe</t>
  </si>
  <si>
    <t>Callum</t>
  </si>
  <si>
    <t>Saunders</t>
  </si>
  <si>
    <t>Emma</t>
  </si>
  <si>
    <t>Cumming</t>
  </si>
  <si>
    <t>Parallel</t>
  </si>
  <si>
    <t>A little high for most of them. Was going to rack it at 5, but asked him to keep going and he did 2 more.</t>
  </si>
  <si>
    <t>Safety Bar. I counted 7 on video, Callum wrote down 6 to depth. He was going to rack it at 6, but asked him to keep going and he did 1 more.</t>
  </si>
  <si>
    <t>Safety Bar. High reps. Emma wrote down 1 rep to depth. She did 5 in total.</t>
  </si>
  <si>
    <t>No video. I was spotting and did not see depth. Others watching said depth was good for most. Previous - Jan 16 170 x 5 (199 Pred), Apr 16 170 x 4 (193 Pred)</t>
  </si>
  <si>
    <t>Very deep. Had another 2 attempts at that weight and failed each attempt.</t>
  </si>
  <si>
    <t>90 Degrees @ Knee</t>
  </si>
  <si>
    <t>3 pins up</t>
  </si>
  <si>
    <t>2 rivet line down</t>
  </si>
  <si>
    <t>5 pins up</t>
  </si>
  <si>
    <t>1 rivet line down</t>
  </si>
  <si>
    <t>Sam D</t>
  </si>
  <si>
    <t>Dakin</t>
  </si>
  <si>
    <t>Tom</t>
  </si>
  <si>
    <t>Garbett</t>
  </si>
  <si>
    <t>BB Bent Over Row</t>
  </si>
  <si>
    <t>Leg Extension - Single Legged</t>
  </si>
  <si>
    <t>BB Reverse Lunge</t>
  </si>
  <si>
    <t>Calf Raise - SL</t>
  </si>
  <si>
    <t>Calf Raise - DL</t>
  </si>
  <si>
    <t>Seated Calf Raises</t>
  </si>
  <si>
    <t>Split Squats - Staggered Stance</t>
  </si>
  <si>
    <t>Reverse Hypers</t>
  </si>
  <si>
    <t>Squats</t>
  </si>
  <si>
    <t>Deadlifts - Staggered Stance RDL</t>
  </si>
  <si>
    <t>Flat Loaded</t>
  </si>
  <si>
    <t xml:space="preserve">Parallel </t>
  </si>
  <si>
    <t>Inline</t>
  </si>
  <si>
    <t xml:space="preserve">Trap Bar Bulgarian Squats </t>
  </si>
  <si>
    <t>2-1-1 (20sec) Cluster</t>
  </si>
  <si>
    <t>Thruster - Smith Machine</t>
  </si>
  <si>
    <t>Historic Lift History</t>
  </si>
  <si>
    <t>Max of 1RM</t>
  </si>
  <si>
    <t>Column Labels</t>
  </si>
  <si>
    <t>Row Labels</t>
  </si>
  <si>
    <t>(blank)</t>
  </si>
  <si>
    <t>2012</t>
  </si>
  <si>
    <t>Apr</t>
  </si>
  <si>
    <t>May</t>
  </si>
  <si>
    <t>Jun</t>
  </si>
  <si>
    <t>2013</t>
  </si>
  <si>
    <t>Aug</t>
  </si>
  <si>
    <t>Nov</t>
  </si>
  <si>
    <t>Dec</t>
  </si>
  <si>
    <t>2014</t>
  </si>
  <si>
    <t>Jan</t>
  </si>
  <si>
    <t>Sep</t>
  </si>
  <si>
    <t>Oct</t>
  </si>
  <si>
    <t>2015</t>
  </si>
  <si>
    <t>Mar</t>
  </si>
  <si>
    <t>2016</t>
  </si>
  <si>
    <t>2018</t>
  </si>
  <si>
    <t>2019</t>
  </si>
  <si>
    <t>2020</t>
  </si>
  <si>
    <t>Jul</t>
  </si>
  <si>
    <t>Load</t>
  </si>
  <si>
    <t>Poliquin (1997)</t>
  </si>
  <si>
    <t>Baechle (1994)</t>
  </si>
  <si>
    <t>SESNZ, Rugby Union, 2003 (Mike Anthony)</t>
  </si>
  <si>
    <t>Rugby Union (2006)</t>
  </si>
  <si>
    <t>Brzycki (1998)</t>
  </si>
  <si>
    <t>Target Reps</t>
  </si>
  <si>
    <t>Pred. Load</t>
  </si>
  <si>
    <t>Dates</t>
  </si>
  <si>
    <t>1RM Tracker</t>
  </si>
  <si>
    <t>Comments</t>
  </si>
  <si>
    <t>Test Session</t>
  </si>
  <si>
    <t>Sick</t>
  </si>
  <si>
    <t>Oceanias</t>
  </si>
  <si>
    <t>1st WC</t>
  </si>
  <si>
    <t>2nd WC</t>
  </si>
  <si>
    <t>3rd WC</t>
  </si>
  <si>
    <t>Predicted Max Squat Jump</t>
  </si>
  <si>
    <t>40cm Back Squat 
(Belt)</t>
  </si>
  <si>
    <t>2RM Test</t>
  </si>
  <si>
    <t>2 x 3</t>
  </si>
  <si>
    <t>2 x 2</t>
  </si>
  <si>
    <t>1 x 5</t>
  </si>
  <si>
    <t>5-8RM Chal (Wraps)</t>
  </si>
  <si>
    <t>3 x 5</t>
  </si>
  <si>
    <t>40cm Back Squat 
(No Belt)</t>
  </si>
  <si>
    <t>1 x 4</t>
  </si>
  <si>
    <t>3 x 8</t>
  </si>
  <si>
    <t>1 x 3</t>
  </si>
  <si>
    <t>Deep Back Squat
(No Belt)</t>
  </si>
  <si>
    <t>2 x 5 (35cm)</t>
  </si>
  <si>
    <t>3 x 5(deep)</t>
  </si>
  <si>
    <t>40cm Back Squat - Clusters</t>
  </si>
  <si>
    <t>5-4-3 (10sec) - Belt</t>
  </si>
  <si>
    <t>4-3-2 (15sec) - Belt</t>
  </si>
  <si>
    <t>Off Rack Squats</t>
  </si>
  <si>
    <t>1 x 6</t>
  </si>
  <si>
    <t>ATG Front Squat</t>
  </si>
  <si>
    <t>4 x 5</t>
  </si>
  <si>
    <t>2 x 8</t>
  </si>
  <si>
    <t>2 x 5</t>
  </si>
  <si>
    <t>Trap-Bar Deadlifts</t>
  </si>
  <si>
    <t>3 x 3</t>
  </si>
  <si>
    <t>3 x 4</t>
  </si>
  <si>
    <t>2 x 4</t>
  </si>
  <si>
    <t>2 x 6</t>
  </si>
  <si>
    <t>1 x 2</t>
  </si>
  <si>
    <t>2 x 10</t>
  </si>
  <si>
    <t>Thursters</t>
  </si>
  <si>
    <t>1 x 1</t>
  </si>
  <si>
    <t>Single Leg Press</t>
  </si>
  <si>
    <t>1 x 10</t>
  </si>
  <si>
    <t>5-8RM Chal. @ #5</t>
  </si>
  <si>
    <t>Banded Single Leg Press</t>
  </si>
  <si>
    <t>2 x 6 - Red</t>
  </si>
  <si>
    <t>5-6RM Chal</t>
  </si>
  <si>
    <t>5x525@5 (610 1RM)</t>
  </si>
  <si>
    <t>5-8RM Chal</t>
  </si>
  <si>
    <t>Seated Single Leg Curls</t>
  </si>
  <si>
    <t>Left</t>
  </si>
  <si>
    <t>1360, 5@60</t>
  </si>
  <si>
    <t>1157, 6@80</t>
  </si>
  <si>
    <t>Right</t>
  </si>
  <si>
    <t>1383, 5@60</t>
  </si>
  <si>
    <t>1414, 6@80</t>
  </si>
  <si>
    <t>Blank</t>
  </si>
  <si>
    <t>4x 5</t>
  </si>
  <si>
    <t>3RM Test</t>
  </si>
  <si>
    <t>5-8RM Chal.</t>
  </si>
  <si>
    <t>205 (Ethan does not remember this)</t>
  </si>
  <si>
    <t>195 -</t>
  </si>
  <si>
    <t>1RM, &lt;Parallel, Belt</t>
  </si>
  <si>
    <t>220 depth?</t>
  </si>
  <si>
    <t>40cm Cluster Back Squats</t>
  </si>
  <si>
    <t>5-4-3(10Sec) - Belted</t>
  </si>
  <si>
    <t>4-3-2 (15sec) - Belted</t>
  </si>
  <si>
    <t>3-2-1(15Sec) - Belted</t>
  </si>
  <si>
    <t>1-1-1 (10sec)</t>
  </si>
  <si>
    <t>3 x 6</t>
  </si>
  <si>
    <t>6x400@4 (465 1RM)</t>
  </si>
  <si>
    <t>2RM, &lt; 90deg</t>
  </si>
  <si>
    <t>Left 5-8RM Chal @ #4</t>
  </si>
  <si>
    <t>Right 5-8RM Chal @ #4</t>
  </si>
  <si>
    <t>Trap Bar Deadlifts</t>
  </si>
  <si>
    <t>Trap Bar Dead from Knees</t>
  </si>
  <si>
    <t>982, 6@60</t>
  </si>
  <si>
    <t>1181, 5@60</t>
  </si>
  <si>
    <t>1194, 6@60</t>
  </si>
  <si>
    <t>1059, 6 @60</t>
  </si>
  <si>
    <t>1014, 6@60</t>
  </si>
  <si>
    <t>1285, 5@60</t>
  </si>
  <si>
    <t>1460, 6@60</t>
  </si>
  <si>
    <t>1200, 6@60</t>
  </si>
  <si>
    <t>Sam</t>
  </si>
  <si>
    <t>200 depth?</t>
  </si>
  <si>
    <t>40cm Back Squat - 3-2-1 Cluster</t>
  </si>
  <si>
    <t>3-2-1 (15sec) Belted</t>
  </si>
  <si>
    <t>ATG Front Squats</t>
  </si>
  <si>
    <t>4 x 4</t>
  </si>
  <si>
    <t>3x380@3/4 (418 1RM)</t>
  </si>
  <si>
    <t>200 x 1</t>
  </si>
  <si>
    <t>200 x 0</t>
  </si>
  <si>
    <t>Deadlift from Knees</t>
  </si>
  <si>
    <t>900, 6@60</t>
  </si>
  <si>
    <t>850, 5@60</t>
  </si>
  <si>
    <t>SL Hack Squats</t>
  </si>
  <si>
    <t>15 x BW</t>
  </si>
  <si>
    <t>Matrix Leg Extns</t>
  </si>
  <si>
    <t>21 x 40</t>
  </si>
  <si>
    <t>3 x 10</t>
  </si>
  <si>
    <t>Test Session + Was Sick</t>
  </si>
  <si>
    <t>Test - Knee</t>
  </si>
  <si>
    <t>Deep Back Squat
(Belted)</t>
  </si>
  <si>
    <t>5-8RM Chal ATG</t>
  </si>
  <si>
    <t>ATG Cluster Back Squat</t>
  </si>
  <si>
    <t>5-4-3(10Sec)</t>
  </si>
  <si>
    <t>2 x 8 - No Belt</t>
  </si>
  <si>
    <t>Test 28 May</t>
  </si>
  <si>
    <t>2  x 5</t>
  </si>
  <si>
    <t>10x500@4 (680 1RM)</t>
  </si>
  <si>
    <t>Leg Press - 3-2-1 Cluster</t>
  </si>
  <si>
    <t>1329, 6@80</t>
  </si>
  <si>
    <t>1159, 5@80</t>
  </si>
  <si>
    <t>1100, 6 @ 80</t>
  </si>
  <si>
    <t>1591, 6@80</t>
  </si>
  <si>
    <t>1200, 5@80</t>
  </si>
  <si>
    <t>1230, 6 @ 80</t>
  </si>
  <si>
    <t>15 Apr &amp; 26 Apr 14</t>
  </si>
  <si>
    <t>Japan 
(Strength Day)</t>
  </si>
  <si>
    <t>Japan
(Power 1)</t>
  </si>
  <si>
    <t>Japan
(Power 2)</t>
  </si>
  <si>
    <t>Japan
(Strength Day)</t>
  </si>
  <si>
    <t>55cm Back Squat 
(Belt)</t>
  </si>
  <si>
    <t>Back Squat 
(Belt)</t>
  </si>
  <si>
    <t>210x3?</t>
  </si>
  <si>
    <t>240x3?</t>
  </si>
  <si>
    <t>34cm Back Squat 
(No Belt)</t>
  </si>
  <si>
    <t>210 (depth?)</t>
  </si>
  <si>
    <t>90 Deg Power BB Squats</t>
  </si>
  <si>
    <t>4 x 3</t>
  </si>
  <si>
    <t>Static Start BB Squat Jumps</t>
  </si>
  <si>
    <t>1RM Test</t>
  </si>
  <si>
    <t>110/104kg</t>
  </si>
  <si>
    <t>Back tired</t>
  </si>
  <si>
    <t>Hang Cleans</t>
  </si>
  <si>
    <t>Box Hang Cleans</t>
  </si>
  <si>
    <t>102/90kg</t>
  </si>
  <si>
    <t>400 x 20</t>
  </si>
  <si>
    <t>200x3ish</t>
  </si>
  <si>
    <t>Power Single Leg Press</t>
  </si>
  <si>
    <t>Single Leg Press - 2up1dn</t>
  </si>
  <si>
    <t>3 x  5</t>
  </si>
  <si>
    <t>RDLS</t>
  </si>
  <si>
    <t>1 x 8</t>
  </si>
  <si>
    <t>Total Hip Machine - Hip Flexions</t>
  </si>
  <si>
    <t>50cm Back Squat 
(Belt)</t>
  </si>
  <si>
    <t>50cm Back Squat 
(No Belt)</t>
  </si>
  <si>
    <t>45cm Back Squat 
(Belted)</t>
  </si>
  <si>
    <t>45cm Back Squat 
(No Belt)</t>
  </si>
  <si>
    <t>45cm Back Squat - Cluster</t>
  </si>
  <si>
    <t>3-2-1(15sec)</t>
  </si>
  <si>
    <t xml:space="preserve">50cm Cluster Back Squat </t>
  </si>
  <si>
    <t>5-4-3(10sec)</t>
  </si>
  <si>
    <t>Front Squats</t>
  </si>
  <si>
    <t>2 x 1</t>
  </si>
  <si>
    <t>1-1-1 (10 Sec)</t>
  </si>
  <si>
    <t>Block Power Cleans</t>
  </si>
  <si>
    <t>1 x 5, 20cm Block</t>
  </si>
  <si>
    <t>2 x 5, 20cm Block</t>
  </si>
  <si>
    <t>2 x 2es</t>
  </si>
  <si>
    <t>Left 5-6RM Chal @3</t>
  </si>
  <si>
    <t>Right 5-6RM Chal @3</t>
  </si>
  <si>
    <t>8x290@2 (3691RM)</t>
  </si>
  <si>
    <t>Ground</t>
  </si>
  <si>
    <t>377, 6@30</t>
  </si>
  <si>
    <t>448, 6@30</t>
  </si>
  <si>
    <t>CMJ</t>
  </si>
  <si>
    <t>50?</t>
  </si>
  <si>
    <t>5RM</t>
  </si>
  <si>
    <t>3RM</t>
  </si>
  <si>
    <t>2 x 15</t>
  </si>
  <si>
    <t>1 x 20</t>
  </si>
  <si>
    <t>120 x 6</t>
  </si>
  <si>
    <t>2x5x140</t>
  </si>
  <si>
    <t>145 x 6</t>
  </si>
  <si>
    <t>2x5x150</t>
  </si>
  <si>
    <t>2 x 3es</t>
  </si>
  <si>
    <t>RDLs</t>
  </si>
  <si>
    <t>2 x 21 M</t>
  </si>
  <si>
    <t>DB Bulgarian Squats</t>
  </si>
  <si>
    <t>827,6@55</t>
  </si>
  <si>
    <t>1031,6@65</t>
  </si>
  <si>
    <t>1071,6@65</t>
  </si>
  <si>
    <t>6RM</t>
  </si>
  <si>
    <t>2 x 3 (&amp; 100 x 1)</t>
  </si>
  <si>
    <t>5-8RM Chal (450x1)</t>
  </si>
  <si>
    <t>1 x 6es</t>
  </si>
  <si>
    <t>160x6</t>
  </si>
  <si>
    <t>145x6</t>
  </si>
  <si>
    <t>1 x 3es</t>
  </si>
  <si>
    <t>1  x 3</t>
  </si>
  <si>
    <t>1  x 5</t>
  </si>
  <si>
    <t>827,6@50</t>
  </si>
  <si>
    <t>930,6@55</t>
  </si>
  <si>
    <t>1265,6@65</t>
  </si>
  <si>
    <t>1190,6@65</t>
  </si>
  <si>
    <t>3 x 3 (Snappy)</t>
  </si>
  <si>
    <t>Power Leg Press</t>
  </si>
  <si>
    <t>Cable Side Lying Hip Flexions</t>
  </si>
  <si>
    <t>8 Plates</t>
  </si>
  <si>
    <t>Rack Hip lift</t>
  </si>
  <si>
    <t>Rack Pull</t>
  </si>
  <si>
    <t>Squat</t>
  </si>
  <si>
    <t>3RM Single Leg Press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</si>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</sst>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font>
      <sz val="11"/>
      <color theme="1"/>
      <name val="Calibri"/>
      <family val="2"/>
      <scheme val="minor"/>
    </font>
    <font>
      <sz val="10"/>
      <color theme="0"/>
      <name val="Calibri"/>
      <family val="2"/>
      <scheme val="minor"/>
    </font>
    <font>
      <sz val="10"/>
      <color theme="1"/>
      <name val="Calibri"/>
      <family val="2"/>
      <scheme val="minor"/>
    </font>
    <font>
      <sz val="10"/>
      <color rgb="FF000000"/>
      <name val="Calibri"/>
      <family val="2"/>
      <scheme val="minor"/>
    </font>
    <font>
      <sz val="8"/>
      <color rgb="FF000000"/>
      <name val="Calibri"/>
      <family val="2"/>
      <scheme val="minor"/>
    </font>
    <font>
      <sz val="8"/>
      <color theme="1"/>
      <name val="Calibri"/>
      <family val="2"/>
      <scheme val="minor"/>
    </font>
    <font>
      <sz val="11"/>
      <color theme="1"/>
      <name val="Calibri"/>
      <family val="2"/>
      <scheme val="minor"/>
    </font>
    <font>
      <b/>
      <sz val="10"/>
      <color theme="0"/>
      <name val="Calibri"/>
      <family val="2"/>
      <scheme val="minor"/>
    </font>
    <font>
      <b/>
      <sz val="8"/>
      <name val="Calibri"/>
      <family val="2"/>
      <scheme val="minor"/>
    </font>
    <font>
      <sz val="9"/>
      <name val="Calibri"/>
      <family val="2"/>
      <scheme val="minor"/>
    </font>
    <font>
      <b/>
      <sz val="9"/>
      <name val="Calibri"/>
      <family val="2"/>
      <scheme val="minor"/>
    </font>
    <font>
      <sz val="8"/>
      <name val="Calibri"/>
      <family val="2"/>
      <scheme val="minor"/>
    </font>
    <font>
      <b/>
      <sz val="9"/>
      <color theme="1"/>
      <name val="Calibri"/>
      <family val="2"/>
      <scheme val="minor"/>
    </font>
    <font>
      <sz val="16"/>
      <color theme="1"/>
      <name val="Calibri"/>
      <family val="2"/>
      <scheme val="minor"/>
    </font>
    <font>
      <sz val="24"/>
      <color theme="1"/>
      <name val="Calibri"/>
      <family val="2"/>
      <scheme val="minor"/>
    </font>
    <font>
      <sz val="28"/>
      <color theme="0"/>
      <name val="Calibri"/>
      <family val="2"/>
      <scheme val="minor"/>
    </font>
    <font>
      <sz val="12"/>
      <color theme="0"/>
      <name val="Calibri"/>
      <family val="2"/>
      <scheme val="minor"/>
    </font>
    <font>
      <sz val="14"/>
      <color theme="0"/>
      <name val="Calibri"/>
      <family val="2"/>
      <scheme val="minor"/>
    </font>
    <font>
      <sz val="12"/>
      <color theme="1"/>
      <name val="Calibri"/>
      <family val="2"/>
      <scheme val="minor"/>
    </font>
    <font>
      <sz val="12"/>
      <name val="Calibri"/>
      <family val="2"/>
      <scheme val="minor"/>
    </font>
    <font>
      <b/>
      <sz val="12"/>
      <color theme="0"/>
      <name val="Calibri"/>
      <family val="2"/>
      <scheme val="minor"/>
    </font>
    <font>
      <sz val="11"/>
      <name val="Calibri"/>
      <family val="2"/>
      <scheme val="minor"/>
    </font>
    <font>
      <sz val="10"/>
      <name val="Calibri"/>
      <family val="2"/>
      <scheme val="minor"/>
    </font>
    <font>
      <b/>
      <sz val="9"/>
      <color theme="0"/>
      <name val="Calibri"/>
      <family val="2"/>
      <scheme val="minor"/>
    </font>
    <font>
      <b/>
      <sz val="10"/>
      <color indexed="81"/>
      <name val="Tahoma"/>
      <family val="2"/>
    </font>
    <font>
      <b/>
      <sz val="9"/>
      <color indexed="81"/>
      <name val="Tahoma"/>
      <family val="2"/>
    </font>
    <font>
      <sz val="9"/>
      <color indexed="81"/>
      <name val="Tahoma"/>
      <family val="2"/>
    </font>
    <font>
      <sz val="11"/>
      <color theme="0"/>
      <name val="Calibri"/>
      <family val="2"/>
      <scheme val="minor"/>
    </font>
    <font>
      <sz val="14"/>
      <color theme="1"/>
      <name val="Calibri"/>
      <family val="2"/>
      <scheme val="minor"/>
    </font>
  </fonts>
  <fills count="16">
    <fill>
      <patternFill patternType="none"/>
    </fill>
    <fill>
      <patternFill patternType="gray125"/>
    </fill>
    <fill>
      <patternFill patternType="solid">
        <fgColor theme="3"/>
        <bgColor indexed="64"/>
      </patternFill>
    </fill>
    <fill>
      <patternFill patternType="solid">
        <fgColor theme="3"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000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4" tint="-0.249977111117893"/>
        <bgColor indexed="64"/>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top style="thin">
        <color auto="1"/>
      </top>
      <bottom style="medium">
        <color auto="1"/>
      </bottom>
      <diagonal/>
    </border>
    <border>
      <left/>
      <right style="thin">
        <color indexed="64"/>
      </right>
      <top style="thin">
        <color indexed="64"/>
      </top>
      <bottom style="medium">
        <color indexed="64"/>
      </bottom>
      <diagonal/>
    </border>
    <border>
      <left style="thin">
        <color auto="1"/>
      </left>
      <right/>
      <top style="thin">
        <color auto="1"/>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diagonal/>
    </border>
    <border>
      <left/>
      <right style="medium">
        <color indexed="64"/>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right/>
      <top style="thin">
        <color auto="1"/>
      </top>
      <bottom/>
      <diagonal/>
    </border>
    <border>
      <left style="medium">
        <color indexed="64"/>
      </left>
      <right style="thin">
        <color indexed="64"/>
      </right>
      <top style="medium">
        <color indexed="64"/>
      </top>
      <bottom style="thin">
        <color indexed="64"/>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auto="1"/>
      </top>
      <bottom/>
      <diagonal/>
    </border>
    <border>
      <left style="thin">
        <color indexed="64"/>
      </left>
      <right/>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medium">
        <color indexed="64"/>
      </bottom>
      <diagonal/>
    </border>
    <border>
      <left style="medium">
        <color auto="1"/>
      </left>
      <right/>
      <top style="thin">
        <color auto="1"/>
      </top>
      <bottom style="thin">
        <color auto="1"/>
      </bottom>
      <diagonal/>
    </border>
    <border>
      <left/>
      <right style="thin">
        <color indexed="64"/>
      </right>
      <top/>
      <bottom style="medium">
        <color indexed="64"/>
      </bottom>
      <diagonal/>
    </border>
    <border>
      <left style="thin">
        <color auto="1"/>
      </left>
      <right style="thin">
        <color auto="1"/>
      </right>
      <top style="thin">
        <color auto="1"/>
      </top>
      <bottom style="thin">
        <color theme="4" tint="0.39997558519241921"/>
      </bottom>
      <diagonal/>
    </border>
  </borders>
  <cellStyleXfs count="2">
    <xf numFmtId="0" fontId="0" fillId="0" borderId="0"/>
    <xf numFmtId="0" fontId="6" fillId="0" borderId="0"/>
  </cellStyleXfs>
  <cellXfs count="314">
    <xf numFmtId="0" fontId="0" fillId="0" borderId="0" xfId="0"/>
    <xf numFmtId="0" fontId="2" fillId="0" borderId="0" xfId="0" applyFont="1"/>
    <xf numFmtId="0" fontId="2" fillId="0" borderId="1" xfId="0" applyFont="1" applyBorder="1" applyAlignment="1">
      <alignment horizontal="center" vertical="center"/>
    </xf>
    <xf numFmtId="15"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1" fontId="2" fillId="0" borderId="1" xfId="0" applyNumberFormat="1" applyFont="1" applyBorder="1" applyAlignment="1">
      <alignment horizontal="center" vertical="center"/>
    </xf>
    <xf numFmtId="0" fontId="3" fillId="0" borderId="1" xfId="0" applyFont="1" applyBorder="1" applyAlignment="1">
      <alignment horizontal="left" vertical="center"/>
    </xf>
    <xf numFmtId="15" fontId="2" fillId="0" borderId="1" xfId="0" quotePrefix="1" applyNumberFormat="1" applyFont="1" applyBorder="1" applyAlignment="1">
      <alignment horizontal="center" vertical="center" wrapText="1"/>
    </xf>
    <xf numFmtId="1" fontId="2" fillId="0" borderId="1" xfId="0" quotePrefix="1" applyNumberFormat="1" applyFont="1" applyBorder="1" applyAlignment="1">
      <alignment horizontal="center" vertical="center" wrapText="1"/>
    </xf>
    <xf numFmtId="0" fontId="0" fillId="0" borderId="1" xfId="0" applyBorder="1" applyAlignment="1">
      <alignment horizontal="left"/>
    </xf>
    <xf numFmtId="1" fontId="2" fillId="0" borderId="1" xfId="0" applyNumberFormat="1" applyFont="1" applyBorder="1" applyAlignment="1">
      <alignment horizontal="center" vertical="center" wrapText="1"/>
    </xf>
    <xf numFmtId="1" fontId="5" fillId="0" borderId="1" xfId="0" applyNumberFormat="1" applyFont="1" applyBorder="1" applyAlignment="1">
      <alignment horizontal="center" vertical="center" wrapText="1"/>
    </xf>
    <xf numFmtId="0" fontId="0" fillId="0" borderId="1" xfId="0" quotePrefix="1" applyBorder="1" applyAlignment="1">
      <alignment horizontal="left"/>
    </xf>
    <xf numFmtId="0" fontId="2" fillId="0" borderId="0" xfId="0" applyFont="1" applyAlignment="1">
      <alignment horizontal="center" vertical="center"/>
    </xf>
    <xf numFmtId="15" fontId="2" fillId="0" borderId="0" xfId="0" applyNumberFormat="1" applyFont="1" applyAlignment="1">
      <alignment horizontal="center" vertical="center"/>
    </xf>
    <xf numFmtId="1" fontId="2" fillId="0" borderId="0" xfId="0" applyNumberFormat="1" applyFont="1" applyAlignment="1">
      <alignment horizontal="center" vertical="center"/>
    </xf>
    <xf numFmtId="0" fontId="2" fillId="0" borderId="0" xfId="0" applyFont="1" applyAlignment="1">
      <alignment horizontal="left"/>
    </xf>
    <xf numFmtId="0" fontId="0" fillId="0" borderId="0" xfId="0" applyAlignment="1">
      <alignment horizontal="left"/>
    </xf>
    <xf numFmtId="0" fontId="0" fillId="0" borderId="0" xfId="0" applyAlignment="1">
      <alignment horizontal="left" indent="1"/>
    </xf>
    <xf numFmtId="15" fontId="0" fillId="0" borderId="0" xfId="0" applyNumberFormat="1" applyAlignment="1">
      <alignment horizontal="left" indent="2"/>
    </xf>
    <xf numFmtId="0" fontId="2" fillId="0" borderId="1" xfId="0" applyFont="1" applyBorder="1" applyAlignment="1">
      <alignment horizontal="left"/>
    </xf>
    <xf numFmtId="0" fontId="2" fillId="0" borderId="1" xfId="0" applyFont="1" applyBorder="1" applyAlignment="1">
      <alignment horizontal="left" vertical="center"/>
    </xf>
    <xf numFmtId="1" fontId="2" fillId="0" borderId="1" xfId="0" applyNumberFormat="1" applyFont="1" applyBorder="1" applyAlignment="1">
      <alignment horizontal="left" vertical="center" wrapText="1"/>
    </xf>
    <xf numFmtId="0" fontId="2" fillId="0" borderId="0" xfId="0" applyFont="1" applyAlignment="1">
      <alignment horizontal="left" vertical="center"/>
    </xf>
    <xf numFmtId="0" fontId="0" fillId="0" borderId="1" xfId="0" applyBorder="1" applyAlignment="1">
      <alignment horizontal="center" vertical="center"/>
    </xf>
    <xf numFmtId="0" fontId="2" fillId="0" borderId="1" xfId="0" applyFont="1" applyBorder="1" applyAlignment="1">
      <alignment horizontal="left" vertical="center" wrapText="1"/>
    </xf>
    <xf numFmtId="15" fontId="2" fillId="0" borderId="1" xfId="0" quotePrefix="1" applyNumberFormat="1" applyFont="1" applyBorder="1" applyAlignment="1">
      <alignment horizontal="left" vertical="center" wrapText="1"/>
    </xf>
    <xf numFmtId="0" fontId="2" fillId="0" borderId="2" xfId="0" applyFont="1" applyBorder="1" applyAlignment="1">
      <alignment horizontal="center" vertical="center"/>
    </xf>
    <xf numFmtId="0" fontId="2" fillId="0" borderId="2" xfId="0" applyFont="1" applyBorder="1" applyAlignment="1">
      <alignment horizontal="left" vertical="center"/>
    </xf>
    <xf numFmtId="1" fontId="2" fillId="0" borderId="2" xfId="0" applyNumberFormat="1" applyFont="1" applyBorder="1" applyAlignment="1">
      <alignment horizontal="center" vertical="center"/>
    </xf>
    <xf numFmtId="0" fontId="2" fillId="0" borderId="2" xfId="0" applyFont="1" applyBorder="1" applyAlignment="1">
      <alignment horizontal="left"/>
    </xf>
    <xf numFmtId="0" fontId="2" fillId="0" borderId="2" xfId="0" applyFont="1" applyBorder="1" applyAlignment="1">
      <alignment horizontal="left" vertical="center" wrapText="1"/>
    </xf>
    <xf numFmtId="0" fontId="8" fillId="3" borderId="4" xfId="1" applyFont="1" applyFill="1" applyBorder="1" applyAlignment="1">
      <alignment horizontal="center" vertical="center" wrapText="1"/>
    </xf>
    <xf numFmtId="0" fontId="8" fillId="3" borderId="5" xfId="1" applyFont="1" applyFill="1" applyBorder="1" applyAlignment="1">
      <alignment horizontal="center" vertical="center" wrapText="1"/>
    </xf>
    <xf numFmtId="0" fontId="8" fillId="3" borderId="6" xfId="1" applyFont="1" applyFill="1" applyBorder="1" applyAlignment="1">
      <alignment horizontal="center" vertical="center" wrapText="1"/>
    </xf>
    <xf numFmtId="0" fontId="9" fillId="4" borderId="4"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1" fillId="3" borderId="11" xfId="1" applyFont="1" applyFill="1" applyBorder="1" applyAlignment="1">
      <alignment horizontal="center" vertical="center" wrapText="1"/>
    </xf>
    <xf numFmtId="0" fontId="11" fillId="3" borderId="12" xfId="1" applyFont="1" applyFill="1" applyBorder="1" applyAlignment="1">
      <alignment horizontal="center" vertical="center" wrapText="1"/>
    </xf>
    <xf numFmtId="0" fontId="11" fillId="3" borderId="13" xfId="1" applyFont="1" applyFill="1" applyBorder="1" applyAlignment="1">
      <alignment horizontal="center" vertical="center" wrapText="1"/>
    </xf>
    <xf numFmtId="0" fontId="9" fillId="5" borderId="14" xfId="0" applyFont="1" applyFill="1" applyBorder="1" applyAlignment="1" applyProtection="1">
      <alignment horizontal="center" vertical="center" wrapText="1"/>
      <protection locked="0"/>
    </xf>
    <xf numFmtId="0" fontId="9" fillId="5" borderId="15" xfId="0" applyFont="1" applyFill="1" applyBorder="1" applyAlignment="1" applyProtection="1">
      <alignment horizontal="center" vertical="center" wrapText="1"/>
      <protection locked="0"/>
    </xf>
    <xf numFmtId="164" fontId="9" fillId="0" borderId="2" xfId="0" applyNumberFormat="1" applyFont="1" applyBorder="1" applyAlignment="1">
      <alignment horizontal="center" vertical="center" wrapText="1"/>
    </xf>
    <xf numFmtId="1" fontId="9" fillId="0" borderId="2" xfId="0" applyNumberFormat="1" applyFont="1" applyBorder="1" applyAlignment="1">
      <alignment horizontal="center" vertical="center"/>
    </xf>
    <xf numFmtId="1" fontId="9" fillId="0" borderId="16" xfId="0" applyNumberFormat="1" applyFont="1" applyBorder="1" applyAlignment="1">
      <alignment horizontal="center" vertical="center"/>
    </xf>
    <xf numFmtId="0" fontId="12" fillId="5" borderId="11" xfId="0" applyFont="1" applyFill="1" applyBorder="1" applyAlignment="1">
      <alignment horizontal="center" vertical="center"/>
    </xf>
    <xf numFmtId="1" fontId="12" fillId="5" borderId="13" xfId="0" applyNumberFormat="1" applyFont="1" applyFill="1" applyBorder="1" applyAlignment="1">
      <alignment horizontal="center" vertical="center"/>
    </xf>
    <xf numFmtId="0" fontId="13" fillId="0" borderId="0" xfId="0" applyFont="1"/>
    <xf numFmtId="0" fontId="13" fillId="6" borderId="21" xfId="1" applyFont="1" applyFill="1" applyBorder="1" applyAlignment="1">
      <alignment horizontal="center" vertical="center" wrapText="1"/>
    </xf>
    <xf numFmtId="0" fontId="13" fillId="6" borderId="0" xfId="1" applyFont="1" applyFill="1" applyAlignment="1">
      <alignment horizontal="center" vertical="center" wrapText="1"/>
    </xf>
    <xf numFmtId="0" fontId="13" fillId="6" borderId="22" xfId="1" applyFont="1" applyFill="1" applyBorder="1" applyAlignment="1">
      <alignment horizontal="center" vertical="center" wrapText="1"/>
    </xf>
    <xf numFmtId="0" fontId="18" fillId="0" borderId="0" xfId="0" applyFont="1"/>
    <xf numFmtId="0" fontId="21" fillId="5" borderId="1" xfId="1" applyFont="1" applyFill="1" applyBorder="1" applyAlignment="1">
      <alignment horizontal="center" vertical="center"/>
    </xf>
    <xf numFmtId="1" fontId="21" fillId="5" borderId="1" xfId="1" applyNumberFormat="1" applyFont="1" applyFill="1" applyBorder="1" applyAlignment="1">
      <alignment horizontal="center" vertical="center"/>
    </xf>
    <xf numFmtId="1" fontId="21" fillId="5" borderId="1" xfId="1" applyNumberFormat="1" applyFont="1" applyFill="1" applyBorder="1" applyAlignment="1">
      <alignment horizontal="center" vertical="center" wrapText="1"/>
    </xf>
    <xf numFmtId="0" fontId="21" fillId="5" borderId="24" xfId="1" applyFont="1" applyFill="1" applyBorder="1" applyAlignment="1">
      <alignment horizontal="center" vertical="center"/>
    </xf>
    <xf numFmtId="0" fontId="11" fillId="3" borderId="33" xfId="1" applyFont="1" applyFill="1" applyBorder="1" applyAlignment="1">
      <alignment horizontal="center" vertical="center"/>
    </xf>
    <xf numFmtId="0" fontId="11" fillId="9" borderId="34" xfId="1" applyFont="1" applyFill="1" applyBorder="1" applyAlignment="1">
      <alignment horizontal="center" vertical="center"/>
    </xf>
    <xf numFmtId="0" fontId="11" fillId="9" borderId="33" xfId="1" applyFont="1" applyFill="1" applyBorder="1" applyAlignment="1">
      <alignment horizontal="center" vertical="center"/>
    </xf>
    <xf numFmtId="1" fontId="6" fillId="0" borderId="2" xfId="1" applyNumberFormat="1" applyBorder="1" applyAlignment="1">
      <alignment horizontal="center" vertical="center"/>
    </xf>
    <xf numFmtId="1" fontId="0" fillId="9" borderId="23" xfId="1" applyNumberFormat="1" applyFont="1" applyFill="1" applyBorder="1" applyAlignment="1">
      <alignment horizontal="center" vertical="center"/>
    </xf>
    <xf numFmtId="1" fontId="6" fillId="0" borderId="1" xfId="1" applyNumberFormat="1" applyBorder="1" applyAlignment="1">
      <alignment horizontal="center" vertical="center"/>
    </xf>
    <xf numFmtId="1" fontId="21" fillId="3" borderId="33" xfId="1" applyNumberFormat="1" applyFont="1" applyFill="1" applyBorder="1" applyAlignment="1">
      <alignment horizontal="center" vertical="center"/>
    </xf>
    <xf numFmtId="1" fontId="6" fillId="9" borderId="1" xfId="1" applyNumberFormat="1" applyFill="1" applyBorder="1" applyAlignment="1">
      <alignment horizontal="center" vertical="center"/>
    </xf>
    <xf numFmtId="0" fontId="11" fillId="3" borderId="1" xfId="1" applyFont="1" applyFill="1" applyBorder="1" applyAlignment="1">
      <alignment horizontal="center" vertical="center"/>
    </xf>
    <xf numFmtId="0" fontId="11" fillId="3" borderId="23" xfId="1" applyFont="1" applyFill="1" applyBorder="1" applyAlignment="1">
      <alignment horizontal="center" vertical="center"/>
    </xf>
    <xf numFmtId="1" fontId="6" fillId="0" borderId="23" xfId="1" applyNumberFormat="1" applyBorder="1" applyAlignment="1">
      <alignment horizontal="center" vertical="center"/>
    </xf>
    <xf numFmtId="1" fontId="0" fillId="0" borderId="1" xfId="1" applyNumberFormat="1" applyFont="1" applyBorder="1" applyAlignment="1">
      <alignment horizontal="center" vertical="center"/>
    </xf>
    <xf numFmtId="1" fontId="6" fillId="9" borderId="23" xfId="1" applyNumberFormat="1" applyFill="1" applyBorder="1" applyAlignment="1">
      <alignment horizontal="center" vertical="center"/>
    </xf>
    <xf numFmtId="0" fontId="11" fillId="3" borderId="39" xfId="1" applyFont="1" applyFill="1" applyBorder="1" applyAlignment="1">
      <alignment horizontal="center" vertical="center"/>
    </xf>
    <xf numFmtId="1" fontId="6" fillId="0" borderId="24" xfId="1" applyNumberFormat="1" applyBorder="1" applyAlignment="1">
      <alignment horizontal="center" vertical="center"/>
    </xf>
    <xf numFmtId="0" fontId="11" fillId="3" borderId="33" xfId="1" quotePrefix="1" applyFont="1" applyFill="1" applyBorder="1" applyAlignment="1">
      <alignment horizontal="center" vertical="center"/>
    </xf>
    <xf numFmtId="0" fontId="11" fillId="9" borderId="33" xfId="1" applyFont="1" applyFill="1" applyBorder="1" applyAlignment="1">
      <alignment horizontal="center" vertical="center" wrapText="1"/>
    </xf>
    <xf numFmtId="1" fontId="5" fillId="9" borderId="1" xfId="1" quotePrefix="1" applyNumberFormat="1" applyFont="1" applyFill="1" applyBorder="1" applyAlignment="1">
      <alignment horizontal="center" vertical="center" wrapText="1"/>
    </xf>
    <xf numFmtId="0" fontId="0" fillId="0" borderId="38" xfId="1" applyFont="1" applyBorder="1" applyAlignment="1">
      <alignment horizontal="center" vertical="center" wrapText="1"/>
    </xf>
    <xf numFmtId="0" fontId="0" fillId="0" borderId="36" xfId="1" applyFont="1" applyBorder="1" applyAlignment="1">
      <alignment horizontal="center" vertical="center" wrapText="1"/>
    </xf>
    <xf numFmtId="0" fontId="11" fillId="3" borderId="34" xfId="1" applyFont="1" applyFill="1" applyBorder="1" applyAlignment="1">
      <alignment horizontal="center" vertical="center"/>
    </xf>
    <xf numFmtId="0" fontId="21" fillId="5" borderId="23" xfId="1" applyFont="1" applyFill="1" applyBorder="1" applyAlignment="1">
      <alignment horizontal="center" vertical="center"/>
    </xf>
    <xf numFmtId="0" fontId="11" fillId="3" borderId="3" xfId="1" applyFont="1" applyFill="1" applyBorder="1" applyAlignment="1">
      <alignment horizontal="center" vertical="center"/>
    </xf>
    <xf numFmtId="0" fontId="11" fillId="3" borderId="18" xfId="1" applyFont="1" applyFill="1" applyBorder="1" applyAlignment="1">
      <alignment horizontal="center" vertical="center"/>
    </xf>
    <xf numFmtId="1" fontId="6" fillId="0" borderId="26" xfId="1" applyNumberFormat="1" applyBorder="1" applyAlignment="1">
      <alignment horizontal="center" vertical="center"/>
    </xf>
    <xf numFmtId="1" fontId="0" fillId="0" borderId="2" xfId="1" applyNumberFormat="1" applyFont="1" applyBorder="1" applyAlignment="1">
      <alignment horizontal="left" vertical="center"/>
    </xf>
    <xf numFmtId="1" fontId="6" fillId="9" borderId="2" xfId="1" applyNumberFormat="1" applyFill="1" applyBorder="1" applyAlignment="1">
      <alignment horizontal="center" vertical="center"/>
    </xf>
    <xf numFmtId="1" fontId="6" fillId="0" borderId="27" xfId="1" applyNumberFormat="1" applyBorder="1" applyAlignment="1">
      <alignment horizontal="center" vertical="center"/>
    </xf>
    <xf numFmtId="1" fontId="6" fillId="9" borderId="26" xfId="1" applyNumberFormat="1" applyFill="1" applyBorder="1" applyAlignment="1">
      <alignment horizontal="center" vertical="center"/>
    </xf>
    <xf numFmtId="0" fontId="11" fillId="3" borderId="25" xfId="1" applyFont="1" applyFill="1" applyBorder="1" applyAlignment="1">
      <alignment horizontal="center" vertical="center"/>
    </xf>
    <xf numFmtId="1" fontId="6" fillId="0" borderId="25" xfId="1" applyNumberFormat="1" applyBorder="1" applyAlignment="1">
      <alignment horizontal="center" vertical="center"/>
    </xf>
    <xf numFmtId="0" fontId="11" fillId="3" borderId="33" xfId="1" applyFont="1" applyFill="1" applyBorder="1" applyAlignment="1">
      <alignment horizontal="left" vertical="center"/>
    </xf>
    <xf numFmtId="0" fontId="11" fillId="3" borderId="23" xfId="1" quotePrefix="1" applyFont="1" applyFill="1" applyBorder="1" applyAlignment="1">
      <alignment horizontal="center" vertical="center"/>
    </xf>
    <xf numFmtId="0" fontId="11" fillId="3" borderId="1" xfId="1" quotePrefix="1" applyFont="1" applyFill="1" applyBorder="1" applyAlignment="1">
      <alignment horizontal="center" vertical="center"/>
    </xf>
    <xf numFmtId="0" fontId="11" fillId="9" borderId="23" xfId="1" applyFont="1" applyFill="1" applyBorder="1" applyAlignment="1">
      <alignment horizontal="center" vertical="center"/>
    </xf>
    <xf numFmtId="0" fontId="11" fillId="9" borderId="1" xfId="1" applyFont="1" applyFill="1" applyBorder="1" applyAlignment="1">
      <alignment horizontal="center" vertical="center"/>
    </xf>
    <xf numFmtId="1" fontId="0" fillId="0" borderId="23" xfId="1" applyNumberFormat="1" applyFont="1" applyBorder="1" applyAlignment="1">
      <alignment horizontal="center" vertical="center"/>
    </xf>
    <xf numFmtId="0" fontId="0" fillId="0" borderId="21" xfId="1" applyFont="1" applyBorder="1" applyAlignment="1">
      <alignment horizontal="center" vertical="center" wrapText="1"/>
    </xf>
    <xf numFmtId="0" fontId="0" fillId="0" borderId="0" xfId="1" applyFont="1" applyAlignment="1">
      <alignment horizontal="center" vertical="center" wrapText="1"/>
    </xf>
    <xf numFmtId="0" fontId="0" fillId="0" borderId="22" xfId="1" applyFont="1" applyBorder="1" applyAlignment="1">
      <alignment horizontal="center" vertical="center" wrapText="1"/>
    </xf>
    <xf numFmtId="1" fontId="0" fillId="9" borderId="1" xfId="1" applyNumberFormat="1" applyFont="1" applyFill="1" applyBorder="1" applyAlignment="1">
      <alignment horizontal="center" vertical="center"/>
    </xf>
    <xf numFmtId="1" fontId="6" fillId="0" borderId="33" xfId="1" applyNumberFormat="1" applyBorder="1" applyAlignment="1">
      <alignment horizontal="center" vertical="center"/>
    </xf>
    <xf numFmtId="0" fontId="21" fillId="5" borderId="29" xfId="1" applyFont="1" applyFill="1" applyBorder="1" applyAlignment="1">
      <alignment horizontal="center" vertical="center"/>
    </xf>
    <xf numFmtId="0" fontId="11" fillId="6" borderId="1" xfId="1" applyFont="1" applyFill="1" applyBorder="1" applyAlignment="1">
      <alignment horizontal="center" vertical="center"/>
    </xf>
    <xf numFmtId="1" fontId="0" fillId="6" borderId="1" xfId="1" applyNumberFormat="1" applyFont="1" applyFill="1" applyBorder="1" applyAlignment="1">
      <alignment horizontal="center" vertical="center"/>
    </xf>
    <xf numFmtId="1" fontId="0" fillId="0" borderId="2" xfId="1" applyNumberFormat="1" applyFont="1" applyBorder="1" applyAlignment="1">
      <alignment horizontal="center" vertical="center"/>
    </xf>
    <xf numFmtId="1" fontId="6" fillId="0" borderId="16" xfId="1" applyNumberFormat="1" applyBorder="1" applyAlignment="1">
      <alignment horizontal="center" vertical="center"/>
    </xf>
    <xf numFmtId="0" fontId="11" fillId="3" borderId="24" xfId="1" applyFont="1" applyFill="1" applyBorder="1" applyAlignment="1">
      <alignment horizontal="center" vertical="center"/>
    </xf>
    <xf numFmtId="1" fontId="0" fillId="0" borderId="1" xfId="1" applyNumberFormat="1" applyFont="1" applyBorder="1" applyAlignment="1">
      <alignment horizontal="left" vertical="center"/>
    </xf>
    <xf numFmtId="0" fontId="11" fillId="6" borderId="33" xfId="1" applyFont="1" applyFill="1" applyBorder="1" applyAlignment="1">
      <alignment horizontal="center" vertical="center"/>
    </xf>
    <xf numFmtId="1" fontId="6" fillId="6" borderId="1" xfId="1" applyNumberFormat="1" applyFill="1" applyBorder="1" applyAlignment="1">
      <alignment horizontal="center" vertical="center"/>
    </xf>
    <xf numFmtId="0" fontId="11" fillId="0" borderId="23" xfId="1" applyFont="1" applyBorder="1" applyAlignment="1">
      <alignment horizontal="center" vertical="center"/>
    </xf>
    <xf numFmtId="0" fontId="11" fillId="0" borderId="1" xfId="1" applyFont="1" applyBorder="1" applyAlignment="1">
      <alignment horizontal="center" vertical="center"/>
    </xf>
    <xf numFmtId="0" fontId="21" fillId="0" borderId="23" xfId="1" applyFont="1" applyBorder="1" applyAlignment="1">
      <alignment horizontal="center" vertical="center"/>
    </xf>
    <xf numFmtId="0" fontId="21" fillId="0" borderId="1" xfId="1" applyFont="1" applyBorder="1" applyAlignment="1">
      <alignment horizontal="center" vertical="center"/>
    </xf>
    <xf numFmtId="0" fontId="22" fillId="0" borderId="23" xfId="1" applyFont="1" applyBorder="1" applyAlignment="1">
      <alignment horizontal="center" vertical="center"/>
    </xf>
    <xf numFmtId="0" fontId="11" fillId="0" borderId="15" xfId="1" applyFont="1" applyBorder="1" applyAlignment="1">
      <alignment horizontal="center" vertical="center"/>
    </xf>
    <xf numFmtId="0" fontId="21" fillId="5" borderId="34" xfId="1" applyFont="1" applyFill="1" applyBorder="1" applyAlignment="1">
      <alignment horizontal="center" vertical="center"/>
    </xf>
    <xf numFmtId="0" fontId="21" fillId="5" borderId="33" xfId="1" applyFont="1" applyFill="1" applyBorder="1" applyAlignment="1">
      <alignment horizontal="center" vertical="center"/>
    </xf>
    <xf numFmtId="1" fontId="21" fillId="5" borderId="33" xfId="1" applyNumberFormat="1" applyFont="1" applyFill="1" applyBorder="1" applyAlignment="1">
      <alignment horizontal="center" vertical="center"/>
    </xf>
    <xf numFmtId="1" fontId="21" fillId="5" borderId="33" xfId="1" applyNumberFormat="1" applyFont="1" applyFill="1" applyBorder="1" applyAlignment="1">
      <alignment horizontal="center" vertical="center" wrapText="1"/>
    </xf>
    <xf numFmtId="0" fontId="11" fillId="0" borderId="0" xfId="1" applyFont="1" applyAlignment="1">
      <alignment horizontal="center" vertical="center"/>
    </xf>
    <xf numFmtId="17" fontId="0" fillId="3" borderId="1" xfId="0" applyNumberFormat="1" applyFill="1" applyBorder="1" applyAlignment="1">
      <alignment horizontal="center"/>
    </xf>
    <xf numFmtId="15" fontId="0" fillId="3" borderId="1" xfId="0" applyNumberFormat="1" applyFill="1" applyBorder="1" applyAlignment="1">
      <alignment horizontal="center"/>
    </xf>
    <xf numFmtId="0" fontId="0" fillId="0" borderId="1" xfId="0" applyBorder="1" applyAlignment="1">
      <alignment horizontal="center"/>
    </xf>
    <xf numFmtId="0" fontId="0" fillId="0" borderId="1" xfId="0" applyBorder="1"/>
    <xf numFmtId="15" fontId="2" fillId="0" borderId="2" xfId="0" applyNumberFormat="1" applyFont="1" applyBorder="1"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wrapText="1"/>
    </xf>
    <xf numFmtId="15" fontId="1" fillId="2" borderId="0" xfId="0" applyNumberFormat="1" applyFont="1" applyFill="1" applyAlignment="1">
      <alignment horizontal="center" vertical="center" wrapText="1"/>
    </xf>
    <xf numFmtId="1" fontId="1" fillId="2" borderId="0" xfId="0" applyNumberFormat="1" applyFont="1" applyFill="1" applyAlignment="1">
      <alignment horizontal="center" vertical="center" wrapText="1"/>
    </xf>
    <xf numFmtId="1" fontId="1" fillId="2" borderId="0" xfId="0" applyNumberFormat="1" applyFont="1" applyFill="1" applyAlignment="1">
      <alignment horizontal="left" vertical="center" wrapText="1"/>
    </xf>
    <xf numFmtId="0" fontId="2" fillId="0" borderId="0" xfId="0" applyFont="1" applyAlignment="1">
      <alignment wrapText="1"/>
    </xf>
    <xf numFmtId="1" fontId="3" fillId="0" borderId="1" xfId="0" applyNumberFormat="1" applyFont="1" applyBorder="1" applyAlignment="1">
      <alignment horizontal="center" vertical="center"/>
    </xf>
    <xf numFmtId="1" fontId="4" fillId="0" borderId="1" xfId="0" applyNumberFormat="1" applyFont="1" applyBorder="1" applyAlignment="1">
      <alignment horizontal="center" vertical="center"/>
    </xf>
    <xf numFmtId="1" fontId="0" fillId="0" borderId="0" xfId="0" applyNumberFormat="1" applyAlignment="1">
      <alignment horizontal="center" vertical="center"/>
    </xf>
    <xf numFmtId="0" fontId="27" fillId="15" borderId="0" xfId="0" applyFont="1" applyFill="1"/>
    <xf numFmtId="0" fontId="27" fillId="15" borderId="0" xfId="0" applyFont="1" applyFill="1" applyAlignment="1">
      <alignment horizontal="center" vertical="center"/>
    </xf>
    <xf numFmtId="0" fontId="2" fillId="14" borderId="1" xfId="0" applyFont="1" applyFill="1" applyBorder="1" applyAlignment="1">
      <alignment horizontal="left" vertical="center"/>
    </xf>
    <xf numFmtId="15" fontId="2" fillId="14" borderId="1" xfId="0" applyNumberFormat="1" applyFont="1" applyFill="1" applyBorder="1" applyAlignment="1">
      <alignment horizontal="center" vertical="center"/>
    </xf>
    <xf numFmtId="0" fontId="2" fillId="14" borderId="1" xfId="0" applyFont="1" applyFill="1" applyBorder="1" applyAlignment="1">
      <alignment horizontal="left" vertical="center" wrapText="1"/>
    </xf>
    <xf numFmtId="1" fontId="2" fillId="14" borderId="1" xfId="0" applyNumberFormat="1" applyFont="1" applyFill="1" applyBorder="1" applyAlignment="1">
      <alignment horizontal="center" vertical="center"/>
    </xf>
    <xf numFmtId="0" fontId="2" fillId="14" borderId="1" xfId="0" applyFont="1" applyFill="1" applyBorder="1" applyAlignment="1">
      <alignment horizontal="center" vertical="center"/>
    </xf>
    <xf numFmtId="0" fontId="2" fillId="14" borderId="1" xfId="0" applyFont="1" applyFill="1" applyBorder="1" applyAlignment="1">
      <alignment horizontal="left"/>
    </xf>
    <xf numFmtId="0" fontId="2" fillId="0" borderId="49" xfId="0" applyFont="1" applyBorder="1" applyAlignment="1">
      <alignment horizontal="left" vertical="center"/>
    </xf>
    <xf numFmtId="15" fontId="2" fillId="0" borderId="49" xfId="0" applyNumberFormat="1" applyFont="1" applyBorder="1" applyAlignment="1">
      <alignment horizontal="center" vertical="center"/>
    </xf>
    <xf numFmtId="0" fontId="2" fillId="0" borderId="49" xfId="0" applyFont="1" applyBorder="1" applyAlignment="1">
      <alignment horizontal="left" vertical="center" wrapText="1"/>
    </xf>
    <xf numFmtId="0" fontId="2" fillId="0" borderId="49" xfId="0" applyFont="1" applyBorder="1" applyAlignment="1">
      <alignment horizontal="center" vertical="center"/>
    </xf>
    <xf numFmtId="1" fontId="2" fillId="0" borderId="49" xfId="0" applyNumberFormat="1" applyFont="1" applyBorder="1" applyAlignment="1">
      <alignment horizontal="center" vertical="center"/>
    </xf>
    <xf numFmtId="0" fontId="2" fillId="0" borderId="49" xfId="0" applyFont="1" applyBorder="1" applyAlignment="1">
      <alignment horizontal="left"/>
    </xf>
    <xf numFmtId="1" fontId="22" fillId="0" borderId="2" xfId="0" applyNumberFormat="1" applyFont="1" applyBorder="1" applyAlignment="1" applyProtection="1">
      <alignment horizontal="center" vertical="center" wrapText="1"/>
      <protection locked="0"/>
    </xf>
    <xf numFmtId="0" fontId="28" fillId="0" borderId="0" xfId="0" applyFont="1" applyAlignment="1">
      <alignment horizontal="center" vertical="center"/>
    </xf>
    <xf numFmtId="0" fontId="14" fillId="6" borderId="4" xfId="1" applyFont="1" applyFill="1" applyBorder="1" applyAlignment="1">
      <alignment horizontal="center" vertical="center" wrapText="1"/>
    </xf>
    <xf numFmtId="0" fontId="14" fillId="6" borderId="5" xfId="1" applyFont="1" applyFill="1" applyBorder="1" applyAlignment="1">
      <alignment horizontal="center" vertical="center" wrapText="1"/>
    </xf>
    <xf numFmtId="0" fontId="14" fillId="6" borderId="6" xfId="1" applyFont="1" applyFill="1" applyBorder="1" applyAlignment="1">
      <alignment horizontal="center" vertical="center" wrapText="1"/>
    </xf>
    <xf numFmtId="0" fontId="14" fillId="6" borderId="21" xfId="1" applyFont="1" applyFill="1" applyBorder="1" applyAlignment="1">
      <alignment horizontal="center" vertical="center" wrapText="1"/>
    </xf>
    <xf numFmtId="0" fontId="14" fillId="6" borderId="0" xfId="1" applyFont="1" applyFill="1" applyAlignment="1">
      <alignment horizontal="center" vertical="center" wrapText="1"/>
    </xf>
    <xf numFmtId="0" fontId="14" fillId="6" borderId="22" xfId="1" applyFont="1" applyFill="1" applyBorder="1" applyAlignment="1">
      <alignment horizontal="center" vertical="center" wrapText="1"/>
    </xf>
    <xf numFmtId="15" fontId="13" fillId="6" borderId="17" xfId="1" applyNumberFormat="1" applyFont="1" applyFill="1" applyBorder="1" applyAlignment="1">
      <alignment horizontal="center" vertical="center" textRotation="90"/>
    </xf>
    <xf numFmtId="15" fontId="13" fillId="6" borderId="23" xfId="1" applyNumberFormat="1" applyFont="1" applyFill="1" applyBorder="1" applyAlignment="1">
      <alignment horizontal="center" vertical="center" textRotation="90"/>
    </xf>
    <xf numFmtId="15" fontId="13" fillId="6" borderId="26" xfId="1" applyNumberFormat="1" applyFont="1" applyFill="1" applyBorder="1" applyAlignment="1">
      <alignment horizontal="center" vertical="center" textRotation="90"/>
    </xf>
    <xf numFmtId="15" fontId="13" fillId="6" borderId="18" xfId="1" applyNumberFormat="1" applyFont="1" applyFill="1" applyBorder="1" applyAlignment="1">
      <alignment horizontal="center" vertical="center" textRotation="90"/>
    </xf>
    <xf numFmtId="15" fontId="13" fillId="6" borderId="1" xfId="1" applyNumberFormat="1" applyFont="1" applyFill="1" applyBorder="1" applyAlignment="1">
      <alignment horizontal="center" vertical="center" textRotation="90"/>
    </xf>
    <xf numFmtId="15" fontId="13" fillId="6" borderId="2" xfId="1" applyNumberFormat="1" applyFont="1" applyFill="1" applyBorder="1" applyAlignment="1">
      <alignment horizontal="center" vertical="center" textRotation="90"/>
    </xf>
    <xf numFmtId="17" fontId="13" fillId="6" borderId="17" xfId="1" applyNumberFormat="1" applyFont="1" applyFill="1" applyBorder="1" applyAlignment="1">
      <alignment horizontal="center" vertical="center" textRotation="90"/>
    </xf>
    <xf numFmtId="17" fontId="13" fillId="6" borderId="23" xfId="1" applyNumberFormat="1" applyFont="1" applyFill="1" applyBorder="1" applyAlignment="1">
      <alignment horizontal="center" vertical="center" textRotation="90"/>
    </xf>
    <xf numFmtId="17" fontId="13" fillId="6" borderId="26" xfId="1" applyNumberFormat="1" applyFont="1" applyFill="1" applyBorder="1" applyAlignment="1">
      <alignment horizontal="center" vertical="center" textRotation="90"/>
    </xf>
    <xf numFmtId="15" fontId="13" fillId="6" borderId="19" xfId="1" applyNumberFormat="1" applyFont="1" applyFill="1" applyBorder="1" applyAlignment="1">
      <alignment horizontal="center" vertical="center" textRotation="90"/>
    </xf>
    <xf numFmtId="15" fontId="13" fillId="6" borderId="24" xfId="1" applyNumberFormat="1" applyFont="1" applyFill="1" applyBorder="1" applyAlignment="1">
      <alignment horizontal="center" vertical="center" textRotation="90"/>
    </xf>
    <xf numFmtId="15" fontId="13" fillId="6" borderId="16" xfId="1" applyNumberFormat="1" applyFont="1" applyFill="1" applyBorder="1" applyAlignment="1">
      <alignment horizontal="center" vertical="center" textRotation="90"/>
    </xf>
    <xf numFmtId="15" fontId="13" fillId="6" borderId="20" xfId="1" applyNumberFormat="1" applyFont="1" applyFill="1" applyBorder="1" applyAlignment="1">
      <alignment horizontal="center" vertical="center" textRotation="90"/>
    </xf>
    <xf numFmtId="15" fontId="13" fillId="6" borderId="25" xfId="1" applyNumberFormat="1" applyFont="1" applyFill="1" applyBorder="1" applyAlignment="1">
      <alignment horizontal="center" vertical="center" textRotation="90"/>
    </xf>
    <xf numFmtId="15" fontId="13" fillId="6" borderId="27" xfId="1" applyNumberFormat="1" applyFont="1" applyFill="1" applyBorder="1" applyAlignment="1">
      <alignment horizontal="center" vertical="center" textRotation="90"/>
    </xf>
    <xf numFmtId="0" fontId="13" fillId="6" borderId="11" xfId="1" applyFont="1" applyFill="1" applyBorder="1" applyAlignment="1">
      <alignment horizontal="center" vertical="center" wrapText="1"/>
    </xf>
    <xf numFmtId="0" fontId="13" fillId="6" borderId="12" xfId="1" applyFont="1" applyFill="1" applyBorder="1" applyAlignment="1">
      <alignment horizontal="center" vertical="center" wrapText="1"/>
    </xf>
    <xf numFmtId="0" fontId="13" fillId="6" borderId="13" xfId="1" applyFont="1" applyFill="1" applyBorder="1" applyAlignment="1">
      <alignment horizontal="center" vertical="center" wrapText="1"/>
    </xf>
    <xf numFmtId="0" fontId="15" fillId="2" borderId="4" xfId="1" applyFont="1" applyFill="1" applyBorder="1" applyAlignment="1">
      <alignment horizontal="center" vertical="center" wrapText="1"/>
    </xf>
    <xf numFmtId="0" fontId="15" fillId="2" borderId="5" xfId="1" applyFont="1" applyFill="1" applyBorder="1" applyAlignment="1">
      <alignment horizontal="center" vertical="center" wrapText="1"/>
    </xf>
    <xf numFmtId="0" fontId="15" fillId="2" borderId="6" xfId="1" applyFont="1" applyFill="1" applyBorder="1" applyAlignment="1">
      <alignment horizontal="center" vertical="center" wrapText="1"/>
    </xf>
    <xf numFmtId="0" fontId="15" fillId="2" borderId="21" xfId="1" applyFont="1" applyFill="1" applyBorder="1" applyAlignment="1">
      <alignment horizontal="center" vertical="center" wrapText="1"/>
    </xf>
    <xf numFmtId="0" fontId="15" fillId="2" borderId="0" xfId="1" applyFont="1" applyFill="1" applyAlignment="1">
      <alignment horizontal="center" vertical="center" wrapText="1"/>
    </xf>
    <xf numFmtId="0" fontId="15" fillId="2" borderId="22" xfId="1" applyFont="1" applyFill="1" applyBorder="1" applyAlignment="1">
      <alignment horizontal="center" vertical="center" wrapText="1"/>
    </xf>
    <xf numFmtId="15" fontId="16" fillId="2" borderId="17" xfId="1" applyNumberFormat="1" applyFont="1" applyFill="1" applyBorder="1" applyAlignment="1">
      <alignment horizontal="center" vertical="center" textRotation="90"/>
    </xf>
    <xf numFmtId="15" fontId="16" fillId="2" borderId="23" xfId="1" applyNumberFormat="1" applyFont="1" applyFill="1" applyBorder="1" applyAlignment="1">
      <alignment horizontal="center" vertical="center" textRotation="90"/>
    </xf>
    <xf numFmtId="15" fontId="16" fillId="2" borderId="26" xfId="1" applyNumberFormat="1" applyFont="1" applyFill="1" applyBorder="1" applyAlignment="1">
      <alignment horizontal="center" vertical="center" textRotation="90"/>
    </xf>
    <xf numFmtId="15" fontId="16" fillId="2" borderId="18" xfId="1" applyNumberFormat="1" applyFont="1" applyFill="1" applyBorder="1" applyAlignment="1">
      <alignment horizontal="center" vertical="center" textRotation="90"/>
    </xf>
    <xf numFmtId="15" fontId="16" fillId="2" borderId="1" xfId="1" applyNumberFormat="1" applyFont="1" applyFill="1" applyBorder="1" applyAlignment="1">
      <alignment horizontal="center" vertical="center" textRotation="90"/>
    </xf>
    <xf numFmtId="15" fontId="16" fillId="2" borderId="2" xfId="1" applyNumberFormat="1" applyFont="1" applyFill="1" applyBorder="1" applyAlignment="1">
      <alignment horizontal="center" vertical="center" textRotation="90"/>
    </xf>
    <xf numFmtId="17" fontId="16" fillId="2" borderId="17" xfId="1" applyNumberFormat="1" applyFont="1" applyFill="1" applyBorder="1" applyAlignment="1">
      <alignment horizontal="center" vertical="center" textRotation="90"/>
    </xf>
    <xf numFmtId="17" fontId="16" fillId="2" borderId="23" xfId="1" applyNumberFormat="1" applyFont="1" applyFill="1" applyBorder="1" applyAlignment="1">
      <alignment horizontal="center" vertical="center" textRotation="90"/>
    </xf>
    <xf numFmtId="17" fontId="16" fillId="2" borderId="26" xfId="1" applyNumberFormat="1" applyFont="1" applyFill="1" applyBorder="1" applyAlignment="1">
      <alignment horizontal="center" vertical="center" textRotation="90"/>
    </xf>
    <xf numFmtId="15" fontId="16" fillId="2" borderId="19" xfId="1" applyNumberFormat="1" applyFont="1" applyFill="1" applyBorder="1" applyAlignment="1">
      <alignment horizontal="center" vertical="center" textRotation="90"/>
    </xf>
    <xf numFmtId="15" fontId="16" fillId="2" borderId="24" xfId="1" applyNumberFormat="1" applyFont="1" applyFill="1" applyBorder="1" applyAlignment="1">
      <alignment horizontal="center" vertical="center" textRotation="90"/>
    </xf>
    <xf numFmtId="15" fontId="16" fillId="2" borderId="16" xfId="1" applyNumberFormat="1" applyFont="1" applyFill="1" applyBorder="1" applyAlignment="1">
      <alignment horizontal="center" vertical="center" textRotation="90"/>
    </xf>
    <xf numFmtId="15" fontId="16" fillId="2" borderId="20" xfId="1" applyNumberFormat="1" applyFont="1" applyFill="1" applyBorder="1" applyAlignment="1">
      <alignment horizontal="center" vertical="center" textRotation="90"/>
    </xf>
    <xf numFmtId="15" fontId="16" fillId="2" borderId="25" xfId="1" applyNumberFormat="1" applyFont="1" applyFill="1" applyBorder="1" applyAlignment="1">
      <alignment horizontal="center" vertical="center" textRotation="90"/>
    </xf>
    <xf numFmtId="15" fontId="16" fillId="2" borderId="27" xfId="1" applyNumberFormat="1" applyFont="1" applyFill="1" applyBorder="1" applyAlignment="1">
      <alignment horizontal="center" vertical="center" textRotation="90"/>
    </xf>
    <xf numFmtId="0" fontId="19" fillId="7" borderId="18" xfId="1" applyFont="1" applyFill="1" applyBorder="1" applyAlignment="1">
      <alignment horizontal="center" vertical="center" wrapText="1"/>
    </xf>
    <xf numFmtId="0" fontId="19" fillId="7" borderId="1" xfId="1" applyFont="1" applyFill="1" applyBorder="1" applyAlignment="1">
      <alignment horizontal="center" vertical="center" wrapText="1"/>
    </xf>
    <xf numFmtId="0" fontId="17" fillId="2" borderId="21" xfId="1" applyFont="1" applyFill="1" applyBorder="1" applyAlignment="1">
      <alignment horizontal="center" vertical="center" wrapText="1"/>
    </xf>
    <xf numFmtId="0" fontId="17" fillId="2" borderId="0" xfId="1" applyFont="1" applyFill="1" applyAlignment="1">
      <alignment horizontal="center" vertical="center" wrapText="1"/>
    </xf>
    <xf numFmtId="0" fontId="17" fillId="2" borderId="22" xfId="1" applyFont="1" applyFill="1" applyBorder="1" applyAlignment="1">
      <alignment horizontal="center" vertical="center" wrapText="1"/>
    </xf>
    <xf numFmtId="0" fontId="17" fillId="2" borderId="11" xfId="1" applyFont="1" applyFill="1" applyBorder="1" applyAlignment="1">
      <alignment horizontal="center" vertical="center" wrapText="1"/>
    </xf>
    <xf numFmtId="0" fontId="17" fillId="2" borderId="12" xfId="1" applyFont="1" applyFill="1" applyBorder="1" applyAlignment="1">
      <alignment horizontal="center" vertical="center" wrapText="1"/>
    </xf>
    <xf numFmtId="0" fontId="17" fillId="2" borderId="13" xfId="1" applyFont="1" applyFill="1" applyBorder="1" applyAlignment="1">
      <alignment horizontal="center" vertical="center" wrapText="1"/>
    </xf>
    <xf numFmtId="0" fontId="18" fillId="7" borderId="28" xfId="1" applyFont="1" applyFill="1" applyBorder="1" applyAlignment="1">
      <alignment horizontal="center" vertical="center" wrapText="1"/>
    </xf>
    <xf numFmtId="0" fontId="18" fillId="7" borderId="18" xfId="1" applyFont="1" applyFill="1" applyBorder="1" applyAlignment="1">
      <alignment horizontal="center" vertical="center" wrapText="1"/>
    </xf>
    <xf numFmtId="0" fontId="18" fillId="7" borderId="29" xfId="1" applyFont="1" applyFill="1" applyBorder="1" applyAlignment="1">
      <alignment horizontal="center" vertical="center" wrapText="1"/>
    </xf>
    <xf numFmtId="0" fontId="18" fillId="7" borderId="1" xfId="1" applyFont="1" applyFill="1" applyBorder="1" applyAlignment="1">
      <alignment horizontal="center" vertical="center" wrapText="1"/>
    </xf>
    <xf numFmtId="0" fontId="20" fillId="8" borderId="18" xfId="1" applyFont="1" applyFill="1" applyBorder="1" applyAlignment="1">
      <alignment horizontal="center" vertical="center" wrapText="1"/>
    </xf>
    <xf numFmtId="0" fontId="20" fillId="8" borderId="1" xfId="1" applyFont="1" applyFill="1" applyBorder="1" applyAlignment="1">
      <alignment horizontal="center" vertical="center" wrapText="1"/>
    </xf>
    <xf numFmtId="0" fontId="19" fillId="7" borderId="18" xfId="1" applyFont="1" applyFill="1" applyBorder="1" applyAlignment="1">
      <alignment horizontal="center" vertical="center"/>
    </xf>
    <xf numFmtId="0" fontId="19" fillId="7" borderId="1" xfId="1" applyFont="1" applyFill="1" applyBorder="1" applyAlignment="1">
      <alignment horizontal="center" vertical="center"/>
    </xf>
    <xf numFmtId="0" fontId="19" fillId="9" borderId="18" xfId="1" applyFont="1" applyFill="1" applyBorder="1" applyAlignment="1">
      <alignment horizontal="center" vertical="center"/>
    </xf>
    <xf numFmtId="0" fontId="19" fillId="9" borderId="1" xfId="1" applyFont="1" applyFill="1" applyBorder="1" applyAlignment="1">
      <alignment horizontal="center" vertical="center"/>
    </xf>
    <xf numFmtId="0" fontId="19" fillId="10" borderId="18" xfId="1" applyFont="1" applyFill="1" applyBorder="1" applyAlignment="1">
      <alignment horizontal="center" vertical="center" wrapText="1"/>
    </xf>
    <xf numFmtId="0" fontId="19" fillId="10" borderId="1" xfId="1" applyFont="1" applyFill="1" applyBorder="1" applyAlignment="1">
      <alignment horizontal="center" vertical="center" wrapText="1"/>
    </xf>
    <xf numFmtId="0" fontId="19" fillId="7" borderId="19" xfId="1" applyFont="1" applyFill="1" applyBorder="1" applyAlignment="1">
      <alignment horizontal="center" vertical="center" wrapText="1"/>
    </xf>
    <xf numFmtId="0" fontId="19" fillId="7" borderId="24" xfId="1" applyFont="1" applyFill="1" applyBorder="1" applyAlignment="1">
      <alignment horizontal="center" vertical="center" wrapText="1"/>
    </xf>
    <xf numFmtId="1" fontId="0" fillId="11" borderId="1" xfId="0" applyNumberFormat="1" applyFill="1" applyBorder="1" applyAlignment="1">
      <alignment horizontal="center" vertical="center" wrapText="1"/>
    </xf>
    <xf numFmtId="1" fontId="0" fillId="11" borderId="31" xfId="0" applyNumberFormat="1" applyFill="1" applyBorder="1" applyAlignment="1">
      <alignment horizontal="center" vertical="center" wrapText="1"/>
    </xf>
    <xf numFmtId="0" fontId="0" fillId="5" borderId="29" xfId="1" applyFont="1" applyFill="1" applyBorder="1" applyAlignment="1">
      <alignment horizontal="center" vertical="center" wrapText="1"/>
    </xf>
    <xf numFmtId="0" fontId="0" fillId="5" borderId="1" xfId="1" applyFont="1" applyFill="1" applyBorder="1" applyAlignment="1">
      <alignment horizontal="center" vertical="center" wrapText="1"/>
    </xf>
    <xf numFmtId="0" fontId="0" fillId="11" borderId="29" xfId="1" applyFont="1" applyFill="1" applyBorder="1" applyAlignment="1">
      <alignment horizontal="center" vertical="center" wrapText="1"/>
    </xf>
    <xf numFmtId="0" fontId="0" fillId="11" borderId="1" xfId="1" applyFont="1" applyFill="1" applyBorder="1" applyAlignment="1">
      <alignment horizontal="center" vertical="center" wrapText="1"/>
    </xf>
    <xf numFmtId="0" fontId="0" fillId="11" borderId="30" xfId="1" applyFont="1" applyFill="1" applyBorder="1" applyAlignment="1">
      <alignment horizontal="center" vertical="center" wrapText="1"/>
    </xf>
    <xf numFmtId="0" fontId="0" fillId="11" borderId="31" xfId="1" applyFont="1" applyFill="1" applyBorder="1" applyAlignment="1">
      <alignment horizontal="center" vertical="center" wrapText="1"/>
    </xf>
    <xf numFmtId="1" fontId="0" fillId="11" borderId="24" xfId="0" applyNumberFormat="1" applyFill="1" applyBorder="1" applyAlignment="1">
      <alignment horizontal="center" vertical="center" wrapText="1"/>
    </xf>
    <xf numFmtId="1" fontId="0" fillId="11" borderId="32" xfId="0" applyNumberFormat="1" applyFill="1" applyBorder="1" applyAlignment="1">
      <alignment horizontal="center" vertical="center" wrapText="1"/>
    </xf>
    <xf numFmtId="0" fontId="0" fillId="0" borderId="37" xfId="1" applyFont="1" applyBorder="1" applyAlignment="1">
      <alignment horizontal="center" vertical="center" wrapText="1"/>
    </xf>
    <xf numFmtId="0" fontId="0" fillId="0" borderId="27" xfId="1" applyFont="1" applyBorder="1" applyAlignment="1">
      <alignment horizontal="center" vertical="center" wrapText="1"/>
    </xf>
    <xf numFmtId="0" fontId="0" fillId="0" borderId="38" xfId="1" applyFont="1" applyBorder="1" applyAlignment="1">
      <alignment horizontal="center" vertical="center" wrapText="1"/>
    </xf>
    <xf numFmtId="0" fontId="0" fillId="0" borderId="35" xfId="1" applyFont="1" applyBorder="1" applyAlignment="1">
      <alignment horizontal="center" vertical="center" wrapText="1"/>
    </xf>
    <xf numFmtId="0" fontId="0" fillId="0" borderId="3" xfId="1" applyFont="1" applyBorder="1" applyAlignment="1">
      <alignment horizontal="center" vertical="center" wrapText="1"/>
    </xf>
    <xf numFmtId="0" fontId="0" fillId="0" borderId="36" xfId="1" applyFont="1" applyBorder="1" applyAlignment="1">
      <alignment horizontal="center" vertical="center" wrapText="1"/>
    </xf>
    <xf numFmtId="0" fontId="0" fillId="0" borderId="21" xfId="1" applyFont="1" applyBorder="1" applyAlignment="1">
      <alignment horizontal="center" vertical="center" wrapText="1"/>
    </xf>
    <xf numFmtId="0" fontId="0" fillId="0" borderId="0" xfId="1" applyFont="1" applyAlignment="1">
      <alignment horizontal="center" vertical="center" wrapText="1"/>
    </xf>
    <xf numFmtId="0" fontId="0" fillId="0" borderId="22" xfId="1" applyFont="1" applyBorder="1" applyAlignment="1">
      <alignment horizontal="center" vertical="center" wrapText="1"/>
    </xf>
    <xf numFmtId="0" fontId="0" fillId="5" borderId="41" xfId="1" applyFont="1" applyFill="1" applyBorder="1" applyAlignment="1">
      <alignment horizontal="center" vertical="center" wrapText="1"/>
    </xf>
    <xf numFmtId="0" fontId="0" fillId="11" borderId="41" xfId="1" applyFont="1" applyFill="1" applyBorder="1" applyAlignment="1">
      <alignment horizontal="center" vertical="center" wrapText="1"/>
    </xf>
    <xf numFmtId="0" fontId="0" fillId="11" borderId="42" xfId="1" applyFont="1" applyFill="1" applyBorder="1" applyAlignment="1">
      <alignment horizontal="center" vertical="center" wrapText="1"/>
    </xf>
    <xf numFmtId="1" fontId="0" fillId="11" borderId="23" xfId="0" applyNumberFormat="1" applyFill="1" applyBorder="1" applyAlignment="1">
      <alignment horizontal="center" vertical="center" wrapText="1"/>
    </xf>
    <xf numFmtId="1" fontId="0" fillId="11" borderId="15" xfId="0" applyNumberFormat="1" applyFill="1" applyBorder="1" applyAlignment="1">
      <alignment horizontal="center" vertical="center" wrapText="1"/>
    </xf>
    <xf numFmtId="0" fontId="19" fillId="7" borderId="17" xfId="1" applyFont="1" applyFill="1" applyBorder="1" applyAlignment="1">
      <alignment horizontal="center" vertical="center" wrapText="1"/>
    </xf>
    <xf numFmtId="0" fontId="19" fillId="7" borderId="23" xfId="1" applyFont="1" applyFill="1" applyBorder="1" applyAlignment="1">
      <alignment horizontal="center" vertical="center" wrapText="1"/>
    </xf>
    <xf numFmtId="0" fontId="22" fillId="7" borderId="17" xfId="1" applyFont="1" applyFill="1" applyBorder="1" applyAlignment="1">
      <alignment horizontal="center" vertical="center" wrapText="1"/>
    </xf>
    <xf numFmtId="0" fontId="22" fillId="7" borderId="23" xfId="1" applyFont="1" applyFill="1" applyBorder="1" applyAlignment="1">
      <alignment horizontal="center" vertical="center" wrapText="1"/>
    </xf>
    <xf numFmtId="0" fontId="18" fillId="7" borderId="40" xfId="1" applyFont="1" applyFill="1" applyBorder="1" applyAlignment="1">
      <alignment horizontal="center" vertical="center" wrapText="1"/>
    </xf>
    <xf numFmtId="0" fontId="18" fillId="7" borderId="41" xfId="1" applyFont="1" applyFill="1" applyBorder="1" applyAlignment="1">
      <alignment horizontal="center" vertical="center" wrapText="1"/>
    </xf>
    <xf numFmtId="0" fontId="7" fillId="8" borderId="18" xfId="1" applyFont="1" applyFill="1" applyBorder="1" applyAlignment="1">
      <alignment horizontal="center" vertical="center" wrapText="1"/>
    </xf>
    <xf numFmtId="0" fontId="7" fillId="8" borderId="1" xfId="1" applyFont="1" applyFill="1" applyBorder="1" applyAlignment="1">
      <alignment horizontal="center" vertical="center" wrapText="1"/>
    </xf>
    <xf numFmtId="0" fontId="11" fillId="7" borderId="18" xfId="1" applyFont="1" applyFill="1" applyBorder="1" applyAlignment="1">
      <alignment horizontal="center" vertical="center" wrapText="1"/>
    </xf>
    <xf numFmtId="0" fontId="11" fillId="7" borderId="1" xfId="1" applyFont="1" applyFill="1" applyBorder="1" applyAlignment="1">
      <alignment horizontal="center" vertical="center" wrapText="1"/>
    </xf>
    <xf numFmtId="0" fontId="22" fillId="7" borderId="18" xfId="1" applyFont="1" applyFill="1" applyBorder="1" applyAlignment="1">
      <alignment horizontal="center" vertical="center" wrapText="1"/>
    </xf>
    <xf numFmtId="0" fontId="22" fillId="7" borderId="1" xfId="1" applyFont="1" applyFill="1" applyBorder="1" applyAlignment="1">
      <alignment horizontal="center" vertical="center" wrapText="1"/>
    </xf>
    <xf numFmtId="0" fontId="11" fillId="0" borderId="1" xfId="1" applyFont="1" applyBorder="1" applyAlignment="1">
      <alignment horizontal="center" vertical="center"/>
    </xf>
    <xf numFmtId="0" fontId="11" fillId="0" borderId="23" xfId="1" applyFont="1" applyBorder="1" applyAlignment="1">
      <alignment horizontal="center" vertical="center"/>
    </xf>
    <xf numFmtId="0" fontId="19" fillId="7" borderId="43" xfId="1" applyFont="1" applyFill="1" applyBorder="1" applyAlignment="1">
      <alignment horizontal="center" vertical="center" wrapText="1"/>
    </xf>
    <xf numFmtId="0" fontId="19" fillId="7" borderId="33" xfId="1" applyFont="1" applyFill="1" applyBorder="1" applyAlignment="1">
      <alignment horizontal="center" vertical="center" wrapText="1"/>
    </xf>
    <xf numFmtId="0" fontId="23" fillId="8" borderId="18" xfId="1" applyFont="1" applyFill="1" applyBorder="1" applyAlignment="1">
      <alignment horizontal="center" vertical="center" wrapText="1"/>
    </xf>
    <xf numFmtId="0" fontId="23" fillId="8" borderId="1" xfId="1" applyFont="1" applyFill="1" applyBorder="1" applyAlignment="1">
      <alignment horizontal="center" vertical="center" wrapText="1"/>
    </xf>
    <xf numFmtId="0" fontId="21" fillId="0" borderId="1" xfId="1" applyFont="1" applyBorder="1" applyAlignment="1">
      <alignment horizontal="center" vertical="center"/>
    </xf>
    <xf numFmtId="0" fontId="18" fillId="7" borderId="19" xfId="1" applyFont="1" applyFill="1" applyBorder="1" applyAlignment="1">
      <alignment horizontal="center" vertical="center" wrapText="1"/>
    </xf>
    <xf numFmtId="0" fontId="18" fillId="7" borderId="24" xfId="1" applyFont="1" applyFill="1" applyBorder="1" applyAlignment="1">
      <alignment horizontal="center" vertical="center" wrapText="1"/>
    </xf>
    <xf numFmtId="0" fontId="0" fillId="5" borderId="24" xfId="1" applyFont="1" applyFill="1" applyBorder="1" applyAlignment="1">
      <alignment horizontal="center" vertical="center" wrapText="1"/>
    </xf>
    <xf numFmtId="0" fontId="0" fillId="11" borderId="24" xfId="1" applyFont="1" applyFill="1" applyBorder="1" applyAlignment="1">
      <alignment horizontal="center" vertical="center" wrapText="1"/>
    </xf>
    <xf numFmtId="0" fontId="0" fillId="11" borderId="32" xfId="1" applyFont="1" applyFill="1" applyBorder="1" applyAlignment="1">
      <alignment horizontal="center" vertical="center" wrapText="1"/>
    </xf>
    <xf numFmtId="15" fontId="16" fillId="2" borderId="44" xfId="1" applyNumberFormat="1" applyFont="1" applyFill="1" applyBorder="1" applyAlignment="1">
      <alignment horizontal="center" vertical="center" textRotation="90"/>
    </xf>
    <xf numFmtId="15" fontId="16" fillId="2" borderId="7" xfId="1" applyNumberFormat="1" applyFont="1" applyFill="1" applyBorder="1" applyAlignment="1">
      <alignment horizontal="center" vertical="center" textRotation="90"/>
    </xf>
    <xf numFmtId="15" fontId="16" fillId="2" borderId="45" xfId="1" applyNumberFormat="1" applyFont="1" applyFill="1" applyBorder="1" applyAlignment="1">
      <alignment horizontal="center" vertical="center" textRotation="90"/>
    </xf>
    <xf numFmtId="15" fontId="16" fillId="2" borderId="43" xfId="1" applyNumberFormat="1" applyFont="1" applyFill="1" applyBorder="1" applyAlignment="1">
      <alignment horizontal="center" vertical="center" textRotation="90"/>
    </xf>
    <xf numFmtId="15" fontId="16" fillId="2" borderId="5" xfId="1" applyNumberFormat="1" applyFont="1" applyFill="1" applyBorder="1" applyAlignment="1">
      <alignment horizontal="center" vertical="center" textRotation="90"/>
    </xf>
    <xf numFmtId="15" fontId="16" fillId="2" borderId="0" xfId="1" applyNumberFormat="1" applyFont="1" applyFill="1" applyAlignment="1">
      <alignment horizontal="center" vertical="center" textRotation="90"/>
    </xf>
    <xf numFmtId="15" fontId="16" fillId="2" borderId="46" xfId="1" applyNumberFormat="1" applyFont="1" applyFill="1" applyBorder="1" applyAlignment="1">
      <alignment horizontal="center" vertical="center" textRotation="90"/>
    </xf>
    <xf numFmtId="0" fontId="19" fillId="7" borderId="28" xfId="1" applyFont="1" applyFill="1" applyBorder="1" applyAlignment="1">
      <alignment horizontal="center" vertical="center" wrapText="1"/>
    </xf>
    <xf numFmtId="0" fontId="19" fillId="7" borderId="29" xfId="1" applyFont="1" applyFill="1" applyBorder="1" applyAlignment="1">
      <alignment horizontal="center" vertical="center" wrapText="1"/>
    </xf>
    <xf numFmtId="1" fontId="0" fillId="11" borderId="47" xfId="0" applyNumberFormat="1" applyFill="1" applyBorder="1" applyAlignment="1">
      <alignment horizontal="center" vertical="center" wrapText="1"/>
    </xf>
    <xf numFmtId="1" fontId="0" fillId="11" borderId="14" xfId="0" applyNumberFormat="1" applyFill="1" applyBorder="1" applyAlignment="1">
      <alignment horizontal="center" vertical="center" wrapText="1"/>
    </xf>
    <xf numFmtId="1" fontId="21" fillId="0" borderId="2" xfId="1" applyNumberFormat="1" applyFont="1" applyBorder="1" applyAlignment="1">
      <alignment horizontal="center" vertical="center" wrapText="1"/>
    </xf>
    <xf numFmtId="0" fontId="21" fillId="0" borderId="33" xfId="1" applyFont="1" applyBorder="1" applyAlignment="1">
      <alignment horizontal="center" vertical="center" wrapText="1"/>
    </xf>
    <xf numFmtId="17" fontId="16" fillId="2" borderId="18" xfId="1" applyNumberFormat="1" applyFont="1" applyFill="1" applyBorder="1" applyAlignment="1">
      <alignment horizontal="center" vertical="center" textRotation="90"/>
    </xf>
    <xf numFmtId="17" fontId="16" fillId="2" borderId="1" xfId="1" applyNumberFormat="1" applyFont="1" applyFill="1" applyBorder="1" applyAlignment="1">
      <alignment horizontal="center" vertical="center" textRotation="90"/>
    </xf>
    <xf numFmtId="17" fontId="16" fillId="2" borderId="2" xfId="1" applyNumberFormat="1" applyFont="1" applyFill="1" applyBorder="1" applyAlignment="1">
      <alignment horizontal="center" vertical="center" textRotation="90"/>
    </xf>
    <xf numFmtId="0" fontId="19" fillId="10" borderId="43" xfId="1" applyFont="1" applyFill="1" applyBorder="1" applyAlignment="1">
      <alignment horizontal="center" vertical="center" wrapText="1"/>
    </xf>
    <xf numFmtId="0" fontId="19" fillId="10" borderId="33" xfId="1" applyFont="1" applyFill="1" applyBorder="1" applyAlignment="1">
      <alignment horizontal="center" vertical="center" wrapText="1"/>
    </xf>
    <xf numFmtId="0" fontId="0" fillId="0" borderId="11" xfId="1" applyFont="1" applyBorder="1" applyAlignment="1">
      <alignment horizontal="center" vertical="center" wrapText="1"/>
    </xf>
    <xf numFmtId="0" fontId="0" fillId="0" borderId="12" xfId="1" applyFont="1" applyBorder="1" applyAlignment="1">
      <alignment horizontal="center" vertical="center" wrapText="1"/>
    </xf>
    <xf numFmtId="0" fontId="0" fillId="0" borderId="13" xfId="1" applyFont="1" applyBorder="1" applyAlignment="1">
      <alignment horizontal="center" vertical="center" wrapText="1"/>
    </xf>
    <xf numFmtId="15" fontId="16" fillId="2" borderId="48" xfId="1" applyNumberFormat="1" applyFont="1" applyFill="1" applyBorder="1" applyAlignment="1">
      <alignment horizontal="center" vertical="center" textRotation="90"/>
    </xf>
    <xf numFmtId="0" fontId="15" fillId="2" borderId="11" xfId="1" applyFont="1" applyFill="1" applyBorder="1" applyAlignment="1">
      <alignment horizontal="center" vertical="center" wrapText="1"/>
    </xf>
    <xf numFmtId="0" fontId="15" fillId="2" borderId="12" xfId="1" applyFont="1" applyFill="1" applyBorder="1" applyAlignment="1">
      <alignment horizontal="center" vertical="center" wrapText="1"/>
    </xf>
    <xf numFmtId="0" fontId="15" fillId="2" borderId="13" xfId="1" applyFont="1" applyFill="1" applyBorder="1" applyAlignment="1">
      <alignment horizontal="center" vertical="center" wrapText="1"/>
    </xf>
    <xf numFmtId="0" fontId="0" fillId="5" borderId="21" xfId="1" applyFont="1" applyFill="1" applyBorder="1" applyAlignment="1">
      <alignment horizontal="center" vertical="center" wrapText="1"/>
    </xf>
    <xf numFmtId="0" fontId="0" fillId="5" borderId="0" xfId="1" applyFont="1" applyFill="1" applyAlignment="1">
      <alignment horizontal="center" vertical="center" wrapText="1"/>
    </xf>
    <xf numFmtId="0" fontId="0" fillId="5" borderId="22" xfId="1" applyFont="1" applyFill="1" applyBorder="1" applyAlignment="1">
      <alignment horizontal="center" vertical="center" wrapText="1"/>
    </xf>
    <xf numFmtId="0" fontId="17" fillId="2" borderId="4" xfId="1" applyFont="1" applyFill="1" applyBorder="1" applyAlignment="1">
      <alignment horizontal="center" vertical="center" wrapText="1"/>
    </xf>
    <xf numFmtId="0" fontId="17" fillId="2" borderId="5" xfId="1" applyFont="1" applyFill="1" applyBorder="1" applyAlignment="1">
      <alignment horizontal="center" vertical="center" wrapText="1"/>
    </xf>
    <xf numFmtId="0" fontId="17" fillId="2" borderId="6" xfId="1" applyFont="1" applyFill="1" applyBorder="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horizontal="center"/>
    </xf>
    <xf numFmtId="0" fontId="0" fillId="13" borderId="1" xfId="0" applyFill="1" applyBorder="1" applyAlignment="1">
      <alignment horizontal="center"/>
    </xf>
    <xf numFmtId="0" fontId="0" fillId="5" borderId="35" xfId="1" applyFont="1" applyFill="1" applyBorder="1" applyAlignment="1">
      <alignment horizontal="center" vertical="center" wrapText="1"/>
    </xf>
    <xf numFmtId="0" fontId="0" fillId="5" borderId="3" xfId="1" applyFont="1" applyFill="1" applyBorder="1" applyAlignment="1">
      <alignment horizontal="center" vertical="center" wrapText="1"/>
    </xf>
    <xf numFmtId="0" fontId="0" fillId="5" borderId="36" xfId="1" applyFont="1" applyFill="1" applyBorder="1" applyAlignment="1">
      <alignment horizontal="center" vertical="center" wrapText="1"/>
    </xf>
    <xf numFmtId="0" fontId="21" fillId="5" borderId="34" xfId="1" applyFont="1" applyFill="1" applyBorder="1" applyAlignment="1">
      <alignment horizontal="center" vertical="center"/>
    </xf>
    <xf numFmtId="0" fontId="21" fillId="5" borderId="23" xfId="1" applyFont="1" applyFill="1" applyBorder="1" applyAlignment="1">
      <alignment horizontal="center" vertical="center"/>
    </xf>
    <xf numFmtId="0" fontId="21" fillId="5" borderId="33" xfId="1" applyFont="1" applyFill="1" applyBorder="1" applyAlignment="1">
      <alignment horizontal="center" vertical="center"/>
    </xf>
    <xf numFmtId="0" fontId="21" fillId="5" borderId="1" xfId="1" applyFont="1" applyFill="1" applyBorder="1" applyAlignment="1">
      <alignment horizontal="center" vertical="center"/>
    </xf>
    <xf numFmtId="1" fontId="21" fillId="5" borderId="33" xfId="1" applyNumberFormat="1" applyFont="1" applyFill="1" applyBorder="1" applyAlignment="1">
      <alignment horizontal="center" vertical="center"/>
    </xf>
    <xf numFmtId="1" fontId="21" fillId="5" borderId="33" xfId="1" applyNumberFormat="1" applyFont="1" applyFill="1" applyBorder="1" applyAlignment="1">
      <alignment horizontal="center" vertical="center" wrapText="1"/>
    </xf>
    <xf numFmtId="0" fontId="21" fillId="5" borderId="1" xfId="1" applyFont="1" applyFill="1" applyBorder="1" applyAlignment="1">
      <alignment horizontal="center" vertical="center" wrapText="1"/>
    </xf>
    <xf numFmtId="0" fontId="0" fillId="6" borderId="0" xfId="0" applyFill="1" applyAlignment="1"/>
    <xf numFmtId="0" fontId="0" fillId="12" borderId="22" xfId="0" applyFill="1" applyBorder="1" applyAlignment="1"/>
    <xf numFmtId="0" fontId="0" fillId="12" borderId="0" xfId="0" applyFill="1" applyAlignment="1"/>
  </cellXfs>
  <cellStyles count="2">
    <cellStyle name="Normal" xfId="0" builtinId="0"/>
    <cellStyle name="Normal 10" xfId="1" xr:uid="{587B1B02-193F-435C-BE61-F4B2FCB808E1}"/>
  </cellStyles>
  <dxfs count="151">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numFmt numFmtId="20" formatCode="d\-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bottom style="thin">
          <color auto="1"/>
        </bottom>
      </border>
    </dxf>
    <dxf>
      <alignment textRotation="0" wrapText="1" indent="0" justifyLastLine="0" shrinkToFit="0" readingOrder="0"/>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8.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externalLink" Target="externalLinks/externalLink17.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pivotCacheDefinition" Target="pivotCache/pivotCacheDefinition1.xml"/><Relationship Id="rId32" Type="http://schemas.openxmlformats.org/officeDocument/2006/relationships/customXml" Target="../customXml/item3.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sharedStrings" Target="sharedStrings.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31"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[2012-2020_Historical Strength Data1_AK.xlsx]1RM Tracker!PivotTable1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'1RM Tracker'!$B$3:$B$5</c:f>
              <c:strCache>
                <c:ptCount val="1"/>
                <c:pt idx="0">
                  <c:v>Back Squat - &lt;Parallel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'1RM Tracker'!$A$6:$A$41</c:f>
              <c:multiLvlStrCache>
                <c:ptCount val="27"/>
                <c:lvl>
                  <c:pt idx="0">
                    <c:v>Apr</c:v>
                  </c:pt>
                  <c:pt idx="1">
                    <c:v>May</c:v>
                  </c:pt>
                  <c:pt idx="2">
                    <c:v>Jun</c:v>
                  </c:pt>
                  <c:pt idx="3">
                    <c:v>Apr</c:v>
                  </c:pt>
                  <c:pt idx="4">
                    <c:v>Aug</c:v>
                  </c:pt>
                  <c:pt idx="5">
                    <c:v>Nov</c:v>
                  </c:pt>
                  <c:pt idx="6">
                    <c:v>Dec</c:v>
                  </c:pt>
                  <c:pt idx="7">
                    <c:v>Jan</c:v>
                  </c:pt>
                  <c:pt idx="8">
                    <c:v>Apr</c:v>
                  </c:pt>
                  <c:pt idx="9">
                    <c:v>May</c:v>
                  </c:pt>
                  <c:pt idx="10">
                    <c:v>Aug</c:v>
                  </c:pt>
                  <c:pt idx="11">
                    <c:v>Sep</c:v>
                  </c:pt>
                  <c:pt idx="12">
                    <c:v>Oct</c:v>
                  </c:pt>
                  <c:pt idx="13">
                    <c:v>Jan</c:v>
                  </c:pt>
                  <c:pt idx="14">
                    <c:v>Mar</c:v>
                  </c:pt>
                  <c:pt idx="15">
                    <c:v>May</c:v>
                  </c:pt>
                  <c:pt idx="16">
                    <c:v>Jan</c:v>
                  </c:pt>
                  <c:pt idx="17">
                    <c:v>Apr</c:v>
                  </c:pt>
                  <c:pt idx="18">
                    <c:v>Aug</c:v>
                  </c:pt>
                  <c:pt idx="19">
                    <c:v>Dec</c:v>
                  </c:pt>
                  <c:pt idx="20">
                    <c:v>Sep</c:v>
                  </c:pt>
                  <c:pt idx="21">
                    <c:v>Nov</c:v>
                  </c:pt>
                  <c:pt idx="22">
                    <c:v>Jan</c:v>
                  </c:pt>
                  <c:pt idx="23">
                    <c:v>Mar</c:v>
                  </c:pt>
                  <c:pt idx="24">
                    <c:v>Apr</c:v>
                  </c:pt>
                  <c:pt idx="25">
                    <c:v>Jun</c:v>
                  </c:pt>
                  <c:pt idx="26">
                    <c:v>Jul</c:v>
                  </c:pt>
                </c:lvl>
                <c:lvl>
                  <c:pt idx="0">
                    <c:v>2012</c:v>
                  </c:pt>
                  <c:pt idx="3">
                    <c:v>2013</c:v>
                  </c:pt>
                  <c:pt idx="7">
                    <c:v>2014</c:v>
                  </c:pt>
                  <c:pt idx="13">
                    <c:v>2015</c:v>
                  </c:pt>
                  <c:pt idx="16">
                    <c:v>2016</c:v>
                  </c:pt>
                  <c:pt idx="18">
                    <c:v>2018</c:v>
                  </c:pt>
                  <c:pt idx="20">
                    <c:v>2019</c:v>
                  </c:pt>
                  <c:pt idx="22">
                    <c:v>2020</c:v>
                  </c:pt>
                </c:lvl>
                <c:lvl>
                  <c:pt idx="0">
                    <c:v>Sam W</c:v>
                  </c:pt>
                </c:lvl>
              </c:multiLvlStrCache>
            </c:multiLvlStrRef>
          </c:cat>
          <c:val>
            <c:numRef>
              <c:f>'1RM Tracker'!$B$6:$B$41</c:f>
              <c:numCache>
                <c:formatCode>0</c:formatCode>
                <c:ptCount val="27"/>
                <c:pt idx="0">
                  <c:v>147.5</c:v>
                </c:pt>
                <c:pt idx="1">
                  <c:v>152.5</c:v>
                </c:pt>
              </c:numCache>
            </c:numRef>
          </c:val>
          <c:smooth val="0"/>
          <c:extLst>
            <c:ext xmlns:c16="http://schemas.microsoft.com/office/drawing/2014/chart" uri="{C3380CC4-5D6E-409C-BE32-E72D297353CC}">
              <c16:uniqueId val="{00000000-4F7F-447B-856C-24308F090644}"/>
            </c:ext>
          </c:extLst>
        </c:ser>
        <c:ser>
          <c:idx val="1"/>
          <c:order val="1"/>
          <c:tx>
            <c:strRef>
              <c:f>'1RM Tracker'!$C$3:$C$5</c:f>
              <c:strCache>
                <c:ptCount val="1"/>
                <c:pt idx="0">
                  <c:v>Back Squat - ATG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'1RM Tracker'!$A$6:$A$41</c:f>
              <c:multiLvlStrCache>
                <c:ptCount val="27"/>
                <c:lvl>
                  <c:pt idx="0">
                    <c:v>Apr</c:v>
                  </c:pt>
                  <c:pt idx="1">
                    <c:v>May</c:v>
                  </c:pt>
                  <c:pt idx="2">
                    <c:v>Jun</c:v>
                  </c:pt>
                  <c:pt idx="3">
                    <c:v>Apr</c:v>
                  </c:pt>
                  <c:pt idx="4">
                    <c:v>Aug</c:v>
                  </c:pt>
                  <c:pt idx="5">
                    <c:v>Nov</c:v>
                  </c:pt>
                  <c:pt idx="6">
                    <c:v>Dec</c:v>
                  </c:pt>
                  <c:pt idx="7">
                    <c:v>Jan</c:v>
                  </c:pt>
                  <c:pt idx="8">
                    <c:v>Apr</c:v>
                  </c:pt>
                  <c:pt idx="9">
                    <c:v>May</c:v>
                  </c:pt>
                  <c:pt idx="10">
                    <c:v>Aug</c:v>
                  </c:pt>
                  <c:pt idx="11">
                    <c:v>Sep</c:v>
                  </c:pt>
                  <c:pt idx="12">
                    <c:v>Oct</c:v>
                  </c:pt>
                  <c:pt idx="13">
                    <c:v>Jan</c:v>
                  </c:pt>
                  <c:pt idx="14">
                    <c:v>Mar</c:v>
                  </c:pt>
                  <c:pt idx="15">
                    <c:v>May</c:v>
                  </c:pt>
                  <c:pt idx="16">
                    <c:v>Jan</c:v>
                  </c:pt>
                  <c:pt idx="17">
                    <c:v>Apr</c:v>
                  </c:pt>
                  <c:pt idx="18">
                    <c:v>Aug</c:v>
                  </c:pt>
                  <c:pt idx="19">
                    <c:v>Dec</c:v>
                  </c:pt>
                  <c:pt idx="20">
                    <c:v>Sep</c:v>
                  </c:pt>
                  <c:pt idx="21">
                    <c:v>Nov</c:v>
                  </c:pt>
                  <c:pt idx="22">
                    <c:v>Jan</c:v>
                  </c:pt>
                  <c:pt idx="23">
                    <c:v>Mar</c:v>
                  </c:pt>
                  <c:pt idx="24">
                    <c:v>Apr</c:v>
                  </c:pt>
                  <c:pt idx="25">
                    <c:v>Jun</c:v>
                  </c:pt>
                  <c:pt idx="26">
                    <c:v>Jul</c:v>
                  </c:pt>
                </c:lvl>
                <c:lvl>
                  <c:pt idx="0">
                    <c:v>2012</c:v>
                  </c:pt>
                  <c:pt idx="3">
                    <c:v>2013</c:v>
                  </c:pt>
                  <c:pt idx="7">
                    <c:v>2014</c:v>
                  </c:pt>
                  <c:pt idx="13">
                    <c:v>2015</c:v>
                  </c:pt>
                  <c:pt idx="16">
                    <c:v>2016</c:v>
                  </c:pt>
                  <c:pt idx="18">
                    <c:v>2018</c:v>
                  </c:pt>
                  <c:pt idx="20">
                    <c:v>2019</c:v>
                  </c:pt>
                  <c:pt idx="22">
                    <c:v>2020</c:v>
                  </c:pt>
                </c:lvl>
                <c:lvl>
                  <c:pt idx="0">
                    <c:v>Sam W</c:v>
                  </c:pt>
                </c:lvl>
              </c:multiLvlStrCache>
            </c:multiLvlStrRef>
          </c:cat>
          <c:val>
            <c:numRef>
              <c:f>'1RM Tracker'!$C$6:$C$41</c:f>
              <c:numCache>
                <c:formatCode>0</c:formatCode>
                <c:ptCount val="27"/>
                <c:pt idx="24">
                  <c:v>161.29032258064515</c:v>
                </c:pt>
                <c:pt idx="25">
                  <c:v>173.48203221809169</c:v>
                </c:pt>
                <c:pt idx="26">
                  <c:v>169.39252336448598</c:v>
                </c:pt>
              </c:numCache>
            </c:numRef>
          </c:val>
          <c:smooth val="0"/>
          <c:extLst>
            <c:ext xmlns:c16="http://schemas.microsoft.com/office/drawing/2014/chart" uri="{C3380CC4-5D6E-409C-BE32-E72D297353CC}">
              <c16:uniqueId val="{00000001-4F7F-447B-856C-24308F090644}"/>
            </c:ext>
          </c:extLst>
        </c:ser>
        <c:ser>
          <c:idx val="2"/>
          <c:order val="2"/>
          <c:tx>
            <c:strRef>
              <c:f>'1RM Tracker'!$D$3:$D$5</c:f>
              <c:strCache>
                <c:ptCount val="1"/>
                <c:pt idx="0">
                  <c:v>Back Squat - Deep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'1RM Tracker'!$A$6:$A$41</c:f>
              <c:multiLvlStrCache>
                <c:ptCount val="27"/>
                <c:lvl>
                  <c:pt idx="0">
                    <c:v>Apr</c:v>
                  </c:pt>
                  <c:pt idx="1">
                    <c:v>May</c:v>
                  </c:pt>
                  <c:pt idx="2">
                    <c:v>Jun</c:v>
                  </c:pt>
                  <c:pt idx="3">
                    <c:v>Apr</c:v>
                  </c:pt>
                  <c:pt idx="4">
                    <c:v>Aug</c:v>
                  </c:pt>
                  <c:pt idx="5">
                    <c:v>Nov</c:v>
                  </c:pt>
                  <c:pt idx="6">
                    <c:v>Dec</c:v>
                  </c:pt>
                  <c:pt idx="7">
                    <c:v>Jan</c:v>
                  </c:pt>
                  <c:pt idx="8">
                    <c:v>Apr</c:v>
                  </c:pt>
                  <c:pt idx="9">
                    <c:v>May</c:v>
                  </c:pt>
                  <c:pt idx="10">
                    <c:v>Aug</c:v>
                  </c:pt>
                  <c:pt idx="11">
                    <c:v>Sep</c:v>
                  </c:pt>
                  <c:pt idx="12">
                    <c:v>Oct</c:v>
                  </c:pt>
                  <c:pt idx="13">
                    <c:v>Jan</c:v>
                  </c:pt>
                  <c:pt idx="14">
                    <c:v>Mar</c:v>
                  </c:pt>
                  <c:pt idx="15">
                    <c:v>May</c:v>
                  </c:pt>
                  <c:pt idx="16">
                    <c:v>Jan</c:v>
                  </c:pt>
                  <c:pt idx="17">
                    <c:v>Apr</c:v>
                  </c:pt>
                  <c:pt idx="18">
                    <c:v>Aug</c:v>
                  </c:pt>
                  <c:pt idx="19">
                    <c:v>Dec</c:v>
                  </c:pt>
                  <c:pt idx="20">
                    <c:v>Sep</c:v>
                  </c:pt>
                  <c:pt idx="21">
                    <c:v>Nov</c:v>
                  </c:pt>
                  <c:pt idx="22">
                    <c:v>Jan</c:v>
                  </c:pt>
                  <c:pt idx="23">
                    <c:v>Mar</c:v>
                  </c:pt>
                  <c:pt idx="24">
                    <c:v>Apr</c:v>
                  </c:pt>
                  <c:pt idx="25">
                    <c:v>Jun</c:v>
                  </c:pt>
                  <c:pt idx="26">
                    <c:v>Jul</c:v>
                  </c:pt>
                </c:lvl>
                <c:lvl>
                  <c:pt idx="0">
                    <c:v>2012</c:v>
                  </c:pt>
                  <c:pt idx="3">
                    <c:v>2013</c:v>
                  </c:pt>
                  <c:pt idx="7">
                    <c:v>2014</c:v>
                  </c:pt>
                  <c:pt idx="13">
                    <c:v>2015</c:v>
                  </c:pt>
                  <c:pt idx="16">
                    <c:v>2016</c:v>
                  </c:pt>
                  <c:pt idx="18">
                    <c:v>2018</c:v>
                  </c:pt>
                  <c:pt idx="20">
                    <c:v>2019</c:v>
                  </c:pt>
                  <c:pt idx="22">
                    <c:v>2020</c:v>
                  </c:pt>
                </c:lvl>
                <c:lvl>
                  <c:pt idx="0">
                    <c:v>Sam W</c:v>
                  </c:pt>
                </c:lvl>
              </c:multiLvlStrCache>
            </c:multiLvlStrRef>
          </c:cat>
          <c:val>
            <c:numRef>
              <c:f>'1RM Tracker'!$D$6:$D$41</c:f>
              <c:numCache>
                <c:formatCode>0</c:formatCode>
                <c:ptCount val="27"/>
                <c:pt idx="8">
                  <c:v>127.90697674418605</c:v>
                </c:pt>
              </c:numCache>
            </c:numRef>
          </c:val>
          <c:smooth val="0"/>
          <c:extLst>
            <c:ext xmlns:c16="http://schemas.microsoft.com/office/drawing/2014/chart" uri="{C3380CC4-5D6E-409C-BE32-E72D297353CC}">
              <c16:uniqueId val="{00000002-4F7F-447B-856C-24308F090644}"/>
            </c:ext>
          </c:extLst>
        </c:ser>
        <c:ser>
          <c:idx val="3"/>
          <c:order val="3"/>
          <c:tx>
            <c:strRef>
              <c:f>'1RM Tracker'!$E$3:$E$5</c:f>
              <c:strCache>
                <c:ptCount val="1"/>
                <c:pt idx="0">
                  <c:v>Back Squat - Parallel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'1RM Tracker'!$A$6:$A$41</c:f>
              <c:multiLvlStrCache>
                <c:ptCount val="27"/>
                <c:lvl>
                  <c:pt idx="0">
                    <c:v>Apr</c:v>
                  </c:pt>
                  <c:pt idx="1">
                    <c:v>May</c:v>
                  </c:pt>
                  <c:pt idx="2">
                    <c:v>Jun</c:v>
                  </c:pt>
                  <c:pt idx="3">
                    <c:v>Apr</c:v>
                  </c:pt>
                  <c:pt idx="4">
                    <c:v>Aug</c:v>
                  </c:pt>
                  <c:pt idx="5">
                    <c:v>Nov</c:v>
                  </c:pt>
                  <c:pt idx="6">
                    <c:v>Dec</c:v>
                  </c:pt>
                  <c:pt idx="7">
                    <c:v>Jan</c:v>
                  </c:pt>
                  <c:pt idx="8">
                    <c:v>Apr</c:v>
                  </c:pt>
                  <c:pt idx="9">
                    <c:v>May</c:v>
                  </c:pt>
                  <c:pt idx="10">
                    <c:v>Aug</c:v>
                  </c:pt>
                  <c:pt idx="11">
                    <c:v>Sep</c:v>
                  </c:pt>
                  <c:pt idx="12">
                    <c:v>Oct</c:v>
                  </c:pt>
                  <c:pt idx="13">
                    <c:v>Jan</c:v>
                  </c:pt>
                  <c:pt idx="14">
                    <c:v>Mar</c:v>
                  </c:pt>
                  <c:pt idx="15">
                    <c:v>May</c:v>
                  </c:pt>
                  <c:pt idx="16">
                    <c:v>Jan</c:v>
                  </c:pt>
                  <c:pt idx="17">
                    <c:v>Apr</c:v>
                  </c:pt>
                  <c:pt idx="18">
                    <c:v>Aug</c:v>
                  </c:pt>
                  <c:pt idx="19">
                    <c:v>Dec</c:v>
                  </c:pt>
                  <c:pt idx="20">
                    <c:v>Sep</c:v>
                  </c:pt>
                  <c:pt idx="21">
                    <c:v>Nov</c:v>
                  </c:pt>
                  <c:pt idx="22">
                    <c:v>Jan</c:v>
                  </c:pt>
                  <c:pt idx="23">
                    <c:v>Mar</c:v>
                  </c:pt>
                  <c:pt idx="24">
                    <c:v>Apr</c:v>
                  </c:pt>
                  <c:pt idx="25">
                    <c:v>Jun</c:v>
                  </c:pt>
                  <c:pt idx="26">
                    <c:v>Jul</c:v>
                  </c:pt>
                </c:lvl>
                <c:lvl>
                  <c:pt idx="0">
                    <c:v>2012</c:v>
                  </c:pt>
                  <c:pt idx="3">
                    <c:v>2013</c:v>
                  </c:pt>
                  <c:pt idx="7">
                    <c:v>2014</c:v>
                  </c:pt>
                  <c:pt idx="13">
                    <c:v>2015</c:v>
                  </c:pt>
                  <c:pt idx="16">
                    <c:v>2016</c:v>
                  </c:pt>
                  <c:pt idx="18">
                    <c:v>2018</c:v>
                  </c:pt>
                  <c:pt idx="20">
                    <c:v>2019</c:v>
                  </c:pt>
                  <c:pt idx="22">
                    <c:v>2020</c:v>
                  </c:pt>
                </c:lvl>
                <c:lvl>
                  <c:pt idx="0">
                    <c:v>Sam W</c:v>
                  </c:pt>
                </c:lvl>
              </c:multiLvlStrCache>
            </c:multiLvlStrRef>
          </c:cat>
          <c:val>
            <c:numRef>
              <c:f>'1RM Tracker'!$E$6:$E$41</c:f>
              <c:numCache>
                <c:formatCode>0</c:formatCode>
                <c:ptCount val="27"/>
                <c:pt idx="20">
                  <c:v>165.56291390728478</c:v>
                </c:pt>
                <c:pt idx="21">
                  <c:v>165.56291390728478</c:v>
                </c:pt>
                <c:pt idx="22">
                  <c:v>158.91032917139614</c:v>
                </c:pt>
                <c:pt idx="23">
                  <c:v>161.29032258064515</c:v>
                </c:pt>
              </c:numCache>
            </c:numRef>
          </c:val>
          <c:smooth val="0"/>
          <c:extLst>
            <c:ext xmlns:c16="http://schemas.microsoft.com/office/drawing/2014/chart" uri="{C3380CC4-5D6E-409C-BE32-E72D297353CC}">
              <c16:uniqueId val="{00000003-4F7F-447B-856C-24308F090644}"/>
            </c:ext>
          </c:extLst>
        </c:ser>
        <c:ser>
          <c:idx val="4"/>
          <c:order val="4"/>
          <c:tx>
            <c:strRef>
              <c:f>'1RM Tracker'!$F$3:$F$5</c:f>
              <c:strCache>
                <c:ptCount val="1"/>
                <c:pt idx="0">
                  <c:v>Back Squat - (blank)</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'1RM Tracker'!$A$6:$A$41</c:f>
              <c:multiLvlStrCache>
                <c:ptCount val="27"/>
                <c:lvl>
                  <c:pt idx="0">
                    <c:v>Apr</c:v>
                  </c:pt>
                  <c:pt idx="1">
                    <c:v>May</c:v>
                  </c:pt>
                  <c:pt idx="2">
                    <c:v>Jun</c:v>
                  </c:pt>
                  <c:pt idx="3">
                    <c:v>Apr</c:v>
                  </c:pt>
                  <c:pt idx="4">
                    <c:v>Aug</c:v>
                  </c:pt>
                  <c:pt idx="5">
                    <c:v>Nov</c:v>
                  </c:pt>
                  <c:pt idx="6">
                    <c:v>Dec</c:v>
                  </c:pt>
                  <c:pt idx="7">
                    <c:v>Jan</c:v>
                  </c:pt>
                  <c:pt idx="8">
                    <c:v>Apr</c:v>
                  </c:pt>
                  <c:pt idx="9">
                    <c:v>May</c:v>
                  </c:pt>
                  <c:pt idx="10">
                    <c:v>Aug</c:v>
                  </c:pt>
                  <c:pt idx="11">
                    <c:v>Sep</c:v>
                  </c:pt>
                  <c:pt idx="12">
                    <c:v>Oct</c:v>
                  </c:pt>
                  <c:pt idx="13">
                    <c:v>Jan</c:v>
                  </c:pt>
                  <c:pt idx="14">
                    <c:v>Mar</c:v>
                  </c:pt>
                  <c:pt idx="15">
                    <c:v>May</c:v>
                  </c:pt>
                  <c:pt idx="16">
                    <c:v>Jan</c:v>
                  </c:pt>
                  <c:pt idx="17">
                    <c:v>Apr</c:v>
                  </c:pt>
                  <c:pt idx="18">
                    <c:v>Aug</c:v>
                  </c:pt>
                  <c:pt idx="19">
                    <c:v>Dec</c:v>
                  </c:pt>
                  <c:pt idx="20">
                    <c:v>Sep</c:v>
                  </c:pt>
                  <c:pt idx="21">
                    <c:v>Nov</c:v>
                  </c:pt>
                  <c:pt idx="22">
                    <c:v>Jan</c:v>
                  </c:pt>
                  <c:pt idx="23">
                    <c:v>Mar</c:v>
                  </c:pt>
                  <c:pt idx="24">
                    <c:v>Apr</c:v>
                  </c:pt>
                  <c:pt idx="25">
                    <c:v>Jun</c:v>
                  </c:pt>
                  <c:pt idx="26">
                    <c:v>Jul</c:v>
                  </c:pt>
                </c:lvl>
                <c:lvl>
                  <c:pt idx="0">
                    <c:v>2012</c:v>
                  </c:pt>
                  <c:pt idx="3">
                    <c:v>2013</c:v>
                  </c:pt>
                  <c:pt idx="7">
                    <c:v>2014</c:v>
                  </c:pt>
                  <c:pt idx="13">
                    <c:v>2015</c:v>
                  </c:pt>
                  <c:pt idx="16">
                    <c:v>2016</c:v>
                  </c:pt>
                  <c:pt idx="18">
                    <c:v>2018</c:v>
                  </c:pt>
                  <c:pt idx="20">
                    <c:v>2019</c:v>
                  </c:pt>
                  <c:pt idx="22">
                    <c:v>2020</c:v>
                  </c:pt>
                </c:lvl>
                <c:lvl>
                  <c:pt idx="0">
                    <c:v>Sam W</c:v>
                  </c:pt>
                </c:lvl>
              </c:multiLvlStrCache>
            </c:multiLvlStrRef>
          </c:cat>
          <c:val>
            <c:numRef>
              <c:f>'1RM Tracker'!$F$6:$F$41</c:f>
              <c:numCache>
                <c:formatCode>0</c:formatCode>
                <c:ptCount val="27"/>
                <c:pt idx="2">
                  <c:v>200</c:v>
                </c:pt>
                <c:pt idx="23">
                  <c:v>152.67175572519085</c:v>
                </c:pt>
                <c:pt idx="24">
                  <c:v>161.29032258064515</c:v>
                </c:pt>
              </c:numCache>
            </c:numRef>
          </c:val>
          <c:smooth val="0"/>
          <c:extLst>
            <c:ext xmlns:c16="http://schemas.microsoft.com/office/drawing/2014/chart" uri="{C3380CC4-5D6E-409C-BE32-E72D297353CC}">
              <c16:uniqueId val="{00000004-4F7F-447B-856C-24308F090644}"/>
            </c:ext>
          </c:extLst>
        </c:ser>
        <c:ser>
          <c:idx val="5"/>
          <c:order val="5"/>
          <c:tx>
            <c:strRef>
              <c:f>'1RM Tracker'!$G$3:$G$5</c:f>
              <c:strCache>
                <c:ptCount val="1"/>
                <c:pt idx="0">
                  <c:v>Box Squat - 40cm</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'1RM Tracker'!$A$6:$A$41</c:f>
              <c:multiLvlStrCache>
                <c:ptCount val="27"/>
                <c:lvl>
                  <c:pt idx="0">
                    <c:v>Apr</c:v>
                  </c:pt>
                  <c:pt idx="1">
                    <c:v>May</c:v>
                  </c:pt>
                  <c:pt idx="2">
                    <c:v>Jun</c:v>
                  </c:pt>
                  <c:pt idx="3">
                    <c:v>Apr</c:v>
                  </c:pt>
                  <c:pt idx="4">
                    <c:v>Aug</c:v>
                  </c:pt>
                  <c:pt idx="5">
                    <c:v>Nov</c:v>
                  </c:pt>
                  <c:pt idx="6">
                    <c:v>Dec</c:v>
                  </c:pt>
                  <c:pt idx="7">
                    <c:v>Jan</c:v>
                  </c:pt>
                  <c:pt idx="8">
                    <c:v>Apr</c:v>
                  </c:pt>
                  <c:pt idx="9">
                    <c:v>May</c:v>
                  </c:pt>
                  <c:pt idx="10">
                    <c:v>Aug</c:v>
                  </c:pt>
                  <c:pt idx="11">
                    <c:v>Sep</c:v>
                  </c:pt>
                  <c:pt idx="12">
                    <c:v>Oct</c:v>
                  </c:pt>
                  <c:pt idx="13">
                    <c:v>Jan</c:v>
                  </c:pt>
                  <c:pt idx="14">
                    <c:v>Mar</c:v>
                  </c:pt>
                  <c:pt idx="15">
                    <c:v>May</c:v>
                  </c:pt>
                  <c:pt idx="16">
                    <c:v>Jan</c:v>
                  </c:pt>
                  <c:pt idx="17">
                    <c:v>Apr</c:v>
                  </c:pt>
                  <c:pt idx="18">
                    <c:v>Aug</c:v>
                  </c:pt>
                  <c:pt idx="19">
                    <c:v>Dec</c:v>
                  </c:pt>
                  <c:pt idx="20">
                    <c:v>Sep</c:v>
                  </c:pt>
                  <c:pt idx="21">
                    <c:v>Nov</c:v>
                  </c:pt>
                  <c:pt idx="22">
                    <c:v>Jan</c:v>
                  </c:pt>
                  <c:pt idx="23">
                    <c:v>Mar</c:v>
                  </c:pt>
                  <c:pt idx="24">
                    <c:v>Apr</c:v>
                  </c:pt>
                  <c:pt idx="25">
                    <c:v>Jun</c:v>
                  </c:pt>
                  <c:pt idx="26">
                    <c:v>Jul</c:v>
                  </c:pt>
                </c:lvl>
                <c:lvl>
                  <c:pt idx="0">
                    <c:v>2012</c:v>
                  </c:pt>
                  <c:pt idx="3">
                    <c:v>2013</c:v>
                  </c:pt>
                  <c:pt idx="7">
                    <c:v>2014</c:v>
                  </c:pt>
                  <c:pt idx="13">
                    <c:v>2015</c:v>
                  </c:pt>
                  <c:pt idx="16">
                    <c:v>2016</c:v>
                  </c:pt>
                  <c:pt idx="18">
                    <c:v>2018</c:v>
                  </c:pt>
                  <c:pt idx="20">
                    <c:v>2019</c:v>
                  </c:pt>
                  <c:pt idx="22">
                    <c:v>2020</c:v>
                  </c:pt>
                </c:lvl>
                <c:lvl>
                  <c:pt idx="0">
                    <c:v>Sam W</c:v>
                  </c:pt>
                </c:lvl>
              </c:multiLvlStrCache>
            </c:multiLvlStrRef>
          </c:cat>
          <c:val>
            <c:numRef>
              <c:f>'1RM Tracker'!$G$6:$G$41</c:f>
              <c:numCache>
                <c:formatCode>0</c:formatCode>
                <c:ptCount val="27"/>
                <c:pt idx="3">
                  <c:v>167.5</c:v>
                </c:pt>
                <c:pt idx="4">
                  <c:v>170</c:v>
                </c:pt>
                <c:pt idx="5">
                  <c:v>153.84615384615384</c:v>
                </c:pt>
                <c:pt idx="6">
                  <c:v>139.53488372093022</c:v>
                </c:pt>
                <c:pt idx="7">
                  <c:v>164.83516483516482</c:v>
                </c:pt>
                <c:pt idx="8">
                  <c:v>175.82417582417582</c:v>
                </c:pt>
                <c:pt idx="9">
                  <c:v>171.12299465240642</c:v>
                </c:pt>
                <c:pt idx="11">
                  <c:v>178.34394904458597</c:v>
                </c:pt>
                <c:pt idx="12">
                  <c:v>162.7906976744186</c:v>
                </c:pt>
                <c:pt idx="13">
                  <c:v>186.04651162790697</c:v>
                </c:pt>
                <c:pt idx="14">
                  <c:v>186.8131868131868</c:v>
                </c:pt>
                <c:pt idx="15">
                  <c:v>180</c:v>
                </c:pt>
                <c:pt idx="16">
                  <c:v>180</c:v>
                </c:pt>
                <c:pt idx="17">
                  <c:v>170</c:v>
                </c:pt>
                <c:pt idx="18">
                  <c:v>160</c:v>
                </c:pt>
                <c:pt idx="19">
                  <c:v>175</c:v>
                </c:pt>
              </c:numCache>
            </c:numRef>
          </c:val>
          <c:smooth val="0"/>
          <c:extLst>
            <c:ext xmlns:c16="http://schemas.microsoft.com/office/drawing/2014/chart" uri="{C3380CC4-5D6E-409C-BE32-E72D297353CC}">
              <c16:uniqueId val="{00000005-4F7F-447B-856C-24308F090644}"/>
            </c:ext>
          </c:extLst>
        </c:ser>
        <c:ser>
          <c:idx val="6"/>
          <c:order val="6"/>
          <c:tx>
            <c:strRef>
              <c:f>'1RM Tracker'!$H$3:$H$5</c:f>
              <c:strCache>
                <c:ptCount val="1"/>
                <c:pt idx="0">
                  <c:v>Front Squat - ATG</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multiLvlStrRef>
              <c:f>'1RM Tracker'!$A$6:$A$41</c:f>
              <c:multiLvlStrCache>
                <c:ptCount val="27"/>
                <c:lvl>
                  <c:pt idx="0">
                    <c:v>Apr</c:v>
                  </c:pt>
                  <c:pt idx="1">
                    <c:v>May</c:v>
                  </c:pt>
                  <c:pt idx="2">
                    <c:v>Jun</c:v>
                  </c:pt>
                  <c:pt idx="3">
                    <c:v>Apr</c:v>
                  </c:pt>
                  <c:pt idx="4">
                    <c:v>Aug</c:v>
                  </c:pt>
                  <c:pt idx="5">
                    <c:v>Nov</c:v>
                  </c:pt>
                  <c:pt idx="6">
                    <c:v>Dec</c:v>
                  </c:pt>
                  <c:pt idx="7">
                    <c:v>Jan</c:v>
                  </c:pt>
                  <c:pt idx="8">
                    <c:v>Apr</c:v>
                  </c:pt>
                  <c:pt idx="9">
                    <c:v>May</c:v>
                  </c:pt>
                  <c:pt idx="10">
                    <c:v>Aug</c:v>
                  </c:pt>
                  <c:pt idx="11">
                    <c:v>Sep</c:v>
                  </c:pt>
                  <c:pt idx="12">
                    <c:v>Oct</c:v>
                  </c:pt>
                  <c:pt idx="13">
                    <c:v>Jan</c:v>
                  </c:pt>
                  <c:pt idx="14">
                    <c:v>Mar</c:v>
                  </c:pt>
                  <c:pt idx="15">
                    <c:v>May</c:v>
                  </c:pt>
                  <c:pt idx="16">
                    <c:v>Jan</c:v>
                  </c:pt>
                  <c:pt idx="17">
                    <c:v>Apr</c:v>
                  </c:pt>
                  <c:pt idx="18">
                    <c:v>Aug</c:v>
                  </c:pt>
                  <c:pt idx="19">
                    <c:v>Dec</c:v>
                  </c:pt>
                  <c:pt idx="20">
                    <c:v>Sep</c:v>
                  </c:pt>
                  <c:pt idx="21">
                    <c:v>Nov</c:v>
                  </c:pt>
                  <c:pt idx="22">
                    <c:v>Jan</c:v>
                  </c:pt>
                  <c:pt idx="23">
                    <c:v>Mar</c:v>
                  </c:pt>
                  <c:pt idx="24">
                    <c:v>Apr</c:v>
                  </c:pt>
                  <c:pt idx="25">
                    <c:v>Jun</c:v>
                  </c:pt>
                  <c:pt idx="26">
                    <c:v>Jul</c:v>
                  </c:pt>
                </c:lvl>
                <c:lvl>
                  <c:pt idx="0">
                    <c:v>2012</c:v>
                  </c:pt>
                  <c:pt idx="3">
                    <c:v>2013</c:v>
                  </c:pt>
                  <c:pt idx="7">
                    <c:v>2014</c:v>
                  </c:pt>
                  <c:pt idx="13">
                    <c:v>2015</c:v>
                  </c:pt>
                  <c:pt idx="16">
                    <c:v>2016</c:v>
                  </c:pt>
                  <c:pt idx="18">
                    <c:v>2018</c:v>
                  </c:pt>
                  <c:pt idx="20">
                    <c:v>2019</c:v>
                  </c:pt>
                  <c:pt idx="22">
                    <c:v>2020</c:v>
                  </c:pt>
                </c:lvl>
                <c:lvl>
                  <c:pt idx="0">
                    <c:v>Sam W</c:v>
                  </c:pt>
                </c:lvl>
              </c:multiLvlStrCache>
            </c:multiLvlStrRef>
          </c:cat>
          <c:val>
            <c:numRef>
              <c:f>'1RM Tracker'!$H$6:$H$41</c:f>
              <c:numCache>
                <c:formatCode>0</c:formatCode>
                <c:ptCount val="27"/>
                <c:pt idx="8">
                  <c:v>116.27906976744187</c:v>
                </c:pt>
                <c:pt idx="9">
                  <c:v>112.99435028248587</c:v>
                </c:pt>
                <c:pt idx="10">
                  <c:v>101.9108280254777</c:v>
                </c:pt>
                <c:pt idx="11">
                  <c:v>108.28025477707006</c:v>
                </c:pt>
                <c:pt idx="23">
                  <c:v>134.40860215053763</c:v>
                </c:pt>
                <c:pt idx="24">
                  <c:v>127.2264631043257</c:v>
                </c:pt>
                <c:pt idx="25">
                  <c:v>153.23496027241771</c:v>
                </c:pt>
              </c:numCache>
            </c:numRef>
          </c:val>
          <c:smooth val="0"/>
          <c:extLst>
            <c:ext xmlns:c16="http://schemas.microsoft.com/office/drawing/2014/chart" uri="{C3380CC4-5D6E-409C-BE32-E72D297353CC}">
              <c16:uniqueId val="{00000008-4F7F-447B-856C-24308F090644}"/>
            </c:ext>
          </c:extLst>
        </c:ser>
        <c:dLbls>
          <c:showLegendKey val="0"/>
          <c:showVal val="0"/>
          <c:showCatName val="0"/>
          <c:showSerName val="0"/>
          <c:showPercent val="0"/>
          <c:showBubbleSize val="0"/>
        </c:dLbls>
        <c:marker val="1"/>
        <c:smooth val="0"/>
        <c:axId val="999441248"/>
        <c:axId val="573238128"/>
      </c:lineChart>
      <c:catAx>
        <c:axId val="99944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238128"/>
        <c:crosses val="autoZero"/>
        <c:auto val="1"/>
        <c:lblAlgn val="ctr"/>
        <c:lblOffset val="100"/>
        <c:noMultiLvlLbl val="0"/>
      </c:catAx>
      <c:valAx>
        <c:axId val="573238128"/>
        <c:scaling>
          <c:orientation val="minMax"/>
          <c:min val="1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44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476249</xdr:colOff>
      <xdr:row>2</xdr:row>
      <xdr:rowOff>85724</xdr:rowOff>
    </xdr:from>
    <xdr:to>
      <xdr:col>18</xdr:col>
      <xdr:colOff>57150</xdr:colOff>
      <xdr:row>28</xdr:row>
      <xdr:rowOff>38099</xdr:rowOff>
    </xdr:to>
    <xdr:graphicFrame macro="">
      <xdr:nvGraphicFramePr>
        <xdr:cNvPr id="2" name="Chart 1">
          <a:extLst>
            <a:ext uri="{FF2B5EF4-FFF2-40B4-BE49-F238E27FC236}">
              <a16:creationId xmlns:a16="http://schemas.microsoft.com/office/drawing/2014/main" id="{64C79DB6-2BD5-4684-B62E-E50886C13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257175</xdr:colOff>
      <xdr:row>2</xdr:row>
      <xdr:rowOff>9525</xdr:rowOff>
    </xdr:from>
    <xdr:to>
      <xdr:col>20</xdr:col>
      <xdr:colOff>285750</xdr:colOff>
      <xdr:row>8</xdr:row>
      <xdr:rowOff>114300</xdr:rowOff>
    </xdr:to>
    <mc:AlternateContent xmlns:mc="http://schemas.openxmlformats.org/markup-compatibility/2006" xmlns:a14="http://schemas.microsoft.com/office/drawing/2010/main">
      <mc:Choice Requires="a14">
        <xdr:graphicFrame macro="">
          <xdr:nvGraphicFramePr>
            <xdr:cNvPr id="3" name="Depth 1">
              <a:extLst>
                <a:ext uri="{FF2B5EF4-FFF2-40B4-BE49-F238E27FC236}">
                  <a16:creationId xmlns:a16="http://schemas.microsoft.com/office/drawing/2014/main" id="{019E40B2-F958-4FED-95B3-42856F2EFF26}"/>
                </a:ext>
              </a:extLst>
            </xdr:cNvPr>
            <xdr:cNvGraphicFramePr/>
          </xdr:nvGraphicFramePr>
          <xdr:xfrm>
            <a:off x="0" y="0"/>
            <a:ext cx="0" cy="0"/>
          </xdr:xfrm>
          <a:graphic>
            <a:graphicData uri="http://schemas.microsoft.com/office/drawing/2010/slicer">
              <sle:slicer xmlns:sle="http://schemas.microsoft.com/office/drawing/2010/slicer" name="Depth 1"/>
            </a:graphicData>
          </a:graphic>
        </xdr:graphicFrame>
      </mc:Choice>
      <mc:Fallback xmlns="">
        <xdr:sp macro="" textlink="">
          <xdr:nvSpPr>
            <xdr:cNvPr id="0" name=""/>
            <xdr:cNvSpPr>
              <a:spLocks noTextEdit="1"/>
            </xdr:cNvSpPr>
          </xdr:nvSpPr>
          <xdr:spPr>
            <a:xfrm>
              <a:off x="13820775" y="390525"/>
              <a:ext cx="1847850" cy="1247775"/>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ndrew%20Keene's%20Documents/01%20Cambridge/01%20Squads/UserShares/My%20Stuff/01%20Athletes%20&amp;%20Teams/Hockey/01%20Hockey%20Godshe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ndrew%20Keene's%20Documents/01%20Cambridge/01%20Squads/RedirectedFolders/01%20My%20Stuff/01%20Athletes%20&amp;%20Teams/Academy%20Otago%20Program/Rosie%20Robinson/Rosie%20Robinson%20-%20God%20Shee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ndrew%20Keene's%20Documents/01%20Cambridge/01%20Squads/01%20My%20Stuff/02%20Service%20Delivery/01%20Exercise%20Pictures%20&amp;%20Drills/01.%20Warm-up,Warm-down,Stretches/Pre-gym%20session%20warm-up%20session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ndrew%20Keene's%20Documents/01%20Cambridge/01%20Squads/Users/andrewk.SPORT/Documents/01%20My%20Stuff/02%20Service%20Delivery/01%20Exercise%20Pictures%20&amp;%20Drills/Rugby%20Drill%20Lis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ndrew%20Keene's%20Documents/01%20Cambridge/01%20Squads/Users/andrewk.SPORT/Documents/01%20My%20Stuff/02%20Service%20Delivery/02%20Programs/01%20Warm-up%20Circuits/Netball%20Warm-up%20-%20No%20Picture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ndrew%20Keene's%20Documents/01%20Cambridge/01%20Squads/05%20Historical%20Gym%20Programs%20-%202014%20and%20before.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ndrew%20Keene's%20Documents/01%20Cambridge/01%20Squads/01%20Sprint%20Extra's%20-%20Previous%20Programs,%20Plans,%20Information%20etc..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y_Stuff\Personal\Service%20Delivery%20Resources\01%20Exercise%20Pictures%20&amp;%20Drills\01.%20Rugby%20Drill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ndrew%20Keene's%20Documents/01%20Cambridge/01%20Squads/UserShares/Andrewk/Athletics%20-%202011%20Plans%20&amp;%20Programs.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ndrew%20Keene's%20Documents/01%20Cambridge/01%20Squads/UserShares/My_Stuff/Personal/Service%20Delivery%20Resources/01%20Group%20Training%20Sessions/01-Group%20Training%20Session%20Plans.xls" TargetMode="External"/></Relationships>
</file>

<file path=xl/externalLinks/_rels/externalLink11.xml.rels><?xml version="1.0" encoding="UTF-8" standalone="yes"?>
<Relationships xmlns="http://schemas.openxmlformats.org/package/2006/relationships"><Relationship Id="rId2" Type="http://schemas.microsoft.com/office/2019/04/relationships/externalLinkLongPath" Target="/Andrew%20Keene's%20Documents/01%20Cambridge/01%20Squads/Users/andrewk.SPORT/Documents/01%20My%20Stuff/02%20Service%20Delivery/06%20Challenges,Games,Team%20Building/Challenge%20Events/Challenge%20Events%20Godsheet.xlsm?EBF3CEEC" TargetMode="External"/><Relationship Id="rId1" Type="http://schemas.openxmlformats.org/officeDocument/2006/relationships/externalLinkPath" Target="file:///\\EBF3CEEC\Challenge%20Events%20Godsheet.xlsm" TargetMode="External"/></Relationships>
</file>

<file path=xl/externalLinks/_rels/externalLink12.xml.rels><?xml version="1.0" encoding="UTF-8" standalone="yes"?>
<Relationships xmlns="http://schemas.openxmlformats.org/package/2006/relationships"><Relationship Id="rId2" Type="http://schemas.microsoft.com/office/2019/04/relationships/externalLinkLongPath" Target="/Andrew%20Keene's%20Documents/01%20Cambridge/01%20Squads/Users/greg/AppData/Local/Microsoft/Windows/Temporary%20Internet%20Files/Content.Outlook/5JFKGJI5/Blackstick/Blackstick/Hockey_S&amp;C_programs.xlsx?CA86DD37" TargetMode="External"/><Relationship Id="rId1" Type="http://schemas.openxmlformats.org/officeDocument/2006/relationships/externalLinkPath" Target="file:///\\CA86DD37\Hockey_S&amp;C_programs.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G:\Documents\Northland%20Rugby\Northland%20Academy\Northland%20MASTERS\Sessions\Weights%20Programs\Cycle%206.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ndrew%20Keene's%20Documents/01%20Cambridge/01%20Squads/01%20My%20Stuff/02%20Service%20Delivery/01%20Programs/01.%20New%20Template%20System/01%20Netball%20Program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ndrew%20Keene's%20Documents/01%20Cambridge/01%20Squads/01%20My%20Stuff/02%20Service%20Delivery/01%20Programs/01.%20New%20Template%20System/01%20Football%20Programs.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Z:\RNZ%20S&amp;C%20Programs\To%20Aug%202013\Programs\Summer\MensSculling\CohenH.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ndrew%20Keene's%20Documents/01%20Cambridge/01%20Squads/01%20My%20Stuff/01%20Athletes%20&amp;%20Teams/01%20Team%20Academy%20Program/01%20Team%20Academy%20Management%20God%20Shee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ndrew%20Keene's%20Documents/01%20Cambridge/01%20Squads/UserShares/Andrewk/Athletics%20-%202010%20Plans%20&amp;%20Programs.xlsm"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ndrew%20Keene's%20Documents/01%20Cambridge/01%20Squads/01%20My%20Stuff/02%20Service%20Delivery/01%20Programs/01.%20New%20Template%20System/01%20Steel%20Programs.xlsm"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ndrew%20Keene's%20Documents/01%20Cambridge/01%20Squads/RedirectedFolders/01%20My%20Stuff/02%20Service%20Delivery/01%20Programs/01.%20New%20Template%20System/01%20Football%20Weekly%20Progra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dyweight"/>
      <sheetName val="Index"/>
      <sheetName val="Sheet1"/>
      <sheetName val="Athlete Log"/>
      <sheetName val="Attendance"/>
      <sheetName val="Planning"/>
      <sheetName val="Blair planning"/>
      <sheetName val="Athlete Information"/>
      <sheetName val="Calculator"/>
      <sheetName val="Sessions"/>
      <sheetName val="Screening Form"/>
      <sheetName val="control panel"/>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thlete Log"/>
      <sheetName val="Planning"/>
      <sheetName val="Contacts"/>
      <sheetName val="Screening Form"/>
      <sheetName val="Dec - Intro Program"/>
      <sheetName val="Dec Home Program"/>
      <sheetName val="Session Overviews"/>
      <sheetName val="Program Overviews"/>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unctional Warm-up Exercises"/>
    </sheetNames>
    <sheetDataSet>
      <sheetData sheetId="0" refreshError="1"/>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ills List"/>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s"/>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2014 Aug-Sep Plan-E,E,M,S,Steph"/>
      <sheetName val="2014 Simon Apr-Sep Program"/>
      <sheetName val="2014 Elite Aug Program"/>
      <sheetName val="11 Aug 2014 Re-Entry Programs"/>
      <sheetName val="26May-July 2014-PreCWGs14"/>
      <sheetName val="28th April 2014-3D Basic Strgth"/>
      <sheetName val="14th April 2014 - 4D Basic Strg"/>
      <sheetName val="31st March 2014 - General Prep"/>
      <sheetName val="24th March - 14 Rest wk"/>
      <sheetName val="2014 May June Max Strength Plan"/>
      <sheetName val="2014 Mar Apr Basic StrengthPlan"/>
      <sheetName val="2014 MayJun IndividualPlan"/>
      <sheetName val="6th Jan 13 -  Max Strength"/>
      <sheetName val="9th Dec 13 - General Prep"/>
      <sheetName val="25th Nov 13 - Comp Spec"/>
      <sheetName val="29th Oct 13 - Comp Spec"/>
      <sheetName val="Ethans Gym Phases 2012-2013"/>
      <sheetName val="Historical Gym Phas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ec-Mar1 Plan-Tom,Jem,Katie,St"/>
      <sheetName val="2014 Nationals Lead In Program"/>
      <sheetName val="FebMar14-Tom,Jem,Stp,Katie,Paig"/>
      <sheetName val="Feb14-Tom,Jem,Step,Katie,Paig"/>
      <sheetName val="Jan14-Tom,Jem,Step,Katie,Paig"/>
      <sheetName val="Dec13-Tom,Jem,Step,Katie,Paig"/>
      <sheetName val="25Nov13-Tom,Jem,Step,Katie,Paig"/>
      <sheetName val="Paige"/>
      <sheetName val="Jonesy - Steph"/>
      <sheetName val="Jonesy - Katie"/>
      <sheetName val="Jonesy - Tom"/>
      <sheetName val="Jonesy-Jeremy"/>
      <sheetName val="Gus %Cycles"/>
      <sheetName val="Gus April 2012"/>
      <sheetName val="Gus May 2012"/>
      <sheetName val="Gus Jun 12 Contrast Phase"/>
      <sheetName val="Riss Rhino Japan"/>
      <sheetName val="Riss April Eccentric 2013"/>
      <sheetName val="Riss May Eccentric &amp; Plyo 2013"/>
      <sheetName val="Riss July Stair 2013"/>
      <sheetName val="Riss Aug-Sep 2013"/>
      <sheetName val="Riss Sep-Oct 2013"/>
      <sheetName val="Will Payne Oct 13 Program"/>
      <sheetName val="Will Payne Jan 14"/>
      <sheetName val="Will Reports on Athletes"/>
      <sheetName val="Katie's next program"/>
      <sheetName val="Katie's National Lead in Progra"/>
      <sheetName val="National 2014 Core Progressions"/>
      <sheetName val="2013 to 2014 WC Weekly Schedul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ills"/>
      <sheetName val="Rugby Warm-up Drills"/>
    </sheetNames>
    <sheetDataSet>
      <sheetData sheetId="0"/>
      <sheetData sheetId="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Overall Delivery"/>
      <sheetName val="Glen Ballam - Plan"/>
      <sheetName val="Christina Taylor - Plan"/>
      <sheetName val="Hannah Newbold - Plan"/>
      <sheetName val="Becky Greene - Plan"/>
      <sheetName val="21 Dec Session"/>
      <sheetName val="November Programs"/>
      <sheetName val="October Programs"/>
      <sheetName val="September Programs"/>
      <sheetName val="August Programs"/>
      <sheetName val="Sep - Hannah"/>
      <sheetName val="July Prog - Becky"/>
      <sheetName val="July Prog - Christina"/>
      <sheetName val="April Prog - Becky"/>
      <sheetName val="April Prog - Christina"/>
      <sheetName val="April Prog - Glen"/>
      <sheetName val="April Prog - Hannah"/>
      <sheetName val="Feb Prog"/>
      <sheetName val="Jan Prog"/>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hallenge"/>
      <sheetName val="Self Testing"/>
      <sheetName val="Core&amp;Stretch"/>
      <sheetName val="Strongman"/>
      <sheetName val="Bad-14May"/>
      <sheetName val="Nugs-8May"/>
      <sheetName val="Bad-7 May 07"/>
      <sheetName val="2007 Power Circuit (Results)"/>
      <sheetName val="2007 Fit Circuit2"/>
      <sheetName val="2007 Power Circuit"/>
      <sheetName val="2007 Fit Circuit1"/>
      <sheetName val="Beach1"/>
      <sheetName val="Beach2"/>
      <sheetName val="Beach3"/>
      <sheetName val="Beach4"/>
      <sheetName val="Court1"/>
      <sheetName val="Court2-Beep Circuit"/>
      <sheetName val="Court3"/>
      <sheetName val="Fartlek1"/>
      <sheetName val="Fartlek2"/>
      <sheetName val="Fartlek3"/>
      <sheetName val="Fartlek4"/>
      <sheetName val="Fartlek5"/>
      <sheetName val="Fartlek6"/>
      <sheetName val="Room1-Partner Circuit"/>
      <sheetName val="Stair1"/>
      <sheetName val="Room2"/>
      <sheetName val="Room3"/>
      <sheetName val="Power Circuit1-Ross Novelty"/>
      <sheetName val="Power Circuit2"/>
      <sheetName val="Power Circuit3"/>
      <sheetName val="EnduranceChallenge1"/>
      <sheetName val="EnduranceChallenge2"/>
      <sheetName val="EnduranceChallenge3"/>
      <sheetName val="EnduranceChallenge4"/>
      <sheetName val="EnduranceChallenge5"/>
      <sheetName val="PowerCircuit-Fasttwitch"/>
      <sheetName val="PowerCircuitResults"/>
      <sheetName val="Badminton Power Circuit"/>
      <sheetName val="Nuggets Circuit1"/>
      <sheetName val="Nuggets Circuit2"/>
      <sheetName val="Nuggets Circuit3"/>
      <sheetName val="8Feb"/>
      <sheetName val="5Feb"/>
      <sheetName val="1Feb"/>
      <sheetName val="Outdoor7"/>
      <sheetName val="Stairs2"/>
      <sheetName val="Outdoor6"/>
      <sheetName val="Outdoor5"/>
      <sheetName val="Court6"/>
      <sheetName val="Outdoor4"/>
      <sheetName val="Outdoor4-ross"/>
      <sheetName val="Outdoor3"/>
      <sheetName val="Outdoor2"/>
      <sheetName val="Outdoor1"/>
      <sheetName val="Stairs3"/>
    </sheetNames>
    <sheetDataSet>
      <sheetData sheetId="0"/>
      <sheetData sheetId="1" refreshError="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Others"/>
      <sheetName val="AthleticsTeamAcademyChallenges"/>
      <sheetName val="Steel Challenge Info"/>
      <sheetName val="Challenge Information"/>
      <sheetName val="Value System"/>
      <sheetName val="team Academy Jun Events"/>
      <sheetName val="Weekly Challenges"/>
      <sheetName val="Team Strength Comp - Row"/>
      <sheetName val="Team Strength Comp - Team Acad"/>
      <sheetName val="Rel Strngth - Tri"/>
      <sheetName val="Rel Strngth - GDPC"/>
      <sheetName val="Rel Strngth - Row"/>
      <sheetName val="Rel Strngth - Team"/>
      <sheetName val="Rel Strngth - Team 2012"/>
      <sheetName val="Spd&amp;Pwer Hept - U21s"/>
      <sheetName val="Spd&amp;Pwer Hept1-2011 Team Acad"/>
      <sheetName val="Spd&amp;Pwer Hept2-2011 Team Acad"/>
      <sheetName val="Spd&amp;Pwr Hept1 -2012 Team Acad"/>
      <sheetName val="Spd&amp;Pwr Hept2 -2012 Team Acad"/>
      <sheetName val="Steel S&amp;P Decathlon"/>
      <sheetName val="Power Chall - Row"/>
      <sheetName val="300 Team Chall-Netball"/>
      <sheetName val="Core Chall - Tri"/>
      <sheetName val="Core Chall - Team Acad"/>
      <sheetName val="Core Chall - Runners"/>
      <sheetName val="Core Chall - Rowing"/>
      <sheetName val="Core Chall - Netball"/>
      <sheetName val="Core Chall - Steel"/>
      <sheetName val="Core Chall - Team Academy"/>
      <sheetName val="ME Hept - Run"/>
      <sheetName val="ME Hept - Netball"/>
      <sheetName val="ME Hept - Team Acad 1"/>
      <sheetName val="ME Hept - Team Acad 2"/>
      <sheetName val="ME Team Acade 3"/>
      <sheetName val="ME Hept - Steel"/>
      <sheetName val="ME - Rowers 7"/>
      <sheetName val="ME Pent - Rowers"/>
      <sheetName val="ME Hept - Team Acad"/>
      <sheetName val="ME Hept - 2012 Team Academ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C PROGRAM Master"/>
      <sheetName val="SAF Upper Body Injury"/>
      <sheetName val="Nick W"/>
      <sheetName val="SAF"/>
      <sheetName val="SAV"/>
      <sheetName val="1RM SHEET"/>
      <sheetName val="DATA"/>
      <sheetName val="Pattern multiplier"/>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rcise List"/>
      <sheetName val="STRENGTH-POWER"/>
      <sheetName val="Beau Dicknuts"/>
      <sheetName val="Tyler Lansdowne"/>
      <sheetName val="Rhys Banana"/>
      <sheetName val="POWER-STRENGTH"/>
      <sheetName val="Ben Berridge"/>
      <sheetName val="SIZE"/>
      <sheetName val="Tyler Edwards"/>
      <sheetName val="Harley Iraia"/>
      <sheetName val="STRENGTH-SIZE "/>
      <sheetName val="Logan Cowan"/>
      <sheetName val="Hayden McCaw"/>
      <sheetName val="METABOLIC"/>
      <sheetName val="Beau Tipene"/>
      <sheetName val="Ihaka Dunn"/>
      <sheetName val="Jordan Olsen"/>
      <sheetName val="GROUP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Options"/>
      <sheetName val="Previous Abs Work"/>
      <sheetName val="Cardio"/>
      <sheetName val="25 Jul - Team"/>
      <sheetName val="25 Jul - U21s"/>
      <sheetName val="18Jul ShanJay"/>
      <sheetName val="4 Jul - U21s"/>
      <sheetName val="4 Jul - Team"/>
      <sheetName val="20 June - U21s"/>
      <sheetName val="20 Jun - Team "/>
      <sheetName val="Daneka - 13 Jun"/>
      <sheetName val="6 Jun - Team"/>
      <sheetName val="Daneka - 30 May"/>
      <sheetName val="23 May - U21s"/>
      <sheetName val="16 May - Team"/>
      <sheetName val="9 May - U21s"/>
      <sheetName val="2 May - U21s"/>
      <sheetName val="2 May - Team"/>
      <sheetName val="7 Mar -U21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otball Stuff"/>
      <sheetName val="17 Oct"/>
      <sheetName val="3 Oct"/>
      <sheetName val="19 Sep"/>
      <sheetName val="5 Sep"/>
      <sheetName val="29 Aug"/>
      <sheetName val="22 Aug"/>
      <sheetName val="8 Aug"/>
      <sheetName val="18 Jul"/>
      <sheetName val="4 Jul"/>
      <sheetName val="20 Jun"/>
      <sheetName val="6 Jun"/>
      <sheetName val="30 May"/>
      <sheetName val="16 May"/>
      <sheetName val="2 May"/>
      <sheetName val="28 Mar"/>
      <sheetName val="14 Nov"/>
      <sheetName val="31 O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sheetName val="Phase1"/>
      <sheetName val="Phase2"/>
      <sheetName val="Phase3"/>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thlete Log"/>
      <sheetName val="Athletes Contact"/>
      <sheetName val="Jul Test Results"/>
      <sheetName val="May Test Results"/>
      <sheetName val="April Test Results"/>
      <sheetName val="Mar Test Results"/>
      <sheetName val="Calculator"/>
      <sheetName val="4 Aug Strength Test - Netba (2"/>
      <sheetName val="4 Aug Strength"/>
      <sheetName val="4 Aug Strength Test - Netball"/>
      <sheetName val="28 Jun Strength Test - Netball"/>
      <sheetName val="JulAug Strength Testing"/>
      <sheetName val="31 May Strength Testing"/>
      <sheetName val="20 Apr Strength Testing"/>
      <sheetName val="10 Mar Strength Testing"/>
      <sheetName val="Speed Testing Sheet"/>
      <sheetName val="Beep,Yo-Yo &amp; Oct Sheets"/>
      <sheetName val="Muscle Balance"/>
      <sheetName val="Monitors"/>
      <sheetName val="Bodyweight Graph"/>
      <sheetName val="2011 Workshops"/>
      <sheetName val="Intro Sessions"/>
      <sheetName val="Team Academy Planning"/>
      <sheetName val="Strength Competition"/>
      <sheetName val="Core Circuit Challenge"/>
      <sheetName val="11 Apr-Speed&amp;Gym"/>
      <sheetName val="13 Apr-ME Session"/>
      <sheetName val="27 Apr ME Session Challenge"/>
      <sheetName val="Screening Form"/>
      <sheetName val="Sheet1"/>
      <sheetName val="Speed Sessions"/>
      <sheetName val="27 Apr ME Session"/>
      <sheetName val="Session Template"/>
      <sheetName val="Testing Sheet - Blank"/>
      <sheetName val="Fitness Testing Results"/>
      <sheetName val="Data"/>
      <sheetName val="Beep,Yo-Yo &amp; Oct"/>
      <sheetName val="Attendance"/>
      <sheetName val="Contacts"/>
      <sheetName val="Weekly Monitor"/>
      <sheetName val="Daily Monitor"/>
      <sheetName val="Bodyweight Monitor"/>
      <sheetName val="18 Jul Strength Testing"/>
      <sheetName val="11 Apr"/>
      <sheetName val="13 Apr"/>
      <sheetName val="29 Apr Strength Test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refreshError="1"/>
      <sheetData sheetId="43" refreshError="1"/>
      <sheetData sheetId="44" refreshError="1"/>
      <sheetData sheetId="45" refreshError="1"/>
      <sheetData sheetId="4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ec Home Prog"/>
      <sheetName val="Dec Prog"/>
      <sheetName val="Nov Prog"/>
      <sheetName val="Nov Home Prog"/>
      <sheetName val="Nov Program - Glen"/>
      <sheetName val="Oct Prog"/>
      <sheetName val="Oct Home Prog"/>
      <sheetName val="Sept 10 Intro Session Overviews"/>
      <sheetName val="Glen Ballam - 2010 Plan"/>
    </sheetNames>
    <sheetDataSet>
      <sheetData sheetId="0" refreshError="1"/>
      <sheetData sheetId="1"/>
      <sheetData sheetId="2"/>
      <sheetData sheetId="3"/>
      <sheetData sheetId="4"/>
      <sheetData sheetId="5"/>
      <sheetData sheetId="6"/>
      <sheetData sheetId="7"/>
      <sheetData sheetId="8"/>
      <sheetData sheetId="9"/>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Options"/>
      <sheetName val="Prehab Exercises"/>
      <sheetName val="Core Work"/>
      <sheetName val="Cardio"/>
      <sheetName val="Stace 12 Dec - 5 Feb"/>
      <sheetName val="Jodi 12 Dec- 23 Jan"/>
      <sheetName val="Storm - 12 Dec to 15 Jan"/>
      <sheetName val="Shannon - 12 Dec to 8 Jan"/>
      <sheetName val="9Jan - Lou &amp; TP"/>
      <sheetName val="26 Dec - Lou &amp; TP"/>
      <sheetName val="12 Dec - Lou &amp; TP"/>
      <sheetName val="28 Nov - Lou &amp; T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dscape, Sche, 6 Days"/>
    </sheetNames>
    <sheetDataSet>
      <sheetData sheetId="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wK" refreshedDate="44033.555299537038" createdVersion="6" refreshedVersion="6" minRefreshableVersion="3" recordCount="1168" xr:uid="{3ACC106E-4BC4-4FEA-9582-BE559331BB7D}">
  <cacheSource type="worksheet">
    <worksheetSource name="LiftHistory"/>
  </cacheSource>
  <cacheFields count="17">
    <cacheField name="Order" numFmtId="0">
      <sharedItems containsSemiMixedTypes="0" containsString="0" containsNumber="1" containsInteger="1" minValue="1" maxValue="1166"/>
    </cacheField>
    <cacheField name="First Name" numFmtId="0">
      <sharedItems count="21">
        <s v="Ethan"/>
        <s v="Matt"/>
        <s v="Sam W"/>
        <s v="Simon"/>
        <s v="Jem"/>
        <s v="Steph"/>
        <s v="Eddie"/>
        <s v="Zac"/>
        <s v="Jeremy"/>
        <s v="Natasha"/>
        <s v="Katie"/>
        <s v="Ben"/>
        <s v="Jordan"/>
        <s v="Lewis"/>
        <s v="Olivia"/>
        <s v="Bradley"/>
        <s v="Callum"/>
        <s v="Emma"/>
        <s v="Sam D"/>
        <s v="Tom"/>
        <s v="Sam" u="1"/>
      </sharedItems>
    </cacheField>
    <cacheField name="Last Name" numFmtId="0">
      <sharedItems/>
    </cacheField>
    <cacheField name="Date" numFmtId="15">
      <sharedItems containsSemiMixedTypes="0" containsNonDate="0" containsDate="1" containsString="0" minDate="2012-04-01T00:00:00" maxDate="2020-07-04T00:00:00" count="183">
        <d v="2012-04-01T00:00:00"/>
        <d v="2012-05-01T00:00:00"/>
        <d v="2012-06-01T00:00:00"/>
        <d v="2013-04-01T00:00:00"/>
        <d v="2013-06-01T00:00:00"/>
        <d v="2013-07-01T00:00:00"/>
        <d v="2013-08-05T00:00:00"/>
        <d v="2013-08-26T00:00:00"/>
        <d v="2013-09-01T00:00:00"/>
        <d v="2013-09-02T00:00:00"/>
        <d v="2013-10-01T00:00:00"/>
        <d v="2013-11-25T00:00:00"/>
        <d v="2013-11-28T00:00:00"/>
        <d v="2013-12-17T00:00:00"/>
        <d v="2013-12-19T00:00:00"/>
        <d v="2013-12-21T00:00:00"/>
        <d v="2013-12-24T00:00:00"/>
        <d v="2013-12-28T00:00:00"/>
        <d v="2014-01-07T00:00:00"/>
        <d v="2014-01-09T00:00:00"/>
        <d v="2014-01-11T00:00:00"/>
        <d v="2014-01-13T00:00:00"/>
        <d v="2014-01-14T00:00:00"/>
        <d v="2014-01-16T00:00:00"/>
        <d v="2014-01-18T00:00:00"/>
        <d v="2014-01-20T00:00:00"/>
        <d v="2014-01-21T00:00:00"/>
        <d v="2014-01-23T00:00:00"/>
        <d v="2014-01-25T00:00:00"/>
        <d v="2014-01-27T00:00:00"/>
        <d v="2014-01-28T00:00:00"/>
        <d v="2014-03-01T00:00:00"/>
        <d v="2014-04-14T00:00:00"/>
        <d v="2014-04-15T00:00:00"/>
        <d v="2014-04-18T00:00:00"/>
        <d v="2014-04-19T00:00:00"/>
        <d v="2014-04-21T00:00:00"/>
        <d v="2014-04-23T00:00:00"/>
        <d v="2014-04-25T00:00:00"/>
        <d v="2014-04-27T00:00:00"/>
        <d v="2014-04-28T00:00:00"/>
        <d v="2014-04-29T00:00:00"/>
        <d v="2014-05-01T00:00:00"/>
        <d v="2014-05-02T00:00:00"/>
        <d v="2014-05-03T00:00:00"/>
        <d v="2014-05-05T00:00:00"/>
        <d v="2014-05-07T00:00:00"/>
        <d v="2014-05-08T00:00:00"/>
        <d v="2014-05-09T00:00:00"/>
        <d v="2014-05-11T00:00:00"/>
        <d v="2014-05-12T00:00:00"/>
        <d v="2014-05-14T00:00:00"/>
        <d v="2014-05-16T00:00:00"/>
        <d v="2014-05-18T00:00:00"/>
        <d v="2014-05-19T00:00:00"/>
        <d v="2014-05-21T00:00:00"/>
        <d v="2014-05-23T00:00:00"/>
        <d v="2014-05-24T00:00:00"/>
        <d v="2014-05-26T00:00:00"/>
        <d v="2014-05-28T00:00:00"/>
        <d v="2014-05-30T00:00:00"/>
        <d v="2014-06-01T00:00:00"/>
        <d v="2014-06-03T00:00:00"/>
        <d v="2014-06-05T00:00:00"/>
        <d v="2014-06-06T00:00:00"/>
        <d v="2014-06-12T00:00:00"/>
        <d v="2014-06-13T00:00:00"/>
        <d v="2014-06-18T00:00:00"/>
        <d v="2014-08-25T00:00:00"/>
        <d v="2014-08-27T00:00:00"/>
        <d v="2014-08-29T00:00:00"/>
        <d v="2014-09-01T00:00:00"/>
        <d v="2014-09-03T00:00:00"/>
        <d v="2014-09-05T00:00:00"/>
        <d v="2014-09-08T00:00:00"/>
        <d v="2014-09-10T00:00:00"/>
        <d v="2014-09-12T00:00:00"/>
        <d v="2014-09-15T00:00:00"/>
        <d v="2014-09-17T00:00:00"/>
        <d v="2014-09-22T00:00:00"/>
        <d v="2014-09-24T00:00:00"/>
        <d v="2014-09-26T00:00:00"/>
        <d v="2014-09-29T00:00:00"/>
        <d v="2014-10-01T00:00:00"/>
        <d v="2014-10-03T00:00:00"/>
        <d v="2014-10-06T00:00:00"/>
        <d v="2014-10-08T00:00:00"/>
        <d v="2014-10-10T00:00:00"/>
        <d v="2014-10-11T00:00:00"/>
        <d v="2014-10-13T00:00:00"/>
        <d v="2014-10-15T00:00:00"/>
        <d v="2014-10-17T00:00:00"/>
        <d v="2014-10-20T00:00:00"/>
        <d v="2014-10-22T00:00:00"/>
        <d v="2014-10-24T00:00:00"/>
        <d v="2014-10-27T00:00:00"/>
        <d v="2014-10-29T00:00:00"/>
        <d v="2014-10-31T00:00:00"/>
        <d v="2014-11-01T00:00:00"/>
        <d v="2014-12-10T00:00:00"/>
        <d v="2014-12-24T00:00:00"/>
        <d v="2014-12-28T00:00:00"/>
        <d v="2015-01-09T00:00:00"/>
        <d v="2015-03-18T00:00:00"/>
        <d v="2015-03-27T00:00:00"/>
        <d v="2015-04-06T00:00:00"/>
        <d v="2015-05-08T00:00:00"/>
        <d v="2015-05-12T00:00:00"/>
        <d v="2015-05-13T00:00:00"/>
        <d v="2015-09-07T00:00:00"/>
        <d v="2015-09-14T00:00:00"/>
        <d v="2015-12-01T00:00:00"/>
        <d v="2015-12-23T00:00:00"/>
        <d v="2016-01-15T00:00:00"/>
        <d v="2016-04-18T00:00:00"/>
        <d v="2016-04-20T00:00:00"/>
        <d v="2016-05-25T00:00:00"/>
        <d v="2016-12-16T00:00:00"/>
        <d v="2017-04-10T00:00:00"/>
        <d v="2017-04-11T00:00:00"/>
        <d v="2018-05-01T00:00:00"/>
        <d v="2018-08-01T00:00:00"/>
        <d v="2018-10-01T00:00:00"/>
        <d v="2018-12-01T00:00:00"/>
        <d v="2020-03-24T00:00:00"/>
        <d v="2019-01-01T00:00:00"/>
        <d v="2020-03-26T00:00:00"/>
        <d v="2020-03-28T00:00:00"/>
        <d v="2020-03-30T00:00:00"/>
        <d v="2020-04-02T00:00:00"/>
        <d v="2020-04-04T00:00:00"/>
        <d v="2020-04-06T00:00:00"/>
        <d v="2020-04-08T00:00:00"/>
        <d v="2020-04-10T00:00:00"/>
        <d v="2020-04-13T00:00:00"/>
        <d v="2020-04-15T00:00:00"/>
        <d v="2020-04-20T00:00:00"/>
        <d v="2020-04-22T00:00:00"/>
        <d v="2020-04-24T00:00:00"/>
        <d v="2020-04-27T00:00:00"/>
        <d v="2020-04-30T00:00:00"/>
        <d v="2020-05-05T00:00:00"/>
        <d v="2020-05-07T00:00:00"/>
        <d v="2020-05-11T00:00:00"/>
        <d v="2020-05-13T00:00:00"/>
        <d v="2020-05-15T00:00:00"/>
        <d v="2019-09-16T00:00:00"/>
        <d v="2019-09-19T00:00:00"/>
        <d v="2019-09-23T00:00:00"/>
        <d v="2019-09-26T00:00:00"/>
        <d v="2019-10-10T00:00:00"/>
        <d v="2019-10-31T00:00:00"/>
        <d v="2019-11-04T00:00:00"/>
        <d v="2019-11-07T00:00:00"/>
        <d v="2019-11-11T00:00:00"/>
        <d v="2019-11-14T00:00:00"/>
        <d v="2019-12-30T00:00:00"/>
        <d v="2020-01-03T00:00:00"/>
        <d v="2020-01-06T00:00:00"/>
        <d v="2020-01-10T00:00:00"/>
        <d v="2020-02-10T00:00:00"/>
        <d v="2020-03-09T00:00:00"/>
        <d v="2020-03-12T00:00:00"/>
        <d v="2020-03-16T00:00:00"/>
        <d v="2020-03-20T00:00:00"/>
        <d v="2020-04-01T00:00:00"/>
        <d v="2020-04-03T00:00:00"/>
        <d v="2020-04-16T00:00:00"/>
        <d v="2020-06-01T00:00:00"/>
        <d v="2020-06-03T00:00:00"/>
        <d v="2020-06-05T00:00:00"/>
        <d v="2020-06-08T00:00:00"/>
        <d v="2020-06-10T00:00:00"/>
        <d v="2020-06-12T00:00:00"/>
        <d v="2020-06-15T00:00:00"/>
        <d v="2020-06-17T00:00:00"/>
        <d v="2020-06-19T00:00:00"/>
        <d v="2020-06-22T00:00:00"/>
        <d v="2020-06-24T00:00:00"/>
        <d v="2020-06-26T00:00:00"/>
        <d v="2020-06-29T00:00:00"/>
        <d v="2020-07-01T00:00:00"/>
        <d v="2020-07-03T00:00:00"/>
      </sharedItems>
      <fieldGroup par="16" base="3">
        <rangePr groupBy="months" startDate="2012-04-01T00:00:00" endDate="2020-07-04T00:00:00"/>
        <groupItems count="14">
          <s v="&lt;1/04/2012"/>
          <s v="Jan"/>
          <s v="Feb"/>
          <s v="Mar"/>
          <s v="Apr"/>
          <s v="May"/>
          <s v="Jun"/>
          <s v="Jul"/>
          <s v="Aug"/>
          <s v="Sep"/>
          <s v="Oct"/>
          <s v="Nov"/>
          <s v="Dec"/>
          <s v="&gt;4/07/2020"/>
        </groupItems>
      </fieldGroup>
    </cacheField>
    <cacheField name="Lift" numFmtId="0">
      <sharedItems count="64">
        <s v="Back Squat"/>
        <s v="Leg Press - Single Legged"/>
        <s v="Bench Press"/>
        <s v="Power Clean"/>
        <s v="Box Squat"/>
        <s v="Trap Bar Deadlift"/>
        <s v="MTP"/>
        <s v="Hang Clean"/>
        <s v="Deadlifts"/>
        <s v="Thruster"/>
        <s v="Clean Pulls"/>
        <s v="Seated Hamstring Curls - Single Legged"/>
        <s v="RDL"/>
        <s v="Leg Press"/>
        <s v="Front Squat"/>
        <s v="Trap Bar RDLs"/>
        <s v="Leg Extension"/>
        <s v="Good Mornings"/>
        <s v="Good Morning"/>
        <s v="BB Squat Jumps"/>
        <s v="Hip Flexor - Total Hip"/>
        <s v="OH Back Squat Jerk"/>
        <s v="OH Squat Jerk"/>
        <s v="Hang Cleans - From the Block"/>
        <s v="Split Jerk"/>
        <s v="Power Cleans - From the Block"/>
        <s v="DB Travelling Lunges"/>
        <s v="Back Extensions"/>
        <s v="Squats - From the rack"/>
        <s v="BB Bulgarian Squat"/>
        <s v="Seated Hamstring Curls"/>
        <s v="Leg Pres - Left Legged"/>
        <s v="Leg Press - Right Legged"/>
        <s v="BB Step-ups"/>
        <s v="Leg Press - Single Legged, Banded"/>
        <s v="DB Step-ups"/>
        <s v="Bench Pull"/>
        <s v="BB Bent Over Row"/>
        <s v="Leg Extension - Single Legged"/>
        <s v="BB Reverse Lunge"/>
        <s v="Calf Raise - SL"/>
        <s v="Calf Raise - DL"/>
        <s v="Seated Calf Raises"/>
        <s v="Split Squats - Staggered Stance"/>
        <s v="Reverse Hypers"/>
        <s v="Squats"/>
        <s v="Deadlifts - Staggered Stance RDL"/>
        <s v="Trap Bar Bulgarian Squats "/>
        <s v="Thruster - Smith Machine"/>
        <s v="40cm Box Squat" u="1"/>
        <s v="Right Leg Leg Press" u="1"/>
        <s v="RDLs" u="1"/>
        <s v="Static Start BB Squat Jumps" u="1"/>
        <s v="Left Leg Leg Press" u="1"/>
        <s v="Box Hang Cleans" u="1"/>
        <s v="Single Leg Press" u="1"/>
        <s v="Total Hip Machine - Hip Flexions" u="1"/>
        <s v="7cm Trap Bar Deadlift" u="1"/>
        <s v="Power Leg Press" u="1"/>
        <s v="Banded Single Leg Press" u="1"/>
        <s v="DB Bulgarian Squats" u="1"/>
        <s v="Rack Squats" u="1"/>
        <s v="Seated Single Leg Curls" u="1"/>
        <s v="Block Power Cleans" u="1"/>
      </sharedItems>
    </cacheField>
    <cacheField name="Test or Training" numFmtId="0">
      <sharedItems containsBlank="1"/>
    </cacheField>
    <cacheField name="Belt" numFmtId="0">
      <sharedItems containsBlank="1"/>
    </cacheField>
    <cacheField name="Details" numFmtId="0">
      <sharedItems containsBlank="1"/>
    </cacheField>
    <cacheField name="Phase" numFmtId="0">
      <sharedItems containsBlank="1"/>
    </cacheField>
    <cacheField name="Weight" numFmtId="0">
      <sharedItems containsBlank="1" containsMixedTypes="1" containsNumber="1" minValue="30" maxValue="660"/>
    </cacheField>
    <cacheField name="Reps" numFmtId="0">
      <sharedItems containsBlank="1" containsMixedTypes="1" containsNumber="1" containsInteger="1" minValue="1" maxValue="21"/>
    </cacheField>
    <cacheField name="1RM" numFmtId="1">
      <sharedItems containsBlank="1" containsMixedTypes="1" containsNumber="1" minValue="13.605442176870749" maxValue="1591"/>
    </cacheField>
    <cacheField name="Bodyweight" numFmtId="0">
      <sharedItems containsBlank="1" containsMixedTypes="1" containsNumber="1" minValue="61.9" maxValue="103.9"/>
    </cacheField>
    <cacheField name="Depth" numFmtId="0">
      <sharedItems containsBlank="1" count="20">
        <s v="&lt;Parallel"/>
        <s v="&lt;90Deg"/>
        <m/>
        <s v="40cm"/>
        <s v="From the Knees"/>
        <s v="50cm"/>
        <s v="43cm"/>
        <s v="35cm"/>
        <s v="ATG"/>
        <s v="Deep"/>
        <s v="34cm"/>
        <s v="90 Deg"/>
        <s v="45cm"/>
        <s v="55cm"/>
        <s v="7cm"/>
        <s v="Parallel"/>
        <s v="90 Degrees @ Knee"/>
        <s v="2 rivet line down"/>
        <s v="1 rivet line down"/>
        <s v="Inline"/>
      </sharedItems>
    </cacheField>
    <cacheField name="Notes" numFmtId="0">
      <sharedItems containsBlank="1"/>
    </cacheField>
    <cacheField name="Old Reps &amp; Notes" numFmtId="0">
      <sharedItems containsBlank="1"/>
    </cacheField>
    <cacheField name="Years" numFmtId="0" databaseField="0">
      <fieldGroup base="3">
        <rangePr groupBy="years" startDate="2012-04-01T00:00:00" endDate="2020-07-04T00:00:00"/>
        <groupItems count="11">
          <s v="&lt;1/04/2012"/>
          <s v="2012"/>
          <s v="2013"/>
          <s v="2014"/>
          <s v="2015"/>
          <s v="2016"/>
          <s v="2017"/>
          <s v="2018"/>
          <s v="2019"/>
          <s v="2020"/>
          <s v="&gt;4/07/2020"/>
        </groupItems>
      </fieldGroup>
    </cacheField>
  </cacheFields>
  <extLst>
    <ext xmlns:x14="http://schemas.microsoft.com/office/spreadsheetml/2009/9/main" uri="{725AE2AE-9491-48be-B2B4-4EB974FC3084}">
      <x14:pivotCacheDefinition pivotCacheId="969354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8">
  <r>
    <n v="1"/>
    <x v="0"/>
    <s v="Mitchell"/>
    <x v="0"/>
    <x v="0"/>
    <s v="Training"/>
    <s v="Yes"/>
    <m/>
    <m/>
    <n v="180"/>
    <n v="1"/>
    <n v="180"/>
    <n v="79"/>
    <x v="0"/>
    <s v="Gus"/>
    <m/>
  </r>
  <r>
    <n v="2"/>
    <x v="0"/>
    <s v="Mitchell"/>
    <x v="0"/>
    <x v="1"/>
    <s v="Training"/>
    <m/>
    <m/>
    <m/>
    <m/>
    <n v="2"/>
    <n v="235.29411764705881"/>
    <n v="79"/>
    <x v="1"/>
    <s v="Gus"/>
    <m/>
  </r>
  <r>
    <n v="3"/>
    <x v="0"/>
    <s v="Mitchell"/>
    <x v="0"/>
    <x v="2"/>
    <s v="Training"/>
    <m/>
    <m/>
    <m/>
    <m/>
    <m/>
    <n v="95"/>
    <n v="79"/>
    <x v="2"/>
    <s v="Gus"/>
    <m/>
  </r>
  <r>
    <n v="4"/>
    <x v="0"/>
    <s v="Mitchell"/>
    <x v="0"/>
    <x v="3"/>
    <s v="Training"/>
    <m/>
    <m/>
    <m/>
    <m/>
    <m/>
    <n v="105"/>
    <n v="79"/>
    <x v="2"/>
    <s v="Gus"/>
    <m/>
  </r>
  <r>
    <n v="5"/>
    <x v="1"/>
    <s v="Archibold"/>
    <x v="0"/>
    <x v="4"/>
    <s v="Training"/>
    <s v="Yes"/>
    <m/>
    <m/>
    <m/>
    <m/>
    <n v="252"/>
    <m/>
    <x v="3"/>
    <s v="Gus"/>
    <m/>
  </r>
  <r>
    <n v="6"/>
    <x v="2"/>
    <s v="Webster"/>
    <x v="0"/>
    <x v="0"/>
    <s v="Training"/>
    <s v="Yes"/>
    <m/>
    <m/>
    <n v="147.5"/>
    <n v="1"/>
    <n v="147.5"/>
    <n v="83"/>
    <x v="0"/>
    <s v="Gus"/>
    <m/>
  </r>
  <r>
    <n v="7"/>
    <x v="2"/>
    <s v="Webster"/>
    <x v="0"/>
    <x v="1"/>
    <s v="Training"/>
    <m/>
    <m/>
    <m/>
    <m/>
    <n v="2"/>
    <n v="203.2085561497326"/>
    <n v="83"/>
    <x v="1"/>
    <s v="Gus"/>
    <m/>
  </r>
  <r>
    <n v="8"/>
    <x v="2"/>
    <s v="Webster"/>
    <x v="0"/>
    <x v="2"/>
    <s v="Training"/>
    <m/>
    <m/>
    <m/>
    <m/>
    <m/>
    <n v="95"/>
    <n v="83"/>
    <x v="2"/>
    <s v="Gus"/>
    <m/>
  </r>
  <r>
    <n v="9"/>
    <x v="2"/>
    <s v="Webster"/>
    <x v="0"/>
    <x v="3"/>
    <s v="Training"/>
    <m/>
    <m/>
    <m/>
    <m/>
    <m/>
    <n v="102"/>
    <n v="83"/>
    <x v="2"/>
    <s v="Gus"/>
    <m/>
  </r>
  <r>
    <n v="10"/>
    <x v="3"/>
    <s v="Van Velt Hooven"/>
    <x v="0"/>
    <x v="0"/>
    <s v="Training"/>
    <s v="Yes"/>
    <m/>
    <m/>
    <n v="180"/>
    <n v="1"/>
    <n v="180"/>
    <n v="88"/>
    <x v="0"/>
    <s v="Gus"/>
    <m/>
  </r>
  <r>
    <n v="11"/>
    <x v="3"/>
    <s v="Van Velt Hooven"/>
    <x v="0"/>
    <x v="1"/>
    <s v="Training"/>
    <m/>
    <m/>
    <m/>
    <m/>
    <n v="2"/>
    <n v="245.98930481283421"/>
    <n v="88"/>
    <x v="1"/>
    <s v="Gus"/>
    <m/>
  </r>
  <r>
    <n v="12"/>
    <x v="3"/>
    <s v="Van Velt Hooven"/>
    <x v="0"/>
    <x v="2"/>
    <s v="Training"/>
    <m/>
    <m/>
    <m/>
    <m/>
    <m/>
    <n v="97.5"/>
    <n v="88"/>
    <x v="2"/>
    <s v="Gus"/>
    <m/>
  </r>
  <r>
    <n v="13"/>
    <x v="3"/>
    <s v="Van Velt Hooven"/>
    <x v="0"/>
    <x v="3"/>
    <s v="Training"/>
    <m/>
    <m/>
    <m/>
    <m/>
    <m/>
    <n v="105"/>
    <n v="88"/>
    <x v="2"/>
    <s v="Gus"/>
    <m/>
  </r>
  <r>
    <n v="14"/>
    <x v="2"/>
    <s v="Webster"/>
    <x v="1"/>
    <x v="0"/>
    <s v="Training"/>
    <s v="Yes"/>
    <m/>
    <m/>
    <n v="152.5"/>
    <n v="1"/>
    <n v="152.5"/>
    <n v="83"/>
    <x v="0"/>
    <s v="Gus"/>
    <m/>
  </r>
  <r>
    <n v="15"/>
    <x v="2"/>
    <s v="Webster"/>
    <x v="1"/>
    <x v="1"/>
    <s v="Training"/>
    <m/>
    <m/>
    <m/>
    <m/>
    <n v="2"/>
    <n v="224.59893048128342"/>
    <n v="83"/>
    <x v="1"/>
    <s v="Gus"/>
    <m/>
  </r>
  <r>
    <n v="16"/>
    <x v="2"/>
    <s v="Webster"/>
    <x v="1"/>
    <x v="2"/>
    <s v="Training"/>
    <m/>
    <m/>
    <m/>
    <m/>
    <m/>
    <n v="90"/>
    <n v="83"/>
    <x v="2"/>
    <s v="Gus"/>
    <m/>
  </r>
  <r>
    <n v="17"/>
    <x v="2"/>
    <s v="Webster"/>
    <x v="1"/>
    <x v="3"/>
    <s v="Training"/>
    <m/>
    <m/>
    <m/>
    <m/>
    <m/>
    <n v="107.5"/>
    <n v="83"/>
    <x v="2"/>
    <s v="Gus"/>
    <m/>
  </r>
  <r>
    <n v="18"/>
    <x v="3"/>
    <s v="Van Velt Hooven"/>
    <x v="1"/>
    <x v="0"/>
    <s v="Training"/>
    <s v="Yes"/>
    <m/>
    <m/>
    <n v="187.5"/>
    <n v="1"/>
    <n v="187.5"/>
    <n v="88"/>
    <x v="0"/>
    <s v="Gus"/>
    <m/>
  </r>
  <r>
    <n v="19"/>
    <x v="3"/>
    <s v="Van Velt Hooven"/>
    <x v="1"/>
    <x v="1"/>
    <s v="Training"/>
    <m/>
    <m/>
    <m/>
    <m/>
    <n v="2"/>
    <n v="256.68449197860963"/>
    <n v="88"/>
    <x v="1"/>
    <s v="Gus"/>
    <m/>
  </r>
  <r>
    <n v="20"/>
    <x v="3"/>
    <s v="Van Velt Hooven"/>
    <x v="1"/>
    <x v="2"/>
    <s v="Training"/>
    <m/>
    <m/>
    <m/>
    <m/>
    <m/>
    <n v="97.5"/>
    <n v="88"/>
    <x v="2"/>
    <s v="Gus"/>
    <m/>
  </r>
  <r>
    <n v="21"/>
    <x v="3"/>
    <s v="Van Velt Hooven"/>
    <x v="1"/>
    <x v="3"/>
    <s v="Training"/>
    <m/>
    <m/>
    <m/>
    <m/>
    <m/>
    <n v="110"/>
    <n v="88"/>
    <x v="2"/>
    <s v="Gus"/>
    <m/>
  </r>
  <r>
    <n v="22"/>
    <x v="0"/>
    <s v="Mitchell"/>
    <x v="2"/>
    <x v="0"/>
    <s v="Training"/>
    <s v="Yes"/>
    <m/>
    <m/>
    <n v="220"/>
    <n v="1"/>
    <n v="220"/>
    <n v="80"/>
    <x v="2"/>
    <s v="Depth? Belt, Damian"/>
    <m/>
  </r>
  <r>
    <n v="23"/>
    <x v="0"/>
    <s v="Mitchell"/>
    <x v="2"/>
    <x v="1"/>
    <s v="Training"/>
    <m/>
    <m/>
    <m/>
    <m/>
    <n v="2"/>
    <n v="320.85561497326199"/>
    <n v="80"/>
    <x v="1"/>
    <s v="Damian"/>
    <m/>
  </r>
  <r>
    <n v="24"/>
    <x v="0"/>
    <s v="Mitchell"/>
    <x v="2"/>
    <x v="2"/>
    <s v="Training"/>
    <m/>
    <m/>
    <m/>
    <m/>
    <m/>
    <n v="97.5"/>
    <n v="80"/>
    <x v="2"/>
    <s v="Damian"/>
    <m/>
  </r>
  <r>
    <n v="25"/>
    <x v="0"/>
    <s v="Mitchell"/>
    <x v="2"/>
    <x v="3"/>
    <s v="Training"/>
    <m/>
    <m/>
    <m/>
    <m/>
    <m/>
    <n v="107.5"/>
    <n v="80"/>
    <x v="2"/>
    <s v="Damian"/>
    <m/>
  </r>
  <r>
    <n v="26"/>
    <x v="1"/>
    <s v="Archibold"/>
    <x v="2"/>
    <x v="1"/>
    <s v="Training"/>
    <m/>
    <m/>
    <m/>
    <m/>
    <n v="2"/>
    <n v="320.85561497326199"/>
    <n v="95"/>
    <x v="1"/>
    <s v="Damian"/>
    <m/>
  </r>
  <r>
    <n v="27"/>
    <x v="1"/>
    <s v="Archibold"/>
    <x v="2"/>
    <x v="4"/>
    <s v="Training"/>
    <s v="Yes"/>
    <m/>
    <m/>
    <m/>
    <m/>
    <n v="250"/>
    <n v="95"/>
    <x v="3"/>
    <s v="Damian"/>
    <m/>
  </r>
  <r>
    <n v="28"/>
    <x v="1"/>
    <s v="Archibold"/>
    <x v="2"/>
    <x v="2"/>
    <s v="Training"/>
    <m/>
    <m/>
    <m/>
    <m/>
    <m/>
    <n v="105"/>
    <n v="95"/>
    <x v="2"/>
    <s v="Damian"/>
    <m/>
  </r>
  <r>
    <n v="29"/>
    <x v="1"/>
    <s v="Archibold"/>
    <x v="2"/>
    <x v="3"/>
    <s v="Training"/>
    <m/>
    <m/>
    <m/>
    <m/>
    <m/>
    <n v="130"/>
    <n v="95"/>
    <x v="2"/>
    <s v="Damian"/>
    <m/>
  </r>
  <r>
    <n v="30"/>
    <x v="2"/>
    <s v="Webster"/>
    <x v="2"/>
    <x v="0"/>
    <s v="Training"/>
    <s v="Yes"/>
    <m/>
    <m/>
    <n v="200"/>
    <n v="1"/>
    <n v="200"/>
    <n v="84"/>
    <x v="2"/>
    <s v="Depth? Belt, Damian"/>
    <m/>
  </r>
  <r>
    <n v="31"/>
    <x v="2"/>
    <s v="Webster"/>
    <x v="2"/>
    <x v="1"/>
    <s v="Training"/>
    <m/>
    <m/>
    <m/>
    <m/>
    <n v="2"/>
    <n v="256.68449197860963"/>
    <n v="84"/>
    <x v="1"/>
    <s v="Damian"/>
    <m/>
  </r>
  <r>
    <n v="32"/>
    <x v="2"/>
    <s v="Webster"/>
    <x v="2"/>
    <x v="2"/>
    <s v="Training"/>
    <m/>
    <m/>
    <m/>
    <m/>
    <m/>
    <n v="97.5"/>
    <n v="84"/>
    <x v="2"/>
    <s v="Damian"/>
    <m/>
  </r>
  <r>
    <n v="33"/>
    <x v="2"/>
    <s v="Webster"/>
    <x v="2"/>
    <x v="3"/>
    <s v="Training"/>
    <m/>
    <m/>
    <m/>
    <m/>
    <m/>
    <n v="107.5"/>
    <n v="84"/>
    <x v="2"/>
    <s v="Damian"/>
    <m/>
  </r>
  <r>
    <n v="34"/>
    <x v="3"/>
    <s v="Van Velt Hooven"/>
    <x v="2"/>
    <x v="0"/>
    <s v="Training"/>
    <s v="Yes"/>
    <m/>
    <m/>
    <n v="210"/>
    <n v="1"/>
    <n v="210"/>
    <n v="89"/>
    <x v="2"/>
    <s v="Depth? Belt, Damian"/>
    <m/>
  </r>
  <r>
    <n v="35"/>
    <x v="3"/>
    <s v="Van Velt Hooven"/>
    <x v="2"/>
    <x v="1"/>
    <s v="Training"/>
    <m/>
    <m/>
    <m/>
    <m/>
    <n v="2"/>
    <n v="320.85561497326199"/>
    <n v="89"/>
    <x v="1"/>
    <s v="Damian"/>
    <m/>
  </r>
  <r>
    <n v="36"/>
    <x v="3"/>
    <s v="Van Velt Hooven"/>
    <x v="2"/>
    <x v="2"/>
    <s v="Training"/>
    <m/>
    <m/>
    <m/>
    <m/>
    <m/>
    <n v="97.5"/>
    <n v="89"/>
    <x v="2"/>
    <s v="Damian"/>
    <m/>
  </r>
  <r>
    <n v="37"/>
    <x v="3"/>
    <s v="Van Velt Hooven"/>
    <x v="2"/>
    <x v="3"/>
    <s v="Training"/>
    <m/>
    <m/>
    <m/>
    <m/>
    <m/>
    <n v="107.5"/>
    <n v="89"/>
    <x v="2"/>
    <s v="Damian"/>
    <m/>
  </r>
  <r>
    <n v="38"/>
    <x v="0"/>
    <s v="Mitchell"/>
    <x v="3"/>
    <x v="4"/>
    <s v="Training"/>
    <s v="Yes"/>
    <m/>
    <m/>
    <m/>
    <m/>
    <n v="190"/>
    <n v="85"/>
    <x v="3"/>
    <s v="Rissy"/>
    <m/>
  </r>
  <r>
    <n v="39"/>
    <x v="2"/>
    <s v="Webster"/>
    <x v="3"/>
    <x v="4"/>
    <s v="Training"/>
    <s v="Yes"/>
    <m/>
    <m/>
    <m/>
    <m/>
    <n v="167.5"/>
    <n v="84.3"/>
    <x v="3"/>
    <s v="Rissy"/>
    <m/>
  </r>
  <r>
    <n v="40"/>
    <x v="4"/>
    <s v="Presbury"/>
    <x v="4"/>
    <x v="1"/>
    <s v="Training"/>
    <m/>
    <m/>
    <m/>
    <m/>
    <m/>
    <n v="186"/>
    <m/>
    <x v="2"/>
    <s v="Jonesy"/>
    <m/>
  </r>
  <r>
    <n v="41"/>
    <x v="5"/>
    <s v="McKenzie"/>
    <x v="5"/>
    <x v="5"/>
    <s v="Training"/>
    <m/>
    <m/>
    <m/>
    <m/>
    <m/>
    <n v="110"/>
    <m/>
    <x v="4"/>
    <s v="Jonesy"/>
    <m/>
  </r>
  <r>
    <n v="42"/>
    <x v="5"/>
    <s v="McKenzie"/>
    <x v="5"/>
    <x v="1"/>
    <s v="Training"/>
    <m/>
    <m/>
    <m/>
    <m/>
    <m/>
    <n v="172"/>
    <m/>
    <x v="2"/>
    <s v="Jonesy"/>
    <m/>
  </r>
  <r>
    <n v="43"/>
    <x v="0"/>
    <s v="Mitchell"/>
    <x v="6"/>
    <x v="4"/>
    <s v="Training"/>
    <s v="Yes"/>
    <m/>
    <m/>
    <m/>
    <m/>
    <n v="190"/>
    <n v="81"/>
    <x v="3"/>
    <s v="Rissy"/>
    <m/>
  </r>
  <r>
    <n v="44"/>
    <x v="0"/>
    <s v="Mitchell"/>
    <x v="6"/>
    <x v="6"/>
    <s v="Training"/>
    <m/>
    <m/>
    <m/>
    <n v="225.8511722731906"/>
    <m/>
    <n v="225.8511722731906"/>
    <n v="81"/>
    <x v="2"/>
    <s v="Rissy"/>
    <m/>
  </r>
  <r>
    <n v="45"/>
    <x v="1"/>
    <s v="Archibold"/>
    <x v="6"/>
    <x v="3"/>
    <s v="Training"/>
    <m/>
    <m/>
    <m/>
    <m/>
    <m/>
    <n v="135"/>
    <m/>
    <x v="2"/>
    <m/>
    <m/>
  </r>
  <r>
    <n v="46"/>
    <x v="2"/>
    <s v="Webster"/>
    <x v="6"/>
    <x v="4"/>
    <s v="Training"/>
    <s v="Yes"/>
    <m/>
    <m/>
    <m/>
    <m/>
    <n v="160"/>
    <n v="84"/>
    <x v="3"/>
    <s v="Rissy"/>
    <m/>
  </r>
  <r>
    <n v="47"/>
    <x v="2"/>
    <s v="Webster"/>
    <x v="6"/>
    <x v="6"/>
    <s v="Training"/>
    <m/>
    <m/>
    <m/>
    <n v="238.6544342507645"/>
    <m/>
    <n v="238.6544342507645"/>
    <n v="84"/>
    <x v="2"/>
    <s v="Rissy"/>
    <m/>
  </r>
  <r>
    <n v="48"/>
    <x v="2"/>
    <s v="Webster"/>
    <x v="7"/>
    <x v="4"/>
    <s v="Training"/>
    <s v="Yes"/>
    <m/>
    <m/>
    <m/>
    <m/>
    <n v="170"/>
    <m/>
    <x v="3"/>
    <s v="Rissy"/>
    <m/>
  </r>
  <r>
    <n v="49"/>
    <x v="2"/>
    <s v="Webster"/>
    <x v="7"/>
    <x v="3"/>
    <s v="Training"/>
    <m/>
    <m/>
    <m/>
    <m/>
    <m/>
    <n v="100"/>
    <m/>
    <x v="2"/>
    <s v="Rissy"/>
    <m/>
  </r>
  <r>
    <n v="50"/>
    <x v="3"/>
    <s v="Van Velt Hooven"/>
    <x v="7"/>
    <x v="4"/>
    <s v="Training"/>
    <s v="Yes"/>
    <m/>
    <m/>
    <m/>
    <m/>
    <n v="200"/>
    <m/>
    <x v="3"/>
    <s v="Rissy"/>
    <m/>
  </r>
  <r>
    <n v="51"/>
    <x v="3"/>
    <s v="Van Velt Hooven"/>
    <x v="7"/>
    <x v="7"/>
    <s v="Training"/>
    <m/>
    <m/>
    <m/>
    <m/>
    <m/>
    <n v="100"/>
    <m/>
    <x v="2"/>
    <s v="Rissy"/>
    <m/>
  </r>
  <r>
    <n v="52"/>
    <x v="4"/>
    <s v="Presbury"/>
    <x v="8"/>
    <x v="1"/>
    <s v="Training"/>
    <m/>
    <m/>
    <m/>
    <m/>
    <m/>
    <n v="185"/>
    <m/>
    <x v="2"/>
    <s v="Jonesy"/>
    <m/>
  </r>
  <r>
    <n v="53"/>
    <x v="6"/>
    <s v="Dawkins"/>
    <x v="9"/>
    <x v="8"/>
    <s v="Training"/>
    <m/>
    <m/>
    <m/>
    <m/>
    <m/>
    <n v="260"/>
    <m/>
    <x v="2"/>
    <s v="Rissy"/>
    <m/>
  </r>
  <r>
    <n v="54"/>
    <x v="6"/>
    <s v="Dawkins"/>
    <x v="9"/>
    <x v="3"/>
    <s v="Training"/>
    <m/>
    <m/>
    <m/>
    <m/>
    <m/>
    <n v="135"/>
    <m/>
    <x v="2"/>
    <s v="Rissy"/>
    <m/>
  </r>
  <r>
    <n v="55"/>
    <x v="6"/>
    <s v="Dawkins"/>
    <x v="9"/>
    <x v="9"/>
    <s v="Training"/>
    <m/>
    <m/>
    <m/>
    <m/>
    <m/>
    <n v="300"/>
    <m/>
    <x v="2"/>
    <s v="Rissy"/>
    <m/>
  </r>
  <r>
    <n v="56"/>
    <x v="0"/>
    <s v="Mitchell"/>
    <x v="9"/>
    <x v="4"/>
    <s v="Training"/>
    <s v="Yes"/>
    <m/>
    <m/>
    <m/>
    <m/>
    <n v="205"/>
    <m/>
    <x v="3"/>
    <s v="Ethan does not remember this"/>
    <m/>
  </r>
  <r>
    <n v="57"/>
    <x v="0"/>
    <s v="Mitchell"/>
    <x v="9"/>
    <x v="3"/>
    <s v="Training"/>
    <m/>
    <m/>
    <m/>
    <m/>
    <m/>
    <n v="90"/>
    <m/>
    <x v="2"/>
    <m/>
    <m/>
  </r>
  <r>
    <n v="58"/>
    <x v="4"/>
    <s v="Presbury"/>
    <x v="10"/>
    <x v="1"/>
    <s v="Training"/>
    <m/>
    <m/>
    <m/>
    <m/>
    <m/>
    <n v="185"/>
    <m/>
    <x v="2"/>
    <s v="Jonesy"/>
    <m/>
  </r>
  <r>
    <n v="59"/>
    <x v="5"/>
    <s v="McKenzie"/>
    <x v="10"/>
    <x v="4"/>
    <s v="Training"/>
    <s v="Yes"/>
    <m/>
    <m/>
    <m/>
    <m/>
    <n v="130"/>
    <m/>
    <x v="5"/>
    <s v="Jonesy"/>
    <m/>
  </r>
  <r>
    <n v="60"/>
    <x v="5"/>
    <s v="McKenzie"/>
    <x v="10"/>
    <x v="3"/>
    <s v="Training"/>
    <m/>
    <m/>
    <m/>
    <m/>
    <m/>
    <n v="75"/>
    <m/>
    <x v="2"/>
    <s v="Jonesy"/>
    <m/>
  </r>
  <r>
    <n v="61"/>
    <x v="0"/>
    <s v="Mitchell"/>
    <x v="11"/>
    <x v="4"/>
    <s v="Training"/>
    <s v="Yes"/>
    <m/>
    <m/>
    <m/>
    <n v="5"/>
    <n v="162.7906976744186"/>
    <m/>
    <x v="3"/>
    <m/>
    <m/>
  </r>
  <r>
    <n v="62"/>
    <x v="2"/>
    <s v="Webster"/>
    <x v="11"/>
    <x v="4"/>
    <s v="Training"/>
    <s v="Yes"/>
    <m/>
    <m/>
    <m/>
    <n v="5"/>
    <n v="151.16279069767441"/>
    <m/>
    <x v="3"/>
    <m/>
    <m/>
  </r>
  <r>
    <n v="63"/>
    <x v="3"/>
    <s v="Van Velt Hooven"/>
    <x v="11"/>
    <x v="4"/>
    <s v="Training"/>
    <s v="Yes"/>
    <m/>
    <m/>
    <m/>
    <n v="5"/>
    <n v="164.83516483516482"/>
    <m/>
    <x v="3"/>
    <m/>
    <m/>
  </r>
  <r>
    <n v="64"/>
    <x v="0"/>
    <s v="Mitchell"/>
    <x v="12"/>
    <x v="7"/>
    <s v="Training"/>
    <m/>
    <m/>
    <m/>
    <m/>
    <n v="2"/>
    <n v="90.909090909090907"/>
    <m/>
    <x v="2"/>
    <m/>
    <m/>
  </r>
  <r>
    <n v="65"/>
    <x v="0"/>
    <s v="Mitchell"/>
    <x v="12"/>
    <x v="4"/>
    <s v="Training"/>
    <s v="Yes"/>
    <m/>
    <m/>
    <m/>
    <n v="3"/>
    <n v="186.8131868131868"/>
    <m/>
    <x v="3"/>
    <m/>
    <m/>
  </r>
  <r>
    <n v="66"/>
    <x v="0"/>
    <s v="Mitchell"/>
    <x v="12"/>
    <x v="9"/>
    <s v="Training"/>
    <m/>
    <m/>
    <m/>
    <m/>
    <n v="3"/>
    <n v="241.75824175824175"/>
    <m/>
    <x v="2"/>
    <m/>
    <m/>
  </r>
  <r>
    <n v="67"/>
    <x v="2"/>
    <s v="Webster"/>
    <x v="12"/>
    <x v="4"/>
    <s v="Training"/>
    <s v="Yes"/>
    <m/>
    <m/>
    <m/>
    <n v="3"/>
    <n v="153.84615384615384"/>
    <m/>
    <x v="3"/>
    <m/>
    <m/>
  </r>
  <r>
    <n v="68"/>
    <x v="2"/>
    <s v="Webster"/>
    <x v="12"/>
    <x v="9"/>
    <s v="Training"/>
    <m/>
    <m/>
    <m/>
    <m/>
    <n v="3"/>
    <n v="241.75824175824175"/>
    <m/>
    <x v="2"/>
    <m/>
    <m/>
  </r>
  <r>
    <n v="69"/>
    <x v="3"/>
    <s v="Van Velt Hooven"/>
    <x v="12"/>
    <x v="4"/>
    <s v="Training"/>
    <s v="Yes"/>
    <m/>
    <m/>
    <m/>
    <n v="3"/>
    <n v="164.83516483516482"/>
    <m/>
    <x v="3"/>
    <m/>
    <m/>
  </r>
  <r>
    <n v="70"/>
    <x v="3"/>
    <s v="Van Velt Hooven"/>
    <x v="12"/>
    <x v="9"/>
    <s v="Training"/>
    <m/>
    <m/>
    <m/>
    <m/>
    <n v="3"/>
    <n v="241.75824175824175"/>
    <m/>
    <x v="2"/>
    <m/>
    <m/>
  </r>
  <r>
    <n v="71"/>
    <x v="2"/>
    <s v="Webster"/>
    <x v="13"/>
    <x v="7"/>
    <s v="Training"/>
    <m/>
    <m/>
    <m/>
    <m/>
    <n v="5"/>
    <n v="93.023255813953483"/>
    <m/>
    <x v="2"/>
    <m/>
    <m/>
  </r>
  <r>
    <n v="72"/>
    <x v="3"/>
    <s v="Van Velt Hooven"/>
    <x v="13"/>
    <x v="7"/>
    <s v="Training"/>
    <m/>
    <m/>
    <m/>
    <m/>
    <n v="5"/>
    <n v="93.023255813953483"/>
    <m/>
    <x v="2"/>
    <m/>
    <m/>
  </r>
  <r>
    <n v="73"/>
    <x v="2"/>
    <s v="Webster"/>
    <x v="14"/>
    <x v="4"/>
    <s v="Training"/>
    <s v="Yes"/>
    <m/>
    <m/>
    <m/>
    <n v="5"/>
    <n v="139.53488372093022"/>
    <m/>
    <x v="3"/>
    <m/>
    <m/>
  </r>
  <r>
    <n v="74"/>
    <x v="3"/>
    <s v="Van Velt Hooven"/>
    <x v="14"/>
    <x v="4"/>
    <s v="Training"/>
    <s v="Yes"/>
    <m/>
    <m/>
    <m/>
    <n v="5"/>
    <n v="162.7906976744186"/>
    <m/>
    <x v="3"/>
    <m/>
    <m/>
  </r>
  <r>
    <n v="75"/>
    <x v="2"/>
    <s v="Webster"/>
    <x v="15"/>
    <x v="10"/>
    <s v="Training"/>
    <m/>
    <m/>
    <m/>
    <m/>
    <n v="5"/>
    <n v="127.90697674418605"/>
    <m/>
    <x v="2"/>
    <m/>
    <m/>
  </r>
  <r>
    <n v="76"/>
    <x v="2"/>
    <s v="Webster"/>
    <x v="15"/>
    <x v="8"/>
    <s v="Training"/>
    <m/>
    <m/>
    <m/>
    <m/>
    <n v="5"/>
    <n v="139.53488372093022"/>
    <m/>
    <x v="4"/>
    <m/>
    <m/>
  </r>
  <r>
    <n v="77"/>
    <x v="3"/>
    <s v="Van Velt Hooven"/>
    <x v="15"/>
    <x v="10"/>
    <s v="Training"/>
    <m/>
    <m/>
    <m/>
    <m/>
    <n v="5"/>
    <n v="151.16279069767441"/>
    <m/>
    <x v="2"/>
    <m/>
    <m/>
  </r>
  <r>
    <n v="78"/>
    <x v="3"/>
    <s v="Van Velt Hooven"/>
    <x v="15"/>
    <x v="8"/>
    <s v="Training"/>
    <m/>
    <m/>
    <m/>
    <m/>
    <n v="5"/>
    <n v="151.16279069767441"/>
    <m/>
    <x v="4"/>
    <m/>
    <m/>
  </r>
  <r>
    <n v="79"/>
    <x v="2"/>
    <s v="Webster"/>
    <x v="16"/>
    <x v="4"/>
    <s v="Training"/>
    <s v="Yes"/>
    <m/>
    <m/>
    <m/>
    <n v="5"/>
    <n v="139.53488372093022"/>
    <m/>
    <x v="3"/>
    <m/>
    <m/>
  </r>
  <r>
    <n v="80"/>
    <x v="3"/>
    <s v="Van Velt Hooven"/>
    <x v="16"/>
    <x v="4"/>
    <s v="Training"/>
    <s v="Yes"/>
    <m/>
    <m/>
    <m/>
    <n v="5"/>
    <n v="162.7906976744186"/>
    <m/>
    <x v="3"/>
    <m/>
    <m/>
  </r>
  <r>
    <n v="81"/>
    <x v="3"/>
    <s v="Van Velt Hooven"/>
    <x v="16"/>
    <x v="10"/>
    <s v="Training"/>
    <m/>
    <m/>
    <m/>
    <m/>
    <n v="5"/>
    <n v="151.16279069767441"/>
    <m/>
    <x v="2"/>
    <m/>
    <m/>
  </r>
  <r>
    <n v="82"/>
    <x v="3"/>
    <s v="Van Velt Hooven"/>
    <x v="16"/>
    <x v="8"/>
    <s v="Training"/>
    <m/>
    <m/>
    <m/>
    <m/>
    <n v="5"/>
    <n v="151.16279069767441"/>
    <m/>
    <x v="4"/>
    <m/>
    <m/>
  </r>
  <r>
    <n v="83"/>
    <x v="2"/>
    <s v="Webster"/>
    <x v="17"/>
    <x v="10"/>
    <s v="Training"/>
    <m/>
    <m/>
    <m/>
    <m/>
    <n v="5"/>
    <n v="127.90697674418605"/>
    <m/>
    <x v="2"/>
    <m/>
    <m/>
  </r>
  <r>
    <n v="84"/>
    <x v="2"/>
    <s v="Webster"/>
    <x v="17"/>
    <x v="8"/>
    <s v="Training"/>
    <m/>
    <m/>
    <m/>
    <m/>
    <n v="5"/>
    <n v="139.53488372093022"/>
    <m/>
    <x v="4"/>
    <m/>
    <m/>
  </r>
  <r>
    <n v="85"/>
    <x v="0"/>
    <s v="Mitchell"/>
    <x v="18"/>
    <x v="4"/>
    <s v="Training"/>
    <s v="Yes"/>
    <m/>
    <m/>
    <m/>
    <n v="4"/>
    <n v="180.79096045197741"/>
    <m/>
    <x v="3"/>
    <m/>
    <m/>
  </r>
  <r>
    <n v="86"/>
    <x v="2"/>
    <s v="Webster"/>
    <x v="18"/>
    <x v="4"/>
    <s v="Training"/>
    <s v="Yes"/>
    <m/>
    <m/>
    <m/>
    <n v="3"/>
    <n v="164.83516483516482"/>
    <m/>
    <x v="3"/>
    <m/>
    <m/>
  </r>
  <r>
    <n v="87"/>
    <x v="3"/>
    <s v="Van Velt Hooven"/>
    <x v="18"/>
    <x v="4"/>
    <s v="Training"/>
    <s v="Yes"/>
    <m/>
    <m/>
    <m/>
    <n v="3"/>
    <n v="197.80219780219778"/>
    <m/>
    <x v="3"/>
    <m/>
    <m/>
  </r>
  <r>
    <n v="88"/>
    <x v="0"/>
    <s v="Mitchell"/>
    <x v="19"/>
    <x v="3"/>
    <s v="Training"/>
    <m/>
    <m/>
    <m/>
    <m/>
    <n v="3"/>
    <n v="98.901098901098891"/>
    <m/>
    <x v="2"/>
    <m/>
    <m/>
  </r>
  <r>
    <n v="89"/>
    <x v="0"/>
    <s v="Mitchell"/>
    <x v="19"/>
    <x v="1"/>
    <s v="Training"/>
    <m/>
    <m/>
    <m/>
    <m/>
    <n v="5"/>
    <n v="232.55813953488374"/>
    <m/>
    <x v="2"/>
    <m/>
    <m/>
  </r>
  <r>
    <n v="90"/>
    <x v="2"/>
    <s v="Webster"/>
    <x v="19"/>
    <x v="3"/>
    <s v="Training"/>
    <m/>
    <m/>
    <m/>
    <m/>
    <n v="2"/>
    <n v="106.951871657754"/>
    <m/>
    <x v="2"/>
    <m/>
    <m/>
  </r>
  <r>
    <n v="91"/>
    <x v="2"/>
    <s v="Webster"/>
    <x v="19"/>
    <x v="1"/>
    <s v="Training"/>
    <m/>
    <m/>
    <m/>
    <m/>
    <n v="5"/>
    <n v="186.04651162790697"/>
    <m/>
    <x v="2"/>
    <m/>
    <m/>
  </r>
  <r>
    <n v="92"/>
    <x v="3"/>
    <s v="Van Velt Hooven"/>
    <x v="19"/>
    <x v="3"/>
    <s v="Training"/>
    <m/>
    <m/>
    <m/>
    <m/>
    <n v="3"/>
    <n v="109.89010989010988"/>
    <m/>
    <x v="2"/>
    <m/>
    <m/>
  </r>
  <r>
    <n v="93"/>
    <x v="3"/>
    <s v="Van Velt Hooven"/>
    <x v="19"/>
    <x v="1"/>
    <s v="Training"/>
    <m/>
    <m/>
    <m/>
    <m/>
    <n v="5"/>
    <n v="186.04651162790697"/>
    <m/>
    <x v="2"/>
    <m/>
    <m/>
  </r>
  <r>
    <n v="94"/>
    <x v="0"/>
    <s v="Mitchell"/>
    <x v="20"/>
    <x v="4"/>
    <s v="Training"/>
    <s v="No"/>
    <m/>
    <m/>
    <m/>
    <m/>
    <n v="150"/>
    <m/>
    <x v="3"/>
    <s v="3-2-1 (15sec)"/>
    <m/>
  </r>
  <r>
    <n v="95"/>
    <x v="2"/>
    <s v="Webster"/>
    <x v="20"/>
    <x v="4"/>
    <s v="Training"/>
    <s v="Yes"/>
    <m/>
    <m/>
    <m/>
    <m/>
    <n v="130"/>
    <m/>
    <x v="3"/>
    <s v="3-2-1 (15sec) "/>
    <m/>
  </r>
  <r>
    <n v="96"/>
    <x v="3"/>
    <s v="Van Velt Hooven"/>
    <x v="20"/>
    <x v="4"/>
    <s v="Training"/>
    <s v="Yes"/>
    <m/>
    <m/>
    <m/>
    <m/>
    <n v="160"/>
    <m/>
    <x v="3"/>
    <s v="3-2-1 (15sec) "/>
    <m/>
  </r>
  <r>
    <n v="97"/>
    <x v="5"/>
    <s v="McKenzie"/>
    <x v="21"/>
    <x v="4"/>
    <s v="Training"/>
    <s v="Yes"/>
    <m/>
    <m/>
    <m/>
    <n v="2"/>
    <n v="139.03743315508021"/>
    <m/>
    <x v="5"/>
    <m/>
    <m/>
  </r>
  <r>
    <n v="98"/>
    <x v="0"/>
    <s v="Mitchell"/>
    <x v="22"/>
    <x v="4"/>
    <s v="Training"/>
    <s v="Yes"/>
    <m/>
    <m/>
    <m/>
    <n v="3"/>
    <n v="186.8131868131868"/>
    <m/>
    <x v="3"/>
    <m/>
    <m/>
  </r>
  <r>
    <n v="99"/>
    <x v="0"/>
    <s v="Mitchell"/>
    <x v="23"/>
    <x v="3"/>
    <s v="Training"/>
    <m/>
    <m/>
    <m/>
    <m/>
    <n v="2"/>
    <n v="96.256684491978604"/>
    <m/>
    <x v="2"/>
    <m/>
    <m/>
  </r>
  <r>
    <n v="100"/>
    <x v="0"/>
    <s v="Mitchell"/>
    <x v="24"/>
    <x v="1"/>
    <s v="Training"/>
    <m/>
    <m/>
    <m/>
    <m/>
    <n v="5"/>
    <n v="244.18604651162792"/>
    <m/>
    <x v="2"/>
    <m/>
    <m/>
  </r>
  <r>
    <n v="101"/>
    <x v="0"/>
    <s v="Mitchell"/>
    <x v="24"/>
    <x v="4"/>
    <s v="Training"/>
    <s v="No"/>
    <m/>
    <m/>
    <m/>
    <m/>
    <n v="165"/>
    <m/>
    <x v="3"/>
    <s v="3-2-1 (15sec)"/>
    <m/>
  </r>
  <r>
    <n v="102"/>
    <x v="4"/>
    <s v="Presbury"/>
    <x v="25"/>
    <x v="4"/>
    <s v="Training"/>
    <s v="Yes"/>
    <m/>
    <m/>
    <m/>
    <n v="2"/>
    <n v="139.03743315508021"/>
    <m/>
    <x v="5"/>
    <s v="Will"/>
    <m/>
  </r>
  <r>
    <n v="103"/>
    <x v="5"/>
    <s v="McKenzie"/>
    <x v="25"/>
    <x v="4"/>
    <s v="Training"/>
    <s v="No"/>
    <m/>
    <m/>
    <m/>
    <m/>
    <n v="130"/>
    <m/>
    <x v="5"/>
    <s v="3-2-1 (15sec)"/>
    <m/>
  </r>
  <r>
    <n v="104"/>
    <x v="0"/>
    <s v="Mitchell"/>
    <x v="26"/>
    <x v="4"/>
    <s v="Test"/>
    <s v="Yes"/>
    <m/>
    <m/>
    <m/>
    <m/>
    <n v="195"/>
    <m/>
    <x v="3"/>
    <m/>
    <m/>
  </r>
  <r>
    <n v="105"/>
    <x v="0"/>
    <s v="Mitchell"/>
    <x v="27"/>
    <x v="1"/>
    <s v="Test"/>
    <m/>
    <m/>
    <m/>
    <m/>
    <n v="5"/>
    <n v="255.81395348837211"/>
    <m/>
    <x v="2"/>
    <m/>
    <m/>
  </r>
  <r>
    <n v="106"/>
    <x v="0"/>
    <s v="Mitchell"/>
    <x v="27"/>
    <x v="3"/>
    <s v="Test"/>
    <m/>
    <m/>
    <m/>
    <m/>
    <m/>
    <n v="100"/>
    <m/>
    <x v="2"/>
    <m/>
    <m/>
  </r>
  <r>
    <n v="107"/>
    <x v="3"/>
    <s v="Van Velt Hooven"/>
    <x v="27"/>
    <x v="4"/>
    <s v="Training"/>
    <m/>
    <m/>
    <m/>
    <n v="210"/>
    <n v="3"/>
    <n v="231.78807947019868"/>
    <m/>
    <x v="6"/>
    <m/>
    <m/>
  </r>
  <r>
    <n v="108"/>
    <x v="3"/>
    <s v="Van Velt Hooven"/>
    <x v="27"/>
    <x v="7"/>
    <s v="Training"/>
    <m/>
    <m/>
    <m/>
    <m/>
    <n v="3"/>
    <n v="109.89010989010988"/>
    <m/>
    <x v="2"/>
    <m/>
    <m/>
  </r>
  <r>
    <n v="109"/>
    <x v="2"/>
    <s v="Webster"/>
    <x v="28"/>
    <x v="3"/>
    <s v="Training"/>
    <m/>
    <m/>
    <m/>
    <m/>
    <n v="2"/>
    <n v="106.951871657754"/>
    <m/>
    <x v="2"/>
    <s v="Post-Mexico WC"/>
    <m/>
  </r>
  <r>
    <n v="110"/>
    <x v="2"/>
    <s v="Webster"/>
    <x v="28"/>
    <x v="4"/>
    <s v="Training"/>
    <s v="Yes"/>
    <m/>
    <m/>
    <m/>
    <n v="3"/>
    <n v="153.84615384615384"/>
    <m/>
    <x v="3"/>
    <s v="Post-Mexico WC"/>
    <m/>
  </r>
  <r>
    <n v="111"/>
    <x v="4"/>
    <s v="Presbury"/>
    <x v="29"/>
    <x v="4"/>
    <s v="Training"/>
    <s v="Yes"/>
    <m/>
    <m/>
    <n v="140"/>
    <n v="1"/>
    <n v="140"/>
    <m/>
    <x v="5"/>
    <s v="Will"/>
    <m/>
  </r>
  <r>
    <n v="112"/>
    <x v="2"/>
    <s v="Webster"/>
    <x v="30"/>
    <x v="4"/>
    <s v="Test"/>
    <s v="Yes"/>
    <m/>
    <m/>
    <m/>
    <n v="3"/>
    <n v="153.84615384615384"/>
    <m/>
    <x v="3"/>
    <m/>
    <m/>
  </r>
  <r>
    <n v="113"/>
    <x v="2"/>
    <s v="Webster"/>
    <x v="30"/>
    <x v="3"/>
    <s v="Test"/>
    <m/>
    <m/>
    <m/>
    <m/>
    <m/>
    <n v="110"/>
    <m/>
    <x v="2"/>
    <m/>
    <m/>
  </r>
  <r>
    <n v="114"/>
    <x v="3"/>
    <s v="Van Velt Hooven"/>
    <x v="30"/>
    <x v="7"/>
    <s v="Training"/>
    <m/>
    <m/>
    <m/>
    <m/>
    <n v="1"/>
    <n v="100"/>
    <m/>
    <x v="2"/>
    <m/>
    <m/>
  </r>
  <r>
    <n v="115"/>
    <x v="3"/>
    <s v="Van Velt Hooven"/>
    <x v="30"/>
    <x v="4"/>
    <s v="Training"/>
    <m/>
    <m/>
    <m/>
    <n v="240"/>
    <n v="3"/>
    <n v="264.90066225165566"/>
    <m/>
    <x v="6"/>
    <m/>
    <m/>
  </r>
  <r>
    <n v="116"/>
    <x v="4"/>
    <s v="Presbury"/>
    <x v="31"/>
    <x v="4"/>
    <s v="Training"/>
    <s v="Yes"/>
    <m/>
    <m/>
    <n v="150"/>
    <n v="1"/>
    <n v="150"/>
    <m/>
    <x v="5"/>
    <s v="Will"/>
    <m/>
  </r>
  <r>
    <n v="117"/>
    <x v="0"/>
    <s v="Mitchell"/>
    <x v="32"/>
    <x v="4"/>
    <s v="Training"/>
    <s v="Yes"/>
    <m/>
    <m/>
    <m/>
    <n v="5"/>
    <n v="139.53488372093022"/>
    <n v="82"/>
    <x v="7"/>
    <m/>
    <m/>
  </r>
  <r>
    <n v="118"/>
    <x v="0"/>
    <s v="Mitchell"/>
    <x v="32"/>
    <x v="11"/>
    <s v="Training"/>
    <m/>
    <m/>
    <m/>
    <m/>
    <n v="6"/>
    <n v="56.287425149700603"/>
    <n v="82"/>
    <x v="2"/>
    <m/>
    <m/>
  </r>
  <r>
    <n v="119"/>
    <x v="0"/>
    <s v="Mitchell"/>
    <x v="32"/>
    <x v="1"/>
    <s v="Training"/>
    <m/>
    <m/>
    <m/>
    <m/>
    <n v="6"/>
    <n v="203.5928143712575"/>
    <n v="82"/>
    <x v="2"/>
    <m/>
    <m/>
  </r>
  <r>
    <n v="120"/>
    <x v="4"/>
    <s v="Presbury"/>
    <x v="32"/>
    <x v="4"/>
    <s v="Training"/>
    <s v="No"/>
    <m/>
    <m/>
    <m/>
    <n v="5"/>
    <n v="110.46511627906978"/>
    <n v="79"/>
    <x v="3"/>
    <m/>
    <m/>
  </r>
  <r>
    <n v="121"/>
    <x v="4"/>
    <s v="Presbury"/>
    <x v="32"/>
    <x v="1"/>
    <s v="Training"/>
    <m/>
    <m/>
    <m/>
    <m/>
    <n v="6"/>
    <n v="125.74850299401199"/>
    <n v="79"/>
    <x v="2"/>
    <m/>
    <m/>
  </r>
  <r>
    <n v="122"/>
    <x v="4"/>
    <s v="Presbury"/>
    <x v="32"/>
    <x v="11"/>
    <s v="Training"/>
    <m/>
    <m/>
    <m/>
    <m/>
    <n v="10"/>
    <n v="68.02721088435375"/>
    <n v="79"/>
    <x v="2"/>
    <m/>
    <m/>
  </r>
  <r>
    <n v="123"/>
    <x v="1"/>
    <s v="Archibold"/>
    <x v="32"/>
    <x v="4"/>
    <s v="Training"/>
    <s v="Yes"/>
    <m/>
    <m/>
    <m/>
    <n v="5"/>
    <n v="203.48837209302326"/>
    <n v="96.6"/>
    <x v="7"/>
    <m/>
    <m/>
  </r>
  <r>
    <n v="124"/>
    <x v="1"/>
    <s v="Archibold"/>
    <x v="32"/>
    <x v="11"/>
    <s v="Training"/>
    <m/>
    <m/>
    <m/>
    <m/>
    <n v="6"/>
    <n v="56.287425149700603"/>
    <n v="96.6"/>
    <x v="2"/>
    <m/>
    <m/>
  </r>
  <r>
    <n v="125"/>
    <x v="1"/>
    <s v="Archibold"/>
    <x v="32"/>
    <x v="1"/>
    <s v="Training"/>
    <m/>
    <m/>
    <m/>
    <m/>
    <n v="6"/>
    <n v="215.56886227544911"/>
    <n v="96.6"/>
    <x v="2"/>
    <m/>
    <m/>
  </r>
  <r>
    <n v="126"/>
    <x v="2"/>
    <s v="Webster"/>
    <x v="32"/>
    <x v="4"/>
    <s v="Training"/>
    <s v="Yes"/>
    <m/>
    <m/>
    <m/>
    <n v="5"/>
    <n v="127.90697674418605"/>
    <n v="83.5"/>
    <x v="7"/>
    <m/>
    <m/>
  </r>
  <r>
    <n v="127"/>
    <x v="2"/>
    <s v="Webster"/>
    <x v="32"/>
    <x v="11"/>
    <s v="Training"/>
    <m/>
    <m/>
    <m/>
    <m/>
    <n v="6"/>
    <n v="64.670658682634738"/>
    <n v="83.5"/>
    <x v="2"/>
    <m/>
    <m/>
  </r>
  <r>
    <n v="128"/>
    <x v="2"/>
    <s v="Webster"/>
    <x v="32"/>
    <x v="1"/>
    <s v="Training"/>
    <m/>
    <m/>
    <m/>
    <m/>
    <n v="6"/>
    <n v="191.61676646706587"/>
    <n v="83.5"/>
    <x v="2"/>
    <m/>
    <m/>
  </r>
  <r>
    <n v="129"/>
    <x v="5"/>
    <s v="McKenzie"/>
    <x v="32"/>
    <x v="4"/>
    <s v="Training"/>
    <s v="No"/>
    <m/>
    <m/>
    <m/>
    <n v="5"/>
    <n v="151.16279069767441"/>
    <n v="79.2"/>
    <x v="5"/>
    <m/>
    <m/>
  </r>
  <r>
    <n v="130"/>
    <x v="5"/>
    <s v="McKenzie"/>
    <x v="32"/>
    <x v="11"/>
    <s v="Training"/>
    <m/>
    <m/>
    <m/>
    <m/>
    <n v="10"/>
    <n v="25.850340136054424"/>
    <n v="79.2"/>
    <x v="2"/>
    <m/>
    <m/>
  </r>
  <r>
    <n v="131"/>
    <x v="7"/>
    <s v="Williams"/>
    <x v="32"/>
    <x v="4"/>
    <s v="Training"/>
    <s v="No"/>
    <m/>
    <m/>
    <m/>
    <n v="6"/>
    <n v="137.7245508982036"/>
    <n v="88.4"/>
    <x v="3"/>
    <m/>
    <m/>
  </r>
  <r>
    <n v="132"/>
    <x v="7"/>
    <s v="Williams"/>
    <x v="32"/>
    <x v="11"/>
    <s v="Training"/>
    <m/>
    <m/>
    <m/>
    <m/>
    <n v="6"/>
    <n v="62.790697674418603"/>
    <n v="88.4"/>
    <x v="2"/>
    <m/>
    <m/>
  </r>
  <r>
    <n v="133"/>
    <x v="7"/>
    <s v="Williams"/>
    <x v="32"/>
    <x v="1"/>
    <s v="Training"/>
    <m/>
    <m/>
    <m/>
    <m/>
    <n v="6"/>
    <n v="131.7365269461078"/>
    <n v="88.4"/>
    <x v="2"/>
    <m/>
    <m/>
  </r>
  <r>
    <n v="134"/>
    <x v="3"/>
    <s v="Van Velt Hooven"/>
    <x v="33"/>
    <x v="12"/>
    <s v="Training"/>
    <m/>
    <m/>
    <m/>
    <m/>
    <n v="5"/>
    <n v="93.023255813953483"/>
    <m/>
    <x v="2"/>
    <s v="Japan (Pre-Strength day)"/>
    <m/>
  </r>
  <r>
    <n v="135"/>
    <x v="6"/>
    <s v="Dawkins"/>
    <x v="34"/>
    <x v="13"/>
    <s v="Training"/>
    <m/>
    <m/>
    <m/>
    <m/>
    <n v="6"/>
    <n v="718.56287425149708"/>
    <n v="101.9"/>
    <x v="2"/>
    <m/>
    <m/>
  </r>
  <r>
    <n v="136"/>
    <x v="0"/>
    <s v="Mitchell"/>
    <x v="34"/>
    <x v="5"/>
    <s v="Training"/>
    <m/>
    <m/>
    <m/>
    <m/>
    <n v="5"/>
    <n v="151.16279069767441"/>
    <n v="82.5"/>
    <x v="4"/>
    <m/>
    <m/>
  </r>
  <r>
    <n v="137"/>
    <x v="0"/>
    <s v="Mitchell"/>
    <x v="34"/>
    <x v="9"/>
    <s v="Training"/>
    <m/>
    <m/>
    <m/>
    <m/>
    <n v="6"/>
    <n v="227.54491017964074"/>
    <n v="82.5"/>
    <x v="2"/>
    <m/>
    <m/>
  </r>
  <r>
    <n v="138"/>
    <x v="4"/>
    <s v="Presbury"/>
    <x v="34"/>
    <x v="5"/>
    <s v="Training"/>
    <m/>
    <m/>
    <m/>
    <m/>
    <n v="5"/>
    <n v="116.27906976744187"/>
    <n v="79.099999999999994"/>
    <x v="4"/>
    <m/>
    <m/>
  </r>
  <r>
    <n v="139"/>
    <x v="4"/>
    <s v="Presbury"/>
    <x v="34"/>
    <x v="9"/>
    <s v="Training"/>
    <m/>
    <m/>
    <m/>
    <m/>
    <n v="8"/>
    <n v="191.08280254777068"/>
    <n v="79.099999999999994"/>
    <x v="2"/>
    <m/>
    <m/>
  </r>
  <r>
    <n v="140"/>
    <x v="1"/>
    <s v="Archibold"/>
    <x v="34"/>
    <x v="13"/>
    <s v="Training"/>
    <m/>
    <m/>
    <m/>
    <m/>
    <n v="6"/>
    <n v="526.94610778443121"/>
    <n v="96.4"/>
    <x v="2"/>
    <m/>
    <m/>
  </r>
  <r>
    <n v="141"/>
    <x v="2"/>
    <s v="Webster"/>
    <x v="34"/>
    <x v="5"/>
    <s v="Training"/>
    <m/>
    <m/>
    <m/>
    <m/>
    <n v="5"/>
    <n v="151.16279069767441"/>
    <n v="83.6"/>
    <x v="4"/>
    <m/>
    <m/>
  </r>
  <r>
    <n v="142"/>
    <x v="2"/>
    <s v="Webster"/>
    <x v="34"/>
    <x v="14"/>
    <s v="Training"/>
    <m/>
    <m/>
    <m/>
    <m/>
    <n v="6"/>
    <n v="107.78443113772455"/>
    <n v="83.6"/>
    <x v="8"/>
    <m/>
    <m/>
  </r>
  <r>
    <n v="143"/>
    <x v="2"/>
    <s v="Webster"/>
    <x v="34"/>
    <x v="9"/>
    <s v="Training"/>
    <m/>
    <m/>
    <m/>
    <m/>
    <n v="6"/>
    <n v="227.54491017964074"/>
    <n v="83.6"/>
    <x v="2"/>
    <m/>
    <m/>
  </r>
  <r>
    <n v="144"/>
    <x v="7"/>
    <s v="Williams"/>
    <x v="34"/>
    <x v="5"/>
    <s v="Training"/>
    <m/>
    <m/>
    <m/>
    <m/>
    <n v="6"/>
    <n v="143.7125748502994"/>
    <n v="89.3"/>
    <x v="4"/>
    <m/>
    <m/>
  </r>
  <r>
    <n v="145"/>
    <x v="7"/>
    <s v="Williams"/>
    <x v="34"/>
    <x v="9"/>
    <s v="Training"/>
    <m/>
    <m/>
    <m/>
    <m/>
    <n v="8"/>
    <n v="215.56886227544911"/>
    <n v="89.3"/>
    <x v="2"/>
    <m/>
    <m/>
  </r>
  <r>
    <n v="146"/>
    <x v="6"/>
    <s v="Dawkins"/>
    <x v="35"/>
    <x v="10"/>
    <s v="Training"/>
    <m/>
    <m/>
    <m/>
    <m/>
    <n v="6"/>
    <n v="137.7245508982036"/>
    <n v="102.1"/>
    <x v="2"/>
    <m/>
    <m/>
  </r>
  <r>
    <n v="147"/>
    <x v="0"/>
    <s v="Mitchell"/>
    <x v="35"/>
    <x v="10"/>
    <s v="Training"/>
    <m/>
    <m/>
    <m/>
    <m/>
    <n v="6"/>
    <n v="106.58682634730539"/>
    <n v="82.8"/>
    <x v="2"/>
    <m/>
    <m/>
  </r>
  <r>
    <n v="148"/>
    <x v="4"/>
    <s v="Presbury"/>
    <x v="35"/>
    <x v="15"/>
    <s v="Training"/>
    <m/>
    <m/>
    <m/>
    <m/>
    <n v="3"/>
    <n v="93.023255813953483"/>
    <n v="78.7"/>
    <x v="2"/>
    <m/>
    <m/>
  </r>
  <r>
    <n v="149"/>
    <x v="4"/>
    <s v="Presbury"/>
    <x v="35"/>
    <x v="10"/>
    <s v="Training"/>
    <m/>
    <m/>
    <m/>
    <m/>
    <n v="6"/>
    <n v="81.395348837209298"/>
    <n v="78.7"/>
    <x v="2"/>
    <m/>
    <m/>
  </r>
  <r>
    <n v="150"/>
    <x v="1"/>
    <s v="Archibold"/>
    <x v="35"/>
    <x v="10"/>
    <s v="Training"/>
    <m/>
    <m/>
    <m/>
    <m/>
    <n v="6"/>
    <n v="137.7245508982036"/>
    <n v="96.3"/>
    <x v="2"/>
    <m/>
    <m/>
  </r>
  <r>
    <n v="151"/>
    <x v="2"/>
    <s v="Webster"/>
    <x v="35"/>
    <x v="10"/>
    <s v="Training"/>
    <m/>
    <m/>
    <m/>
    <m/>
    <n v="6"/>
    <n v="107.78443113772455"/>
    <n v="84.7"/>
    <x v="2"/>
    <m/>
    <m/>
  </r>
  <r>
    <n v="152"/>
    <x v="2"/>
    <s v="Webster"/>
    <x v="35"/>
    <x v="16"/>
    <s v="Training"/>
    <m/>
    <m/>
    <m/>
    <n v="40"/>
    <n v="21"/>
    <s v="&gt;20 reps"/>
    <n v="84.7"/>
    <x v="2"/>
    <s v="Matrix"/>
    <m/>
  </r>
  <r>
    <n v="153"/>
    <x v="7"/>
    <s v="Williams"/>
    <x v="35"/>
    <x v="10"/>
    <s v="Training"/>
    <m/>
    <m/>
    <m/>
    <m/>
    <n v="6"/>
    <n v="95.808383233532936"/>
    <n v="87.8"/>
    <x v="2"/>
    <m/>
    <m/>
  </r>
  <r>
    <n v="154"/>
    <x v="7"/>
    <s v="Williams"/>
    <x v="35"/>
    <x v="5"/>
    <s v="Training"/>
    <m/>
    <m/>
    <m/>
    <m/>
    <n v="3"/>
    <n v="109.89010989010988"/>
    <n v="87.8"/>
    <x v="4"/>
    <m/>
    <m/>
  </r>
  <r>
    <n v="155"/>
    <x v="6"/>
    <s v="Dawkins"/>
    <x v="36"/>
    <x v="11"/>
    <s v="Training"/>
    <m/>
    <m/>
    <m/>
    <m/>
    <n v="5"/>
    <n v="45.348837209302324"/>
    <n v="102.2"/>
    <x v="2"/>
    <m/>
    <m/>
  </r>
  <r>
    <n v="156"/>
    <x v="0"/>
    <s v="Mitchell"/>
    <x v="36"/>
    <x v="0"/>
    <s v="Training"/>
    <s v="No"/>
    <m/>
    <m/>
    <m/>
    <n v="5"/>
    <n v="145.34883720930233"/>
    <n v="83"/>
    <x v="9"/>
    <m/>
    <m/>
  </r>
  <r>
    <n v="157"/>
    <x v="0"/>
    <s v="Mitchell"/>
    <x v="36"/>
    <x v="1"/>
    <s v="Training"/>
    <m/>
    <m/>
    <m/>
    <m/>
    <n v="5"/>
    <n v="232.55813953488374"/>
    <n v="83"/>
    <x v="2"/>
    <m/>
    <m/>
  </r>
  <r>
    <n v="158"/>
    <x v="4"/>
    <s v="Presbury"/>
    <x v="36"/>
    <x v="4"/>
    <s v="Training"/>
    <s v="No"/>
    <m/>
    <m/>
    <m/>
    <n v="5"/>
    <n v="110.46511627906978"/>
    <n v="79.5"/>
    <x v="3"/>
    <m/>
    <m/>
  </r>
  <r>
    <n v="159"/>
    <x v="4"/>
    <s v="Presbury"/>
    <x v="36"/>
    <x v="1"/>
    <s v="Training"/>
    <m/>
    <m/>
    <m/>
    <n v="120"/>
    <n v="6"/>
    <e v="#REF!"/>
    <n v="79.5"/>
    <x v="2"/>
    <m/>
    <m/>
  </r>
  <r>
    <n v="160"/>
    <x v="4"/>
    <s v="Presbury"/>
    <x v="36"/>
    <x v="1"/>
    <s v="Training"/>
    <m/>
    <m/>
    <m/>
    <n v="145"/>
    <n v="6"/>
    <e v="#REF!"/>
    <n v="79.5"/>
    <x v="2"/>
    <m/>
    <m/>
  </r>
  <r>
    <n v="161"/>
    <x v="1"/>
    <s v="Archibold"/>
    <x v="36"/>
    <x v="0"/>
    <s v="Training"/>
    <s v="No"/>
    <m/>
    <m/>
    <m/>
    <n v="5"/>
    <n v="209.30232558139537"/>
    <n v="96.4"/>
    <x v="9"/>
    <m/>
    <m/>
  </r>
  <r>
    <n v="162"/>
    <x v="1"/>
    <s v="Archibold"/>
    <x v="36"/>
    <x v="1"/>
    <s v="Training"/>
    <m/>
    <m/>
    <m/>
    <m/>
    <n v="5"/>
    <n v="244.18604651162792"/>
    <n v="96.4"/>
    <x v="2"/>
    <m/>
    <m/>
  </r>
  <r>
    <n v="163"/>
    <x v="2"/>
    <s v="Webster"/>
    <x v="36"/>
    <x v="0"/>
    <s v="Training"/>
    <s v="No"/>
    <m/>
    <m/>
    <m/>
    <n v="5"/>
    <n v="127.90697674418605"/>
    <n v="83.5"/>
    <x v="9"/>
    <m/>
    <m/>
  </r>
  <r>
    <n v="164"/>
    <x v="5"/>
    <s v="McKenzie"/>
    <x v="36"/>
    <x v="10"/>
    <s v="Training"/>
    <m/>
    <m/>
    <m/>
    <m/>
    <n v="4"/>
    <n v="90.395480225988706"/>
    <n v="79.400000000000006"/>
    <x v="2"/>
    <m/>
    <m/>
  </r>
  <r>
    <n v="165"/>
    <x v="5"/>
    <s v="McKenzie"/>
    <x v="36"/>
    <x v="4"/>
    <s v="Training"/>
    <s v="No"/>
    <m/>
    <m/>
    <m/>
    <n v="5"/>
    <n v="151.16279069767441"/>
    <n v="79.400000000000006"/>
    <x v="5"/>
    <m/>
    <m/>
  </r>
  <r>
    <n v="166"/>
    <x v="5"/>
    <s v="McKenzie"/>
    <x v="36"/>
    <x v="13"/>
    <s v="Training"/>
    <m/>
    <m/>
    <m/>
    <m/>
    <n v="5"/>
    <n v="372.09302325581393"/>
    <n v="79.400000000000006"/>
    <x v="2"/>
    <m/>
    <m/>
  </r>
  <r>
    <n v="167"/>
    <x v="7"/>
    <s v="Williams"/>
    <x v="36"/>
    <x v="4"/>
    <s v="Training"/>
    <s v="No"/>
    <m/>
    <m/>
    <m/>
    <n v="5"/>
    <n v="133.72093023255815"/>
    <n v="89.5"/>
    <x v="3"/>
    <m/>
    <m/>
  </r>
  <r>
    <n v="168"/>
    <x v="7"/>
    <s v="Williams"/>
    <x v="36"/>
    <x v="1"/>
    <s v="Training"/>
    <m/>
    <m/>
    <m/>
    <n v="145"/>
    <n v="6"/>
    <e v="#REF!"/>
    <n v="89.5"/>
    <x v="2"/>
    <m/>
    <m/>
  </r>
  <r>
    <n v="169"/>
    <x v="7"/>
    <s v="Williams"/>
    <x v="36"/>
    <x v="1"/>
    <s v="Training"/>
    <m/>
    <m/>
    <m/>
    <n v="160"/>
    <n v="6"/>
    <e v="#REF!"/>
    <n v="89.5"/>
    <x v="2"/>
    <m/>
    <m/>
  </r>
  <r>
    <n v="170"/>
    <x v="6"/>
    <s v="Dawkins"/>
    <x v="37"/>
    <x v="3"/>
    <s v="Training"/>
    <m/>
    <m/>
    <m/>
    <m/>
    <n v="4"/>
    <n v="135.59322033898306"/>
    <n v="102.3"/>
    <x v="2"/>
    <m/>
    <m/>
  </r>
  <r>
    <n v="171"/>
    <x v="6"/>
    <s v="Dawkins"/>
    <x v="37"/>
    <x v="17"/>
    <s v="Training"/>
    <m/>
    <m/>
    <m/>
    <m/>
    <n v="10"/>
    <n v="135.90033975084938"/>
    <n v="102.3"/>
    <x v="2"/>
    <m/>
    <m/>
  </r>
  <r>
    <n v="172"/>
    <x v="0"/>
    <s v="Mitchell"/>
    <x v="37"/>
    <x v="3"/>
    <s v="Training"/>
    <m/>
    <m/>
    <m/>
    <m/>
    <n v="4"/>
    <n v="112.99435028248587"/>
    <n v="82.6"/>
    <x v="2"/>
    <m/>
    <m/>
  </r>
  <r>
    <n v="173"/>
    <x v="4"/>
    <s v="Presbury"/>
    <x v="37"/>
    <x v="3"/>
    <s v="Training"/>
    <m/>
    <m/>
    <m/>
    <m/>
    <n v="4"/>
    <n v="56.497175141242934"/>
    <n v="79.099999999999994"/>
    <x v="2"/>
    <m/>
    <m/>
  </r>
  <r>
    <n v="174"/>
    <x v="4"/>
    <s v="Presbury"/>
    <x v="37"/>
    <x v="7"/>
    <s v="Training"/>
    <m/>
    <m/>
    <m/>
    <m/>
    <n v="5"/>
    <n v="63.953488372093027"/>
    <n v="79.099999999999994"/>
    <x v="2"/>
    <m/>
    <m/>
  </r>
  <r>
    <n v="175"/>
    <x v="4"/>
    <s v="Presbury"/>
    <x v="37"/>
    <x v="1"/>
    <s v="Training"/>
    <m/>
    <m/>
    <m/>
    <m/>
    <m/>
    <n v="139.53488369999999"/>
    <n v="79.099999999999994"/>
    <x v="2"/>
    <s v="Left?"/>
    <m/>
  </r>
  <r>
    <n v="176"/>
    <x v="4"/>
    <s v="Presbury"/>
    <x v="37"/>
    <x v="1"/>
    <s v="Training"/>
    <m/>
    <m/>
    <m/>
    <m/>
    <m/>
    <n v="168.6046511627907"/>
    <n v="79.099999999999994"/>
    <x v="2"/>
    <s v="Right?"/>
    <m/>
  </r>
  <r>
    <n v="177"/>
    <x v="1"/>
    <s v="Archibold"/>
    <x v="37"/>
    <x v="3"/>
    <s v="Training"/>
    <m/>
    <m/>
    <m/>
    <m/>
    <n v="4"/>
    <n v="135.59322033898306"/>
    <n v="95.8"/>
    <x v="2"/>
    <m/>
    <m/>
  </r>
  <r>
    <n v="178"/>
    <x v="1"/>
    <s v="Archibold"/>
    <x v="37"/>
    <x v="18"/>
    <s v="Training"/>
    <m/>
    <m/>
    <m/>
    <m/>
    <n v="10"/>
    <n v="95.238095238095241"/>
    <n v="95.8"/>
    <x v="2"/>
    <m/>
    <m/>
  </r>
  <r>
    <n v="179"/>
    <x v="2"/>
    <s v="Webster"/>
    <x v="37"/>
    <x v="3"/>
    <s v="Training"/>
    <m/>
    <m/>
    <m/>
    <m/>
    <n v="4"/>
    <n v="112.99435028248587"/>
    <n v="83.2"/>
    <x v="2"/>
    <m/>
    <m/>
  </r>
  <r>
    <n v="180"/>
    <x v="7"/>
    <s v="Williams"/>
    <x v="37"/>
    <x v="3"/>
    <s v="Training"/>
    <m/>
    <m/>
    <m/>
    <m/>
    <n v="4"/>
    <n v="90.395480225988706"/>
    <n v="88.1"/>
    <x v="2"/>
    <m/>
    <m/>
  </r>
  <r>
    <n v="181"/>
    <x v="7"/>
    <s v="Williams"/>
    <x v="37"/>
    <x v="1"/>
    <s v="Training"/>
    <m/>
    <m/>
    <m/>
    <m/>
    <m/>
    <n v="191.61676650000001"/>
    <n v="88.1"/>
    <x v="2"/>
    <s v="Left?"/>
    <m/>
  </r>
  <r>
    <n v="182"/>
    <x v="7"/>
    <s v="Williams"/>
    <x v="37"/>
    <x v="1"/>
    <s v="Training"/>
    <m/>
    <m/>
    <m/>
    <m/>
    <m/>
    <n v="173.65269461077844"/>
    <n v="88.1"/>
    <x v="2"/>
    <s v="Right?"/>
    <m/>
  </r>
  <r>
    <n v="183"/>
    <x v="6"/>
    <s v="Dawkins"/>
    <x v="38"/>
    <x v="9"/>
    <s v="Training"/>
    <m/>
    <m/>
    <m/>
    <m/>
    <n v="1"/>
    <n v="310"/>
    <n v="102.1"/>
    <x v="2"/>
    <m/>
    <m/>
  </r>
  <r>
    <n v="184"/>
    <x v="6"/>
    <s v="Dawkins"/>
    <x v="38"/>
    <x v="13"/>
    <s v="Training"/>
    <m/>
    <m/>
    <m/>
    <m/>
    <n v="4"/>
    <n v="697.67441860465112"/>
    <n v="102.1"/>
    <x v="2"/>
    <s v="Pin 5"/>
    <m/>
  </r>
  <r>
    <n v="185"/>
    <x v="0"/>
    <s v="Mitchell"/>
    <x v="38"/>
    <x v="4"/>
    <s v="Training"/>
    <s v="No"/>
    <m/>
    <m/>
    <m/>
    <n v="5"/>
    <n v="174.41860465116278"/>
    <n v="82.8"/>
    <x v="3"/>
    <m/>
    <m/>
  </r>
  <r>
    <n v="186"/>
    <x v="0"/>
    <s v="Mitchell"/>
    <x v="38"/>
    <x v="11"/>
    <s v="Training"/>
    <m/>
    <m/>
    <m/>
    <m/>
    <n v="5"/>
    <n v="70.930232558139537"/>
    <n v="82.8"/>
    <x v="2"/>
    <m/>
    <m/>
  </r>
  <r>
    <n v="187"/>
    <x v="4"/>
    <s v="Presbury"/>
    <x v="38"/>
    <x v="13"/>
    <s v="Training"/>
    <m/>
    <m/>
    <m/>
    <m/>
    <n v="6"/>
    <n v="293.41317365269464"/>
    <n v="79.599999999999994"/>
    <x v="2"/>
    <m/>
    <m/>
  </r>
  <r>
    <n v="188"/>
    <x v="4"/>
    <s v="Presbury"/>
    <x v="38"/>
    <x v="9"/>
    <s v="Training"/>
    <m/>
    <m/>
    <m/>
    <m/>
    <n v="8"/>
    <n v="191.08280254777068"/>
    <n v="79.599999999999994"/>
    <x v="2"/>
    <m/>
    <m/>
  </r>
  <r>
    <n v="189"/>
    <x v="1"/>
    <s v="Archibold"/>
    <x v="38"/>
    <x v="13"/>
    <s v="Training"/>
    <m/>
    <m/>
    <m/>
    <m/>
    <n v="4"/>
    <n v="558.1395348837209"/>
    <n v="96"/>
    <x v="2"/>
    <s v="Pin 5"/>
    <m/>
  </r>
  <r>
    <n v="190"/>
    <x v="1"/>
    <s v="Archibold"/>
    <x v="38"/>
    <x v="9"/>
    <s v="Training"/>
    <m/>
    <m/>
    <m/>
    <m/>
    <n v="6"/>
    <n v="311.37724550898207"/>
    <n v="96"/>
    <x v="2"/>
    <m/>
    <m/>
  </r>
  <r>
    <n v="191"/>
    <x v="2"/>
    <s v="Webster"/>
    <x v="38"/>
    <x v="14"/>
    <s v="Training"/>
    <m/>
    <m/>
    <m/>
    <m/>
    <n v="5"/>
    <n v="116.27906976744187"/>
    <n v="84.1"/>
    <x v="8"/>
    <s v="Sore Knee- Ham Curl"/>
    <m/>
  </r>
  <r>
    <n v="192"/>
    <x v="2"/>
    <s v="Webster"/>
    <x v="38"/>
    <x v="9"/>
    <s v="Training"/>
    <m/>
    <m/>
    <m/>
    <m/>
    <n v="6"/>
    <n v="251.49700598802397"/>
    <n v="84.1"/>
    <x v="2"/>
    <s v="Sore Knee- Ham Curl"/>
    <m/>
  </r>
  <r>
    <n v="193"/>
    <x v="5"/>
    <s v="McKenzie"/>
    <x v="38"/>
    <x v="3"/>
    <s v="Training"/>
    <m/>
    <m/>
    <m/>
    <m/>
    <n v="4"/>
    <n v="67.79661016949153"/>
    <n v="79"/>
    <x v="2"/>
    <m/>
    <m/>
  </r>
  <r>
    <n v="194"/>
    <x v="7"/>
    <s v="Williams"/>
    <x v="38"/>
    <x v="13"/>
    <s v="Training"/>
    <m/>
    <m/>
    <m/>
    <m/>
    <n v="6"/>
    <n v="359.28143712574854"/>
    <n v="88"/>
    <x v="2"/>
    <m/>
    <m/>
  </r>
  <r>
    <n v="195"/>
    <x v="7"/>
    <s v="Williams"/>
    <x v="38"/>
    <x v="9"/>
    <s v="Training"/>
    <m/>
    <m/>
    <m/>
    <m/>
    <n v="8"/>
    <n v="229.29936305732483"/>
    <n v="88"/>
    <x v="2"/>
    <m/>
    <m/>
  </r>
  <r>
    <n v="196"/>
    <x v="3"/>
    <s v="Van Velt Hooven"/>
    <x v="39"/>
    <x v="1"/>
    <s v="Training"/>
    <m/>
    <m/>
    <m/>
    <m/>
    <n v="5"/>
    <n v="174.41860465116278"/>
    <n v="89.9"/>
    <x v="2"/>
    <s v="Japan (Strength Day)"/>
    <m/>
  </r>
  <r>
    <n v="197"/>
    <x v="3"/>
    <s v="Van Velt Hooven"/>
    <x v="39"/>
    <x v="4"/>
    <s v="Training"/>
    <s v="No"/>
    <m/>
    <m/>
    <m/>
    <n v="5"/>
    <n v="162.7906976744186"/>
    <n v="89.9"/>
    <x v="10"/>
    <s v="Japan (Strength Day)"/>
    <m/>
  </r>
  <r>
    <n v="198"/>
    <x v="6"/>
    <s v="Dawkins"/>
    <x v="40"/>
    <x v="0"/>
    <s v="Test"/>
    <m/>
    <s v="3 Rep Test"/>
    <s v="Basic Strength (WK6)"/>
    <n v="203"/>
    <n v="3"/>
    <n v="252.74725274725273"/>
    <n v="102.1"/>
    <x v="3"/>
    <s v="Reps"/>
    <s v="(203 x 3 Reps)"/>
  </r>
  <r>
    <n v="199"/>
    <x v="0"/>
    <s v="Mitchell"/>
    <x v="40"/>
    <x v="4"/>
    <s v="Test"/>
    <m/>
    <s v="3 Rep Test"/>
    <s v="Basic Strength (WK6)"/>
    <n v="185"/>
    <n v="3"/>
    <n v="203.2967032967033"/>
    <n v="83.1"/>
    <x v="3"/>
    <m/>
    <s v="(185 x 3 Reps)"/>
  </r>
  <r>
    <n v="200"/>
    <x v="1"/>
    <s v="Archibald"/>
    <x v="40"/>
    <x v="4"/>
    <s v="Test"/>
    <m/>
    <s v="3 Rep Test"/>
    <s v="Basic Strength (WK6)"/>
    <m/>
    <n v="1"/>
    <n v="260"/>
    <n v="96.6"/>
    <x v="3"/>
    <s v="40cm Box"/>
    <s v="(1 Rep, 40cm Box)"/>
  </r>
  <r>
    <n v="201"/>
    <x v="2"/>
    <s v="Webster"/>
    <x v="40"/>
    <x v="4"/>
    <s v="Test"/>
    <m/>
    <s v="3 Rep Test"/>
    <s v="Basic Strength (WK6)"/>
    <n v="160"/>
    <n v="3"/>
    <n v="175.82417582417582"/>
    <n v="84.8"/>
    <x v="3"/>
    <m/>
    <s v="(160 x 3 Reps)"/>
  </r>
  <r>
    <n v="202"/>
    <x v="3"/>
    <s v="Van Velt Hooven"/>
    <x v="40"/>
    <x v="4"/>
    <s v="Test"/>
    <m/>
    <s v="3 Rep Test"/>
    <s v="Basic Strength (WK6)"/>
    <m/>
    <m/>
    <m/>
    <m/>
    <x v="3"/>
    <s v="Japan"/>
    <s v="(Japan)"/>
  </r>
  <r>
    <n v="203"/>
    <x v="7"/>
    <s v="Williams"/>
    <x v="40"/>
    <x v="4"/>
    <s v="Test"/>
    <m/>
    <s v="3 Rep Test"/>
    <s v="Basic Strength (WK6)"/>
    <n v="155"/>
    <n v="6"/>
    <n v="185.62874251497007"/>
    <n v="88.5"/>
    <x v="3"/>
    <m/>
    <s v="(155 x 6 Reps)"/>
  </r>
  <r>
    <n v="204"/>
    <x v="5"/>
    <s v="Mackenzie"/>
    <x v="40"/>
    <x v="4"/>
    <s v="Test"/>
    <m/>
    <s v="3 Rep Test"/>
    <s v="Basic Strength (WK6)"/>
    <m/>
    <m/>
    <n v="180"/>
    <m/>
    <x v="3"/>
    <m/>
    <m/>
  </r>
  <r>
    <n v="205"/>
    <x v="8"/>
    <s v="Sheppard"/>
    <x v="40"/>
    <x v="4"/>
    <s v="Test"/>
    <m/>
    <s v="3 Rep Test"/>
    <s v="Basic Strength (WK6)"/>
    <m/>
    <m/>
    <n v="122.09302325581396"/>
    <m/>
    <x v="3"/>
    <m/>
    <m/>
  </r>
  <r>
    <n v="206"/>
    <x v="6"/>
    <s v="Dawkins"/>
    <x v="40"/>
    <x v="3"/>
    <s v="Test"/>
    <m/>
    <s v="3 Rep Test"/>
    <s v="Basic Strength (WK6)"/>
    <m/>
    <m/>
    <n v="130"/>
    <n v="102.1"/>
    <x v="2"/>
    <m/>
    <m/>
  </r>
  <r>
    <n v="207"/>
    <x v="0"/>
    <s v="Mitchell"/>
    <x v="40"/>
    <x v="3"/>
    <s v="Test"/>
    <m/>
    <s v="3 Rep Test"/>
    <s v="Basic Strength (WK6)"/>
    <m/>
    <m/>
    <n v="110"/>
    <n v="83.1"/>
    <x v="2"/>
    <m/>
    <m/>
  </r>
  <r>
    <n v="208"/>
    <x v="2"/>
    <s v="Webster"/>
    <x v="40"/>
    <x v="3"/>
    <s v="Test"/>
    <m/>
    <s v="3 Rep Test"/>
    <s v="Basic Strength (WK6)"/>
    <m/>
    <m/>
    <n v="115"/>
    <n v="84.8"/>
    <x v="2"/>
    <m/>
    <m/>
  </r>
  <r>
    <n v="209"/>
    <x v="7"/>
    <s v="Williams"/>
    <x v="40"/>
    <x v="3"/>
    <s v="Test"/>
    <m/>
    <s v="3 Rep Test"/>
    <s v="Basic Strength (WK6)"/>
    <m/>
    <m/>
    <n v="90"/>
    <s v=""/>
    <x v="2"/>
    <m/>
    <m/>
  </r>
  <r>
    <n v="210"/>
    <x v="1"/>
    <s v="Archibald"/>
    <x v="40"/>
    <x v="3"/>
    <s v="Test"/>
    <m/>
    <s v="3 Rep Test"/>
    <s v="Basic Strength (WK6)"/>
    <m/>
    <m/>
    <n v="135"/>
    <n v="96.6"/>
    <x v="2"/>
    <m/>
    <m/>
  </r>
  <r>
    <n v="211"/>
    <x v="5"/>
    <s v="Mackenzie"/>
    <x v="40"/>
    <x v="3"/>
    <s v="Test"/>
    <m/>
    <s v="3 Rep Test"/>
    <s v="Basic Strength (WK6)"/>
    <m/>
    <m/>
    <n v="75"/>
    <n v="79.099999999999994"/>
    <x v="2"/>
    <m/>
    <m/>
  </r>
  <r>
    <n v="212"/>
    <x v="8"/>
    <s v="Sheppard"/>
    <x v="40"/>
    <x v="3"/>
    <s v="Test"/>
    <m/>
    <s v="3 Rep Test"/>
    <s v="Basic Strength (WK6)"/>
    <m/>
    <m/>
    <n v="75"/>
    <s v=""/>
    <x v="2"/>
    <m/>
    <m/>
  </r>
  <r>
    <n v="213"/>
    <x v="6"/>
    <s v="Dawkins"/>
    <x v="40"/>
    <x v="4"/>
    <s v="Test"/>
    <s v="Yes"/>
    <m/>
    <m/>
    <m/>
    <n v="2"/>
    <n v="252.74725274725273"/>
    <n v="101.7"/>
    <x v="3"/>
    <m/>
    <m/>
  </r>
  <r>
    <n v="214"/>
    <x v="6"/>
    <s v="Dawkins"/>
    <x v="40"/>
    <x v="3"/>
    <s v="Test"/>
    <m/>
    <m/>
    <m/>
    <m/>
    <m/>
    <n v="130"/>
    <n v="101.7"/>
    <x v="2"/>
    <m/>
    <m/>
  </r>
  <r>
    <n v="215"/>
    <x v="0"/>
    <s v="Mitchell"/>
    <x v="40"/>
    <x v="4"/>
    <s v="Test"/>
    <s v="Yes"/>
    <m/>
    <m/>
    <m/>
    <n v="3"/>
    <n v="203.2967032967033"/>
    <n v="83.1"/>
    <x v="3"/>
    <m/>
    <m/>
  </r>
  <r>
    <n v="216"/>
    <x v="0"/>
    <s v="Mitchell"/>
    <x v="40"/>
    <x v="3"/>
    <s v="Test"/>
    <m/>
    <m/>
    <m/>
    <m/>
    <m/>
    <n v="110"/>
    <n v="83.1"/>
    <x v="2"/>
    <m/>
    <m/>
  </r>
  <r>
    <n v="217"/>
    <x v="4"/>
    <s v="Presbury"/>
    <x v="40"/>
    <x v="3"/>
    <s v="Test"/>
    <m/>
    <m/>
    <m/>
    <n v="75"/>
    <n v="1"/>
    <n v="75"/>
    <n v="79"/>
    <x v="2"/>
    <m/>
    <m/>
  </r>
  <r>
    <n v="218"/>
    <x v="4"/>
    <s v="Presbury"/>
    <x v="40"/>
    <x v="4"/>
    <s v="Test"/>
    <s v="Yes"/>
    <m/>
    <m/>
    <m/>
    <n v="5"/>
    <n v="122.09302325581396"/>
    <n v="79"/>
    <x v="3"/>
    <m/>
    <m/>
  </r>
  <r>
    <n v="219"/>
    <x v="1"/>
    <s v="Archibold"/>
    <x v="40"/>
    <x v="4"/>
    <s v="Test"/>
    <s v="Yes"/>
    <m/>
    <m/>
    <n v="260"/>
    <n v="1"/>
    <n v="260"/>
    <n v="96.6"/>
    <x v="3"/>
    <s v="Was Sick"/>
    <m/>
  </r>
  <r>
    <n v="220"/>
    <x v="1"/>
    <s v="Archibold"/>
    <x v="40"/>
    <x v="3"/>
    <s v="Test"/>
    <m/>
    <m/>
    <m/>
    <m/>
    <m/>
    <n v="135"/>
    <n v="96.6"/>
    <x v="2"/>
    <s v="Was Sick"/>
    <m/>
  </r>
  <r>
    <n v="221"/>
    <x v="2"/>
    <s v="Webster"/>
    <x v="40"/>
    <x v="4"/>
    <s v="Test"/>
    <s v="Yes"/>
    <m/>
    <m/>
    <m/>
    <n v="3"/>
    <n v="175.82417582417582"/>
    <n v="84.8"/>
    <x v="3"/>
    <m/>
    <m/>
  </r>
  <r>
    <n v="222"/>
    <x v="2"/>
    <s v="Webster"/>
    <x v="40"/>
    <x v="3"/>
    <s v="Test"/>
    <m/>
    <m/>
    <m/>
    <m/>
    <m/>
    <n v="115"/>
    <n v="84.8"/>
    <x v="2"/>
    <m/>
    <m/>
  </r>
  <r>
    <n v="223"/>
    <x v="5"/>
    <s v="McKenzie"/>
    <x v="40"/>
    <x v="3"/>
    <s v="Test"/>
    <m/>
    <m/>
    <m/>
    <n v="75"/>
    <n v="1"/>
    <n v="75"/>
    <n v="96.6"/>
    <x v="2"/>
    <m/>
    <m/>
  </r>
  <r>
    <n v="224"/>
    <x v="5"/>
    <s v="McKenzie"/>
    <x v="40"/>
    <x v="4"/>
    <s v="Test"/>
    <s v="Yes"/>
    <m/>
    <m/>
    <n v="180"/>
    <n v="1"/>
    <n v="180"/>
    <n v="96.6"/>
    <x v="5"/>
    <m/>
    <m/>
  </r>
  <r>
    <n v="225"/>
    <x v="7"/>
    <s v="Williams"/>
    <x v="40"/>
    <x v="3"/>
    <s v="Test"/>
    <m/>
    <m/>
    <m/>
    <n v="90"/>
    <n v="1"/>
    <n v="90"/>
    <n v="88.5"/>
    <x v="2"/>
    <m/>
    <m/>
  </r>
  <r>
    <n v="226"/>
    <x v="7"/>
    <s v="Williams"/>
    <x v="40"/>
    <x v="4"/>
    <s v="Test"/>
    <s v="Yes"/>
    <m/>
    <m/>
    <m/>
    <n v="6"/>
    <n v="185.62874251497007"/>
    <n v="88.5"/>
    <x v="3"/>
    <m/>
    <m/>
  </r>
  <r>
    <n v="227"/>
    <x v="3"/>
    <s v="Van Velt Hooven"/>
    <x v="41"/>
    <x v="0"/>
    <s v="Training"/>
    <m/>
    <m/>
    <m/>
    <m/>
    <n v="3"/>
    <n v="186.8131868131868"/>
    <m/>
    <x v="11"/>
    <s v="Japan (Power 1)"/>
    <m/>
  </r>
  <r>
    <n v="228"/>
    <x v="3"/>
    <s v="Van Velt Hooven"/>
    <x v="42"/>
    <x v="11"/>
    <s v="Training"/>
    <m/>
    <m/>
    <m/>
    <m/>
    <n v="4"/>
    <n v="67.79661016949153"/>
    <n v="89.6"/>
    <x v="2"/>
    <s v="Japan (Strength Day)"/>
    <m/>
  </r>
  <r>
    <n v="229"/>
    <x v="3"/>
    <s v="Van Velt Hooven"/>
    <x v="42"/>
    <x v="4"/>
    <s v="Training"/>
    <s v="No"/>
    <m/>
    <m/>
    <m/>
    <n v="5"/>
    <n v="162.7906976744186"/>
    <n v="89.6"/>
    <x v="10"/>
    <s v="Japan (Strength Day)"/>
    <m/>
  </r>
  <r>
    <n v="230"/>
    <x v="3"/>
    <s v="Van Velt Hooven"/>
    <x v="42"/>
    <x v="1"/>
    <s v="Training"/>
    <m/>
    <m/>
    <m/>
    <m/>
    <n v="5"/>
    <n v="174.41860465116278"/>
    <n v="89.6"/>
    <x v="2"/>
    <s v="Japan (Strength Day)"/>
    <m/>
  </r>
  <r>
    <n v="231"/>
    <x v="6"/>
    <s v="Dawkins"/>
    <x v="43"/>
    <x v="9"/>
    <s v="Training"/>
    <m/>
    <m/>
    <m/>
    <m/>
    <n v="5"/>
    <n v="372.09302325581393"/>
    <n v="102.4"/>
    <x v="2"/>
    <m/>
    <m/>
  </r>
  <r>
    <n v="232"/>
    <x v="0"/>
    <s v="Mitchell"/>
    <x v="43"/>
    <x v="9"/>
    <s v="Training"/>
    <m/>
    <m/>
    <m/>
    <m/>
    <n v="5"/>
    <n v="244.18604651162792"/>
    <n v="82.6"/>
    <x v="2"/>
    <m/>
    <m/>
  </r>
  <r>
    <n v="233"/>
    <x v="1"/>
    <s v="Archibold"/>
    <x v="43"/>
    <x v="9"/>
    <s v="Training"/>
    <m/>
    <m/>
    <m/>
    <m/>
    <n v="5"/>
    <n v="348.83720930232556"/>
    <n v="96.6"/>
    <x v="2"/>
    <m/>
    <m/>
  </r>
  <r>
    <n v="234"/>
    <x v="2"/>
    <s v="Webster"/>
    <x v="43"/>
    <x v="9"/>
    <s v="Training"/>
    <m/>
    <m/>
    <m/>
    <m/>
    <n v="5"/>
    <n v="244.18604651162792"/>
    <n v="83.3"/>
    <x v="2"/>
    <m/>
    <m/>
  </r>
  <r>
    <n v="235"/>
    <x v="5"/>
    <s v="McKenzie"/>
    <x v="43"/>
    <x v="9"/>
    <s v="Training"/>
    <m/>
    <m/>
    <m/>
    <m/>
    <n v="5"/>
    <n v="174.41860465116278"/>
    <n v="78.8"/>
    <x v="2"/>
    <m/>
    <m/>
  </r>
  <r>
    <n v="236"/>
    <x v="7"/>
    <s v="Williams"/>
    <x v="43"/>
    <x v="15"/>
    <s v="Training"/>
    <m/>
    <m/>
    <m/>
    <m/>
    <n v="3"/>
    <n v="131.86813186813185"/>
    <n v="88.3"/>
    <x v="2"/>
    <m/>
    <m/>
  </r>
  <r>
    <n v="237"/>
    <x v="7"/>
    <s v="Williams"/>
    <x v="43"/>
    <x v="9"/>
    <s v="Training"/>
    <m/>
    <m/>
    <m/>
    <m/>
    <n v="5"/>
    <n v="255.81395348837211"/>
    <n v="88.3"/>
    <x v="2"/>
    <m/>
    <m/>
  </r>
  <r>
    <n v="238"/>
    <x v="3"/>
    <s v="Van Velt Hooven"/>
    <x v="44"/>
    <x v="19"/>
    <s v="Training"/>
    <m/>
    <m/>
    <m/>
    <m/>
    <n v="3"/>
    <n v="65.934065934065927"/>
    <n v="89.9"/>
    <x v="2"/>
    <s v="Japan (Power 2)"/>
    <m/>
  </r>
  <r>
    <n v="239"/>
    <x v="3"/>
    <s v="Van Velt Hooven"/>
    <x v="44"/>
    <x v="10"/>
    <s v="Training"/>
    <m/>
    <m/>
    <m/>
    <m/>
    <n v="3"/>
    <n v="120.87912087912088"/>
    <n v="89.9"/>
    <x v="2"/>
    <s v="Japan (Power 2)"/>
    <m/>
  </r>
  <r>
    <n v="240"/>
    <x v="3"/>
    <s v="Van Velt Hooven"/>
    <x v="44"/>
    <x v="19"/>
    <s v="Training"/>
    <m/>
    <m/>
    <m/>
    <m/>
    <n v="3"/>
    <n v="65.934065934065927"/>
    <n v="89.9"/>
    <x v="2"/>
    <s v="Japan (Power 2)"/>
    <m/>
  </r>
  <r>
    <n v="241"/>
    <x v="6"/>
    <s v="Dawkins"/>
    <x v="45"/>
    <x v="4"/>
    <s v="Training"/>
    <s v="No"/>
    <m/>
    <m/>
    <m/>
    <n v="5"/>
    <n v="197.67441860465118"/>
    <n v="101.9"/>
    <x v="3"/>
    <m/>
    <m/>
  </r>
  <r>
    <n v="242"/>
    <x v="6"/>
    <s v="Dawkins"/>
    <x v="45"/>
    <x v="11"/>
    <s v="Training"/>
    <m/>
    <m/>
    <m/>
    <m/>
    <n v="5"/>
    <n v="54.651162790697676"/>
    <n v="101.9"/>
    <x v="2"/>
    <m/>
    <m/>
  </r>
  <r>
    <n v="243"/>
    <x v="6"/>
    <s v="Dawkins"/>
    <x v="45"/>
    <x v="1"/>
    <s v="Training"/>
    <m/>
    <m/>
    <m/>
    <m/>
    <n v="5"/>
    <n v="232.55813953488374"/>
    <n v="101.9"/>
    <x v="2"/>
    <m/>
    <m/>
  </r>
  <r>
    <n v="244"/>
    <x v="0"/>
    <s v="Mitchell"/>
    <x v="45"/>
    <x v="4"/>
    <s v="Training"/>
    <s v="No"/>
    <m/>
    <m/>
    <m/>
    <n v="5"/>
    <n v="139.53488372093022"/>
    <n v="83.6"/>
    <x v="3"/>
    <m/>
    <m/>
  </r>
  <r>
    <n v="245"/>
    <x v="0"/>
    <s v="Mitchell"/>
    <x v="45"/>
    <x v="1"/>
    <s v="Training"/>
    <m/>
    <m/>
    <m/>
    <m/>
    <n v="5"/>
    <n v="232.55813953488374"/>
    <n v="83.6"/>
    <x v="2"/>
    <m/>
    <m/>
  </r>
  <r>
    <n v="246"/>
    <x v="0"/>
    <s v="Mitchell"/>
    <x v="45"/>
    <x v="5"/>
    <s v="Training"/>
    <m/>
    <m/>
    <m/>
    <m/>
    <n v="5"/>
    <n v="127.90697674418605"/>
    <n v="83.6"/>
    <x v="4"/>
    <m/>
    <m/>
  </r>
  <r>
    <n v="247"/>
    <x v="4"/>
    <s v="Presbury"/>
    <x v="45"/>
    <x v="7"/>
    <s v="Training"/>
    <m/>
    <m/>
    <m/>
    <m/>
    <n v="3"/>
    <n v="71.428571428571431"/>
    <n v="79.8"/>
    <x v="2"/>
    <m/>
    <m/>
  </r>
  <r>
    <n v="248"/>
    <x v="4"/>
    <s v="Presbury"/>
    <x v="45"/>
    <x v="4"/>
    <s v="Training"/>
    <s v="No"/>
    <m/>
    <m/>
    <m/>
    <n v="4"/>
    <n v="158.19209039548022"/>
    <n v="79.8"/>
    <x v="5"/>
    <m/>
    <m/>
  </r>
  <r>
    <n v="249"/>
    <x v="1"/>
    <s v="Archibold"/>
    <x v="45"/>
    <x v="4"/>
    <s v="Training"/>
    <s v="No"/>
    <m/>
    <m/>
    <m/>
    <n v="5"/>
    <n v="197.67441860465118"/>
    <n v="97.3"/>
    <x v="3"/>
    <m/>
    <m/>
  </r>
  <r>
    <n v="250"/>
    <x v="1"/>
    <s v="Archibold"/>
    <x v="45"/>
    <x v="1"/>
    <s v="Training"/>
    <m/>
    <m/>
    <m/>
    <m/>
    <n v="5"/>
    <n v="209.30232558139537"/>
    <n v="97.3"/>
    <x v="2"/>
    <m/>
    <m/>
  </r>
  <r>
    <n v="251"/>
    <x v="2"/>
    <s v="Webster"/>
    <x v="45"/>
    <x v="4"/>
    <s v="Training"/>
    <s v="No"/>
    <m/>
    <m/>
    <m/>
    <n v="5"/>
    <n v="139.53488372093022"/>
    <n v="83.4"/>
    <x v="3"/>
    <m/>
    <m/>
  </r>
  <r>
    <n v="252"/>
    <x v="2"/>
    <s v="Webster"/>
    <x v="45"/>
    <x v="1"/>
    <s v="Training"/>
    <m/>
    <m/>
    <m/>
    <m/>
    <n v="5"/>
    <n v="209.30232558139537"/>
    <n v="83.4"/>
    <x v="2"/>
    <m/>
    <m/>
  </r>
  <r>
    <n v="253"/>
    <x v="2"/>
    <s v="Webster"/>
    <x v="45"/>
    <x v="5"/>
    <s v="Training"/>
    <m/>
    <m/>
    <m/>
    <m/>
    <n v="5"/>
    <n v="127.90697674418605"/>
    <n v="83.4"/>
    <x v="4"/>
    <m/>
    <m/>
  </r>
  <r>
    <n v="254"/>
    <x v="5"/>
    <s v="McKenzie"/>
    <x v="45"/>
    <x v="7"/>
    <s v="Training"/>
    <m/>
    <m/>
    <m/>
    <m/>
    <n v="3"/>
    <n v="69.230769230769226"/>
    <n v="78.400000000000006"/>
    <x v="2"/>
    <m/>
    <m/>
  </r>
  <r>
    <n v="255"/>
    <x v="5"/>
    <s v="McKenzie"/>
    <x v="45"/>
    <x v="4"/>
    <s v="Training"/>
    <s v="Yes"/>
    <m/>
    <m/>
    <m/>
    <n v="4"/>
    <n v="180.79096045197741"/>
    <n v="78.400000000000006"/>
    <x v="5"/>
    <m/>
    <m/>
  </r>
  <r>
    <n v="256"/>
    <x v="4"/>
    <s v="Presbury"/>
    <x v="46"/>
    <x v="20"/>
    <s v="Training"/>
    <m/>
    <m/>
    <m/>
    <n v="55"/>
    <n v="6"/>
    <n v="827"/>
    <n v="80.400000000000006"/>
    <x v="2"/>
    <m/>
    <m/>
  </r>
  <r>
    <n v="257"/>
    <x v="4"/>
    <s v="Presbury"/>
    <x v="46"/>
    <x v="15"/>
    <s v="Training"/>
    <m/>
    <m/>
    <m/>
    <m/>
    <n v="6"/>
    <n v="143.7125748502994"/>
    <n v="80.400000000000006"/>
    <x v="2"/>
    <m/>
    <m/>
  </r>
  <r>
    <n v="258"/>
    <x v="7"/>
    <s v="Williams"/>
    <x v="46"/>
    <x v="20"/>
    <s v="Training"/>
    <m/>
    <m/>
    <m/>
    <n v="50"/>
    <n v="6"/>
    <n v="827"/>
    <n v="88.5"/>
    <x v="2"/>
    <m/>
    <m/>
  </r>
  <r>
    <n v="259"/>
    <x v="7"/>
    <s v="Williams"/>
    <x v="46"/>
    <x v="15"/>
    <s v="Training"/>
    <m/>
    <m/>
    <m/>
    <m/>
    <n v="6"/>
    <n v="127.90697674418605"/>
    <n v="88.5"/>
    <x v="2"/>
    <m/>
    <m/>
  </r>
  <r>
    <n v="260"/>
    <x v="3"/>
    <s v="Van Velt Hooven"/>
    <x v="47"/>
    <x v="12"/>
    <s v="Training"/>
    <m/>
    <m/>
    <m/>
    <m/>
    <n v="5"/>
    <n v="127.90697674418605"/>
    <n v="90.5"/>
    <x v="2"/>
    <s v="Japan (Pre-Strength day)"/>
    <m/>
  </r>
  <r>
    <n v="261"/>
    <x v="6"/>
    <s v="Dawkins"/>
    <x v="48"/>
    <x v="7"/>
    <s v="Training"/>
    <m/>
    <m/>
    <m/>
    <m/>
    <n v="4"/>
    <n v="124.29378531073446"/>
    <n v="101.6"/>
    <x v="2"/>
    <s v="Sore Knees"/>
    <m/>
  </r>
  <r>
    <n v="262"/>
    <x v="0"/>
    <s v="Mitchell"/>
    <x v="48"/>
    <x v="4"/>
    <s v="Training"/>
    <s v="No"/>
    <m/>
    <m/>
    <m/>
    <n v="5"/>
    <n v="174.41860465116278"/>
    <n v="82.8"/>
    <x v="3"/>
    <m/>
    <m/>
  </r>
  <r>
    <n v="263"/>
    <x v="0"/>
    <s v="Mitchell"/>
    <x v="48"/>
    <x v="11"/>
    <s v="Training"/>
    <m/>
    <m/>
    <m/>
    <m/>
    <n v="5"/>
    <n v="70.930232558139537"/>
    <n v="82.8"/>
    <x v="2"/>
    <m/>
    <m/>
  </r>
  <r>
    <n v="264"/>
    <x v="0"/>
    <s v="Mitchell"/>
    <x v="48"/>
    <x v="9"/>
    <s v="Training"/>
    <m/>
    <m/>
    <m/>
    <m/>
    <n v="5"/>
    <n v="255.81395348837211"/>
    <n v="82.8"/>
    <x v="2"/>
    <m/>
    <m/>
  </r>
  <r>
    <n v="265"/>
    <x v="4"/>
    <s v="Presbury"/>
    <x v="48"/>
    <x v="3"/>
    <s v="Training"/>
    <m/>
    <m/>
    <m/>
    <m/>
    <n v="4"/>
    <n v="73.44632768361582"/>
    <n v="80.599999999999994"/>
    <x v="2"/>
    <m/>
    <m/>
  </r>
  <r>
    <n v="266"/>
    <x v="4"/>
    <s v="Presbury"/>
    <x v="48"/>
    <x v="1"/>
    <s v="Training"/>
    <m/>
    <m/>
    <m/>
    <n v="150"/>
    <n v="5"/>
    <n v="175.2336448598131"/>
    <n v="80.599999999999994"/>
    <x v="2"/>
    <m/>
    <m/>
  </r>
  <r>
    <n v="267"/>
    <x v="4"/>
    <s v="Presbury"/>
    <x v="48"/>
    <x v="1"/>
    <s v="Training"/>
    <m/>
    <m/>
    <m/>
    <n v="140"/>
    <n v="5"/>
    <n v="163.55140186915889"/>
    <m/>
    <x v="2"/>
    <m/>
    <m/>
  </r>
  <r>
    <n v="268"/>
    <x v="1"/>
    <s v="Archibold"/>
    <x v="48"/>
    <x v="13"/>
    <s v="Training"/>
    <m/>
    <m/>
    <m/>
    <m/>
    <n v="5"/>
    <n v="395.34883720930236"/>
    <n v="95.5"/>
    <x v="2"/>
    <s v="Knee Sore"/>
    <m/>
  </r>
  <r>
    <n v="269"/>
    <x v="1"/>
    <s v="Archibold"/>
    <x v="48"/>
    <x v="9"/>
    <s v="Training"/>
    <m/>
    <m/>
    <m/>
    <m/>
    <n v="5"/>
    <n v="353.74149659863946"/>
    <n v="95.5"/>
    <x v="2"/>
    <s v="Knee Sore"/>
    <m/>
  </r>
  <r>
    <n v="270"/>
    <x v="2"/>
    <s v="Webster"/>
    <x v="48"/>
    <x v="14"/>
    <s v="Training"/>
    <m/>
    <m/>
    <m/>
    <m/>
    <n v="4"/>
    <n v="112.99435028248587"/>
    <n v="84"/>
    <x v="8"/>
    <m/>
    <m/>
  </r>
  <r>
    <n v="271"/>
    <x v="2"/>
    <s v="Webster"/>
    <x v="48"/>
    <x v="9"/>
    <s v="Training"/>
    <m/>
    <m/>
    <m/>
    <m/>
    <n v="5"/>
    <n v="244.18604651162792"/>
    <n v="84"/>
    <x v="2"/>
    <m/>
    <m/>
  </r>
  <r>
    <n v="272"/>
    <x v="3"/>
    <s v="Van Velt Hooven"/>
    <x v="48"/>
    <x v="11"/>
    <s v="Training"/>
    <m/>
    <m/>
    <m/>
    <m/>
    <n v="4"/>
    <n v="67.79661016949153"/>
    <n v="90.9"/>
    <x v="2"/>
    <s v="Japan (Strength Day)"/>
    <m/>
  </r>
  <r>
    <n v="273"/>
    <x v="3"/>
    <s v="Van Velt Hooven"/>
    <x v="48"/>
    <x v="4"/>
    <s v="Training"/>
    <s v="No"/>
    <m/>
    <m/>
    <m/>
    <n v="5"/>
    <n v="168.6046511627907"/>
    <n v="90.9"/>
    <x v="10"/>
    <s v="Japan (Strength Day)"/>
    <m/>
  </r>
  <r>
    <n v="274"/>
    <x v="3"/>
    <s v="Van Velt Hooven"/>
    <x v="48"/>
    <x v="1"/>
    <s v="Training"/>
    <m/>
    <m/>
    <m/>
    <m/>
    <n v="5"/>
    <n v="220.93023255813955"/>
    <n v="90.9"/>
    <x v="2"/>
    <s v="Japan (Strength Day)"/>
    <m/>
  </r>
  <r>
    <n v="275"/>
    <x v="5"/>
    <s v="McKenzie"/>
    <x v="48"/>
    <x v="3"/>
    <s v="Training"/>
    <m/>
    <m/>
    <m/>
    <m/>
    <n v="4"/>
    <n v="73.44632768361582"/>
    <n v="79.7"/>
    <x v="2"/>
    <m/>
    <m/>
  </r>
  <r>
    <n v="276"/>
    <x v="7"/>
    <s v="Williams"/>
    <x v="48"/>
    <x v="7"/>
    <s v="Training"/>
    <m/>
    <m/>
    <m/>
    <m/>
    <n v="4"/>
    <n v="84.745762711864401"/>
    <n v="88.1"/>
    <x v="2"/>
    <m/>
    <m/>
  </r>
  <r>
    <n v="277"/>
    <x v="7"/>
    <s v="Williams"/>
    <x v="48"/>
    <x v="1"/>
    <s v="Training"/>
    <m/>
    <m/>
    <m/>
    <m/>
    <n v="5"/>
    <n v="197.67441860465118"/>
    <n v="88.1"/>
    <x v="2"/>
    <m/>
    <m/>
  </r>
  <r>
    <n v="278"/>
    <x v="3"/>
    <s v="Van Velt Hooven"/>
    <x v="49"/>
    <x v="19"/>
    <s v="Training"/>
    <m/>
    <m/>
    <m/>
    <m/>
    <n v="3"/>
    <n v="87.912087912087912"/>
    <n v="90.6"/>
    <x v="2"/>
    <s v="Japan (Power 2)"/>
    <m/>
  </r>
  <r>
    <n v="279"/>
    <x v="3"/>
    <s v="Van Velt Hooven"/>
    <x v="49"/>
    <x v="10"/>
    <s v="Training"/>
    <m/>
    <m/>
    <m/>
    <m/>
    <n v="3"/>
    <n v="131.86813186813185"/>
    <n v="90.6"/>
    <x v="2"/>
    <s v="Japan (Power 2)"/>
    <m/>
  </r>
  <r>
    <n v="280"/>
    <x v="3"/>
    <s v="Van Velt Hooven"/>
    <x v="49"/>
    <x v="19"/>
    <s v="Training"/>
    <m/>
    <m/>
    <m/>
    <m/>
    <n v="3"/>
    <n v="87.912087912087912"/>
    <n v="90.6"/>
    <x v="2"/>
    <s v="Japan (Power 2)"/>
    <m/>
  </r>
  <r>
    <n v="281"/>
    <x v="6"/>
    <s v="Dawkins"/>
    <x v="50"/>
    <x v="4"/>
    <s v="Training"/>
    <s v="Yes"/>
    <m/>
    <m/>
    <m/>
    <n v="3"/>
    <n v="247.25274725274724"/>
    <m/>
    <x v="3"/>
    <m/>
    <m/>
  </r>
  <r>
    <n v="282"/>
    <x v="0"/>
    <s v="Mitchell"/>
    <x v="50"/>
    <x v="4"/>
    <s v="Training"/>
    <s v="Yes"/>
    <m/>
    <m/>
    <m/>
    <n v="3"/>
    <n v="189.01098901098899"/>
    <n v="83.3"/>
    <x v="3"/>
    <m/>
    <m/>
  </r>
  <r>
    <n v="283"/>
    <x v="0"/>
    <s v="Mitchell"/>
    <x v="50"/>
    <x v="7"/>
    <s v="Training"/>
    <m/>
    <m/>
    <m/>
    <m/>
    <n v="3"/>
    <n v="109.89010989010988"/>
    <n v="83.3"/>
    <x v="2"/>
    <m/>
    <m/>
  </r>
  <r>
    <n v="284"/>
    <x v="4"/>
    <s v="Presbury"/>
    <x v="50"/>
    <x v="7"/>
    <s v="Training"/>
    <m/>
    <m/>
    <m/>
    <m/>
    <n v="3"/>
    <n v="76.92307692307692"/>
    <n v="81.2"/>
    <x v="2"/>
    <m/>
    <m/>
  </r>
  <r>
    <n v="285"/>
    <x v="4"/>
    <s v="Presbury"/>
    <x v="50"/>
    <x v="4"/>
    <s v="Training"/>
    <s v="No"/>
    <m/>
    <m/>
    <m/>
    <n v="4"/>
    <n v="169.4915254237288"/>
    <n v="81.2"/>
    <x v="5"/>
    <m/>
    <m/>
  </r>
  <r>
    <n v="286"/>
    <x v="4"/>
    <s v="Presbury"/>
    <x v="50"/>
    <x v="1"/>
    <s v="Training"/>
    <m/>
    <m/>
    <m/>
    <m/>
    <m/>
    <n v="162.79069770000001"/>
    <n v="81.2"/>
    <x v="2"/>
    <s v="Left?"/>
    <m/>
  </r>
  <r>
    <n v="287"/>
    <x v="4"/>
    <s v="Presbury"/>
    <x v="50"/>
    <x v="1"/>
    <s v="Training"/>
    <m/>
    <m/>
    <m/>
    <m/>
    <m/>
    <n v="174.41860465116278"/>
    <n v="81.2"/>
    <x v="2"/>
    <s v="Right?"/>
    <m/>
  </r>
  <r>
    <n v="288"/>
    <x v="1"/>
    <s v="Archibold"/>
    <x v="50"/>
    <x v="7"/>
    <s v="Training"/>
    <m/>
    <m/>
    <m/>
    <m/>
    <n v="2"/>
    <n v="128.34224598930481"/>
    <n v="97.2"/>
    <x v="2"/>
    <m/>
    <m/>
  </r>
  <r>
    <n v="289"/>
    <x v="1"/>
    <s v="Archibold"/>
    <x v="50"/>
    <x v="4"/>
    <s v="Training"/>
    <s v="Yes"/>
    <m/>
    <m/>
    <m/>
    <n v="3"/>
    <n v="263.73626373626371"/>
    <n v="97.2"/>
    <x v="3"/>
    <m/>
    <m/>
  </r>
  <r>
    <n v="290"/>
    <x v="2"/>
    <s v="Webster"/>
    <x v="50"/>
    <x v="7"/>
    <s v="Training"/>
    <m/>
    <m/>
    <m/>
    <m/>
    <n v="2"/>
    <n v="106.951871657754"/>
    <n v="83.8"/>
    <x v="2"/>
    <m/>
    <m/>
  </r>
  <r>
    <n v="291"/>
    <x v="2"/>
    <s v="Webster"/>
    <x v="50"/>
    <x v="4"/>
    <s v="Training"/>
    <s v="Yes"/>
    <m/>
    <m/>
    <m/>
    <n v="3"/>
    <n v="164.83516483516482"/>
    <n v="83.8"/>
    <x v="3"/>
    <m/>
    <m/>
  </r>
  <r>
    <n v="292"/>
    <x v="3"/>
    <s v="Van Velt Hooven"/>
    <x v="50"/>
    <x v="0"/>
    <s v="Training"/>
    <s v="Yes"/>
    <m/>
    <m/>
    <m/>
    <n v="4"/>
    <n v="158.19209039548022"/>
    <n v="90.4"/>
    <x v="2"/>
    <s v="Japan (Strength Day)"/>
    <m/>
  </r>
  <r>
    <n v="293"/>
    <x v="3"/>
    <s v="Van Velt Hooven"/>
    <x v="50"/>
    <x v="1"/>
    <s v="Training"/>
    <m/>
    <m/>
    <m/>
    <m/>
    <n v="5"/>
    <n v="255.81395348837211"/>
    <n v="90.4"/>
    <x v="2"/>
    <s v="2up1dn, Japan, (Strength Day)"/>
    <m/>
  </r>
  <r>
    <n v="294"/>
    <x v="5"/>
    <s v="McKenzie"/>
    <x v="50"/>
    <x v="7"/>
    <s v="Training"/>
    <m/>
    <m/>
    <m/>
    <m/>
    <n v="3"/>
    <n v="69.230769230769226"/>
    <n v="79.2"/>
    <x v="2"/>
    <m/>
    <m/>
  </r>
  <r>
    <n v="295"/>
    <x v="5"/>
    <s v="McKenzie"/>
    <x v="50"/>
    <x v="4"/>
    <s v="Training"/>
    <s v="No"/>
    <m/>
    <m/>
    <m/>
    <n v="4"/>
    <n v="169.4915254237288"/>
    <n v="79.2"/>
    <x v="12"/>
    <m/>
    <m/>
  </r>
  <r>
    <n v="296"/>
    <x v="7"/>
    <s v="Williams"/>
    <x v="50"/>
    <x v="4"/>
    <s v="Training"/>
    <s v="No"/>
    <m/>
    <m/>
    <m/>
    <n v="4"/>
    <n v="169.4915254237288"/>
    <n v="88.3"/>
    <x v="3"/>
    <m/>
    <m/>
  </r>
  <r>
    <n v="297"/>
    <x v="0"/>
    <s v="Mitchell"/>
    <x v="51"/>
    <x v="20"/>
    <s v="Training"/>
    <m/>
    <m/>
    <m/>
    <n v="60"/>
    <n v="6"/>
    <n v="982"/>
    <n v="82.9"/>
    <x v="2"/>
    <s v="Left?"/>
    <m/>
  </r>
  <r>
    <n v="298"/>
    <x v="0"/>
    <s v="Mitchell"/>
    <x v="51"/>
    <x v="20"/>
    <s v="Training"/>
    <m/>
    <m/>
    <m/>
    <n v="60"/>
    <n v="6"/>
    <n v="1014"/>
    <n v="82.9"/>
    <x v="2"/>
    <s v="Right?"/>
    <m/>
  </r>
  <r>
    <n v="299"/>
    <x v="4"/>
    <s v="Presbury"/>
    <x v="51"/>
    <x v="13"/>
    <s v="Training"/>
    <m/>
    <m/>
    <m/>
    <m/>
    <n v="5"/>
    <n v="325.58139534883719"/>
    <n v="82"/>
    <x v="2"/>
    <m/>
    <m/>
  </r>
  <r>
    <n v="300"/>
    <x v="4"/>
    <s v="Presbury"/>
    <x v="51"/>
    <x v="21"/>
    <s v="Training"/>
    <m/>
    <m/>
    <m/>
    <m/>
    <n v="5"/>
    <n v="46.511627906976742"/>
    <n v="82"/>
    <x v="2"/>
    <m/>
    <m/>
  </r>
  <r>
    <n v="301"/>
    <x v="4"/>
    <s v="Presbury"/>
    <x v="51"/>
    <x v="20"/>
    <s v="Training"/>
    <m/>
    <m/>
    <m/>
    <n v="55"/>
    <n v="6"/>
    <n v="827"/>
    <n v="82"/>
    <x v="2"/>
    <m/>
    <m/>
  </r>
  <r>
    <n v="302"/>
    <x v="1"/>
    <s v="Archibold"/>
    <x v="51"/>
    <x v="22"/>
    <s v="Training"/>
    <m/>
    <m/>
    <m/>
    <m/>
    <n v="5"/>
    <n v="69.767441860465112"/>
    <n v="95.8"/>
    <x v="2"/>
    <m/>
    <m/>
  </r>
  <r>
    <n v="303"/>
    <x v="1"/>
    <s v="Archibold"/>
    <x v="51"/>
    <x v="20"/>
    <s v="Training"/>
    <m/>
    <m/>
    <m/>
    <n v="80"/>
    <n v="6"/>
    <n v="1329"/>
    <n v="95.8"/>
    <x v="2"/>
    <s v="Left?"/>
    <m/>
  </r>
  <r>
    <n v="304"/>
    <x v="1"/>
    <s v="Archibold"/>
    <x v="51"/>
    <x v="20"/>
    <s v="Training"/>
    <m/>
    <m/>
    <m/>
    <n v="80"/>
    <n v="6"/>
    <n v="1591"/>
    <n v="95.8"/>
    <x v="2"/>
    <s v="Right?"/>
    <m/>
  </r>
  <r>
    <n v="305"/>
    <x v="2"/>
    <s v="Webster"/>
    <x v="51"/>
    <x v="22"/>
    <s v="Training"/>
    <m/>
    <m/>
    <m/>
    <m/>
    <n v="5"/>
    <n v="104.65116279069768"/>
    <n v="82.8"/>
    <x v="2"/>
    <m/>
    <m/>
  </r>
  <r>
    <n v="306"/>
    <x v="2"/>
    <s v="Webster"/>
    <x v="51"/>
    <x v="20"/>
    <s v="Training"/>
    <m/>
    <m/>
    <m/>
    <n v="60"/>
    <n v="6"/>
    <n v="900"/>
    <n v="82.8"/>
    <x v="2"/>
    <m/>
    <m/>
  </r>
  <r>
    <n v="307"/>
    <x v="3"/>
    <s v="Van Velt Hooven"/>
    <x v="51"/>
    <x v="3"/>
    <s v="Training"/>
    <m/>
    <m/>
    <m/>
    <m/>
    <n v="3"/>
    <n v="104.39560439560439"/>
    <n v="89.4"/>
    <x v="2"/>
    <s v="Japan (Power 2)"/>
    <m/>
  </r>
  <r>
    <n v="308"/>
    <x v="5"/>
    <s v="McKenzie"/>
    <x v="51"/>
    <x v="21"/>
    <s v="Training"/>
    <m/>
    <m/>
    <m/>
    <m/>
    <n v="5"/>
    <n v="58.139534883720934"/>
    <n v="78.8"/>
    <x v="2"/>
    <m/>
    <m/>
  </r>
  <r>
    <n v="309"/>
    <x v="5"/>
    <s v="McKenzie"/>
    <x v="51"/>
    <x v="20"/>
    <s v="Training"/>
    <m/>
    <m/>
    <m/>
    <n v="30"/>
    <n v="6"/>
    <n v="377"/>
    <n v="78.8"/>
    <x v="2"/>
    <s v="Left?"/>
    <m/>
  </r>
  <r>
    <n v="310"/>
    <x v="5"/>
    <s v="McKenzie"/>
    <x v="51"/>
    <x v="20"/>
    <s v="Training"/>
    <m/>
    <m/>
    <m/>
    <n v="30"/>
    <n v="6"/>
    <n v="448"/>
    <n v="78.8"/>
    <x v="2"/>
    <s v="Right?"/>
    <m/>
  </r>
  <r>
    <n v="311"/>
    <x v="7"/>
    <s v="Williams"/>
    <x v="51"/>
    <x v="15"/>
    <s v="Training"/>
    <m/>
    <m/>
    <m/>
    <m/>
    <n v="5"/>
    <n v="151.16279069767441"/>
    <n v="88.6"/>
    <x v="2"/>
    <m/>
    <m/>
  </r>
  <r>
    <n v="312"/>
    <x v="7"/>
    <s v="Williams"/>
    <x v="51"/>
    <x v="20"/>
    <s v="Training"/>
    <m/>
    <m/>
    <m/>
    <n v="55"/>
    <n v="6"/>
    <n v="930"/>
    <n v="88.6"/>
    <x v="2"/>
    <m/>
    <m/>
  </r>
  <r>
    <n v="313"/>
    <x v="0"/>
    <s v="Mitchell"/>
    <x v="52"/>
    <x v="3"/>
    <s v="Training"/>
    <m/>
    <m/>
    <m/>
    <m/>
    <n v="3"/>
    <n v="109.89010989010988"/>
    <n v="83.1"/>
    <x v="2"/>
    <m/>
    <m/>
  </r>
  <r>
    <n v="314"/>
    <x v="0"/>
    <s v="Mitchell"/>
    <x v="52"/>
    <x v="4"/>
    <s v="Training"/>
    <s v="No"/>
    <m/>
    <m/>
    <m/>
    <m/>
    <n v="160"/>
    <n v="83.1"/>
    <x v="3"/>
    <s v="3-2-1 (15sec)"/>
    <m/>
  </r>
  <r>
    <n v="315"/>
    <x v="4"/>
    <s v="Presbury"/>
    <x v="52"/>
    <x v="3"/>
    <s v="Training"/>
    <m/>
    <m/>
    <m/>
    <m/>
    <n v="3"/>
    <n v="87.912087912087912"/>
    <n v="81.400000000000006"/>
    <x v="2"/>
    <m/>
    <m/>
  </r>
  <r>
    <n v="316"/>
    <x v="4"/>
    <s v="Presbury"/>
    <x v="52"/>
    <x v="1"/>
    <s v="Training"/>
    <m/>
    <m/>
    <m/>
    <m/>
    <n v="5"/>
    <n v="186.04651162790697"/>
    <n v="81.400000000000006"/>
    <x v="2"/>
    <m/>
    <m/>
  </r>
  <r>
    <n v="317"/>
    <x v="1"/>
    <s v="Archibold"/>
    <x v="52"/>
    <x v="3"/>
    <s v="Training"/>
    <m/>
    <m/>
    <m/>
    <m/>
    <n v="3"/>
    <n v="142.85714285714286"/>
    <n v="95.9"/>
    <x v="2"/>
    <m/>
    <m/>
  </r>
  <r>
    <n v="318"/>
    <x v="2"/>
    <s v="Webster"/>
    <x v="52"/>
    <x v="3"/>
    <s v="Training"/>
    <m/>
    <m/>
    <m/>
    <m/>
    <n v="3"/>
    <n v="109.89010989010988"/>
    <n v="84.1"/>
    <x v="2"/>
    <m/>
    <m/>
  </r>
  <r>
    <n v="319"/>
    <x v="2"/>
    <s v="Webster"/>
    <x v="52"/>
    <x v="4"/>
    <s v="Training"/>
    <s v="Yes"/>
    <m/>
    <m/>
    <m/>
    <m/>
    <n v="140"/>
    <n v="84.1"/>
    <x v="3"/>
    <s v="3-2-1 (15sec) "/>
    <m/>
  </r>
  <r>
    <n v="320"/>
    <x v="3"/>
    <s v="Van Velt Hooven"/>
    <x v="52"/>
    <x v="23"/>
    <s v="Training"/>
    <m/>
    <m/>
    <m/>
    <n v="102"/>
    <n v="4"/>
    <n v="115.77752553916004"/>
    <n v="89.6"/>
    <x v="2"/>
    <s v="Japan (Power 1)"/>
    <m/>
  </r>
  <r>
    <n v="321"/>
    <x v="3"/>
    <s v="Van Velt Hooven"/>
    <x v="52"/>
    <x v="20"/>
    <s v="Training"/>
    <m/>
    <m/>
    <m/>
    <m/>
    <n v="6"/>
    <n v="77.844311377245518"/>
    <n v="89.6"/>
    <x v="2"/>
    <s v="Japan (Power 1)"/>
    <m/>
  </r>
  <r>
    <n v="322"/>
    <x v="5"/>
    <s v="McKenzie"/>
    <x v="52"/>
    <x v="3"/>
    <s v="Training"/>
    <m/>
    <m/>
    <m/>
    <m/>
    <n v="1"/>
    <n v="70"/>
    <n v="79.400000000000006"/>
    <x v="2"/>
    <s v="Primer"/>
    <m/>
  </r>
  <r>
    <n v="323"/>
    <x v="5"/>
    <s v="McKenzie"/>
    <x v="52"/>
    <x v="24"/>
    <s v="Training"/>
    <m/>
    <m/>
    <m/>
    <m/>
    <n v="2"/>
    <n v="53.475935828876999"/>
    <n v="79.400000000000006"/>
    <x v="2"/>
    <s v="Primer"/>
    <m/>
  </r>
  <r>
    <n v="324"/>
    <x v="7"/>
    <s v="Williams"/>
    <x v="52"/>
    <x v="7"/>
    <s v="Training"/>
    <m/>
    <m/>
    <m/>
    <m/>
    <n v="3"/>
    <n v="98.901098901098891"/>
    <n v="88.4"/>
    <x v="2"/>
    <m/>
    <m/>
  </r>
  <r>
    <n v="325"/>
    <x v="7"/>
    <s v="Williams"/>
    <x v="52"/>
    <x v="1"/>
    <s v="Training"/>
    <m/>
    <m/>
    <m/>
    <m/>
    <n v="5"/>
    <n v="232.55813953488374"/>
    <n v="88.4"/>
    <x v="2"/>
    <m/>
    <m/>
  </r>
  <r>
    <n v="326"/>
    <x v="3"/>
    <s v="Van Velt Hooven"/>
    <x v="53"/>
    <x v="3"/>
    <s v="Training"/>
    <m/>
    <m/>
    <m/>
    <n v="110"/>
    <n v="4"/>
    <n v="124.85811577752554"/>
    <n v="89.8"/>
    <x v="2"/>
    <s v="Japan (Power 2)"/>
    <m/>
  </r>
  <r>
    <n v="327"/>
    <x v="6"/>
    <s v="Dawkins"/>
    <x v="54"/>
    <x v="4"/>
    <s v="Training"/>
    <s v="Yes"/>
    <m/>
    <m/>
    <m/>
    <n v="2"/>
    <n v="213.903743315508"/>
    <n v="101.2"/>
    <x v="3"/>
    <m/>
    <m/>
  </r>
  <r>
    <n v="328"/>
    <x v="6"/>
    <s v="Dawkins"/>
    <x v="54"/>
    <x v="7"/>
    <s v="Training"/>
    <m/>
    <m/>
    <m/>
    <m/>
    <n v="2"/>
    <n v="106.951871657754"/>
    <n v="101.2"/>
    <x v="2"/>
    <m/>
    <m/>
  </r>
  <r>
    <n v="329"/>
    <x v="0"/>
    <s v="Mitchell"/>
    <x v="54"/>
    <x v="4"/>
    <s v="Training"/>
    <s v="Yes"/>
    <m/>
    <m/>
    <m/>
    <n v="2"/>
    <n v="192.51336898395721"/>
    <n v="83.9"/>
    <x v="3"/>
    <m/>
    <m/>
  </r>
  <r>
    <n v="330"/>
    <x v="0"/>
    <s v="Mitchell"/>
    <x v="54"/>
    <x v="7"/>
    <s v="Training"/>
    <m/>
    <m/>
    <m/>
    <m/>
    <n v="2"/>
    <n v="112.29946524064171"/>
    <n v="83.9"/>
    <x v="2"/>
    <m/>
    <m/>
  </r>
  <r>
    <n v="331"/>
    <x v="0"/>
    <s v="Mitchell"/>
    <x v="54"/>
    <x v="20"/>
    <s v="Training"/>
    <m/>
    <m/>
    <m/>
    <n v="60"/>
    <n v="5"/>
    <n v="1181"/>
    <n v="83.9"/>
    <x v="2"/>
    <s v="Left?"/>
    <m/>
  </r>
  <r>
    <n v="332"/>
    <x v="0"/>
    <s v="Mitchell"/>
    <x v="54"/>
    <x v="20"/>
    <s v="Training"/>
    <m/>
    <m/>
    <m/>
    <n v="60"/>
    <n v="5"/>
    <n v="1285"/>
    <n v="83.9"/>
    <x v="2"/>
    <s v="Right?"/>
    <m/>
  </r>
  <r>
    <n v="333"/>
    <x v="4"/>
    <s v="Presbury"/>
    <x v="54"/>
    <x v="4"/>
    <s v="Training"/>
    <s v="Yes"/>
    <m/>
    <m/>
    <m/>
    <n v="2"/>
    <n v="181.81818181818181"/>
    <n v="81.099999999999994"/>
    <x v="5"/>
    <m/>
    <m/>
  </r>
  <r>
    <n v="334"/>
    <x v="4"/>
    <s v="Presbury"/>
    <x v="54"/>
    <x v="7"/>
    <s v="Training"/>
    <m/>
    <m/>
    <m/>
    <m/>
    <n v="2"/>
    <n v="85.561497326203209"/>
    <n v="81.099999999999994"/>
    <x v="2"/>
    <m/>
    <m/>
  </r>
  <r>
    <n v="335"/>
    <x v="1"/>
    <s v="Archibold"/>
    <x v="54"/>
    <x v="7"/>
    <s v="Training"/>
    <m/>
    <m/>
    <m/>
    <m/>
    <n v="2"/>
    <n v="128.34224598930481"/>
    <n v="95.9"/>
    <x v="2"/>
    <m/>
    <m/>
  </r>
  <r>
    <n v="336"/>
    <x v="1"/>
    <s v="Archibold"/>
    <x v="54"/>
    <x v="13"/>
    <s v="Training"/>
    <m/>
    <m/>
    <m/>
    <m/>
    <n v="6"/>
    <n v="790.4191616766467"/>
    <n v="95.9"/>
    <x v="2"/>
    <m/>
    <m/>
  </r>
  <r>
    <n v="337"/>
    <x v="1"/>
    <s v="Archibold"/>
    <x v="54"/>
    <x v="13"/>
    <s v="Training"/>
    <m/>
    <m/>
    <m/>
    <m/>
    <m/>
    <n v="480"/>
    <n v="95.9"/>
    <x v="2"/>
    <s v="3-2-1 Cluster"/>
    <m/>
  </r>
  <r>
    <n v="338"/>
    <x v="2"/>
    <s v="Webster"/>
    <x v="54"/>
    <x v="4"/>
    <s v="Training"/>
    <s v="Yes"/>
    <m/>
    <m/>
    <m/>
    <n v="2"/>
    <n v="171.12299465240642"/>
    <n v="84"/>
    <x v="3"/>
    <m/>
    <m/>
  </r>
  <r>
    <n v="339"/>
    <x v="2"/>
    <s v="Webster"/>
    <x v="54"/>
    <x v="7"/>
    <s v="Training"/>
    <m/>
    <m/>
    <m/>
    <m/>
    <n v="2"/>
    <n v="112.29946524064171"/>
    <n v="84"/>
    <x v="2"/>
    <m/>
    <m/>
  </r>
  <r>
    <n v="340"/>
    <x v="2"/>
    <s v="Webster"/>
    <x v="54"/>
    <x v="20"/>
    <s v="Training"/>
    <m/>
    <m/>
    <m/>
    <n v="60"/>
    <n v="5"/>
    <n v="850"/>
    <n v="84"/>
    <x v="2"/>
    <m/>
    <m/>
  </r>
  <r>
    <n v="341"/>
    <x v="5"/>
    <s v="McKenzie"/>
    <x v="54"/>
    <x v="25"/>
    <s v="Training"/>
    <m/>
    <m/>
    <m/>
    <m/>
    <n v="2"/>
    <n v="69.518716577540104"/>
    <n v="78.099999999999994"/>
    <x v="2"/>
    <s v="Primer"/>
    <m/>
  </r>
  <r>
    <n v="342"/>
    <x v="7"/>
    <s v="Williams"/>
    <x v="54"/>
    <x v="4"/>
    <s v="Training"/>
    <s v="Yes"/>
    <m/>
    <m/>
    <m/>
    <n v="2"/>
    <n v="192.51336898395721"/>
    <n v="88.6"/>
    <x v="3"/>
    <m/>
    <m/>
  </r>
  <r>
    <n v="343"/>
    <x v="6"/>
    <s v="Dawkins"/>
    <x v="55"/>
    <x v="20"/>
    <s v="Training"/>
    <m/>
    <m/>
    <m/>
    <n v="60"/>
    <n v="5"/>
    <n v="1360"/>
    <n v="100.4"/>
    <x v="2"/>
    <s v="Left?"/>
    <m/>
  </r>
  <r>
    <n v="344"/>
    <x v="6"/>
    <s v="Dawkins"/>
    <x v="55"/>
    <x v="20"/>
    <s v="Training"/>
    <m/>
    <m/>
    <m/>
    <n v="60"/>
    <n v="5"/>
    <n v="1383"/>
    <n v="100.4"/>
    <x v="2"/>
    <s v="Right?"/>
    <m/>
  </r>
  <r>
    <n v="345"/>
    <x v="4"/>
    <s v="Presbury"/>
    <x v="55"/>
    <x v="13"/>
    <s v="Training"/>
    <m/>
    <m/>
    <m/>
    <m/>
    <n v="5"/>
    <n v="348.83720930232556"/>
    <n v="82.1"/>
    <x v="2"/>
    <m/>
    <m/>
  </r>
  <r>
    <n v="346"/>
    <x v="4"/>
    <s v="Presbury"/>
    <x v="55"/>
    <x v="20"/>
    <s v="Training"/>
    <m/>
    <m/>
    <m/>
    <n v="65"/>
    <n v="6"/>
    <n v="1031"/>
    <n v="82.1"/>
    <x v="2"/>
    <s v="Left?"/>
    <m/>
  </r>
  <r>
    <n v="347"/>
    <x v="4"/>
    <s v="Presbury"/>
    <x v="55"/>
    <x v="20"/>
    <s v="Training"/>
    <m/>
    <m/>
    <m/>
    <n v="65"/>
    <n v="6"/>
    <n v="1071"/>
    <n v="82.1"/>
    <x v="2"/>
    <s v="Right?"/>
    <m/>
  </r>
  <r>
    <n v="348"/>
    <x v="1"/>
    <s v="Archibold"/>
    <x v="55"/>
    <x v="20"/>
    <s v="Training"/>
    <m/>
    <m/>
    <m/>
    <n v="80"/>
    <n v="5"/>
    <n v="1159"/>
    <n v="95.6"/>
    <x v="2"/>
    <s v="Left?"/>
    <m/>
  </r>
  <r>
    <n v="349"/>
    <x v="1"/>
    <s v="Archibold"/>
    <x v="55"/>
    <x v="20"/>
    <s v="Training"/>
    <m/>
    <m/>
    <m/>
    <n v="80"/>
    <n v="5"/>
    <n v="1200"/>
    <n v="95.6"/>
    <x v="2"/>
    <s v="Right?"/>
    <m/>
  </r>
  <r>
    <n v="350"/>
    <x v="1"/>
    <s v="Archibold"/>
    <x v="55"/>
    <x v="22"/>
    <s v="Training"/>
    <m/>
    <m/>
    <m/>
    <m/>
    <n v="5"/>
    <n v="116.27906976744187"/>
    <n v="95.6"/>
    <x v="2"/>
    <m/>
    <m/>
  </r>
  <r>
    <n v="351"/>
    <x v="2"/>
    <s v="Webster"/>
    <x v="55"/>
    <x v="22"/>
    <s v="Training"/>
    <m/>
    <m/>
    <m/>
    <m/>
    <n v="5"/>
    <n v="116.27906976744187"/>
    <n v="83.9"/>
    <x v="2"/>
    <m/>
    <m/>
  </r>
  <r>
    <n v="352"/>
    <x v="7"/>
    <s v="Williams"/>
    <x v="55"/>
    <x v="15"/>
    <s v="Training"/>
    <m/>
    <m/>
    <m/>
    <m/>
    <n v="5"/>
    <n v="186.04651162790697"/>
    <n v="87.8"/>
    <x v="2"/>
    <m/>
    <m/>
  </r>
  <r>
    <n v="353"/>
    <x v="7"/>
    <s v="Williams"/>
    <x v="55"/>
    <x v="20"/>
    <s v="Training"/>
    <m/>
    <m/>
    <m/>
    <n v="65"/>
    <n v="6"/>
    <n v="1265"/>
    <n v="87.8"/>
    <x v="2"/>
    <s v="Left?"/>
    <m/>
  </r>
  <r>
    <n v="354"/>
    <x v="7"/>
    <s v="Williams"/>
    <x v="55"/>
    <x v="20"/>
    <s v="Training"/>
    <m/>
    <m/>
    <m/>
    <n v="65"/>
    <n v="6"/>
    <n v="1190"/>
    <n v="87.8"/>
    <x v="2"/>
    <s v="Right?"/>
    <m/>
  </r>
  <r>
    <n v="355"/>
    <x v="6"/>
    <s v="Dawkins"/>
    <x v="56"/>
    <x v="4"/>
    <s v="Training"/>
    <s v="No"/>
    <m/>
    <m/>
    <m/>
    <n v="4"/>
    <n v="203.38983050847457"/>
    <m/>
    <x v="3"/>
    <m/>
    <m/>
  </r>
  <r>
    <n v="356"/>
    <x v="6"/>
    <s v="Dawkins"/>
    <x v="56"/>
    <x v="3"/>
    <s v="Training"/>
    <m/>
    <m/>
    <m/>
    <m/>
    <n v="4"/>
    <n v="124.29378531073446"/>
    <m/>
    <x v="2"/>
    <m/>
    <m/>
  </r>
  <r>
    <n v="357"/>
    <x v="0"/>
    <s v="Mitchell"/>
    <x v="56"/>
    <x v="3"/>
    <s v="Training"/>
    <m/>
    <m/>
    <m/>
    <m/>
    <n v="2"/>
    <n v="117.64705882352941"/>
    <n v="82.7"/>
    <x v="2"/>
    <m/>
    <m/>
  </r>
  <r>
    <n v="358"/>
    <x v="0"/>
    <s v="Mitchell"/>
    <x v="56"/>
    <x v="4"/>
    <s v="Training"/>
    <s v="No"/>
    <m/>
    <m/>
    <m/>
    <m/>
    <n v="160"/>
    <n v="82.7"/>
    <x v="3"/>
    <s v="3-2-1 (15sec)"/>
    <m/>
  </r>
  <r>
    <n v="359"/>
    <x v="4"/>
    <s v="Presbury"/>
    <x v="56"/>
    <x v="4"/>
    <s v="Training"/>
    <s v="Yes"/>
    <m/>
    <m/>
    <m/>
    <n v="2"/>
    <n v="192.51336898395721"/>
    <n v="82.7"/>
    <x v="5"/>
    <m/>
    <m/>
  </r>
  <r>
    <n v="360"/>
    <x v="4"/>
    <s v="Presbury"/>
    <x v="56"/>
    <x v="3"/>
    <s v="Training"/>
    <m/>
    <m/>
    <m/>
    <m/>
    <n v="3"/>
    <n v="82.417582417582409"/>
    <n v="82.7"/>
    <x v="2"/>
    <m/>
    <m/>
  </r>
  <r>
    <n v="361"/>
    <x v="1"/>
    <s v="Archibold"/>
    <x v="56"/>
    <x v="3"/>
    <s v="Training"/>
    <m/>
    <m/>
    <m/>
    <m/>
    <n v="2"/>
    <n v="128.34224598930481"/>
    <n v="96.3"/>
    <x v="2"/>
    <m/>
    <m/>
  </r>
  <r>
    <n v="362"/>
    <x v="2"/>
    <s v="Webster"/>
    <x v="56"/>
    <x v="4"/>
    <s v="Training"/>
    <s v="Yes"/>
    <m/>
    <m/>
    <m/>
    <m/>
    <n v="130"/>
    <n v="83.6"/>
    <x v="3"/>
    <s v="3-2-1 (15sec) "/>
    <m/>
  </r>
  <r>
    <n v="363"/>
    <x v="7"/>
    <s v="Williams"/>
    <x v="56"/>
    <x v="4"/>
    <s v="Training"/>
    <s v="Yes"/>
    <m/>
    <m/>
    <m/>
    <n v="2"/>
    <n v="181.81818181818181"/>
    <n v="88.5"/>
    <x v="3"/>
    <m/>
    <m/>
  </r>
  <r>
    <n v="364"/>
    <x v="7"/>
    <s v="Williams"/>
    <x v="56"/>
    <x v="3"/>
    <s v="Training"/>
    <m/>
    <m/>
    <m/>
    <m/>
    <n v="3"/>
    <n v="98.901098901098891"/>
    <n v="88.5"/>
    <x v="2"/>
    <m/>
    <m/>
  </r>
  <r>
    <n v="365"/>
    <x v="3"/>
    <s v="Van Velt Hooven"/>
    <x v="57"/>
    <x v="12"/>
    <s v="Training"/>
    <m/>
    <m/>
    <m/>
    <m/>
    <n v="5"/>
    <n v="93.023255813953483"/>
    <m/>
    <x v="2"/>
    <s v="Japan (Pre-Strength day)"/>
    <m/>
  </r>
  <r>
    <n v="366"/>
    <x v="0"/>
    <s v="Mitchell"/>
    <x v="58"/>
    <x v="4"/>
    <s v="Test"/>
    <m/>
    <s v="1 Rep Test"/>
    <s v="Max Strength (WK10)"/>
    <n v="185"/>
    <n v="1"/>
    <n v="185"/>
    <n v="82.3"/>
    <x v="3"/>
    <m/>
    <s v="&lt;190"/>
  </r>
  <r>
    <n v="367"/>
    <x v="1"/>
    <s v="Archibald"/>
    <x v="58"/>
    <x v="4"/>
    <s v="Test"/>
    <m/>
    <s v="1 Rep Test"/>
    <s v="Max Strength (WK10)"/>
    <s v="Knee"/>
    <m/>
    <m/>
    <n v="96"/>
    <x v="3"/>
    <m/>
    <s v="Knee"/>
  </r>
  <r>
    <n v="368"/>
    <x v="2"/>
    <s v="Webster"/>
    <x v="58"/>
    <x v="4"/>
    <s v="Test"/>
    <m/>
    <s v="1 Rep Test"/>
    <s v="Max Strength (WK10)"/>
    <m/>
    <m/>
    <n v="170"/>
    <n v="83.8"/>
    <x v="3"/>
    <m/>
    <m/>
  </r>
  <r>
    <n v="369"/>
    <x v="3"/>
    <s v="Van Velt Hooven"/>
    <x v="58"/>
    <x v="4"/>
    <s v="Test"/>
    <m/>
    <s v="1 Rep Test"/>
    <s v="Max Strength (WK10)"/>
    <m/>
    <m/>
    <m/>
    <m/>
    <x v="3"/>
    <s v="Japan"/>
    <s v="(Japan)"/>
  </r>
  <r>
    <n v="370"/>
    <x v="7"/>
    <s v="Williams"/>
    <x v="58"/>
    <x v="4"/>
    <s v="Test"/>
    <m/>
    <s v="1 Rep Test"/>
    <s v="Max Strength (WK10)"/>
    <n v="170"/>
    <n v="3"/>
    <n v="186.8131868131868"/>
    <n v="88.5"/>
    <x v="3"/>
    <m/>
    <s v="(170 x 3 Reps)"/>
  </r>
  <r>
    <n v="371"/>
    <x v="5"/>
    <s v="Mackenzie"/>
    <x v="58"/>
    <x v="4"/>
    <s v="Test"/>
    <m/>
    <s v="1 Rep Test"/>
    <s v="Max Strength (WK10)"/>
    <m/>
    <m/>
    <n v="150"/>
    <n v="78.099999999999994"/>
    <x v="3"/>
    <s v="45cm"/>
    <s v="(45cm)"/>
  </r>
  <r>
    <n v="372"/>
    <x v="8"/>
    <s v="Sheppard"/>
    <x v="58"/>
    <x v="4"/>
    <s v="Test"/>
    <m/>
    <s v="1 Rep Test"/>
    <s v="Max Strength (WK10)"/>
    <m/>
    <n v="3"/>
    <n v="137.36263736263737"/>
    <n v="78.7"/>
    <x v="3"/>
    <m/>
    <s v="(3 Reps)"/>
  </r>
  <r>
    <n v="373"/>
    <x v="0"/>
    <s v="Mitchell"/>
    <x v="58"/>
    <x v="3"/>
    <s v="Test"/>
    <m/>
    <s v="1 Rep Test"/>
    <s v="Max Strength (WK10)"/>
    <m/>
    <m/>
    <n v="115"/>
    <m/>
    <x v="2"/>
    <m/>
    <m/>
  </r>
  <r>
    <n v="374"/>
    <x v="2"/>
    <s v="Webster"/>
    <x v="58"/>
    <x v="3"/>
    <s v="Test"/>
    <m/>
    <s v="1 Rep Test"/>
    <s v="Max Strength (WK10)"/>
    <m/>
    <m/>
    <n v="120"/>
    <m/>
    <x v="2"/>
    <m/>
    <m/>
  </r>
  <r>
    <n v="375"/>
    <x v="3"/>
    <s v="Van Velt Hooven"/>
    <x v="58"/>
    <x v="3"/>
    <s v="Test"/>
    <m/>
    <s v="1 Rep Test"/>
    <s v="Max Strength (WK10)"/>
    <m/>
    <m/>
    <n v="110"/>
    <m/>
    <x v="2"/>
    <m/>
    <m/>
  </r>
  <r>
    <n v="376"/>
    <x v="7"/>
    <s v="Williams"/>
    <x v="58"/>
    <x v="3"/>
    <s v="Test"/>
    <m/>
    <s v="1 Rep Test"/>
    <s v="Max Strength (WK10)"/>
    <m/>
    <m/>
    <n v="90"/>
    <m/>
    <x v="2"/>
    <m/>
    <m/>
  </r>
  <r>
    <n v="377"/>
    <x v="1"/>
    <s v="Archibald"/>
    <x v="58"/>
    <x v="3"/>
    <s v="Test"/>
    <m/>
    <s v="1 Rep Test"/>
    <s v="Max Strength (WK10)"/>
    <m/>
    <m/>
    <n v="145"/>
    <m/>
    <x v="2"/>
    <m/>
    <m/>
  </r>
  <r>
    <n v="378"/>
    <x v="5"/>
    <s v="Mackenzie"/>
    <x v="58"/>
    <x v="3"/>
    <s v="Test"/>
    <m/>
    <s v="1 Rep Test"/>
    <s v="Max Strength (WK10)"/>
    <m/>
    <m/>
    <n v="80"/>
    <m/>
    <x v="2"/>
    <m/>
    <m/>
  </r>
  <r>
    <n v="379"/>
    <x v="8"/>
    <s v="Sheppard"/>
    <x v="58"/>
    <x v="3"/>
    <s v="Test"/>
    <m/>
    <s v="1 Rep Test"/>
    <s v="Max Strength (WK10)"/>
    <m/>
    <m/>
    <n v="85"/>
    <m/>
    <x v="2"/>
    <m/>
    <m/>
  </r>
  <r>
    <n v="380"/>
    <x v="0"/>
    <s v="Mitchell"/>
    <x v="58"/>
    <x v="4"/>
    <s v="Test"/>
    <s v="Yes"/>
    <m/>
    <m/>
    <m/>
    <n v="1"/>
    <n v="195"/>
    <m/>
    <x v="3"/>
    <m/>
    <m/>
  </r>
  <r>
    <n v="381"/>
    <x v="0"/>
    <s v="Mitchell"/>
    <x v="58"/>
    <x v="3"/>
    <s v="Test"/>
    <m/>
    <m/>
    <m/>
    <m/>
    <m/>
    <n v="115"/>
    <m/>
    <x v="2"/>
    <m/>
    <m/>
  </r>
  <r>
    <n v="382"/>
    <x v="1"/>
    <s v="Archibold"/>
    <x v="58"/>
    <x v="4"/>
    <s v="Test"/>
    <s v="Yes"/>
    <m/>
    <m/>
    <m/>
    <n v="4"/>
    <n v="192.09039548022599"/>
    <m/>
    <x v="3"/>
    <s v="Knee"/>
    <m/>
  </r>
  <r>
    <n v="383"/>
    <x v="1"/>
    <s v="Archibold"/>
    <x v="58"/>
    <x v="3"/>
    <s v="Test"/>
    <m/>
    <m/>
    <m/>
    <m/>
    <m/>
    <n v="145"/>
    <m/>
    <x v="2"/>
    <s v="Knee"/>
    <m/>
  </r>
  <r>
    <n v="384"/>
    <x v="2"/>
    <s v="Webster"/>
    <x v="58"/>
    <x v="3"/>
    <s v="Test"/>
    <m/>
    <m/>
    <m/>
    <n v="120"/>
    <n v="1"/>
    <n v="120"/>
    <m/>
    <x v="2"/>
    <m/>
    <m/>
  </r>
  <r>
    <n v="385"/>
    <x v="2"/>
    <s v="Webster"/>
    <x v="58"/>
    <x v="4"/>
    <s v="Test"/>
    <s v="Yes"/>
    <m/>
    <m/>
    <m/>
    <m/>
    <n v="170"/>
    <m/>
    <x v="3"/>
    <s v="Spotted"/>
    <m/>
  </r>
  <r>
    <n v="386"/>
    <x v="4"/>
    <s v="Presbury"/>
    <x v="59"/>
    <x v="3"/>
    <s v="Test"/>
    <m/>
    <m/>
    <m/>
    <n v="85"/>
    <n v="1"/>
    <n v="85"/>
    <n v="81.5"/>
    <x v="2"/>
    <m/>
    <m/>
  </r>
  <r>
    <n v="387"/>
    <x v="4"/>
    <s v="Presbury"/>
    <x v="59"/>
    <x v="4"/>
    <s v="Test"/>
    <s v="Yes"/>
    <m/>
    <m/>
    <m/>
    <n v="3"/>
    <n v="138"/>
    <n v="81.5"/>
    <x v="3"/>
    <m/>
    <m/>
  </r>
  <r>
    <n v="388"/>
    <x v="3"/>
    <s v="Van Velt Hooven"/>
    <x v="59"/>
    <x v="23"/>
    <s v="Training"/>
    <m/>
    <m/>
    <m/>
    <m/>
    <n v="3"/>
    <n v="93.406593406593402"/>
    <n v="89.4"/>
    <x v="2"/>
    <s v="Japan (Power 1)"/>
    <m/>
  </r>
  <r>
    <n v="389"/>
    <x v="5"/>
    <s v="McKenzie"/>
    <x v="59"/>
    <x v="3"/>
    <s v="Test"/>
    <m/>
    <m/>
    <m/>
    <n v="80"/>
    <n v="1"/>
    <n v="80"/>
    <n v="79.099999999999994"/>
    <x v="2"/>
    <m/>
    <m/>
  </r>
  <r>
    <n v="390"/>
    <x v="5"/>
    <s v="McKenzie"/>
    <x v="59"/>
    <x v="4"/>
    <s v="Test"/>
    <s v="No"/>
    <m/>
    <m/>
    <n v="150"/>
    <n v="1"/>
    <n v="150"/>
    <n v="79.099999999999994"/>
    <x v="12"/>
    <m/>
    <m/>
  </r>
  <r>
    <n v="391"/>
    <x v="7"/>
    <s v="Williams"/>
    <x v="59"/>
    <x v="3"/>
    <s v="Test"/>
    <m/>
    <m/>
    <m/>
    <n v="90"/>
    <n v="1"/>
    <n v="90"/>
    <n v="87.4"/>
    <x v="2"/>
    <m/>
    <m/>
  </r>
  <r>
    <n v="392"/>
    <x v="7"/>
    <s v="Williams"/>
    <x v="59"/>
    <x v="4"/>
    <s v="Test"/>
    <s v="Yes"/>
    <m/>
    <m/>
    <m/>
    <n v="3"/>
    <n v="186.8131868131868"/>
    <n v="87.4"/>
    <x v="3"/>
    <m/>
    <m/>
  </r>
  <r>
    <n v="393"/>
    <x v="4"/>
    <s v="Presbury"/>
    <x v="60"/>
    <x v="26"/>
    <s v="Training"/>
    <m/>
    <m/>
    <m/>
    <m/>
    <s v="Length"/>
    <n v="24"/>
    <m/>
    <x v="2"/>
    <m/>
    <m/>
  </r>
  <r>
    <n v="394"/>
    <x v="3"/>
    <s v="Van Velt Hooven"/>
    <x v="60"/>
    <x v="11"/>
    <s v="Training"/>
    <m/>
    <m/>
    <m/>
    <m/>
    <n v="3"/>
    <n v="71.428571428571431"/>
    <m/>
    <x v="2"/>
    <s v="Japan (Strength Day)"/>
    <m/>
  </r>
  <r>
    <n v="395"/>
    <x v="3"/>
    <s v="Van Velt Hooven"/>
    <x v="60"/>
    <x v="1"/>
    <s v="Training"/>
    <m/>
    <m/>
    <m/>
    <m/>
    <n v="5"/>
    <n v="290.69767441860466"/>
    <m/>
    <x v="2"/>
    <s v="2up1dn, Japan, (Strength Day)"/>
    <m/>
  </r>
  <r>
    <n v="396"/>
    <x v="7"/>
    <s v="Williams"/>
    <x v="60"/>
    <x v="26"/>
    <s v="Training"/>
    <m/>
    <m/>
    <m/>
    <m/>
    <s v="1 Length"/>
    <n v="24"/>
    <m/>
    <x v="2"/>
    <m/>
    <m/>
  </r>
  <r>
    <n v="397"/>
    <x v="3"/>
    <s v="Van Velt Hooven"/>
    <x v="61"/>
    <x v="0"/>
    <s v="Training"/>
    <s v="Yes"/>
    <m/>
    <m/>
    <m/>
    <n v="3"/>
    <n v="175.82417582417582"/>
    <m/>
    <x v="2"/>
    <s v="Japan (Power 2)"/>
    <m/>
  </r>
  <r>
    <n v="398"/>
    <x v="3"/>
    <s v="Van Velt Hooven"/>
    <x v="61"/>
    <x v="3"/>
    <s v="Training"/>
    <m/>
    <m/>
    <m/>
    <m/>
    <n v="3"/>
    <n v="109.89010989010988"/>
    <m/>
    <x v="2"/>
    <s v="Japan (Power 2)"/>
    <m/>
  </r>
  <r>
    <n v="399"/>
    <x v="4"/>
    <s v="Presbury"/>
    <x v="62"/>
    <x v="4"/>
    <s v="Training"/>
    <s v="Yes"/>
    <m/>
    <m/>
    <m/>
    <n v="2"/>
    <n v="181.81818181818181"/>
    <m/>
    <x v="5"/>
    <m/>
    <m/>
  </r>
  <r>
    <n v="400"/>
    <x v="4"/>
    <s v="Presbury"/>
    <x v="63"/>
    <x v="7"/>
    <s v="Training"/>
    <m/>
    <m/>
    <m/>
    <m/>
    <n v="2"/>
    <n v="85.561497326203209"/>
    <m/>
    <x v="2"/>
    <m/>
    <m/>
  </r>
  <r>
    <n v="401"/>
    <x v="7"/>
    <s v="Williams"/>
    <x v="63"/>
    <x v="7"/>
    <s v="Training"/>
    <m/>
    <m/>
    <m/>
    <m/>
    <n v="2"/>
    <n v="90.909090909090907"/>
    <m/>
    <x v="2"/>
    <m/>
    <m/>
  </r>
  <r>
    <n v="402"/>
    <x v="3"/>
    <s v="Van Velt Hooven"/>
    <x v="64"/>
    <x v="7"/>
    <s v="Training"/>
    <m/>
    <m/>
    <m/>
    <m/>
    <n v="3"/>
    <n v="87.912087912087912"/>
    <n v="90.9"/>
    <x v="2"/>
    <s v="Japan (Power 2)"/>
    <m/>
  </r>
  <r>
    <n v="403"/>
    <x v="3"/>
    <s v="Van Velt Hooven"/>
    <x v="64"/>
    <x v="1"/>
    <s v="Training"/>
    <m/>
    <m/>
    <m/>
    <m/>
    <n v="3"/>
    <n v="109.89010989010988"/>
    <n v="90.9"/>
    <x v="2"/>
    <s v="Japan (Power 2)"/>
    <m/>
  </r>
  <r>
    <n v="404"/>
    <x v="3"/>
    <s v="Van Velt Hooven"/>
    <x v="65"/>
    <x v="12"/>
    <s v="Training"/>
    <m/>
    <m/>
    <m/>
    <m/>
    <n v="5"/>
    <n v="93.023255813953483"/>
    <m/>
    <x v="2"/>
    <s v="Japan (Pre-Strength day)"/>
    <m/>
  </r>
  <r>
    <n v="405"/>
    <x v="3"/>
    <s v="Van Velt Hooven"/>
    <x v="66"/>
    <x v="4"/>
    <s v="Training"/>
    <s v="No"/>
    <m/>
    <m/>
    <m/>
    <n v="2"/>
    <n v="213.903743315508"/>
    <m/>
    <x v="13"/>
    <s v="Japan (Strength Day)"/>
    <m/>
  </r>
  <r>
    <n v="406"/>
    <x v="3"/>
    <s v="Van Velt Hooven"/>
    <x v="67"/>
    <x v="7"/>
    <s v="Training"/>
    <m/>
    <m/>
    <m/>
    <m/>
    <n v="2"/>
    <n v="106.951871657754"/>
    <n v="90.5"/>
    <x v="2"/>
    <s v="Japan (Power 2)"/>
    <m/>
  </r>
  <r>
    <n v="407"/>
    <x v="3"/>
    <s v="Van Velt Hooven"/>
    <x v="67"/>
    <x v="3"/>
    <s v="Training"/>
    <m/>
    <m/>
    <m/>
    <m/>
    <n v="2"/>
    <n v="106.951871657754"/>
    <n v="90.5"/>
    <x v="2"/>
    <s v="Japan (Power 2)"/>
    <m/>
  </r>
  <r>
    <n v="408"/>
    <x v="3"/>
    <s v="Van Velt Hooven"/>
    <x v="67"/>
    <x v="1"/>
    <s v="Training"/>
    <m/>
    <m/>
    <m/>
    <m/>
    <n v="3"/>
    <n v="109.89010989010988"/>
    <n v="90.5"/>
    <x v="2"/>
    <s v="Japan (Power 2)"/>
    <m/>
  </r>
  <r>
    <n v="409"/>
    <x v="6"/>
    <s v="Dawkins"/>
    <x v="68"/>
    <x v="14"/>
    <s v="Training"/>
    <m/>
    <m/>
    <m/>
    <m/>
    <n v="8"/>
    <n v="101.9108280254777"/>
    <n v="102.5"/>
    <x v="8"/>
    <m/>
    <m/>
  </r>
  <r>
    <n v="410"/>
    <x v="6"/>
    <s v="Dawkins"/>
    <x v="68"/>
    <x v="27"/>
    <s v="Training"/>
    <m/>
    <m/>
    <m/>
    <m/>
    <n v="10"/>
    <n v="13.605442176870749"/>
    <m/>
    <x v="2"/>
    <m/>
    <m/>
  </r>
  <r>
    <n v="411"/>
    <x v="6"/>
    <s v="Dawkins"/>
    <x v="68"/>
    <x v="13"/>
    <s v="Training"/>
    <m/>
    <m/>
    <m/>
    <m/>
    <n v="10"/>
    <n v="544.21768707483"/>
    <n v="102.5"/>
    <x v="2"/>
    <m/>
    <m/>
  </r>
  <r>
    <n v="412"/>
    <x v="6"/>
    <s v="Dawkins"/>
    <x v="68"/>
    <x v="11"/>
    <s v="Training"/>
    <m/>
    <m/>
    <m/>
    <m/>
    <n v="10"/>
    <n v="63.945578231292515"/>
    <n v="102.5"/>
    <x v="2"/>
    <m/>
    <m/>
  </r>
  <r>
    <n v="413"/>
    <x v="0"/>
    <s v="Mitchell"/>
    <x v="68"/>
    <x v="14"/>
    <s v="Training"/>
    <m/>
    <m/>
    <m/>
    <m/>
    <n v="8"/>
    <n v="101.9108280254777"/>
    <n v="82.5"/>
    <x v="8"/>
    <m/>
    <m/>
  </r>
  <r>
    <n v="414"/>
    <x v="0"/>
    <s v="Mitchell"/>
    <x v="68"/>
    <x v="13"/>
    <s v="Training"/>
    <m/>
    <m/>
    <m/>
    <m/>
    <n v="10"/>
    <n v="476.1904761904762"/>
    <n v="82.5"/>
    <x v="2"/>
    <m/>
    <m/>
  </r>
  <r>
    <n v="415"/>
    <x v="0"/>
    <s v="Mitchell"/>
    <x v="68"/>
    <x v="11"/>
    <s v="Training"/>
    <m/>
    <m/>
    <m/>
    <m/>
    <n v="10"/>
    <n v="63.945578231292515"/>
    <n v="82.5"/>
    <x v="2"/>
    <m/>
    <m/>
  </r>
  <r>
    <n v="416"/>
    <x v="4"/>
    <s v="Presbury"/>
    <x v="68"/>
    <x v="5"/>
    <s v="Training"/>
    <m/>
    <m/>
    <m/>
    <m/>
    <n v="5"/>
    <n v="131.3953488372093"/>
    <n v="82"/>
    <x v="14"/>
    <m/>
    <m/>
  </r>
  <r>
    <n v="417"/>
    <x v="1"/>
    <s v="Archibold"/>
    <x v="68"/>
    <x v="14"/>
    <s v="Training"/>
    <m/>
    <m/>
    <m/>
    <m/>
    <n v="8"/>
    <n v="127.38853503184713"/>
    <n v="95.4"/>
    <x v="8"/>
    <m/>
    <m/>
  </r>
  <r>
    <n v="418"/>
    <x v="1"/>
    <s v="Archibold"/>
    <x v="68"/>
    <x v="13"/>
    <s v="Training"/>
    <m/>
    <m/>
    <m/>
    <m/>
    <n v="10"/>
    <n v="435.37414965986397"/>
    <n v="95.4"/>
    <x v="2"/>
    <m/>
    <m/>
  </r>
  <r>
    <n v="419"/>
    <x v="1"/>
    <s v="Archibold"/>
    <x v="68"/>
    <x v="11"/>
    <s v="Training"/>
    <m/>
    <m/>
    <m/>
    <m/>
    <n v="10"/>
    <n v="63.945578231292515"/>
    <n v="95.4"/>
    <x v="2"/>
    <m/>
    <m/>
  </r>
  <r>
    <n v="420"/>
    <x v="2"/>
    <s v="Webster"/>
    <x v="68"/>
    <x v="2"/>
    <s v="Training"/>
    <m/>
    <m/>
    <m/>
    <m/>
    <n v="5"/>
    <n v="37.209302325581397"/>
    <n v="83.5"/>
    <x v="2"/>
    <m/>
    <m/>
  </r>
  <r>
    <n v="421"/>
    <x v="2"/>
    <s v="Webster"/>
    <x v="68"/>
    <x v="14"/>
    <s v="Training"/>
    <m/>
    <m/>
    <m/>
    <m/>
    <n v="8"/>
    <n v="101.9108280254777"/>
    <n v="83.5"/>
    <x v="8"/>
    <m/>
    <m/>
  </r>
  <r>
    <n v="422"/>
    <x v="2"/>
    <s v="Webster"/>
    <x v="68"/>
    <x v="27"/>
    <s v="Training"/>
    <m/>
    <m/>
    <m/>
    <m/>
    <n v="10"/>
    <n v="29.931972789115648"/>
    <n v="83.5"/>
    <x v="2"/>
    <m/>
    <m/>
  </r>
  <r>
    <n v="423"/>
    <x v="2"/>
    <s v="Webster"/>
    <x v="68"/>
    <x v="13"/>
    <s v="Training"/>
    <m/>
    <m/>
    <m/>
    <m/>
    <n v="10"/>
    <n v="435.37414965986397"/>
    <n v="83.5"/>
    <x v="2"/>
    <m/>
    <m/>
  </r>
  <r>
    <n v="424"/>
    <x v="2"/>
    <s v="Webster"/>
    <x v="68"/>
    <x v="11"/>
    <s v="Training"/>
    <m/>
    <m/>
    <m/>
    <m/>
    <n v="10"/>
    <n v="63.945578231292515"/>
    <n v="83.5"/>
    <x v="2"/>
    <m/>
    <m/>
  </r>
  <r>
    <n v="425"/>
    <x v="5"/>
    <s v="McKenzie"/>
    <x v="68"/>
    <x v="14"/>
    <s v="Training"/>
    <m/>
    <m/>
    <m/>
    <m/>
    <n v="8"/>
    <n v="76.43312101910827"/>
    <n v="78.7"/>
    <x v="2"/>
    <m/>
    <m/>
  </r>
  <r>
    <n v="426"/>
    <x v="5"/>
    <s v="McKenzie"/>
    <x v="68"/>
    <x v="27"/>
    <s v="Training"/>
    <m/>
    <m/>
    <m/>
    <m/>
    <n v="10"/>
    <n v="20.408163265306122"/>
    <n v="78.7"/>
    <x v="2"/>
    <m/>
    <m/>
  </r>
  <r>
    <n v="427"/>
    <x v="5"/>
    <s v="McKenzie"/>
    <x v="68"/>
    <x v="13"/>
    <s v="Training"/>
    <m/>
    <m/>
    <m/>
    <m/>
    <n v="10"/>
    <n v="340.13605442176873"/>
    <n v="78.7"/>
    <x v="2"/>
    <m/>
    <m/>
  </r>
  <r>
    <n v="428"/>
    <x v="5"/>
    <s v="McKenzie"/>
    <x v="68"/>
    <x v="11"/>
    <s v="Training"/>
    <m/>
    <m/>
    <m/>
    <m/>
    <n v="10"/>
    <n v="34.013605442176875"/>
    <n v="78.7"/>
    <x v="2"/>
    <m/>
    <m/>
  </r>
  <r>
    <n v="429"/>
    <x v="6"/>
    <s v="Dawkins"/>
    <x v="69"/>
    <x v="5"/>
    <s v="Training"/>
    <m/>
    <m/>
    <m/>
    <m/>
    <m/>
    <n v="209.30232558139537"/>
    <n v="102.7"/>
    <x v="14"/>
    <m/>
    <m/>
  </r>
  <r>
    <n v="430"/>
    <x v="6"/>
    <s v="Dawkins"/>
    <x v="69"/>
    <x v="28"/>
    <s v="Training"/>
    <m/>
    <m/>
    <m/>
    <m/>
    <m/>
    <n v="100"/>
    <n v="102.7"/>
    <x v="2"/>
    <m/>
    <m/>
  </r>
  <r>
    <n v="431"/>
    <x v="0"/>
    <s v="Mitchell"/>
    <x v="69"/>
    <x v="5"/>
    <s v="Training"/>
    <m/>
    <m/>
    <m/>
    <m/>
    <m/>
    <n v="174.41860465116278"/>
    <n v="83.1"/>
    <x v="4"/>
    <m/>
    <m/>
  </r>
  <r>
    <n v="432"/>
    <x v="1"/>
    <s v="Archibold"/>
    <x v="69"/>
    <x v="5"/>
    <s v="Training"/>
    <m/>
    <m/>
    <m/>
    <m/>
    <m/>
    <n v="209.30232558139537"/>
    <n v="93"/>
    <x v="14"/>
    <m/>
    <m/>
  </r>
  <r>
    <n v="433"/>
    <x v="1"/>
    <s v="Archibold"/>
    <x v="69"/>
    <x v="28"/>
    <s v="Training"/>
    <m/>
    <m/>
    <m/>
    <m/>
    <m/>
    <n v="131.7365269461078"/>
    <n v="93"/>
    <x v="2"/>
    <m/>
    <m/>
  </r>
  <r>
    <n v="434"/>
    <x v="5"/>
    <s v="McKenzie"/>
    <x v="69"/>
    <x v="28"/>
    <s v="Training"/>
    <m/>
    <m/>
    <m/>
    <m/>
    <m/>
    <n v="58.139534883720934"/>
    <n v="78.900000000000006"/>
    <x v="2"/>
    <m/>
    <m/>
  </r>
  <r>
    <n v="435"/>
    <x v="7"/>
    <s v="Williams"/>
    <x v="69"/>
    <x v="5"/>
    <s v="Training"/>
    <m/>
    <m/>
    <m/>
    <m/>
    <m/>
    <n v="154.65116279069767"/>
    <n v="88.6"/>
    <x v="14"/>
    <m/>
    <m/>
  </r>
  <r>
    <n v="436"/>
    <x v="6"/>
    <s v="Dawkins"/>
    <x v="70"/>
    <x v="4"/>
    <s v="Training"/>
    <s v="No"/>
    <m/>
    <m/>
    <m/>
    <m/>
    <n v="216.56050955414011"/>
    <n v="103"/>
    <x v="3"/>
    <m/>
    <m/>
  </r>
  <r>
    <n v="437"/>
    <x v="6"/>
    <s v="Dawkins"/>
    <x v="70"/>
    <x v="10"/>
    <s v="Training"/>
    <m/>
    <m/>
    <m/>
    <m/>
    <m/>
    <n v="127.90697674418605"/>
    <n v="103"/>
    <x v="2"/>
    <m/>
    <m/>
  </r>
  <r>
    <n v="438"/>
    <x v="6"/>
    <s v="Dawkins"/>
    <x v="70"/>
    <x v="1"/>
    <s v="Training"/>
    <m/>
    <m/>
    <m/>
    <m/>
    <m/>
    <n v="217.68707482993199"/>
    <n v="103"/>
    <x v="2"/>
    <m/>
    <m/>
  </r>
  <r>
    <n v="439"/>
    <x v="0"/>
    <s v="Mitchell"/>
    <x v="70"/>
    <x v="4"/>
    <s v="Training"/>
    <s v="No"/>
    <m/>
    <m/>
    <m/>
    <m/>
    <n v="130"/>
    <n v="82.5"/>
    <x v="3"/>
    <s v="Cluster"/>
    <m/>
  </r>
  <r>
    <n v="440"/>
    <x v="0"/>
    <s v="Mitchell"/>
    <x v="70"/>
    <x v="14"/>
    <s v="Training"/>
    <m/>
    <m/>
    <m/>
    <m/>
    <m/>
    <n v="104.65116279069768"/>
    <n v="82.5"/>
    <x v="8"/>
    <m/>
    <m/>
  </r>
  <r>
    <n v="441"/>
    <x v="0"/>
    <s v="Mitchell"/>
    <x v="70"/>
    <x v="10"/>
    <s v="Training"/>
    <m/>
    <m/>
    <m/>
    <m/>
    <m/>
    <n v="116.27906976744187"/>
    <n v="82.5"/>
    <x v="2"/>
    <m/>
    <m/>
  </r>
  <r>
    <n v="442"/>
    <x v="0"/>
    <s v="Mitchell"/>
    <x v="70"/>
    <x v="3"/>
    <s v="Training"/>
    <m/>
    <m/>
    <m/>
    <m/>
    <m/>
    <n v="87.912087912087912"/>
    <n v="82.5"/>
    <x v="2"/>
    <m/>
    <m/>
  </r>
  <r>
    <n v="443"/>
    <x v="0"/>
    <s v="Mitchell"/>
    <x v="70"/>
    <x v="1"/>
    <s v="Training"/>
    <m/>
    <m/>
    <m/>
    <m/>
    <m/>
    <n v="217.68707482993199"/>
    <n v="82.5"/>
    <x v="2"/>
    <m/>
    <m/>
  </r>
  <r>
    <n v="444"/>
    <x v="4"/>
    <s v="Presbury"/>
    <x v="70"/>
    <x v="29"/>
    <s v="Training"/>
    <m/>
    <m/>
    <m/>
    <m/>
    <m/>
    <n v="25.477707006369425"/>
    <n v="82.6"/>
    <x v="2"/>
    <m/>
    <m/>
  </r>
  <r>
    <n v="445"/>
    <x v="4"/>
    <s v="Presbury"/>
    <x v="70"/>
    <x v="12"/>
    <s v="Training"/>
    <m/>
    <m/>
    <m/>
    <m/>
    <m/>
    <n v="95.238095238095241"/>
    <n v="82.6"/>
    <x v="2"/>
    <m/>
    <m/>
  </r>
  <r>
    <n v="446"/>
    <x v="1"/>
    <s v="Archibold"/>
    <x v="70"/>
    <x v="0"/>
    <s v="Training"/>
    <m/>
    <m/>
    <m/>
    <m/>
    <m/>
    <n v="140"/>
    <n v="94.5"/>
    <x v="8"/>
    <s v="Cluster"/>
    <m/>
  </r>
  <r>
    <n v="447"/>
    <x v="1"/>
    <s v="Archibold"/>
    <x v="70"/>
    <x v="10"/>
    <s v="Training"/>
    <m/>
    <m/>
    <m/>
    <m/>
    <m/>
    <n v="139.53488372093022"/>
    <n v="94.5"/>
    <x v="2"/>
    <m/>
    <m/>
  </r>
  <r>
    <n v="448"/>
    <x v="1"/>
    <s v="Archibold"/>
    <x v="70"/>
    <x v="3"/>
    <s v="Training"/>
    <m/>
    <m/>
    <m/>
    <m/>
    <m/>
    <n v="109.89010989010988"/>
    <n v="94.5"/>
    <x v="2"/>
    <m/>
    <m/>
  </r>
  <r>
    <n v="449"/>
    <x v="1"/>
    <s v="Archibold"/>
    <x v="70"/>
    <x v="1"/>
    <s v="Training"/>
    <m/>
    <m/>
    <m/>
    <m/>
    <m/>
    <n v="217.68707482993199"/>
    <n v="94.5"/>
    <x v="2"/>
    <m/>
    <m/>
  </r>
  <r>
    <n v="450"/>
    <x v="5"/>
    <s v="McKenzie"/>
    <x v="70"/>
    <x v="4"/>
    <s v="Training"/>
    <s v="No"/>
    <m/>
    <m/>
    <m/>
    <m/>
    <n v="120"/>
    <n v="79.3"/>
    <x v="5"/>
    <s v="Cluster"/>
    <m/>
  </r>
  <r>
    <n v="451"/>
    <x v="5"/>
    <s v="McKenzie"/>
    <x v="70"/>
    <x v="10"/>
    <s v="Training"/>
    <m/>
    <m/>
    <m/>
    <m/>
    <m/>
    <n v="93.023255813953483"/>
    <n v="79.3"/>
    <x v="2"/>
    <m/>
    <m/>
  </r>
  <r>
    <n v="452"/>
    <x v="5"/>
    <s v="McKenzie"/>
    <x v="70"/>
    <x v="14"/>
    <s v="Training"/>
    <m/>
    <m/>
    <m/>
    <m/>
    <m/>
    <n v="87.20930232558139"/>
    <n v="79.3"/>
    <x v="2"/>
    <m/>
    <m/>
  </r>
  <r>
    <n v="453"/>
    <x v="5"/>
    <s v="McKenzie"/>
    <x v="70"/>
    <x v="3"/>
    <s v="Training"/>
    <m/>
    <m/>
    <m/>
    <m/>
    <m/>
    <n v="65.934065934065927"/>
    <n v="79.3"/>
    <x v="2"/>
    <m/>
    <m/>
  </r>
  <r>
    <n v="454"/>
    <x v="5"/>
    <s v="McKenzie"/>
    <x v="70"/>
    <x v="1"/>
    <s v="Training"/>
    <m/>
    <m/>
    <m/>
    <m/>
    <m/>
    <n v="163.26530612244898"/>
    <n v="79.3"/>
    <x v="2"/>
    <m/>
    <m/>
  </r>
  <r>
    <n v="455"/>
    <x v="6"/>
    <s v="Dawkins"/>
    <x v="71"/>
    <x v="13"/>
    <s v="Training"/>
    <m/>
    <m/>
    <m/>
    <n v="525"/>
    <n v="5"/>
    <n v="613.31775700934577"/>
    <n v="103"/>
    <x v="2"/>
    <s v="Pin 5"/>
    <m/>
  </r>
  <r>
    <n v="456"/>
    <x v="6"/>
    <s v="Dawkins"/>
    <x v="71"/>
    <x v="14"/>
    <s v="Training"/>
    <m/>
    <m/>
    <m/>
    <m/>
    <m/>
    <n v="111.8"/>
    <n v="103"/>
    <x v="8"/>
    <m/>
    <m/>
  </r>
  <r>
    <n v="457"/>
    <x v="6"/>
    <s v="Dawkins"/>
    <x v="71"/>
    <x v="27"/>
    <s v="Training"/>
    <m/>
    <m/>
    <m/>
    <m/>
    <m/>
    <n v="19.047619047619047"/>
    <n v="103"/>
    <x v="2"/>
    <m/>
    <m/>
  </r>
  <r>
    <n v="458"/>
    <x v="6"/>
    <s v="Dawkins"/>
    <x v="71"/>
    <x v="2"/>
    <s v="Training"/>
    <m/>
    <m/>
    <m/>
    <m/>
    <m/>
    <n v="27.906976744186046"/>
    <n v="103"/>
    <x v="2"/>
    <m/>
    <m/>
  </r>
  <r>
    <n v="459"/>
    <x v="6"/>
    <s v="Dawkins"/>
    <x v="71"/>
    <x v="11"/>
    <s v="Training"/>
    <m/>
    <m/>
    <m/>
    <m/>
    <m/>
    <n v="63.945578231292515"/>
    <n v="103"/>
    <x v="2"/>
    <m/>
    <m/>
  </r>
  <r>
    <n v="460"/>
    <x v="0"/>
    <s v="Mitchell"/>
    <x v="71"/>
    <x v="13"/>
    <s v="Training"/>
    <m/>
    <m/>
    <m/>
    <n v="400"/>
    <n v="6"/>
    <n v="481.34777376654637"/>
    <n v="83.2"/>
    <x v="2"/>
    <s v="Pin 6"/>
    <m/>
  </r>
  <r>
    <n v="461"/>
    <x v="0"/>
    <s v="Mitchell"/>
    <x v="71"/>
    <x v="11"/>
    <s v="Training"/>
    <m/>
    <m/>
    <m/>
    <m/>
    <m/>
    <n v="63.945578231292515"/>
    <n v="83.2"/>
    <x v="2"/>
    <m/>
    <m/>
  </r>
  <r>
    <n v="462"/>
    <x v="4"/>
    <s v="Presbury"/>
    <x v="71"/>
    <x v="4"/>
    <s v="Training"/>
    <s v="No"/>
    <m/>
    <m/>
    <m/>
    <m/>
    <n v="144.38502673796791"/>
    <n v="82.1"/>
    <x v="5"/>
    <m/>
    <m/>
  </r>
  <r>
    <n v="463"/>
    <x v="4"/>
    <s v="Presbury"/>
    <x v="71"/>
    <x v="5"/>
    <s v="Training"/>
    <m/>
    <m/>
    <m/>
    <m/>
    <m/>
    <n v="148.83720930232559"/>
    <n v="82.1"/>
    <x v="14"/>
    <m/>
    <m/>
  </r>
  <r>
    <n v="464"/>
    <x v="4"/>
    <s v="Presbury"/>
    <x v="71"/>
    <x v="7"/>
    <s v="Training"/>
    <m/>
    <m/>
    <m/>
    <m/>
    <m/>
    <n v="87.20930232558139"/>
    <n v="82.1"/>
    <x v="2"/>
    <m/>
    <m/>
  </r>
  <r>
    <n v="465"/>
    <x v="4"/>
    <s v="Presbury"/>
    <x v="71"/>
    <x v="30"/>
    <s v="Training"/>
    <m/>
    <m/>
    <m/>
    <m/>
    <m/>
    <n v="127.90697674418605"/>
    <n v="82.1"/>
    <x v="2"/>
    <m/>
    <m/>
  </r>
  <r>
    <n v="466"/>
    <x v="4"/>
    <s v="Presbury"/>
    <x v="71"/>
    <x v="1"/>
    <s v="Training"/>
    <m/>
    <m/>
    <m/>
    <m/>
    <m/>
    <n v="186.04651162790697"/>
    <n v="82.1"/>
    <x v="2"/>
    <m/>
    <m/>
  </r>
  <r>
    <n v="467"/>
    <x v="1"/>
    <s v="Archibold"/>
    <x v="71"/>
    <x v="13"/>
    <s v="Training"/>
    <m/>
    <m/>
    <m/>
    <n v="500"/>
    <n v="10"/>
    <n v="672.04301075268813"/>
    <n v="95.2"/>
    <x v="2"/>
    <s v="Pin 6"/>
    <m/>
  </r>
  <r>
    <n v="468"/>
    <x v="1"/>
    <s v="Archibold"/>
    <x v="71"/>
    <x v="14"/>
    <s v="Training"/>
    <m/>
    <m/>
    <m/>
    <m/>
    <m/>
    <n v="151.16279069767441"/>
    <n v="95.2"/>
    <x v="8"/>
    <m/>
    <m/>
  </r>
  <r>
    <n v="469"/>
    <x v="1"/>
    <s v="Archibold"/>
    <x v="71"/>
    <x v="27"/>
    <s v="Training"/>
    <m/>
    <m/>
    <m/>
    <m/>
    <m/>
    <n v="24.489795918367346"/>
    <n v="95.2"/>
    <x v="2"/>
    <m/>
    <m/>
  </r>
  <r>
    <n v="470"/>
    <x v="1"/>
    <s v="Archibold"/>
    <x v="71"/>
    <x v="11"/>
    <s v="Training"/>
    <m/>
    <m/>
    <m/>
    <m/>
    <m/>
    <n v="54.421768707482997"/>
    <n v="95.2"/>
    <x v="2"/>
    <m/>
    <m/>
  </r>
  <r>
    <n v="471"/>
    <x v="2"/>
    <s v="Webster"/>
    <x v="71"/>
    <x v="13"/>
    <s v="Training"/>
    <m/>
    <m/>
    <m/>
    <n v="380"/>
    <n v="3"/>
    <n v="419.42604856512145"/>
    <n v="83.8"/>
    <x v="2"/>
    <s v="Pin 3.5"/>
    <m/>
  </r>
  <r>
    <n v="472"/>
    <x v="2"/>
    <s v="Webster"/>
    <x v="71"/>
    <x v="14"/>
    <s v="Training"/>
    <m/>
    <m/>
    <m/>
    <m/>
    <m/>
    <n v="104.65116279069768"/>
    <n v="83.8"/>
    <x v="8"/>
    <m/>
    <m/>
  </r>
  <r>
    <n v="473"/>
    <x v="2"/>
    <s v="Webster"/>
    <x v="71"/>
    <x v="27"/>
    <s v="Training"/>
    <m/>
    <m/>
    <m/>
    <m/>
    <m/>
    <n v="29.931972789115648"/>
    <n v="83.8"/>
    <x v="2"/>
    <m/>
    <m/>
  </r>
  <r>
    <n v="474"/>
    <x v="2"/>
    <s v="Webster"/>
    <x v="71"/>
    <x v="2"/>
    <s v="Training"/>
    <m/>
    <m/>
    <m/>
    <m/>
    <m/>
    <n v="37.209302325581397"/>
    <n v="83.8"/>
    <x v="2"/>
    <m/>
    <m/>
  </r>
  <r>
    <n v="475"/>
    <x v="2"/>
    <s v="Webster"/>
    <x v="71"/>
    <x v="11"/>
    <s v="Training"/>
    <m/>
    <m/>
    <m/>
    <m/>
    <m/>
    <n v="63.945578231292515"/>
    <n v="83.8"/>
    <x v="2"/>
    <m/>
    <m/>
  </r>
  <r>
    <n v="476"/>
    <x v="5"/>
    <s v="McKenzie"/>
    <x v="71"/>
    <x v="13"/>
    <s v="Training"/>
    <m/>
    <m/>
    <m/>
    <n v="290"/>
    <n v="8"/>
    <n v="368.95674300254456"/>
    <n v="80.2"/>
    <x v="2"/>
    <s v="Pin 2"/>
    <m/>
  </r>
  <r>
    <n v="477"/>
    <x v="5"/>
    <s v="McKenzie"/>
    <x v="71"/>
    <x v="11"/>
    <s v="Training"/>
    <m/>
    <m/>
    <m/>
    <m/>
    <m/>
    <n v="34.013605442176875"/>
    <n v="80.2"/>
    <x v="2"/>
    <m/>
    <m/>
  </r>
  <r>
    <n v="478"/>
    <x v="7"/>
    <s v="Williams"/>
    <x v="71"/>
    <x v="4"/>
    <s v="Training"/>
    <s v="No"/>
    <m/>
    <m/>
    <m/>
    <m/>
    <n v="153.84615384615384"/>
    <n v="88.2"/>
    <x v="3"/>
    <m/>
    <m/>
  </r>
  <r>
    <n v="479"/>
    <x v="6"/>
    <s v="Dawkins"/>
    <x v="72"/>
    <x v="5"/>
    <s v="Training"/>
    <m/>
    <m/>
    <m/>
    <m/>
    <m/>
    <n v="197.67441860465118"/>
    <m/>
    <x v="14"/>
    <m/>
    <m/>
  </r>
  <r>
    <n v="480"/>
    <x v="6"/>
    <s v="Dawkins"/>
    <x v="72"/>
    <x v="13"/>
    <s v="Training"/>
    <m/>
    <m/>
    <m/>
    <m/>
    <m/>
    <n v="610"/>
    <m/>
    <x v="2"/>
    <m/>
    <m/>
  </r>
  <r>
    <n v="481"/>
    <x v="0"/>
    <s v="Mitchell"/>
    <x v="72"/>
    <x v="5"/>
    <s v="Training"/>
    <m/>
    <m/>
    <m/>
    <m/>
    <m/>
    <n v="174.41860465116278"/>
    <m/>
    <x v="14"/>
    <m/>
    <m/>
  </r>
  <r>
    <n v="482"/>
    <x v="0"/>
    <s v="Mitchell"/>
    <x v="72"/>
    <x v="13"/>
    <s v="Training"/>
    <m/>
    <m/>
    <m/>
    <m/>
    <m/>
    <n v="465"/>
    <m/>
    <x v="2"/>
    <m/>
    <m/>
  </r>
  <r>
    <n v="483"/>
    <x v="1"/>
    <s v="Archibold"/>
    <x v="72"/>
    <x v="13"/>
    <s v="Training"/>
    <m/>
    <m/>
    <m/>
    <m/>
    <m/>
    <n v="680.27210884353747"/>
    <m/>
    <x v="2"/>
    <m/>
    <m/>
  </r>
  <r>
    <n v="484"/>
    <x v="2"/>
    <s v="Webster"/>
    <x v="72"/>
    <x v="13"/>
    <s v="Training"/>
    <m/>
    <m/>
    <m/>
    <m/>
    <m/>
    <n v="417.58241758241758"/>
    <m/>
    <x v="2"/>
    <m/>
    <m/>
  </r>
  <r>
    <n v="485"/>
    <x v="5"/>
    <s v="McKenzie"/>
    <x v="72"/>
    <x v="13"/>
    <s v="Training"/>
    <m/>
    <m/>
    <m/>
    <m/>
    <m/>
    <n v="369.42675159235665"/>
    <m/>
    <x v="2"/>
    <m/>
    <m/>
  </r>
  <r>
    <n v="486"/>
    <x v="7"/>
    <s v="Williams"/>
    <x v="72"/>
    <x v="5"/>
    <s v="Training"/>
    <m/>
    <m/>
    <m/>
    <m/>
    <m/>
    <n v="165.26946107784431"/>
    <m/>
    <x v="14"/>
    <m/>
    <m/>
  </r>
  <r>
    <n v="487"/>
    <x v="6"/>
    <s v="Dawkins"/>
    <x v="73"/>
    <x v="4"/>
    <s v="Training"/>
    <s v="Yes"/>
    <m/>
    <m/>
    <m/>
    <m/>
    <n v="190"/>
    <m/>
    <x v="3"/>
    <s v="3-2-1 (15sec) "/>
    <m/>
  </r>
  <r>
    <n v="488"/>
    <x v="6"/>
    <s v="Dawkins"/>
    <x v="73"/>
    <x v="4"/>
    <s v="Training"/>
    <s v="Yes"/>
    <m/>
    <m/>
    <m/>
    <m/>
    <n v="232.55813953488374"/>
    <m/>
    <x v="3"/>
    <m/>
    <m/>
  </r>
  <r>
    <n v="489"/>
    <x v="6"/>
    <s v="Dawkins"/>
    <x v="73"/>
    <x v="10"/>
    <s v="Training"/>
    <m/>
    <m/>
    <m/>
    <m/>
    <m/>
    <n v="116.27906976744187"/>
    <m/>
    <x v="2"/>
    <m/>
    <m/>
  </r>
  <r>
    <n v="490"/>
    <x v="6"/>
    <s v="Dawkins"/>
    <x v="73"/>
    <x v="3"/>
    <s v="Training"/>
    <m/>
    <m/>
    <m/>
    <m/>
    <m/>
    <n v="109.89010989010988"/>
    <m/>
    <x v="2"/>
    <m/>
    <m/>
  </r>
  <r>
    <n v="491"/>
    <x v="6"/>
    <s v="Dawkins"/>
    <x v="73"/>
    <x v="1"/>
    <s v="Training"/>
    <m/>
    <m/>
    <m/>
    <m/>
    <m/>
    <n v="186.04651162790697"/>
    <m/>
    <x v="2"/>
    <m/>
    <m/>
  </r>
  <r>
    <n v="492"/>
    <x v="0"/>
    <s v="Mitchell"/>
    <x v="73"/>
    <x v="4"/>
    <s v="Training"/>
    <s v="No"/>
    <m/>
    <m/>
    <m/>
    <m/>
    <n v="140"/>
    <m/>
    <x v="3"/>
    <s v="Cluster"/>
    <m/>
  </r>
  <r>
    <n v="493"/>
    <x v="0"/>
    <s v="Mitchell"/>
    <x v="73"/>
    <x v="10"/>
    <s v="Training"/>
    <m/>
    <m/>
    <m/>
    <m/>
    <m/>
    <n v="116.27906976744187"/>
    <m/>
    <x v="2"/>
    <m/>
    <m/>
  </r>
  <r>
    <n v="494"/>
    <x v="0"/>
    <s v="Mitchell"/>
    <x v="73"/>
    <x v="3"/>
    <s v="Training"/>
    <m/>
    <m/>
    <m/>
    <m/>
    <m/>
    <n v="104.39560439560439"/>
    <m/>
    <x v="2"/>
    <m/>
    <m/>
  </r>
  <r>
    <n v="495"/>
    <x v="0"/>
    <s v="Mitchell"/>
    <x v="73"/>
    <x v="1"/>
    <s v="Training"/>
    <m/>
    <m/>
    <m/>
    <m/>
    <m/>
    <n v="225.98870056497174"/>
    <m/>
    <x v="2"/>
    <m/>
    <m/>
  </r>
  <r>
    <n v="496"/>
    <x v="1"/>
    <s v="Archibold"/>
    <x v="73"/>
    <x v="0"/>
    <s v="Training"/>
    <m/>
    <m/>
    <m/>
    <m/>
    <m/>
    <n v="150"/>
    <m/>
    <x v="8"/>
    <s v="Cluster"/>
    <m/>
  </r>
  <r>
    <n v="497"/>
    <x v="1"/>
    <s v="Archibold"/>
    <x v="73"/>
    <x v="0"/>
    <s v="Training"/>
    <s v="No"/>
    <m/>
    <m/>
    <m/>
    <m/>
    <n v="174.41860465116278"/>
    <m/>
    <x v="9"/>
    <m/>
    <m/>
  </r>
  <r>
    <n v="498"/>
    <x v="1"/>
    <s v="Archibold"/>
    <x v="73"/>
    <x v="10"/>
    <s v="Training"/>
    <m/>
    <m/>
    <m/>
    <m/>
    <m/>
    <n v="139.53488372093022"/>
    <m/>
    <x v="2"/>
    <m/>
    <m/>
  </r>
  <r>
    <n v="499"/>
    <x v="1"/>
    <s v="Archibold"/>
    <x v="73"/>
    <x v="3"/>
    <s v="Training"/>
    <m/>
    <m/>
    <m/>
    <m/>
    <m/>
    <n v="120.87912087912088"/>
    <m/>
    <x v="2"/>
    <m/>
    <m/>
  </r>
  <r>
    <n v="500"/>
    <x v="1"/>
    <s v="Archibold"/>
    <x v="73"/>
    <x v="1"/>
    <s v="Training"/>
    <m/>
    <m/>
    <m/>
    <m/>
    <m/>
    <n v="271.18644067796612"/>
    <m/>
    <x v="2"/>
    <m/>
    <m/>
  </r>
  <r>
    <n v="501"/>
    <x v="2"/>
    <s v="Webster"/>
    <x v="73"/>
    <x v="4"/>
    <s v="Training"/>
    <s v="Yes"/>
    <m/>
    <m/>
    <m/>
    <m/>
    <n v="125"/>
    <m/>
    <x v="3"/>
    <s v="3-2-1 (15sec) "/>
    <m/>
  </r>
  <r>
    <n v="502"/>
    <x v="2"/>
    <s v="Webster"/>
    <x v="73"/>
    <x v="10"/>
    <s v="Training"/>
    <m/>
    <m/>
    <m/>
    <m/>
    <m/>
    <n v="116.27906976744187"/>
    <m/>
    <x v="2"/>
    <m/>
    <m/>
  </r>
  <r>
    <n v="503"/>
    <x v="2"/>
    <s v="Webster"/>
    <x v="73"/>
    <x v="3"/>
    <s v="Training"/>
    <m/>
    <m/>
    <m/>
    <m/>
    <m/>
    <n v="104.39560439560439"/>
    <m/>
    <x v="2"/>
    <m/>
    <m/>
  </r>
  <r>
    <n v="504"/>
    <x v="2"/>
    <s v="Webster"/>
    <x v="73"/>
    <x v="1"/>
    <s v="Training"/>
    <m/>
    <m/>
    <m/>
    <m/>
    <m/>
    <n v="180.79096045197741"/>
    <m/>
    <x v="2"/>
    <m/>
    <m/>
  </r>
  <r>
    <n v="505"/>
    <x v="5"/>
    <s v="McKenzie"/>
    <x v="73"/>
    <x v="4"/>
    <s v="Training"/>
    <m/>
    <m/>
    <m/>
    <m/>
    <m/>
    <n v="120"/>
    <m/>
    <x v="12"/>
    <s v="Cluster"/>
    <m/>
  </r>
  <r>
    <n v="506"/>
    <x v="5"/>
    <s v="McKenzie"/>
    <x v="73"/>
    <x v="10"/>
    <s v="Training"/>
    <m/>
    <m/>
    <m/>
    <m/>
    <m/>
    <n v="87.20930232558139"/>
    <m/>
    <x v="2"/>
    <m/>
    <m/>
  </r>
  <r>
    <n v="507"/>
    <x v="5"/>
    <s v="McKenzie"/>
    <x v="73"/>
    <x v="3"/>
    <s v="Training"/>
    <m/>
    <m/>
    <m/>
    <m/>
    <m/>
    <n v="65.934065934065927"/>
    <m/>
    <x v="2"/>
    <m/>
    <m/>
  </r>
  <r>
    <n v="508"/>
    <x v="5"/>
    <s v="McKenzie"/>
    <x v="73"/>
    <x v="11"/>
    <s v="Training"/>
    <m/>
    <m/>
    <m/>
    <m/>
    <m/>
    <n v="35.374149659863946"/>
    <m/>
    <x v="2"/>
    <m/>
    <m/>
  </r>
  <r>
    <n v="509"/>
    <x v="5"/>
    <s v="McKenzie"/>
    <x v="73"/>
    <x v="1"/>
    <s v="Training"/>
    <m/>
    <m/>
    <m/>
    <m/>
    <m/>
    <n v="158.19209039548022"/>
    <m/>
    <x v="2"/>
    <m/>
    <m/>
  </r>
  <r>
    <n v="510"/>
    <x v="7"/>
    <s v="Williams"/>
    <x v="73"/>
    <x v="7"/>
    <s v="Training"/>
    <m/>
    <m/>
    <m/>
    <m/>
    <m/>
    <n v="93.023255813953483"/>
    <m/>
    <x v="2"/>
    <m/>
    <m/>
  </r>
  <r>
    <n v="511"/>
    <x v="7"/>
    <s v="Williams"/>
    <x v="73"/>
    <x v="30"/>
    <s v="Training"/>
    <m/>
    <m/>
    <m/>
    <m/>
    <m/>
    <n v="103.48837209302326"/>
    <m/>
    <x v="2"/>
    <m/>
    <m/>
  </r>
  <r>
    <n v="512"/>
    <x v="7"/>
    <s v="Williams"/>
    <x v="73"/>
    <x v="1"/>
    <s v="Training"/>
    <m/>
    <m/>
    <m/>
    <m/>
    <m/>
    <n v="209.30232558139537"/>
    <m/>
    <x v="2"/>
    <m/>
    <m/>
  </r>
  <r>
    <n v="513"/>
    <x v="6"/>
    <s v="Dawkins"/>
    <x v="74"/>
    <x v="31"/>
    <s v="Test"/>
    <m/>
    <m/>
    <m/>
    <n v="250"/>
    <n v="8"/>
    <n v="318.4713375796178"/>
    <n v="102.5"/>
    <x v="2"/>
    <m/>
    <s v="(250 x 8)"/>
  </r>
  <r>
    <n v="514"/>
    <x v="0"/>
    <s v="Mitchell"/>
    <x v="74"/>
    <x v="31"/>
    <s v="Test"/>
    <m/>
    <m/>
    <m/>
    <n v="200"/>
    <n v="9"/>
    <n v="263.15789473684208"/>
    <n v="83.5"/>
    <x v="2"/>
    <m/>
    <s v="(200 x  9)"/>
  </r>
  <r>
    <n v="515"/>
    <x v="1"/>
    <s v="Archibald"/>
    <x v="74"/>
    <x v="31"/>
    <s v="Test"/>
    <m/>
    <m/>
    <m/>
    <n v="240"/>
    <n v="12"/>
    <n v="355.55555555555554"/>
    <n v="95.2"/>
    <x v="2"/>
    <m/>
    <s v="(240 x 12)"/>
  </r>
  <r>
    <n v="516"/>
    <x v="2"/>
    <s v="Webster"/>
    <x v="74"/>
    <x v="31"/>
    <s v="Test"/>
    <m/>
    <m/>
    <m/>
    <n v="200"/>
    <n v="1"/>
    <n v="200"/>
    <n v="84"/>
    <x v="2"/>
    <m/>
    <s v="(200 x 1)"/>
  </r>
  <r>
    <n v="517"/>
    <x v="9"/>
    <s v="Hansen"/>
    <x v="74"/>
    <x v="31"/>
    <s v="Test"/>
    <m/>
    <m/>
    <m/>
    <n v="120"/>
    <n v="10"/>
    <n v="161.30000000000001"/>
    <n v="68.400000000000006"/>
    <x v="2"/>
    <m/>
    <s v="(120 x 10)"/>
  </r>
  <r>
    <n v="518"/>
    <x v="5"/>
    <s v="Mackenzie"/>
    <x v="74"/>
    <x v="31"/>
    <s v="Test"/>
    <m/>
    <m/>
    <m/>
    <n v="150"/>
    <n v="6"/>
    <n v="179.64071856287427"/>
    <n v="80.099999999999994"/>
    <x v="2"/>
    <m/>
    <s v="(150 x 6)"/>
  </r>
  <r>
    <n v="519"/>
    <x v="6"/>
    <s v="Dawkins"/>
    <x v="74"/>
    <x v="32"/>
    <s v="Test"/>
    <m/>
    <m/>
    <m/>
    <n v="250"/>
    <n v="8"/>
    <n v="318.4713375796178"/>
    <n v="102.5"/>
    <x v="2"/>
    <m/>
    <s v="(250 x 8)"/>
  </r>
  <r>
    <n v="520"/>
    <x v="0"/>
    <s v="Mitchell"/>
    <x v="74"/>
    <x v="32"/>
    <s v="Test"/>
    <m/>
    <m/>
    <m/>
    <n v="200"/>
    <n v="10"/>
    <n v="272.108843537415"/>
    <n v="83.5"/>
    <x v="2"/>
    <m/>
    <s v="(200 x 10)"/>
  </r>
  <r>
    <n v="521"/>
    <x v="1"/>
    <s v="Archibald"/>
    <x v="74"/>
    <x v="32"/>
    <s v="Test"/>
    <m/>
    <m/>
    <m/>
    <n v="240"/>
    <n v="9"/>
    <n v="315.78947368421052"/>
    <n v="95.2"/>
    <x v="2"/>
    <m/>
    <s v="(240 x 9)"/>
  </r>
  <r>
    <n v="522"/>
    <x v="2"/>
    <s v="Webster"/>
    <x v="74"/>
    <x v="32"/>
    <s v="Test"/>
    <m/>
    <m/>
    <m/>
    <n v="200"/>
    <s v="Miss"/>
    <m/>
    <n v="84"/>
    <x v="2"/>
    <m/>
    <s v="(200 x -)"/>
  </r>
  <r>
    <n v="523"/>
    <x v="9"/>
    <s v="Hansen"/>
    <x v="74"/>
    <x v="32"/>
    <s v="Test"/>
    <m/>
    <m/>
    <m/>
    <n v="140"/>
    <n v="6"/>
    <n v="168.5"/>
    <n v="68.400000000000006"/>
    <x v="2"/>
    <m/>
    <s v="(140 x 6)"/>
  </r>
  <r>
    <n v="524"/>
    <x v="5"/>
    <s v="Mackenzie"/>
    <x v="74"/>
    <x v="32"/>
    <s v="Test"/>
    <m/>
    <m/>
    <m/>
    <n v="150"/>
    <n v="7"/>
    <n v="185.18518518518516"/>
    <n v="80.099999999999994"/>
    <x v="2"/>
    <m/>
    <s v="(150 x 7)"/>
  </r>
  <r>
    <n v="525"/>
    <x v="6"/>
    <s v="Dawkins"/>
    <x v="74"/>
    <x v="4"/>
    <s v="Test"/>
    <m/>
    <s v="Rep Chall."/>
    <s v="Post-CWGs (Wk5)"/>
    <n v="220"/>
    <n v="5"/>
    <n v="255.81395348837211"/>
    <n v="102.5"/>
    <x v="3"/>
    <s v="Reps,Wraps"/>
    <s v="(220 x 5 Reps,Wraps)"/>
  </r>
  <r>
    <n v="526"/>
    <x v="0"/>
    <s v="Mitchell"/>
    <x v="74"/>
    <x v="4"/>
    <s v="Test"/>
    <m/>
    <s v="Rep Chall."/>
    <s v="Post-CWGs (Wk5)"/>
    <n v="160"/>
    <n v="6"/>
    <n v="191.61676646706587"/>
    <n v="83.5"/>
    <x v="3"/>
    <m/>
    <s v="(160 x 6 Reps)"/>
  </r>
  <r>
    <n v="527"/>
    <x v="1"/>
    <s v="Archibald"/>
    <x v="74"/>
    <x v="4"/>
    <s v="Test"/>
    <m/>
    <s v="Rep Chall."/>
    <s v="Post-CWGs (Wk5)"/>
    <n v="180"/>
    <n v="5"/>
    <n v="209.30232558139537"/>
    <n v="95.2"/>
    <x v="3"/>
    <s v="ATG"/>
    <s v="(180 x 5 Reps,ATG)"/>
  </r>
  <r>
    <n v="528"/>
    <x v="2"/>
    <s v="Webster"/>
    <x v="74"/>
    <x v="4"/>
    <s v="Test"/>
    <m/>
    <s v="Rep Chall."/>
    <s v="Post-CWGs (Wk5)"/>
    <n v="140"/>
    <n v="8"/>
    <n v="178.34394904458597"/>
    <n v="84"/>
    <x v="3"/>
    <m/>
    <s v="(140 x 8 Reps)"/>
  </r>
  <r>
    <n v="529"/>
    <x v="3"/>
    <s v="Van Velt Hooven"/>
    <x v="74"/>
    <x v="4"/>
    <s v="Test"/>
    <m/>
    <s v="Rep Chall."/>
    <s v="Post-CWGs (Wk5)"/>
    <m/>
    <m/>
    <m/>
    <m/>
    <x v="3"/>
    <s v="Japan"/>
    <s v="(Japan)"/>
  </r>
  <r>
    <n v="530"/>
    <x v="5"/>
    <s v="Mackenzie"/>
    <x v="74"/>
    <x v="4"/>
    <s v="Test"/>
    <m/>
    <s v="Rep Chall."/>
    <s v="Post-CWGs (Wk5)"/>
    <n v="140"/>
    <n v="2"/>
    <n v="149.7326203208556"/>
    <n v="80.099999999999994"/>
    <x v="3"/>
    <s v="45cm"/>
    <s v="(140 x 2 Reps, 45cm)"/>
  </r>
  <r>
    <n v="531"/>
    <x v="6"/>
    <s v="Dawkins"/>
    <x v="74"/>
    <x v="4"/>
    <s v="Training"/>
    <s v="Yes"/>
    <m/>
    <m/>
    <m/>
    <m/>
    <n v="255.81395348837211"/>
    <m/>
    <x v="3"/>
    <m/>
    <m/>
  </r>
  <r>
    <n v="532"/>
    <x v="6"/>
    <s v="Dawkins"/>
    <x v="74"/>
    <x v="11"/>
    <s v="Training"/>
    <m/>
    <m/>
    <m/>
    <m/>
    <m/>
    <n v="73.469387755102048"/>
    <m/>
    <x v="2"/>
    <m/>
    <m/>
  </r>
  <r>
    <n v="533"/>
    <x v="6"/>
    <s v="Dawkins"/>
    <x v="74"/>
    <x v="1"/>
    <s v="Training"/>
    <m/>
    <m/>
    <m/>
    <m/>
    <m/>
    <n v="318.4713375796178"/>
    <m/>
    <x v="2"/>
    <m/>
    <m/>
  </r>
  <r>
    <n v="534"/>
    <x v="0"/>
    <s v="Mitchell"/>
    <x v="74"/>
    <x v="4"/>
    <s v="Training"/>
    <s v="Yes"/>
    <m/>
    <m/>
    <m/>
    <m/>
    <n v="186.04651162790697"/>
    <m/>
    <x v="3"/>
    <m/>
    <m/>
  </r>
  <r>
    <n v="535"/>
    <x v="0"/>
    <s v="Mitchell"/>
    <x v="74"/>
    <x v="11"/>
    <s v="Training"/>
    <m/>
    <m/>
    <m/>
    <m/>
    <m/>
    <n v="63.945578231292515"/>
    <m/>
    <x v="2"/>
    <m/>
    <m/>
  </r>
  <r>
    <n v="536"/>
    <x v="0"/>
    <s v="Mitchell"/>
    <x v="74"/>
    <x v="1"/>
    <s v="Training"/>
    <m/>
    <m/>
    <m/>
    <m/>
    <m/>
    <n v="263.15789473684208"/>
    <m/>
    <x v="2"/>
    <m/>
    <m/>
  </r>
  <r>
    <n v="537"/>
    <x v="4"/>
    <s v="Presbury"/>
    <x v="74"/>
    <x v="4"/>
    <s v="Training"/>
    <s v="No"/>
    <m/>
    <m/>
    <m/>
    <m/>
    <n v="158.19209039548022"/>
    <m/>
    <x v="5"/>
    <m/>
    <m/>
  </r>
  <r>
    <n v="538"/>
    <x v="1"/>
    <s v="Archibold"/>
    <x v="74"/>
    <x v="0"/>
    <s v="Training"/>
    <s v="No"/>
    <m/>
    <m/>
    <m/>
    <m/>
    <n v="209.30232558139537"/>
    <m/>
    <x v="9"/>
    <m/>
    <m/>
  </r>
  <r>
    <n v="539"/>
    <x v="1"/>
    <s v="Archibold"/>
    <x v="74"/>
    <x v="11"/>
    <s v="Training"/>
    <m/>
    <m/>
    <m/>
    <m/>
    <m/>
    <n v="73.469387755102048"/>
    <m/>
    <x v="2"/>
    <m/>
    <m/>
  </r>
  <r>
    <n v="540"/>
    <x v="1"/>
    <s v="Archibold"/>
    <x v="74"/>
    <x v="1"/>
    <s v="Training"/>
    <m/>
    <m/>
    <m/>
    <m/>
    <m/>
    <n v="355.55555555555554"/>
    <m/>
    <x v="2"/>
    <m/>
    <m/>
  </r>
  <r>
    <n v="541"/>
    <x v="2"/>
    <s v="Webster"/>
    <x v="74"/>
    <x v="1"/>
    <s v="Training"/>
    <m/>
    <m/>
    <m/>
    <n v="200"/>
    <n v="1"/>
    <n v="200"/>
    <m/>
    <x v="2"/>
    <m/>
    <m/>
  </r>
  <r>
    <n v="542"/>
    <x v="2"/>
    <s v="Webster"/>
    <x v="74"/>
    <x v="4"/>
    <s v="Training"/>
    <s v="Yes"/>
    <m/>
    <m/>
    <m/>
    <m/>
    <n v="178.34394904458597"/>
    <m/>
    <x v="3"/>
    <m/>
    <m/>
  </r>
  <r>
    <n v="543"/>
    <x v="5"/>
    <s v="McKenzie"/>
    <x v="74"/>
    <x v="4"/>
    <s v="Training"/>
    <s v="Yes"/>
    <m/>
    <m/>
    <m/>
    <m/>
    <n v="149.7326203208556"/>
    <m/>
    <x v="12"/>
    <s v="Cluster"/>
    <m/>
  </r>
  <r>
    <n v="544"/>
    <x v="5"/>
    <s v="McKenzie"/>
    <x v="74"/>
    <x v="5"/>
    <s v="Training"/>
    <m/>
    <m/>
    <m/>
    <m/>
    <m/>
    <n v="131.86813186813185"/>
    <m/>
    <x v="14"/>
    <m/>
    <m/>
  </r>
  <r>
    <n v="545"/>
    <x v="5"/>
    <s v="McKenzie"/>
    <x v="74"/>
    <x v="1"/>
    <s v="Training"/>
    <m/>
    <m/>
    <m/>
    <m/>
    <m/>
    <n v="179.64071856287427"/>
    <m/>
    <x v="2"/>
    <m/>
    <m/>
  </r>
  <r>
    <n v="546"/>
    <x v="7"/>
    <s v="Williams"/>
    <x v="74"/>
    <x v="4"/>
    <s v="Training"/>
    <s v="No"/>
    <m/>
    <m/>
    <m/>
    <m/>
    <n v="158.19209039548022"/>
    <m/>
    <x v="3"/>
    <m/>
    <m/>
  </r>
  <r>
    <n v="547"/>
    <x v="6"/>
    <s v="Dawkins"/>
    <x v="75"/>
    <x v="5"/>
    <s v="Training"/>
    <m/>
    <m/>
    <m/>
    <m/>
    <m/>
    <n v="164.83516483516482"/>
    <m/>
    <x v="14"/>
    <m/>
    <m/>
  </r>
  <r>
    <n v="548"/>
    <x v="0"/>
    <s v="Mitchell"/>
    <x v="75"/>
    <x v="5"/>
    <s v="Training"/>
    <m/>
    <m/>
    <m/>
    <m/>
    <m/>
    <n v="174.41860465116278"/>
    <m/>
    <x v="14"/>
    <m/>
    <m/>
  </r>
  <r>
    <n v="549"/>
    <x v="0"/>
    <s v="Mitchell"/>
    <x v="75"/>
    <x v="1"/>
    <s v="Training"/>
    <m/>
    <m/>
    <m/>
    <m/>
    <m/>
    <n v="272.108843537415"/>
    <m/>
    <x v="2"/>
    <m/>
    <m/>
  </r>
  <r>
    <n v="550"/>
    <x v="4"/>
    <s v="Presbury"/>
    <x v="75"/>
    <x v="5"/>
    <s v="Training"/>
    <m/>
    <m/>
    <m/>
    <m/>
    <m/>
    <n v="142.85714285714286"/>
    <m/>
    <x v="14"/>
    <m/>
    <m/>
  </r>
  <r>
    <n v="551"/>
    <x v="1"/>
    <s v="Archibold"/>
    <x v="75"/>
    <x v="5"/>
    <s v="Training"/>
    <m/>
    <m/>
    <m/>
    <m/>
    <m/>
    <n v="232.55813953488374"/>
    <m/>
    <x v="14"/>
    <m/>
    <m/>
  </r>
  <r>
    <n v="552"/>
    <x v="1"/>
    <s v="Archibold"/>
    <x v="75"/>
    <x v="1"/>
    <s v="Training"/>
    <m/>
    <m/>
    <m/>
    <m/>
    <m/>
    <n v="315.78947368421052"/>
    <m/>
    <x v="2"/>
    <m/>
    <m/>
  </r>
  <r>
    <n v="553"/>
    <x v="5"/>
    <s v="McKenzie"/>
    <x v="75"/>
    <x v="1"/>
    <s v="Training"/>
    <m/>
    <m/>
    <m/>
    <m/>
    <m/>
    <n v="185.18518518518516"/>
    <m/>
    <x v="2"/>
    <m/>
    <m/>
  </r>
  <r>
    <n v="554"/>
    <x v="7"/>
    <s v="Williams"/>
    <x v="75"/>
    <x v="5"/>
    <s v="Training"/>
    <m/>
    <m/>
    <m/>
    <m/>
    <m/>
    <n v="139.53488372093022"/>
    <m/>
    <x v="14"/>
    <m/>
    <m/>
  </r>
  <r>
    <n v="555"/>
    <x v="6"/>
    <s v="Dawkins"/>
    <x v="76"/>
    <x v="4"/>
    <s v="Training"/>
    <s v="Yes"/>
    <m/>
    <m/>
    <m/>
    <m/>
    <n v="200"/>
    <m/>
    <x v="3"/>
    <s v="3-2-1 (15sec)"/>
    <m/>
  </r>
  <r>
    <n v="556"/>
    <x v="6"/>
    <s v="Dawkins"/>
    <x v="76"/>
    <x v="3"/>
    <s v="Training"/>
    <m/>
    <m/>
    <m/>
    <m/>
    <m/>
    <n v="131.86813186813185"/>
    <m/>
    <x v="2"/>
    <m/>
    <m/>
  </r>
  <r>
    <n v="557"/>
    <x v="6"/>
    <s v="Dawkins"/>
    <x v="76"/>
    <x v="30"/>
    <s v="Training"/>
    <m/>
    <m/>
    <m/>
    <m/>
    <m/>
    <n v="170.37037037037035"/>
    <m/>
    <x v="2"/>
    <m/>
    <m/>
  </r>
  <r>
    <n v="558"/>
    <x v="0"/>
    <s v="Mitchell"/>
    <x v="76"/>
    <x v="4"/>
    <s v="Training"/>
    <s v="No"/>
    <m/>
    <m/>
    <m/>
    <m/>
    <n v="150"/>
    <m/>
    <x v="3"/>
    <s v="3-2-1 (15sec)"/>
    <m/>
  </r>
  <r>
    <n v="559"/>
    <x v="0"/>
    <s v="Mitchell"/>
    <x v="76"/>
    <x v="3"/>
    <s v="Training"/>
    <m/>
    <m/>
    <m/>
    <m/>
    <m/>
    <n v="100"/>
    <m/>
    <x v="2"/>
    <m/>
    <m/>
  </r>
  <r>
    <n v="560"/>
    <x v="0"/>
    <s v="Mitchell"/>
    <x v="76"/>
    <x v="30"/>
    <s v="Training"/>
    <m/>
    <m/>
    <m/>
    <m/>
    <m/>
    <n v="149.65986394557822"/>
    <m/>
    <x v="2"/>
    <m/>
    <m/>
  </r>
  <r>
    <n v="561"/>
    <x v="4"/>
    <s v="Presbury"/>
    <x v="76"/>
    <x v="7"/>
    <s v="Training"/>
    <m/>
    <m/>
    <m/>
    <m/>
    <m/>
    <n v="84.745762711864401"/>
    <m/>
    <x v="2"/>
    <m/>
    <m/>
  </r>
  <r>
    <n v="562"/>
    <x v="4"/>
    <s v="Presbury"/>
    <x v="76"/>
    <x v="30"/>
    <s v="Training"/>
    <m/>
    <m/>
    <m/>
    <m/>
    <m/>
    <n v="136.04651162790697"/>
    <m/>
    <x v="2"/>
    <m/>
    <m/>
  </r>
  <r>
    <n v="563"/>
    <x v="4"/>
    <s v="Presbury"/>
    <x v="76"/>
    <x v="1"/>
    <s v="Training"/>
    <m/>
    <m/>
    <m/>
    <m/>
    <m/>
    <n v="186.04651162790697"/>
    <m/>
    <x v="2"/>
    <m/>
    <m/>
  </r>
  <r>
    <n v="564"/>
    <x v="1"/>
    <s v="Archibold"/>
    <x v="76"/>
    <x v="0"/>
    <s v="Training"/>
    <m/>
    <m/>
    <m/>
    <m/>
    <m/>
    <n v="110"/>
    <m/>
    <x v="8"/>
    <s v="Cluster"/>
    <m/>
  </r>
  <r>
    <n v="565"/>
    <x v="1"/>
    <s v="Archibold"/>
    <x v="76"/>
    <x v="3"/>
    <s v="Training"/>
    <m/>
    <m/>
    <m/>
    <m/>
    <m/>
    <n v="130"/>
    <m/>
    <x v="2"/>
    <m/>
    <m/>
  </r>
  <r>
    <n v="566"/>
    <x v="1"/>
    <s v="Archibold"/>
    <x v="76"/>
    <x v="30"/>
    <s v="Training"/>
    <m/>
    <m/>
    <m/>
    <m/>
    <m/>
    <n v="127.90697674418605"/>
    <m/>
    <x v="2"/>
    <m/>
    <m/>
  </r>
  <r>
    <n v="567"/>
    <x v="2"/>
    <s v="Webster"/>
    <x v="76"/>
    <x v="4"/>
    <s v="Training"/>
    <s v="Yes"/>
    <m/>
    <m/>
    <m/>
    <m/>
    <n v="140"/>
    <m/>
    <x v="3"/>
    <s v="3-2-1 (15sec) "/>
    <m/>
  </r>
  <r>
    <n v="568"/>
    <x v="2"/>
    <s v="Webster"/>
    <x v="76"/>
    <x v="3"/>
    <s v="Training"/>
    <m/>
    <m/>
    <m/>
    <m/>
    <m/>
    <n v="100"/>
    <m/>
    <x v="2"/>
    <m/>
    <m/>
  </r>
  <r>
    <n v="569"/>
    <x v="2"/>
    <s v="Webster"/>
    <x v="76"/>
    <x v="30"/>
    <s v="Training"/>
    <m/>
    <m/>
    <m/>
    <m/>
    <m/>
    <n v="124.29378531073446"/>
    <m/>
    <x v="2"/>
    <m/>
    <m/>
  </r>
  <r>
    <n v="570"/>
    <x v="5"/>
    <s v="McKenzie"/>
    <x v="76"/>
    <x v="4"/>
    <s v="Training"/>
    <m/>
    <m/>
    <m/>
    <m/>
    <m/>
    <n v="135"/>
    <m/>
    <x v="12"/>
    <s v="Cluster"/>
    <m/>
  </r>
  <r>
    <n v="571"/>
    <x v="5"/>
    <s v="McKenzie"/>
    <x v="76"/>
    <x v="3"/>
    <s v="Training"/>
    <m/>
    <m/>
    <m/>
    <m/>
    <m/>
    <n v="75"/>
    <m/>
    <x v="2"/>
    <m/>
    <m/>
  </r>
  <r>
    <n v="572"/>
    <x v="5"/>
    <s v="McKenzie"/>
    <x v="76"/>
    <x v="30"/>
    <s v="Training"/>
    <m/>
    <m/>
    <m/>
    <m/>
    <m/>
    <n v="86.624203821656053"/>
    <m/>
    <x v="2"/>
    <m/>
    <m/>
  </r>
  <r>
    <n v="573"/>
    <x v="7"/>
    <s v="Williams"/>
    <x v="76"/>
    <x v="30"/>
    <s v="Training"/>
    <m/>
    <m/>
    <m/>
    <m/>
    <m/>
    <n v="106.97674418604652"/>
    <m/>
    <x v="2"/>
    <m/>
    <m/>
  </r>
  <r>
    <n v="574"/>
    <x v="7"/>
    <s v="Williams"/>
    <x v="76"/>
    <x v="1"/>
    <s v="Training"/>
    <m/>
    <m/>
    <m/>
    <m/>
    <m/>
    <n v="209.30232558139537"/>
    <m/>
    <x v="2"/>
    <m/>
    <m/>
  </r>
  <r>
    <n v="575"/>
    <x v="6"/>
    <s v="Dawkins"/>
    <x v="77"/>
    <x v="13"/>
    <s v="Training"/>
    <m/>
    <m/>
    <m/>
    <m/>
    <n v="6"/>
    <n v="538.92215568862275"/>
    <m/>
    <x v="2"/>
    <s v="Tier 1 Cambridge"/>
    <m/>
  </r>
  <r>
    <n v="576"/>
    <x v="6"/>
    <s v="Dawkins"/>
    <x v="77"/>
    <x v="30"/>
    <s v="Training"/>
    <m/>
    <m/>
    <m/>
    <m/>
    <n v="6"/>
    <n v="123.35329341317366"/>
    <m/>
    <x v="2"/>
    <s v="Tier 1 Cambridge"/>
    <m/>
  </r>
  <r>
    <n v="577"/>
    <x v="6"/>
    <s v="Dawkins"/>
    <x v="77"/>
    <x v="14"/>
    <s v="Training"/>
    <m/>
    <m/>
    <m/>
    <m/>
    <n v="8"/>
    <n v="165.60509554140125"/>
    <m/>
    <x v="8"/>
    <s v="Tier 1 Cambridge"/>
    <m/>
  </r>
  <r>
    <n v="578"/>
    <x v="4"/>
    <s v="Presbury"/>
    <x v="77"/>
    <x v="4"/>
    <s v="Training"/>
    <s v="No"/>
    <m/>
    <m/>
    <m/>
    <n v="4"/>
    <n v="160.427807486631"/>
    <m/>
    <x v="5"/>
    <s v="Tier 1 Cambridge"/>
    <m/>
  </r>
  <r>
    <n v="579"/>
    <x v="1"/>
    <s v="Archibold"/>
    <x v="77"/>
    <x v="13"/>
    <s v="Training"/>
    <m/>
    <m/>
    <m/>
    <m/>
    <n v="6"/>
    <n v="540.69767441860461"/>
    <m/>
    <x v="2"/>
    <s v="Tier 1 Cambridge"/>
    <m/>
  </r>
  <r>
    <n v="580"/>
    <x v="1"/>
    <s v="Archibold"/>
    <x v="77"/>
    <x v="30"/>
    <s v="Training"/>
    <m/>
    <m/>
    <m/>
    <m/>
    <n v="6"/>
    <n v="118.6046511627907"/>
    <m/>
    <x v="2"/>
    <s v="Tier 1 Cambridge"/>
    <m/>
  </r>
  <r>
    <n v="581"/>
    <x v="1"/>
    <s v="Archibold"/>
    <x v="77"/>
    <x v="14"/>
    <s v="Training"/>
    <s v="No"/>
    <m/>
    <m/>
    <m/>
    <n v="8"/>
    <n v="165.60509554140125"/>
    <m/>
    <x v="8"/>
    <s v="Tier 1 Cambridge"/>
    <m/>
  </r>
  <r>
    <n v="582"/>
    <x v="2"/>
    <s v="Webster"/>
    <x v="77"/>
    <x v="13"/>
    <s v="Training"/>
    <m/>
    <m/>
    <m/>
    <m/>
    <n v="6"/>
    <n v="383.23353293413174"/>
    <m/>
    <x v="2"/>
    <s v="Tier 1 Cambridge"/>
    <m/>
  </r>
  <r>
    <n v="583"/>
    <x v="2"/>
    <s v="Webster"/>
    <x v="77"/>
    <x v="30"/>
    <s v="Training"/>
    <m/>
    <m/>
    <m/>
    <m/>
    <n v="6"/>
    <n v="106.97674418604652"/>
    <m/>
    <x v="2"/>
    <s v="Tier 1 Cambridge"/>
    <m/>
  </r>
  <r>
    <n v="584"/>
    <x v="2"/>
    <s v="Webster"/>
    <x v="77"/>
    <x v="14"/>
    <s v="Training"/>
    <m/>
    <m/>
    <m/>
    <m/>
    <n v="8"/>
    <n v="108.28025477707006"/>
    <m/>
    <x v="8"/>
    <s v="Tier 1 Cambridge"/>
    <m/>
  </r>
  <r>
    <n v="585"/>
    <x v="5"/>
    <s v="McKenzie"/>
    <x v="77"/>
    <x v="13"/>
    <s v="Training"/>
    <m/>
    <m/>
    <m/>
    <m/>
    <n v="6"/>
    <n v="325.58139534883719"/>
    <m/>
    <x v="2"/>
    <s v="Tier 1 Cambridge"/>
    <m/>
  </r>
  <r>
    <n v="586"/>
    <x v="5"/>
    <s v="McKenzie"/>
    <x v="77"/>
    <x v="30"/>
    <s v="Training"/>
    <m/>
    <m/>
    <m/>
    <m/>
    <n v="6"/>
    <n v="74.418604651162795"/>
    <m/>
    <x v="2"/>
    <s v="Tier 1 Cambridge"/>
    <m/>
  </r>
  <r>
    <n v="587"/>
    <x v="5"/>
    <s v="McKenzie"/>
    <x v="77"/>
    <x v="14"/>
    <s v="Training"/>
    <m/>
    <m/>
    <m/>
    <m/>
    <n v="8"/>
    <n v="101.9108280254777"/>
    <m/>
    <x v="2"/>
    <s v="Tier 1 Cambridge"/>
    <m/>
  </r>
  <r>
    <n v="588"/>
    <x v="7"/>
    <s v="Williams"/>
    <x v="77"/>
    <x v="4"/>
    <s v="Training"/>
    <s v="No"/>
    <m/>
    <m/>
    <m/>
    <n v="4"/>
    <n v="158.19209039548022"/>
    <m/>
    <x v="3"/>
    <s v="Tier 1 Cambridge"/>
    <m/>
  </r>
  <r>
    <n v="589"/>
    <x v="0"/>
    <s v="Mitchell"/>
    <x v="78"/>
    <x v="13"/>
    <s v="Training"/>
    <m/>
    <m/>
    <m/>
    <m/>
    <n v="6"/>
    <n v="431.13772455089821"/>
    <m/>
    <x v="2"/>
    <s v="Tier 1 Cambridge"/>
    <m/>
  </r>
  <r>
    <n v="590"/>
    <x v="0"/>
    <s v="Mitchell"/>
    <x v="78"/>
    <x v="14"/>
    <s v="Training"/>
    <m/>
    <m/>
    <m/>
    <m/>
    <n v="8"/>
    <n v="101.79640718562875"/>
    <m/>
    <x v="8"/>
    <s v="Tier 1 Cambridge"/>
    <m/>
  </r>
  <r>
    <n v="591"/>
    <x v="6"/>
    <s v="Dawkins"/>
    <x v="79"/>
    <x v="13"/>
    <s v="Training"/>
    <m/>
    <m/>
    <m/>
    <m/>
    <n v="6"/>
    <n v="538.92215568862275"/>
    <m/>
    <x v="2"/>
    <s v="Light Session"/>
    <m/>
  </r>
  <r>
    <n v="592"/>
    <x v="6"/>
    <s v="Dawkins"/>
    <x v="79"/>
    <x v="30"/>
    <s v="Training"/>
    <m/>
    <m/>
    <m/>
    <m/>
    <n v="6"/>
    <n v="123.35329341317366"/>
    <m/>
    <x v="2"/>
    <s v="Light Session"/>
    <m/>
  </r>
  <r>
    <n v="593"/>
    <x v="1"/>
    <s v="Archibold"/>
    <x v="79"/>
    <x v="13"/>
    <s v="Training"/>
    <m/>
    <m/>
    <m/>
    <m/>
    <n v="6"/>
    <n v="574.85029940119762"/>
    <m/>
    <x v="2"/>
    <s v="Light Session"/>
    <m/>
  </r>
  <r>
    <n v="594"/>
    <x v="1"/>
    <s v="Archibold"/>
    <x v="79"/>
    <x v="30"/>
    <s v="Training"/>
    <m/>
    <m/>
    <m/>
    <m/>
    <n v="6"/>
    <n v="114.97005988023953"/>
    <m/>
    <x v="2"/>
    <s v="Light Session"/>
    <m/>
  </r>
  <r>
    <n v="595"/>
    <x v="3"/>
    <s v="Van Velt Hooven"/>
    <x v="79"/>
    <x v="0"/>
    <s v="Training"/>
    <m/>
    <m/>
    <m/>
    <m/>
    <n v="3"/>
    <n v="175.82417582417582"/>
    <m/>
    <x v="11"/>
    <s v="Power "/>
    <m/>
  </r>
  <r>
    <n v="596"/>
    <x v="3"/>
    <s v="Van Velt Hooven"/>
    <x v="79"/>
    <x v="19"/>
    <s v="Training"/>
    <m/>
    <m/>
    <m/>
    <m/>
    <n v="3"/>
    <n v="43.956043956043956"/>
    <m/>
    <x v="2"/>
    <m/>
    <m/>
  </r>
  <r>
    <n v="597"/>
    <x v="5"/>
    <s v="McKenzie"/>
    <x v="79"/>
    <x v="13"/>
    <s v="Training"/>
    <m/>
    <m/>
    <m/>
    <m/>
    <n v="6"/>
    <n v="347.30538922155688"/>
    <m/>
    <x v="2"/>
    <s v="Light Session"/>
    <m/>
  </r>
  <r>
    <n v="598"/>
    <x v="0"/>
    <s v="Mitchell"/>
    <x v="80"/>
    <x v="5"/>
    <s v="Training"/>
    <m/>
    <m/>
    <m/>
    <m/>
    <n v="3"/>
    <n v="164.83516483516482"/>
    <m/>
    <x v="14"/>
    <m/>
    <m/>
  </r>
  <r>
    <n v="599"/>
    <x v="4"/>
    <s v="Presbury"/>
    <x v="80"/>
    <x v="5"/>
    <s v="Training"/>
    <m/>
    <m/>
    <m/>
    <m/>
    <n v="3"/>
    <n v="153.84615384615384"/>
    <m/>
    <x v="14"/>
    <m/>
    <m/>
  </r>
  <r>
    <n v="600"/>
    <x v="10"/>
    <s v="Schofield"/>
    <x v="80"/>
    <x v="13"/>
    <s v="Training"/>
    <m/>
    <s v="Power"/>
    <m/>
    <m/>
    <n v="3"/>
    <n v="197.80219780219778"/>
    <m/>
    <x v="2"/>
    <m/>
    <m/>
  </r>
  <r>
    <n v="601"/>
    <x v="1"/>
    <s v="Archibold"/>
    <x v="80"/>
    <x v="5"/>
    <s v="Training"/>
    <m/>
    <m/>
    <m/>
    <m/>
    <n v="3"/>
    <n v="219.78021978021977"/>
    <m/>
    <x v="14"/>
    <m/>
    <m/>
  </r>
  <r>
    <n v="602"/>
    <x v="7"/>
    <s v="Williams"/>
    <x v="80"/>
    <x v="5"/>
    <s v="Training"/>
    <m/>
    <m/>
    <m/>
    <m/>
    <n v="3"/>
    <n v="142.85714285714286"/>
    <m/>
    <x v="14"/>
    <m/>
    <m/>
  </r>
  <r>
    <n v="603"/>
    <x v="6"/>
    <s v="Dawkins"/>
    <x v="81"/>
    <x v="4"/>
    <s v="Training"/>
    <s v="No"/>
    <m/>
    <m/>
    <m/>
    <n v="3"/>
    <n v="219.78021978021977"/>
    <m/>
    <x v="3"/>
    <m/>
    <m/>
  </r>
  <r>
    <n v="604"/>
    <x v="6"/>
    <s v="Dawkins"/>
    <x v="81"/>
    <x v="3"/>
    <s v="Training"/>
    <m/>
    <m/>
    <m/>
    <m/>
    <n v="3"/>
    <n v="131.86813186813185"/>
    <m/>
    <x v="2"/>
    <m/>
    <m/>
  </r>
  <r>
    <n v="605"/>
    <x v="6"/>
    <s v="Dawkins"/>
    <x v="81"/>
    <x v="10"/>
    <s v="Training"/>
    <m/>
    <m/>
    <m/>
    <m/>
    <n v="4"/>
    <n v="180.79096045197741"/>
    <m/>
    <x v="2"/>
    <m/>
    <m/>
  </r>
  <r>
    <n v="606"/>
    <x v="6"/>
    <s v="Dawkins"/>
    <x v="81"/>
    <x v="1"/>
    <s v="Training"/>
    <m/>
    <m/>
    <m/>
    <m/>
    <n v="6"/>
    <n v="263.4730538922156"/>
    <m/>
    <x v="2"/>
    <m/>
    <m/>
  </r>
  <r>
    <n v="607"/>
    <x v="0"/>
    <s v="Mitchell"/>
    <x v="81"/>
    <x v="3"/>
    <s v="Training"/>
    <m/>
    <m/>
    <m/>
    <m/>
    <n v="3"/>
    <n v="98.901098901098891"/>
    <m/>
    <x v="2"/>
    <m/>
    <m/>
  </r>
  <r>
    <n v="608"/>
    <x v="0"/>
    <s v="Mitchell"/>
    <x v="81"/>
    <x v="10"/>
    <s v="Training"/>
    <m/>
    <m/>
    <m/>
    <m/>
    <n v="4"/>
    <n v="112.99435028248587"/>
    <m/>
    <x v="2"/>
    <m/>
    <m/>
  </r>
  <r>
    <n v="609"/>
    <x v="0"/>
    <s v="Mitchell"/>
    <x v="81"/>
    <x v="4"/>
    <s v="Training"/>
    <s v="No"/>
    <m/>
    <m/>
    <m/>
    <n v="5"/>
    <n v="162.7906976744186"/>
    <m/>
    <x v="3"/>
    <m/>
    <m/>
  </r>
  <r>
    <n v="610"/>
    <x v="0"/>
    <s v="Mitchell"/>
    <x v="81"/>
    <x v="1"/>
    <s v="Training"/>
    <m/>
    <m/>
    <m/>
    <m/>
    <n v="6"/>
    <n v="227.54491017964074"/>
    <m/>
    <x v="2"/>
    <m/>
    <m/>
  </r>
  <r>
    <n v="611"/>
    <x v="4"/>
    <s v="Presbury"/>
    <x v="81"/>
    <x v="4"/>
    <s v="Training"/>
    <s v="No"/>
    <m/>
    <m/>
    <m/>
    <n v="6"/>
    <n v="107.78443113772455"/>
    <m/>
    <x v="12"/>
    <m/>
    <m/>
  </r>
  <r>
    <n v="612"/>
    <x v="4"/>
    <s v="Presbury"/>
    <x v="81"/>
    <x v="1"/>
    <s v="Training"/>
    <m/>
    <m/>
    <m/>
    <m/>
    <n v="6"/>
    <n v="191.61676646706587"/>
    <m/>
    <x v="2"/>
    <m/>
    <m/>
  </r>
  <r>
    <n v="613"/>
    <x v="4"/>
    <s v="Presbury"/>
    <x v="81"/>
    <x v="16"/>
    <s v="Training"/>
    <m/>
    <m/>
    <m/>
    <m/>
    <n v="15"/>
    <n v="92.145015105740171"/>
    <m/>
    <x v="2"/>
    <m/>
    <m/>
  </r>
  <r>
    <n v="614"/>
    <x v="4"/>
    <s v="Presbury"/>
    <x v="81"/>
    <x v="9"/>
    <s v="Training"/>
    <m/>
    <m/>
    <m/>
    <m/>
    <n v="15"/>
    <n v="151.05740181268882"/>
    <m/>
    <x v="2"/>
    <m/>
    <m/>
  </r>
  <r>
    <n v="615"/>
    <x v="10"/>
    <s v="Schofield"/>
    <x v="81"/>
    <x v="13"/>
    <s v="Training"/>
    <m/>
    <m/>
    <m/>
    <m/>
    <n v="6"/>
    <n v="293.41317365269464"/>
    <m/>
    <x v="2"/>
    <m/>
    <m/>
  </r>
  <r>
    <n v="616"/>
    <x v="1"/>
    <s v="Archibold"/>
    <x v="81"/>
    <x v="3"/>
    <s v="Training"/>
    <m/>
    <m/>
    <m/>
    <m/>
    <n v="3"/>
    <n v="120.87912087912088"/>
    <m/>
    <x v="2"/>
    <m/>
    <m/>
  </r>
  <r>
    <n v="617"/>
    <x v="1"/>
    <s v="Archibold"/>
    <x v="81"/>
    <x v="10"/>
    <s v="Training"/>
    <m/>
    <m/>
    <m/>
    <m/>
    <n v="4"/>
    <n v="146.89265536723164"/>
    <m/>
    <x v="2"/>
    <m/>
    <m/>
  </r>
  <r>
    <n v="618"/>
    <x v="1"/>
    <s v="Archibold"/>
    <x v="81"/>
    <x v="0"/>
    <s v="Training"/>
    <s v="No"/>
    <m/>
    <m/>
    <m/>
    <n v="5"/>
    <n v="197.67441860465118"/>
    <m/>
    <x v="9"/>
    <m/>
    <m/>
  </r>
  <r>
    <n v="619"/>
    <x v="1"/>
    <s v="Archibold"/>
    <x v="81"/>
    <x v="1"/>
    <s v="Training"/>
    <m/>
    <m/>
    <m/>
    <m/>
    <n v="6"/>
    <n v="263.4730538922156"/>
    <m/>
    <x v="2"/>
    <m/>
    <m/>
  </r>
  <r>
    <n v="620"/>
    <x v="3"/>
    <s v="Van Velt Hooven"/>
    <x v="81"/>
    <x v="7"/>
    <s v="Training"/>
    <m/>
    <m/>
    <m/>
    <m/>
    <n v="4"/>
    <n v="90.395480225988706"/>
    <m/>
    <x v="2"/>
    <m/>
    <m/>
  </r>
  <r>
    <n v="621"/>
    <x v="3"/>
    <s v="Van Velt Hooven"/>
    <x v="81"/>
    <x v="14"/>
    <s v="Training"/>
    <m/>
    <m/>
    <m/>
    <m/>
    <n v="6"/>
    <n v="131.7365269461078"/>
    <m/>
    <x v="8"/>
    <m/>
    <m/>
  </r>
  <r>
    <n v="622"/>
    <x v="3"/>
    <s v="Van Velt Hooven"/>
    <x v="81"/>
    <x v="11"/>
    <s v="Training"/>
    <m/>
    <m/>
    <m/>
    <m/>
    <n v="8"/>
    <n v="68.789808917197448"/>
    <m/>
    <x v="2"/>
    <m/>
    <m/>
  </r>
  <r>
    <n v="623"/>
    <x v="5"/>
    <s v="McKenzie"/>
    <x v="81"/>
    <x v="4"/>
    <s v="Training"/>
    <s v="Yes"/>
    <m/>
    <m/>
    <m/>
    <n v="5"/>
    <n v="151.16279069767441"/>
    <m/>
    <x v="12"/>
    <m/>
    <m/>
  </r>
  <r>
    <n v="624"/>
    <x v="7"/>
    <s v="Williams"/>
    <x v="81"/>
    <x v="7"/>
    <s v="Training"/>
    <m/>
    <m/>
    <m/>
    <m/>
    <n v="5"/>
    <n v="98.83720930232559"/>
    <m/>
    <x v="2"/>
    <m/>
    <m/>
  </r>
  <r>
    <n v="625"/>
    <x v="7"/>
    <s v="Williams"/>
    <x v="81"/>
    <x v="14"/>
    <s v="Training"/>
    <m/>
    <m/>
    <m/>
    <m/>
    <n v="8"/>
    <n v="89.171974522292984"/>
    <m/>
    <x v="8"/>
    <m/>
    <m/>
  </r>
  <r>
    <n v="626"/>
    <x v="7"/>
    <s v="Williams"/>
    <x v="81"/>
    <x v="11"/>
    <s v="Training"/>
    <m/>
    <m/>
    <m/>
    <m/>
    <n v="8"/>
    <n v="72.611464968152859"/>
    <m/>
    <x v="2"/>
    <m/>
    <m/>
  </r>
  <r>
    <n v="627"/>
    <x v="6"/>
    <s v="Dawkins"/>
    <x v="82"/>
    <x v="4"/>
    <s v="Training"/>
    <s v="Yes"/>
    <m/>
    <m/>
    <m/>
    <n v="5"/>
    <n v="232.55813953488374"/>
    <m/>
    <x v="3"/>
    <m/>
    <m/>
  </r>
  <r>
    <n v="628"/>
    <x v="6"/>
    <s v="Dawkins"/>
    <x v="82"/>
    <x v="11"/>
    <s v="Training"/>
    <m/>
    <m/>
    <m/>
    <m/>
    <n v="6"/>
    <n v="73.053892215568865"/>
    <m/>
    <x v="2"/>
    <m/>
    <m/>
  </r>
  <r>
    <n v="629"/>
    <x v="6"/>
    <s v="Dawkins"/>
    <x v="82"/>
    <x v="4"/>
    <s v="Training"/>
    <s v="Yes"/>
    <m/>
    <m/>
    <m/>
    <m/>
    <n v="200"/>
    <m/>
    <x v="3"/>
    <s v="3-2-1 (15sec)"/>
    <m/>
  </r>
  <r>
    <n v="630"/>
    <x v="0"/>
    <s v="Mitchell"/>
    <x v="82"/>
    <x v="4"/>
    <s v="Training"/>
    <s v="Yes"/>
    <m/>
    <m/>
    <m/>
    <n v="5"/>
    <n v="186.04651162790697"/>
    <m/>
    <x v="3"/>
    <m/>
    <m/>
  </r>
  <r>
    <n v="631"/>
    <x v="0"/>
    <s v="Mitchell"/>
    <x v="82"/>
    <x v="11"/>
    <s v="Training"/>
    <m/>
    <m/>
    <m/>
    <m/>
    <n v="6"/>
    <n v="73.053892215568865"/>
    <m/>
    <x v="2"/>
    <m/>
    <m/>
  </r>
  <r>
    <n v="632"/>
    <x v="0"/>
    <s v="Mitchell"/>
    <x v="82"/>
    <x v="4"/>
    <s v="Training"/>
    <s v="Yes"/>
    <m/>
    <m/>
    <m/>
    <m/>
    <n v="145"/>
    <m/>
    <x v="3"/>
    <s v="4-3-2 (15sec)"/>
    <m/>
  </r>
  <r>
    <n v="633"/>
    <x v="4"/>
    <s v="Presbury"/>
    <x v="82"/>
    <x v="7"/>
    <s v="Training"/>
    <m/>
    <m/>
    <m/>
    <m/>
    <n v="5"/>
    <n v="81.395348837209298"/>
    <m/>
    <x v="2"/>
    <m/>
    <m/>
  </r>
  <r>
    <n v="634"/>
    <x v="4"/>
    <s v="Presbury"/>
    <x v="82"/>
    <x v="11"/>
    <s v="Training"/>
    <m/>
    <m/>
    <m/>
    <m/>
    <n v="8"/>
    <n v="81.528662420382162"/>
    <m/>
    <x v="2"/>
    <m/>
    <m/>
  </r>
  <r>
    <n v="635"/>
    <x v="10"/>
    <s v="Schofield"/>
    <x v="82"/>
    <x v="11"/>
    <s v="Training"/>
    <m/>
    <m/>
    <m/>
    <m/>
    <n v="6"/>
    <n v="39.52095808383234"/>
    <m/>
    <x v="2"/>
    <m/>
    <m/>
  </r>
  <r>
    <n v="636"/>
    <x v="1"/>
    <s v="Archibold"/>
    <x v="82"/>
    <x v="0"/>
    <s v="Training"/>
    <s v="No"/>
    <m/>
    <m/>
    <m/>
    <n v="5"/>
    <n v="186.04651162790697"/>
    <m/>
    <x v="9"/>
    <m/>
    <m/>
  </r>
  <r>
    <n v="637"/>
    <x v="1"/>
    <s v="Archibold"/>
    <x v="82"/>
    <x v="11"/>
    <s v="Training"/>
    <m/>
    <m/>
    <m/>
    <m/>
    <n v="6"/>
    <n v="79.041916167664681"/>
    <m/>
    <x v="2"/>
    <m/>
    <m/>
  </r>
  <r>
    <n v="638"/>
    <x v="1"/>
    <s v="Archibold"/>
    <x v="82"/>
    <x v="0"/>
    <s v="Training"/>
    <m/>
    <m/>
    <m/>
    <m/>
    <m/>
    <n v="190"/>
    <m/>
    <x v="8"/>
    <s v="4-3-2 (15sec)"/>
    <m/>
  </r>
  <r>
    <n v="639"/>
    <x v="3"/>
    <s v="Van Velt Hooven"/>
    <x v="82"/>
    <x v="0"/>
    <s v="Training"/>
    <m/>
    <m/>
    <m/>
    <m/>
    <n v="3"/>
    <n v="186.8131868131868"/>
    <m/>
    <x v="11"/>
    <s v="Power "/>
    <m/>
  </r>
  <r>
    <n v="640"/>
    <x v="5"/>
    <s v="McKenzie"/>
    <x v="82"/>
    <x v="4"/>
    <s v="Training"/>
    <s v="Yes"/>
    <m/>
    <m/>
    <m/>
    <n v="5"/>
    <n v="156.97674418604652"/>
    <m/>
    <x v="12"/>
    <m/>
    <m/>
  </r>
  <r>
    <n v="641"/>
    <x v="5"/>
    <s v="McKenzie"/>
    <x v="82"/>
    <x v="4"/>
    <s v="Training"/>
    <m/>
    <m/>
    <m/>
    <m/>
    <m/>
    <n v="130"/>
    <m/>
    <x v="12"/>
    <s v="4-3-2 (15sec)"/>
    <m/>
  </r>
  <r>
    <n v="642"/>
    <x v="7"/>
    <s v="Williams"/>
    <x v="82"/>
    <x v="0"/>
    <s v="Training"/>
    <m/>
    <m/>
    <m/>
    <m/>
    <n v="3"/>
    <n v="164.83516483516482"/>
    <m/>
    <x v="11"/>
    <s v="Power "/>
    <m/>
  </r>
  <r>
    <n v="643"/>
    <x v="0"/>
    <s v="Mitchell"/>
    <x v="83"/>
    <x v="5"/>
    <s v="Training"/>
    <m/>
    <m/>
    <m/>
    <m/>
    <n v="3"/>
    <n v="164.83516483516482"/>
    <m/>
    <x v="14"/>
    <m/>
    <m/>
  </r>
  <r>
    <n v="644"/>
    <x v="4"/>
    <s v="Presbury"/>
    <x v="83"/>
    <x v="5"/>
    <s v="Training"/>
    <m/>
    <m/>
    <m/>
    <m/>
    <n v="3"/>
    <n v="153.84615384615384"/>
    <m/>
    <x v="14"/>
    <m/>
    <m/>
  </r>
  <r>
    <n v="645"/>
    <x v="10"/>
    <s v="Schofield"/>
    <x v="83"/>
    <x v="13"/>
    <s v="Training"/>
    <m/>
    <s v="Power"/>
    <m/>
    <m/>
    <n v="3"/>
    <n v="241.75824175824175"/>
    <m/>
    <x v="2"/>
    <m/>
    <m/>
  </r>
  <r>
    <n v="646"/>
    <x v="1"/>
    <s v="Archibold"/>
    <x v="83"/>
    <x v="5"/>
    <s v="Training"/>
    <m/>
    <m/>
    <m/>
    <m/>
    <n v="3"/>
    <n v="219.78021978021977"/>
    <m/>
    <x v="14"/>
    <m/>
    <m/>
  </r>
  <r>
    <n v="647"/>
    <x v="3"/>
    <s v="Van Velt Hooven"/>
    <x v="83"/>
    <x v="5"/>
    <s v="Training"/>
    <m/>
    <m/>
    <m/>
    <m/>
    <n v="3"/>
    <n v="186.8131868131868"/>
    <m/>
    <x v="14"/>
    <m/>
    <m/>
  </r>
  <r>
    <n v="648"/>
    <x v="5"/>
    <s v="McKenzie"/>
    <x v="83"/>
    <x v="5"/>
    <s v="Training"/>
    <m/>
    <m/>
    <m/>
    <m/>
    <n v="3"/>
    <n v="131.86813186813185"/>
    <m/>
    <x v="14"/>
    <m/>
    <m/>
  </r>
  <r>
    <n v="649"/>
    <x v="7"/>
    <s v="Williams"/>
    <x v="83"/>
    <x v="5"/>
    <s v="Training"/>
    <m/>
    <m/>
    <m/>
    <m/>
    <n v="3"/>
    <n v="164.83516483516482"/>
    <m/>
    <x v="14"/>
    <m/>
    <m/>
  </r>
  <r>
    <n v="650"/>
    <x v="4"/>
    <s v="Presbury"/>
    <x v="84"/>
    <x v="4"/>
    <s v="Training"/>
    <s v="No"/>
    <m/>
    <m/>
    <m/>
    <n v="6"/>
    <n v="119.76047904191617"/>
    <m/>
    <x v="12"/>
    <m/>
    <m/>
  </r>
  <r>
    <n v="651"/>
    <x v="4"/>
    <s v="Presbury"/>
    <x v="84"/>
    <x v="1"/>
    <s v="Training"/>
    <m/>
    <m/>
    <m/>
    <m/>
    <n v="6"/>
    <n v="215.56886227544911"/>
    <m/>
    <x v="2"/>
    <m/>
    <m/>
  </r>
  <r>
    <n v="652"/>
    <x v="4"/>
    <s v="Presbury"/>
    <x v="84"/>
    <x v="9"/>
    <s v="Training"/>
    <m/>
    <m/>
    <m/>
    <m/>
    <n v="20"/>
    <n v="181.51815181518151"/>
    <m/>
    <x v="2"/>
    <m/>
    <m/>
  </r>
  <r>
    <n v="653"/>
    <x v="4"/>
    <s v="Presbury"/>
    <x v="84"/>
    <x v="16"/>
    <s v="Training"/>
    <m/>
    <m/>
    <m/>
    <m/>
    <n v="21"/>
    <n v="81.570996978851966"/>
    <m/>
    <x v="2"/>
    <s v="Matrix"/>
    <m/>
  </r>
  <r>
    <n v="654"/>
    <x v="3"/>
    <s v="Van Velt Hooven"/>
    <x v="84"/>
    <x v="7"/>
    <s v="Training"/>
    <m/>
    <m/>
    <m/>
    <m/>
    <n v="4"/>
    <n v="101.69491525423729"/>
    <m/>
    <x v="2"/>
    <m/>
    <m/>
  </r>
  <r>
    <n v="655"/>
    <x v="3"/>
    <s v="Van Velt Hooven"/>
    <x v="84"/>
    <x v="14"/>
    <s v="Training"/>
    <m/>
    <m/>
    <m/>
    <m/>
    <n v="5"/>
    <n v="127.90697674418605"/>
    <m/>
    <x v="8"/>
    <m/>
    <m/>
  </r>
  <r>
    <n v="656"/>
    <x v="3"/>
    <s v="Van Velt Hooven"/>
    <x v="84"/>
    <x v="11"/>
    <s v="Training"/>
    <m/>
    <m/>
    <m/>
    <m/>
    <n v="8"/>
    <n v="77.70700636942675"/>
    <m/>
    <x v="2"/>
    <m/>
    <m/>
  </r>
  <r>
    <n v="657"/>
    <x v="7"/>
    <s v="Williams"/>
    <x v="84"/>
    <x v="7"/>
    <s v="Training"/>
    <m/>
    <m/>
    <m/>
    <m/>
    <n v="5"/>
    <n v="98.83720930232559"/>
    <m/>
    <x v="2"/>
    <m/>
    <m/>
  </r>
  <r>
    <n v="658"/>
    <x v="7"/>
    <s v="Williams"/>
    <x v="84"/>
    <x v="14"/>
    <s v="Training"/>
    <m/>
    <m/>
    <m/>
    <m/>
    <n v="6"/>
    <n v="95.808383233532936"/>
    <m/>
    <x v="8"/>
    <m/>
    <m/>
  </r>
  <r>
    <n v="659"/>
    <x v="7"/>
    <s v="Williams"/>
    <x v="84"/>
    <x v="11"/>
    <s v="Training"/>
    <m/>
    <m/>
    <m/>
    <m/>
    <n v="8"/>
    <n v="72.611464968152859"/>
    <m/>
    <x v="2"/>
    <m/>
    <m/>
  </r>
  <r>
    <n v="660"/>
    <x v="4"/>
    <s v="Presbury"/>
    <x v="85"/>
    <x v="7"/>
    <s v="Training"/>
    <m/>
    <m/>
    <m/>
    <m/>
    <n v="5"/>
    <n v="87.20930232558139"/>
    <m/>
    <x v="2"/>
    <m/>
    <m/>
  </r>
  <r>
    <n v="661"/>
    <x v="4"/>
    <s v="Presbury"/>
    <x v="85"/>
    <x v="11"/>
    <s v="Training"/>
    <m/>
    <m/>
    <m/>
    <m/>
    <n v="8"/>
    <n v="86.624203821656053"/>
    <m/>
    <x v="2"/>
    <m/>
    <m/>
  </r>
  <r>
    <n v="662"/>
    <x v="3"/>
    <s v="Van Velt Hooven"/>
    <x v="85"/>
    <x v="5"/>
    <s v="Training"/>
    <m/>
    <m/>
    <m/>
    <m/>
    <n v="3"/>
    <n v="208.79120879120879"/>
    <m/>
    <x v="14"/>
    <m/>
    <m/>
  </r>
  <r>
    <n v="663"/>
    <x v="3"/>
    <s v="Van Velt Hooven"/>
    <x v="85"/>
    <x v="0"/>
    <s v="Training"/>
    <m/>
    <m/>
    <m/>
    <m/>
    <n v="3"/>
    <n v="186.8131868131868"/>
    <m/>
    <x v="11"/>
    <s v="Power "/>
    <m/>
  </r>
  <r>
    <n v="664"/>
    <x v="3"/>
    <s v="Van Velt Hooven"/>
    <x v="85"/>
    <x v="19"/>
    <s v="Training"/>
    <m/>
    <m/>
    <m/>
    <m/>
    <n v="3"/>
    <n v="43.956043956043956"/>
    <m/>
    <x v="2"/>
    <m/>
    <m/>
  </r>
  <r>
    <n v="665"/>
    <x v="7"/>
    <s v="Williams"/>
    <x v="85"/>
    <x v="0"/>
    <s v="Training"/>
    <m/>
    <m/>
    <m/>
    <m/>
    <n v="3"/>
    <n v="164.83516483516482"/>
    <m/>
    <x v="11"/>
    <s v="Power "/>
    <m/>
  </r>
  <r>
    <n v="666"/>
    <x v="4"/>
    <s v="Presbury"/>
    <x v="86"/>
    <x v="5"/>
    <s v="Training"/>
    <m/>
    <m/>
    <m/>
    <m/>
    <n v="3"/>
    <n v="159.34065934065933"/>
    <m/>
    <x v="14"/>
    <m/>
    <m/>
  </r>
  <r>
    <n v="667"/>
    <x v="7"/>
    <s v="Williams"/>
    <x v="86"/>
    <x v="5"/>
    <s v="Training"/>
    <m/>
    <m/>
    <m/>
    <m/>
    <n v="3"/>
    <n v="170.32967032967034"/>
    <m/>
    <x v="14"/>
    <m/>
    <m/>
  </r>
  <r>
    <n v="668"/>
    <x v="4"/>
    <s v="Presbury"/>
    <x v="87"/>
    <x v="4"/>
    <s v="Training"/>
    <s v="No"/>
    <m/>
    <m/>
    <m/>
    <n v="6"/>
    <n v="131.7365269461078"/>
    <m/>
    <x v="12"/>
    <m/>
    <m/>
  </r>
  <r>
    <n v="669"/>
    <x v="3"/>
    <s v="Van Velt Hooven"/>
    <x v="87"/>
    <x v="7"/>
    <s v="Training"/>
    <m/>
    <m/>
    <m/>
    <m/>
    <n v="4"/>
    <n v="90.395480225988706"/>
    <m/>
    <x v="2"/>
    <m/>
    <m/>
  </r>
  <r>
    <n v="670"/>
    <x v="3"/>
    <s v="Van Velt Hooven"/>
    <x v="87"/>
    <x v="33"/>
    <s v="Training"/>
    <m/>
    <m/>
    <m/>
    <m/>
    <n v="6"/>
    <n v="107.78443113772455"/>
    <m/>
    <x v="2"/>
    <m/>
    <m/>
  </r>
  <r>
    <n v="671"/>
    <x v="3"/>
    <s v="Van Velt Hooven"/>
    <x v="87"/>
    <x v="11"/>
    <s v="Training"/>
    <m/>
    <m/>
    <m/>
    <m/>
    <n v="8"/>
    <n v="81.528662420382162"/>
    <m/>
    <x v="2"/>
    <m/>
    <m/>
  </r>
  <r>
    <n v="672"/>
    <x v="7"/>
    <s v="Williams"/>
    <x v="87"/>
    <x v="7"/>
    <s v="Training"/>
    <m/>
    <m/>
    <m/>
    <m/>
    <n v="4"/>
    <n v="96.045197740112997"/>
    <m/>
    <x v="2"/>
    <m/>
    <m/>
  </r>
  <r>
    <n v="673"/>
    <x v="7"/>
    <s v="Williams"/>
    <x v="87"/>
    <x v="14"/>
    <s v="Training"/>
    <m/>
    <m/>
    <m/>
    <m/>
    <n v="6"/>
    <n v="113.77245508982037"/>
    <m/>
    <x v="8"/>
    <m/>
    <m/>
  </r>
  <r>
    <n v="674"/>
    <x v="7"/>
    <s v="Williams"/>
    <x v="87"/>
    <x v="33"/>
    <s v="Training"/>
    <m/>
    <m/>
    <m/>
    <m/>
    <n v="6"/>
    <n v="83.832335329341319"/>
    <m/>
    <x v="2"/>
    <m/>
    <m/>
  </r>
  <r>
    <n v="675"/>
    <x v="7"/>
    <s v="Williams"/>
    <x v="87"/>
    <x v="11"/>
    <s v="Training"/>
    <m/>
    <m/>
    <m/>
    <m/>
    <n v="8"/>
    <n v="77.70700636942675"/>
    <m/>
    <x v="2"/>
    <m/>
    <m/>
  </r>
  <r>
    <n v="676"/>
    <x v="6"/>
    <s v="Dawkins"/>
    <x v="88"/>
    <x v="4"/>
    <s v="Test"/>
    <m/>
    <s v="Rep Chall."/>
    <s v="Post-Oceanias (Wk1)"/>
    <n v="220"/>
    <n v="3"/>
    <n v="241.75824175824175"/>
    <n v="101.9"/>
    <x v="3"/>
    <s v="Reps,Wraps"/>
    <s v="(220 x 3 Reps,Wraps)"/>
  </r>
  <r>
    <n v="677"/>
    <x v="0"/>
    <s v="Mitchell"/>
    <x v="88"/>
    <x v="4"/>
    <s v="Test"/>
    <m/>
    <s v="Rep Chall."/>
    <s v="Post-Oceanias (Wk1)"/>
    <n v="160"/>
    <n v="9"/>
    <n v="210.52631578947367"/>
    <n v="83.9"/>
    <x v="3"/>
    <s v="Looked Easy"/>
    <s v="(160 x 9 Reps, Looked Easy)"/>
  </r>
  <r>
    <n v="678"/>
    <x v="1"/>
    <s v="Archibald"/>
    <x v="88"/>
    <x v="4"/>
    <s v="Test"/>
    <m/>
    <s v="Rep Chall."/>
    <s v="Post-Oceanias (Wk1)"/>
    <n v="180"/>
    <n v="5"/>
    <n v="209.30232558139537"/>
    <n v="96.2"/>
    <x v="3"/>
    <s v="ATG,Back gave out at 5. Feeling sick today"/>
    <s v="(180 x 5 Reps,ATG,Back gave out at 5. Feeling sick today)"/>
  </r>
  <r>
    <n v="679"/>
    <x v="2"/>
    <s v="Webster"/>
    <x v="88"/>
    <x v="4"/>
    <s v="Test"/>
    <m/>
    <s v="Rep Chall."/>
    <s v="Post-Oceanias (Wk1)"/>
    <n v="140"/>
    <n v="5"/>
    <n v="162.7906976744186"/>
    <n v="83"/>
    <x v="3"/>
    <s v=", Felt right shoulder tightening up. Looked good."/>
    <s v="(140 x 5 Reps, Felt right shoulder tightening up. Looked good.)"/>
  </r>
  <r>
    <n v="680"/>
    <x v="3"/>
    <s v="Van Velt Hooven"/>
    <x v="88"/>
    <x v="4"/>
    <s v="Test"/>
    <m/>
    <s v="Rep Chall."/>
    <s v="Post-Oceanias (Wk1)"/>
    <m/>
    <m/>
    <n v="216"/>
    <n v="92.5"/>
    <x v="3"/>
    <s v="Japan, above is 20 Oct 14"/>
    <s v="(Japan, above is 20 Oct 14)"/>
  </r>
  <r>
    <n v="681"/>
    <x v="5"/>
    <s v="Mackenzie"/>
    <x v="88"/>
    <x v="4"/>
    <s v="Test"/>
    <m/>
    <s v="Rep Chall."/>
    <s v="Post-Oceanias (Wk1)"/>
    <n v="130"/>
    <n v="7"/>
    <n v="160.49382716049382"/>
    <n v="79.900000000000006"/>
    <x v="3"/>
    <s v="45cm"/>
    <s v="(130 x 7 Reps, 45cm)"/>
  </r>
  <r>
    <n v="682"/>
    <x v="3"/>
    <s v="Van Velt Hooven"/>
    <x v="89"/>
    <x v="13"/>
    <s v="Test"/>
    <m/>
    <m/>
    <s v="Post-CMGs Strength training"/>
    <n v="400"/>
    <n v="20"/>
    <n v="660"/>
    <n v="92.5"/>
    <x v="2"/>
    <m/>
    <s v="(400 x 20)"/>
  </r>
  <r>
    <n v="683"/>
    <x v="10"/>
    <s v="Schofield"/>
    <x v="89"/>
    <x v="13"/>
    <s v="Test"/>
    <m/>
    <s v="#7 depth ~ 100 degrees at knee"/>
    <s v="Post-CMGs Strength training"/>
    <n v="270"/>
    <n v="15"/>
    <n v="415"/>
    <n v="73.2"/>
    <x v="2"/>
    <m/>
    <s v="(270 x 15)"/>
  </r>
  <r>
    <n v="684"/>
    <x v="9"/>
    <s v="Hansen"/>
    <x v="89"/>
    <x v="13"/>
    <s v="Test"/>
    <m/>
    <s v="#1 depth, 90 Degrees at Knee"/>
    <s v="Post-CMGs Strength training"/>
    <n v="320"/>
    <n v="1"/>
    <n v="320"/>
    <n v="68.8"/>
    <x v="2"/>
    <m/>
    <s v="(320 x 1)"/>
  </r>
  <r>
    <n v="685"/>
    <x v="8"/>
    <s v="Sheppard"/>
    <x v="89"/>
    <x v="13"/>
    <s v="Test"/>
    <m/>
    <m/>
    <s v="Post-CMGs Strength training"/>
    <n v="340"/>
    <n v="6"/>
    <n v="407.18562874251501"/>
    <n v="82.4"/>
    <x v="2"/>
    <m/>
    <s v="(340 x 6)"/>
  </r>
  <r>
    <n v="686"/>
    <x v="7"/>
    <s v="Williams"/>
    <x v="89"/>
    <x v="13"/>
    <s v="Test"/>
    <m/>
    <m/>
    <s v="Post-CMGs Strength training"/>
    <n v="450"/>
    <n v="5"/>
    <n v="523.25581395348843"/>
    <n v="89.9"/>
    <x v="2"/>
    <m/>
    <s v="(450 x 5)"/>
  </r>
  <r>
    <n v="687"/>
    <x v="4"/>
    <s v="Presbury"/>
    <x v="89"/>
    <x v="3"/>
    <s v="Training"/>
    <m/>
    <m/>
    <m/>
    <m/>
    <n v="4"/>
    <n v="84.745762711864401"/>
    <m/>
    <x v="2"/>
    <m/>
    <m/>
  </r>
  <r>
    <n v="688"/>
    <x v="4"/>
    <s v="Presbury"/>
    <x v="89"/>
    <x v="11"/>
    <s v="Training"/>
    <m/>
    <m/>
    <m/>
    <m/>
    <n v="8"/>
    <n v="86.624203821656053"/>
    <m/>
    <x v="2"/>
    <m/>
    <m/>
  </r>
  <r>
    <n v="689"/>
    <x v="4"/>
    <s v="Presbury"/>
    <x v="89"/>
    <x v="13"/>
    <s v="Training"/>
    <m/>
    <m/>
    <m/>
    <m/>
    <m/>
    <n v="395.06172839506172"/>
    <m/>
    <x v="2"/>
    <m/>
    <m/>
  </r>
  <r>
    <n v="690"/>
    <x v="3"/>
    <s v="Van Velt Hooven"/>
    <x v="89"/>
    <x v="0"/>
    <s v="Training"/>
    <m/>
    <m/>
    <m/>
    <m/>
    <n v="3"/>
    <n v="186.8131868131868"/>
    <m/>
    <x v="11"/>
    <s v="Power "/>
    <m/>
  </r>
  <r>
    <n v="691"/>
    <x v="3"/>
    <s v="Van Velt Hooven"/>
    <x v="89"/>
    <x v="13"/>
    <s v="Training"/>
    <m/>
    <m/>
    <m/>
    <n v="400"/>
    <n v="20"/>
    <n v="660.0660066006601"/>
    <m/>
    <x v="2"/>
    <m/>
    <m/>
  </r>
  <r>
    <n v="692"/>
    <x v="7"/>
    <s v="Williams"/>
    <x v="89"/>
    <x v="0"/>
    <s v="Training"/>
    <m/>
    <m/>
    <m/>
    <m/>
    <n v="3"/>
    <n v="175.82417582417582"/>
    <m/>
    <x v="11"/>
    <s v="Power "/>
    <m/>
  </r>
  <r>
    <n v="693"/>
    <x v="7"/>
    <s v="Williams"/>
    <x v="89"/>
    <x v="13"/>
    <s v="Training"/>
    <m/>
    <m/>
    <m/>
    <m/>
    <m/>
    <n v="537.79069767441865"/>
    <m/>
    <x v="2"/>
    <m/>
    <m/>
  </r>
  <r>
    <n v="694"/>
    <x v="4"/>
    <s v="Presbury"/>
    <x v="90"/>
    <x v="5"/>
    <s v="Training"/>
    <m/>
    <m/>
    <m/>
    <m/>
    <n v="3"/>
    <n v="164.83516483516482"/>
    <m/>
    <x v="14"/>
    <m/>
    <m/>
  </r>
  <r>
    <n v="695"/>
    <x v="10"/>
    <s v="Schofield"/>
    <x v="90"/>
    <x v="7"/>
    <s v="Training"/>
    <m/>
    <m/>
    <m/>
    <m/>
    <n v="3"/>
    <n v="54.945054945054942"/>
    <m/>
    <x v="2"/>
    <s v="Snappy"/>
    <m/>
  </r>
  <r>
    <n v="696"/>
    <x v="3"/>
    <s v="Van Velt Hooven"/>
    <x v="90"/>
    <x v="5"/>
    <s v="Training"/>
    <m/>
    <m/>
    <m/>
    <m/>
    <n v="3"/>
    <n v="241.75824175824175"/>
    <m/>
    <x v="14"/>
    <m/>
    <m/>
  </r>
  <r>
    <n v="697"/>
    <x v="5"/>
    <s v="McKenzie"/>
    <x v="90"/>
    <x v="7"/>
    <s v="Training"/>
    <m/>
    <m/>
    <m/>
    <m/>
    <n v="3"/>
    <n v="71.428571428571431"/>
    <m/>
    <x v="2"/>
    <m/>
    <m/>
  </r>
  <r>
    <n v="698"/>
    <x v="6"/>
    <s v="Dawkins"/>
    <x v="91"/>
    <x v="7"/>
    <s v="Training"/>
    <m/>
    <m/>
    <m/>
    <m/>
    <n v="3"/>
    <n v="98.901098901098891"/>
    <m/>
    <x v="2"/>
    <m/>
    <m/>
  </r>
  <r>
    <n v="699"/>
    <x v="6"/>
    <s v="Dawkins"/>
    <x v="91"/>
    <x v="20"/>
    <s v="Training"/>
    <m/>
    <m/>
    <m/>
    <n v="80"/>
    <n v="6"/>
    <n v="1157"/>
    <m/>
    <x v="2"/>
    <s v="Left?"/>
    <m/>
  </r>
  <r>
    <n v="700"/>
    <x v="6"/>
    <s v="Dawkins"/>
    <x v="91"/>
    <x v="34"/>
    <s v="Training"/>
    <m/>
    <m/>
    <m/>
    <m/>
    <n v="6"/>
    <n v="215.56886227544911"/>
    <m/>
    <x v="2"/>
    <s v="Red Band"/>
    <m/>
  </r>
  <r>
    <n v="701"/>
    <x v="6"/>
    <s v="Dawkins"/>
    <x v="91"/>
    <x v="20"/>
    <s v="Training"/>
    <m/>
    <m/>
    <m/>
    <n v="80"/>
    <n v="6"/>
    <n v="1414"/>
    <m/>
    <x v="2"/>
    <s v="Right?"/>
    <m/>
  </r>
  <r>
    <n v="702"/>
    <x v="6"/>
    <s v="Dawkins"/>
    <x v="91"/>
    <x v="4"/>
    <s v="Training"/>
    <s v="Yes"/>
    <m/>
    <m/>
    <m/>
    <m/>
    <n v="241.75824175824175"/>
    <m/>
    <x v="3"/>
    <s v="Wraps"/>
    <m/>
  </r>
  <r>
    <n v="703"/>
    <x v="0"/>
    <s v="Mitchell"/>
    <x v="91"/>
    <x v="7"/>
    <s v="Training"/>
    <m/>
    <m/>
    <m/>
    <m/>
    <n v="3"/>
    <n v="87.912087912087912"/>
    <m/>
    <x v="2"/>
    <m/>
    <m/>
  </r>
  <r>
    <n v="704"/>
    <x v="0"/>
    <s v="Mitchell"/>
    <x v="91"/>
    <x v="20"/>
    <s v="Training"/>
    <m/>
    <m/>
    <m/>
    <n v="60"/>
    <n v="6"/>
    <n v="1194"/>
    <m/>
    <x v="2"/>
    <s v="Left?"/>
    <m/>
  </r>
  <r>
    <n v="705"/>
    <x v="0"/>
    <s v="Mitchell"/>
    <x v="91"/>
    <x v="20"/>
    <s v="Training"/>
    <m/>
    <m/>
    <m/>
    <n v="60"/>
    <n v="6"/>
    <n v="1460"/>
    <m/>
    <x v="2"/>
    <s v="Right?"/>
    <m/>
  </r>
  <r>
    <n v="706"/>
    <x v="0"/>
    <s v="Mitchell"/>
    <x v="91"/>
    <x v="1"/>
    <s v="Training"/>
    <m/>
    <m/>
    <m/>
    <m/>
    <n v="6"/>
    <n v="203.5928143712575"/>
    <m/>
    <x v="2"/>
    <m/>
    <m/>
  </r>
  <r>
    <n v="707"/>
    <x v="0"/>
    <s v="Mitchell"/>
    <x v="91"/>
    <x v="4"/>
    <s v="Training"/>
    <s v="Yes"/>
    <m/>
    <m/>
    <m/>
    <m/>
    <n v="210.52631578947367"/>
    <m/>
    <x v="3"/>
    <m/>
    <m/>
  </r>
  <r>
    <n v="708"/>
    <x v="4"/>
    <s v="Presbury"/>
    <x v="91"/>
    <x v="4"/>
    <s v="Training"/>
    <s v="No"/>
    <m/>
    <m/>
    <m/>
    <n v="6"/>
    <n v="143.7125748502994"/>
    <m/>
    <x v="12"/>
    <m/>
    <m/>
  </r>
  <r>
    <n v="709"/>
    <x v="4"/>
    <s v="Presbury"/>
    <x v="91"/>
    <x v="9"/>
    <s v="Training"/>
    <m/>
    <m/>
    <m/>
    <m/>
    <n v="15"/>
    <n v="211.48036253776434"/>
    <m/>
    <x v="2"/>
    <m/>
    <m/>
  </r>
  <r>
    <n v="710"/>
    <x v="4"/>
    <s v="Presbury"/>
    <x v="91"/>
    <x v="16"/>
    <s v="Training"/>
    <m/>
    <m/>
    <m/>
    <m/>
    <n v="21"/>
    <n v="81.570996978851966"/>
    <m/>
    <x v="2"/>
    <s v="Matrix"/>
    <m/>
  </r>
  <r>
    <n v="711"/>
    <x v="10"/>
    <s v="Schofield"/>
    <x v="91"/>
    <x v="30"/>
    <s v="Training"/>
    <m/>
    <m/>
    <m/>
    <m/>
    <n v="6"/>
    <n v="64.670658682634738"/>
    <m/>
    <x v="2"/>
    <m/>
    <m/>
  </r>
  <r>
    <n v="712"/>
    <x v="10"/>
    <s v="Schofield"/>
    <x v="91"/>
    <x v="13"/>
    <s v="Training"/>
    <m/>
    <m/>
    <m/>
    <m/>
    <m/>
    <n v="407.85498489425981"/>
    <m/>
    <x v="2"/>
    <m/>
    <m/>
  </r>
  <r>
    <n v="713"/>
    <x v="1"/>
    <s v="Archibold"/>
    <x v="91"/>
    <x v="34"/>
    <s v="Training"/>
    <m/>
    <m/>
    <m/>
    <m/>
    <n v="6"/>
    <n v="215.56886227544911"/>
    <m/>
    <x v="2"/>
    <s v="Red Band"/>
    <m/>
  </r>
  <r>
    <n v="714"/>
    <x v="3"/>
    <s v="Van Velt Hooven"/>
    <x v="91"/>
    <x v="3"/>
    <s v="Training"/>
    <m/>
    <m/>
    <m/>
    <m/>
    <n v="4"/>
    <n v="112.99435028248587"/>
    <m/>
    <x v="2"/>
    <m/>
    <m/>
  </r>
  <r>
    <n v="715"/>
    <x v="3"/>
    <s v="Van Velt Hooven"/>
    <x v="91"/>
    <x v="4"/>
    <s v="Training"/>
    <s v="Yes"/>
    <m/>
    <m/>
    <m/>
    <n v="5"/>
    <n v="197.67441860465118"/>
    <m/>
    <x v="3"/>
    <m/>
    <m/>
  </r>
  <r>
    <n v="716"/>
    <x v="3"/>
    <s v="Van Velt Hooven"/>
    <x v="91"/>
    <x v="33"/>
    <s v="Training"/>
    <m/>
    <m/>
    <m/>
    <m/>
    <n v="6"/>
    <n v="71.856287425149702"/>
    <m/>
    <x v="2"/>
    <m/>
    <m/>
  </r>
  <r>
    <n v="717"/>
    <x v="5"/>
    <s v="McKenzie"/>
    <x v="91"/>
    <x v="30"/>
    <s v="Training"/>
    <m/>
    <m/>
    <m/>
    <m/>
    <n v="6"/>
    <n v="81.437125748502993"/>
    <m/>
    <x v="2"/>
    <m/>
    <m/>
  </r>
  <r>
    <n v="718"/>
    <x v="5"/>
    <s v="McKenzie"/>
    <x v="91"/>
    <x v="1"/>
    <s v="Training"/>
    <m/>
    <m/>
    <m/>
    <m/>
    <n v="6"/>
    <n v="161.67664670658684"/>
    <m/>
    <x v="2"/>
    <m/>
    <m/>
  </r>
  <r>
    <n v="719"/>
    <x v="5"/>
    <s v="McKenzie"/>
    <x v="91"/>
    <x v="4"/>
    <s v="Training"/>
    <s v="Yes"/>
    <m/>
    <m/>
    <m/>
    <m/>
    <n v="160.49382716049382"/>
    <m/>
    <x v="12"/>
    <m/>
    <m/>
  </r>
  <r>
    <n v="720"/>
    <x v="7"/>
    <s v="Williams"/>
    <x v="91"/>
    <x v="3"/>
    <s v="Training"/>
    <m/>
    <m/>
    <m/>
    <m/>
    <n v="4"/>
    <n v="101.69491525423729"/>
    <m/>
    <x v="2"/>
    <m/>
    <m/>
  </r>
  <r>
    <n v="721"/>
    <x v="7"/>
    <s v="Williams"/>
    <x v="91"/>
    <x v="4"/>
    <s v="Training"/>
    <s v="Yes"/>
    <m/>
    <m/>
    <m/>
    <n v="5"/>
    <n v="186.04651162790697"/>
    <m/>
    <x v="3"/>
    <m/>
    <m/>
  </r>
  <r>
    <n v="722"/>
    <x v="7"/>
    <s v="Williams"/>
    <x v="91"/>
    <x v="11"/>
    <s v="Training"/>
    <m/>
    <m/>
    <m/>
    <m/>
    <n v="8"/>
    <n v="77.70700636942675"/>
    <m/>
    <x v="2"/>
    <m/>
    <m/>
  </r>
  <r>
    <n v="723"/>
    <x v="3"/>
    <s v="Van Velt Hooven"/>
    <x v="92"/>
    <x v="4"/>
    <s v="Test"/>
    <m/>
    <s v="Rep Chall."/>
    <s v="Post-Tier 1 (Wk5)"/>
    <n v="180"/>
    <n v="6"/>
    <n v="215.56886227544911"/>
    <n v="92.2"/>
    <x v="3"/>
    <m/>
    <s v="(180 x 6 Reps)"/>
  </r>
  <r>
    <n v="724"/>
    <x v="7"/>
    <s v="Williams"/>
    <x v="92"/>
    <x v="4"/>
    <s v="Test"/>
    <m/>
    <s v="Rep Chall."/>
    <s v="Post-Tier 1 (Wk5)"/>
    <n v="170"/>
    <n v="5"/>
    <n v="197.67441860465118"/>
    <n v="90"/>
    <x v="3"/>
    <m/>
    <s v="(170 x 5 Reps)"/>
  </r>
  <r>
    <n v="725"/>
    <x v="8"/>
    <s v="Sheppard"/>
    <x v="92"/>
    <x v="4"/>
    <s v="Test"/>
    <m/>
    <s v="Rep Chall."/>
    <s v="Post-Tier 1 (Wk5)"/>
    <n v="120"/>
    <n v="4"/>
    <n v="136.36363636363637"/>
    <n v="82.9"/>
    <x v="3"/>
    <m/>
    <s v="(120 x 4 Reps)"/>
  </r>
  <r>
    <n v="726"/>
    <x v="6"/>
    <s v="Dawkins"/>
    <x v="92"/>
    <x v="3"/>
    <s v="Training"/>
    <m/>
    <m/>
    <m/>
    <m/>
    <n v="3"/>
    <n v="104.39560439560439"/>
    <m/>
    <x v="2"/>
    <m/>
    <m/>
  </r>
  <r>
    <n v="727"/>
    <x v="4"/>
    <s v="Presbury"/>
    <x v="92"/>
    <x v="4"/>
    <s v="Training"/>
    <s v="Yes"/>
    <m/>
    <m/>
    <m/>
    <m/>
    <n v="135.59322033898306"/>
    <m/>
    <x v="3"/>
    <m/>
    <m/>
  </r>
  <r>
    <n v="728"/>
    <x v="4"/>
    <s v="Presbury"/>
    <x v="92"/>
    <x v="13"/>
    <s v="Training"/>
    <m/>
    <m/>
    <m/>
    <m/>
    <m/>
    <n v="407.18562874251501"/>
    <m/>
    <x v="2"/>
    <m/>
    <m/>
  </r>
  <r>
    <n v="729"/>
    <x v="1"/>
    <s v="Archibold"/>
    <x v="92"/>
    <x v="3"/>
    <s v="Training"/>
    <m/>
    <m/>
    <m/>
    <m/>
    <n v="3"/>
    <n v="142.85714285714286"/>
    <m/>
    <x v="2"/>
    <m/>
    <m/>
  </r>
  <r>
    <n v="730"/>
    <x v="1"/>
    <s v="Archibold"/>
    <x v="92"/>
    <x v="0"/>
    <s v="Training"/>
    <s v="No"/>
    <m/>
    <m/>
    <m/>
    <m/>
    <n v="209.30232558139537"/>
    <m/>
    <x v="9"/>
    <m/>
    <m/>
  </r>
  <r>
    <n v="731"/>
    <x v="3"/>
    <s v="Van Velt Hooven"/>
    <x v="92"/>
    <x v="1"/>
    <s v="Training"/>
    <m/>
    <m/>
    <m/>
    <n v="200"/>
    <n v="3"/>
    <n v="220.75055187637972"/>
    <m/>
    <x v="2"/>
    <m/>
    <m/>
  </r>
  <r>
    <n v="732"/>
    <x v="3"/>
    <s v="Van Velt Hooven"/>
    <x v="92"/>
    <x v="4"/>
    <s v="Training"/>
    <s v="Yes"/>
    <m/>
    <m/>
    <m/>
    <m/>
    <n v="215.56886227544911"/>
    <m/>
    <x v="3"/>
    <m/>
    <m/>
  </r>
  <r>
    <n v="733"/>
    <x v="5"/>
    <s v="McKenzie"/>
    <x v="92"/>
    <x v="3"/>
    <s v="Training"/>
    <m/>
    <m/>
    <m/>
    <m/>
    <n v="3"/>
    <n v="76.92307692307692"/>
    <m/>
    <x v="2"/>
    <m/>
    <m/>
  </r>
  <r>
    <n v="734"/>
    <x v="7"/>
    <s v="Williams"/>
    <x v="92"/>
    <x v="4"/>
    <s v="Training"/>
    <s v="Yes"/>
    <m/>
    <m/>
    <m/>
    <m/>
    <n v="197.67441860465118"/>
    <m/>
    <x v="3"/>
    <m/>
    <m/>
  </r>
  <r>
    <n v="735"/>
    <x v="7"/>
    <s v="Williams"/>
    <x v="92"/>
    <x v="13"/>
    <s v="Training"/>
    <m/>
    <m/>
    <m/>
    <m/>
    <m/>
    <n v="523.25581395348843"/>
    <m/>
    <x v="2"/>
    <m/>
    <m/>
  </r>
  <r>
    <n v="736"/>
    <x v="4"/>
    <s v="Presbury"/>
    <x v="93"/>
    <x v="5"/>
    <s v="Training"/>
    <m/>
    <m/>
    <m/>
    <m/>
    <n v="3"/>
    <n v="175.82417582417582"/>
    <m/>
    <x v="14"/>
    <m/>
    <m/>
  </r>
  <r>
    <n v="737"/>
    <x v="1"/>
    <s v="Archibold"/>
    <x v="93"/>
    <x v="7"/>
    <s v="Training"/>
    <m/>
    <m/>
    <m/>
    <m/>
    <n v="3"/>
    <n v="131.86813186813185"/>
    <m/>
    <x v="2"/>
    <m/>
    <m/>
  </r>
  <r>
    <n v="738"/>
    <x v="3"/>
    <s v="Van Velt Hooven"/>
    <x v="93"/>
    <x v="5"/>
    <s v="Training"/>
    <m/>
    <m/>
    <m/>
    <m/>
    <n v="3"/>
    <n v="230.76923076923077"/>
    <m/>
    <x v="14"/>
    <m/>
    <m/>
  </r>
  <r>
    <n v="739"/>
    <x v="7"/>
    <s v="Williams"/>
    <x v="93"/>
    <x v="5"/>
    <s v="Training"/>
    <m/>
    <m/>
    <m/>
    <m/>
    <n v="3"/>
    <n v="209.87654320987653"/>
    <m/>
    <x v="14"/>
    <m/>
    <m/>
  </r>
  <r>
    <n v="740"/>
    <x v="6"/>
    <s v="Dawkins"/>
    <x v="94"/>
    <x v="4"/>
    <s v="Training"/>
    <s v="Yes"/>
    <m/>
    <m/>
    <m/>
    <n v="5"/>
    <n v="220.93023255813955"/>
    <m/>
    <x v="3"/>
    <m/>
    <m/>
  </r>
  <r>
    <n v="741"/>
    <x v="6"/>
    <s v="Dawkins"/>
    <x v="94"/>
    <x v="35"/>
    <s v="Training"/>
    <m/>
    <m/>
    <m/>
    <m/>
    <n v="5"/>
    <n v="27.906976744186046"/>
    <m/>
    <x v="2"/>
    <m/>
    <m/>
  </r>
  <r>
    <n v="742"/>
    <x v="6"/>
    <s v="Dawkins"/>
    <x v="94"/>
    <x v="34"/>
    <s v="Training"/>
    <m/>
    <m/>
    <m/>
    <m/>
    <n v="6"/>
    <n v="191.61676646706587"/>
    <m/>
    <x v="2"/>
    <s v="Red Band"/>
    <m/>
  </r>
  <r>
    <n v="743"/>
    <x v="6"/>
    <s v="Dawkins"/>
    <x v="94"/>
    <x v="30"/>
    <s v="Training"/>
    <m/>
    <m/>
    <m/>
    <m/>
    <n v="6"/>
    <n v="148.50299401197606"/>
    <m/>
    <x v="2"/>
    <m/>
    <m/>
  </r>
  <r>
    <n v="744"/>
    <x v="0"/>
    <s v="Mitchell"/>
    <x v="94"/>
    <x v="4"/>
    <s v="Training"/>
    <s v="Yes"/>
    <m/>
    <m/>
    <m/>
    <n v="5"/>
    <n v="174.41860465116278"/>
    <m/>
    <x v="3"/>
    <m/>
    <m/>
  </r>
  <r>
    <n v="745"/>
    <x v="0"/>
    <s v="Mitchell"/>
    <x v="94"/>
    <x v="35"/>
    <s v="Training"/>
    <m/>
    <m/>
    <m/>
    <m/>
    <n v="5"/>
    <n v="27.906976744186046"/>
    <m/>
    <x v="2"/>
    <m/>
    <m/>
  </r>
  <r>
    <n v="746"/>
    <x v="0"/>
    <s v="Mitchell"/>
    <x v="94"/>
    <x v="20"/>
    <s v="Training"/>
    <m/>
    <m/>
    <m/>
    <n v="60"/>
    <n v="6"/>
    <n v="1059"/>
    <m/>
    <x v="2"/>
    <s v="Left?"/>
    <m/>
  </r>
  <r>
    <n v="747"/>
    <x v="0"/>
    <s v="Mitchell"/>
    <x v="94"/>
    <x v="20"/>
    <s v="Training"/>
    <m/>
    <m/>
    <m/>
    <n v="60"/>
    <n v="6"/>
    <n v="1200"/>
    <m/>
    <x v="2"/>
    <s v="Right?"/>
    <m/>
  </r>
  <r>
    <n v="748"/>
    <x v="0"/>
    <s v="Mitchell"/>
    <x v="94"/>
    <x v="30"/>
    <s v="Training"/>
    <m/>
    <m/>
    <m/>
    <m/>
    <n v="6"/>
    <n v="123.35329341317366"/>
    <m/>
    <x v="2"/>
    <m/>
    <m/>
  </r>
  <r>
    <n v="749"/>
    <x v="0"/>
    <s v="Mitchell"/>
    <x v="94"/>
    <x v="1"/>
    <s v="Training"/>
    <m/>
    <m/>
    <m/>
    <m/>
    <n v="6"/>
    <n v="239.52095808383234"/>
    <m/>
    <x v="2"/>
    <m/>
    <m/>
  </r>
  <r>
    <n v="750"/>
    <x v="4"/>
    <s v="Presbury"/>
    <x v="94"/>
    <x v="3"/>
    <s v="Training"/>
    <m/>
    <m/>
    <m/>
    <m/>
    <n v="4"/>
    <n v="96.045197740112997"/>
    <m/>
    <x v="2"/>
    <m/>
    <m/>
  </r>
  <r>
    <n v="751"/>
    <x v="4"/>
    <s v="Presbury"/>
    <x v="94"/>
    <x v="11"/>
    <s v="Training"/>
    <m/>
    <m/>
    <m/>
    <m/>
    <n v="8"/>
    <n v="77.70700636942675"/>
    <m/>
    <x v="2"/>
    <m/>
    <m/>
  </r>
  <r>
    <n v="752"/>
    <x v="10"/>
    <s v="Schofield"/>
    <x v="94"/>
    <x v="7"/>
    <s v="Training"/>
    <m/>
    <m/>
    <m/>
    <m/>
    <n v="3"/>
    <n v="54.945054945054942"/>
    <m/>
    <x v="2"/>
    <s v="Snappy"/>
    <m/>
  </r>
  <r>
    <n v="753"/>
    <x v="10"/>
    <s v="Schofield"/>
    <x v="94"/>
    <x v="5"/>
    <s v="Training"/>
    <m/>
    <m/>
    <m/>
    <m/>
    <n v="5"/>
    <n v="139.53488372093022"/>
    <m/>
    <x v="14"/>
    <m/>
    <m/>
  </r>
  <r>
    <n v="754"/>
    <x v="10"/>
    <s v="Schofield"/>
    <x v="94"/>
    <x v="11"/>
    <s v="Training"/>
    <m/>
    <m/>
    <m/>
    <m/>
    <n v="6"/>
    <n v="73.053892215568865"/>
    <m/>
    <x v="2"/>
    <m/>
    <m/>
  </r>
  <r>
    <n v="755"/>
    <x v="1"/>
    <s v="Archibold"/>
    <x v="94"/>
    <x v="4"/>
    <s v="Training"/>
    <s v="Yes"/>
    <m/>
    <m/>
    <m/>
    <n v="5"/>
    <n v="244.18604651162792"/>
    <m/>
    <x v="3"/>
    <m/>
    <m/>
  </r>
  <r>
    <n v="756"/>
    <x v="1"/>
    <s v="Archibold"/>
    <x v="94"/>
    <x v="35"/>
    <s v="Training"/>
    <m/>
    <m/>
    <m/>
    <m/>
    <n v="5"/>
    <n v="13.953488372093023"/>
    <m/>
    <x v="2"/>
    <m/>
    <m/>
  </r>
  <r>
    <n v="757"/>
    <x v="1"/>
    <s v="Archibold"/>
    <x v="94"/>
    <x v="20"/>
    <s v="Training"/>
    <m/>
    <m/>
    <m/>
    <n v="80"/>
    <n v="6"/>
    <n v="1100"/>
    <m/>
    <x v="2"/>
    <s v="Left?"/>
    <m/>
  </r>
  <r>
    <n v="758"/>
    <x v="1"/>
    <s v="Archibold"/>
    <x v="94"/>
    <x v="34"/>
    <s v="Training"/>
    <m/>
    <m/>
    <m/>
    <m/>
    <n v="6"/>
    <n v="191.61676646706587"/>
    <m/>
    <x v="2"/>
    <s v="Red Band"/>
    <m/>
  </r>
  <r>
    <n v="759"/>
    <x v="1"/>
    <s v="Archibold"/>
    <x v="94"/>
    <x v="20"/>
    <s v="Training"/>
    <m/>
    <m/>
    <m/>
    <n v="80"/>
    <n v="6"/>
    <n v="1230"/>
    <m/>
    <x v="2"/>
    <s v="Right?"/>
    <m/>
  </r>
  <r>
    <n v="760"/>
    <x v="1"/>
    <s v="Archibold"/>
    <x v="94"/>
    <x v="30"/>
    <s v="Training"/>
    <m/>
    <m/>
    <m/>
    <m/>
    <n v="6"/>
    <n v="106.58682634730539"/>
    <m/>
    <x v="2"/>
    <m/>
    <m/>
  </r>
  <r>
    <n v="761"/>
    <x v="3"/>
    <s v="Van Velt Hooven"/>
    <x v="94"/>
    <x v="3"/>
    <s v="Training"/>
    <m/>
    <m/>
    <m/>
    <m/>
    <n v="3"/>
    <n v="120.87912087912088"/>
    <m/>
    <x v="2"/>
    <m/>
    <m/>
  </r>
  <r>
    <n v="762"/>
    <x v="3"/>
    <s v="Van Velt Hooven"/>
    <x v="94"/>
    <x v="33"/>
    <s v="Training"/>
    <m/>
    <m/>
    <m/>
    <m/>
    <n v="6"/>
    <n v="119.76047904191617"/>
    <m/>
    <x v="2"/>
    <m/>
    <m/>
  </r>
  <r>
    <n v="763"/>
    <x v="3"/>
    <s v="Van Velt Hooven"/>
    <x v="94"/>
    <x v="11"/>
    <s v="Training"/>
    <m/>
    <m/>
    <m/>
    <m/>
    <n v="8"/>
    <n v="81.528662420382162"/>
    <m/>
    <x v="2"/>
    <m/>
    <m/>
  </r>
  <r>
    <n v="764"/>
    <x v="5"/>
    <s v="McKenzie"/>
    <x v="94"/>
    <x v="4"/>
    <s v="Training"/>
    <s v="Yes"/>
    <m/>
    <m/>
    <m/>
    <n v="5"/>
    <n v="156.97674418604652"/>
    <m/>
    <x v="12"/>
    <m/>
    <m/>
  </r>
  <r>
    <n v="765"/>
    <x v="5"/>
    <s v="McKenzie"/>
    <x v="94"/>
    <x v="35"/>
    <s v="Training"/>
    <m/>
    <m/>
    <m/>
    <m/>
    <n v="5"/>
    <n v="20.930232558139537"/>
    <m/>
    <x v="2"/>
    <m/>
    <m/>
  </r>
  <r>
    <n v="766"/>
    <x v="5"/>
    <s v="McKenzie"/>
    <x v="94"/>
    <x v="30"/>
    <s v="Training"/>
    <m/>
    <m/>
    <m/>
    <m/>
    <n v="6"/>
    <n v="73.053892215568865"/>
    <m/>
    <x v="2"/>
    <m/>
    <m/>
  </r>
  <r>
    <n v="767"/>
    <x v="5"/>
    <s v="McKenzie"/>
    <x v="94"/>
    <x v="1"/>
    <s v="Training"/>
    <m/>
    <m/>
    <m/>
    <m/>
    <n v="6"/>
    <n v="161.67664670658684"/>
    <m/>
    <x v="2"/>
    <m/>
    <m/>
  </r>
  <r>
    <n v="768"/>
    <x v="7"/>
    <s v="Williams"/>
    <x v="94"/>
    <x v="3"/>
    <s v="Training"/>
    <m/>
    <m/>
    <m/>
    <m/>
    <n v="3"/>
    <n v="104.39560439560439"/>
    <m/>
    <x v="2"/>
    <m/>
    <m/>
  </r>
  <r>
    <n v="769"/>
    <x v="7"/>
    <s v="Williams"/>
    <x v="94"/>
    <x v="33"/>
    <s v="Training"/>
    <m/>
    <m/>
    <m/>
    <m/>
    <n v="6"/>
    <n v="71.856287425149702"/>
    <m/>
    <x v="2"/>
    <m/>
    <m/>
  </r>
  <r>
    <n v="770"/>
    <x v="7"/>
    <s v="Williams"/>
    <x v="94"/>
    <x v="11"/>
    <s v="Training"/>
    <m/>
    <m/>
    <m/>
    <m/>
    <n v="8"/>
    <n v="72.611464968152859"/>
    <m/>
    <x v="2"/>
    <m/>
    <m/>
  </r>
  <r>
    <n v="771"/>
    <x v="4"/>
    <s v="Presbury"/>
    <x v="95"/>
    <x v="7"/>
    <s v="Training"/>
    <m/>
    <m/>
    <m/>
    <m/>
    <n v="3"/>
    <n v="87.912087912087912"/>
    <m/>
    <x v="2"/>
    <m/>
    <m/>
  </r>
  <r>
    <n v="772"/>
    <x v="10"/>
    <s v="Schofield"/>
    <x v="95"/>
    <x v="13"/>
    <s v="Training"/>
    <m/>
    <s v="Power"/>
    <m/>
    <m/>
    <n v="3"/>
    <n v="307.69230769230768"/>
    <m/>
    <x v="2"/>
    <m/>
    <m/>
  </r>
  <r>
    <n v="773"/>
    <x v="10"/>
    <s v="Schofield"/>
    <x v="95"/>
    <x v="13"/>
    <s v="Training"/>
    <m/>
    <m/>
    <m/>
    <m/>
    <n v="6"/>
    <n v="383.23353293413174"/>
    <m/>
    <x v="2"/>
    <m/>
    <m/>
  </r>
  <r>
    <n v="774"/>
    <x v="3"/>
    <s v="Van Velt Hooven"/>
    <x v="95"/>
    <x v="7"/>
    <s v="Training"/>
    <m/>
    <m/>
    <m/>
    <m/>
    <n v="3"/>
    <n v="98.901098901098891"/>
    <m/>
    <x v="2"/>
    <m/>
    <m/>
  </r>
  <r>
    <n v="775"/>
    <x v="7"/>
    <s v="Williams"/>
    <x v="95"/>
    <x v="5"/>
    <s v="Training"/>
    <m/>
    <m/>
    <m/>
    <m/>
    <n v="3"/>
    <n v="197.80219780219778"/>
    <m/>
    <x v="14"/>
    <m/>
    <m/>
  </r>
  <r>
    <n v="776"/>
    <x v="7"/>
    <s v="Williams"/>
    <x v="95"/>
    <x v="7"/>
    <s v="Training"/>
    <m/>
    <m/>
    <m/>
    <m/>
    <n v="3"/>
    <n v="98.901098901098891"/>
    <m/>
    <x v="2"/>
    <m/>
    <m/>
  </r>
  <r>
    <n v="777"/>
    <x v="4"/>
    <s v="Presbury"/>
    <x v="96"/>
    <x v="5"/>
    <s v="Training"/>
    <m/>
    <m/>
    <m/>
    <m/>
    <n v="3"/>
    <n v="175.82417582417582"/>
    <m/>
    <x v="14"/>
    <m/>
    <m/>
  </r>
  <r>
    <n v="778"/>
    <x v="3"/>
    <s v="Van Velt Hooven"/>
    <x v="96"/>
    <x v="5"/>
    <s v="Training"/>
    <m/>
    <m/>
    <m/>
    <m/>
    <n v="3"/>
    <n v="252.74725274725273"/>
    <m/>
    <x v="14"/>
    <m/>
    <m/>
  </r>
  <r>
    <n v="779"/>
    <x v="3"/>
    <s v="Van Velt Hooven"/>
    <x v="97"/>
    <x v="3"/>
    <s v="Test"/>
    <m/>
    <s v="3 Rep Test"/>
    <s v="Post-Tier 1 (Wk6)"/>
    <m/>
    <m/>
    <n v="105"/>
    <m/>
    <x v="2"/>
    <m/>
    <m/>
  </r>
  <r>
    <n v="780"/>
    <x v="7"/>
    <s v="Williams"/>
    <x v="97"/>
    <x v="3"/>
    <s v="Test"/>
    <m/>
    <s v="3 Rep Test"/>
    <s v="Post-Tier 1 (Wk6)"/>
    <m/>
    <m/>
    <n v="105"/>
    <m/>
    <x v="2"/>
    <m/>
    <m/>
  </r>
  <r>
    <n v="781"/>
    <x v="8"/>
    <s v="Sheppard"/>
    <x v="97"/>
    <x v="3"/>
    <s v="Test"/>
    <m/>
    <s v="3 Rep Test"/>
    <s v="Post-Tier 1 (Wk6)"/>
    <m/>
    <m/>
    <n v="95"/>
    <m/>
    <x v="2"/>
    <m/>
    <m/>
  </r>
  <r>
    <n v="782"/>
    <x v="3"/>
    <s v="Van Velt Hooven"/>
    <x v="97"/>
    <x v="4"/>
    <s v="Test"/>
    <m/>
    <s v="3 Rep Test"/>
    <s v="Post-Tier 1 (Wk6)"/>
    <n v="200"/>
    <n v="4"/>
    <n v="225.98870056497174"/>
    <n v="92"/>
    <x v="3"/>
    <m/>
    <s v="(200 x 4 Reps)"/>
  </r>
  <r>
    <n v="783"/>
    <x v="7"/>
    <s v="Williams"/>
    <x v="97"/>
    <x v="4"/>
    <s v="Test"/>
    <m/>
    <s v="3 Rep Test"/>
    <s v="Post-Tier 1 (Wk6)"/>
    <n v="185"/>
    <n v="4"/>
    <n v="209.03954802259886"/>
    <n v="89.4"/>
    <x v="3"/>
    <m/>
    <s v="(185 x 4 Reps)"/>
  </r>
  <r>
    <n v="784"/>
    <x v="4"/>
    <s v="Presbury"/>
    <x v="97"/>
    <x v="3"/>
    <s v="Training"/>
    <m/>
    <m/>
    <m/>
    <n v="95"/>
    <n v="1"/>
    <n v="95"/>
    <m/>
    <x v="2"/>
    <m/>
    <m/>
  </r>
  <r>
    <n v="785"/>
    <x v="4"/>
    <s v="Presbury"/>
    <x v="97"/>
    <x v="4"/>
    <s v="Test"/>
    <s v="Yes"/>
    <m/>
    <m/>
    <m/>
    <n v="3"/>
    <n v="149.7326203208556"/>
    <m/>
    <x v="3"/>
    <m/>
    <m/>
  </r>
  <r>
    <n v="786"/>
    <x v="3"/>
    <s v="Van Velt Hooven"/>
    <x v="97"/>
    <x v="3"/>
    <s v="Training"/>
    <m/>
    <m/>
    <m/>
    <n v="105"/>
    <n v="1"/>
    <n v="105"/>
    <m/>
    <x v="2"/>
    <m/>
    <m/>
  </r>
  <r>
    <n v="787"/>
    <x v="3"/>
    <s v="Van Velt Hooven"/>
    <x v="97"/>
    <x v="4"/>
    <s v="Test"/>
    <s v="Yes"/>
    <m/>
    <m/>
    <m/>
    <n v="3"/>
    <n v="225.98870056497174"/>
    <m/>
    <x v="3"/>
    <m/>
    <m/>
  </r>
  <r>
    <n v="788"/>
    <x v="7"/>
    <s v="Williams"/>
    <x v="97"/>
    <x v="3"/>
    <s v="Training"/>
    <m/>
    <m/>
    <m/>
    <n v="105"/>
    <n v="1"/>
    <n v="105"/>
    <m/>
    <x v="2"/>
    <m/>
    <m/>
  </r>
  <r>
    <n v="789"/>
    <x v="7"/>
    <s v="Williams"/>
    <x v="97"/>
    <x v="4"/>
    <s v="Test"/>
    <s v="Yes"/>
    <m/>
    <m/>
    <m/>
    <n v="3"/>
    <n v="209.03954802259886"/>
    <m/>
    <x v="3"/>
    <m/>
    <m/>
  </r>
  <r>
    <n v="790"/>
    <x v="6"/>
    <s v="Dawkins"/>
    <x v="98"/>
    <x v="4"/>
    <s v="Training"/>
    <s v="Yes"/>
    <m/>
    <m/>
    <m/>
    <m/>
    <n v="260"/>
    <m/>
    <x v="3"/>
    <s v="Heat Camp"/>
    <m/>
  </r>
  <r>
    <n v="791"/>
    <x v="3"/>
    <s v="Van Velt Hooven"/>
    <x v="99"/>
    <x v="3"/>
    <s v="Test"/>
    <m/>
    <s v="3 Rep Test"/>
    <s v="Post-Tier 1 (Wk12)"/>
    <m/>
    <m/>
    <n v="110"/>
    <m/>
    <x v="2"/>
    <m/>
    <m/>
  </r>
  <r>
    <n v="792"/>
    <x v="7"/>
    <s v="Williams"/>
    <x v="99"/>
    <x v="3"/>
    <s v="Test"/>
    <m/>
    <s v="3 Rep Test"/>
    <s v="Post-Tier 1 (Wk12)"/>
    <m/>
    <m/>
    <n v="105"/>
    <m/>
    <x v="2"/>
    <m/>
    <m/>
  </r>
  <r>
    <n v="793"/>
    <x v="8"/>
    <s v="Sheppard"/>
    <x v="99"/>
    <x v="3"/>
    <s v="Test"/>
    <m/>
    <s v="3 Rep Test"/>
    <s v="Post-Tier 1 (Wk12)"/>
    <m/>
    <m/>
    <n v="98"/>
    <m/>
    <x v="2"/>
    <m/>
    <m/>
  </r>
  <r>
    <n v="794"/>
    <x v="3"/>
    <s v="Van Velt Hooven"/>
    <x v="99"/>
    <x v="4"/>
    <s v="Test"/>
    <m/>
    <s v="3 Rep Test"/>
    <s v="Post-Tier 1 (Wk12)"/>
    <n v="185"/>
    <n v="3"/>
    <n v="203.2967032967033"/>
    <n v="90.8"/>
    <x v="3"/>
    <m/>
    <s v="(185 x 3 Reps)"/>
  </r>
  <r>
    <n v="795"/>
    <x v="7"/>
    <s v="Williams"/>
    <x v="99"/>
    <x v="4"/>
    <s v="Test"/>
    <m/>
    <s v="3 Rep Test"/>
    <s v="Post-Tier 1 (Wk12)"/>
    <n v="180"/>
    <n v="2"/>
    <n v="192.51336898395721"/>
    <n v="88.5"/>
    <x v="3"/>
    <m/>
    <s v="(180 x 2 Reps)"/>
  </r>
  <r>
    <n v="796"/>
    <x v="0"/>
    <s v="Mitchell"/>
    <x v="100"/>
    <x v="4"/>
    <s v="Training"/>
    <s v="Yes"/>
    <m/>
    <m/>
    <m/>
    <n v="5"/>
    <n v="139.53488372093022"/>
    <m/>
    <x v="3"/>
    <s v="Sick Early December"/>
    <m/>
  </r>
  <r>
    <n v="797"/>
    <x v="0"/>
    <s v="Mitchell"/>
    <x v="101"/>
    <x v="10"/>
    <s v="Training"/>
    <m/>
    <m/>
    <m/>
    <m/>
    <n v="5"/>
    <n v="127.90697674418605"/>
    <m/>
    <x v="2"/>
    <m/>
    <m/>
  </r>
  <r>
    <n v="798"/>
    <x v="6"/>
    <s v="Dawkins"/>
    <x v="102"/>
    <x v="3"/>
    <s v="Test"/>
    <m/>
    <s v="3 Rep Test"/>
    <s v="Pre-Worlds"/>
    <m/>
    <m/>
    <n v="140"/>
    <m/>
    <x v="2"/>
    <m/>
    <m/>
  </r>
  <r>
    <n v="799"/>
    <x v="0"/>
    <s v="Mitchell"/>
    <x v="102"/>
    <x v="3"/>
    <s v="Test"/>
    <m/>
    <s v="3 Rep Test"/>
    <s v="Pre-Worlds"/>
    <m/>
    <m/>
    <n v="115"/>
    <m/>
    <x v="2"/>
    <m/>
    <m/>
  </r>
  <r>
    <n v="800"/>
    <x v="2"/>
    <s v="Webster"/>
    <x v="102"/>
    <x v="3"/>
    <s v="Test"/>
    <m/>
    <s v="3 Rep Test"/>
    <s v="Pre-Worlds"/>
    <m/>
    <m/>
    <n v="120"/>
    <m/>
    <x v="2"/>
    <m/>
    <m/>
  </r>
  <r>
    <n v="801"/>
    <x v="1"/>
    <s v="Archibald"/>
    <x v="102"/>
    <x v="3"/>
    <s v="Test"/>
    <m/>
    <s v="3 Rep Test"/>
    <s v="Pre-Worlds"/>
    <s v="Comp Phase"/>
    <m/>
    <n v="140"/>
    <m/>
    <x v="2"/>
    <m/>
    <m/>
  </r>
  <r>
    <n v="802"/>
    <x v="5"/>
    <s v="Mackenzie"/>
    <x v="102"/>
    <x v="3"/>
    <s v="Test"/>
    <m/>
    <s v="3 Rep Test"/>
    <s v="Pre-Worlds"/>
    <m/>
    <m/>
    <n v="80"/>
    <m/>
    <x v="2"/>
    <m/>
    <m/>
  </r>
  <r>
    <n v="803"/>
    <x v="6"/>
    <s v="Dawkins"/>
    <x v="102"/>
    <x v="4"/>
    <s v="Test"/>
    <m/>
    <s v="3 Rep Test"/>
    <s v="Pre-Worlds"/>
    <n v="250"/>
    <n v="5"/>
    <n v="290.69767441860466"/>
    <n v="100.9"/>
    <x v="3"/>
    <s v="Wraps"/>
    <s v="(250 x 5 Reps,Wraps)"/>
  </r>
  <r>
    <n v="804"/>
    <x v="0"/>
    <s v="Mitchell"/>
    <x v="102"/>
    <x v="4"/>
    <s v="Test"/>
    <m/>
    <s v="3 Rep Test"/>
    <s v="Pre-Worlds"/>
    <n v="175"/>
    <n v="6"/>
    <n v="203.48837209302326"/>
    <n v="83.6"/>
    <x v="3"/>
    <m/>
    <s v="(175 x 6 Reps)"/>
  </r>
  <r>
    <n v="805"/>
    <x v="1"/>
    <s v="Archibald"/>
    <x v="102"/>
    <x v="4"/>
    <s v="Test"/>
    <m/>
    <s v="3 Rep Test"/>
    <s v="Pre-Worlds"/>
    <n v="200"/>
    <n v="4"/>
    <n v="225.98870056497174"/>
    <n v="97"/>
    <x v="3"/>
    <s v="ATG"/>
    <s v="(200 x 4 Reps,ATG)"/>
  </r>
  <r>
    <n v="806"/>
    <x v="2"/>
    <s v="Webster"/>
    <x v="102"/>
    <x v="4"/>
    <s v="Test"/>
    <m/>
    <s v="3 Rep Test"/>
    <s v="Pre-Worlds"/>
    <n v="160"/>
    <n v="5"/>
    <n v="186.04651162790697"/>
    <n v="83.2"/>
    <x v="3"/>
    <m/>
    <s v="(160 x 5 Reps)"/>
  </r>
  <r>
    <n v="807"/>
    <x v="9"/>
    <s v="Hansen"/>
    <x v="103"/>
    <x v="36"/>
    <s v="Test"/>
    <m/>
    <s v="1 Rep Test"/>
    <m/>
    <m/>
    <m/>
    <n v="55"/>
    <m/>
    <x v="2"/>
    <m/>
    <m/>
  </r>
  <r>
    <n v="808"/>
    <x v="6"/>
    <s v="Dawkins"/>
    <x v="104"/>
    <x v="31"/>
    <s v="Test"/>
    <m/>
    <m/>
    <m/>
    <m/>
    <m/>
    <n v="284.5"/>
    <m/>
    <x v="2"/>
    <m/>
    <m/>
  </r>
  <r>
    <n v="809"/>
    <x v="1"/>
    <s v="Archibald"/>
    <x v="104"/>
    <x v="31"/>
    <s v="Test"/>
    <m/>
    <m/>
    <m/>
    <n v="220"/>
    <n v="7"/>
    <n v="272.60000000000002"/>
    <n v="97.2"/>
    <x v="2"/>
    <m/>
    <s v="(220 x 7)"/>
  </r>
  <r>
    <n v="810"/>
    <x v="2"/>
    <s v="Webster"/>
    <x v="104"/>
    <x v="31"/>
    <s v="Test"/>
    <m/>
    <m/>
    <m/>
    <n v="180"/>
    <n v="5"/>
    <n v="210.3"/>
    <n v="86"/>
    <x v="2"/>
    <m/>
    <s v="(180 x 5)"/>
  </r>
  <r>
    <n v="811"/>
    <x v="3"/>
    <s v="Van Velt Hooven"/>
    <x v="104"/>
    <x v="31"/>
    <s v="Test"/>
    <m/>
    <m/>
    <m/>
    <n v="200"/>
    <n v="8"/>
    <n v="254.5"/>
    <n v="93.1"/>
    <x v="2"/>
    <m/>
    <s v="(200 x 8)"/>
  </r>
  <r>
    <n v="812"/>
    <x v="10"/>
    <s v="Schofield"/>
    <x v="104"/>
    <x v="31"/>
    <s v="Test"/>
    <m/>
    <m/>
    <m/>
    <n v="105"/>
    <n v="11"/>
    <n v="145.19999999999999"/>
    <n v="71.3"/>
    <x v="2"/>
    <m/>
    <s v="105 x 11"/>
  </r>
  <r>
    <n v="813"/>
    <x v="9"/>
    <s v="Hansen"/>
    <x v="104"/>
    <x v="31"/>
    <s v="Test"/>
    <m/>
    <m/>
    <m/>
    <n v="160"/>
    <n v="4"/>
    <n v="181.6"/>
    <n v="68.099999999999994"/>
    <x v="2"/>
    <m/>
    <s v="(160 x 4)"/>
  </r>
  <r>
    <n v="814"/>
    <x v="5"/>
    <s v="Mackenzie"/>
    <x v="104"/>
    <x v="31"/>
    <s v="Test"/>
    <m/>
    <m/>
    <m/>
    <n v="180"/>
    <n v="8"/>
    <n v="229"/>
    <n v="79.3"/>
    <x v="2"/>
    <s v="#3"/>
    <s v="180 x 8 (#3)"/>
  </r>
  <r>
    <n v="815"/>
    <x v="11"/>
    <s v="Stewart"/>
    <x v="104"/>
    <x v="31"/>
    <s v="Test"/>
    <m/>
    <m/>
    <m/>
    <n v="260"/>
    <n v="7"/>
    <n v="320.98765432098764"/>
    <n v="98.9"/>
    <x v="2"/>
    <m/>
    <s v="(260 x 7)"/>
  </r>
  <r>
    <n v="816"/>
    <x v="12"/>
    <s v="Castle"/>
    <x v="104"/>
    <x v="31"/>
    <s v="Test"/>
    <m/>
    <m/>
    <m/>
    <n v="160"/>
    <n v="5"/>
    <n v="186.04651162790697"/>
    <n v="83.6"/>
    <x v="2"/>
    <m/>
    <s v="(160 x 5)"/>
  </r>
  <r>
    <n v="817"/>
    <x v="6"/>
    <s v="Dawkins"/>
    <x v="104"/>
    <x v="32"/>
    <s v="Test"/>
    <m/>
    <m/>
    <m/>
    <n v="200"/>
    <n v="12"/>
    <n v="285"/>
    <n v="103.9"/>
    <x v="2"/>
    <m/>
    <s v="(200 x 12)"/>
  </r>
  <r>
    <n v="818"/>
    <x v="1"/>
    <s v="Archibald"/>
    <x v="104"/>
    <x v="32"/>
    <s v="Test"/>
    <m/>
    <m/>
    <m/>
    <n v="220"/>
    <n v="7"/>
    <n v="272.60000000000002"/>
    <n v="97.2"/>
    <x v="2"/>
    <m/>
    <s v="(220 x 7)"/>
  </r>
  <r>
    <n v="819"/>
    <x v="2"/>
    <s v="Webster"/>
    <x v="104"/>
    <x v="32"/>
    <s v="Test"/>
    <m/>
    <m/>
    <m/>
    <n v="180"/>
    <n v="4"/>
    <n v="198.7"/>
    <n v="86"/>
    <x v="2"/>
    <m/>
    <s v="(180 x 4)"/>
  </r>
  <r>
    <n v="820"/>
    <x v="3"/>
    <s v="Van Velt Hooven"/>
    <x v="104"/>
    <x v="32"/>
    <s v="Test"/>
    <m/>
    <m/>
    <m/>
    <n v="200"/>
    <n v="8"/>
    <n v="254.5"/>
    <n v="93.1"/>
    <x v="2"/>
    <m/>
    <s v="(200 x 8)"/>
  </r>
  <r>
    <n v="821"/>
    <x v="10"/>
    <s v="Schofield"/>
    <x v="104"/>
    <x v="32"/>
    <s v="Test"/>
    <m/>
    <m/>
    <m/>
    <n v="105"/>
    <n v="13"/>
    <n v="152.6"/>
    <n v="71.3"/>
    <x v="2"/>
    <m/>
    <s v="105 x 13"/>
  </r>
  <r>
    <n v="822"/>
    <x v="9"/>
    <s v="Hansen"/>
    <x v="104"/>
    <x v="32"/>
    <s v="Test"/>
    <m/>
    <m/>
    <m/>
    <n v="180"/>
    <n v="4"/>
    <n v="204.3"/>
    <n v="68.099999999999994"/>
    <x v="2"/>
    <m/>
    <s v="(180 x 4)"/>
  </r>
  <r>
    <n v="823"/>
    <x v="5"/>
    <s v="Mackenzie"/>
    <x v="104"/>
    <x v="32"/>
    <s v="Test"/>
    <m/>
    <m/>
    <m/>
    <n v="180"/>
    <n v="13"/>
    <n v="261.2"/>
    <n v="79.3"/>
    <x v="2"/>
    <s v="#3"/>
    <s v="180 x 13 (#3)"/>
  </r>
  <r>
    <n v="824"/>
    <x v="11"/>
    <s v="Stewart"/>
    <x v="104"/>
    <x v="32"/>
    <s v="Test"/>
    <m/>
    <m/>
    <m/>
    <n v="260"/>
    <n v="12"/>
    <n v="388.05970149253727"/>
    <n v="98.9"/>
    <x v="2"/>
    <m/>
    <s v="(260 x 12)"/>
  </r>
  <r>
    <n v="825"/>
    <x v="12"/>
    <s v="Castle"/>
    <x v="104"/>
    <x v="32"/>
    <s v="Test"/>
    <m/>
    <m/>
    <m/>
    <n v="160"/>
    <n v="5"/>
    <n v="186.04651162790697"/>
    <n v="83.6"/>
    <x v="2"/>
    <m/>
    <s v="(160 x 5)"/>
  </r>
  <r>
    <n v="826"/>
    <x v="6"/>
    <s v="Dawkins"/>
    <x v="104"/>
    <x v="4"/>
    <s v="Test"/>
    <m/>
    <s v="Rep Chall."/>
    <s v="Week 4"/>
    <n v="270"/>
    <n v="2"/>
    <n v="288.77005347593581"/>
    <n v="103.9"/>
    <x v="3"/>
    <s v="Wraps"/>
    <s v="(270 x 2 Reps,Wraps)"/>
  </r>
  <r>
    <n v="827"/>
    <x v="1"/>
    <s v="Archibald"/>
    <x v="104"/>
    <x v="4"/>
    <s v="Test"/>
    <m/>
    <s v="Rep Chall."/>
    <s v="Week 4"/>
    <n v="220"/>
    <n v="3"/>
    <n v="241.75824175824175"/>
    <n v="97.2"/>
    <x v="3"/>
    <s v="ATG"/>
    <s v="(220 x 3 Reps,ATG)"/>
  </r>
  <r>
    <n v="828"/>
    <x v="2"/>
    <s v="Webster"/>
    <x v="104"/>
    <x v="4"/>
    <s v="Test"/>
    <m/>
    <s v="Rep Chall."/>
    <s v="Week 4"/>
    <n v="170"/>
    <n v="3"/>
    <n v="186.8131868131868"/>
    <n v="86"/>
    <x v="3"/>
    <m/>
    <s v="(170 x 3 Reps)"/>
  </r>
  <r>
    <n v="829"/>
    <x v="3"/>
    <s v="Van Velt Hooven"/>
    <x v="104"/>
    <x v="4"/>
    <s v="Test"/>
    <m/>
    <s v="Rep Chall."/>
    <s v="Week 4"/>
    <n v="190"/>
    <n v="5"/>
    <n v="220.93023255813955"/>
    <n v="93.1"/>
    <x v="3"/>
    <s v="Slight spot on last rep"/>
    <s v="(190 x 5 Reps, Slight spot on last rep)"/>
  </r>
  <r>
    <n v="830"/>
    <x v="11"/>
    <s v="Stewart"/>
    <x v="104"/>
    <x v="4"/>
    <s v="Test"/>
    <m/>
    <s v="Rep Chall."/>
    <s v="Week 4"/>
    <n v="230"/>
    <n v="6"/>
    <n v="275.44910179640721"/>
    <n v="98.9"/>
    <x v="3"/>
    <s v="Knee Wraps"/>
    <s v="(230 x 6, Knee Wraps)"/>
  </r>
  <r>
    <n v="831"/>
    <x v="7"/>
    <s v="Williams"/>
    <x v="104"/>
    <x v="4"/>
    <s v="Test"/>
    <m/>
    <s v="Rep Chall."/>
    <s v="Week 4"/>
    <n v="170"/>
    <n v="4"/>
    <n v="192.09039548022599"/>
    <n v="88.6"/>
    <x v="3"/>
    <m/>
    <s v="(170 x 4 Reps)"/>
  </r>
  <r>
    <n v="832"/>
    <x v="12"/>
    <s v="Castle"/>
    <x v="104"/>
    <x v="4"/>
    <s v="Test"/>
    <m/>
    <s v="Rep Chall."/>
    <s v="Week 4"/>
    <m/>
    <m/>
    <n v="203.48837209302326"/>
    <m/>
    <x v="3"/>
    <m/>
    <m/>
  </r>
  <r>
    <n v="833"/>
    <x v="13"/>
    <s v="Eccles"/>
    <x v="104"/>
    <x v="4"/>
    <s v="Test"/>
    <m/>
    <s v="Rep Chall."/>
    <s v="Week 4"/>
    <m/>
    <m/>
    <n v="177.77777777777777"/>
    <m/>
    <x v="3"/>
    <m/>
    <m/>
  </r>
  <r>
    <n v="834"/>
    <x v="5"/>
    <s v="Mackenzie"/>
    <x v="104"/>
    <x v="4"/>
    <s v="Test"/>
    <m/>
    <s v="Rep Chall."/>
    <s v="Week 4"/>
    <n v="130"/>
    <n v="3"/>
    <n v="142.85714285714286"/>
    <n v="79.3"/>
    <x v="3"/>
    <s v="3, 43cm, Hit safety on 1st attempt, 3rd rep"/>
    <s v="(130 x 3 Reps, 43cm, Hit safety on 1st attempt, 3rd rep)"/>
  </r>
  <r>
    <n v="835"/>
    <x v="10"/>
    <s v="Schofield"/>
    <x v="105"/>
    <x v="13"/>
    <s v="Test"/>
    <m/>
    <m/>
    <s v="#7 depth ~ 100 degrees at knee"/>
    <n v="330"/>
    <n v="13"/>
    <n v="479.6511627906977"/>
    <m/>
    <x v="2"/>
    <m/>
    <s v="(330x13,6 Apr)"/>
  </r>
  <r>
    <n v="836"/>
    <x v="10"/>
    <s v="Schofield"/>
    <x v="106"/>
    <x v="13"/>
    <s v="Test"/>
    <m/>
    <m/>
    <s v="#7 depth ~ 100 degrees at knee"/>
    <n v="440"/>
    <n v="5"/>
    <n v="514.01869158878503"/>
    <m/>
    <x v="2"/>
    <m/>
    <s v="(440x5,8 May)"/>
  </r>
  <r>
    <n v="837"/>
    <x v="6"/>
    <s v="Dawkins"/>
    <x v="107"/>
    <x v="13"/>
    <s v="Test"/>
    <m/>
    <m/>
    <s v="End of Strength Phase"/>
    <m/>
    <m/>
    <n v="700"/>
    <m/>
    <x v="2"/>
    <m/>
    <m/>
  </r>
  <r>
    <n v="838"/>
    <x v="0"/>
    <s v="Mitchell"/>
    <x v="107"/>
    <x v="13"/>
    <s v="Test"/>
    <m/>
    <m/>
    <s v="End of Strength Phase"/>
    <m/>
    <m/>
    <n v="610"/>
    <m/>
    <x v="2"/>
    <m/>
    <m/>
  </r>
  <r>
    <n v="839"/>
    <x v="2"/>
    <s v="Webster"/>
    <x v="107"/>
    <x v="13"/>
    <s v="Test"/>
    <m/>
    <m/>
    <s v="End of Strength Phase"/>
    <m/>
    <m/>
    <n v="575"/>
    <m/>
    <x v="2"/>
    <m/>
    <m/>
  </r>
  <r>
    <n v="840"/>
    <x v="10"/>
    <s v="Schofield"/>
    <x v="107"/>
    <x v="13"/>
    <s v="Test"/>
    <m/>
    <s v="#7 depth ~ 100 degrees at knee"/>
    <s v="End of Strength Phase"/>
    <n v="460"/>
    <n v="1"/>
    <n v="460"/>
    <n v="72.099999999999994"/>
    <x v="2"/>
    <m/>
    <s v="460 x 1"/>
  </r>
  <r>
    <n v="841"/>
    <x v="6"/>
    <s v="Dawkins"/>
    <x v="107"/>
    <x v="4"/>
    <s v="Test"/>
    <m/>
    <s v="1 Rep Test"/>
    <s v="End of Strength Phase"/>
    <m/>
    <n v="1"/>
    <n v="270"/>
    <n v="101"/>
    <x v="3"/>
    <s v="Wraps"/>
    <s v="(1 Reps,Wraps)"/>
  </r>
  <r>
    <n v="842"/>
    <x v="0"/>
    <s v="Mitchell"/>
    <x v="107"/>
    <x v="4"/>
    <s v="Test"/>
    <m/>
    <s v="1 Rep Test"/>
    <s v="End of Strength Phase"/>
    <n v="200"/>
    <n v="2"/>
    <n v="213.903743315508"/>
    <n v="84.9"/>
    <x v="3"/>
    <m/>
    <s v="(200 x 2 Reps)"/>
  </r>
  <r>
    <n v="843"/>
    <x v="1"/>
    <s v="Archibald"/>
    <x v="107"/>
    <x v="4"/>
    <s v="Test"/>
    <m/>
    <s v="1 Rep Test"/>
    <s v="End of Strength Phase"/>
    <m/>
    <n v="1"/>
    <n v="275"/>
    <n v="97.5"/>
    <x v="3"/>
    <s v="40cm Box, Wraps"/>
    <s v="(1 Rep, 40cm Box, Wraps)"/>
  </r>
  <r>
    <n v="844"/>
    <x v="2"/>
    <s v="Webster"/>
    <x v="107"/>
    <x v="4"/>
    <s v="Test"/>
    <m/>
    <s v="1 Rep Test"/>
    <s v="End of Strength Phase"/>
    <n v="180"/>
    <n v="1"/>
    <n v="180"/>
    <n v="85.7"/>
    <x v="3"/>
    <m/>
    <s v="(180 x 1)"/>
  </r>
  <r>
    <n v="845"/>
    <x v="3"/>
    <s v="Van Velt Hooven"/>
    <x v="107"/>
    <x v="4"/>
    <s v="Test"/>
    <m/>
    <s v="1 Rep Test"/>
    <s v="End of Strength Phase"/>
    <n v="210"/>
    <n v="2"/>
    <n v="224.59893048128342"/>
    <n v="94.1"/>
    <x v="3"/>
    <m/>
    <s v="(210 x 2 Reps)"/>
  </r>
  <r>
    <n v="846"/>
    <x v="11"/>
    <s v="Stewart"/>
    <x v="107"/>
    <x v="4"/>
    <s v="Test"/>
    <m/>
    <s v="1 Rep Test"/>
    <s v="End of Strength Phase"/>
    <n v="260"/>
    <n v="2"/>
    <n v="278.07486631016042"/>
    <n v="98.5"/>
    <x v="3"/>
    <s v="Knee Wraps"/>
    <s v="(260 x 2, Knee Wraps)"/>
  </r>
  <r>
    <n v="847"/>
    <x v="7"/>
    <s v="Williams"/>
    <x v="107"/>
    <x v="4"/>
    <s v="Test"/>
    <m/>
    <s v="1 Rep Test"/>
    <s v="End of Strength Phase"/>
    <n v="190"/>
    <n v="3"/>
    <n v="208.79120879120879"/>
    <n v="89.9"/>
    <x v="3"/>
    <m/>
    <s v="(190 x 3 reps)"/>
  </r>
  <r>
    <n v="848"/>
    <x v="12"/>
    <s v="Castle"/>
    <x v="107"/>
    <x v="4"/>
    <s v="Test"/>
    <m/>
    <s v="1 Rep Test"/>
    <s v="End of Strength Phase"/>
    <m/>
    <m/>
    <n v="186.8131868131868"/>
    <m/>
    <x v="3"/>
    <m/>
    <m/>
  </r>
  <r>
    <n v="849"/>
    <x v="13"/>
    <s v="Eccles"/>
    <x v="107"/>
    <x v="4"/>
    <s v="Test"/>
    <m/>
    <s v="1 Rep Test"/>
    <s v="End of Strength Phase"/>
    <m/>
    <m/>
    <n v="167.66467065868264"/>
    <m/>
    <x v="3"/>
    <m/>
    <m/>
  </r>
  <r>
    <n v="850"/>
    <x v="8"/>
    <s v="Sheppard"/>
    <x v="107"/>
    <x v="4"/>
    <s v="Test"/>
    <m/>
    <s v="1 Rep Test"/>
    <s v="End of Strength Phase"/>
    <n v="145"/>
    <n v="3"/>
    <n v="159.34065934065933"/>
    <n v="82.5"/>
    <x v="3"/>
    <m/>
    <s v="(145 x  3 reps)"/>
  </r>
  <r>
    <n v="851"/>
    <x v="9"/>
    <s v="Hansen"/>
    <x v="108"/>
    <x v="36"/>
    <s v="Test"/>
    <m/>
    <s v="1 Rep Test"/>
    <m/>
    <n v="60"/>
    <n v="1"/>
    <n v="60"/>
    <n v="68.900000000000006"/>
    <x v="2"/>
    <m/>
    <s v="(60 x 1)"/>
  </r>
  <r>
    <n v="852"/>
    <x v="10"/>
    <s v="Schofield"/>
    <x v="109"/>
    <x v="36"/>
    <s v="Test"/>
    <m/>
    <s v="1 Rep Test"/>
    <m/>
    <m/>
    <m/>
    <n v="63.613231552162844"/>
    <m/>
    <x v="2"/>
    <m/>
    <m/>
  </r>
  <r>
    <n v="853"/>
    <x v="9"/>
    <s v="Hansen"/>
    <x v="109"/>
    <x v="36"/>
    <s v="Test"/>
    <m/>
    <s v="1 Rep Test"/>
    <m/>
    <n v="60"/>
    <n v="1"/>
    <n v="60"/>
    <n v="68.900000000000006"/>
    <x v="2"/>
    <m/>
    <s v="(60 x 1)"/>
  </r>
  <r>
    <n v="854"/>
    <x v="9"/>
    <s v="Hansen"/>
    <x v="109"/>
    <x v="13"/>
    <s v="Test"/>
    <m/>
    <s v="#1 depth, 90 Degrees at Knee"/>
    <s v="Strength Reload"/>
    <n v="360"/>
    <n v="1"/>
    <n v="360"/>
    <n v="68.900000000000006"/>
    <x v="2"/>
    <m/>
    <s v="360 x 1"/>
  </r>
  <r>
    <n v="855"/>
    <x v="7"/>
    <s v="Williams"/>
    <x v="109"/>
    <x v="4"/>
    <s v="Test"/>
    <m/>
    <s v="Rep Chall."/>
    <s v="September Re-Load"/>
    <n v="160"/>
    <n v="11"/>
    <n v="221"/>
    <n v="90.5"/>
    <x v="3"/>
    <m/>
    <s v="(160 x 11)"/>
  </r>
  <r>
    <n v="856"/>
    <x v="12"/>
    <s v="Castle"/>
    <x v="109"/>
    <x v="4"/>
    <s v="Test"/>
    <m/>
    <s v="Rep Chall."/>
    <s v="September Re-Load"/>
    <m/>
    <m/>
    <n v="186.04651162790697"/>
    <m/>
    <x v="3"/>
    <m/>
    <m/>
  </r>
  <r>
    <n v="857"/>
    <x v="11"/>
    <s v="Stewart"/>
    <x v="110"/>
    <x v="4"/>
    <s v="Test"/>
    <m/>
    <s v="3 Rep Test"/>
    <s v="Potentiation Study Testing - 3 min rests"/>
    <n v="225"/>
    <n v="3"/>
    <n v="247.25274725274724"/>
    <n v="97.2"/>
    <x v="3"/>
    <s v="No Wraps"/>
    <s v="(225 x 3 - No Wraps)"/>
  </r>
  <r>
    <n v="858"/>
    <x v="7"/>
    <s v="Williams"/>
    <x v="110"/>
    <x v="4"/>
    <s v="Test"/>
    <m/>
    <s v="3 Rep Test"/>
    <s v="Potentiation Study Testing - 3 min rests"/>
    <n v="180"/>
    <n v="3"/>
    <n v="197.80219780219778"/>
    <n v="91"/>
    <x v="3"/>
    <m/>
    <s v="(180 x 3)"/>
  </r>
  <r>
    <n v="859"/>
    <x v="8"/>
    <s v="Sheppard"/>
    <x v="110"/>
    <x v="4"/>
    <s v="Test"/>
    <m/>
    <s v="3 Rep Test"/>
    <s v="Potentiation Study Testing - 3 min rests"/>
    <n v="130"/>
    <n v="3"/>
    <n v="142.85714285714286"/>
    <n v="83.5"/>
    <x v="3"/>
    <m/>
    <s v="(130 x 3)"/>
  </r>
  <r>
    <n v="860"/>
    <x v="11"/>
    <s v="Stewart"/>
    <x v="110"/>
    <x v="4"/>
    <s v="Test"/>
    <m/>
    <s v="3 Rep Test"/>
    <s v="Potentiation Study Testing - 3 min rests"/>
    <n v="225"/>
    <n v="3"/>
    <n v="247.25274725274724"/>
    <n v="97.2"/>
    <x v="3"/>
    <s v="No Wraps"/>
    <s v="(225 x 3 - No Wraps)"/>
  </r>
  <r>
    <n v="861"/>
    <x v="7"/>
    <s v="Williams"/>
    <x v="110"/>
    <x v="4"/>
    <s v="Test"/>
    <m/>
    <s v="3 Rep Test"/>
    <s v="Potentiation Study Testing - 3 min rests"/>
    <n v="180"/>
    <n v="3"/>
    <n v="197.80219780219778"/>
    <n v="91"/>
    <x v="3"/>
    <m/>
    <s v="(180 x 3)"/>
  </r>
  <r>
    <n v="862"/>
    <x v="8"/>
    <s v="Sheppard"/>
    <x v="110"/>
    <x v="4"/>
    <s v="Test"/>
    <m/>
    <s v="3 Rep Test"/>
    <s v="Potentiation Study Testing - 3 min rests"/>
    <n v="130"/>
    <n v="3"/>
    <n v="142.85714285714286"/>
    <n v="83.5"/>
    <x v="3"/>
    <m/>
    <s v="(130 x 3)"/>
  </r>
  <r>
    <n v="863"/>
    <x v="11"/>
    <s v="Stewart"/>
    <x v="110"/>
    <x v="4"/>
    <s v="Test"/>
    <m/>
    <s v="3 Rep Test"/>
    <s v="Potentiation Study Testing - 3 min rests"/>
    <n v="225"/>
    <n v="3"/>
    <n v="247.25274725274724"/>
    <n v="97.2"/>
    <x v="3"/>
    <s v="No Wraps"/>
    <s v="(225 x 3 - No Wraps)"/>
  </r>
  <r>
    <n v="864"/>
    <x v="7"/>
    <s v="Williams"/>
    <x v="110"/>
    <x v="4"/>
    <s v="Test"/>
    <m/>
    <s v="3 Rep Test"/>
    <s v="Potentiation Study Testing - 3 min rests"/>
    <n v="180"/>
    <n v="3"/>
    <n v="197.80219780219778"/>
    <n v="91"/>
    <x v="3"/>
    <m/>
    <s v="(180 x 3)"/>
  </r>
  <r>
    <n v="865"/>
    <x v="8"/>
    <s v="Sheppard"/>
    <x v="110"/>
    <x v="4"/>
    <s v="Test"/>
    <m/>
    <s v="3 Rep Test"/>
    <s v="Potentiation Study Testing - 3 min rests"/>
    <n v="130"/>
    <n v="3"/>
    <n v="142.85714285714286"/>
    <n v="83.5"/>
    <x v="3"/>
    <m/>
    <s v="(130 x 3)"/>
  </r>
  <r>
    <n v="866"/>
    <x v="11"/>
    <s v="Stewart"/>
    <x v="111"/>
    <x v="4"/>
    <s v="Test"/>
    <m/>
    <s v="3-6 Rep Test"/>
    <s v="Post-Strength Phase"/>
    <n v="230"/>
    <n v="5"/>
    <n v="268.69158878504675"/>
    <n v="99"/>
    <x v="3"/>
    <s v="43.5cm, No Wraps"/>
    <s v="(230x5, 43.5cm, No Wraps)"/>
  </r>
  <r>
    <n v="867"/>
    <x v="12"/>
    <s v="Castle"/>
    <x v="111"/>
    <x v="4"/>
    <s v="Test"/>
    <m/>
    <s v="3-6 Rep Test"/>
    <s v="Post-Strength Phase"/>
    <m/>
    <m/>
    <n v="185.57794273594911"/>
    <m/>
    <x v="3"/>
    <m/>
    <m/>
  </r>
  <r>
    <n v="868"/>
    <x v="13"/>
    <s v="Eccles"/>
    <x v="111"/>
    <x v="4"/>
    <s v="Test"/>
    <m/>
    <s v="3-6 Rep Test"/>
    <s v="Post-Strength Phase"/>
    <m/>
    <m/>
    <n v="165.56291390728475"/>
    <m/>
    <x v="3"/>
    <m/>
    <m/>
  </r>
  <r>
    <n v="869"/>
    <x v="9"/>
    <s v="Hansen"/>
    <x v="112"/>
    <x v="36"/>
    <s v="Test"/>
    <m/>
    <m/>
    <m/>
    <n v="60"/>
    <n v="2"/>
    <n v="63.492063492063494"/>
    <n v="68.8"/>
    <x v="2"/>
    <m/>
    <s v="(60 x 2"/>
  </r>
  <r>
    <n v="870"/>
    <x v="6"/>
    <s v="Dawkins"/>
    <x v="113"/>
    <x v="4"/>
    <s v="Test"/>
    <m/>
    <s v="3-6 Rep Test"/>
    <s v="Dec-Jan Re-load"/>
    <m/>
    <n v="1"/>
    <n v="276"/>
    <n v="96.4"/>
    <x v="3"/>
    <s v="Wraps"/>
    <s v="(1 Reps,Wraps)"/>
  </r>
  <r>
    <n v="871"/>
    <x v="0"/>
    <s v="Mitchell"/>
    <x v="113"/>
    <x v="4"/>
    <s v="Test"/>
    <m/>
    <s v="3-6 Rep Test"/>
    <s v="Dec-Jan Re-load"/>
    <n v="210"/>
    <n v="2"/>
    <n v="224.59893048128342"/>
    <n v="83.3"/>
    <x v="3"/>
    <m/>
    <s v="(210 x 2 Reps)"/>
  </r>
  <r>
    <n v="872"/>
    <x v="1"/>
    <s v="Archibald"/>
    <x v="113"/>
    <x v="4"/>
    <s v="Test"/>
    <m/>
    <s v="3-6 Rep Test"/>
    <s v="Dec-Jan Re-load"/>
    <m/>
    <m/>
    <m/>
    <m/>
    <x v="3"/>
    <s v="Back"/>
    <s v="Back"/>
  </r>
  <r>
    <n v="873"/>
    <x v="2"/>
    <s v="Webster"/>
    <x v="113"/>
    <x v="4"/>
    <s v="Test"/>
    <m/>
    <s v="3-6 Rep Test"/>
    <s v="Dec-Jan Re-load"/>
    <n v="180"/>
    <n v="1"/>
    <n v="180"/>
    <n v="83.6"/>
    <x v="3"/>
    <m/>
    <s v="(180 x 1)"/>
  </r>
  <r>
    <n v="874"/>
    <x v="3"/>
    <s v="Van Velt Hooven"/>
    <x v="113"/>
    <x v="4"/>
    <s v="Test"/>
    <m/>
    <s v="3-6 Rep Test"/>
    <s v="Dec-Jan Re-load"/>
    <n v="200"/>
    <n v="3"/>
    <n v="219.78021978021977"/>
    <n v="90.3"/>
    <x v="3"/>
    <m/>
    <s v="(200 x 3 Reps)"/>
  </r>
  <r>
    <n v="875"/>
    <x v="12"/>
    <s v="Castle"/>
    <x v="113"/>
    <x v="4"/>
    <s v="Test"/>
    <m/>
    <s v="3-6 Rep Test"/>
    <s v="Dec-Jan Re-load"/>
    <m/>
    <m/>
    <n v="198.5981308411215"/>
    <m/>
    <x v="3"/>
    <m/>
    <m/>
  </r>
  <r>
    <n v="876"/>
    <x v="6"/>
    <s v="Dawkins"/>
    <x v="114"/>
    <x v="4"/>
    <s v="Test"/>
    <m/>
    <s v="3-6 Rep Test"/>
    <s v="April Prep Phase"/>
    <m/>
    <n v="1"/>
    <n v="220"/>
    <n v="96.8"/>
    <x v="3"/>
    <s v="Wraps"/>
    <s v="(1 Reps,Wraps)"/>
  </r>
  <r>
    <n v="877"/>
    <x v="0"/>
    <s v="Mitchell"/>
    <x v="114"/>
    <x v="4"/>
    <s v="Test"/>
    <m/>
    <s v="3-6 Rep Test"/>
    <s v="April Prep Phase"/>
    <n v="200"/>
    <n v="2"/>
    <n v="213.903743315508"/>
    <n v="83.4"/>
    <x v="3"/>
    <m/>
    <s v="(200 x 2 Reps)"/>
  </r>
  <r>
    <n v="878"/>
    <x v="1"/>
    <s v="Archibald"/>
    <x v="114"/>
    <x v="4"/>
    <s v="Test"/>
    <m/>
    <s v="3-6 Rep Test"/>
    <s v="April Prep Phase"/>
    <n v="210"/>
    <n v="3"/>
    <n v="230.76923076923077"/>
    <n v="95.2"/>
    <x v="3"/>
    <s v="ATG, Belt &amp; Wraps"/>
    <s v="(210 x 3 Reps,ATG, Belt &amp; Wraps)"/>
  </r>
  <r>
    <n v="879"/>
    <x v="2"/>
    <s v="Webster"/>
    <x v="114"/>
    <x v="4"/>
    <s v="Test"/>
    <m/>
    <s v="3-6 Rep Test"/>
    <s v="April Prep Phase"/>
    <n v="170"/>
    <n v="1"/>
    <n v="170"/>
    <n v="82.5"/>
    <x v="3"/>
    <m/>
    <s v="(170 x 1)"/>
  </r>
  <r>
    <n v="880"/>
    <x v="3"/>
    <s v="Van Velt Hooven"/>
    <x v="114"/>
    <x v="4"/>
    <s v="Test"/>
    <m/>
    <s v="3-6 Rep Test"/>
    <s v="April Prep Phase"/>
    <n v="195"/>
    <n v="6"/>
    <n v="229.41176470588235"/>
    <n v="91"/>
    <x v="3"/>
    <m/>
    <s v="(195x6)"/>
  </r>
  <r>
    <n v="881"/>
    <x v="11"/>
    <s v="Stewart"/>
    <x v="114"/>
    <x v="4"/>
    <s v="Test"/>
    <m/>
    <s v="3-6 Rep Test"/>
    <s v="April Prep Phase"/>
    <n v="215"/>
    <n v="6"/>
    <n v="258.72442839951867"/>
    <s v="?"/>
    <x v="3"/>
    <s v="43cm,B elt, No Wraps, Yellow Grip Strap in Right Hand"/>
    <s v="(215x6, 43cm,Belt, No Wraps, Yellow Grip Strap in Right Hand)"/>
  </r>
  <r>
    <n v="882"/>
    <x v="7"/>
    <s v="Williams"/>
    <x v="114"/>
    <x v="4"/>
    <s v="Test"/>
    <m/>
    <s v="3-6 Rep Test"/>
    <s v="April Prep Phase"/>
    <n v="190"/>
    <n v="4"/>
    <n v="215.66401816118048"/>
    <n v="88.1"/>
    <x v="3"/>
    <m/>
    <s v="(190 x 4)"/>
  </r>
  <r>
    <n v="883"/>
    <x v="12"/>
    <s v="Castle"/>
    <x v="114"/>
    <x v="4"/>
    <s v="Test"/>
    <m/>
    <s v="3-6 Rep Test"/>
    <s v="April Prep Phase"/>
    <m/>
    <m/>
    <n v="192.96254256526674"/>
    <m/>
    <x v="3"/>
    <m/>
    <m/>
  </r>
  <r>
    <n v="884"/>
    <x v="13"/>
    <s v="Eccles"/>
    <x v="114"/>
    <x v="4"/>
    <s v="Test"/>
    <m/>
    <s v="3-6 Rep Test"/>
    <s v="April Prep Phase"/>
    <m/>
    <m/>
    <n v="164.58569807037458"/>
    <m/>
    <x v="3"/>
    <m/>
    <m/>
  </r>
  <r>
    <n v="885"/>
    <x v="9"/>
    <s v="Hansen"/>
    <x v="115"/>
    <x v="31"/>
    <s v="Test"/>
    <m/>
    <s v="Depth=1"/>
    <m/>
    <n v="160"/>
    <n v="4"/>
    <n v="181.6"/>
    <n v="67.8"/>
    <x v="2"/>
    <s v="Depth=1"/>
    <s v="(160 x 4, Depth=1)"/>
  </r>
  <r>
    <n v="886"/>
    <x v="11"/>
    <s v="Stewart"/>
    <x v="115"/>
    <x v="31"/>
    <s v="Test"/>
    <m/>
    <m/>
    <m/>
    <n v="250"/>
    <n v="5"/>
    <n v="292.05607476635515"/>
    <m/>
    <x v="2"/>
    <m/>
    <s v="(250 x 5)"/>
  </r>
  <r>
    <n v="887"/>
    <x v="9"/>
    <s v="Hansen"/>
    <x v="115"/>
    <x v="32"/>
    <s v="Test"/>
    <m/>
    <s v="Depth=1"/>
    <m/>
    <n v="170"/>
    <n v="7"/>
    <n v="210.65675340768277"/>
    <n v="67.8"/>
    <x v="2"/>
    <s v="Depth=1"/>
    <s v="(170 x 7, Depth=1)"/>
  </r>
  <r>
    <n v="888"/>
    <x v="11"/>
    <s v="Stewart"/>
    <x v="115"/>
    <x v="32"/>
    <s v="Test"/>
    <m/>
    <m/>
    <m/>
    <n v="250"/>
    <n v="6"/>
    <n v="300.84235860409149"/>
    <m/>
    <x v="2"/>
    <m/>
    <s v="(250 x 6)"/>
  </r>
  <r>
    <n v="889"/>
    <x v="14"/>
    <s v="Podmore"/>
    <x v="115"/>
    <x v="36"/>
    <s v="Test"/>
    <m/>
    <m/>
    <m/>
    <m/>
    <m/>
    <n v="40.641711229946523"/>
    <m/>
    <x v="2"/>
    <m/>
    <m/>
  </r>
  <r>
    <n v="890"/>
    <x v="9"/>
    <s v="Hansen"/>
    <x v="115"/>
    <x v="36"/>
    <s v="Test"/>
    <m/>
    <m/>
    <m/>
    <s v="60*3"/>
    <m/>
    <n v="65.934065934065927"/>
    <n v="67.8"/>
    <x v="2"/>
    <m/>
    <s v="(60*3)"/>
  </r>
  <r>
    <n v="891"/>
    <x v="6"/>
    <s v="Dawkins"/>
    <x v="115"/>
    <x v="3"/>
    <s v="Test"/>
    <m/>
    <m/>
    <s v="April Prep Phase"/>
    <m/>
    <m/>
    <n v="130"/>
    <m/>
    <x v="2"/>
    <m/>
    <m/>
  </r>
  <r>
    <n v="892"/>
    <x v="0"/>
    <s v="Mitchell"/>
    <x v="115"/>
    <x v="3"/>
    <s v="Test"/>
    <m/>
    <m/>
    <s v="April Prep Phase"/>
    <m/>
    <m/>
    <n v="115"/>
    <m/>
    <x v="2"/>
    <m/>
    <m/>
  </r>
  <r>
    <n v="893"/>
    <x v="2"/>
    <s v="Webster"/>
    <x v="115"/>
    <x v="3"/>
    <s v="Test"/>
    <m/>
    <m/>
    <s v="April Prep Phase"/>
    <m/>
    <m/>
    <n v="115"/>
    <m/>
    <x v="2"/>
    <m/>
    <m/>
  </r>
  <r>
    <n v="894"/>
    <x v="3"/>
    <s v="Van Velt Hooven"/>
    <x v="115"/>
    <x v="3"/>
    <s v="Test"/>
    <m/>
    <m/>
    <s v="April Prep Phase"/>
    <m/>
    <m/>
    <n v="120.87912087912088"/>
    <m/>
    <x v="2"/>
    <m/>
    <m/>
  </r>
  <r>
    <n v="895"/>
    <x v="12"/>
    <s v="Castle"/>
    <x v="115"/>
    <x v="3"/>
    <s v="Test"/>
    <m/>
    <m/>
    <s v="April Prep Phase"/>
    <m/>
    <m/>
    <n v="117"/>
    <m/>
    <x v="2"/>
    <m/>
    <m/>
  </r>
  <r>
    <n v="896"/>
    <x v="13"/>
    <s v="Eccles"/>
    <x v="115"/>
    <x v="3"/>
    <s v="Test"/>
    <m/>
    <m/>
    <s v="April Prep Phase"/>
    <m/>
    <m/>
    <n v="96.481271282633372"/>
    <m/>
    <x v="2"/>
    <m/>
    <m/>
  </r>
  <r>
    <n v="897"/>
    <x v="9"/>
    <s v="Hansen"/>
    <x v="116"/>
    <x v="31"/>
    <s v="Test"/>
    <m/>
    <s v="Depth=1"/>
    <m/>
    <n v="190"/>
    <n v="1"/>
    <n v="190"/>
    <n v="68.900000000000006"/>
    <x v="2"/>
    <s v="Depth=1"/>
    <s v="(190 x 1, Depth=1)"/>
  </r>
  <r>
    <n v="898"/>
    <x v="9"/>
    <s v="Hansen"/>
    <x v="116"/>
    <x v="32"/>
    <s v="Test"/>
    <m/>
    <s v="Depth=1"/>
    <m/>
    <n v="200"/>
    <n v="3"/>
    <n v="220.75055187637969"/>
    <n v="68.900000000000006"/>
    <x v="2"/>
    <s v="Depth=1"/>
    <s v="(200 x 3, Depth=1)"/>
  </r>
  <r>
    <n v="899"/>
    <x v="6"/>
    <s v="Dawkins"/>
    <x v="116"/>
    <x v="4"/>
    <s v="Test"/>
    <m/>
    <s v="1 Rep Test"/>
    <s v="May Strength Phase"/>
    <m/>
    <n v="1"/>
    <n v="250"/>
    <n v="97.8"/>
    <x v="3"/>
    <s v="Wraps"/>
    <s v="(1 Reps,Wraps)"/>
  </r>
  <r>
    <n v="900"/>
    <x v="0"/>
    <s v="Mitchell"/>
    <x v="116"/>
    <x v="4"/>
    <s v="Test"/>
    <m/>
    <s v="1 Rep Test"/>
    <s v="May Strength Phase"/>
    <m/>
    <n v="1"/>
    <n v="216"/>
    <n v="84.8"/>
    <x v="3"/>
    <s v="Wraps"/>
    <s v="(1 Reps,Wraps)"/>
  </r>
  <r>
    <n v="901"/>
    <x v="8"/>
    <s v="Sheppard"/>
    <x v="117"/>
    <x v="4"/>
    <s v="Test"/>
    <m/>
    <s v="3-6 Rep Test"/>
    <s v="Dec-Jan Re-load"/>
    <n v="140"/>
    <n v="3"/>
    <n v="153.84615384615384"/>
    <n v="84.8"/>
    <x v="3"/>
    <m/>
    <s v="(140 x 3, 16 Dec)"/>
  </r>
  <r>
    <n v="902"/>
    <x v="12"/>
    <s v="Castle"/>
    <x v="118"/>
    <x v="4"/>
    <s v="Test"/>
    <m/>
    <s v="5RM Rep Test"/>
    <s v="April Prep Phase_x000a_Paralle Squats"/>
    <m/>
    <m/>
    <n v="192.53910950661853"/>
    <m/>
    <x v="3"/>
    <m/>
    <m/>
  </r>
  <r>
    <n v="903"/>
    <x v="15"/>
    <s v="Knipe"/>
    <x v="119"/>
    <x v="36"/>
    <s v="Test"/>
    <m/>
    <m/>
    <m/>
    <n v="70"/>
    <n v="4"/>
    <n v="79.455164585698071"/>
    <n v="76.2"/>
    <x v="2"/>
    <m/>
    <m/>
  </r>
  <r>
    <n v="904"/>
    <x v="16"/>
    <s v="Saunders"/>
    <x v="119"/>
    <x v="36"/>
    <s v="Test"/>
    <m/>
    <m/>
    <m/>
    <n v="80"/>
    <n v="4"/>
    <n v="90.805902383654939"/>
    <n v="88.5"/>
    <x v="2"/>
    <m/>
    <m/>
  </r>
  <r>
    <n v="905"/>
    <x v="17"/>
    <s v="Cumming"/>
    <x v="119"/>
    <x v="36"/>
    <s v="Test"/>
    <m/>
    <m/>
    <m/>
    <n v="50"/>
    <n v="3"/>
    <n v="55.187637969094929"/>
    <n v="61.9"/>
    <x v="2"/>
    <m/>
    <m/>
  </r>
  <r>
    <n v="906"/>
    <x v="12"/>
    <s v="Castle"/>
    <x v="119"/>
    <x v="36"/>
    <s v="Test"/>
    <m/>
    <m/>
    <m/>
    <n v="80"/>
    <n v="5"/>
    <n v="93.45794392523365"/>
    <n v="87.5"/>
    <x v="2"/>
    <m/>
    <m/>
  </r>
  <r>
    <n v="907"/>
    <x v="14"/>
    <s v="Podmore"/>
    <x v="119"/>
    <x v="36"/>
    <s v="Test"/>
    <m/>
    <m/>
    <m/>
    <n v="40"/>
    <n v="5"/>
    <n v="46.728971962616825"/>
    <n v="64.900000000000006"/>
    <x v="2"/>
    <m/>
    <m/>
  </r>
  <r>
    <n v="908"/>
    <x v="15"/>
    <s v="Knipe"/>
    <x v="119"/>
    <x v="0"/>
    <s v="Test"/>
    <m/>
    <m/>
    <m/>
    <n v="110"/>
    <n v="7"/>
    <n v="136.30731102850061"/>
    <n v="76.2"/>
    <x v="15"/>
    <s v="A little high for most of them. Was going to rack it at 5, but asked him to keep going and he did 2 more."/>
    <m/>
  </r>
  <r>
    <n v="909"/>
    <x v="16"/>
    <s v="Saunders"/>
    <x v="119"/>
    <x v="0"/>
    <s v="Test"/>
    <m/>
    <m/>
    <m/>
    <n v="120"/>
    <n v="6"/>
    <n v="144.4043321299639"/>
    <n v="88.5"/>
    <x v="15"/>
    <s v="Safety Bar. I counted 7 on video, Callum wrote down 6 to depth. He was going to rack it at 6, but asked him to keep going and he did 1 more."/>
    <m/>
  </r>
  <r>
    <n v="910"/>
    <x v="17"/>
    <s v="Cumming"/>
    <x v="119"/>
    <x v="0"/>
    <s v="Test"/>
    <m/>
    <m/>
    <m/>
    <n v="70"/>
    <n v="1"/>
    <n v="70"/>
    <n v="61.9"/>
    <x v="15"/>
    <s v="Safety Bar. High reps. Emma wrote down 1 rep to depth. She did 5 in total."/>
    <m/>
  </r>
  <r>
    <n v="911"/>
    <x v="12"/>
    <s v="Castle"/>
    <x v="119"/>
    <x v="0"/>
    <s v="Test"/>
    <m/>
    <m/>
    <m/>
    <n v="160"/>
    <n v="6"/>
    <n v="192.53910950661856"/>
    <n v="87.5"/>
    <x v="15"/>
    <s v="No video. I was spotting and did not see depth. Others watching said depth was good for most. Previous - Jan 16 170 x 5 (199 Pred), Apr 16 170 x 4 (193 Pred)"/>
    <m/>
  </r>
  <r>
    <n v="912"/>
    <x v="14"/>
    <s v="Podmore"/>
    <x v="119"/>
    <x v="0"/>
    <s v="Test"/>
    <m/>
    <m/>
    <m/>
    <n v="80"/>
    <n v="2"/>
    <n v="84.835630965005308"/>
    <n v="64.900000000000006"/>
    <x v="15"/>
    <s v="Very deep. Had another 2 attempts at that weight and failed each attempt."/>
    <m/>
  </r>
  <r>
    <n v="913"/>
    <x v="6"/>
    <s v="Dawkins"/>
    <x v="120"/>
    <x v="4"/>
    <s v="Test"/>
    <m/>
    <m/>
    <m/>
    <m/>
    <m/>
    <n v="260"/>
    <m/>
    <x v="3"/>
    <m/>
    <m/>
  </r>
  <r>
    <n v="914"/>
    <x v="12"/>
    <s v="Castle"/>
    <x v="120"/>
    <x v="4"/>
    <s v="Test"/>
    <m/>
    <m/>
    <m/>
    <m/>
    <m/>
    <n v="200"/>
    <m/>
    <x v="3"/>
    <m/>
    <m/>
  </r>
  <r>
    <n v="915"/>
    <x v="12"/>
    <s v="Castle"/>
    <x v="120"/>
    <x v="31"/>
    <s v="Test"/>
    <m/>
    <m/>
    <m/>
    <m/>
    <m/>
    <n v="225"/>
    <m/>
    <x v="16"/>
    <s v="3 pins up"/>
    <m/>
  </r>
  <r>
    <n v="916"/>
    <x v="9"/>
    <s v="Hansen"/>
    <x v="120"/>
    <x v="31"/>
    <s v="Test"/>
    <m/>
    <m/>
    <m/>
    <m/>
    <m/>
    <n v="165"/>
    <m/>
    <x v="16"/>
    <s v="3 pins up"/>
    <m/>
  </r>
  <r>
    <n v="917"/>
    <x v="12"/>
    <s v="Castle"/>
    <x v="120"/>
    <x v="32"/>
    <s v="Test"/>
    <m/>
    <m/>
    <m/>
    <m/>
    <m/>
    <n v="230"/>
    <m/>
    <x v="16"/>
    <s v="3 pins up"/>
    <m/>
  </r>
  <r>
    <n v="918"/>
    <x v="9"/>
    <s v="Hansen"/>
    <x v="120"/>
    <x v="32"/>
    <s v="Test"/>
    <m/>
    <m/>
    <m/>
    <m/>
    <m/>
    <n v="170"/>
    <m/>
    <x v="16"/>
    <s v="3 pins up"/>
    <m/>
  </r>
  <r>
    <n v="919"/>
    <x v="15"/>
    <s v="Knipe"/>
    <x v="120"/>
    <x v="5"/>
    <s v="Test"/>
    <m/>
    <m/>
    <m/>
    <m/>
    <m/>
    <n v="180"/>
    <m/>
    <x v="14"/>
    <m/>
    <m/>
  </r>
  <r>
    <n v="920"/>
    <x v="17"/>
    <s v="Cumming"/>
    <x v="120"/>
    <x v="5"/>
    <s v="Test"/>
    <m/>
    <m/>
    <m/>
    <m/>
    <m/>
    <n v="100"/>
    <m/>
    <x v="14"/>
    <m/>
    <m/>
  </r>
  <r>
    <n v="921"/>
    <x v="12"/>
    <s v="Castle"/>
    <x v="120"/>
    <x v="5"/>
    <s v="Test"/>
    <m/>
    <m/>
    <m/>
    <m/>
    <m/>
    <n v="235"/>
    <m/>
    <x v="14"/>
    <m/>
    <m/>
  </r>
  <r>
    <n v="922"/>
    <x v="14"/>
    <s v="Podmore"/>
    <x v="120"/>
    <x v="5"/>
    <s v="Test"/>
    <m/>
    <m/>
    <m/>
    <m/>
    <m/>
    <n v="115"/>
    <m/>
    <x v="14"/>
    <m/>
    <m/>
  </r>
  <r>
    <n v="923"/>
    <x v="15"/>
    <s v="Knipe"/>
    <x v="121"/>
    <x v="4"/>
    <s v="Test"/>
    <m/>
    <m/>
    <m/>
    <m/>
    <m/>
    <n v="155"/>
    <m/>
    <x v="3"/>
    <m/>
    <m/>
  </r>
  <r>
    <n v="924"/>
    <x v="17"/>
    <s v="Cumming"/>
    <x v="121"/>
    <x v="4"/>
    <s v="Test"/>
    <m/>
    <m/>
    <m/>
    <m/>
    <m/>
    <n v="110"/>
    <m/>
    <x v="3"/>
    <m/>
    <m/>
  </r>
  <r>
    <n v="925"/>
    <x v="0"/>
    <s v="Mitchell"/>
    <x v="121"/>
    <x v="4"/>
    <s v="Test"/>
    <m/>
    <m/>
    <m/>
    <m/>
    <m/>
    <n v="200"/>
    <m/>
    <x v="3"/>
    <m/>
    <m/>
  </r>
  <r>
    <n v="926"/>
    <x v="14"/>
    <s v="Podmore"/>
    <x v="121"/>
    <x v="4"/>
    <s v="Test"/>
    <m/>
    <m/>
    <m/>
    <m/>
    <m/>
    <n v="110"/>
    <m/>
    <x v="3"/>
    <m/>
    <m/>
  </r>
  <r>
    <n v="927"/>
    <x v="2"/>
    <s v="Webster"/>
    <x v="121"/>
    <x v="4"/>
    <s v="Test"/>
    <m/>
    <m/>
    <m/>
    <m/>
    <m/>
    <n v="160"/>
    <m/>
    <x v="3"/>
    <m/>
    <m/>
  </r>
  <r>
    <n v="928"/>
    <x v="7"/>
    <s v="Williams"/>
    <x v="121"/>
    <x v="4"/>
    <s v="Test"/>
    <m/>
    <m/>
    <m/>
    <m/>
    <m/>
    <n v="193"/>
    <m/>
    <x v="3"/>
    <m/>
    <m/>
  </r>
  <r>
    <n v="929"/>
    <x v="15"/>
    <s v="Knipe"/>
    <x v="121"/>
    <x v="31"/>
    <s v="Test"/>
    <m/>
    <m/>
    <m/>
    <m/>
    <m/>
    <n v="190"/>
    <m/>
    <x v="16"/>
    <s v="3 pins up"/>
    <m/>
  </r>
  <r>
    <n v="930"/>
    <x v="6"/>
    <s v="Dawkins"/>
    <x v="121"/>
    <x v="31"/>
    <s v="Test"/>
    <m/>
    <m/>
    <m/>
    <m/>
    <m/>
    <n v="320"/>
    <m/>
    <x v="17"/>
    <s v="5 pins up"/>
    <m/>
  </r>
  <r>
    <n v="931"/>
    <x v="17"/>
    <s v="Cumming"/>
    <x v="121"/>
    <x v="31"/>
    <s v="Test"/>
    <m/>
    <m/>
    <m/>
    <m/>
    <m/>
    <n v="120"/>
    <m/>
    <x v="16"/>
    <s v="3 pins up"/>
    <m/>
  </r>
  <r>
    <n v="932"/>
    <x v="0"/>
    <s v="Mitchell"/>
    <x v="121"/>
    <x v="31"/>
    <s v="Test"/>
    <m/>
    <m/>
    <m/>
    <m/>
    <m/>
    <n v="360"/>
    <m/>
    <x v="17"/>
    <s v="5 pins up"/>
    <m/>
  </r>
  <r>
    <n v="933"/>
    <x v="14"/>
    <s v="Podmore"/>
    <x v="121"/>
    <x v="31"/>
    <s v="Test"/>
    <m/>
    <m/>
    <m/>
    <m/>
    <m/>
    <n v="110"/>
    <m/>
    <x v="16"/>
    <s v="3 pins up"/>
    <m/>
  </r>
  <r>
    <n v="934"/>
    <x v="2"/>
    <s v="Webster"/>
    <x v="121"/>
    <x v="31"/>
    <s v="Test"/>
    <m/>
    <m/>
    <m/>
    <m/>
    <m/>
    <n v="240"/>
    <m/>
    <x v="18"/>
    <s v="5 pins up"/>
    <m/>
  </r>
  <r>
    <n v="935"/>
    <x v="7"/>
    <s v="Williams"/>
    <x v="121"/>
    <x v="31"/>
    <s v="Test"/>
    <m/>
    <m/>
    <m/>
    <m/>
    <m/>
    <n v="190"/>
    <m/>
    <x v="16"/>
    <s v="3 pins up"/>
    <m/>
  </r>
  <r>
    <n v="936"/>
    <x v="15"/>
    <s v="Knipe"/>
    <x v="121"/>
    <x v="32"/>
    <s v="Test"/>
    <m/>
    <m/>
    <m/>
    <m/>
    <m/>
    <n v="190"/>
    <m/>
    <x v="16"/>
    <s v="3 pins up"/>
    <m/>
  </r>
  <r>
    <n v="937"/>
    <x v="6"/>
    <s v="Dawkins"/>
    <x v="121"/>
    <x v="32"/>
    <s v="Test"/>
    <m/>
    <m/>
    <m/>
    <m/>
    <m/>
    <n v="300"/>
    <m/>
    <x v="17"/>
    <s v="5 pins up"/>
    <m/>
  </r>
  <r>
    <n v="938"/>
    <x v="17"/>
    <s v="Cumming"/>
    <x v="121"/>
    <x v="32"/>
    <s v="Test"/>
    <m/>
    <m/>
    <m/>
    <m/>
    <m/>
    <n v="127.5"/>
    <m/>
    <x v="16"/>
    <s v="3 pins up"/>
    <m/>
  </r>
  <r>
    <n v="939"/>
    <x v="0"/>
    <s v="Mitchell"/>
    <x v="121"/>
    <x v="32"/>
    <s v="Test"/>
    <m/>
    <m/>
    <m/>
    <m/>
    <m/>
    <n v="350"/>
    <m/>
    <x v="17"/>
    <s v="5 pins up"/>
    <m/>
  </r>
  <r>
    <n v="940"/>
    <x v="14"/>
    <s v="Podmore"/>
    <x v="121"/>
    <x v="32"/>
    <s v="Test"/>
    <m/>
    <m/>
    <m/>
    <m/>
    <m/>
    <n v="120"/>
    <m/>
    <x v="16"/>
    <s v="3 pins up"/>
    <m/>
  </r>
  <r>
    <n v="941"/>
    <x v="2"/>
    <s v="Webster"/>
    <x v="121"/>
    <x v="32"/>
    <s v="Test"/>
    <m/>
    <m/>
    <m/>
    <m/>
    <m/>
    <n v="240"/>
    <m/>
    <x v="18"/>
    <s v="5 pins up"/>
    <m/>
  </r>
  <r>
    <n v="942"/>
    <x v="7"/>
    <s v="Williams"/>
    <x v="121"/>
    <x v="32"/>
    <s v="Test"/>
    <m/>
    <m/>
    <m/>
    <m/>
    <m/>
    <n v="180"/>
    <m/>
    <x v="16"/>
    <s v="3 pins up"/>
    <m/>
  </r>
  <r>
    <n v="943"/>
    <x v="6"/>
    <s v="Dawkins"/>
    <x v="121"/>
    <x v="5"/>
    <s v="Test"/>
    <m/>
    <m/>
    <m/>
    <m/>
    <m/>
    <n v="265"/>
    <m/>
    <x v="14"/>
    <m/>
    <m/>
  </r>
  <r>
    <n v="944"/>
    <x v="0"/>
    <s v="Mitchell"/>
    <x v="121"/>
    <x v="5"/>
    <s v="Test"/>
    <m/>
    <m/>
    <m/>
    <m/>
    <m/>
    <n v="220"/>
    <m/>
    <x v="14"/>
    <m/>
    <m/>
  </r>
  <r>
    <n v="945"/>
    <x v="2"/>
    <s v="Webster"/>
    <x v="121"/>
    <x v="5"/>
    <s v="Test"/>
    <m/>
    <m/>
    <m/>
    <m/>
    <m/>
    <n v="185"/>
    <m/>
    <x v="14"/>
    <m/>
    <m/>
  </r>
  <r>
    <n v="946"/>
    <x v="7"/>
    <s v="Williams"/>
    <x v="121"/>
    <x v="5"/>
    <s v="Test"/>
    <m/>
    <m/>
    <m/>
    <m/>
    <m/>
    <n v="210"/>
    <m/>
    <x v="14"/>
    <m/>
    <m/>
  </r>
  <r>
    <n v="947"/>
    <x v="18"/>
    <s v="Dakin"/>
    <x v="122"/>
    <x v="31"/>
    <s v="Test"/>
    <m/>
    <m/>
    <m/>
    <m/>
    <m/>
    <n v="240"/>
    <m/>
    <x v="2"/>
    <m/>
    <m/>
  </r>
  <r>
    <n v="948"/>
    <x v="18"/>
    <s v="Dakin"/>
    <x v="122"/>
    <x v="32"/>
    <s v="Test"/>
    <m/>
    <m/>
    <m/>
    <m/>
    <m/>
    <n v="225"/>
    <m/>
    <x v="2"/>
    <m/>
    <m/>
  </r>
  <r>
    <n v="949"/>
    <x v="0"/>
    <s v="Mitchell"/>
    <x v="123"/>
    <x v="4"/>
    <s v="Test"/>
    <m/>
    <m/>
    <m/>
    <m/>
    <m/>
    <n v="270"/>
    <m/>
    <x v="5"/>
    <m/>
    <m/>
  </r>
  <r>
    <n v="950"/>
    <x v="15"/>
    <s v="Knipe"/>
    <x v="123"/>
    <x v="4"/>
    <s v="Test"/>
    <m/>
    <m/>
    <m/>
    <m/>
    <m/>
    <n v="170"/>
    <m/>
    <x v="3"/>
    <m/>
    <m/>
  </r>
  <r>
    <n v="951"/>
    <x v="6"/>
    <s v="Dawkins"/>
    <x v="123"/>
    <x v="4"/>
    <s v="Test"/>
    <m/>
    <m/>
    <m/>
    <m/>
    <m/>
    <n v="260"/>
    <m/>
    <x v="3"/>
    <m/>
    <m/>
  </r>
  <r>
    <n v="952"/>
    <x v="12"/>
    <s v="Castle"/>
    <x v="123"/>
    <x v="4"/>
    <s v="Test"/>
    <m/>
    <m/>
    <m/>
    <m/>
    <m/>
    <n v="185"/>
    <m/>
    <x v="3"/>
    <m/>
    <m/>
  </r>
  <r>
    <n v="953"/>
    <x v="14"/>
    <s v="Podmore"/>
    <x v="123"/>
    <x v="4"/>
    <s v="Test"/>
    <m/>
    <m/>
    <m/>
    <m/>
    <m/>
    <n v="113"/>
    <m/>
    <x v="3"/>
    <m/>
    <m/>
  </r>
  <r>
    <n v="954"/>
    <x v="18"/>
    <s v="Dakin"/>
    <x v="123"/>
    <x v="4"/>
    <s v="Test"/>
    <m/>
    <m/>
    <m/>
    <m/>
    <m/>
    <n v="180"/>
    <m/>
    <x v="3"/>
    <m/>
    <m/>
  </r>
  <r>
    <n v="955"/>
    <x v="2"/>
    <s v="Webster"/>
    <x v="123"/>
    <x v="4"/>
    <s v="Test"/>
    <m/>
    <m/>
    <m/>
    <m/>
    <m/>
    <n v="175"/>
    <m/>
    <x v="3"/>
    <m/>
    <m/>
  </r>
  <r>
    <n v="956"/>
    <x v="7"/>
    <s v="Williams"/>
    <x v="123"/>
    <x v="4"/>
    <s v="Test"/>
    <m/>
    <m/>
    <m/>
    <m/>
    <m/>
    <n v="213"/>
    <m/>
    <x v="3"/>
    <m/>
    <m/>
  </r>
  <r>
    <n v="957"/>
    <x v="15"/>
    <s v="Knipe"/>
    <x v="123"/>
    <x v="31"/>
    <s v="Test"/>
    <m/>
    <m/>
    <m/>
    <m/>
    <m/>
    <n v="215"/>
    <m/>
    <x v="2"/>
    <m/>
    <m/>
  </r>
  <r>
    <n v="958"/>
    <x v="15"/>
    <s v="Knipe"/>
    <x v="123"/>
    <x v="31"/>
    <s v="Test"/>
    <m/>
    <m/>
    <m/>
    <m/>
    <m/>
    <n v="215"/>
    <m/>
    <x v="2"/>
    <m/>
    <m/>
  </r>
  <r>
    <n v="959"/>
    <x v="16"/>
    <s v="Saunders"/>
    <x v="123"/>
    <x v="31"/>
    <s v="Test"/>
    <m/>
    <m/>
    <m/>
    <m/>
    <m/>
    <m/>
    <m/>
    <x v="2"/>
    <m/>
    <m/>
  </r>
  <r>
    <n v="960"/>
    <x v="6"/>
    <s v="Dawkins"/>
    <x v="123"/>
    <x v="31"/>
    <s v="Test"/>
    <m/>
    <m/>
    <m/>
    <m/>
    <m/>
    <n v="350"/>
    <m/>
    <x v="2"/>
    <m/>
    <m/>
  </r>
  <r>
    <n v="961"/>
    <x v="6"/>
    <s v="Dawkins"/>
    <x v="123"/>
    <x v="31"/>
    <s v="Test"/>
    <m/>
    <m/>
    <m/>
    <m/>
    <m/>
    <n v="360"/>
    <m/>
    <x v="2"/>
    <m/>
    <m/>
  </r>
  <r>
    <n v="962"/>
    <x v="17"/>
    <s v="Cumming"/>
    <x v="123"/>
    <x v="31"/>
    <s v="Test"/>
    <m/>
    <m/>
    <m/>
    <m/>
    <m/>
    <m/>
    <m/>
    <x v="2"/>
    <m/>
    <m/>
  </r>
  <r>
    <n v="963"/>
    <x v="0"/>
    <s v="Mitchell"/>
    <x v="123"/>
    <x v="31"/>
    <s v="Test"/>
    <m/>
    <m/>
    <m/>
    <m/>
    <m/>
    <n v="380"/>
    <m/>
    <x v="2"/>
    <m/>
    <m/>
  </r>
  <r>
    <n v="964"/>
    <x v="0"/>
    <s v="Mitchell"/>
    <x v="123"/>
    <x v="31"/>
    <s v="Test"/>
    <m/>
    <m/>
    <m/>
    <m/>
    <m/>
    <n v="400"/>
    <m/>
    <x v="2"/>
    <m/>
    <m/>
  </r>
  <r>
    <n v="965"/>
    <x v="12"/>
    <s v="Castle"/>
    <x v="123"/>
    <x v="31"/>
    <s v="Test"/>
    <m/>
    <m/>
    <m/>
    <m/>
    <m/>
    <n v="250"/>
    <m/>
    <x v="2"/>
    <m/>
    <m/>
  </r>
  <r>
    <n v="966"/>
    <x v="12"/>
    <s v="Castle"/>
    <x v="123"/>
    <x v="31"/>
    <s v="Test"/>
    <m/>
    <m/>
    <m/>
    <m/>
    <m/>
    <n v="240"/>
    <m/>
    <x v="2"/>
    <m/>
    <m/>
  </r>
  <r>
    <n v="967"/>
    <x v="9"/>
    <s v="Hansen"/>
    <x v="123"/>
    <x v="31"/>
    <s v="Test"/>
    <m/>
    <m/>
    <m/>
    <m/>
    <m/>
    <n v="210"/>
    <m/>
    <x v="2"/>
    <m/>
    <m/>
  </r>
  <r>
    <n v="968"/>
    <x v="9"/>
    <s v="Hansen"/>
    <x v="123"/>
    <x v="31"/>
    <s v="Test"/>
    <m/>
    <m/>
    <m/>
    <m/>
    <m/>
    <n v="210"/>
    <m/>
    <x v="2"/>
    <m/>
    <m/>
  </r>
  <r>
    <n v="969"/>
    <x v="14"/>
    <s v="Podmore"/>
    <x v="123"/>
    <x v="31"/>
    <s v="Test"/>
    <m/>
    <m/>
    <m/>
    <m/>
    <m/>
    <n v="140"/>
    <m/>
    <x v="2"/>
    <m/>
    <m/>
  </r>
  <r>
    <n v="970"/>
    <x v="14"/>
    <s v="Podmore"/>
    <x v="123"/>
    <x v="31"/>
    <s v="Test"/>
    <m/>
    <m/>
    <m/>
    <m/>
    <m/>
    <n v="135"/>
    <m/>
    <x v="2"/>
    <m/>
    <m/>
  </r>
  <r>
    <n v="971"/>
    <x v="18"/>
    <s v="Dakin"/>
    <x v="123"/>
    <x v="31"/>
    <s v="Test"/>
    <m/>
    <m/>
    <m/>
    <m/>
    <m/>
    <n v="256"/>
    <m/>
    <x v="2"/>
    <m/>
    <m/>
  </r>
  <r>
    <n v="972"/>
    <x v="18"/>
    <s v="Dakin"/>
    <x v="123"/>
    <x v="31"/>
    <s v="Test"/>
    <m/>
    <m/>
    <m/>
    <m/>
    <m/>
    <n v="265"/>
    <m/>
    <x v="2"/>
    <m/>
    <m/>
  </r>
  <r>
    <n v="973"/>
    <x v="2"/>
    <s v="Webster"/>
    <x v="123"/>
    <x v="31"/>
    <s v="Test"/>
    <m/>
    <m/>
    <m/>
    <m/>
    <m/>
    <n v="275"/>
    <m/>
    <x v="2"/>
    <m/>
    <m/>
  </r>
  <r>
    <n v="974"/>
    <x v="2"/>
    <s v="Webster"/>
    <x v="123"/>
    <x v="31"/>
    <s v="Test"/>
    <m/>
    <m/>
    <m/>
    <m/>
    <m/>
    <n v="280"/>
    <m/>
    <x v="2"/>
    <m/>
    <m/>
  </r>
  <r>
    <n v="975"/>
    <x v="19"/>
    <s v="Garbett"/>
    <x v="123"/>
    <x v="31"/>
    <s v="Test"/>
    <m/>
    <m/>
    <m/>
    <m/>
    <m/>
    <m/>
    <m/>
    <x v="2"/>
    <m/>
    <m/>
  </r>
  <r>
    <n v="976"/>
    <x v="7"/>
    <s v="Williams"/>
    <x v="123"/>
    <x v="31"/>
    <s v="Test"/>
    <m/>
    <m/>
    <m/>
    <m/>
    <m/>
    <n v="240"/>
    <m/>
    <x v="2"/>
    <m/>
    <m/>
  </r>
  <r>
    <n v="977"/>
    <x v="7"/>
    <s v="Williams"/>
    <x v="123"/>
    <x v="31"/>
    <s v="Test"/>
    <m/>
    <m/>
    <m/>
    <m/>
    <m/>
    <n v="250"/>
    <m/>
    <x v="2"/>
    <m/>
    <m/>
  </r>
  <r>
    <n v="978"/>
    <x v="16"/>
    <s v="Saunders"/>
    <x v="124"/>
    <x v="37"/>
    <s v="Training"/>
    <m/>
    <m/>
    <m/>
    <n v="60"/>
    <n v="10"/>
    <n v="80.645161290322577"/>
    <m/>
    <x v="2"/>
    <m/>
    <m/>
  </r>
  <r>
    <n v="978"/>
    <x v="19"/>
    <s v="Garbett"/>
    <x v="125"/>
    <x v="4"/>
    <s v="Test"/>
    <m/>
    <m/>
    <m/>
    <m/>
    <m/>
    <n v="180"/>
    <m/>
    <x v="3"/>
    <m/>
    <m/>
  </r>
  <r>
    <n v="979"/>
    <x v="18"/>
    <s v="Dakin"/>
    <x v="125"/>
    <x v="4"/>
    <s v="Test"/>
    <m/>
    <m/>
    <m/>
    <m/>
    <m/>
    <n v="200"/>
    <m/>
    <x v="3"/>
    <m/>
    <m/>
  </r>
  <r>
    <n v="979"/>
    <x v="16"/>
    <s v="Saunders"/>
    <x v="124"/>
    <x v="5"/>
    <s v="Training"/>
    <m/>
    <m/>
    <m/>
    <n v="170"/>
    <n v="6"/>
    <n v="204.57280385078221"/>
    <m/>
    <x v="14"/>
    <m/>
    <m/>
  </r>
  <r>
    <n v="980"/>
    <x v="16"/>
    <s v="Saunders"/>
    <x v="124"/>
    <x v="38"/>
    <s v="Training"/>
    <m/>
    <m/>
    <m/>
    <n v="82"/>
    <n v="6"/>
    <n v="98.676293622141998"/>
    <m/>
    <x v="2"/>
    <m/>
    <m/>
  </r>
  <r>
    <n v="981"/>
    <x v="16"/>
    <s v="Saunders"/>
    <x v="124"/>
    <x v="12"/>
    <s v="Training"/>
    <m/>
    <m/>
    <m/>
    <n v="110"/>
    <n v="6"/>
    <n v="132.37063778580026"/>
    <m/>
    <x v="2"/>
    <m/>
    <m/>
  </r>
  <r>
    <n v="982"/>
    <x v="16"/>
    <s v="Saunders"/>
    <x v="126"/>
    <x v="5"/>
    <s v="Training"/>
    <m/>
    <m/>
    <m/>
    <n v="170"/>
    <n v="8"/>
    <n v="216.28498727735371"/>
    <m/>
    <x v="14"/>
    <m/>
    <m/>
  </r>
  <r>
    <n v="983"/>
    <x v="16"/>
    <s v="Saunders"/>
    <x v="126"/>
    <x v="18"/>
    <s v="Training"/>
    <m/>
    <m/>
    <m/>
    <n v="40"/>
    <n v="10"/>
    <n v="53.763440860215049"/>
    <m/>
    <x v="2"/>
    <m/>
    <m/>
  </r>
  <r>
    <n v="984"/>
    <x v="16"/>
    <s v="Saunders"/>
    <x v="126"/>
    <x v="38"/>
    <s v="Training"/>
    <m/>
    <m/>
    <m/>
    <n v="82"/>
    <n v="6"/>
    <n v="98.676293622141998"/>
    <m/>
    <x v="2"/>
    <m/>
    <m/>
  </r>
  <r>
    <n v="985"/>
    <x v="16"/>
    <s v="Saunders"/>
    <x v="126"/>
    <x v="39"/>
    <s v="Training"/>
    <m/>
    <m/>
    <m/>
    <n v="70"/>
    <n v="10"/>
    <n v="94.086021505376337"/>
    <m/>
    <x v="2"/>
    <m/>
    <m/>
  </r>
  <r>
    <n v="986"/>
    <x v="16"/>
    <s v="Saunders"/>
    <x v="127"/>
    <x v="38"/>
    <s v="Training"/>
    <m/>
    <m/>
    <m/>
    <n v="89"/>
    <n v="6"/>
    <n v="107.09987966305657"/>
    <m/>
    <x v="2"/>
    <m/>
    <m/>
  </r>
  <r>
    <n v="987"/>
    <x v="16"/>
    <s v="Saunders"/>
    <x v="127"/>
    <x v="12"/>
    <s v="Training"/>
    <m/>
    <m/>
    <m/>
    <n v="110"/>
    <n v="6"/>
    <n v="132.37063778580026"/>
    <m/>
    <x v="2"/>
    <m/>
    <m/>
  </r>
  <r>
    <n v="988"/>
    <x v="16"/>
    <s v="Saunders"/>
    <x v="127"/>
    <x v="9"/>
    <s v="Training"/>
    <m/>
    <m/>
    <m/>
    <n v="200"/>
    <n v="8"/>
    <n v="254.45292620865141"/>
    <m/>
    <x v="2"/>
    <m/>
    <m/>
  </r>
  <r>
    <n v="989"/>
    <x v="16"/>
    <s v="Saunders"/>
    <x v="128"/>
    <x v="37"/>
    <s v="Training"/>
    <m/>
    <m/>
    <m/>
    <n v="70"/>
    <n v="10"/>
    <n v="94.086021505376337"/>
    <m/>
    <x v="2"/>
    <m/>
    <m/>
  </r>
  <r>
    <n v="990"/>
    <x v="16"/>
    <s v="Saunders"/>
    <x v="128"/>
    <x v="40"/>
    <s v="Training"/>
    <m/>
    <m/>
    <m/>
    <n v="75"/>
    <n v="10"/>
    <n v="100.80645161290322"/>
    <m/>
    <x v="2"/>
    <m/>
    <m/>
  </r>
  <r>
    <n v="991"/>
    <x v="16"/>
    <s v="Saunders"/>
    <x v="128"/>
    <x v="38"/>
    <s v="Training"/>
    <m/>
    <m/>
    <m/>
    <n v="89"/>
    <n v="6"/>
    <n v="107.09987966305657"/>
    <m/>
    <x v="2"/>
    <m/>
    <m/>
  </r>
  <r>
    <n v="992"/>
    <x v="16"/>
    <s v="Saunders"/>
    <x v="128"/>
    <x v="12"/>
    <s v="Training"/>
    <m/>
    <m/>
    <m/>
    <n v="120"/>
    <n v="10"/>
    <n v="161.29032258064515"/>
    <m/>
    <x v="2"/>
    <m/>
    <m/>
  </r>
  <r>
    <n v="993"/>
    <x v="16"/>
    <s v="Saunders"/>
    <x v="128"/>
    <x v="9"/>
    <s v="Training"/>
    <m/>
    <m/>
    <m/>
    <n v="230"/>
    <n v="8"/>
    <n v="292.6208651399491"/>
    <m/>
    <x v="2"/>
    <m/>
    <m/>
  </r>
  <r>
    <n v="994"/>
    <x v="16"/>
    <s v="Saunders"/>
    <x v="129"/>
    <x v="5"/>
    <s v="Training"/>
    <m/>
    <m/>
    <m/>
    <n v="170"/>
    <n v="8"/>
    <n v="216.28498727735371"/>
    <m/>
    <x v="14"/>
    <m/>
    <m/>
  </r>
  <r>
    <n v="995"/>
    <x v="16"/>
    <s v="Saunders"/>
    <x v="129"/>
    <x v="18"/>
    <s v="Training"/>
    <m/>
    <m/>
    <m/>
    <n v="40"/>
    <n v="10"/>
    <n v="53.763440860215049"/>
    <m/>
    <x v="2"/>
    <m/>
    <m/>
  </r>
  <r>
    <n v="996"/>
    <x v="16"/>
    <s v="Saunders"/>
    <x v="129"/>
    <x v="38"/>
    <s v="Training"/>
    <m/>
    <m/>
    <m/>
    <n v="82"/>
    <n v="6"/>
    <n v="98.676293622141998"/>
    <m/>
    <x v="2"/>
    <m/>
    <m/>
  </r>
  <r>
    <n v="997"/>
    <x v="16"/>
    <s v="Saunders"/>
    <x v="129"/>
    <x v="39"/>
    <s v="Training"/>
    <m/>
    <m/>
    <m/>
    <n v="90"/>
    <n v="10"/>
    <n v="120.96774193548386"/>
    <m/>
    <x v="2"/>
    <m/>
    <m/>
  </r>
  <r>
    <n v="998"/>
    <x v="16"/>
    <s v="Saunders"/>
    <x v="130"/>
    <x v="38"/>
    <s v="Training"/>
    <m/>
    <m/>
    <m/>
    <n v="96"/>
    <n v="6"/>
    <n v="115.52346570397113"/>
    <m/>
    <x v="2"/>
    <m/>
    <m/>
  </r>
  <r>
    <n v="999"/>
    <x v="16"/>
    <s v="Saunders"/>
    <x v="130"/>
    <x v="12"/>
    <s v="Training"/>
    <m/>
    <m/>
    <m/>
    <n v="120"/>
    <n v="6"/>
    <n v="144.4043321299639"/>
    <m/>
    <x v="2"/>
    <m/>
    <m/>
  </r>
  <r>
    <n v="1000"/>
    <x v="16"/>
    <s v="Saunders"/>
    <x v="130"/>
    <x v="9"/>
    <s v="Training"/>
    <m/>
    <m/>
    <m/>
    <n v="250"/>
    <n v="8"/>
    <n v="318.06615776081424"/>
    <m/>
    <x v="2"/>
    <m/>
    <m/>
  </r>
  <r>
    <n v="1001"/>
    <x v="16"/>
    <s v="Saunders"/>
    <x v="131"/>
    <x v="37"/>
    <s v="Training"/>
    <m/>
    <m/>
    <m/>
    <n v="70"/>
    <n v="10"/>
    <n v="94.086021505376337"/>
    <m/>
    <x v="2"/>
    <m/>
    <m/>
  </r>
  <r>
    <n v="1002"/>
    <x v="16"/>
    <s v="Saunders"/>
    <x v="131"/>
    <x v="41"/>
    <s v="Training"/>
    <m/>
    <m/>
    <m/>
    <n v="75"/>
    <n v="10"/>
    <n v="100.80645161290322"/>
    <m/>
    <x v="2"/>
    <m/>
    <m/>
  </r>
  <r>
    <n v="1003"/>
    <x v="16"/>
    <s v="Saunders"/>
    <x v="131"/>
    <x v="38"/>
    <s v="Training"/>
    <m/>
    <m/>
    <m/>
    <n v="96"/>
    <n v="6"/>
    <n v="115.52346570397113"/>
    <m/>
    <x v="2"/>
    <m/>
    <m/>
  </r>
  <r>
    <n v="1004"/>
    <x v="16"/>
    <s v="Saunders"/>
    <x v="131"/>
    <x v="12"/>
    <s v="Training"/>
    <m/>
    <m/>
    <m/>
    <n v="120"/>
    <n v="10"/>
    <n v="161.29032258064515"/>
    <m/>
    <x v="2"/>
    <m/>
    <m/>
  </r>
  <r>
    <n v="1005"/>
    <x v="16"/>
    <s v="Saunders"/>
    <x v="131"/>
    <x v="9"/>
    <s v="Training"/>
    <m/>
    <m/>
    <m/>
    <n v="220"/>
    <n v="8"/>
    <n v="279.89821882951657"/>
    <m/>
    <x v="2"/>
    <m/>
    <m/>
  </r>
  <r>
    <n v="1006"/>
    <x v="16"/>
    <s v="Saunders"/>
    <x v="132"/>
    <x v="5"/>
    <s v="Training"/>
    <m/>
    <m/>
    <m/>
    <n v="170"/>
    <n v="8"/>
    <n v="216.28498727735371"/>
    <m/>
    <x v="14"/>
    <m/>
    <m/>
  </r>
  <r>
    <n v="1007"/>
    <x v="16"/>
    <s v="Saunders"/>
    <x v="132"/>
    <x v="18"/>
    <s v="Training"/>
    <m/>
    <m/>
    <m/>
    <n v="40"/>
    <n v="10"/>
    <n v="53.763440860215049"/>
    <m/>
    <x v="2"/>
    <m/>
    <m/>
  </r>
  <r>
    <n v="1008"/>
    <x v="16"/>
    <s v="Saunders"/>
    <x v="132"/>
    <x v="38"/>
    <s v="Training"/>
    <m/>
    <m/>
    <m/>
    <n v="89"/>
    <n v="6"/>
    <n v="107.09987966305657"/>
    <m/>
    <x v="2"/>
    <m/>
    <m/>
  </r>
  <r>
    <n v="1009"/>
    <x v="16"/>
    <s v="Saunders"/>
    <x v="132"/>
    <x v="39"/>
    <s v="Training"/>
    <m/>
    <m/>
    <m/>
    <n v="90"/>
    <n v="10"/>
    <n v="120.96774193548386"/>
    <m/>
    <x v="2"/>
    <m/>
    <m/>
  </r>
  <r>
    <n v="1010"/>
    <x v="16"/>
    <s v="Saunders"/>
    <x v="133"/>
    <x v="38"/>
    <s v="Training"/>
    <m/>
    <m/>
    <m/>
    <n v="96"/>
    <n v="6"/>
    <n v="115.52346570397113"/>
    <m/>
    <x v="2"/>
    <m/>
    <m/>
  </r>
  <r>
    <n v="1011"/>
    <x v="16"/>
    <s v="Saunders"/>
    <x v="133"/>
    <x v="12"/>
    <s v="Training"/>
    <m/>
    <m/>
    <m/>
    <n v="120"/>
    <n v="6"/>
    <n v="144.4043321299639"/>
    <m/>
    <x v="2"/>
    <m/>
    <m/>
  </r>
  <r>
    <n v="1012"/>
    <x v="16"/>
    <s v="Saunders"/>
    <x v="133"/>
    <x v="9"/>
    <s v="Training"/>
    <m/>
    <m/>
    <m/>
    <n v="220"/>
    <n v="8"/>
    <n v="279.89821882951657"/>
    <m/>
    <x v="2"/>
    <m/>
    <m/>
  </r>
  <r>
    <n v="1013"/>
    <x v="16"/>
    <s v="Saunders"/>
    <x v="134"/>
    <x v="38"/>
    <s v="Training"/>
    <m/>
    <m/>
    <m/>
    <n v="82"/>
    <n v="6"/>
    <n v="98.676293622141998"/>
    <m/>
    <x v="2"/>
    <m/>
    <m/>
  </r>
  <r>
    <n v="1014"/>
    <x v="16"/>
    <s v="Saunders"/>
    <x v="134"/>
    <x v="12"/>
    <s v="Training"/>
    <m/>
    <m/>
    <m/>
    <n v="120"/>
    <n v="10"/>
    <n v="161.29032258064515"/>
    <m/>
    <x v="2"/>
    <m/>
    <m/>
  </r>
  <r>
    <n v="1015"/>
    <x v="16"/>
    <s v="Saunders"/>
    <x v="135"/>
    <x v="41"/>
    <s v="Training"/>
    <m/>
    <m/>
    <m/>
    <n v="50"/>
    <n v="10"/>
    <n v="67.204301075268816"/>
    <m/>
    <x v="2"/>
    <m/>
    <m/>
  </r>
  <r>
    <n v="1016"/>
    <x v="16"/>
    <s v="Saunders"/>
    <x v="135"/>
    <x v="5"/>
    <s v="Training"/>
    <m/>
    <m/>
    <m/>
    <n v="170"/>
    <n v="8"/>
    <n v="216.28498727735371"/>
    <m/>
    <x v="14"/>
    <m/>
    <m/>
  </r>
  <r>
    <n v="1017"/>
    <x v="16"/>
    <s v="Saunders"/>
    <x v="135"/>
    <x v="38"/>
    <s v="Training"/>
    <m/>
    <m/>
    <m/>
    <n v="82"/>
    <n v="6"/>
    <n v="98.676293622141998"/>
    <m/>
    <x v="2"/>
    <m/>
    <m/>
  </r>
  <r>
    <n v="1018"/>
    <x v="16"/>
    <s v="Saunders"/>
    <x v="135"/>
    <x v="39"/>
    <s v="Training"/>
    <m/>
    <m/>
    <m/>
    <n v="70"/>
    <n v="10"/>
    <n v="94.086021505376337"/>
    <m/>
    <x v="2"/>
    <m/>
    <m/>
  </r>
  <r>
    <n v="1019"/>
    <x v="16"/>
    <s v="Saunders"/>
    <x v="136"/>
    <x v="12"/>
    <s v="Training"/>
    <m/>
    <m/>
    <m/>
    <n v="120"/>
    <n v="10"/>
    <n v="161.29032258064515"/>
    <n v="93.7"/>
    <x v="2"/>
    <m/>
    <m/>
  </r>
  <r>
    <n v="1020"/>
    <x v="16"/>
    <s v="Saunders"/>
    <x v="136"/>
    <x v="37"/>
    <s v="Training"/>
    <m/>
    <m/>
    <m/>
    <n v="75"/>
    <n v="10"/>
    <n v="100.80645161290322"/>
    <n v="93.7"/>
    <x v="2"/>
    <m/>
    <m/>
  </r>
  <r>
    <n v="1021"/>
    <x v="16"/>
    <s v="Saunders"/>
    <x v="136"/>
    <x v="9"/>
    <s v="Training"/>
    <m/>
    <m/>
    <m/>
    <n v="220"/>
    <n v="8"/>
    <n v="279.89821882951657"/>
    <n v="93.7"/>
    <x v="2"/>
    <m/>
    <m/>
  </r>
  <r>
    <n v="1022"/>
    <x v="16"/>
    <s v="Saunders"/>
    <x v="136"/>
    <x v="42"/>
    <s v="Training"/>
    <m/>
    <m/>
    <m/>
    <n v="75"/>
    <n v="10"/>
    <n v="100.80645161290322"/>
    <n v="93.7"/>
    <x v="2"/>
    <m/>
    <m/>
  </r>
  <r>
    <n v="1023"/>
    <x v="16"/>
    <s v="Saunders"/>
    <x v="136"/>
    <x v="38"/>
    <s v="Training"/>
    <m/>
    <m/>
    <m/>
    <n v="82"/>
    <n v="6"/>
    <n v="98.676293622141998"/>
    <n v="93.7"/>
    <x v="2"/>
    <m/>
    <m/>
  </r>
  <r>
    <n v="1024"/>
    <x v="16"/>
    <s v="Saunders"/>
    <x v="136"/>
    <x v="38"/>
    <s v="Training"/>
    <m/>
    <m/>
    <m/>
    <n v="89"/>
    <n v="6"/>
    <n v="107.09987966305657"/>
    <n v="93.7"/>
    <x v="2"/>
    <m/>
    <m/>
  </r>
  <r>
    <n v="1025"/>
    <x v="16"/>
    <s v="Saunders"/>
    <x v="136"/>
    <x v="38"/>
    <s v="Training"/>
    <m/>
    <m/>
    <m/>
    <n v="96"/>
    <n v="6"/>
    <n v="115.52346570397113"/>
    <n v="93.7"/>
    <x v="2"/>
    <m/>
    <m/>
  </r>
  <r>
    <n v="1026"/>
    <x v="16"/>
    <s v="Saunders"/>
    <x v="137"/>
    <x v="18"/>
    <s v="Training"/>
    <m/>
    <m/>
    <m/>
    <n v="40"/>
    <n v="10"/>
    <n v="53.763440860215049"/>
    <n v="93.8"/>
    <x v="2"/>
    <m/>
    <m/>
  </r>
  <r>
    <n v="1027"/>
    <x v="16"/>
    <s v="Saunders"/>
    <x v="137"/>
    <x v="12"/>
    <s v="Training"/>
    <m/>
    <m/>
    <m/>
    <n v="200"/>
    <n v="15"/>
    <n v="302.11480362537759"/>
    <n v="93.8"/>
    <x v="2"/>
    <m/>
    <m/>
  </r>
  <r>
    <n v="1028"/>
    <x v="16"/>
    <s v="Saunders"/>
    <x v="137"/>
    <x v="38"/>
    <s v="Training"/>
    <m/>
    <m/>
    <m/>
    <n v="75"/>
    <n v="15"/>
    <n v="113.29305135951661"/>
    <n v="93.8"/>
    <x v="2"/>
    <m/>
    <m/>
  </r>
  <r>
    <n v="1029"/>
    <x v="16"/>
    <s v="Saunders"/>
    <x v="137"/>
    <x v="38"/>
    <s v="Training"/>
    <m/>
    <m/>
    <m/>
    <n v="82"/>
    <n v="10"/>
    <n v="110.21505376344085"/>
    <n v="93.8"/>
    <x v="2"/>
    <m/>
    <m/>
  </r>
  <r>
    <n v="1030"/>
    <x v="16"/>
    <s v="Saunders"/>
    <x v="137"/>
    <x v="9"/>
    <s v="Training"/>
    <m/>
    <m/>
    <m/>
    <n v="68"/>
    <n v="20"/>
    <n v="112.21122112211221"/>
    <n v="93.8"/>
    <x v="2"/>
    <m/>
    <m/>
  </r>
  <r>
    <n v="1031"/>
    <x v="16"/>
    <s v="Saunders"/>
    <x v="137"/>
    <x v="9"/>
    <s v="Training"/>
    <m/>
    <m/>
    <m/>
    <n v="200"/>
    <n v="15"/>
    <n v="302.11480362537759"/>
    <n v="93.8"/>
    <x v="2"/>
    <m/>
    <m/>
  </r>
  <r>
    <n v="1032"/>
    <x v="16"/>
    <s v="Saunders"/>
    <x v="137"/>
    <x v="9"/>
    <s v="Training"/>
    <m/>
    <m/>
    <m/>
    <n v="220"/>
    <n v="12"/>
    <n v="312.94452347083927"/>
    <n v="93.8"/>
    <x v="2"/>
    <m/>
    <m/>
  </r>
  <r>
    <n v="1033"/>
    <x v="16"/>
    <s v="Saunders"/>
    <x v="138"/>
    <x v="39"/>
    <s v="Training"/>
    <m/>
    <m/>
    <m/>
    <n v="80"/>
    <n v="12"/>
    <n v="113.79800853485065"/>
    <n v="93.2"/>
    <x v="2"/>
    <m/>
    <m/>
  </r>
  <r>
    <n v="1034"/>
    <x v="16"/>
    <s v="Saunders"/>
    <x v="138"/>
    <x v="38"/>
    <s v="Training"/>
    <m/>
    <m/>
    <m/>
    <n v="89"/>
    <n v="15"/>
    <n v="134.44108761329304"/>
    <n v="93.2"/>
    <x v="2"/>
    <m/>
    <m/>
  </r>
  <r>
    <n v="1035"/>
    <x v="16"/>
    <s v="Saunders"/>
    <x v="138"/>
    <x v="5"/>
    <s v="Training"/>
    <m/>
    <m/>
    <m/>
    <n v="80"/>
    <n v="12"/>
    <n v="113.79800853485065"/>
    <n v="93.2"/>
    <x v="14"/>
    <m/>
    <m/>
  </r>
  <r>
    <n v="1036"/>
    <x v="16"/>
    <s v="Saunders"/>
    <x v="138"/>
    <x v="5"/>
    <s v="Training"/>
    <m/>
    <m/>
    <m/>
    <n v="170"/>
    <n v="8"/>
    <n v="216.28498727735371"/>
    <n v="93.2"/>
    <x v="14"/>
    <m/>
    <m/>
  </r>
  <r>
    <n v="1037"/>
    <x v="16"/>
    <s v="Saunders"/>
    <x v="139"/>
    <x v="5"/>
    <s v="Training"/>
    <m/>
    <m/>
    <m/>
    <n v="170"/>
    <n v="10"/>
    <n v="228.49462365591395"/>
    <n v="93.9"/>
    <x v="14"/>
    <m/>
    <m/>
  </r>
  <r>
    <n v="1038"/>
    <x v="16"/>
    <s v="Saunders"/>
    <x v="139"/>
    <x v="5"/>
    <s v="Training"/>
    <m/>
    <m/>
    <m/>
    <n v="180"/>
    <n v="10"/>
    <n v="241.93548387096772"/>
    <n v="93.9"/>
    <x v="14"/>
    <m/>
    <m/>
  </r>
  <r>
    <n v="1039"/>
    <x v="16"/>
    <s v="Saunders"/>
    <x v="140"/>
    <x v="18"/>
    <s v="Training"/>
    <m/>
    <m/>
    <m/>
    <n v="40"/>
    <n v="10"/>
    <n v="53.763440860215049"/>
    <n v="93.2"/>
    <x v="2"/>
    <m/>
    <m/>
  </r>
  <r>
    <n v="1040"/>
    <x v="16"/>
    <s v="Saunders"/>
    <x v="140"/>
    <x v="12"/>
    <s v="Training"/>
    <m/>
    <m/>
    <m/>
    <n v="120"/>
    <n v="10"/>
    <n v="161.29032258064515"/>
    <n v="93.2"/>
    <x v="2"/>
    <m/>
    <m/>
  </r>
  <r>
    <n v="1041"/>
    <x v="16"/>
    <s v="Saunders"/>
    <x v="140"/>
    <x v="1"/>
    <s v="Training"/>
    <m/>
    <m/>
    <m/>
    <n v="160"/>
    <n v="15"/>
    <n v="241.69184290030211"/>
    <n v="93.2"/>
    <x v="2"/>
    <m/>
    <m/>
  </r>
  <r>
    <n v="1042"/>
    <x v="16"/>
    <s v="Saunders"/>
    <x v="140"/>
    <x v="9"/>
    <s v="Training"/>
    <m/>
    <m/>
    <m/>
    <n v="220"/>
    <n v="15"/>
    <n v="332.32628398791536"/>
    <n v="93.2"/>
    <x v="2"/>
    <m/>
    <m/>
  </r>
  <r>
    <n v="1043"/>
    <x v="16"/>
    <s v="Saunders"/>
    <x v="141"/>
    <x v="9"/>
    <s v="Training"/>
    <m/>
    <m/>
    <m/>
    <n v="200"/>
    <n v="10"/>
    <n v="268.81720430107526"/>
    <m/>
    <x v="2"/>
    <m/>
    <m/>
  </r>
  <r>
    <n v="1044"/>
    <x v="16"/>
    <s v="Saunders"/>
    <x v="141"/>
    <x v="12"/>
    <s v="Training"/>
    <m/>
    <m/>
    <m/>
    <n v="105"/>
    <n v="10"/>
    <n v="141.12903225806451"/>
    <m/>
    <x v="2"/>
    <m/>
    <m/>
  </r>
  <r>
    <n v="1045"/>
    <x v="16"/>
    <s v="Saunders"/>
    <x v="141"/>
    <x v="38"/>
    <s v="Training"/>
    <m/>
    <m/>
    <m/>
    <n v="82"/>
    <n v="10"/>
    <n v="110.21505376344085"/>
    <m/>
    <x v="2"/>
    <m/>
    <m/>
  </r>
  <r>
    <n v="1046"/>
    <x v="16"/>
    <s v="Saunders"/>
    <x v="142"/>
    <x v="1"/>
    <s v="Training"/>
    <m/>
    <m/>
    <m/>
    <n v="180"/>
    <n v="8"/>
    <n v="229.00763358778627"/>
    <m/>
    <x v="2"/>
    <m/>
    <m/>
  </r>
  <r>
    <n v="1047"/>
    <x v="16"/>
    <s v="Saunders"/>
    <x v="142"/>
    <x v="9"/>
    <s v="Training"/>
    <m/>
    <m/>
    <m/>
    <n v="250"/>
    <n v="8"/>
    <n v="318.06615776081424"/>
    <m/>
    <x v="2"/>
    <m/>
    <m/>
  </r>
  <r>
    <n v="1048"/>
    <x v="16"/>
    <s v="Saunders"/>
    <x v="142"/>
    <x v="5"/>
    <s v="Training"/>
    <m/>
    <m/>
    <m/>
    <n v="190"/>
    <n v="8"/>
    <n v="241.73027989821884"/>
    <m/>
    <x v="14"/>
    <m/>
    <m/>
  </r>
  <r>
    <n v="1049"/>
    <x v="16"/>
    <s v="Saunders"/>
    <x v="143"/>
    <x v="37"/>
    <s v="Training"/>
    <m/>
    <m/>
    <m/>
    <n v="70"/>
    <n v="10"/>
    <n v="94.086021505376337"/>
    <n v="92.9"/>
    <x v="2"/>
    <m/>
    <m/>
  </r>
  <r>
    <n v="1050"/>
    <x v="16"/>
    <s v="Saunders"/>
    <x v="143"/>
    <x v="9"/>
    <s v="Training"/>
    <m/>
    <m/>
    <m/>
    <n v="200"/>
    <n v="12"/>
    <n v="284.49502133712662"/>
    <n v="92.9"/>
    <x v="2"/>
    <m/>
    <m/>
  </r>
  <r>
    <n v="1051"/>
    <x v="16"/>
    <s v="Saunders"/>
    <x v="143"/>
    <x v="9"/>
    <s v="Training"/>
    <m/>
    <s v="Cluster"/>
    <m/>
    <n v="220"/>
    <n v="12"/>
    <n v="312.94452347083927"/>
    <n v="92.9"/>
    <x v="2"/>
    <m/>
    <m/>
  </r>
  <r>
    <n v="1052"/>
    <x v="16"/>
    <s v="Saunders"/>
    <x v="143"/>
    <x v="42"/>
    <s v="Training"/>
    <m/>
    <m/>
    <m/>
    <n v="75"/>
    <n v="15"/>
    <n v="113.29305135951661"/>
    <n v="92.9"/>
    <x v="2"/>
    <m/>
    <m/>
  </r>
  <r>
    <n v="1053"/>
    <x v="16"/>
    <s v="Saunders"/>
    <x v="143"/>
    <x v="1"/>
    <s v="Training"/>
    <m/>
    <m/>
    <m/>
    <n v="82"/>
    <n v="10"/>
    <n v="110.21505376344085"/>
    <n v="92.9"/>
    <x v="2"/>
    <m/>
    <m/>
  </r>
  <r>
    <n v="1054"/>
    <x v="16"/>
    <s v="Saunders"/>
    <x v="143"/>
    <x v="5"/>
    <s v="Training"/>
    <m/>
    <m/>
    <m/>
    <n v="170"/>
    <n v="12"/>
    <n v="241.82076813655763"/>
    <n v="92.9"/>
    <x v="14"/>
    <m/>
    <m/>
  </r>
  <r>
    <n v="1055"/>
    <x v="16"/>
    <s v="Saunders"/>
    <x v="144"/>
    <x v="39"/>
    <s v="Training"/>
    <m/>
    <m/>
    <m/>
    <n v="90"/>
    <n v="10"/>
    <n v="120.96774193548386"/>
    <m/>
    <x v="2"/>
    <m/>
    <m/>
  </r>
  <r>
    <n v="1056"/>
    <x v="16"/>
    <s v="Saunders"/>
    <x v="144"/>
    <x v="13"/>
    <s v="Training"/>
    <m/>
    <m/>
    <m/>
    <n v="180"/>
    <n v="12"/>
    <n v="256.04551920341396"/>
    <m/>
    <x v="2"/>
    <m/>
    <m/>
  </r>
  <r>
    <n v="1057"/>
    <x v="16"/>
    <s v="Saunders"/>
    <x v="144"/>
    <x v="12"/>
    <s v="Training"/>
    <m/>
    <m/>
    <m/>
    <n v="135"/>
    <n v="10"/>
    <n v="181.45161290322579"/>
    <m/>
    <x v="2"/>
    <m/>
    <m/>
  </r>
  <r>
    <n v="1058"/>
    <x v="16"/>
    <s v="Saunders"/>
    <x v="145"/>
    <x v="5"/>
    <s v="Training"/>
    <m/>
    <m/>
    <m/>
    <n v="170"/>
    <n v="12"/>
    <n v="241.82076813655763"/>
    <m/>
    <x v="14"/>
    <m/>
    <m/>
  </r>
  <r>
    <n v="1059"/>
    <x v="2"/>
    <s v="Webster"/>
    <x v="146"/>
    <x v="0"/>
    <m/>
    <m/>
    <m/>
    <m/>
    <n v="150"/>
    <n v="3"/>
    <n v="165.56291390728478"/>
    <n v="85.7"/>
    <x v="15"/>
    <m/>
    <m/>
  </r>
  <r>
    <n v="1060"/>
    <x v="2"/>
    <s v="Webster"/>
    <x v="147"/>
    <x v="13"/>
    <s v="Training"/>
    <m/>
    <m/>
    <m/>
    <n v="660"/>
    <n v="3"/>
    <n v="728.47682119205308"/>
    <n v="86.3"/>
    <x v="2"/>
    <m/>
    <m/>
  </r>
  <r>
    <n v="1061"/>
    <x v="2"/>
    <s v="Webster"/>
    <x v="148"/>
    <x v="0"/>
    <m/>
    <m/>
    <m/>
    <m/>
    <n v="150"/>
    <n v="1"/>
    <n v="150"/>
    <n v="85.8"/>
    <x v="15"/>
    <m/>
    <m/>
  </r>
  <r>
    <n v="1062"/>
    <x v="2"/>
    <s v="Webster"/>
    <x v="148"/>
    <x v="0"/>
    <s v="Training"/>
    <m/>
    <m/>
    <m/>
    <n v="145"/>
    <n v="3"/>
    <n v="160.04415011037528"/>
    <n v="85.8"/>
    <x v="15"/>
    <m/>
    <m/>
  </r>
  <r>
    <n v="1063"/>
    <x v="2"/>
    <s v="Webster"/>
    <x v="149"/>
    <x v="13"/>
    <s v="Training"/>
    <m/>
    <m/>
    <m/>
    <n v="635"/>
    <n v="3"/>
    <n v="700.88300220750557"/>
    <n v="85.9"/>
    <x v="2"/>
    <m/>
    <m/>
  </r>
  <r>
    <n v="1064"/>
    <x v="2"/>
    <s v="Webster"/>
    <x v="149"/>
    <x v="13"/>
    <s v="Training"/>
    <m/>
    <m/>
    <m/>
    <n v="660"/>
    <n v="2"/>
    <n v="699.89395546129379"/>
    <n v="85.9"/>
    <x v="2"/>
    <m/>
    <m/>
  </r>
  <r>
    <n v="1065"/>
    <x v="2"/>
    <s v="Webster"/>
    <x v="150"/>
    <x v="13"/>
    <s v="Training"/>
    <m/>
    <m/>
    <m/>
    <n v="660"/>
    <n v="3"/>
    <n v="728.47682119205308"/>
    <n v="85.7"/>
    <x v="2"/>
    <m/>
    <m/>
  </r>
  <r>
    <n v="1066"/>
    <x v="2"/>
    <s v="Webster"/>
    <x v="151"/>
    <x v="43"/>
    <s v="Training"/>
    <m/>
    <m/>
    <m/>
    <n v="160"/>
    <n v="3"/>
    <n v="176.60044150110377"/>
    <n v="86.4"/>
    <x v="2"/>
    <m/>
    <m/>
  </r>
  <r>
    <n v="1067"/>
    <x v="2"/>
    <s v="Webster"/>
    <x v="152"/>
    <x v="0"/>
    <s v="Training"/>
    <m/>
    <m/>
    <m/>
    <n v="150"/>
    <n v="3"/>
    <n v="165.56291390728478"/>
    <n v="85.7"/>
    <x v="15"/>
    <m/>
    <m/>
  </r>
  <r>
    <n v="1068"/>
    <x v="2"/>
    <s v="Webster"/>
    <x v="153"/>
    <x v="43"/>
    <s v="Training"/>
    <m/>
    <m/>
    <m/>
    <n v="140"/>
    <n v="3"/>
    <n v="154.52538631346579"/>
    <m/>
    <x v="2"/>
    <m/>
    <m/>
  </r>
  <r>
    <n v="1069"/>
    <x v="2"/>
    <s v="Webster"/>
    <x v="153"/>
    <x v="15"/>
    <s v="Training"/>
    <m/>
    <m/>
    <m/>
    <n v="115"/>
    <n v="6"/>
    <n v="138.38748495788207"/>
    <m/>
    <x v="2"/>
    <m/>
    <m/>
  </r>
  <r>
    <n v="1070"/>
    <x v="2"/>
    <s v="Webster"/>
    <x v="153"/>
    <x v="13"/>
    <s v="Training"/>
    <m/>
    <m/>
    <m/>
    <n v="660"/>
    <n v="2"/>
    <n v="699.89395546129379"/>
    <m/>
    <x v="2"/>
    <m/>
    <m/>
  </r>
  <r>
    <n v="1071"/>
    <x v="2"/>
    <s v="Webster"/>
    <x v="154"/>
    <x v="0"/>
    <s v="Training"/>
    <m/>
    <m/>
    <m/>
    <n v="145"/>
    <n v="3"/>
    <n v="160.04415011037528"/>
    <n v="86.4"/>
    <x v="15"/>
    <m/>
    <m/>
  </r>
  <r>
    <n v="1072"/>
    <x v="2"/>
    <s v="Webster"/>
    <x v="155"/>
    <x v="15"/>
    <s v="Training"/>
    <m/>
    <m/>
    <m/>
    <n v="115"/>
    <n v="6"/>
    <n v="138.38748495788207"/>
    <n v="86.4"/>
    <x v="2"/>
    <m/>
    <m/>
  </r>
  <r>
    <n v="1073"/>
    <x v="2"/>
    <s v="Webster"/>
    <x v="155"/>
    <x v="13"/>
    <s v="Training"/>
    <m/>
    <m/>
    <m/>
    <n v="630"/>
    <n v="3"/>
    <n v="695.36423841059604"/>
    <n v="86.4"/>
    <x v="2"/>
    <m/>
    <m/>
  </r>
  <r>
    <n v="1074"/>
    <x v="2"/>
    <s v="Webster"/>
    <x v="156"/>
    <x v="44"/>
    <s v="Training"/>
    <m/>
    <m/>
    <m/>
    <n v="60"/>
    <n v="5"/>
    <n v="70.09345794392523"/>
    <m/>
    <x v="2"/>
    <m/>
    <m/>
  </r>
  <r>
    <n v="1075"/>
    <x v="2"/>
    <s v="Webster"/>
    <x v="157"/>
    <x v="45"/>
    <s v="Training"/>
    <m/>
    <m/>
    <m/>
    <n v="150"/>
    <n v="2"/>
    <n v="159.06680805938495"/>
    <m/>
    <x v="15"/>
    <m/>
    <m/>
  </r>
  <r>
    <n v="1076"/>
    <x v="2"/>
    <s v="Webster"/>
    <x v="158"/>
    <x v="44"/>
    <s v="Training"/>
    <m/>
    <m/>
    <m/>
    <n v="60"/>
    <n v="5"/>
    <n v="70.09345794392523"/>
    <n v="85.8"/>
    <x v="2"/>
    <m/>
    <m/>
  </r>
  <r>
    <n v="1077"/>
    <x v="2"/>
    <s v="Webster"/>
    <x v="159"/>
    <x v="0"/>
    <s v="Training"/>
    <m/>
    <m/>
    <m/>
    <n v="140"/>
    <n v="4"/>
    <n v="158.91032917139614"/>
    <m/>
    <x v="15"/>
    <m/>
    <m/>
  </r>
  <r>
    <n v="1078"/>
    <x v="2"/>
    <s v="Webster"/>
    <x v="160"/>
    <x v="46"/>
    <s v="Training"/>
    <m/>
    <m/>
    <m/>
    <n v="160"/>
    <n v="3"/>
    <n v="176.60044150110377"/>
    <n v="84.7"/>
    <x v="2"/>
    <m/>
    <m/>
  </r>
  <r>
    <n v="1079"/>
    <x v="2"/>
    <s v="Webster"/>
    <x v="161"/>
    <x v="0"/>
    <s v="Training"/>
    <m/>
    <m/>
    <m/>
    <n v="110"/>
    <n v="10"/>
    <n v="147.84946236559139"/>
    <n v="84.2"/>
    <x v="15"/>
    <m/>
    <m/>
  </r>
  <r>
    <n v="1080"/>
    <x v="2"/>
    <s v="Webster"/>
    <x v="162"/>
    <x v="14"/>
    <s v="Training"/>
    <m/>
    <m/>
    <m/>
    <n v="100"/>
    <n v="10"/>
    <n v="134.40860215053763"/>
    <n v="84"/>
    <x v="8"/>
    <m/>
    <m/>
  </r>
  <r>
    <n v="1081"/>
    <x v="2"/>
    <s v="Webster"/>
    <x v="163"/>
    <x v="0"/>
    <s v="Training"/>
    <m/>
    <m/>
    <m/>
    <n v="110"/>
    <n v="10"/>
    <n v="147.84946236559139"/>
    <n v="84.8"/>
    <x v="15"/>
    <m/>
    <m/>
  </r>
  <r>
    <n v="1082"/>
    <x v="2"/>
    <s v="Webster"/>
    <x v="163"/>
    <x v="16"/>
    <s v="Training"/>
    <m/>
    <m/>
    <m/>
    <n v="103"/>
    <n v="10"/>
    <n v="138.44086021505376"/>
    <n v="84.8"/>
    <x v="2"/>
    <m/>
    <m/>
  </r>
  <r>
    <n v="1083"/>
    <x v="2"/>
    <s v="Webster"/>
    <x v="164"/>
    <x v="0"/>
    <s v="Training"/>
    <m/>
    <m/>
    <m/>
    <n v="120"/>
    <n v="10"/>
    <n v="161.29032258064515"/>
    <m/>
    <x v="15"/>
    <m/>
    <m/>
  </r>
  <r>
    <n v="1084"/>
    <x v="2"/>
    <s v="Webster"/>
    <x v="124"/>
    <x v="37"/>
    <s v="Training"/>
    <m/>
    <m/>
    <m/>
    <n v="60"/>
    <n v="10"/>
    <n v="80.645161290322577"/>
    <m/>
    <x v="2"/>
    <m/>
    <m/>
  </r>
  <r>
    <n v="1085"/>
    <x v="2"/>
    <s v="Webster"/>
    <x v="124"/>
    <x v="0"/>
    <s v="Training"/>
    <m/>
    <s v="Flat Loaded"/>
    <m/>
    <n v="120"/>
    <n v="8"/>
    <n v="152.67175572519085"/>
    <s v="Parallel "/>
    <x v="2"/>
    <m/>
    <m/>
  </r>
  <r>
    <n v="1086"/>
    <x v="2"/>
    <s v="Webster"/>
    <x v="124"/>
    <x v="39"/>
    <s v="Training"/>
    <m/>
    <m/>
    <m/>
    <n v="80"/>
    <n v="8"/>
    <n v="101.78117048346056"/>
    <m/>
    <x v="2"/>
    <m/>
    <m/>
  </r>
  <r>
    <n v="1087"/>
    <x v="2"/>
    <s v="Webster"/>
    <x v="124"/>
    <x v="5"/>
    <s v="Training"/>
    <m/>
    <s v="Flat Loaded"/>
    <m/>
    <n v="150"/>
    <n v="8"/>
    <n v="190.83969465648855"/>
    <m/>
    <x v="19"/>
    <m/>
    <m/>
  </r>
  <r>
    <n v="1088"/>
    <x v="2"/>
    <s v="Webster"/>
    <x v="126"/>
    <x v="29"/>
    <s v="Training"/>
    <m/>
    <m/>
    <m/>
    <n v="90"/>
    <n v="8"/>
    <n v="114.50381679389314"/>
    <m/>
    <x v="2"/>
    <m/>
    <m/>
  </r>
  <r>
    <n v="1089"/>
    <x v="2"/>
    <s v="Webster"/>
    <x v="126"/>
    <x v="18"/>
    <s v="Training"/>
    <m/>
    <m/>
    <m/>
    <n v="50"/>
    <n v="10"/>
    <n v="67.204301075268816"/>
    <m/>
    <x v="2"/>
    <m/>
    <m/>
  </r>
  <r>
    <n v="1090"/>
    <x v="2"/>
    <s v="Webster"/>
    <x v="126"/>
    <x v="12"/>
    <s v="Training"/>
    <m/>
    <m/>
    <m/>
    <n v="110"/>
    <n v="8"/>
    <n v="139.94910941475828"/>
    <m/>
    <x v="2"/>
    <m/>
    <m/>
  </r>
  <r>
    <n v="1091"/>
    <x v="2"/>
    <s v="Webster"/>
    <x v="127"/>
    <x v="0"/>
    <s v="Training"/>
    <m/>
    <s v="Flat Loaded"/>
    <m/>
    <n v="120"/>
    <n v="8"/>
    <n v="152.67175572519085"/>
    <s v="Parallel "/>
    <x v="2"/>
    <m/>
    <m/>
  </r>
  <r>
    <n v="1092"/>
    <x v="2"/>
    <s v="Webster"/>
    <x v="127"/>
    <x v="9"/>
    <s v="Training"/>
    <m/>
    <m/>
    <m/>
    <n v="185"/>
    <n v="8"/>
    <n v="235.36895674300254"/>
    <m/>
    <x v="2"/>
    <m/>
    <m/>
  </r>
  <r>
    <n v="1093"/>
    <x v="2"/>
    <s v="Webster"/>
    <x v="127"/>
    <x v="5"/>
    <s v="Training"/>
    <m/>
    <s v="Flat Loaded"/>
    <m/>
    <n v="150"/>
    <n v="8"/>
    <n v="190.83969465648855"/>
    <m/>
    <x v="19"/>
    <m/>
    <m/>
  </r>
  <r>
    <n v="1094"/>
    <x v="2"/>
    <s v="Webster"/>
    <x v="165"/>
    <x v="18"/>
    <s v="Training"/>
    <m/>
    <m/>
    <m/>
    <n v="50"/>
    <n v="10"/>
    <n v="67.204301075268816"/>
    <m/>
    <x v="2"/>
    <m/>
    <m/>
  </r>
  <r>
    <n v="1095"/>
    <x v="2"/>
    <s v="Webster"/>
    <x v="165"/>
    <x v="12"/>
    <s v="Training"/>
    <m/>
    <m/>
    <m/>
    <n v="120"/>
    <n v="8"/>
    <n v="152.67175572519085"/>
    <m/>
    <x v="2"/>
    <m/>
    <m/>
  </r>
  <r>
    <n v="1096"/>
    <x v="2"/>
    <s v="Webster"/>
    <x v="165"/>
    <x v="47"/>
    <s v="Training"/>
    <m/>
    <m/>
    <m/>
    <n v="100"/>
    <n v="8"/>
    <n v="127.2264631043257"/>
    <m/>
    <x v="2"/>
    <m/>
    <m/>
  </r>
  <r>
    <n v="1097"/>
    <x v="2"/>
    <s v="Webster"/>
    <x v="166"/>
    <x v="0"/>
    <s v="Training"/>
    <m/>
    <m/>
    <m/>
    <n v="120"/>
    <n v="8"/>
    <n v="152.67175572519085"/>
    <s v="Parallel "/>
    <x v="2"/>
    <m/>
    <m/>
  </r>
  <r>
    <n v="1098"/>
    <x v="2"/>
    <s v="Webster"/>
    <x v="166"/>
    <x v="9"/>
    <s v="Training"/>
    <m/>
    <m/>
    <m/>
    <n v="185"/>
    <n v="8"/>
    <n v="235.36895674300254"/>
    <m/>
    <x v="2"/>
    <m/>
    <m/>
  </r>
  <r>
    <n v="1099"/>
    <x v="2"/>
    <s v="Webster"/>
    <x v="166"/>
    <x v="5"/>
    <s v="Training"/>
    <m/>
    <m/>
    <m/>
    <n v="140"/>
    <n v="8"/>
    <n v="178.11704834605598"/>
    <m/>
    <x v="19"/>
    <m/>
    <m/>
  </r>
  <r>
    <n v="1100"/>
    <x v="2"/>
    <s v="Webster"/>
    <x v="131"/>
    <x v="14"/>
    <s v="Training"/>
    <m/>
    <m/>
    <m/>
    <n v="95"/>
    <n v="8"/>
    <n v="120.86513994910942"/>
    <m/>
    <x v="8"/>
    <m/>
    <m/>
  </r>
  <r>
    <n v="1101"/>
    <x v="2"/>
    <s v="Webster"/>
    <x v="131"/>
    <x v="39"/>
    <s v="Training"/>
    <m/>
    <m/>
    <m/>
    <n v="80"/>
    <n v="10"/>
    <n v="107.5268817204301"/>
    <m/>
    <x v="2"/>
    <m/>
    <m/>
  </r>
  <r>
    <n v="1102"/>
    <x v="2"/>
    <s v="Webster"/>
    <x v="131"/>
    <x v="37"/>
    <s v="Training"/>
    <m/>
    <m/>
    <m/>
    <n v="80"/>
    <n v="10"/>
    <n v="107.5268817204301"/>
    <m/>
    <x v="2"/>
    <m/>
    <m/>
  </r>
  <r>
    <n v="1103"/>
    <x v="2"/>
    <s v="Webster"/>
    <x v="131"/>
    <x v="5"/>
    <s v="Training"/>
    <m/>
    <m/>
    <m/>
    <n v="140"/>
    <n v="8"/>
    <n v="178.11704834605598"/>
    <m/>
    <x v="19"/>
    <m/>
    <m/>
  </r>
  <r>
    <n v="1104"/>
    <x v="2"/>
    <s v="Webster"/>
    <x v="132"/>
    <x v="18"/>
    <s v="Training"/>
    <m/>
    <m/>
    <m/>
    <n v="50"/>
    <n v="10"/>
    <n v="67.204301075268816"/>
    <m/>
    <x v="2"/>
    <m/>
    <m/>
  </r>
  <r>
    <n v="1105"/>
    <x v="2"/>
    <s v="Webster"/>
    <x v="132"/>
    <x v="12"/>
    <s v="Training"/>
    <m/>
    <m/>
    <m/>
    <n v="120"/>
    <n v="8"/>
    <n v="152.67175572519085"/>
    <m/>
    <x v="2"/>
    <m/>
    <m/>
  </r>
  <r>
    <n v="1106"/>
    <x v="2"/>
    <s v="Webster"/>
    <x v="132"/>
    <x v="47"/>
    <s v="Training"/>
    <m/>
    <m/>
    <m/>
    <n v="100"/>
    <n v="8"/>
    <n v="127.2264631043257"/>
    <m/>
    <x v="2"/>
    <m/>
    <m/>
  </r>
  <r>
    <n v="1107"/>
    <x v="2"/>
    <s v="Webster"/>
    <x v="133"/>
    <x v="0"/>
    <s v="Training"/>
    <m/>
    <m/>
    <m/>
    <n v="120"/>
    <n v="8"/>
    <n v="152.67175572519085"/>
    <m/>
    <x v="8"/>
    <m/>
    <m/>
  </r>
  <r>
    <n v="1108"/>
    <x v="2"/>
    <s v="Webster"/>
    <x v="133"/>
    <x v="9"/>
    <s v="Training"/>
    <m/>
    <m/>
    <m/>
    <n v="185"/>
    <n v="8"/>
    <n v="235.36895674300254"/>
    <m/>
    <x v="2"/>
    <m/>
    <m/>
  </r>
  <r>
    <n v="1109"/>
    <x v="2"/>
    <s v="Webster"/>
    <x v="133"/>
    <x v="5"/>
    <s v="Training"/>
    <m/>
    <m/>
    <m/>
    <n v="140"/>
    <n v="8"/>
    <n v="178.11704834605598"/>
    <m/>
    <x v="19"/>
    <m/>
    <m/>
  </r>
  <r>
    <n v="1110"/>
    <x v="2"/>
    <s v="Webster"/>
    <x v="134"/>
    <x v="14"/>
    <s v="Training"/>
    <m/>
    <m/>
    <m/>
    <n v="80"/>
    <n v="8"/>
    <n v="101.78117048346056"/>
    <m/>
    <x v="8"/>
    <m/>
    <m/>
  </r>
  <r>
    <n v="1111"/>
    <x v="2"/>
    <s v="Webster"/>
    <x v="134"/>
    <x v="5"/>
    <s v="Training"/>
    <m/>
    <m/>
    <m/>
    <n v="140"/>
    <n v="8"/>
    <n v="178.11704834605598"/>
    <m/>
    <x v="19"/>
    <m/>
    <m/>
  </r>
  <r>
    <n v="1112"/>
    <x v="2"/>
    <s v="Webster"/>
    <x v="167"/>
    <x v="0"/>
    <s v="Training"/>
    <m/>
    <m/>
    <m/>
    <n v="135"/>
    <n v="3"/>
    <n v="149.00662251655629"/>
    <m/>
    <x v="8"/>
    <m/>
    <m/>
  </r>
  <r>
    <n v="1113"/>
    <x v="2"/>
    <s v="Webster"/>
    <x v="167"/>
    <x v="0"/>
    <s v="Training"/>
    <m/>
    <m/>
    <m/>
    <n v="140"/>
    <n v="3"/>
    <n v="154.52538631346579"/>
    <m/>
    <x v="8"/>
    <m/>
    <m/>
  </r>
  <r>
    <n v="1114"/>
    <x v="2"/>
    <s v="Webster"/>
    <x v="167"/>
    <x v="0"/>
    <s v="Training"/>
    <m/>
    <m/>
    <m/>
    <n v="130"/>
    <n v="5"/>
    <n v="151.86915887850466"/>
    <m/>
    <x v="8"/>
    <m/>
    <m/>
  </r>
  <r>
    <n v="1115"/>
    <x v="2"/>
    <s v="Webster"/>
    <x v="167"/>
    <x v="12"/>
    <s v="Training"/>
    <m/>
    <m/>
    <m/>
    <n v="120"/>
    <n v="8"/>
    <n v="152.67175572519085"/>
    <m/>
    <x v="2"/>
    <m/>
    <m/>
  </r>
  <r>
    <n v="1116"/>
    <x v="2"/>
    <s v="Webster"/>
    <x v="167"/>
    <x v="9"/>
    <s v="Training"/>
    <m/>
    <m/>
    <m/>
    <n v="185"/>
    <n v="8"/>
    <n v="235.36895674300254"/>
    <m/>
    <x v="2"/>
    <m/>
    <m/>
  </r>
  <r>
    <n v="1117"/>
    <x v="2"/>
    <s v="Webster"/>
    <x v="136"/>
    <x v="37"/>
    <s v="Training"/>
    <m/>
    <m/>
    <m/>
    <n v="80"/>
    <n v="10"/>
    <n v="107.5268817204301"/>
    <m/>
    <x v="2"/>
    <m/>
    <m/>
  </r>
  <r>
    <n v="1118"/>
    <x v="2"/>
    <s v="Webster"/>
    <x v="136"/>
    <x v="14"/>
    <s v="Training"/>
    <m/>
    <m/>
    <m/>
    <n v="100"/>
    <n v="8"/>
    <n v="127.2264631043257"/>
    <m/>
    <x v="8"/>
    <m/>
    <m/>
  </r>
  <r>
    <n v="1119"/>
    <x v="2"/>
    <s v="Webster"/>
    <x v="136"/>
    <x v="9"/>
    <s v="Training"/>
    <m/>
    <m/>
    <m/>
    <n v="185"/>
    <n v="10"/>
    <n v="248.6559139784946"/>
    <m/>
    <x v="2"/>
    <m/>
    <m/>
  </r>
  <r>
    <n v="1120"/>
    <x v="2"/>
    <s v="Webster"/>
    <x v="136"/>
    <x v="5"/>
    <s v="Training"/>
    <m/>
    <m/>
    <m/>
    <n v="160"/>
    <n v="10"/>
    <n v="215.05376344086019"/>
    <m/>
    <x v="19"/>
    <m/>
    <m/>
  </r>
  <r>
    <n v="1121"/>
    <x v="2"/>
    <s v="Webster"/>
    <x v="137"/>
    <x v="29"/>
    <s v="Training"/>
    <m/>
    <m/>
    <m/>
    <n v="110"/>
    <n v="10"/>
    <n v="147.84946236559139"/>
    <m/>
    <x v="2"/>
    <m/>
    <m/>
  </r>
  <r>
    <n v="1122"/>
    <x v="2"/>
    <s v="Webster"/>
    <x v="137"/>
    <x v="29"/>
    <s v="Training"/>
    <m/>
    <m/>
    <m/>
    <n v="90"/>
    <n v="12"/>
    <n v="128.02275960170698"/>
    <m/>
    <x v="2"/>
    <m/>
    <m/>
  </r>
  <r>
    <n v="1123"/>
    <x v="2"/>
    <s v="Webster"/>
    <x v="137"/>
    <x v="29"/>
    <s v="Training"/>
    <m/>
    <m/>
    <m/>
    <n v="70"/>
    <n v="15"/>
    <n v="105.74018126888217"/>
    <m/>
    <x v="2"/>
    <m/>
    <m/>
  </r>
  <r>
    <n v="1124"/>
    <x v="2"/>
    <s v="Webster"/>
    <x v="137"/>
    <x v="29"/>
    <s v="Training"/>
    <m/>
    <m/>
    <m/>
    <n v="100"/>
    <n v="15"/>
    <n v="151.05740181268879"/>
    <m/>
    <x v="2"/>
    <m/>
    <m/>
  </r>
  <r>
    <n v="1125"/>
    <x v="2"/>
    <s v="Webster"/>
    <x v="137"/>
    <x v="18"/>
    <s v="Training"/>
    <m/>
    <m/>
    <m/>
    <n v="50"/>
    <n v="12"/>
    <n v="71.123755334281654"/>
    <m/>
    <x v="2"/>
    <m/>
    <m/>
  </r>
  <r>
    <n v="1126"/>
    <x v="2"/>
    <s v="Webster"/>
    <x v="137"/>
    <x v="12"/>
    <s v="Training"/>
    <m/>
    <m/>
    <m/>
    <n v="150"/>
    <n v="8"/>
    <n v="190.83969465648855"/>
    <m/>
    <x v="2"/>
    <m/>
    <m/>
  </r>
  <r>
    <n v="1127"/>
    <x v="2"/>
    <s v="Webster"/>
    <x v="137"/>
    <x v="12"/>
    <s v="Training"/>
    <m/>
    <m/>
    <m/>
    <n v="100"/>
    <n v="12"/>
    <n v="142.24751066856331"/>
    <m/>
    <x v="2"/>
    <m/>
    <m/>
  </r>
  <r>
    <n v="1128"/>
    <x v="2"/>
    <s v="Webster"/>
    <x v="137"/>
    <x v="9"/>
    <s v="Training"/>
    <m/>
    <m/>
    <m/>
    <n v="185"/>
    <n v="10"/>
    <n v="248.6559139784946"/>
    <m/>
    <x v="2"/>
    <m/>
    <m/>
  </r>
  <r>
    <n v="1129"/>
    <x v="2"/>
    <s v="Webster"/>
    <x v="137"/>
    <x v="9"/>
    <s v="Training"/>
    <m/>
    <m/>
    <m/>
    <n v="185"/>
    <n v="12"/>
    <n v="263.15789473684214"/>
    <m/>
    <x v="2"/>
    <m/>
    <m/>
  </r>
  <r>
    <n v="1130"/>
    <x v="2"/>
    <s v="Webster"/>
    <x v="137"/>
    <x v="9"/>
    <s v="Training"/>
    <m/>
    <m/>
    <m/>
    <n v="185"/>
    <n v="15"/>
    <n v="279.4561933534743"/>
    <m/>
    <x v="2"/>
    <m/>
    <m/>
  </r>
  <r>
    <n v="1131"/>
    <x v="2"/>
    <s v="Webster"/>
    <x v="138"/>
    <x v="0"/>
    <s v="Training"/>
    <m/>
    <m/>
    <m/>
    <n v="120"/>
    <n v="10"/>
    <n v="161.29032258064515"/>
    <m/>
    <x v="8"/>
    <m/>
    <m/>
  </r>
  <r>
    <n v="1132"/>
    <x v="2"/>
    <s v="Webster"/>
    <x v="138"/>
    <x v="0"/>
    <s v="Training"/>
    <m/>
    <m/>
    <m/>
    <n v="110"/>
    <n v="12"/>
    <n v="156.47226173541964"/>
    <m/>
    <x v="8"/>
    <m/>
    <m/>
  </r>
  <r>
    <n v="1133"/>
    <x v="2"/>
    <s v="Webster"/>
    <x v="138"/>
    <x v="5"/>
    <s v="Training"/>
    <m/>
    <m/>
    <m/>
    <n v="150"/>
    <n v="10"/>
    <n v="201.61290322580643"/>
    <m/>
    <x v="19"/>
    <m/>
    <m/>
  </r>
  <r>
    <n v="1134"/>
    <x v="2"/>
    <s v="Webster"/>
    <x v="139"/>
    <x v="14"/>
    <s v="Training"/>
    <m/>
    <m/>
    <m/>
    <n v="80"/>
    <n v="10"/>
    <n v="107.5268817204301"/>
    <m/>
    <x v="8"/>
    <m/>
    <m/>
  </r>
  <r>
    <n v="1135"/>
    <x v="2"/>
    <s v="Webster"/>
    <x v="139"/>
    <x v="9"/>
    <s v="Training"/>
    <m/>
    <m/>
    <m/>
    <n v="185"/>
    <n v="8"/>
    <n v="235.36895674300254"/>
    <m/>
    <x v="2"/>
    <m/>
    <m/>
  </r>
  <r>
    <n v="1136"/>
    <x v="2"/>
    <s v="Webster"/>
    <x v="139"/>
    <x v="5"/>
    <s v="Training"/>
    <m/>
    <m/>
    <m/>
    <n v="150"/>
    <n v="8"/>
    <n v="190.83969465648855"/>
    <m/>
    <x v="19"/>
    <m/>
    <m/>
  </r>
  <r>
    <n v="1137"/>
    <x v="2"/>
    <s v="Webster"/>
    <x v="140"/>
    <x v="0"/>
    <s v="Training"/>
    <m/>
    <m/>
    <m/>
    <n v="120"/>
    <n v="10"/>
    <n v="161.29032258064515"/>
    <m/>
    <x v="2"/>
    <m/>
    <m/>
  </r>
  <r>
    <n v="1138"/>
    <x v="2"/>
    <s v="Webster"/>
    <x v="140"/>
    <x v="0"/>
    <s v="Training"/>
    <m/>
    <m/>
    <m/>
    <n v="110"/>
    <n v="12"/>
    <n v="156.47226173541964"/>
    <m/>
    <x v="2"/>
    <m/>
    <m/>
  </r>
  <r>
    <n v="1139"/>
    <x v="2"/>
    <s v="Webster"/>
    <x v="140"/>
    <x v="0"/>
    <s v="Training"/>
    <m/>
    <m/>
    <m/>
    <n v="110"/>
    <n v="10"/>
    <n v="147.84946236559139"/>
    <m/>
    <x v="8"/>
    <m/>
    <m/>
  </r>
  <r>
    <n v="1140"/>
    <x v="2"/>
    <s v="Webster"/>
    <x v="140"/>
    <x v="37"/>
    <s v="Training"/>
    <m/>
    <m/>
    <m/>
    <n v="60"/>
    <n v="10"/>
    <n v="80.645161290322577"/>
    <m/>
    <x v="2"/>
    <m/>
    <m/>
  </r>
  <r>
    <n v="1141"/>
    <x v="2"/>
    <s v="Webster"/>
    <x v="140"/>
    <x v="12"/>
    <s v="Training"/>
    <m/>
    <m/>
    <m/>
    <n v="140"/>
    <n v="10"/>
    <n v="188.17204301075267"/>
    <m/>
    <x v="2"/>
    <m/>
    <m/>
  </r>
  <r>
    <n v="1142"/>
    <x v="2"/>
    <s v="Webster"/>
    <x v="140"/>
    <x v="1"/>
    <s v="Training"/>
    <m/>
    <m/>
    <m/>
    <n v="200"/>
    <n v="15"/>
    <n v="302.11480362537759"/>
    <m/>
    <x v="2"/>
    <m/>
    <m/>
  </r>
  <r>
    <n v="1143"/>
    <x v="2"/>
    <s v="Webster"/>
    <x v="140"/>
    <x v="5"/>
    <s v="Training"/>
    <m/>
    <m/>
    <m/>
    <n v="120"/>
    <n v="8"/>
    <n v="152.67175572519085"/>
    <m/>
    <x v="19"/>
    <m/>
    <m/>
  </r>
  <r>
    <n v="1144"/>
    <x v="2"/>
    <s v="Webster"/>
    <x v="168"/>
    <x v="14"/>
    <s v="Training"/>
    <m/>
    <m/>
    <m/>
    <n v="125"/>
    <n v="5"/>
    <n v="146.02803738317758"/>
    <n v="83.2"/>
    <x v="8"/>
    <m/>
    <m/>
  </r>
  <r>
    <n v="1145"/>
    <x v="2"/>
    <s v="Webster"/>
    <x v="168"/>
    <x v="14"/>
    <s v="Training"/>
    <m/>
    <m/>
    <m/>
    <n v="135"/>
    <n v="2"/>
    <n v="143.16012725344646"/>
    <n v="83.2"/>
    <x v="8"/>
    <m/>
    <m/>
  </r>
  <r>
    <n v="1146"/>
    <x v="2"/>
    <s v="Webster"/>
    <x v="169"/>
    <x v="3"/>
    <s v="Training"/>
    <m/>
    <m/>
    <m/>
    <n v="100"/>
    <n v="4"/>
    <n v="113.50737797956867"/>
    <n v="83.9"/>
    <x v="2"/>
    <m/>
    <m/>
  </r>
  <r>
    <n v="1147"/>
    <x v="2"/>
    <s v="Webster"/>
    <x v="169"/>
    <x v="38"/>
    <s v="Training"/>
    <m/>
    <m/>
    <m/>
    <n v="82"/>
    <n v="15"/>
    <n v="123.86706948640482"/>
    <n v="83.9"/>
    <x v="2"/>
    <m/>
    <m/>
  </r>
  <r>
    <n v="1148"/>
    <x v="2"/>
    <s v="Webster"/>
    <x v="170"/>
    <x v="0"/>
    <s v="Training"/>
    <m/>
    <m/>
    <m/>
    <n v="160"/>
    <n v="2"/>
    <n v="169.67126193001062"/>
    <n v="84.2"/>
    <x v="8"/>
    <m/>
    <m/>
  </r>
  <r>
    <n v="1149"/>
    <x v="2"/>
    <s v="Webster"/>
    <x v="170"/>
    <x v="12"/>
    <s v="Training"/>
    <m/>
    <m/>
    <m/>
    <n v="140"/>
    <n v="6"/>
    <n v="168.47172081829123"/>
    <n v="84.2"/>
    <x v="2"/>
    <m/>
    <m/>
  </r>
  <r>
    <n v="1150"/>
    <x v="2"/>
    <s v="Webster"/>
    <x v="171"/>
    <x v="14"/>
    <s v="Training"/>
    <m/>
    <m/>
    <m/>
    <n v="135"/>
    <n v="4"/>
    <n v="153.23496027241771"/>
    <n v="84.5"/>
    <x v="8"/>
    <m/>
    <m/>
  </r>
  <r>
    <n v="1151"/>
    <x v="2"/>
    <s v="Webster"/>
    <x v="172"/>
    <x v="3"/>
    <s v="Training"/>
    <m/>
    <m/>
    <m/>
    <n v="100"/>
    <n v="4"/>
    <n v="113.50737797956867"/>
    <n v="83.2"/>
    <x v="2"/>
    <m/>
    <m/>
  </r>
  <r>
    <n v="1152"/>
    <x v="2"/>
    <s v="Webster"/>
    <x v="173"/>
    <x v="0"/>
    <s v="Training"/>
    <m/>
    <s v="2-1-1 (20sec) Cluster"/>
    <m/>
    <n v="160"/>
    <n v="2"/>
    <n v="169.67126193001062"/>
    <n v="83.8"/>
    <x v="8"/>
    <m/>
    <m/>
  </r>
  <r>
    <n v="1153"/>
    <x v="2"/>
    <s v="Webster"/>
    <x v="174"/>
    <x v="12"/>
    <s v="Training"/>
    <m/>
    <m/>
    <m/>
    <n v="140"/>
    <n v="6"/>
    <n v="168.47172081829123"/>
    <n v="82.9"/>
    <x v="2"/>
    <m/>
    <m/>
  </r>
  <r>
    <n v="1154"/>
    <x v="2"/>
    <s v="Webster"/>
    <x v="175"/>
    <x v="14"/>
    <s v="Training"/>
    <m/>
    <m/>
    <m/>
    <n v="120"/>
    <n v="6"/>
    <n v="144.4043321299639"/>
    <n v="83.6"/>
    <x v="8"/>
    <m/>
    <m/>
  </r>
  <r>
    <n v="1155"/>
    <x v="2"/>
    <s v="Webster"/>
    <x v="176"/>
    <x v="0"/>
    <s v="Training"/>
    <m/>
    <m/>
    <m/>
    <n v="140"/>
    <n v="7"/>
    <n v="173.48203221809169"/>
    <m/>
    <x v="8"/>
    <m/>
    <m/>
  </r>
  <r>
    <n v="1156"/>
    <x v="2"/>
    <s v="Webster"/>
    <x v="176"/>
    <x v="3"/>
    <s v="Training"/>
    <m/>
    <m/>
    <m/>
    <n v="90"/>
    <n v="4"/>
    <n v="102.15664018161181"/>
    <n v="83.2"/>
    <x v="2"/>
    <m/>
    <m/>
  </r>
  <r>
    <n v="1157"/>
    <x v="2"/>
    <s v="Webster"/>
    <x v="177"/>
    <x v="14"/>
    <s v="Training"/>
    <m/>
    <s v="2-1-1 (20sec) Cluster"/>
    <m/>
    <n v="130"/>
    <n v="2"/>
    <n v="137.85790031813363"/>
    <n v="83.7"/>
    <x v="8"/>
    <m/>
    <m/>
  </r>
  <r>
    <n v="1158"/>
    <x v="2"/>
    <s v="Webster"/>
    <x v="178"/>
    <x v="3"/>
    <s v="Training"/>
    <m/>
    <m/>
    <m/>
    <n v="110"/>
    <n v="1"/>
    <n v="110"/>
    <n v="83.4"/>
    <x v="2"/>
    <m/>
    <m/>
  </r>
  <r>
    <n v="1159"/>
    <x v="2"/>
    <s v="Webster"/>
    <x v="179"/>
    <x v="0"/>
    <s v="Training"/>
    <m/>
    <m/>
    <m/>
    <n v="155"/>
    <n v="2"/>
    <n v="164.36903499469778"/>
    <n v="83.7"/>
    <x v="8"/>
    <m/>
    <m/>
  </r>
  <r>
    <n v="1160"/>
    <x v="2"/>
    <s v="Webster"/>
    <x v="179"/>
    <x v="0"/>
    <s v="Training"/>
    <m/>
    <m/>
    <m/>
    <n v="160"/>
    <n v="1"/>
    <n v="160"/>
    <n v="83.7"/>
    <x v="8"/>
    <m/>
    <m/>
  </r>
  <r>
    <n v="1161"/>
    <x v="2"/>
    <s v="Webster"/>
    <x v="179"/>
    <x v="12"/>
    <s v="Training"/>
    <m/>
    <m/>
    <m/>
    <n v="160"/>
    <n v="4"/>
    <n v="181.61180476730988"/>
    <n v="83.7"/>
    <x v="2"/>
    <m/>
    <m/>
  </r>
  <r>
    <n v="1162"/>
    <x v="2"/>
    <s v="Webster"/>
    <x v="180"/>
    <x v="14"/>
    <s v="Training"/>
    <m/>
    <m/>
    <m/>
    <n v="140"/>
    <n v="2"/>
    <n v="148.46235418875929"/>
    <n v="84.1"/>
    <x v="8"/>
    <m/>
    <m/>
  </r>
  <r>
    <n v="1163"/>
    <x v="2"/>
    <s v="Webster"/>
    <x v="181"/>
    <x v="3"/>
    <s v="Training"/>
    <m/>
    <m/>
    <m/>
    <n v="100"/>
    <n v="3"/>
    <n v="110.37527593818986"/>
    <n v="82.9"/>
    <x v="2"/>
    <m/>
    <m/>
  </r>
  <r>
    <n v="1164"/>
    <x v="2"/>
    <s v="Webster"/>
    <x v="181"/>
    <x v="48"/>
    <s v="Training"/>
    <m/>
    <m/>
    <m/>
    <n v="250"/>
    <n v="5"/>
    <n v="292.05607476635515"/>
    <n v="82.9"/>
    <x v="2"/>
    <m/>
    <m/>
  </r>
  <r>
    <n v="1165"/>
    <x v="2"/>
    <s v="Webster"/>
    <x v="182"/>
    <x v="0"/>
    <s v="Training"/>
    <m/>
    <m/>
    <m/>
    <n v="145"/>
    <n v="5"/>
    <n v="169.39252336448598"/>
    <n v="83"/>
    <x v="8"/>
    <m/>
    <m/>
  </r>
  <r>
    <n v="1166"/>
    <x v="2"/>
    <s v="Webster"/>
    <x v="182"/>
    <x v="0"/>
    <s v="Training"/>
    <m/>
    <m/>
    <m/>
    <n v="155"/>
    <n v="1"/>
    <n v="155"/>
    <n v="83"/>
    <x v="8"/>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F37BD2-CE92-4EE0-B2ED-5C0976E307A4}" name="PivotTable1" cacheId="180" applyNumberFormats="0" applyBorderFormats="0" applyFontFormats="0" applyPatternFormats="0" applyAlignmentFormats="0" applyWidthHeightFormats="1" dataCaption="Values" updatedVersion="7" minRefreshableVersion="3" useAutoFormatting="1" rowGrandTotals="0" colGrandTotals="0" itemPrintTitles="1" createdVersion="6" indent="0" outline="1" outlineData="1" multipleFieldFilters="0" chartFormat="1">
  <location ref="A3:H41" firstHeaderRow="1" firstDataRow="3" firstDataCol="1"/>
  <pivotFields count="17">
    <pivotField showAll="0" defaultSubtotal="0"/>
    <pivotField axis="axisRow" showAll="0" defaultSubtotal="0">
      <items count="21">
        <item h="1" x="11"/>
        <item h="1" x="15"/>
        <item h="1" x="16"/>
        <item h="1" x="6"/>
        <item h="1" x="17"/>
        <item h="1" x="0"/>
        <item h="1" x="4"/>
        <item h="1" x="8"/>
        <item h="1" x="12"/>
        <item h="1" x="10"/>
        <item h="1" x="13"/>
        <item h="1" x="1"/>
        <item h="1" x="9"/>
        <item h="1" x="14"/>
        <item h="1" m="1" x="20"/>
        <item h="1" x="18"/>
        <item x="2"/>
        <item h="1" x="3"/>
        <item h="1" x="5"/>
        <item h="1" x="19"/>
        <item h="1" x="7"/>
      </items>
    </pivotField>
    <pivotField showAll="0" defaultSubtotal="0"/>
    <pivotField axis="axisRow" numFmtId="15" showAll="0" defaultSubtotal="0">
      <items count="14">
        <item x="0"/>
        <item x="1"/>
        <item x="2"/>
        <item x="3"/>
        <item x="4"/>
        <item x="5"/>
        <item x="6"/>
        <item x="7"/>
        <item x="8"/>
        <item x="9"/>
        <item x="10"/>
        <item x="11"/>
        <item x="12"/>
        <item x="13"/>
      </items>
    </pivotField>
    <pivotField axis="axisCol" showAll="0" defaultSubtotal="0">
      <items count="64">
        <item h="1" m="1" x="49"/>
        <item h="1" m="1" x="57"/>
        <item h="1" x="27"/>
        <item x="0"/>
        <item h="1" m="1" x="59"/>
        <item h="1" x="37"/>
        <item h="1" x="29"/>
        <item h="1" x="39"/>
        <item h="1" x="19"/>
        <item h="1" x="33"/>
        <item h="1" x="2"/>
        <item h="1" x="36"/>
        <item h="1" m="1" x="63"/>
        <item h="1" m="1" x="54"/>
        <item x="4"/>
        <item h="1" x="41"/>
        <item h="1" x="40"/>
        <item h="1" x="10"/>
        <item h="1" m="1" x="60"/>
        <item h="1" x="35"/>
        <item h="1" x="26"/>
        <item h="1" x="8"/>
        <item x="14"/>
        <item h="1" x="18"/>
        <item h="1" x="17"/>
        <item h="1" x="7"/>
        <item h="1" x="23"/>
        <item h="1" x="20"/>
        <item h="1" m="1" x="53"/>
        <item h="1" x="16"/>
        <item h="1" x="38"/>
        <item h="1" x="31"/>
        <item h="1" x="13"/>
        <item h="1" x="32"/>
        <item h="1" x="1"/>
        <item h="1" x="34"/>
        <item h="1" x="6"/>
        <item h="1" x="21"/>
        <item h="1" x="22"/>
        <item h="1" x="3"/>
        <item h="1" x="25"/>
        <item h="1" m="1" x="58"/>
        <item h="1" m="1" x="61"/>
        <item h="1" x="12"/>
        <item h="1" m="1" x="51"/>
        <item h="1" m="1" x="50"/>
        <item h="1" x="42"/>
        <item h="1" x="30"/>
        <item h="1" x="11"/>
        <item h="1" m="1" x="62"/>
        <item h="1" m="1" x="55"/>
        <item h="1" x="24"/>
        <item h="1" x="28"/>
        <item h="1" m="1" x="52"/>
        <item h="1" x="9"/>
        <item h="1" m="1" x="56"/>
        <item h="1" x="47"/>
        <item h="1" x="5"/>
        <item h="1" x="15"/>
        <item h="1" x="46"/>
        <item h="1" x="43"/>
        <item h="1" x="44"/>
        <item h="1" x="45"/>
        <item h="1" x="48"/>
      </items>
    </pivotField>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axis="axisCol" showAll="0" defaultSubtotal="0">
      <items count="20">
        <item x="1"/>
        <item x="0"/>
        <item x="18"/>
        <item x="17"/>
        <item x="10"/>
        <item h="1" x="7"/>
        <item x="3"/>
        <item x="6"/>
        <item x="12"/>
        <item x="5"/>
        <item x="13"/>
        <item x="14"/>
        <item x="11"/>
        <item x="16"/>
        <item x="8"/>
        <item x="9"/>
        <item x="4"/>
        <item x="19"/>
        <item x="15"/>
        <item x="2"/>
      </items>
    </pivotField>
    <pivotField showAll="0" defaultSubtotal="0"/>
    <pivotField showAll="0" defaultSubtotal="0"/>
    <pivotField axis="axisRow" subtotalTop="0" showAll="0" defaultSubtotal="0">
      <items count="11">
        <item x="0"/>
        <item x="1"/>
        <item x="2"/>
        <item x="3"/>
        <item x="4"/>
        <item x="5"/>
        <item x="6"/>
        <item x="7"/>
        <item x="8"/>
        <item x="9"/>
        <item x="10"/>
      </items>
    </pivotField>
  </pivotFields>
  <rowFields count="3">
    <field x="1"/>
    <field x="16"/>
    <field x="3"/>
  </rowFields>
  <rowItems count="36">
    <i>
      <x v="16"/>
    </i>
    <i r="1">
      <x v="1"/>
    </i>
    <i r="2">
      <x v="4"/>
    </i>
    <i r="2">
      <x v="5"/>
    </i>
    <i r="2">
      <x v="6"/>
    </i>
    <i r="1">
      <x v="2"/>
    </i>
    <i r="2">
      <x v="4"/>
    </i>
    <i r="2">
      <x v="8"/>
    </i>
    <i r="2">
      <x v="11"/>
    </i>
    <i r="2">
      <x v="12"/>
    </i>
    <i r="1">
      <x v="3"/>
    </i>
    <i r="2">
      <x v="1"/>
    </i>
    <i r="2">
      <x v="4"/>
    </i>
    <i r="2">
      <x v="5"/>
    </i>
    <i r="2">
      <x v="8"/>
    </i>
    <i r="2">
      <x v="9"/>
    </i>
    <i r="2">
      <x v="10"/>
    </i>
    <i r="1">
      <x v="4"/>
    </i>
    <i r="2">
      <x v="1"/>
    </i>
    <i r="2">
      <x v="3"/>
    </i>
    <i r="2">
      <x v="5"/>
    </i>
    <i r="1">
      <x v="5"/>
    </i>
    <i r="2">
      <x v="1"/>
    </i>
    <i r="2">
      <x v="4"/>
    </i>
    <i r="1">
      <x v="7"/>
    </i>
    <i r="2">
      <x v="8"/>
    </i>
    <i r="2">
      <x v="12"/>
    </i>
    <i r="1">
      <x v="8"/>
    </i>
    <i r="2">
      <x v="9"/>
    </i>
    <i r="2">
      <x v="11"/>
    </i>
    <i r="1">
      <x v="9"/>
    </i>
    <i r="2">
      <x v="1"/>
    </i>
    <i r="2">
      <x v="3"/>
    </i>
    <i r="2">
      <x v="4"/>
    </i>
    <i r="2">
      <x v="6"/>
    </i>
    <i r="2">
      <x v="7"/>
    </i>
  </rowItems>
  <colFields count="2">
    <field x="4"/>
    <field x="13"/>
  </colFields>
  <colItems count="7">
    <i>
      <x v="3"/>
      <x v="1"/>
    </i>
    <i r="1">
      <x v="14"/>
    </i>
    <i r="1">
      <x v="15"/>
    </i>
    <i r="1">
      <x v="18"/>
    </i>
    <i r="1">
      <x v="19"/>
    </i>
    <i>
      <x v="14"/>
      <x v="6"/>
    </i>
    <i>
      <x v="22"/>
      <x v="14"/>
    </i>
  </colItems>
  <dataFields count="1">
    <dataField name="Max of 1RM" fld="11" subtotal="max" baseField="16" baseItem="4" numFmtId="1"/>
  </dataFields>
  <formats count="28">
    <format dxfId="123">
      <pivotArea outline="0" collapsedLevelsAreSubtotals="1" fieldPosition="0"/>
    </format>
    <format dxfId="124">
      <pivotArea dataOnly="0" labelOnly="1" fieldPosition="0">
        <references count="1">
          <reference field="4" count="0"/>
        </references>
      </pivotArea>
    </format>
    <format dxfId="125">
      <pivotArea dataOnly="0" labelOnly="1" fieldPosition="0">
        <references count="2">
          <reference field="4" count="1" selected="0">
            <x v="3"/>
          </reference>
          <reference field="13" count="4">
            <x v="1"/>
            <x v="14"/>
            <x v="15"/>
            <x v="19"/>
          </reference>
        </references>
      </pivotArea>
    </format>
    <format dxfId="126">
      <pivotArea dataOnly="0" labelOnly="1" fieldPosition="0">
        <references count="2">
          <reference field="4" count="1" selected="0">
            <x v="14"/>
          </reference>
          <reference field="13" count="2">
            <x v="5"/>
            <x v="6"/>
          </reference>
        </references>
      </pivotArea>
    </format>
    <format dxfId="127">
      <pivotArea dataOnly="0" labelOnly="1" fieldPosition="0">
        <references count="2">
          <reference field="4" count="1" selected="0">
            <x v="22"/>
          </reference>
          <reference field="13" count="2">
            <x v="14"/>
            <x v="19"/>
          </reference>
        </references>
      </pivotArea>
    </format>
    <format dxfId="128">
      <pivotArea outline="0" collapsedLevelsAreSubtotals="1" fieldPosition="0"/>
    </format>
    <format dxfId="129">
      <pivotArea dataOnly="0" labelOnly="1" fieldPosition="0">
        <references count="1">
          <reference field="4" count="0"/>
        </references>
      </pivotArea>
    </format>
    <format dxfId="130">
      <pivotArea dataOnly="0" labelOnly="1" fieldPosition="0">
        <references count="2">
          <reference field="4" count="1" selected="0">
            <x v="3"/>
          </reference>
          <reference field="13" count="4">
            <x v="1"/>
            <x v="14"/>
            <x v="15"/>
            <x v="19"/>
          </reference>
        </references>
      </pivotArea>
    </format>
    <format dxfId="131">
      <pivotArea dataOnly="0" labelOnly="1" fieldPosition="0">
        <references count="2">
          <reference field="4" count="1" selected="0">
            <x v="14"/>
          </reference>
          <reference field="13" count="2">
            <x v="5"/>
            <x v="6"/>
          </reference>
        </references>
      </pivotArea>
    </format>
    <format dxfId="132">
      <pivotArea dataOnly="0" labelOnly="1" fieldPosition="0">
        <references count="2">
          <reference field="4" count="1" selected="0">
            <x v="22"/>
          </reference>
          <reference field="13" count="2">
            <x v="14"/>
            <x v="19"/>
          </reference>
        </references>
      </pivotArea>
    </format>
    <format dxfId="133">
      <pivotArea type="origin" dataOnly="0" labelOnly="1" outline="0" fieldPosition="0"/>
    </format>
    <format dxfId="134">
      <pivotArea field="4" type="button" dataOnly="0" labelOnly="1" outline="0" axis="axisCol" fieldPosition="0"/>
    </format>
    <format dxfId="135">
      <pivotArea field="13" type="button" dataOnly="0" labelOnly="1" outline="0" axis="axisCol" fieldPosition="1"/>
    </format>
    <format dxfId="136">
      <pivotArea type="topRight" dataOnly="0" labelOnly="1" outline="0" fieldPosition="0"/>
    </format>
    <format dxfId="137">
      <pivotArea field="1" type="button" dataOnly="0" labelOnly="1" outline="0" axis="axisRow" fieldPosition="0"/>
    </format>
    <format dxfId="138">
      <pivotArea dataOnly="0" labelOnly="1" fieldPosition="0">
        <references count="1">
          <reference field="4" count="0"/>
        </references>
      </pivotArea>
    </format>
    <format dxfId="139">
      <pivotArea dataOnly="0" labelOnly="1" fieldPosition="0">
        <references count="2">
          <reference field="4" count="1" selected="0">
            <x v="3"/>
          </reference>
          <reference field="13" count="4">
            <x v="1"/>
            <x v="14"/>
            <x v="15"/>
            <x v="19"/>
          </reference>
        </references>
      </pivotArea>
    </format>
    <format dxfId="140">
      <pivotArea dataOnly="0" labelOnly="1" fieldPosition="0">
        <references count="2">
          <reference field="4" count="1" selected="0">
            <x v="14"/>
          </reference>
          <reference field="13" count="1">
            <x v="6"/>
          </reference>
        </references>
      </pivotArea>
    </format>
    <format dxfId="141">
      <pivotArea dataOnly="0" labelOnly="1" fieldPosition="0">
        <references count="2">
          <reference field="4" count="1" selected="0">
            <x v="22"/>
          </reference>
          <reference field="13" count="2">
            <x v="14"/>
            <x v="19"/>
          </reference>
        </references>
      </pivotArea>
    </format>
    <format dxfId="142">
      <pivotArea type="origin" dataOnly="0" labelOnly="1" outline="0" fieldPosition="0"/>
    </format>
    <format dxfId="143">
      <pivotArea field="4" type="button" dataOnly="0" labelOnly="1" outline="0" axis="axisCol" fieldPosition="0"/>
    </format>
    <format dxfId="144">
      <pivotArea field="13" type="button" dataOnly="0" labelOnly="1" outline="0" axis="axisCol" fieldPosition="1"/>
    </format>
    <format dxfId="145">
      <pivotArea type="topRight" dataOnly="0" labelOnly="1" outline="0" fieldPosition="0"/>
    </format>
    <format dxfId="146">
      <pivotArea field="1" type="button" dataOnly="0" labelOnly="1" outline="0" axis="axisRow" fieldPosition="0"/>
    </format>
    <format dxfId="147">
      <pivotArea dataOnly="0" labelOnly="1" fieldPosition="0">
        <references count="1">
          <reference field="4" count="0"/>
        </references>
      </pivotArea>
    </format>
    <format dxfId="148">
      <pivotArea dataOnly="0" labelOnly="1" fieldPosition="0">
        <references count="2">
          <reference field="4" count="1" selected="0">
            <x v="3"/>
          </reference>
          <reference field="13" count="4">
            <x v="1"/>
            <x v="14"/>
            <x v="15"/>
            <x v="19"/>
          </reference>
        </references>
      </pivotArea>
    </format>
    <format dxfId="149">
      <pivotArea dataOnly="0" labelOnly="1" fieldPosition="0">
        <references count="2">
          <reference field="4" count="1" selected="0">
            <x v="14"/>
          </reference>
          <reference field="13" count="1">
            <x v="6"/>
          </reference>
        </references>
      </pivotArea>
    </format>
    <format dxfId="150">
      <pivotArea dataOnly="0" labelOnly="1" fieldPosition="0">
        <references count="2">
          <reference field="4" count="1" selected="0">
            <x v="22"/>
          </reference>
          <reference field="13" count="2">
            <x v="14"/>
            <x v="19"/>
          </reference>
        </references>
      </pivotArea>
    </format>
  </formats>
  <chartFormats count="10">
    <chartFormat chart="0" format="0" series="1">
      <pivotArea type="data" outline="0" fieldPosition="0">
        <references count="3">
          <reference field="4294967294" count="1" selected="0">
            <x v="0"/>
          </reference>
          <reference field="4" count="1" selected="0">
            <x v="3"/>
          </reference>
          <reference field="13" count="1" selected="0">
            <x v="1"/>
          </reference>
        </references>
      </pivotArea>
    </chartFormat>
    <chartFormat chart="0" format="1" series="1">
      <pivotArea type="data" outline="0" fieldPosition="0">
        <references count="3">
          <reference field="4294967294" count="1" selected="0">
            <x v="0"/>
          </reference>
          <reference field="4" count="1" selected="0">
            <x v="3"/>
          </reference>
          <reference field="13" count="1" selected="0">
            <x v="14"/>
          </reference>
        </references>
      </pivotArea>
    </chartFormat>
    <chartFormat chart="0" format="2" series="1">
      <pivotArea type="data" outline="0" fieldPosition="0">
        <references count="3">
          <reference field="4294967294" count="1" selected="0">
            <x v="0"/>
          </reference>
          <reference field="4" count="1" selected="0">
            <x v="3"/>
          </reference>
          <reference field="13" count="1" selected="0">
            <x v="15"/>
          </reference>
        </references>
      </pivotArea>
    </chartFormat>
    <chartFormat chart="0" format="3" series="1">
      <pivotArea type="data" outline="0" fieldPosition="0">
        <references count="3">
          <reference field="4294967294" count="1" selected="0">
            <x v="0"/>
          </reference>
          <reference field="4" count="1" selected="0">
            <x v="3"/>
          </reference>
          <reference field="13" count="1" selected="0">
            <x v="19"/>
          </reference>
        </references>
      </pivotArea>
    </chartFormat>
    <chartFormat chart="0" format="4" series="1">
      <pivotArea type="data" outline="0" fieldPosition="0">
        <references count="3">
          <reference field="4294967294" count="1" selected="0">
            <x v="0"/>
          </reference>
          <reference field="4" count="1" selected="0">
            <x v="14"/>
          </reference>
          <reference field="13" count="1" selected="0">
            <x v="5"/>
          </reference>
        </references>
      </pivotArea>
    </chartFormat>
    <chartFormat chart="0" format="5" series="1">
      <pivotArea type="data" outline="0" fieldPosition="0">
        <references count="3">
          <reference field="4294967294" count="1" selected="0">
            <x v="0"/>
          </reference>
          <reference field="4" count="1" selected="0">
            <x v="14"/>
          </reference>
          <reference field="13" count="1" selected="0">
            <x v="6"/>
          </reference>
        </references>
      </pivotArea>
    </chartFormat>
    <chartFormat chart="0" format="6" series="1">
      <pivotArea type="data" outline="0" fieldPosition="0">
        <references count="3">
          <reference field="4294967294" count="1" selected="0">
            <x v="0"/>
          </reference>
          <reference field="4" count="1" selected="0">
            <x v="22"/>
          </reference>
          <reference field="13" count="1" selected="0">
            <x v="14"/>
          </reference>
        </references>
      </pivotArea>
    </chartFormat>
    <chartFormat chart="0" format="7" series="1">
      <pivotArea type="data" outline="0" fieldPosition="0">
        <references count="3">
          <reference field="4294967294" count="1" selected="0">
            <x v="0"/>
          </reference>
          <reference field="4" count="1" selected="0">
            <x v="22"/>
          </reference>
          <reference field="13" count="1" selected="0">
            <x v="19"/>
          </reference>
        </references>
      </pivotArea>
    </chartFormat>
    <chartFormat chart="0" format="8" series="1">
      <pivotArea type="data" outline="0" fieldPosition="0">
        <references count="2">
          <reference field="4294967294" count="1" selected="0">
            <x v="0"/>
          </reference>
          <reference field="4" count="1" selected="0">
            <x v="22"/>
          </reference>
        </references>
      </pivotArea>
    </chartFormat>
    <chartFormat chart="0" format="9" series="1">
      <pivotArea type="data" outline="0" fieldPosition="0">
        <references count="3">
          <reference field="4294967294" count="1" selected="0">
            <x v="0"/>
          </reference>
          <reference field="4" count="1" selected="0">
            <x v="3"/>
          </reference>
          <reference field="13" count="1" selected="0">
            <x v="18"/>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h1" xr10:uid="{3AAAD023-A24E-41C3-822A-16B711CBB57E}" sourceName="Depth">
  <pivotTables>
    <pivotTable tabId="8" name="PivotTable1"/>
  </pivotTables>
  <data>
    <tabular pivotCacheId="96935424">
      <items count="20">
        <i x="0" s="1"/>
        <i x="7"/>
        <i x="3" s="1"/>
        <i x="8" s="1"/>
        <i x="9" s="1"/>
        <i x="15" s="1"/>
        <i x="2" s="1"/>
        <i x="1" s="1" nd="1"/>
        <i x="18" s="1" nd="1"/>
        <i x="17" s="1" nd="1"/>
        <i x="10" s="1" nd="1"/>
        <i x="6" s="1" nd="1"/>
        <i x="12" s="1" nd="1"/>
        <i x="5" s="1" nd="1"/>
        <i x="13" s="1" nd="1"/>
        <i x="14" s="1" nd="1"/>
        <i x="11" s="1" nd="1"/>
        <i x="16" s="1" nd="1"/>
        <i x="4" s="1" nd="1"/>
        <i x="1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h 1" xr10:uid="{79FAB2BE-384D-4469-97A0-D73FF125A6D2}" cache="Slicer_Depth1" caption="Dep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08876B-A640-4826-A961-D5E49B88C153}" name="LiftHistory" displayName="LiftHistory" ref="A1:P1172" totalsRowShown="0" headerRowDxfId="17" tableBorderDxfId="16">
  <autoFilter ref="A1:P1172" xr:uid="{39EBA33D-499B-4629-BD20-40528D1E8AE8}"/>
  <sortState xmlns:xlrd2="http://schemas.microsoft.com/office/spreadsheetml/2017/richdata2" ref="A2:P1121">
    <sortCondition ref="A2:A1121"/>
  </sortState>
  <tableColumns count="16">
    <tableColumn id="1" xr3:uid="{5366B773-847D-4C4F-942B-0A634884E4DF}" name="Order" dataDxfId="15"/>
    <tableColumn id="2" xr3:uid="{FDA9C3C3-EA8D-4429-B579-A3388F81D29A}" name="First Name" dataDxfId="14"/>
    <tableColumn id="3" xr3:uid="{AFF940E2-FE0B-4C80-9841-395B13C1CC45}" name="Last Name" dataDxfId="13"/>
    <tableColumn id="4" xr3:uid="{E1DED47E-7001-4272-BD34-87CC354DD6AD}" name="Date" dataDxfId="12"/>
    <tableColumn id="5" xr3:uid="{48C26B6E-F3C0-4750-949C-1FB41F1D4EBE}" name="Lift" dataDxfId="11"/>
    <tableColumn id="15" xr3:uid="{D4379709-57EC-45CE-83AC-A8266AE37C6F}" name="Test or Training" dataDxfId="10"/>
    <tableColumn id="16" xr3:uid="{9FC6DE5F-67FA-4B29-BBED-023A430EAB3D}" name="Belt" dataDxfId="9"/>
    <tableColumn id="6" xr3:uid="{5D67744F-06D9-47BA-A364-8A3A2727AC45}" name="Details" dataDxfId="8"/>
    <tableColumn id="7" xr3:uid="{16A33400-5A14-4BF5-A3D8-375896801A4A}" name="Phase" dataDxfId="7"/>
    <tableColumn id="8" xr3:uid="{8367987C-A4EB-4450-950E-9E491EF4013F}" name="Weight" dataDxfId="6"/>
    <tableColumn id="9" xr3:uid="{B9557926-0696-492F-8073-55A31F04E2B6}" name="Reps" dataDxfId="5"/>
    <tableColumn id="10" xr3:uid="{AE780DFC-4CBB-4D4F-A35E-D21F0986AA39}" name="1RM" dataDxfId="4"/>
    <tableColumn id="11" xr3:uid="{C5D83D7F-82CC-4598-A7E8-CF717B090ECF}" name="Bodyweight" dataDxfId="3"/>
    <tableColumn id="12" xr3:uid="{0621F6CA-622C-4A3E-A4CB-93EF63407C54}" name="Depth" dataDxfId="2"/>
    <tableColumn id="13" xr3:uid="{F7B60270-B5BB-4993-AD10-C43B2AEBBC98}" name="Notes" dataDxfId="1"/>
    <tableColumn id="14" xr3:uid="{5C009046-3407-4ECA-AFE6-4243AEB777FE}" name="Old Reps &amp; 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40D41-5FCC-4CE3-B7B3-B3FA52CAB1AE}">
  <sheetPr>
    <pageSetUpPr fitToPage="1"/>
  </sheetPr>
  <dimension ref="A1:P1172"/>
  <sheetViews>
    <sheetView zoomScale="130" zoomScaleNormal="130" workbookViewId="0">
      <pane ySplit="1" topLeftCell="A38" activePane="bottomLeft" state="frozenSplit"/>
      <selection pane="bottomLeft" activeCell="A1168" sqref="A1168:A1172"/>
    </sheetView>
  </sheetViews>
  <sheetFormatPr defaultColWidth="8.85546875" defaultRowHeight="15" customHeight="1"/>
  <cols>
    <col min="1" max="1" width="11" style="14" bestFit="1" customWidth="1"/>
    <col min="2" max="2" width="11.85546875" style="24" bestFit="1" customWidth="1"/>
    <col min="3" max="3" width="13.85546875" style="24" bestFit="1" customWidth="1"/>
    <col min="4" max="4" width="10.140625" style="15" bestFit="1" customWidth="1"/>
    <col min="5" max="5" width="25.7109375" style="24" bestFit="1" customWidth="1"/>
    <col min="6" max="6" width="15.85546875" style="24" customWidth="1"/>
    <col min="7" max="7" width="6.7109375" style="24" customWidth="1"/>
    <col min="8" max="8" width="14.42578125" style="24" customWidth="1"/>
    <col min="9" max="9" width="16.85546875" style="24" customWidth="1"/>
    <col min="10" max="10" width="9.42578125" style="16" customWidth="1"/>
    <col min="11" max="11" width="8.7109375" style="14" customWidth="1"/>
    <col min="12" max="12" width="10" style="16" customWidth="1"/>
    <col min="13" max="13" width="11.7109375" style="14" customWidth="1"/>
    <col min="14" max="14" width="15.42578125" style="24" bestFit="1" customWidth="1"/>
    <col min="15" max="15" width="24.42578125" style="17" customWidth="1"/>
    <col min="16" max="16" width="48.85546875" style="14" bestFit="1" customWidth="1"/>
    <col min="17" max="16384" width="8.85546875" style="1"/>
  </cols>
  <sheetData>
    <row r="1" spans="1:16" s="132" customFormat="1" ht="19.5" customHeight="1">
      <c r="A1" s="127" t="s">
        <v>0</v>
      </c>
      <c r="B1" s="128" t="s">
        <v>1</v>
      </c>
      <c r="C1" s="128" t="s">
        <v>2</v>
      </c>
      <c r="D1" s="129" t="s">
        <v>3</v>
      </c>
      <c r="E1" s="128" t="s">
        <v>4</v>
      </c>
      <c r="F1" s="128" t="s">
        <v>5</v>
      </c>
      <c r="G1" s="128" t="s">
        <v>6</v>
      </c>
      <c r="H1" s="128" t="s">
        <v>7</v>
      </c>
      <c r="I1" s="128" t="s">
        <v>8</v>
      </c>
      <c r="J1" s="130" t="s">
        <v>9</v>
      </c>
      <c r="K1" s="130" t="s">
        <v>10</v>
      </c>
      <c r="L1" s="130" t="s">
        <v>11</v>
      </c>
      <c r="M1" s="127" t="s">
        <v>12</v>
      </c>
      <c r="N1" s="131" t="s">
        <v>13</v>
      </c>
      <c r="O1" s="130" t="s">
        <v>14</v>
      </c>
      <c r="P1" s="127" t="s">
        <v>15</v>
      </c>
    </row>
    <row r="2" spans="1:16" ht="15" customHeight="1">
      <c r="A2" s="2">
        <v>1</v>
      </c>
      <c r="B2" s="22" t="s">
        <v>16</v>
      </c>
      <c r="C2" s="22" t="s">
        <v>17</v>
      </c>
      <c r="D2" s="3">
        <v>41000</v>
      </c>
      <c r="E2" s="22" t="s">
        <v>18</v>
      </c>
      <c r="F2" s="22" t="s">
        <v>19</v>
      </c>
      <c r="G2" s="26" t="s">
        <v>20</v>
      </c>
      <c r="H2" s="22"/>
      <c r="I2" s="22"/>
      <c r="J2" s="6">
        <v>180</v>
      </c>
      <c r="K2" s="2">
        <v>1</v>
      </c>
      <c r="L2" s="6">
        <v>180</v>
      </c>
      <c r="M2" s="2">
        <v>79</v>
      </c>
      <c r="N2" s="22" t="s">
        <v>21</v>
      </c>
      <c r="O2" s="22" t="s">
        <v>22</v>
      </c>
      <c r="P2" s="2"/>
    </row>
    <row r="3" spans="1:16" ht="15" customHeight="1">
      <c r="A3" s="2">
        <v>2</v>
      </c>
      <c r="B3" s="22" t="s">
        <v>16</v>
      </c>
      <c r="C3" s="22" t="s">
        <v>17</v>
      </c>
      <c r="D3" s="3">
        <v>41000</v>
      </c>
      <c r="E3" s="22" t="s">
        <v>23</v>
      </c>
      <c r="F3" s="22" t="s">
        <v>19</v>
      </c>
      <c r="G3" s="26"/>
      <c r="H3" s="22"/>
      <c r="I3" s="22"/>
      <c r="J3" s="6"/>
      <c r="K3" s="2">
        <v>2</v>
      </c>
      <c r="L3" s="6">
        <v>235.29411764705881</v>
      </c>
      <c r="M3" s="2">
        <v>79</v>
      </c>
      <c r="N3" s="22" t="s">
        <v>24</v>
      </c>
      <c r="O3" s="22" t="s">
        <v>22</v>
      </c>
      <c r="P3" s="2"/>
    </row>
    <row r="4" spans="1:16" ht="15" customHeight="1">
      <c r="A4" s="2">
        <v>3</v>
      </c>
      <c r="B4" s="22" t="s">
        <v>16</v>
      </c>
      <c r="C4" s="22" t="s">
        <v>17</v>
      </c>
      <c r="D4" s="3">
        <v>41000</v>
      </c>
      <c r="E4" s="22" t="s">
        <v>25</v>
      </c>
      <c r="F4" s="22" t="s">
        <v>19</v>
      </c>
      <c r="G4" s="26"/>
      <c r="H4" s="22"/>
      <c r="I4" s="22"/>
      <c r="J4" s="6"/>
      <c r="K4" s="2"/>
      <c r="L4" s="6">
        <v>95</v>
      </c>
      <c r="M4" s="2">
        <v>79</v>
      </c>
      <c r="N4" s="22"/>
      <c r="O4" s="22" t="s">
        <v>22</v>
      </c>
      <c r="P4" s="2"/>
    </row>
    <row r="5" spans="1:16" ht="15" customHeight="1">
      <c r="A5" s="2">
        <v>4</v>
      </c>
      <c r="B5" s="22" t="s">
        <v>16</v>
      </c>
      <c r="C5" s="22" t="s">
        <v>17</v>
      </c>
      <c r="D5" s="3">
        <v>41000</v>
      </c>
      <c r="E5" s="22" t="s">
        <v>26</v>
      </c>
      <c r="F5" s="22" t="s">
        <v>19</v>
      </c>
      <c r="G5" s="26"/>
      <c r="H5" s="22"/>
      <c r="I5" s="22"/>
      <c r="J5" s="6"/>
      <c r="K5" s="2"/>
      <c r="L5" s="6">
        <v>105</v>
      </c>
      <c r="M5" s="2">
        <v>79</v>
      </c>
      <c r="N5" s="22"/>
      <c r="O5" s="22" t="s">
        <v>22</v>
      </c>
      <c r="P5" s="2"/>
    </row>
    <row r="6" spans="1:16" ht="15" customHeight="1">
      <c r="A6" s="2">
        <v>5</v>
      </c>
      <c r="B6" s="22" t="s">
        <v>27</v>
      </c>
      <c r="C6" s="22" t="s">
        <v>28</v>
      </c>
      <c r="D6" s="3">
        <v>41000</v>
      </c>
      <c r="E6" s="27" t="s">
        <v>29</v>
      </c>
      <c r="F6" s="22" t="s">
        <v>19</v>
      </c>
      <c r="G6" s="26" t="s">
        <v>20</v>
      </c>
      <c r="H6" s="22"/>
      <c r="I6" s="22"/>
      <c r="J6" s="6"/>
      <c r="K6" s="2"/>
      <c r="L6" s="6">
        <v>252</v>
      </c>
      <c r="M6" s="2"/>
      <c r="N6" s="22" t="s">
        <v>30</v>
      </c>
      <c r="O6" s="22" t="s">
        <v>22</v>
      </c>
      <c r="P6" s="2"/>
    </row>
    <row r="7" spans="1:16" ht="15" customHeight="1">
      <c r="A7" s="2">
        <v>6</v>
      </c>
      <c r="B7" s="22" t="s">
        <v>31</v>
      </c>
      <c r="C7" s="22" t="s">
        <v>32</v>
      </c>
      <c r="D7" s="3">
        <v>41000</v>
      </c>
      <c r="E7" s="22" t="s">
        <v>18</v>
      </c>
      <c r="F7" s="22" t="s">
        <v>19</v>
      </c>
      <c r="G7" s="26" t="s">
        <v>20</v>
      </c>
      <c r="H7" s="22"/>
      <c r="I7" s="22"/>
      <c r="J7" s="6">
        <v>147.5</v>
      </c>
      <c r="K7" s="2">
        <v>1</v>
      </c>
      <c r="L7" s="6">
        <v>147.5</v>
      </c>
      <c r="M7" s="2">
        <v>83</v>
      </c>
      <c r="N7" s="22" t="s">
        <v>21</v>
      </c>
      <c r="O7" s="22" t="s">
        <v>22</v>
      </c>
      <c r="P7" s="2"/>
    </row>
    <row r="8" spans="1:16" ht="15" customHeight="1">
      <c r="A8" s="2">
        <v>7</v>
      </c>
      <c r="B8" s="22" t="s">
        <v>31</v>
      </c>
      <c r="C8" s="22" t="s">
        <v>32</v>
      </c>
      <c r="D8" s="3">
        <v>41000</v>
      </c>
      <c r="E8" s="22" t="s">
        <v>23</v>
      </c>
      <c r="F8" s="22" t="s">
        <v>19</v>
      </c>
      <c r="G8" s="26"/>
      <c r="H8" s="22"/>
      <c r="I8" s="22"/>
      <c r="J8" s="6"/>
      <c r="K8" s="2">
        <v>2</v>
      </c>
      <c r="L8" s="6">
        <v>203.2085561497326</v>
      </c>
      <c r="M8" s="2">
        <v>83</v>
      </c>
      <c r="N8" s="22" t="s">
        <v>24</v>
      </c>
      <c r="O8" s="22" t="s">
        <v>22</v>
      </c>
      <c r="P8" s="2"/>
    </row>
    <row r="9" spans="1:16" ht="15" customHeight="1">
      <c r="A9" s="2">
        <v>8</v>
      </c>
      <c r="B9" s="22" t="s">
        <v>31</v>
      </c>
      <c r="C9" s="22" t="s">
        <v>32</v>
      </c>
      <c r="D9" s="3">
        <v>41000</v>
      </c>
      <c r="E9" s="22" t="s">
        <v>25</v>
      </c>
      <c r="F9" s="22" t="s">
        <v>19</v>
      </c>
      <c r="G9" s="26"/>
      <c r="H9" s="22"/>
      <c r="I9" s="22"/>
      <c r="J9" s="6"/>
      <c r="K9" s="2"/>
      <c r="L9" s="6">
        <v>95</v>
      </c>
      <c r="M9" s="2">
        <v>83</v>
      </c>
      <c r="N9" s="22"/>
      <c r="O9" s="22" t="s">
        <v>22</v>
      </c>
      <c r="P9" s="2"/>
    </row>
    <row r="10" spans="1:16" ht="15" customHeight="1">
      <c r="A10" s="2">
        <v>9</v>
      </c>
      <c r="B10" s="22" t="s">
        <v>31</v>
      </c>
      <c r="C10" s="22" t="s">
        <v>32</v>
      </c>
      <c r="D10" s="3">
        <v>41000</v>
      </c>
      <c r="E10" s="22" t="s">
        <v>26</v>
      </c>
      <c r="F10" s="22" t="s">
        <v>19</v>
      </c>
      <c r="G10" s="26"/>
      <c r="H10" s="22"/>
      <c r="I10" s="22"/>
      <c r="J10" s="6"/>
      <c r="K10" s="2"/>
      <c r="L10" s="6">
        <v>102</v>
      </c>
      <c r="M10" s="2">
        <v>83</v>
      </c>
      <c r="N10" s="22"/>
      <c r="O10" s="22" t="s">
        <v>22</v>
      </c>
      <c r="P10" s="2"/>
    </row>
    <row r="11" spans="1:16" ht="15" customHeight="1">
      <c r="A11" s="2">
        <v>10</v>
      </c>
      <c r="B11" s="22" t="s">
        <v>33</v>
      </c>
      <c r="C11" s="22" t="s">
        <v>34</v>
      </c>
      <c r="D11" s="3">
        <v>41000</v>
      </c>
      <c r="E11" s="22" t="s">
        <v>18</v>
      </c>
      <c r="F11" s="22" t="s">
        <v>19</v>
      </c>
      <c r="G11" s="26" t="s">
        <v>20</v>
      </c>
      <c r="H11" s="22"/>
      <c r="I11" s="22"/>
      <c r="J11" s="6">
        <v>180</v>
      </c>
      <c r="K11" s="2">
        <v>1</v>
      </c>
      <c r="L11" s="6">
        <v>180</v>
      </c>
      <c r="M11" s="2">
        <v>88</v>
      </c>
      <c r="N11" s="22" t="s">
        <v>21</v>
      </c>
      <c r="O11" s="22" t="s">
        <v>22</v>
      </c>
      <c r="P11" s="2"/>
    </row>
    <row r="12" spans="1:16" ht="15" customHeight="1">
      <c r="A12" s="2">
        <v>11</v>
      </c>
      <c r="B12" s="22" t="s">
        <v>33</v>
      </c>
      <c r="C12" s="22" t="s">
        <v>34</v>
      </c>
      <c r="D12" s="3">
        <v>41000</v>
      </c>
      <c r="E12" s="22" t="s">
        <v>23</v>
      </c>
      <c r="F12" s="22" t="s">
        <v>19</v>
      </c>
      <c r="G12" s="26"/>
      <c r="H12" s="22"/>
      <c r="I12" s="22"/>
      <c r="J12" s="6"/>
      <c r="K12" s="2">
        <v>2</v>
      </c>
      <c r="L12" s="6">
        <v>245.98930481283421</v>
      </c>
      <c r="M12" s="2">
        <v>88</v>
      </c>
      <c r="N12" s="22" t="s">
        <v>24</v>
      </c>
      <c r="O12" s="22" t="s">
        <v>22</v>
      </c>
      <c r="P12" s="2"/>
    </row>
    <row r="13" spans="1:16" ht="15" customHeight="1">
      <c r="A13" s="2">
        <v>12</v>
      </c>
      <c r="B13" s="22" t="s">
        <v>33</v>
      </c>
      <c r="C13" s="22" t="s">
        <v>34</v>
      </c>
      <c r="D13" s="3">
        <v>41000</v>
      </c>
      <c r="E13" s="22" t="s">
        <v>25</v>
      </c>
      <c r="F13" s="22" t="s">
        <v>19</v>
      </c>
      <c r="G13" s="26"/>
      <c r="H13" s="22"/>
      <c r="I13" s="22"/>
      <c r="J13" s="6"/>
      <c r="K13" s="2"/>
      <c r="L13" s="6">
        <v>97.5</v>
      </c>
      <c r="M13" s="2">
        <v>88</v>
      </c>
      <c r="N13" s="22"/>
      <c r="O13" s="22" t="s">
        <v>22</v>
      </c>
      <c r="P13" s="2"/>
    </row>
    <row r="14" spans="1:16" ht="15" customHeight="1">
      <c r="A14" s="2">
        <v>13</v>
      </c>
      <c r="B14" s="22" t="s">
        <v>33</v>
      </c>
      <c r="C14" s="22" t="s">
        <v>34</v>
      </c>
      <c r="D14" s="3">
        <v>41000</v>
      </c>
      <c r="E14" s="22" t="s">
        <v>26</v>
      </c>
      <c r="F14" s="22" t="s">
        <v>19</v>
      </c>
      <c r="G14" s="26"/>
      <c r="H14" s="22"/>
      <c r="I14" s="22"/>
      <c r="J14" s="6"/>
      <c r="K14" s="2"/>
      <c r="L14" s="6">
        <v>105</v>
      </c>
      <c r="M14" s="2">
        <v>88</v>
      </c>
      <c r="N14" s="22"/>
      <c r="O14" s="22" t="s">
        <v>22</v>
      </c>
      <c r="P14" s="2"/>
    </row>
    <row r="15" spans="1:16" ht="15" customHeight="1">
      <c r="A15" s="2">
        <v>14</v>
      </c>
      <c r="B15" s="22" t="s">
        <v>31</v>
      </c>
      <c r="C15" s="22" t="s">
        <v>32</v>
      </c>
      <c r="D15" s="3">
        <v>41030</v>
      </c>
      <c r="E15" s="22" t="s">
        <v>18</v>
      </c>
      <c r="F15" s="22" t="s">
        <v>19</v>
      </c>
      <c r="G15" s="26" t="s">
        <v>20</v>
      </c>
      <c r="H15" s="22"/>
      <c r="I15" s="22"/>
      <c r="J15" s="6">
        <v>152.5</v>
      </c>
      <c r="K15" s="2">
        <v>1</v>
      </c>
      <c r="L15" s="6">
        <v>152.5</v>
      </c>
      <c r="M15" s="2">
        <v>83</v>
      </c>
      <c r="N15" s="22" t="s">
        <v>21</v>
      </c>
      <c r="O15" s="22" t="s">
        <v>22</v>
      </c>
      <c r="P15" s="2"/>
    </row>
    <row r="16" spans="1:16" ht="15" customHeight="1">
      <c r="A16" s="2">
        <v>15</v>
      </c>
      <c r="B16" s="22" t="s">
        <v>31</v>
      </c>
      <c r="C16" s="22" t="s">
        <v>32</v>
      </c>
      <c r="D16" s="3">
        <v>41030</v>
      </c>
      <c r="E16" s="22" t="s">
        <v>23</v>
      </c>
      <c r="F16" s="22" t="s">
        <v>19</v>
      </c>
      <c r="G16" s="26"/>
      <c r="H16" s="22"/>
      <c r="I16" s="22"/>
      <c r="J16" s="6"/>
      <c r="K16" s="2">
        <v>2</v>
      </c>
      <c r="L16" s="6">
        <v>224.59893048128342</v>
      </c>
      <c r="M16" s="2">
        <v>83</v>
      </c>
      <c r="N16" s="22" t="s">
        <v>24</v>
      </c>
      <c r="O16" s="22" t="s">
        <v>22</v>
      </c>
      <c r="P16" s="2"/>
    </row>
    <row r="17" spans="1:16" ht="15" customHeight="1">
      <c r="A17" s="2">
        <v>16</v>
      </c>
      <c r="B17" s="22" t="s">
        <v>31</v>
      </c>
      <c r="C17" s="22" t="s">
        <v>32</v>
      </c>
      <c r="D17" s="3">
        <v>41030</v>
      </c>
      <c r="E17" s="22" t="s">
        <v>25</v>
      </c>
      <c r="F17" s="22" t="s">
        <v>19</v>
      </c>
      <c r="G17" s="26"/>
      <c r="H17" s="22"/>
      <c r="I17" s="22"/>
      <c r="J17" s="6"/>
      <c r="K17" s="2"/>
      <c r="L17" s="6">
        <v>90</v>
      </c>
      <c r="M17" s="2">
        <v>83</v>
      </c>
      <c r="N17" s="22"/>
      <c r="O17" s="22" t="s">
        <v>22</v>
      </c>
      <c r="P17" s="2"/>
    </row>
    <row r="18" spans="1:16" ht="15" customHeight="1">
      <c r="A18" s="2">
        <v>17</v>
      </c>
      <c r="B18" s="22" t="s">
        <v>31</v>
      </c>
      <c r="C18" s="22" t="s">
        <v>32</v>
      </c>
      <c r="D18" s="3">
        <v>41030</v>
      </c>
      <c r="E18" s="22" t="s">
        <v>26</v>
      </c>
      <c r="F18" s="22" t="s">
        <v>19</v>
      </c>
      <c r="G18" s="26"/>
      <c r="H18" s="22"/>
      <c r="I18" s="22"/>
      <c r="J18" s="6"/>
      <c r="K18" s="2"/>
      <c r="L18" s="6">
        <v>107.5</v>
      </c>
      <c r="M18" s="2">
        <v>83</v>
      </c>
      <c r="N18" s="22"/>
      <c r="O18" s="22" t="s">
        <v>22</v>
      </c>
      <c r="P18" s="2"/>
    </row>
    <row r="19" spans="1:16" ht="15" customHeight="1">
      <c r="A19" s="2">
        <v>18</v>
      </c>
      <c r="B19" s="22" t="s">
        <v>33</v>
      </c>
      <c r="C19" s="22" t="s">
        <v>34</v>
      </c>
      <c r="D19" s="3">
        <v>41030</v>
      </c>
      <c r="E19" s="22" t="s">
        <v>18</v>
      </c>
      <c r="F19" s="22" t="s">
        <v>19</v>
      </c>
      <c r="G19" s="26" t="s">
        <v>20</v>
      </c>
      <c r="H19" s="22"/>
      <c r="I19" s="22"/>
      <c r="J19" s="6">
        <v>187.5</v>
      </c>
      <c r="K19" s="2">
        <v>1</v>
      </c>
      <c r="L19" s="6">
        <v>187.5</v>
      </c>
      <c r="M19" s="2">
        <v>88</v>
      </c>
      <c r="N19" s="22" t="s">
        <v>21</v>
      </c>
      <c r="O19" s="22" t="s">
        <v>22</v>
      </c>
      <c r="P19" s="2"/>
    </row>
    <row r="20" spans="1:16" ht="15" customHeight="1">
      <c r="A20" s="2">
        <v>19</v>
      </c>
      <c r="B20" s="22" t="s">
        <v>33</v>
      </c>
      <c r="C20" s="22" t="s">
        <v>34</v>
      </c>
      <c r="D20" s="3">
        <v>41030</v>
      </c>
      <c r="E20" s="22" t="s">
        <v>23</v>
      </c>
      <c r="F20" s="22" t="s">
        <v>19</v>
      </c>
      <c r="G20" s="26"/>
      <c r="H20" s="22"/>
      <c r="I20" s="22"/>
      <c r="J20" s="6"/>
      <c r="K20" s="2">
        <v>2</v>
      </c>
      <c r="L20" s="6">
        <v>256.68449197860963</v>
      </c>
      <c r="M20" s="2">
        <v>88</v>
      </c>
      <c r="N20" s="22" t="s">
        <v>24</v>
      </c>
      <c r="O20" s="22" t="s">
        <v>22</v>
      </c>
      <c r="P20" s="2"/>
    </row>
    <row r="21" spans="1:16" ht="15" customHeight="1">
      <c r="A21" s="2">
        <v>20</v>
      </c>
      <c r="B21" s="22" t="s">
        <v>33</v>
      </c>
      <c r="C21" s="22" t="s">
        <v>34</v>
      </c>
      <c r="D21" s="3">
        <v>41030</v>
      </c>
      <c r="E21" s="22" t="s">
        <v>25</v>
      </c>
      <c r="F21" s="22" t="s">
        <v>19</v>
      </c>
      <c r="G21" s="26"/>
      <c r="H21" s="22"/>
      <c r="I21" s="22"/>
      <c r="J21" s="6"/>
      <c r="K21" s="2"/>
      <c r="L21" s="6">
        <v>97.5</v>
      </c>
      <c r="M21" s="2">
        <v>88</v>
      </c>
      <c r="N21" s="22"/>
      <c r="O21" s="22" t="s">
        <v>22</v>
      </c>
      <c r="P21" s="2"/>
    </row>
    <row r="22" spans="1:16" ht="15" customHeight="1">
      <c r="A22" s="2">
        <v>21</v>
      </c>
      <c r="B22" s="22" t="s">
        <v>33</v>
      </c>
      <c r="C22" s="22" t="s">
        <v>34</v>
      </c>
      <c r="D22" s="3">
        <v>41030</v>
      </c>
      <c r="E22" s="22" t="s">
        <v>26</v>
      </c>
      <c r="F22" s="22" t="s">
        <v>19</v>
      </c>
      <c r="G22" s="26"/>
      <c r="H22" s="22"/>
      <c r="I22" s="22"/>
      <c r="J22" s="6"/>
      <c r="K22" s="2"/>
      <c r="L22" s="6">
        <v>110</v>
      </c>
      <c r="M22" s="2">
        <v>88</v>
      </c>
      <c r="N22" s="22"/>
      <c r="O22" s="22" t="s">
        <v>22</v>
      </c>
      <c r="P22" s="2"/>
    </row>
    <row r="23" spans="1:16" ht="15" customHeight="1">
      <c r="A23" s="2">
        <v>22</v>
      </c>
      <c r="B23" s="22" t="s">
        <v>16</v>
      </c>
      <c r="C23" s="22" t="s">
        <v>17</v>
      </c>
      <c r="D23" s="3">
        <v>41061</v>
      </c>
      <c r="E23" s="22" t="s">
        <v>18</v>
      </c>
      <c r="F23" s="22" t="s">
        <v>19</v>
      </c>
      <c r="G23" s="26" t="s">
        <v>20</v>
      </c>
      <c r="H23" s="22"/>
      <c r="I23" s="22"/>
      <c r="J23" s="6">
        <v>220</v>
      </c>
      <c r="K23" s="2">
        <v>1</v>
      </c>
      <c r="L23" s="6">
        <v>220</v>
      </c>
      <c r="M23" s="2">
        <v>80</v>
      </c>
      <c r="N23" s="22"/>
      <c r="O23" s="22" t="s">
        <v>35</v>
      </c>
      <c r="P23" s="2"/>
    </row>
    <row r="24" spans="1:16" ht="15" customHeight="1">
      <c r="A24" s="2">
        <v>23</v>
      </c>
      <c r="B24" s="22" t="s">
        <v>16</v>
      </c>
      <c r="C24" s="22" t="s">
        <v>17</v>
      </c>
      <c r="D24" s="3">
        <v>41061</v>
      </c>
      <c r="E24" s="22" t="s">
        <v>23</v>
      </c>
      <c r="F24" s="22" t="s">
        <v>19</v>
      </c>
      <c r="G24" s="26"/>
      <c r="H24" s="22"/>
      <c r="I24" s="22"/>
      <c r="J24" s="6"/>
      <c r="K24" s="2">
        <v>2</v>
      </c>
      <c r="L24" s="6">
        <v>320.85561497326199</v>
      </c>
      <c r="M24" s="2">
        <v>80</v>
      </c>
      <c r="N24" s="22" t="s">
        <v>24</v>
      </c>
      <c r="O24" s="22" t="s">
        <v>36</v>
      </c>
      <c r="P24" s="2"/>
    </row>
    <row r="25" spans="1:16" ht="15" customHeight="1">
      <c r="A25" s="2">
        <v>24</v>
      </c>
      <c r="B25" s="22" t="s">
        <v>16</v>
      </c>
      <c r="C25" s="22" t="s">
        <v>17</v>
      </c>
      <c r="D25" s="3">
        <v>41061</v>
      </c>
      <c r="E25" s="22" t="s">
        <v>25</v>
      </c>
      <c r="F25" s="22" t="s">
        <v>19</v>
      </c>
      <c r="G25" s="26"/>
      <c r="H25" s="22"/>
      <c r="I25" s="22"/>
      <c r="J25" s="6"/>
      <c r="K25" s="2"/>
      <c r="L25" s="6">
        <v>97.5</v>
      </c>
      <c r="M25" s="2">
        <v>80</v>
      </c>
      <c r="N25" s="22"/>
      <c r="O25" s="22" t="s">
        <v>36</v>
      </c>
      <c r="P25" s="2"/>
    </row>
    <row r="26" spans="1:16" ht="15" customHeight="1">
      <c r="A26" s="2">
        <v>25</v>
      </c>
      <c r="B26" s="22" t="s">
        <v>16</v>
      </c>
      <c r="C26" s="22" t="s">
        <v>17</v>
      </c>
      <c r="D26" s="3">
        <v>41061</v>
      </c>
      <c r="E26" s="22" t="s">
        <v>26</v>
      </c>
      <c r="F26" s="22" t="s">
        <v>19</v>
      </c>
      <c r="G26" s="26"/>
      <c r="H26" s="22"/>
      <c r="I26" s="22"/>
      <c r="J26" s="6"/>
      <c r="K26" s="2"/>
      <c r="L26" s="6">
        <v>107.5</v>
      </c>
      <c r="M26" s="2">
        <v>80</v>
      </c>
      <c r="N26" s="22"/>
      <c r="O26" s="22" t="s">
        <v>36</v>
      </c>
      <c r="P26" s="2"/>
    </row>
    <row r="27" spans="1:16" ht="15" customHeight="1">
      <c r="A27" s="2">
        <v>26</v>
      </c>
      <c r="B27" s="22" t="s">
        <v>27</v>
      </c>
      <c r="C27" s="22" t="s">
        <v>28</v>
      </c>
      <c r="D27" s="3">
        <v>41061</v>
      </c>
      <c r="E27" s="22" t="s">
        <v>23</v>
      </c>
      <c r="F27" s="22" t="s">
        <v>19</v>
      </c>
      <c r="G27" s="26"/>
      <c r="H27" s="22"/>
      <c r="I27" s="22"/>
      <c r="J27" s="6"/>
      <c r="K27" s="2">
        <v>2</v>
      </c>
      <c r="L27" s="6">
        <v>320.85561497326199</v>
      </c>
      <c r="M27" s="2">
        <v>95</v>
      </c>
      <c r="N27" s="22" t="s">
        <v>24</v>
      </c>
      <c r="O27" s="22" t="s">
        <v>36</v>
      </c>
      <c r="P27" s="2"/>
    </row>
    <row r="28" spans="1:16" ht="15" customHeight="1">
      <c r="A28" s="2">
        <v>27</v>
      </c>
      <c r="B28" s="22" t="s">
        <v>27</v>
      </c>
      <c r="C28" s="22" t="s">
        <v>28</v>
      </c>
      <c r="D28" s="3">
        <v>41061</v>
      </c>
      <c r="E28" s="27" t="s">
        <v>29</v>
      </c>
      <c r="F28" s="22" t="s">
        <v>19</v>
      </c>
      <c r="G28" s="26" t="s">
        <v>20</v>
      </c>
      <c r="H28" s="22"/>
      <c r="I28" s="22"/>
      <c r="J28" s="6"/>
      <c r="K28" s="2"/>
      <c r="L28" s="6">
        <v>250</v>
      </c>
      <c r="M28" s="2">
        <v>95</v>
      </c>
      <c r="N28" s="22" t="s">
        <v>30</v>
      </c>
      <c r="O28" s="22" t="s">
        <v>36</v>
      </c>
      <c r="P28" s="2"/>
    </row>
    <row r="29" spans="1:16" ht="15" customHeight="1">
      <c r="A29" s="2">
        <v>28</v>
      </c>
      <c r="B29" s="22" t="s">
        <v>27</v>
      </c>
      <c r="C29" s="22" t="s">
        <v>28</v>
      </c>
      <c r="D29" s="3">
        <v>41061</v>
      </c>
      <c r="E29" s="22" t="s">
        <v>25</v>
      </c>
      <c r="F29" s="22" t="s">
        <v>19</v>
      </c>
      <c r="G29" s="26"/>
      <c r="H29" s="22"/>
      <c r="I29" s="22"/>
      <c r="J29" s="6"/>
      <c r="K29" s="2"/>
      <c r="L29" s="6">
        <v>105</v>
      </c>
      <c r="M29" s="2">
        <v>95</v>
      </c>
      <c r="N29" s="22"/>
      <c r="O29" s="22" t="s">
        <v>36</v>
      </c>
      <c r="P29" s="2"/>
    </row>
    <row r="30" spans="1:16" ht="15" customHeight="1">
      <c r="A30" s="2">
        <v>29</v>
      </c>
      <c r="B30" s="22" t="s">
        <v>27</v>
      </c>
      <c r="C30" s="22" t="s">
        <v>28</v>
      </c>
      <c r="D30" s="3">
        <v>41061</v>
      </c>
      <c r="E30" s="22" t="s">
        <v>26</v>
      </c>
      <c r="F30" s="22" t="s">
        <v>19</v>
      </c>
      <c r="G30" s="26"/>
      <c r="H30" s="22"/>
      <c r="I30" s="22"/>
      <c r="J30" s="6"/>
      <c r="K30" s="2"/>
      <c r="L30" s="6">
        <v>130</v>
      </c>
      <c r="M30" s="2">
        <v>95</v>
      </c>
      <c r="N30" s="22"/>
      <c r="O30" s="22" t="s">
        <v>36</v>
      </c>
      <c r="P30" s="2"/>
    </row>
    <row r="31" spans="1:16" ht="15" customHeight="1">
      <c r="A31" s="2">
        <v>30</v>
      </c>
      <c r="B31" s="22" t="s">
        <v>31</v>
      </c>
      <c r="C31" s="22" t="s">
        <v>32</v>
      </c>
      <c r="D31" s="3">
        <v>41061</v>
      </c>
      <c r="E31" s="22" t="s">
        <v>18</v>
      </c>
      <c r="F31" s="22" t="s">
        <v>19</v>
      </c>
      <c r="G31" s="26" t="s">
        <v>20</v>
      </c>
      <c r="H31" s="22"/>
      <c r="I31" s="22"/>
      <c r="J31" s="6">
        <v>200</v>
      </c>
      <c r="K31" s="2">
        <v>1</v>
      </c>
      <c r="L31" s="6">
        <v>200</v>
      </c>
      <c r="M31" s="2">
        <v>84</v>
      </c>
      <c r="N31" s="22"/>
      <c r="O31" s="22" t="s">
        <v>35</v>
      </c>
      <c r="P31" s="2"/>
    </row>
    <row r="32" spans="1:16" ht="15" customHeight="1">
      <c r="A32" s="2">
        <v>31</v>
      </c>
      <c r="B32" s="22" t="s">
        <v>31</v>
      </c>
      <c r="C32" s="22" t="s">
        <v>32</v>
      </c>
      <c r="D32" s="3">
        <v>41061</v>
      </c>
      <c r="E32" s="22" t="s">
        <v>23</v>
      </c>
      <c r="F32" s="22" t="s">
        <v>19</v>
      </c>
      <c r="G32" s="26"/>
      <c r="H32" s="22"/>
      <c r="I32" s="22"/>
      <c r="J32" s="6"/>
      <c r="K32" s="2">
        <v>2</v>
      </c>
      <c r="L32" s="6">
        <v>256.68449197860963</v>
      </c>
      <c r="M32" s="2">
        <v>84</v>
      </c>
      <c r="N32" s="22" t="s">
        <v>24</v>
      </c>
      <c r="O32" s="22" t="s">
        <v>36</v>
      </c>
      <c r="P32" s="2"/>
    </row>
    <row r="33" spans="1:16" ht="15" customHeight="1">
      <c r="A33" s="2">
        <v>32</v>
      </c>
      <c r="B33" s="22" t="s">
        <v>31</v>
      </c>
      <c r="C33" s="22" t="s">
        <v>32</v>
      </c>
      <c r="D33" s="3">
        <v>41061</v>
      </c>
      <c r="E33" s="22" t="s">
        <v>25</v>
      </c>
      <c r="F33" s="22" t="s">
        <v>19</v>
      </c>
      <c r="G33" s="26"/>
      <c r="H33" s="22"/>
      <c r="I33" s="22"/>
      <c r="J33" s="6"/>
      <c r="K33" s="2"/>
      <c r="L33" s="6">
        <v>97.5</v>
      </c>
      <c r="M33" s="2">
        <v>84</v>
      </c>
      <c r="N33" s="22"/>
      <c r="O33" s="22" t="s">
        <v>36</v>
      </c>
      <c r="P33" s="2"/>
    </row>
    <row r="34" spans="1:16" ht="15" customHeight="1">
      <c r="A34" s="2">
        <v>33</v>
      </c>
      <c r="B34" s="22" t="s">
        <v>31</v>
      </c>
      <c r="C34" s="22" t="s">
        <v>32</v>
      </c>
      <c r="D34" s="3">
        <v>41061</v>
      </c>
      <c r="E34" s="22" t="s">
        <v>26</v>
      </c>
      <c r="F34" s="22" t="s">
        <v>19</v>
      </c>
      <c r="G34" s="26"/>
      <c r="H34" s="22"/>
      <c r="I34" s="22"/>
      <c r="J34" s="6"/>
      <c r="K34" s="2"/>
      <c r="L34" s="6">
        <v>107.5</v>
      </c>
      <c r="M34" s="2">
        <v>84</v>
      </c>
      <c r="N34" s="22"/>
      <c r="O34" s="22" t="s">
        <v>36</v>
      </c>
      <c r="P34" s="2"/>
    </row>
    <row r="35" spans="1:16" ht="15" customHeight="1">
      <c r="A35" s="2">
        <v>34</v>
      </c>
      <c r="B35" s="22" t="s">
        <v>33</v>
      </c>
      <c r="C35" s="22" t="s">
        <v>34</v>
      </c>
      <c r="D35" s="3">
        <v>41061</v>
      </c>
      <c r="E35" s="22" t="s">
        <v>18</v>
      </c>
      <c r="F35" s="22" t="s">
        <v>19</v>
      </c>
      <c r="G35" s="26" t="s">
        <v>20</v>
      </c>
      <c r="H35" s="22"/>
      <c r="I35" s="22"/>
      <c r="J35" s="6">
        <v>210</v>
      </c>
      <c r="K35" s="2">
        <v>1</v>
      </c>
      <c r="L35" s="6">
        <v>210</v>
      </c>
      <c r="M35" s="2">
        <v>89</v>
      </c>
      <c r="N35" s="22"/>
      <c r="O35" s="22" t="s">
        <v>35</v>
      </c>
      <c r="P35" s="2"/>
    </row>
    <row r="36" spans="1:16" ht="15" customHeight="1">
      <c r="A36" s="2">
        <v>35</v>
      </c>
      <c r="B36" s="22" t="s">
        <v>33</v>
      </c>
      <c r="C36" s="22" t="s">
        <v>34</v>
      </c>
      <c r="D36" s="3">
        <v>41061</v>
      </c>
      <c r="E36" s="22" t="s">
        <v>23</v>
      </c>
      <c r="F36" s="22" t="s">
        <v>19</v>
      </c>
      <c r="G36" s="26"/>
      <c r="H36" s="22"/>
      <c r="I36" s="22"/>
      <c r="J36" s="6"/>
      <c r="K36" s="2">
        <v>2</v>
      </c>
      <c r="L36" s="6">
        <v>320.85561497326199</v>
      </c>
      <c r="M36" s="2">
        <v>89</v>
      </c>
      <c r="N36" s="22" t="s">
        <v>24</v>
      </c>
      <c r="O36" s="22" t="s">
        <v>36</v>
      </c>
      <c r="P36" s="2"/>
    </row>
    <row r="37" spans="1:16" ht="15" customHeight="1">
      <c r="A37" s="2">
        <v>36</v>
      </c>
      <c r="B37" s="22" t="s">
        <v>33</v>
      </c>
      <c r="C37" s="22" t="s">
        <v>34</v>
      </c>
      <c r="D37" s="3">
        <v>41061</v>
      </c>
      <c r="E37" s="22" t="s">
        <v>25</v>
      </c>
      <c r="F37" s="22" t="s">
        <v>19</v>
      </c>
      <c r="G37" s="26"/>
      <c r="H37" s="22"/>
      <c r="I37" s="22"/>
      <c r="J37" s="6"/>
      <c r="K37" s="2"/>
      <c r="L37" s="6">
        <v>97.5</v>
      </c>
      <c r="M37" s="2">
        <v>89</v>
      </c>
      <c r="N37" s="22"/>
      <c r="O37" s="22" t="s">
        <v>36</v>
      </c>
      <c r="P37" s="2"/>
    </row>
    <row r="38" spans="1:16" ht="15" customHeight="1">
      <c r="A38" s="2">
        <v>37</v>
      </c>
      <c r="B38" s="22" t="s">
        <v>33</v>
      </c>
      <c r="C38" s="22" t="s">
        <v>34</v>
      </c>
      <c r="D38" s="3">
        <v>41061</v>
      </c>
      <c r="E38" s="22" t="s">
        <v>26</v>
      </c>
      <c r="F38" s="22" t="s">
        <v>19</v>
      </c>
      <c r="G38" s="26"/>
      <c r="H38" s="22"/>
      <c r="I38" s="22"/>
      <c r="J38" s="6"/>
      <c r="K38" s="2"/>
      <c r="L38" s="6">
        <v>107.5</v>
      </c>
      <c r="M38" s="2">
        <v>89</v>
      </c>
      <c r="N38" s="22"/>
      <c r="O38" s="22" t="s">
        <v>36</v>
      </c>
      <c r="P38" s="2"/>
    </row>
    <row r="39" spans="1:16" ht="15" customHeight="1">
      <c r="A39" s="2">
        <v>38</v>
      </c>
      <c r="B39" s="22" t="s">
        <v>16</v>
      </c>
      <c r="C39" s="22" t="s">
        <v>17</v>
      </c>
      <c r="D39" s="3">
        <v>41365</v>
      </c>
      <c r="E39" s="27" t="s">
        <v>29</v>
      </c>
      <c r="F39" s="22" t="s">
        <v>19</v>
      </c>
      <c r="G39" s="26" t="s">
        <v>20</v>
      </c>
      <c r="H39" s="22"/>
      <c r="I39" s="22"/>
      <c r="J39" s="6"/>
      <c r="K39" s="2"/>
      <c r="L39" s="6">
        <v>190</v>
      </c>
      <c r="M39" s="2">
        <v>85</v>
      </c>
      <c r="N39" s="22" t="s">
        <v>30</v>
      </c>
      <c r="O39" s="22" t="s">
        <v>37</v>
      </c>
      <c r="P39" s="2"/>
    </row>
    <row r="40" spans="1:16" ht="15" customHeight="1">
      <c r="A40" s="2">
        <v>39</v>
      </c>
      <c r="B40" s="22" t="s">
        <v>31</v>
      </c>
      <c r="C40" s="22" t="s">
        <v>32</v>
      </c>
      <c r="D40" s="3">
        <v>41365</v>
      </c>
      <c r="E40" s="27" t="s">
        <v>29</v>
      </c>
      <c r="F40" s="22" t="s">
        <v>19</v>
      </c>
      <c r="G40" s="26" t="s">
        <v>20</v>
      </c>
      <c r="H40" s="22"/>
      <c r="I40" s="22"/>
      <c r="J40" s="6"/>
      <c r="K40" s="2"/>
      <c r="L40" s="6">
        <v>167.5</v>
      </c>
      <c r="M40" s="2">
        <v>84.3</v>
      </c>
      <c r="N40" s="22" t="s">
        <v>30</v>
      </c>
      <c r="O40" s="22" t="s">
        <v>37</v>
      </c>
      <c r="P40" s="2"/>
    </row>
    <row r="41" spans="1:16" ht="15" customHeight="1">
      <c r="A41" s="2">
        <v>40</v>
      </c>
      <c r="B41" s="22" t="s">
        <v>38</v>
      </c>
      <c r="C41" s="22" t="s">
        <v>39</v>
      </c>
      <c r="D41" s="3">
        <v>41426</v>
      </c>
      <c r="E41" s="22" t="s">
        <v>23</v>
      </c>
      <c r="F41" s="22" t="s">
        <v>19</v>
      </c>
      <c r="G41" s="26"/>
      <c r="H41" s="22"/>
      <c r="I41" s="22"/>
      <c r="J41" s="6"/>
      <c r="K41" s="2"/>
      <c r="L41" s="6">
        <v>186</v>
      </c>
      <c r="M41" s="2"/>
      <c r="N41" s="22"/>
      <c r="O41" s="22" t="s">
        <v>40</v>
      </c>
      <c r="P41" s="2"/>
    </row>
    <row r="42" spans="1:16" ht="15" customHeight="1">
      <c r="A42" s="2">
        <v>41</v>
      </c>
      <c r="B42" s="22" t="s">
        <v>41</v>
      </c>
      <c r="C42" s="22" t="s">
        <v>42</v>
      </c>
      <c r="D42" s="3">
        <v>41456</v>
      </c>
      <c r="E42" s="22" t="s">
        <v>43</v>
      </c>
      <c r="F42" s="22" t="s">
        <v>19</v>
      </c>
      <c r="G42" s="26"/>
      <c r="H42" s="22"/>
      <c r="I42" s="22"/>
      <c r="J42" s="6"/>
      <c r="K42" s="2"/>
      <c r="L42" s="6">
        <v>110</v>
      </c>
      <c r="M42" s="2"/>
      <c r="N42" s="22" t="s">
        <v>44</v>
      </c>
      <c r="O42" s="22" t="s">
        <v>40</v>
      </c>
      <c r="P42" s="2"/>
    </row>
    <row r="43" spans="1:16" ht="15" customHeight="1">
      <c r="A43" s="2">
        <v>42</v>
      </c>
      <c r="B43" s="22" t="s">
        <v>41</v>
      </c>
      <c r="C43" s="22" t="s">
        <v>42</v>
      </c>
      <c r="D43" s="3">
        <v>41456</v>
      </c>
      <c r="E43" s="22" t="s">
        <v>23</v>
      </c>
      <c r="F43" s="22" t="s">
        <v>19</v>
      </c>
      <c r="G43" s="26"/>
      <c r="H43" s="22"/>
      <c r="I43" s="22"/>
      <c r="J43" s="6"/>
      <c r="K43" s="2"/>
      <c r="L43" s="6">
        <v>172</v>
      </c>
      <c r="M43" s="2"/>
      <c r="N43" s="22"/>
      <c r="O43" s="22" t="s">
        <v>40</v>
      </c>
      <c r="P43" s="2"/>
    </row>
    <row r="44" spans="1:16" ht="15" customHeight="1">
      <c r="A44" s="2">
        <v>43</v>
      </c>
      <c r="B44" s="22" t="s">
        <v>16</v>
      </c>
      <c r="C44" s="22" t="s">
        <v>17</v>
      </c>
      <c r="D44" s="3">
        <v>41491</v>
      </c>
      <c r="E44" s="27" t="s">
        <v>29</v>
      </c>
      <c r="F44" s="22" t="s">
        <v>19</v>
      </c>
      <c r="G44" s="26" t="s">
        <v>20</v>
      </c>
      <c r="H44" s="22"/>
      <c r="I44" s="22"/>
      <c r="J44" s="6"/>
      <c r="K44" s="2"/>
      <c r="L44" s="6">
        <v>190</v>
      </c>
      <c r="M44" s="2">
        <v>81</v>
      </c>
      <c r="N44" s="22" t="s">
        <v>30</v>
      </c>
      <c r="O44" s="22" t="s">
        <v>37</v>
      </c>
      <c r="P44" s="2"/>
    </row>
    <row r="45" spans="1:16" ht="15" customHeight="1">
      <c r="A45" s="2">
        <v>44</v>
      </c>
      <c r="B45" s="22" t="s">
        <v>16</v>
      </c>
      <c r="C45" s="22" t="s">
        <v>17</v>
      </c>
      <c r="D45" s="3">
        <v>41491</v>
      </c>
      <c r="E45" s="22" t="s">
        <v>45</v>
      </c>
      <c r="F45" s="22" t="s">
        <v>19</v>
      </c>
      <c r="G45" s="26"/>
      <c r="H45" s="22"/>
      <c r="I45" s="22"/>
      <c r="J45" s="6">
        <v>225.8511722731906</v>
      </c>
      <c r="K45" s="2"/>
      <c r="L45" s="6">
        <v>225.8511722731906</v>
      </c>
      <c r="M45" s="2">
        <v>81</v>
      </c>
      <c r="N45" s="22"/>
      <c r="O45" s="22" t="s">
        <v>37</v>
      </c>
      <c r="P45" s="2"/>
    </row>
    <row r="46" spans="1:16" ht="15" customHeight="1">
      <c r="A46" s="2">
        <v>45</v>
      </c>
      <c r="B46" s="22" t="s">
        <v>27</v>
      </c>
      <c r="C46" s="22" t="s">
        <v>28</v>
      </c>
      <c r="D46" s="3">
        <v>41491</v>
      </c>
      <c r="E46" s="22" t="s">
        <v>26</v>
      </c>
      <c r="F46" s="22" t="s">
        <v>19</v>
      </c>
      <c r="G46" s="26"/>
      <c r="H46" s="22"/>
      <c r="I46" s="22"/>
      <c r="J46" s="6"/>
      <c r="K46" s="2"/>
      <c r="L46" s="6">
        <v>135</v>
      </c>
      <c r="M46" s="2"/>
      <c r="N46" s="22"/>
      <c r="O46" s="22"/>
      <c r="P46" s="2"/>
    </row>
    <row r="47" spans="1:16" ht="15" customHeight="1">
      <c r="A47" s="2">
        <v>46</v>
      </c>
      <c r="B47" s="22" t="s">
        <v>31</v>
      </c>
      <c r="C47" s="22" t="s">
        <v>32</v>
      </c>
      <c r="D47" s="3">
        <v>41491</v>
      </c>
      <c r="E47" s="27" t="s">
        <v>29</v>
      </c>
      <c r="F47" s="22" t="s">
        <v>19</v>
      </c>
      <c r="G47" s="26" t="s">
        <v>20</v>
      </c>
      <c r="H47" s="22"/>
      <c r="I47" s="22"/>
      <c r="J47" s="6"/>
      <c r="K47" s="2"/>
      <c r="L47" s="6">
        <v>160</v>
      </c>
      <c r="M47" s="2">
        <v>84</v>
      </c>
      <c r="N47" s="22" t="s">
        <v>30</v>
      </c>
      <c r="O47" s="22" t="s">
        <v>37</v>
      </c>
      <c r="P47" s="2"/>
    </row>
    <row r="48" spans="1:16" ht="15" customHeight="1">
      <c r="A48" s="2">
        <v>47</v>
      </c>
      <c r="B48" s="22" t="s">
        <v>31</v>
      </c>
      <c r="C48" s="22" t="s">
        <v>32</v>
      </c>
      <c r="D48" s="3">
        <v>41491</v>
      </c>
      <c r="E48" s="22" t="s">
        <v>45</v>
      </c>
      <c r="F48" s="22" t="s">
        <v>19</v>
      </c>
      <c r="G48" s="26"/>
      <c r="H48" s="22"/>
      <c r="I48" s="22"/>
      <c r="J48" s="6">
        <v>238.6544342507645</v>
      </c>
      <c r="K48" s="2"/>
      <c r="L48" s="6">
        <v>238.6544342507645</v>
      </c>
      <c r="M48" s="2">
        <v>84</v>
      </c>
      <c r="N48" s="22"/>
      <c r="O48" s="22" t="s">
        <v>37</v>
      </c>
      <c r="P48" s="2"/>
    </row>
    <row r="49" spans="1:16" ht="15" customHeight="1">
      <c r="A49" s="2">
        <v>48</v>
      </c>
      <c r="B49" s="22" t="s">
        <v>31</v>
      </c>
      <c r="C49" s="22" t="s">
        <v>32</v>
      </c>
      <c r="D49" s="3">
        <v>41512</v>
      </c>
      <c r="E49" s="27" t="s">
        <v>29</v>
      </c>
      <c r="F49" s="22" t="s">
        <v>19</v>
      </c>
      <c r="G49" s="26" t="s">
        <v>20</v>
      </c>
      <c r="H49" s="22"/>
      <c r="I49" s="22"/>
      <c r="J49" s="6"/>
      <c r="K49" s="2"/>
      <c r="L49" s="6">
        <v>170</v>
      </c>
      <c r="M49" s="2"/>
      <c r="N49" s="22" t="s">
        <v>30</v>
      </c>
      <c r="O49" s="22" t="s">
        <v>37</v>
      </c>
      <c r="P49" s="2"/>
    </row>
    <row r="50" spans="1:16" ht="15" customHeight="1">
      <c r="A50" s="2">
        <v>49</v>
      </c>
      <c r="B50" s="22" t="s">
        <v>31</v>
      </c>
      <c r="C50" s="22" t="s">
        <v>32</v>
      </c>
      <c r="D50" s="3">
        <v>41512</v>
      </c>
      <c r="E50" s="22" t="s">
        <v>26</v>
      </c>
      <c r="F50" s="22" t="s">
        <v>19</v>
      </c>
      <c r="G50" s="26"/>
      <c r="H50" s="22"/>
      <c r="I50" s="22"/>
      <c r="J50" s="6"/>
      <c r="K50" s="2"/>
      <c r="L50" s="6">
        <v>100</v>
      </c>
      <c r="M50" s="2"/>
      <c r="N50" s="22"/>
      <c r="O50" s="22" t="s">
        <v>37</v>
      </c>
      <c r="P50" s="2"/>
    </row>
    <row r="51" spans="1:16" ht="15" customHeight="1">
      <c r="A51" s="2">
        <v>50</v>
      </c>
      <c r="B51" s="22" t="s">
        <v>33</v>
      </c>
      <c r="C51" s="22" t="s">
        <v>34</v>
      </c>
      <c r="D51" s="3">
        <v>41512</v>
      </c>
      <c r="E51" s="27" t="s">
        <v>29</v>
      </c>
      <c r="F51" s="22" t="s">
        <v>19</v>
      </c>
      <c r="G51" s="26" t="s">
        <v>20</v>
      </c>
      <c r="H51" s="22"/>
      <c r="I51" s="22"/>
      <c r="J51" s="6"/>
      <c r="K51" s="2"/>
      <c r="L51" s="6">
        <v>200</v>
      </c>
      <c r="M51" s="2"/>
      <c r="N51" s="22" t="s">
        <v>30</v>
      </c>
      <c r="O51" s="22" t="s">
        <v>37</v>
      </c>
      <c r="P51" s="2"/>
    </row>
    <row r="52" spans="1:16" ht="15" customHeight="1">
      <c r="A52" s="2">
        <v>51</v>
      </c>
      <c r="B52" s="22" t="s">
        <v>33</v>
      </c>
      <c r="C52" s="22" t="s">
        <v>34</v>
      </c>
      <c r="D52" s="3">
        <v>41512</v>
      </c>
      <c r="E52" s="22" t="s">
        <v>46</v>
      </c>
      <c r="F52" s="22" t="s">
        <v>19</v>
      </c>
      <c r="G52" s="26"/>
      <c r="H52" s="22"/>
      <c r="I52" s="22"/>
      <c r="J52" s="6"/>
      <c r="K52" s="2"/>
      <c r="L52" s="6">
        <v>100</v>
      </c>
      <c r="M52" s="2"/>
      <c r="N52" s="22"/>
      <c r="O52" s="22" t="s">
        <v>37</v>
      </c>
      <c r="P52" s="2"/>
    </row>
    <row r="53" spans="1:16" ht="15" customHeight="1">
      <c r="A53" s="2">
        <v>52</v>
      </c>
      <c r="B53" s="22" t="s">
        <v>38</v>
      </c>
      <c r="C53" s="22" t="s">
        <v>39</v>
      </c>
      <c r="D53" s="3">
        <v>41518</v>
      </c>
      <c r="E53" s="22" t="s">
        <v>23</v>
      </c>
      <c r="F53" s="22" t="s">
        <v>19</v>
      </c>
      <c r="G53" s="26"/>
      <c r="H53" s="22"/>
      <c r="I53" s="22"/>
      <c r="J53" s="6"/>
      <c r="K53" s="2"/>
      <c r="L53" s="6">
        <v>185</v>
      </c>
      <c r="M53" s="2"/>
      <c r="N53" s="22"/>
      <c r="O53" s="22" t="s">
        <v>40</v>
      </c>
      <c r="P53" s="2"/>
    </row>
    <row r="54" spans="1:16" ht="15" customHeight="1">
      <c r="A54" s="2">
        <v>53</v>
      </c>
      <c r="B54" s="22" t="s">
        <v>47</v>
      </c>
      <c r="C54" s="22" t="s">
        <v>48</v>
      </c>
      <c r="D54" s="3">
        <v>41519</v>
      </c>
      <c r="E54" s="22" t="s">
        <v>49</v>
      </c>
      <c r="F54" s="22" t="s">
        <v>19</v>
      </c>
      <c r="G54" s="26"/>
      <c r="H54" s="22"/>
      <c r="I54" s="22"/>
      <c r="J54" s="6"/>
      <c r="K54" s="2"/>
      <c r="L54" s="6">
        <v>260</v>
      </c>
      <c r="M54" s="2"/>
      <c r="N54" s="22"/>
      <c r="O54" s="22" t="s">
        <v>37</v>
      </c>
      <c r="P54" s="2"/>
    </row>
    <row r="55" spans="1:16" ht="15" customHeight="1">
      <c r="A55" s="2">
        <v>54</v>
      </c>
      <c r="B55" s="22" t="s">
        <v>47</v>
      </c>
      <c r="C55" s="22" t="s">
        <v>48</v>
      </c>
      <c r="D55" s="3">
        <v>41519</v>
      </c>
      <c r="E55" s="22" t="s">
        <v>26</v>
      </c>
      <c r="F55" s="22" t="s">
        <v>19</v>
      </c>
      <c r="G55" s="26"/>
      <c r="H55" s="22"/>
      <c r="I55" s="22"/>
      <c r="J55" s="6"/>
      <c r="K55" s="2"/>
      <c r="L55" s="6">
        <v>135</v>
      </c>
      <c r="M55" s="2"/>
      <c r="N55" s="22"/>
      <c r="O55" s="22" t="s">
        <v>37</v>
      </c>
      <c r="P55" s="2"/>
    </row>
    <row r="56" spans="1:16" ht="15" customHeight="1">
      <c r="A56" s="2">
        <v>55</v>
      </c>
      <c r="B56" s="22" t="s">
        <v>47</v>
      </c>
      <c r="C56" s="22" t="s">
        <v>48</v>
      </c>
      <c r="D56" s="3">
        <v>41519</v>
      </c>
      <c r="E56" s="22" t="s">
        <v>50</v>
      </c>
      <c r="F56" s="22" t="s">
        <v>19</v>
      </c>
      <c r="G56" s="26"/>
      <c r="H56" s="22"/>
      <c r="I56" s="22"/>
      <c r="J56" s="6"/>
      <c r="K56" s="2"/>
      <c r="L56" s="6">
        <v>300</v>
      </c>
      <c r="M56" s="2"/>
      <c r="N56" s="22"/>
      <c r="O56" s="22" t="s">
        <v>37</v>
      </c>
      <c r="P56" s="2"/>
    </row>
    <row r="57" spans="1:16" ht="15" customHeight="1">
      <c r="A57" s="2">
        <v>56</v>
      </c>
      <c r="B57" s="22" t="s">
        <v>16</v>
      </c>
      <c r="C57" s="22" t="s">
        <v>17</v>
      </c>
      <c r="D57" s="3">
        <v>41519</v>
      </c>
      <c r="E57" s="27" t="s">
        <v>29</v>
      </c>
      <c r="F57" s="22" t="s">
        <v>19</v>
      </c>
      <c r="G57" s="26" t="s">
        <v>20</v>
      </c>
      <c r="H57" s="22"/>
      <c r="I57" s="22"/>
      <c r="J57" s="6"/>
      <c r="K57" s="2"/>
      <c r="L57" s="6">
        <v>205</v>
      </c>
      <c r="M57" s="2"/>
      <c r="N57" s="22" t="s">
        <v>30</v>
      </c>
      <c r="O57" s="22" t="s">
        <v>51</v>
      </c>
      <c r="P57" s="2"/>
    </row>
    <row r="58" spans="1:16" ht="15" customHeight="1">
      <c r="A58" s="2">
        <v>57</v>
      </c>
      <c r="B58" s="22" t="s">
        <v>16</v>
      </c>
      <c r="C58" s="22" t="s">
        <v>17</v>
      </c>
      <c r="D58" s="3">
        <v>41519</v>
      </c>
      <c r="E58" s="22" t="s">
        <v>26</v>
      </c>
      <c r="F58" s="22" t="s">
        <v>19</v>
      </c>
      <c r="G58" s="26"/>
      <c r="H58" s="22"/>
      <c r="I58" s="22"/>
      <c r="J58" s="6"/>
      <c r="K58" s="2"/>
      <c r="L58" s="6">
        <v>90</v>
      </c>
      <c r="M58" s="2"/>
      <c r="N58" s="22"/>
      <c r="O58" s="22"/>
      <c r="P58" s="2"/>
    </row>
    <row r="59" spans="1:16" ht="15" customHeight="1">
      <c r="A59" s="2">
        <v>58</v>
      </c>
      <c r="B59" s="22" t="s">
        <v>38</v>
      </c>
      <c r="C59" s="22" t="s">
        <v>39</v>
      </c>
      <c r="D59" s="3">
        <v>41548</v>
      </c>
      <c r="E59" s="22" t="s">
        <v>23</v>
      </c>
      <c r="F59" s="22" t="s">
        <v>19</v>
      </c>
      <c r="G59" s="26"/>
      <c r="H59" s="22"/>
      <c r="I59" s="22"/>
      <c r="J59" s="6"/>
      <c r="K59" s="2"/>
      <c r="L59" s="6">
        <v>185</v>
      </c>
      <c r="M59" s="2"/>
      <c r="N59" s="22"/>
      <c r="O59" s="22" t="s">
        <v>40</v>
      </c>
      <c r="P59" s="2"/>
    </row>
    <row r="60" spans="1:16" ht="15" customHeight="1">
      <c r="A60" s="2">
        <v>59</v>
      </c>
      <c r="B60" s="22" t="s">
        <v>41</v>
      </c>
      <c r="C60" s="22" t="s">
        <v>42</v>
      </c>
      <c r="D60" s="3">
        <v>41548</v>
      </c>
      <c r="E60" s="27" t="s">
        <v>29</v>
      </c>
      <c r="F60" s="22" t="s">
        <v>19</v>
      </c>
      <c r="G60" s="26" t="s">
        <v>20</v>
      </c>
      <c r="H60" s="22"/>
      <c r="I60" s="22"/>
      <c r="J60" s="6"/>
      <c r="K60" s="2"/>
      <c r="L60" s="6">
        <v>130</v>
      </c>
      <c r="M60" s="2"/>
      <c r="N60" s="22" t="s">
        <v>52</v>
      </c>
      <c r="O60" s="22" t="s">
        <v>40</v>
      </c>
      <c r="P60" s="2"/>
    </row>
    <row r="61" spans="1:16" ht="15" customHeight="1">
      <c r="A61" s="2">
        <v>60</v>
      </c>
      <c r="B61" s="22" t="s">
        <v>41</v>
      </c>
      <c r="C61" s="22" t="s">
        <v>42</v>
      </c>
      <c r="D61" s="3">
        <v>41548</v>
      </c>
      <c r="E61" s="22" t="s">
        <v>26</v>
      </c>
      <c r="F61" s="22" t="s">
        <v>19</v>
      </c>
      <c r="G61" s="26"/>
      <c r="H61" s="22"/>
      <c r="I61" s="22"/>
      <c r="J61" s="6"/>
      <c r="K61" s="2"/>
      <c r="L61" s="6">
        <v>75</v>
      </c>
      <c r="M61" s="2"/>
      <c r="N61" s="22"/>
      <c r="O61" s="22" t="s">
        <v>40</v>
      </c>
      <c r="P61" s="2"/>
    </row>
    <row r="62" spans="1:16" ht="15" customHeight="1">
      <c r="A62" s="2">
        <v>61</v>
      </c>
      <c r="B62" s="22" t="s">
        <v>16</v>
      </c>
      <c r="C62" s="22" t="s">
        <v>17</v>
      </c>
      <c r="D62" s="3">
        <v>41603</v>
      </c>
      <c r="E62" s="27" t="s">
        <v>29</v>
      </c>
      <c r="F62" s="22" t="s">
        <v>19</v>
      </c>
      <c r="G62" s="26" t="s">
        <v>20</v>
      </c>
      <c r="H62" s="22"/>
      <c r="I62" s="22"/>
      <c r="J62" s="6"/>
      <c r="K62" s="2">
        <v>5</v>
      </c>
      <c r="L62" s="6">
        <v>162.7906976744186</v>
      </c>
      <c r="M62" s="2"/>
      <c r="N62" s="22" t="s">
        <v>30</v>
      </c>
      <c r="O62" s="22"/>
      <c r="P62" s="2"/>
    </row>
    <row r="63" spans="1:16" ht="15" customHeight="1">
      <c r="A63" s="2">
        <v>62</v>
      </c>
      <c r="B63" s="22" t="s">
        <v>31</v>
      </c>
      <c r="C63" s="22" t="s">
        <v>32</v>
      </c>
      <c r="D63" s="3">
        <v>41603</v>
      </c>
      <c r="E63" s="27" t="s">
        <v>29</v>
      </c>
      <c r="F63" s="22" t="s">
        <v>19</v>
      </c>
      <c r="G63" s="26" t="s">
        <v>20</v>
      </c>
      <c r="H63" s="22"/>
      <c r="I63" s="22"/>
      <c r="J63" s="6"/>
      <c r="K63" s="2">
        <v>5</v>
      </c>
      <c r="L63" s="6">
        <v>151.16279069767441</v>
      </c>
      <c r="M63" s="2"/>
      <c r="N63" s="22" t="s">
        <v>30</v>
      </c>
      <c r="O63" s="22"/>
      <c r="P63" s="2"/>
    </row>
    <row r="64" spans="1:16" ht="15" customHeight="1">
      <c r="A64" s="2">
        <v>63</v>
      </c>
      <c r="B64" s="22" t="s">
        <v>33</v>
      </c>
      <c r="C64" s="22" t="s">
        <v>34</v>
      </c>
      <c r="D64" s="3">
        <v>41603</v>
      </c>
      <c r="E64" s="27" t="s">
        <v>29</v>
      </c>
      <c r="F64" s="22" t="s">
        <v>19</v>
      </c>
      <c r="G64" s="26" t="s">
        <v>20</v>
      </c>
      <c r="H64" s="22"/>
      <c r="I64" s="22"/>
      <c r="J64" s="6"/>
      <c r="K64" s="2">
        <v>5</v>
      </c>
      <c r="L64" s="6">
        <v>164.83516483516482</v>
      </c>
      <c r="M64" s="2"/>
      <c r="N64" s="22" t="s">
        <v>30</v>
      </c>
      <c r="O64" s="22"/>
      <c r="P64" s="2"/>
    </row>
    <row r="65" spans="1:16" ht="15" customHeight="1">
      <c r="A65" s="2">
        <v>64</v>
      </c>
      <c r="B65" s="22" t="s">
        <v>16</v>
      </c>
      <c r="C65" s="22" t="s">
        <v>17</v>
      </c>
      <c r="D65" s="3">
        <v>41606</v>
      </c>
      <c r="E65" s="22" t="s">
        <v>46</v>
      </c>
      <c r="F65" s="22" t="s">
        <v>19</v>
      </c>
      <c r="G65" s="26"/>
      <c r="H65" s="22"/>
      <c r="I65" s="22"/>
      <c r="J65" s="6"/>
      <c r="K65" s="2">
        <v>2</v>
      </c>
      <c r="L65" s="6">
        <v>90.909090909090907</v>
      </c>
      <c r="M65" s="2"/>
      <c r="N65" s="22"/>
      <c r="O65" s="22"/>
      <c r="P65" s="2"/>
    </row>
    <row r="66" spans="1:16" ht="15" customHeight="1">
      <c r="A66" s="2">
        <v>65</v>
      </c>
      <c r="B66" s="22" t="s">
        <v>16</v>
      </c>
      <c r="C66" s="22" t="s">
        <v>17</v>
      </c>
      <c r="D66" s="3">
        <v>41606</v>
      </c>
      <c r="E66" s="27" t="s">
        <v>29</v>
      </c>
      <c r="F66" s="22" t="s">
        <v>19</v>
      </c>
      <c r="G66" s="26" t="s">
        <v>20</v>
      </c>
      <c r="H66" s="22"/>
      <c r="I66" s="22"/>
      <c r="J66" s="6"/>
      <c r="K66" s="2">
        <v>3</v>
      </c>
      <c r="L66" s="6">
        <v>186.8131868131868</v>
      </c>
      <c r="M66" s="2"/>
      <c r="N66" s="22" t="s">
        <v>30</v>
      </c>
      <c r="O66" s="22"/>
      <c r="P66" s="2"/>
    </row>
    <row r="67" spans="1:16" ht="15" customHeight="1">
      <c r="A67" s="2">
        <v>66</v>
      </c>
      <c r="B67" s="22" t="s">
        <v>16</v>
      </c>
      <c r="C67" s="22" t="s">
        <v>17</v>
      </c>
      <c r="D67" s="3">
        <v>41606</v>
      </c>
      <c r="E67" s="22" t="s">
        <v>50</v>
      </c>
      <c r="F67" s="22" t="s">
        <v>19</v>
      </c>
      <c r="G67" s="26"/>
      <c r="H67" s="22"/>
      <c r="I67" s="22"/>
      <c r="J67" s="6"/>
      <c r="K67" s="2">
        <v>3</v>
      </c>
      <c r="L67" s="6">
        <v>241.75824175824175</v>
      </c>
      <c r="M67" s="2"/>
      <c r="N67" s="22"/>
      <c r="O67" s="22"/>
      <c r="P67" s="2"/>
    </row>
    <row r="68" spans="1:16" ht="15" customHeight="1">
      <c r="A68" s="2">
        <v>67</v>
      </c>
      <c r="B68" s="22" t="s">
        <v>31</v>
      </c>
      <c r="C68" s="22" t="s">
        <v>32</v>
      </c>
      <c r="D68" s="3">
        <v>41606</v>
      </c>
      <c r="E68" s="27" t="s">
        <v>29</v>
      </c>
      <c r="F68" s="22" t="s">
        <v>19</v>
      </c>
      <c r="G68" s="26" t="s">
        <v>20</v>
      </c>
      <c r="H68" s="22"/>
      <c r="I68" s="22"/>
      <c r="J68" s="6"/>
      <c r="K68" s="2">
        <v>3</v>
      </c>
      <c r="L68" s="6">
        <v>153.84615384615384</v>
      </c>
      <c r="M68" s="2"/>
      <c r="N68" s="22" t="s">
        <v>30</v>
      </c>
      <c r="O68" s="22"/>
      <c r="P68" s="2"/>
    </row>
    <row r="69" spans="1:16" ht="15" customHeight="1">
      <c r="A69" s="2">
        <v>68</v>
      </c>
      <c r="B69" s="22" t="s">
        <v>31</v>
      </c>
      <c r="C69" s="22" t="s">
        <v>32</v>
      </c>
      <c r="D69" s="3">
        <v>41606</v>
      </c>
      <c r="E69" s="22" t="s">
        <v>50</v>
      </c>
      <c r="F69" s="22" t="s">
        <v>19</v>
      </c>
      <c r="G69" s="26"/>
      <c r="H69" s="22"/>
      <c r="I69" s="22"/>
      <c r="J69" s="6"/>
      <c r="K69" s="2">
        <v>3</v>
      </c>
      <c r="L69" s="6">
        <v>241.75824175824175</v>
      </c>
      <c r="M69" s="2"/>
      <c r="N69" s="22"/>
      <c r="O69" s="22"/>
      <c r="P69" s="2"/>
    </row>
    <row r="70" spans="1:16" ht="15" customHeight="1">
      <c r="A70" s="2">
        <v>69</v>
      </c>
      <c r="B70" s="22" t="s">
        <v>33</v>
      </c>
      <c r="C70" s="22" t="s">
        <v>34</v>
      </c>
      <c r="D70" s="3">
        <v>41606</v>
      </c>
      <c r="E70" s="27" t="s">
        <v>29</v>
      </c>
      <c r="F70" s="22" t="s">
        <v>19</v>
      </c>
      <c r="G70" s="26" t="s">
        <v>20</v>
      </c>
      <c r="H70" s="22"/>
      <c r="I70" s="22"/>
      <c r="J70" s="6"/>
      <c r="K70" s="2">
        <v>3</v>
      </c>
      <c r="L70" s="6">
        <v>164.83516483516482</v>
      </c>
      <c r="M70" s="2"/>
      <c r="N70" s="22" t="s">
        <v>30</v>
      </c>
      <c r="O70" s="22"/>
      <c r="P70" s="2"/>
    </row>
    <row r="71" spans="1:16" ht="15" customHeight="1">
      <c r="A71" s="2">
        <v>70</v>
      </c>
      <c r="B71" s="22" t="s">
        <v>33</v>
      </c>
      <c r="C71" s="22" t="s">
        <v>34</v>
      </c>
      <c r="D71" s="3">
        <v>41606</v>
      </c>
      <c r="E71" s="22" t="s">
        <v>50</v>
      </c>
      <c r="F71" s="22" t="s">
        <v>19</v>
      </c>
      <c r="G71" s="26"/>
      <c r="H71" s="22"/>
      <c r="I71" s="22"/>
      <c r="J71" s="6"/>
      <c r="K71" s="2">
        <v>3</v>
      </c>
      <c r="L71" s="6">
        <v>241.75824175824175</v>
      </c>
      <c r="M71" s="2"/>
      <c r="N71" s="22"/>
      <c r="O71" s="22"/>
      <c r="P71" s="2"/>
    </row>
    <row r="72" spans="1:16" ht="15" customHeight="1">
      <c r="A72" s="2">
        <v>71</v>
      </c>
      <c r="B72" s="22" t="s">
        <v>31</v>
      </c>
      <c r="C72" s="22" t="s">
        <v>32</v>
      </c>
      <c r="D72" s="3">
        <v>41625</v>
      </c>
      <c r="E72" s="22" t="s">
        <v>46</v>
      </c>
      <c r="F72" s="22" t="s">
        <v>19</v>
      </c>
      <c r="G72" s="26"/>
      <c r="H72" s="22"/>
      <c r="I72" s="22"/>
      <c r="J72" s="6"/>
      <c r="K72" s="2">
        <v>5</v>
      </c>
      <c r="L72" s="6">
        <v>93.023255813953483</v>
      </c>
      <c r="M72" s="2"/>
      <c r="N72" s="22"/>
      <c r="O72" s="22"/>
      <c r="P72" s="2"/>
    </row>
    <row r="73" spans="1:16" ht="15" customHeight="1">
      <c r="A73" s="2">
        <v>72</v>
      </c>
      <c r="B73" s="22" t="s">
        <v>33</v>
      </c>
      <c r="C73" s="22" t="s">
        <v>34</v>
      </c>
      <c r="D73" s="3">
        <v>41625</v>
      </c>
      <c r="E73" s="22" t="s">
        <v>46</v>
      </c>
      <c r="F73" s="22" t="s">
        <v>19</v>
      </c>
      <c r="G73" s="26"/>
      <c r="H73" s="22"/>
      <c r="I73" s="22"/>
      <c r="J73" s="6"/>
      <c r="K73" s="2">
        <v>5</v>
      </c>
      <c r="L73" s="6">
        <v>93.023255813953483</v>
      </c>
      <c r="M73" s="2"/>
      <c r="N73" s="22"/>
      <c r="O73" s="22"/>
      <c r="P73" s="2"/>
    </row>
    <row r="74" spans="1:16" ht="15" customHeight="1">
      <c r="A74" s="2">
        <v>73</v>
      </c>
      <c r="B74" s="22" t="s">
        <v>31</v>
      </c>
      <c r="C74" s="22" t="s">
        <v>32</v>
      </c>
      <c r="D74" s="3">
        <v>41627</v>
      </c>
      <c r="E74" s="27" t="s">
        <v>29</v>
      </c>
      <c r="F74" s="22" t="s">
        <v>19</v>
      </c>
      <c r="G74" s="26" t="s">
        <v>20</v>
      </c>
      <c r="H74" s="22"/>
      <c r="I74" s="22"/>
      <c r="J74" s="6"/>
      <c r="K74" s="2">
        <v>5</v>
      </c>
      <c r="L74" s="6">
        <v>139.53488372093022</v>
      </c>
      <c r="M74" s="2"/>
      <c r="N74" s="22" t="s">
        <v>30</v>
      </c>
      <c r="O74" s="22"/>
      <c r="P74" s="2"/>
    </row>
    <row r="75" spans="1:16" ht="15" customHeight="1">
      <c r="A75" s="2">
        <v>74</v>
      </c>
      <c r="B75" s="22" t="s">
        <v>33</v>
      </c>
      <c r="C75" s="22" t="s">
        <v>34</v>
      </c>
      <c r="D75" s="3">
        <v>41627</v>
      </c>
      <c r="E75" s="27" t="s">
        <v>29</v>
      </c>
      <c r="F75" s="22" t="s">
        <v>19</v>
      </c>
      <c r="G75" s="26" t="s">
        <v>20</v>
      </c>
      <c r="H75" s="22"/>
      <c r="I75" s="22"/>
      <c r="J75" s="6"/>
      <c r="K75" s="2">
        <v>5</v>
      </c>
      <c r="L75" s="6">
        <v>162.7906976744186</v>
      </c>
      <c r="M75" s="2"/>
      <c r="N75" s="22" t="s">
        <v>30</v>
      </c>
      <c r="O75" s="22"/>
      <c r="P75" s="2"/>
    </row>
    <row r="76" spans="1:16" ht="15" customHeight="1">
      <c r="A76" s="2">
        <v>75</v>
      </c>
      <c r="B76" s="22" t="s">
        <v>31</v>
      </c>
      <c r="C76" s="22" t="s">
        <v>32</v>
      </c>
      <c r="D76" s="3">
        <v>41629</v>
      </c>
      <c r="E76" s="22" t="s">
        <v>53</v>
      </c>
      <c r="F76" s="22" t="s">
        <v>19</v>
      </c>
      <c r="G76" s="26"/>
      <c r="H76" s="22"/>
      <c r="I76" s="22"/>
      <c r="J76" s="6"/>
      <c r="K76" s="2">
        <v>5</v>
      </c>
      <c r="L76" s="6">
        <v>127.90697674418605</v>
      </c>
      <c r="M76" s="2"/>
      <c r="N76" s="22"/>
      <c r="O76" s="22"/>
      <c r="P76" s="2"/>
    </row>
    <row r="77" spans="1:16" ht="15" customHeight="1">
      <c r="A77" s="2">
        <v>76</v>
      </c>
      <c r="B77" s="22" t="s">
        <v>31</v>
      </c>
      <c r="C77" s="22" t="s">
        <v>32</v>
      </c>
      <c r="D77" s="3">
        <v>41629</v>
      </c>
      <c r="E77" s="22" t="s">
        <v>49</v>
      </c>
      <c r="F77" s="22" t="s">
        <v>19</v>
      </c>
      <c r="G77" s="26"/>
      <c r="H77" s="22"/>
      <c r="I77" s="22"/>
      <c r="J77" s="6"/>
      <c r="K77" s="2">
        <v>5</v>
      </c>
      <c r="L77" s="6">
        <v>139.53488372093022</v>
      </c>
      <c r="M77" s="2"/>
      <c r="N77" s="22" t="s">
        <v>44</v>
      </c>
      <c r="O77" s="22"/>
      <c r="P77" s="2"/>
    </row>
    <row r="78" spans="1:16" ht="15" customHeight="1">
      <c r="A78" s="2">
        <v>77</v>
      </c>
      <c r="B78" s="22" t="s">
        <v>33</v>
      </c>
      <c r="C78" s="22" t="s">
        <v>34</v>
      </c>
      <c r="D78" s="3">
        <v>41629</v>
      </c>
      <c r="E78" s="22" t="s">
        <v>53</v>
      </c>
      <c r="F78" s="22" t="s">
        <v>19</v>
      </c>
      <c r="G78" s="26"/>
      <c r="H78" s="22"/>
      <c r="I78" s="22"/>
      <c r="J78" s="6"/>
      <c r="K78" s="2">
        <v>5</v>
      </c>
      <c r="L78" s="6">
        <v>151.16279069767441</v>
      </c>
      <c r="M78" s="2"/>
      <c r="N78" s="22"/>
      <c r="O78" s="22"/>
      <c r="P78" s="2"/>
    </row>
    <row r="79" spans="1:16" ht="15" customHeight="1">
      <c r="A79" s="2">
        <v>78</v>
      </c>
      <c r="B79" s="22" t="s">
        <v>33</v>
      </c>
      <c r="C79" s="22" t="s">
        <v>34</v>
      </c>
      <c r="D79" s="3">
        <v>41629</v>
      </c>
      <c r="E79" s="22" t="s">
        <v>49</v>
      </c>
      <c r="F79" s="22" t="s">
        <v>19</v>
      </c>
      <c r="G79" s="26"/>
      <c r="H79" s="22"/>
      <c r="I79" s="22"/>
      <c r="J79" s="6"/>
      <c r="K79" s="2">
        <v>5</v>
      </c>
      <c r="L79" s="6">
        <v>151.16279069767441</v>
      </c>
      <c r="M79" s="2"/>
      <c r="N79" s="22" t="s">
        <v>44</v>
      </c>
      <c r="O79" s="22"/>
      <c r="P79" s="2"/>
    </row>
    <row r="80" spans="1:16" ht="15" customHeight="1">
      <c r="A80" s="2">
        <v>79</v>
      </c>
      <c r="B80" s="22" t="s">
        <v>31</v>
      </c>
      <c r="C80" s="22" t="s">
        <v>32</v>
      </c>
      <c r="D80" s="3">
        <v>41632</v>
      </c>
      <c r="E80" s="27" t="s">
        <v>29</v>
      </c>
      <c r="F80" s="22" t="s">
        <v>19</v>
      </c>
      <c r="G80" s="26" t="s">
        <v>20</v>
      </c>
      <c r="H80" s="22"/>
      <c r="I80" s="22"/>
      <c r="J80" s="6"/>
      <c r="K80" s="2">
        <v>5</v>
      </c>
      <c r="L80" s="6">
        <v>139.53488372093022</v>
      </c>
      <c r="M80" s="2"/>
      <c r="N80" s="22" t="s">
        <v>30</v>
      </c>
      <c r="O80" s="22"/>
      <c r="P80" s="2"/>
    </row>
    <row r="81" spans="1:16" ht="15" customHeight="1">
      <c r="A81" s="2">
        <v>80</v>
      </c>
      <c r="B81" s="22" t="s">
        <v>33</v>
      </c>
      <c r="C81" s="22" t="s">
        <v>34</v>
      </c>
      <c r="D81" s="3">
        <v>41632</v>
      </c>
      <c r="E81" s="27" t="s">
        <v>29</v>
      </c>
      <c r="F81" s="22" t="s">
        <v>19</v>
      </c>
      <c r="G81" s="26" t="s">
        <v>20</v>
      </c>
      <c r="H81" s="22"/>
      <c r="I81" s="22"/>
      <c r="J81" s="6"/>
      <c r="K81" s="2">
        <v>5</v>
      </c>
      <c r="L81" s="6">
        <v>162.7906976744186</v>
      </c>
      <c r="M81" s="2"/>
      <c r="N81" s="22" t="s">
        <v>30</v>
      </c>
      <c r="O81" s="22"/>
      <c r="P81" s="2"/>
    </row>
    <row r="82" spans="1:16" ht="15" customHeight="1">
      <c r="A82" s="2">
        <v>81</v>
      </c>
      <c r="B82" s="22" t="s">
        <v>33</v>
      </c>
      <c r="C82" s="22" t="s">
        <v>34</v>
      </c>
      <c r="D82" s="3">
        <v>41632</v>
      </c>
      <c r="E82" s="22" t="s">
        <v>53</v>
      </c>
      <c r="F82" s="22" t="s">
        <v>19</v>
      </c>
      <c r="G82" s="26"/>
      <c r="H82" s="22"/>
      <c r="I82" s="22"/>
      <c r="J82" s="6"/>
      <c r="K82" s="2">
        <v>5</v>
      </c>
      <c r="L82" s="6">
        <v>151.16279069767441</v>
      </c>
      <c r="M82" s="2"/>
      <c r="N82" s="22"/>
      <c r="O82" s="22"/>
      <c r="P82" s="2"/>
    </row>
    <row r="83" spans="1:16" ht="15" customHeight="1">
      <c r="A83" s="2">
        <v>82</v>
      </c>
      <c r="B83" s="22" t="s">
        <v>33</v>
      </c>
      <c r="C83" s="22" t="s">
        <v>34</v>
      </c>
      <c r="D83" s="3">
        <v>41632</v>
      </c>
      <c r="E83" s="22" t="s">
        <v>49</v>
      </c>
      <c r="F83" s="22" t="s">
        <v>19</v>
      </c>
      <c r="G83" s="26"/>
      <c r="H83" s="22"/>
      <c r="I83" s="22"/>
      <c r="J83" s="6"/>
      <c r="K83" s="2">
        <v>5</v>
      </c>
      <c r="L83" s="6">
        <v>151.16279069767441</v>
      </c>
      <c r="M83" s="2"/>
      <c r="N83" s="22" t="s">
        <v>44</v>
      </c>
      <c r="O83" s="22"/>
      <c r="P83" s="2"/>
    </row>
    <row r="84" spans="1:16" ht="15" customHeight="1">
      <c r="A84" s="2">
        <v>83</v>
      </c>
      <c r="B84" s="22" t="s">
        <v>31</v>
      </c>
      <c r="C84" s="22" t="s">
        <v>32</v>
      </c>
      <c r="D84" s="3">
        <v>41636</v>
      </c>
      <c r="E84" s="22" t="s">
        <v>53</v>
      </c>
      <c r="F84" s="22" t="s">
        <v>19</v>
      </c>
      <c r="G84" s="26"/>
      <c r="H84" s="22"/>
      <c r="I84" s="22"/>
      <c r="J84" s="6"/>
      <c r="K84" s="2">
        <v>5</v>
      </c>
      <c r="L84" s="6">
        <v>127.90697674418605</v>
      </c>
      <c r="M84" s="2"/>
      <c r="N84" s="22"/>
      <c r="O84" s="22"/>
      <c r="P84" s="2"/>
    </row>
    <row r="85" spans="1:16" ht="15" customHeight="1">
      <c r="A85" s="2">
        <v>84</v>
      </c>
      <c r="B85" s="22" t="s">
        <v>31</v>
      </c>
      <c r="C85" s="22" t="s">
        <v>32</v>
      </c>
      <c r="D85" s="3">
        <v>41636</v>
      </c>
      <c r="E85" s="22" t="s">
        <v>49</v>
      </c>
      <c r="F85" s="22" t="s">
        <v>19</v>
      </c>
      <c r="G85" s="26"/>
      <c r="H85" s="22"/>
      <c r="I85" s="22"/>
      <c r="J85" s="6"/>
      <c r="K85" s="2">
        <v>5</v>
      </c>
      <c r="L85" s="6">
        <v>139.53488372093022</v>
      </c>
      <c r="M85" s="2"/>
      <c r="N85" s="22" t="s">
        <v>44</v>
      </c>
      <c r="O85" s="22"/>
      <c r="P85" s="2"/>
    </row>
    <row r="86" spans="1:16" ht="15" customHeight="1">
      <c r="A86" s="2">
        <v>85</v>
      </c>
      <c r="B86" s="22" t="s">
        <v>16</v>
      </c>
      <c r="C86" s="22" t="s">
        <v>17</v>
      </c>
      <c r="D86" s="3">
        <v>41646</v>
      </c>
      <c r="E86" s="27" t="s">
        <v>29</v>
      </c>
      <c r="F86" s="22" t="s">
        <v>19</v>
      </c>
      <c r="G86" s="26" t="s">
        <v>20</v>
      </c>
      <c r="H86" s="22"/>
      <c r="I86" s="22"/>
      <c r="J86" s="6"/>
      <c r="K86" s="2">
        <v>4</v>
      </c>
      <c r="L86" s="6">
        <v>180.79096045197741</v>
      </c>
      <c r="M86" s="2"/>
      <c r="N86" s="22" t="s">
        <v>30</v>
      </c>
      <c r="O86" s="22"/>
      <c r="P86" s="2"/>
    </row>
    <row r="87" spans="1:16" ht="15" customHeight="1">
      <c r="A87" s="2">
        <v>86</v>
      </c>
      <c r="B87" s="22" t="s">
        <v>31</v>
      </c>
      <c r="C87" s="22" t="s">
        <v>32</v>
      </c>
      <c r="D87" s="3">
        <v>41646</v>
      </c>
      <c r="E87" s="27" t="s">
        <v>29</v>
      </c>
      <c r="F87" s="22" t="s">
        <v>19</v>
      </c>
      <c r="G87" s="26" t="s">
        <v>20</v>
      </c>
      <c r="H87" s="22"/>
      <c r="I87" s="22"/>
      <c r="J87" s="6"/>
      <c r="K87" s="2">
        <v>3</v>
      </c>
      <c r="L87" s="6">
        <v>164.83516483516482</v>
      </c>
      <c r="M87" s="2"/>
      <c r="N87" s="22" t="s">
        <v>30</v>
      </c>
      <c r="O87" s="22"/>
      <c r="P87" s="2"/>
    </row>
    <row r="88" spans="1:16" ht="15" customHeight="1">
      <c r="A88" s="2">
        <v>87</v>
      </c>
      <c r="B88" s="22" t="s">
        <v>33</v>
      </c>
      <c r="C88" s="22" t="s">
        <v>34</v>
      </c>
      <c r="D88" s="3">
        <v>41646</v>
      </c>
      <c r="E88" s="27" t="s">
        <v>29</v>
      </c>
      <c r="F88" s="22" t="s">
        <v>19</v>
      </c>
      <c r="G88" s="26" t="s">
        <v>20</v>
      </c>
      <c r="H88" s="22"/>
      <c r="I88" s="22"/>
      <c r="J88" s="6"/>
      <c r="K88" s="2">
        <v>3</v>
      </c>
      <c r="L88" s="6">
        <v>197.80219780219778</v>
      </c>
      <c r="M88" s="2"/>
      <c r="N88" s="22" t="s">
        <v>30</v>
      </c>
      <c r="O88" s="22"/>
      <c r="P88" s="2"/>
    </row>
    <row r="89" spans="1:16" ht="15" customHeight="1">
      <c r="A89" s="2">
        <v>88</v>
      </c>
      <c r="B89" s="22" t="s">
        <v>16</v>
      </c>
      <c r="C89" s="22" t="s">
        <v>17</v>
      </c>
      <c r="D89" s="3">
        <v>41648</v>
      </c>
      <c r="E89" s="22" t="s">
        <v>26</v>
      </c>
      <c r="F89" s="22" t="s">
        <v>19</v>
      </c>
      <c r="G89" s="26"/>
      <c r="H89" s="22"/>
      <c r="I89" s="22"/>
      <c r="J89" s="6"/>
      <c r="K89" s="2">
        <v>3</v>
      </c>
      <c r="L89" s="6">
        <v>98.901098901098891</v>
      </c>
      <c r="M89" s="2"/>
      <c r="N89" s="22"/>
      <c r="O89" s="22"/>
      <c r="P89" s="2"/>
    </row>
    <row r="90" spans="1:16" ht="15" customHeight="1">
      <c r="A90" s="2">
        <v>89</v>
      </c>
      <c r="B90" s="22" t="s">
        <v>16</v>
      </c>
      <c r="C90" s="22" t="s">
        <v>17</v>
      </c>
      <c r="D90" s="3">
        <v>41648</v>
      </c>
      <c r="E90" s="22" t="s">
        <v>23</v>
      </c>
      <c r="F90" s="22" t="s">
        <v>19</v>
      </c>
      <c r="G90" s="26"/>
      <c r="H90" s="22"/>
      <c r="I90" s="22"/>
      <c r="J90" s="6"/>
      <c r="K90" s="2">
        <v>5</v>
      </c>
      <c r="L90" s="6">
        <v>232.55813953488374</v>
      </c>
      <c r="M90" s="2"/>
      <c r="N90" s="22"/>
      <c r="O90" s="22"/>
      <c r="P90" s="2"/>
    </row>
    <row r="91" spans="1:16" ht="15" customHeight="1">
      <c r="A91" s="2">
        <v>90</v>
      </c>
      <c r="B91" s="22" t="s">
        <v>31</v>
      </c>
      <c r="C91" s="22" t="s">
        <v>32</v>
      </c>
      <c r="D91" s="3">
        <v>41648</v>
      </c>
      <c r="E91" s="22" t="s">
        <v>26</v>
      </c>
      <c r="F91" s="22" t="s">
        <v>19</v>
      </c>
      <c r="G91" s="26"/>
      <c r="H91" s="22"/>
      <c r="I91" s="22"/>
      <c r="J91" s="6"/>
      <c r="K91" s="2">
        <v>2</v>
      </c>
      <c r="L91" s="6">
        <v>106.951871657754</v>
      </c>
      <c r="M91" s="2"/>
      <c r="N91" s="22"/>
      <c r="O91" s="22"/>
      <c r="P91" s="2"/>
    </row>
    <row r="92" spans="1:16" ht="15" customHeight="1">
      <c r="A92" s="2">
        <v>91</v>
      </c>
      <c r="B92" s="22" t="s">
        <v>31</v>
      </c>
      <c r="C92" s="22" t="s">
        <v>32</v>
      </c>
      <c r="D92" s="3">
        <v>41648</v>
      </c>
      <c r="E92" s="22" t="s">
        <v>23</v>
      </c>
      <c r="F92" s="22" t="s">
        <v>19</v>
      </c>
      <c r="G92" s="26"/>
      <c r="H92" s="22"/>
      <c r="I92" s="22"/>
      <c r="J92" s="6"/>
      <c r="K92" s="2">
        <v>5</v>
      </c>
      <c r="L92" s="6">
        <v>186.04651162790697</v>
      </c>
      <c r="M92" s="2"/>
      <c r="N92" s="22"/>
      <c r="O92" s="22"/>
      <c r="P92" s="2"/>
    </row>
    <row r="93" spans="1:16" ht="15" customHeight="1">
      <c r="A93" s="2">
        <v>92</v>
      </c>
      <c r="B93" s="22" t="s">
        <v>33</v>
      </c>
      <c r="C93" s="22" t="s">
        <v>34</v>
      </c>
      <c r="D93" s="3">
        <v>41648</v>
      </c>
      <c r="E93" s="22" t="s">
        <v>26</v>
      </c>
      <c r="F93" s="22" t="s">
        <v>19</v>
      </c>
      <c r="G93" s="26"/>
      <c r="H93" s="22"/>
      <c r="I93" s="22"/>
      <c r="J93" s="6"/>
      <c r="K93" s="2">
        <v>3</v>
      </c>
      <c r="L93" s="6">
        <v>109.89010989010988</v>
      </c>
      <c r="M93" s="2"/>
      <c r="N93" s="22"/>
      <c r="O93" s="22"/>
      <c r="P93" s="2"/>
    </row>
    <row r="94" spans="1:16" ht="15" customHeight="1">
      <c r="A94" s="2">
        <v>93</v>
      </c>
      <c r="B94" s="22" t="s">
        <v>33</v>
      </c>
      <c r="C94" s="22" t="s">
        <v>34</v>
      </c>
      <c r="D94" s="3">
        <v>41648</v>
      </c>
      <c r="E94" s="22" t="s">
        <v>23</v>
      </c>
      <c r="F94" s="22" t="s">
        <v>19</v>
      </c>
      <c r="G94" s="26"/>
      <c r="H94" s="22"/>
      <c r="I94" s="22"/>
      <c r="J94" s="6"/>
      <c r="K94" s="2">
        <v>5</v>
      </c>
      <c r="L94" s="6">
        <v>186.04651162790697</v>
      </c>
      <c r="M94" s="2"/>
      <c r="N94" s="22"/>
      <c r="O94" s="22"/>
      <c r="P94" s="2"/>
    </row>
    <row r="95" spans="1:16" ht="15" customHeight="1">
      <c r="A95" s="2">
        <v>94</v>
      </c>
      <c r="B95" s="22" t="s">
        <v>16</v>
      </c>
      <c r="C95" s="22" t="s">
        <v>17</v>
      </c>
      <c r="D95" s="3">
        <v>41650</v>
      </c>
      <c r="E95" s="27" t="s">
        <v>29</v>
      </c>
      <c r="F95" s="22" t="s">
        <v>19</v>
      </c>
      <c r="G95" s="26" t="s">
        <v>54</v>
      </c>
      <c r="H95" s="22"/>
      <c r="I95" s="22"/>
      <c r="J95" s="6"/>
      <c r="K95" s="2"/>
      <c r="L95" s="6">
        <v>150</v>
      </c>
      <c r="M95" s="2"/>
      <c r="N95" s="22" t="s">
        <v>30</v>
      </c>
      <c r="O95" s="22" t="s">
        <v>55</v>
      </c>
      <c r="P95" s="2"/>
    </row>
    <row r="96" spans="1:16" ht="15" customHeight="1">
      <c r="A96" s="2">
        <v>95</v>
      </c>
      <c r="B96" s="22" t="s">
        <v>31</v>
      </c>
      <c r="C96" s="22" t="s">
        <v>32</v>
      </c>
      <c r="D96" s="3">
        <v>41650</v>
      </c>
      <c r="E96" s="27" t="s">
        <v>29</v>
      </c>
      <c r="F96" s="22" t="s">
        <v>19</v>
      </c>
      <c r="G96" s="26" t="s">
        <v>20</v>
      </c>
      <c r="H96" s="22"/>
      <c r="I96" s="22"/>
      <c r="J96" s="6"/>
      <c r="K96" s="2"/>
      <c r="L96" s="6">
        <v>130</v>
      </c>
      <c r="M96" s="2"/>
      <c r="N96" s="22" t="s">
        <v>30</v>
      </c>
      <c r="O96" s="22" t="s">
        <v>56</v>
      </c>
      <c r="P96" s="2"/>
    </row>
    <row r="97" spans="1:16" ht="15" customHeight="1">
      <c r="A97" s="2">
        <v>96</v>
      </c>
      <c r="B97" s="22" t="s">
        <v>33</v>
      </c>
      <c r="C97" s="22" t="s">
        <v>34</v>
      </c>
      <c r="D97" s="3">
        <v>41650</v>
      </c>
      <c r="E97" s="27" t="s">
        <v>29</v>
      </c>
      <c r="F97" s="22" t="s">
        <v>19</v>
      </c>
      <c r="G97" s="26" t="s">
        <v>20</v>
      </c>
      <c r="H97" s="22"/>
      <c r="I97" s="22"/>
      <c r="J97" s="6"/>
      <c r="K97" s="2"/>
      <c r="L97" s="6">
        <v>160</v>
      </c>
      <c r="M97" s="2"/>
      <c r="N97" s="22" t="s">
        <v>30</v>
      </c>
      <c r="O97" s="22" t="s">
        <v>56</v>
      </c>
      <c r="P97" s="2"/>
    </row>
    <row r="98" spans="1:16" ht="15" customHeight="1">
      <c r="A98" s="2">
        <v>97</v>
      </c>
      <c r="B98" s="22" t="s">
        <v>41</v>
      </c>
      <c r="C98" s="22" t="s">
        <v>42</v>
      </c>
      <c r="D98" s="3">
        <v>41652</v>
      </c>
      <c r="E98" s="27" t="s">
        <v>29</v>
      </c>
      <c r="F98" s="22" t="s">
        <v>19</v>
      </c>
      <c r="G98" s="26" t="s">
        <v>20</v>
      </c>
      <c r="H98" s="22"/>
      <c r="I98" s="22"/>
      <c r="J98" s="6"/>
      <c r="K98" s="2">
        <v>2</v>
      </c>
      <c r="L98" s="6">
        <v>139.03743315508021</v>
      </c>
      <c r="M98" s="2"/>
      <c r="N98" s="22" t="s">
        <v>52</v>
      </c>
      <c r="O98" s="22"/>
      <c r="P98" s="2"/>
    </row>
    <row r="99" spans="1:16" ht="15" customHeight="1">
      <c r="A99" s="2">
        <v>98</v>
      </c>
      <c r="B99" s="22" t="s">
        <v>16</v>
      </c>
      <c r="C99" s="22" t="s">
        <v>17</v>
      </c>
      <c r="D99" s="3">
        <v>41653</v>
      </c>
      <c r="E99" s="27" t="s">
        <v>29</v>
      </c>
      <c r="F99" s="22" t="s">
        <v>19</v>
      </c>
      <c r="G99" s="26" t="s">
        <v>20</v>
      </c>
      <c r="H99" s="22"/>
      <c r="I99" s="22"/>
      <c r="J99" s="6"/>
      <c r="K99" s="2">
        <v>3</v>
      </c>
      <c r="L99" s="6">
        <v>186.8131868131868</v>
      </c>
      <c r="M99" s="2"/>
      <c r="N99" s="22" t="s">
        <v>30</v>
      </c>
      <c r="O99" s="22"/>
      <c r="P99" s="2"/>
    </row>
    <row r="100" spans="1:16" ht="15" customHeight="1">
      <c r="A100" s="2">
        <v>99</v>
      </c>
      <c r="B100" s="22" t="s">
        <v>16</v>
      </c>
      <c r="C100" s="22" t="s">
        <v>17</v>
      </c>
      <c r="D100" s="3">
        <v>41655</v>
      </c>
      <c r="E100" s="22" t="s">
        <v>26</v>
      </c>
      <c r="F100" s="22" t="s">
        <v>19</v>
      </c>
      <c r="G100" s="26"/>
      <c r="H100" s="22"/>
      <c r="I100" s="22"/>
      <c r="J100" s="6"/>
      <c r="K100" s="2">
        <v>2</v>
      </c>
      <c r="L100" s="6">
        <v>96.256684491978604</v>
      </c>
      <c r="M100" s="2"/>
      <c r="N100" s="22"/>
      <c r="O100" s="22"/>
      <c r="P100" s="2"/>
    </row>
    <row r="101" spans="1:16" ht="15" customHeight="1">
      <c r="A101" s="2">
        <v>100</v>
      </c>
      <c r="B101" s="22" t="s">
        <v>16</v>
      </c>
      <c r="C101" s="22" t="s">
        <v>17</v>
      </c>
      <c r="D101" s="3">
        <v>41657</v>
      </c>
      <c r="E101" s="22" t="s">
        <v>23</v>
      </c>
      <c r="F101" s="22" t="s">
        <v>19</v>
      </c>
      <c r="G101" s="26"/>
      <c r="H101" s="22"/>
      <c r="I101" s="22"/>
      <c r="J101" s="6"/>
      <c r="K101" s="2">
        <v>5</v>
      </c>
      <c r="L101" s="6">
        <v>244.18604651162792</v>
      </c>
      <c r="M101" s="2"/>
      <c r="N101" s="22"/>
      <c r="O101" s="22"/>
      <c r="P101" s="2"/>
    </row>
    <row r="102" spans="1:16" ht="15" customHeight="1">
      <c r="A102" s="2">
        <v>101</v>
      </c>
      <c r="B102" s="22" t="s">
        <v>16</v>
      </c>
      <c r="C102" s="22" t="s">
        <v>17</v>
      </c>
      <c r="D102" s="3">
        <v>41657</v>
      </c>
      <c r="E102" s="27" t="s">
        <v>29</v>
      </c>
      <c r="F102" s="22" t="s">
        <v>19</v>
      </c>
      <c r="G102" s="26" t="s">
        <v>54</v>
      </c>
      <c r="H102" s="22"/>
      <c r="I102" s="22"/>
      <c r="J102" s="6"/>
      <c r="K102" s="2"/>
      <c r="L102" s="6">
        <v>165</v>
      </c>
      <c r="M102" s="2"/>
      <c r="N102" s="22" t="s">
        <v>30</v>
      </c>
      <c r="O102" s="22" t="s">
        <v>55</v>
      </c>
      <c r="P102" s="2"/>
    </row>
    <row r="103" spans="1:16" ht="15" customHeight="1">
      <c r="A103" s="2">
        <v>102</v>
      </c>
      <c r="B103" s="22" t="s">
        <v>38</v>
      </c>
      <c r="C103" s="22" t="s">
        <v>39</v>
      </c>
      <c r="D103" s="3">
        <v>41659</v>
      </c>
      <c r="E103" s="27" t="s">
        <v>29</v>
      </c>
      <c r="F103" s="22" t="s">
        <v>19</v>
      </c>
      <c r="G103" s="26" t="s">
        <v>20</v>
      </c>
      <c r="H103" s="22"/>
      <c r="I103" s="22"/>
      <c r="J103" s="6"/>
      <c r="K103" s="2">
        <v>2</v>
      </c>
      <c r="L103" s="6">
        <v>139.03743315508021</v>
      </c>
      <c r="M103" s="2"/>
      <c r="N103" s="22" t="s">
        <v>52</v>
      </c>
      <c r="O103" s="22" t="s">
        <v>57</v>
      </c>
      <c r="P103" s="2"/>
    </row>
    <row r="104" spans="1:16" ht="15" customHeight="1">
      <c r="A104" s="2">
        <v>103</v>
      </c>
      <c r="B104" s="22" t="s">
        <v>41</v>
      </c>
      <c r="C104" s="22" t="s">
        <v>42</v>
      </c>
      <c r="D104" s="3">
        <v>41659</v>
      </c>
      <c r="E104" s="27" t="s">
        <v>29</v>
      </c>
      <c r="F104" s="22" t="s">
        <v>19</v>
      </c>
      <c r="G104" s="26" t="s">
        <v>54</v>
      </c>
      <c r="H104" s="22"/>
      <c r="I104" s="22"/>
      <c r="J104" s="6"/>
      <c r="K104" s="2"/>
      <c r="L104" s="6">
        <v>130</v>
      </c>
      <c r="M104" s="2"/>
      <c r="N104" s="22" t="s">
        <v>52</v>
      </c>
      <c r="O104" s="22" t="s">
        <v>55</v>
      </c>
      <c r="P104" s="2"/>
    </row>
    <row r="105" spans="1:16" ht="15" customHeight="1">
      <c r="A105" s="2">
        <v>104</v>
      </c>
      <c r="B105" s="22" t="s">
        <v>16</v>
      </c>
      <c r="C105" s="22" t="s">
        <v>17</v>
      </c>
      <c r="D105" s="3">
        <v>41660</v>
      </c>
      <c r="E105" s="27" t="s">
        <v>29</v>
      </c>
      <c r="F105" s="22" t="s">
        <v>58</v>
      </c>
      <c r="G105" s="26" t="s">
        <v>20</v>
      </c>
      <c r="H105" s="22"/>
      <c r="I105" s="22"/>
      <c r="J105" s="6"/>
      <c r="K105" s="2"/>
      <c r="L105" s="6">
        <v>195</v>
      </c>
      <c r="M105" s="2"/>
      <c r="N105" s="22" t="s">
        <v>30</v>
      </c>
      <c r="O105" s="22"/>
      <c r="P105" s="2"/>
    </row>
    <row r="106" spans="1:16" ht="15" customHeight="1">
      <c r="A106" s="2">
        <v>105</v>
      </c>
      <c r="B106" s="22" t="s">
        <v>16</v>
      </c>
      <c r="C106" s="22" t="s">
        <v>17</v>
      </c>
      <c r="D106" s="3">
        <v>41662</v>
      </c>
      <c r="E106" s="22" t="s">
        <v>23</v>
      </c>
      <c r="F106" s="22" t="s">
        <v>58</v>
      </c>
      <c r="G106" s="26"/>
      <c r="H106" s="22"/>
      <c r="I106" s="22"/>
      <c r="J106" s="6"/>
      <c r="K106" s="2">
        <v>5</v>
      </c>
      <c r="L106" s="6">
        <v>255.81395348837211</v>
      </c>
      <c r="M106" s="2"/>
      <c r="N106" s="22"/>
      <c r="O106" s="22"/>
      <c r="P106" s="2"/>
    </row>
    <row r="107" spans="1:16" ht="15" customHeight="1">
      <c r="A107" s="2">
        <v>106</v>
      </c>
      <c r="B107" s="22" t="s">
        <v>16</v>
      </c>
      <c r="C107" s="22" t="s">
        <v>17</v>
      </c>
      <c r="D107" s="3">
        <v>41662</v>
      </c>
      <c r="E107" s="22" t="s">
        <v>26</v>
      </c>
      <c r="F107" s="22" t="s">
        <v>58</v>
      </c>
      <c r="G107" s="26"/>
      <c r="H107" s="22"/>
      <c r="I107" s="22"/>
      <c r="J107" s="6"/>
      <c r="K107" s="2"/>
      <c r="L107" s="6">
        <v>100</v>
      </c>
      <c r="M107" s="2"/>
      <c r="N107" s="22"/>
      <c r="O107" s="22"/>
      <c r="P107" s="2"/>
    </row>
    <row r="108" spans="1:16" ht="15" customHeight="1">
      <c r="A108" s="2">
        <v>107</v>
      </c>
      <c r="B108" s="22" t="s">
        <v>33</v>
      </c>
      <c r="C108" s="22" t="s">
        <v>34</v>
      </c>
      <c r="D108" s="3">
        <v>41662</v>
      </c>
      <c r="E108" s="27" t="s">
        <v>29</v>
      </c>
      <c r="F108" s="22" t="s">
        <v>19</v>
      </c>
      <c r="G108" s="26"/>
      <c r="H108" s="22"/>
      <c r="I108" s="22"/>
      <c r="J108" s="6">
        <v>210</v>
      </c>
      <c r="K108" s="2">
        <v>3</v>
      </c>
      <c r="L108" s="6">
        <v>231.78807947019868</v>
      </c>
      <c r="M108" s="2"/>
      <c r="N108" s="22" t="s">
        <v>59</v>
      </c>
      <c r="O108" s="22"/>
      <c r="P108" s="2"/>
    </row>
    <row r="109" spans="1:16" ht="15" customHeight="1">
      <c r="A109" s="2">
        <v>108</v>
      </c>
      <c r="B109" s="22" t="s">
        <v>33</v>
      </c>
      <c r="C109" s="22" t="s">
        <v>34</v>
      </c>
      <c r="D109" s="3">
        <v>41662</v>
      </c>
      <c r="E109" s="22" t="s">
        <v>46</v>
      </c>
      <c r="F109" s="22" t="s">
        <v>19</v>
      </c>
      <c r="G109" s="26"/>
      <c r="H109" s="22"/>
      <c r="I109" s="22"/>
      <c r="J109" s="6"/>
      <c r="K109" s="2">
        <v>3</v>
      </c>
      <c r="L109" s="6">
        <v>109.89010989010988</v>
      </c>
      <c r="M109" s="2"/>
      <c r="N109" s="22"/>
      <c r="O109" s="22"/>
      <c r="P109" s="2"/>
    </row>
    <row r="110" spans="1:16" ht="15" customHeight="1">
      <c r="A110" s="2">
        <v>109</v>
      </c>
      <c r="B110" s="22" t="s">
        <v>31</v>
      </c>
      <c r="C110" s="22" t="s">
        <v>32</v>
      </c>
      <c r="D110" s="3">
        <v>41664</v>
      </c>
      <c r="E110" s="22" t="s">
        <v>26</v>
      </c>
      <c r="F110" s="22" t="s">
        <v>19</v>
      </c>
      <c r="G110" s="26"/>
      <c r="H110" s="22"/>
      <c r="I110" s="22"/>
      <c r="J110" s="6"/>
      <c r="K110" s="2">
        <v>2</v>
      </c>
      <c r="L110" s="6">
        <v>106.951871657754</v>
      </c>
      <c r="M110" s="2"/>
      <c r="N110" s="22"/>
      <c r="O110" s="22" t="s">
        <v>60</v>
      </c>
      <c r="P110" s="2"/>
    </row>
    <row r="111" spans="1:16" ht="15" customHeight="1">
      <c r="A111" s="2">
        <v>110</v>
      </c>
      <c r="B111" s="22" t="s">
        <v>31</v>
      </c>
      <c r="C111" s="22" t="s">
        <v>32</v>
      </c>
      <c r="D111" s="3">
        <v>41664</v>
      </c>
      <c r="E111" s="27" t="s">
        <v>29</v>
      </c>
      <c r="F111" s="22" t="s">
        <v>19</v>
      </c>
      <c r="G111" s="26" t="s">
        <v>20</v>
      </c>
      <c r="H111" s="22"/>
      <c r="I111" s="22"/>
      <c r="J111" s="6"/>
      <c r="K111" s="2">
        <v>3</v>
      </c>
      <c r="L111" s="6">
        <v>153.84615384615384</v>
      </c>
      <c r="M111" s="2"/>
      <c r="N111" s="22" t="s">
        <v>30</v>
      </c>
      <c r="O111" s="22" t="s">
        <v>60</v>
      </c>
      <c r="P111" s="2"/>
    </row>
    <row r="112" spans="1:16" ht="15" customHeight="1">
      <c r="A112" s="2">
        <v>111</v>
      </c>
      <c r="B112" s="22" t="s">
        <v>38</v>
      </c>
      <c r="C112" s="22" t="s">
        <v>39</v>
      </c>
      <c r="D112" s="3">
        <v>41666</v>
      </c>
      <c r="E112" s="27" t="s">
        <v>29</v>
      </c>
      <c r="F112" s="22" t="s">
        <v>19</v>
      </c>
      <c r="G112" s="26" t="s">
        <v>20</v>
      </c>
      <c r="H112" s="22"/>
      <c r="I112" s="22"/>
      <c r="J112" s="6">
        <v>140</v>
      </c>
      <c r="K112" s="2">
        <v>1</v>
      </c>
      <c r="L112" s="6">
        <v>140</v>
      </c>
      <c r="M112" s="2"/>
      <c r="N112" s="22" t="s">
        <v>52</v>
      </c>
      <c r="O112" s="22" t="s">
        <v>57</v>
      </c>
      <c r="P112" s="2"/>
    </row>
    <row r="113" spans="1:16" ht="15" customHeight="1">
      <c r="A113" s="2">
        <v>112</v>
      </c>
      <c r="B113" s="22" t="s">
        <v>31</v>
      </c>
      <c r="C113" s="22" t="s">
        <v>32</v>
      </c>
      <c r="D113" s="3">
        <v>41667</v>
      </c>
      <c r="E113" s="27" t="s">
        <v>29</v>
      </c>
      <c r="F113" s="22" t="s">
        <v>58</v>
      </c>
      <c r="G113" s="26" t="s">
        <v>20</v>
      </c>
      <c r="H113" s="22"/>
      <c r="I113" s="22"/>
      <c r="J113" s="6"/>
      <c r="K113" s="2">
        <v>3</v>
      </c>
      <c r="L113" s="6">
        <v>153.84615384615384</v>
      </c>
      <c r="M113" s="2"/>
      <c r="N113" s="22" t="s">
        <v>30</v>
      </c>
      <c r="O113" s="22"/>
      <c r="P113" s="2"/>
    </row>
    <row r="114" spans="1:16" ht="15" customHeight="1">
      <c r="A114" s="2">
        <v>113</v>
      </c>
      <c r="B114" s="22" t="s">
        <v>31</v>
      </c>
      <c r="C114" s="22" t="s">
        <v>32</v>
      </c>
      <c r="D114" s="3">
        <v>41667</v>
      </c>
      <c r="E114" s="22" t="s">
        <v>26</v>
      </c>
      <c r="F114" s="22" t="s">
        <v>58</v>
      </c>
      <c r="G114" s="26"/>
      <c r="H114" s="22"/>
      <c r="I114" s="22"/>
      <c r="J114" s="6"/>
      <c r="K114" s="2"/>
      <c r="L114" s="6">
        <v>110</v>
      </c>
      <c r="M114" s="2"/>
      <c r="N114" s="22"/>
      <c r="O114" s="22"/>
      <c r="P114" s="2"/>
    </row>
    <row r="115" spans="1:16" ht="15" customHeight="1">
      <c r="A115" s="2">
        <v>114</v>
      </c>
      <c r="B115" s="22" t="s">
        <v>33</v>
      </c>
      <c r="C115" s="22" t="s">
        <v>34</v>
      </c>
      <c r="D115" s="3">
        <v>41667</v>
      </c>
      <c r="E115" s="22" t="s">
        <v>46</v>
      </c>
      <c r="F115" s="22" t="s">
        <v>19</v>
      </c>
      <c r="G115" s="26"/>
      <c r="H115" s="22"/>
      <c r="I115" s="22"/>
      <c r="J115" s="6"/>
      <c r="K115" s="2">
        <v>1</v>
      </c>
      <c r="L115" s="6">
        <v>100</v>
      </c>
      <c r="M115" s="2"/>
      <c r="N115" s="22"/>
      <c r="O115" s="22"/>
      <c r="P115" s="2"/>
    </row>
    <row r="116" spans="1:16" ht="15" customHeight="1">
      <c r="A116" s="2">
        <v>115</v>
      </c>
      <c r="B116" s="22" t="s">
        <v>33</v>
      </c>
      <c r="C116" s="22" t="s">
        <v>34</v>
      </c>
      <c r="D116" s="3">
        <v>41667</v>
      </c>
      <c r="E116" s="27" t="s">
        <v>29</v>
      </c>
      <c r="F116" s="22" t="s">
        <v>19</v>
      </c>
      <c r="G116" s="26"/>
      <c r="H116" s="22"/>
      <c r="I116" s="22"/>
      <c r="J116" s="6">
        <v>240</v>
      </c>
      <c r="K116" s="2">
        <v>3</v>
      </c>
      <c r="L116" s="6">
        <v>264.90066225165566</v>
      </c>
      <c r="M116" s="2"/>
      <c r="N116" s="22" t="s">
        <v>59</v>
      </c>
      <c r="O116" s="22"/>
      <c r="P116" s="2"/>
    </row>
    <row r="117" spans="1:16" ht="15" customHeight="1">
      <c r="A117" s="2">
        <v>116</v>
      </c>
      <c r="B117" s="22" t="s">
        <v>38</v>
      </c>
      <c r="C117" s="22" t="s">
        <v>39</v>
      </c>
      <c r="D117" s="3">
        <v>41699</v>
      </c>
      <c r="E117" s="27" t="s">
        <v>29</v>
      </c>
      <c r="F117" s="22" t="s">
        <v>19</v>
      </c>
      <c r="G117" s="26" t="s">
        <v>20</v>
      </c>
      <c r="H117" s="22"/>
      <c r="I117" s="22"/>
      <c r="J117" s="6">
        <v>150</v>
      </c>
      <c r="K117" s="2">
        <v>1</v>
      </c>
      <c r="L117" s="6">
        <v>150</v>
      </c>
      <c r="M117" s="2"/>
      <c r="N117" s="22" t="s">
        <v>52</v>
      </c>
      <c r="O117" s="22" t="s">
        <v>57</v>
      </c>
      <c r="P117" s="2"/>
    </row>
    <row r="118" spans="1:16" ht="15" customHeight="1">
      <c r="A118" s="2">
        <v>117</v>
      </c>
      <c r="B118" s="22" t="s">
        <v>16</v>
      </c>
      <c r="C118" s="22" t="s">
        <v>17</v>
      </c>
      <c r="D118" s="3">
        <v>41743</v>
      </c>
      <c r="E118" s="27" t="s">
        <v>29</v>
      </c>
      <c r="F118" s="22" t="s">
        <v>19</v>
      </c>
      <c r="G118" s="26" t="s">
        <v>20</v>
      </c>
      <c r="H118" s="22"/>
      <c r="I118" s="22"/>
      <c r="J118" s="6"/>
      <c r="K118" s="2">
        <v>5</v>
      </c>
      <c r="L118" s="6">
        <v>139.53488372093022</v>
      </c>
      <c r="M118" s="2">
        <v>82</v>
      </c>
      <c r="N118" s="22" t="s">
        <v>61</v>
      </c>
      <c r="O118" s="22"/>
      <c r="P118" s="2"/>
    </row>
    <row r="119" spans="1:16" ht="15" customHeight="1">
      <c r="A119" s="2">
        <v>118</v>
      </c>
      <c r="B119" s="22" t="s">
        <v>16</v>
      </c>
      <c r="C119" s="22" t="s">
        <v>17</v>
      </c>
      <c r="D119" s="3">
        <v>41743</v>
      </c>
      <c r="E119" s="22" t="s">
        <v>62</v>
      </c>
      <c r="F119" s="22" t="s">
        <v>19</v>
      </c>
      <c r="G119" s="26"/>
      <c r="H119" s="22"/>
      <c r="I119" s="22"/>
      <c r="J119" s="6"/>
      <c r="K119" s="2">
        <v>6</v>
      </c>
      <c r="L119" s="6">
        <v>56.287425149700603</v>
      </c>
      <c r="M119" s="2">
        <v>82</v>
      </c>
      <c r="N119" s="22"/>
      <c r="O119" s="22"/>
      <c r="P119" s="2"/>
    </row>
    <row r="120" spans="1:16" ht="15" customHeight="1">
      <c r="A120" s="2">
        <v>119</v>
      </c>
      <c r="B120" s="22" t="s">
        <v>16</v>
      </c>
      <c r="C120" s="22" t="s">
        <v>17</v>
      </c>
      <c r="D120" s="3">
        <v>41743</v>
      </c>
      <c r="E120" s="22" t="s">
        <v>23</v>
      </c>
      <c r="F120" s="22" t="s">
        <v>19</v>
      </c>
      <c r="G120" s="26"/>
      <c r="H120" s="22"/>
      <c r="I120" s="22"/>
      <c r="J120" s="6"/>
      <c r="K120" s="2">
        <v>6</v>
      </c>
      <c r="L120" s="6">
        <v>203.5928143712575</v>
      </c>
      <c r="M120" s="2">
        <v>82</v>
      </c>
      <c r="N120" s="22"/>
      <c r="O120" s="22"/>
      <c r="P120" s="2"/>
    </row>
    <row r="121" spans="1:16" ht="15" customHeight="1">
      <c r="A121" s="2">
        <v>120</v>
      </c>
      <c r="B121" s="22" t="s">
        <v>38</v>
      </c>
      <c r="C121" s="22" t="s">
        <v>39</v>
      </c>
      <c r="D121" s="3">
        <v>41743</v>
      </c>
      <c r="E121" s="27" t="s">
        <v>29</v>
      </c>
      <c r="F121" s="22" t="s">
        <v>19</v>
      </c>
      <c r="G121" s="26" t="s">
        <v>54</v>
      </c>
      <c r="H121" s="22"/>
      <c r="I121" s="22"/>
      <c r="J121" s="6"/>
      <c r="K121" s="2">
        <v>5</v>
      </c>
      <c r="L121" s="6">
        <v>110.46511627906978</v>
      </c>
      <c r="M121" s="2">
        <v>79</v>
      </c>
      <c r="N121" s="22" t="s">
        <v>30</v>
      </c>
      <c r="O121" s="22"/>
      <c r="P121" s="2"/>
    </row>
    <row r="122" spans="1:16" ht="15" customHeight="1">
      <c r="A122" s="2">
        <v>121</v>
      </c>
      <c r="B122" s="22" t="s">
        <v>38</v>
      </c>
      <c r="C122" s="22" t="s">
        <v>39</v>
      </c>
      <c r="D122" s="3">
        <v>41743</v>
      </c>
      <c r="E122" s="22" t="s">
        <v>23</v>
      </c>
      <c r="F122" s="22" t="s">
        <v>19</v>
      </c>
      <c r="G122" s="26"/>
      <c r="H122" s="22"/>
      <c r="I122" s="22"/>
      <c r="J122" s="6"/>
      <c r="K122" s="2">
        <v>6</v>
      </c>
      <c r="L122" s="6">
        <v>125.74850299401199</v>
      </c>
      <c r="M122" s="2">
        <v>79</v>
      </c>
      <c r="N122" s="22"/>
      <c r="O122" s="22"/>
      <c r="P122" s="2"/>
    </row>
    <row r="123" spans="1:16" ht="15" customHeight="1">
      <c r="A123" s="2">
        <v>122</v>
      </c>
      <c r="B123" s="22" t="s">
        <v>38</v>
      </c>
      <c r="C123" s="22" t="s">
        <v>39</v>
      </c>
      <c r="D123" s="3">
        <v>41743</v>
      </c>
      <c r="E123" s="22" t="s">
        <v>62</v>
      </c>
      <c r="F123" s="22" t="s">
        <v>19</v>
      </c>
      <c r="G123" s="26"/>
      <c r="H123" s="22"/>
      <c r="I123" s="22"/>
      <c r="J123" s="6"/>
      <c r="K123" s="2">
        <v>10</v>
      </c>
      <c r="L123" s="6">
        <v>68.02721088435375</v>
      </c>
      <c r="M123" s="2">
        <v>79</v>
      </c>
      <c r="N123" s="22"/>
      <c r="O123" s="22"/>
      <c r="P123" s="2"/>
    </row>
    <row r="124" spans="1:16" ht="15" customHeight="1">
      <c r="A124" s="2">
        <v>123</v>
      </c>
      <c r="B124" s="22" t="s">
        <v>27</v>
      </c>
      <c r="C124" s="22" t="s">
        <v>28</v>
      </c>
      <c r="D124" s="3">
        <v>41743</v>
      </c>
      <c r="E124" s="27" t="s">
        <v>29</v>
      </c>
      <c r="F124" s="22" t="s">
        <v>19</v>
      </c>
      <c r="G124" s="26" t="s">
        <v>20</v>
      </c>
      <c r="H124" s="22"/>
      <c r="I124" s="22"/>
      <c r="J124" s="6"/>
      <c r="K124" s="2">
        <v>5</v>
      </c>
      <c r="L124" s="6">
        <v>203.48837209302326</v>
      </c>
      <c r="M124" s="2">
        <v>96.6</v>
      </c>
      <c r="N124" s="22" t="s">
        <v>61</v>
      </c>
      <c r="O124" s="22"/>
      <c r="P124" s="2"/>
    </row>
    <row r="125" spans="1:16" ht="15" customHeight="1">
      <c r="A125" s="2">
        <v>124</v>
      </c>
      <c r="B125" s="22" t="s">
        <v>27</v>
      </c>
      <c r="C125" s="22" t="s">
        <v>28</v>
      </c>
      <c r="D125" s="3">
        <v>41743</v>
      </c>
      <c r="E125" s="22" t="s">
        <v>62</v>
      </c>
      <c r="F125" s="22" t="s">
        <v>19</v>
      </c>
      <c r="G125" s="26"/>
      <c r="H125" s="22"/>
      <c r="I125" s="22"/>
      <c r="J125" s="6"/>
      <c r="K125" s="2">
        <v>6</v>
      </c>
      <c r="L125" s="6">
        <v>56.287425149700603</v>
      </c>
      <c r="M125" s="2">
        <v>96.6</v>
      </c>
      <c r="N125" s="22"/>
      <c r="O125" s="22"/>
      <c r="P125" s="2"/>
    </row>
    <row r="126" spans="1:16" ht="15" customHeight="1">
      <c r="A126" s="2">
        <v>125</v>
      </c>
      <c r="B126" s="22" t="s">
        <v>27</v>
      </c>
      <c r="C126" s="22" t="s">
        <v>28</v>
      </c>
      <c r="D126" s="3">
        <v>41743</v>
      </c>
      <c r="E126" s="22" t="s">
        <v>23</v>
      </c>
      <c r="F126" s="22" t="s">
        <v>19</v>
      </c>
      <c r="G126" s="26"/>
      <c r="H126" s="22"/>
      <c r="I126" s="22"/>
      <c r="J126" s="6"/>
      <c r="K126" s="2">
        <v>6</v>
      </c>
      <c r="L126" s="6">
        <v>215.56886227544911</v>
      </c>
      <c r="M126" s="2">
        <v>96.6</v>
      </c>
      <c r="N126" s="22"/>
      <c r="O126" s="22"/>
      <c r="P126" s="2"/>
    </row>
    <row r="127" spans="1:16" ht="15" customHeight="1">
      <c r="A127" s="2">
        <v>126</v>
      </c>
      <c r="B127" s="22" t="s">
        <v>31</v>
      </c>
      <c r="C127" s="22" t="s">
        <v>32</v>
      </c>
      <c r="D127" s="3">
        <v>41743</v>
      </c>
      <c r="E127" s="27" t="s">
        <v>29</v>
      </c>
      <c r="F127" s="22" t="s">
        <v>19</v>
      </c>
      <c r="G127" s="26" t="s">
        <v>20</v>
      </c>
      <c r="H127" s="22"/>
      <c r="I127" s="22"/>
      <c r="J127" s="6"/>
      <c r="K127" s="2">
        <v>5</v>
      </c>
      <c r="L127" s="6">
        <v>127.90697674418605</v>
      </c>
      <c r="M127" s="2">
        <v>83.5</v>
      </c>
      <c r="N127" s="22" t="s">
        <v>61</v>
      </c>
      <c r="O127" s="22"/>
      <c r="P127" s="2"/>
    </row>
    <row r="128" spans="1:16" ht="15" customHeight="1">
      <c r="A128" s="2">
        <v>127</v>
      </c>
      <c r="B128" s="22" t="s">
        <v>31</v>
      </c>
      <c r="C128" s="22" t="s">
        <v>32</v>
      </c>
      <c r="D128" s="3">
        <v>41743</v>
      </c>
      <c r="E128" s="22" t="s">
        <v>62</v>
      </c>
      <c r="F128" s="22" t="s">
        <v>19</v>
      </c>
      <c r="G128" s="26"/>
      <c r="H128" s="22"/>
      <c r="I128" s="22"/>
      <c r="J128" s="6"/>
      <c r="K128" s="2">
        <v>6</v>
      </c>
      <c r="L128" s="6">
        <v>64.670658682634738</v>
      </c>
      <c r="M128" s="2">
        <v>83.5</v>
      </c>
      <c r="N128" s="22"/>
      <c r="O128" s="22"/>
      <c r="P128" s="2"/>
    </row>
    <row r="129" spans="1:16" ht="15" customHeight="1">
      <c r="A129" s="2">
        <v>128</v>
      </c>
      <c r="B129" s="22" t="s">
        <v>31</v>
      </c>
      <c r="C129" s="22" t="s">
        <v>32</v>
      </c>
      <c r="D129" s="3">
        <v>41743</v>
      </c>
      <c r="E129" s="22" t="s">
        <v>23</v>
      </c>
      <c r="F129" s="22" t="s">
        <v>19</v>
      </c>
      <c r="G129" s="26"/>
      <c r="H129" s="22"/>
      <c r="I129" s="22"/>
      <c r="J129" s="6"/>
      <c r="K129" s="2">
        <v>6</v>
      </c>
      <c r="L129" s="6">
        <v>191.61676646706587</v>
      </c>
      <c r="M129" s="2">
        <v>83.5</v>
      </c>
      <c r="N129" s="22"/>
      <c r="O129" s="22"/>
      <c r="P129" s="2"/>
    </row>
    <row r="130" spans="1:16" ht="15" customHeight="1">
      <c r="A130" s="2">
        <v>129</v>
      </c>
      <c r="B130" s="22" t="s">
        <v>41</v>
      </c>
      <c r="C130" s="22" t="s">
        <v>42</v>
      </c>
      <c r="D130" s="3">
        <v>41743</v>
      </c>
      <c r="E130" s="27" t="s">
        <v>29</v>
      </c>
      <c r="F130" s="22" t="s">
        <v>19</v>
      </c>
      <c r="G130" s="26" t="s">
        <v>54</v>
      </c>
      <c r="H130" s="22"/>
      <c r="I130" s="22"/>
      <c r="J130" s="6"/>
      <c r="K130" s="2">
        <v>5</v>
      </c>
      <c r="L130" s="6">
        <v>151.16279069767441</v>
      </c>
      <c r="M130" s="2">
        <v>79.2</v>
      </c>
      <c r="N130" s="22" t="s">
        <v>52</v>
      </c>
      <c r="O130" s="22"/>
      <c r="P130" s="2"/>
    </row>
    <row r="131" spans="1:16" ht="15" customHeight="1">
      <c r="A131" s="2">
        <v>130</v>
      </c>
      <c r="B131" s="22" t="s">
        <v>41</v>
      </c>
      <c r="C131" s="22" t="s">
        <v>42</v>
      </c>
      <c r="D131" s="3">
        <v>41743</v>
      </c>
      <c r="E131" s="22" t="s">
        <v>62</v>
      </c>
      <c r="F131" s="22" t="s">
        <v>19</v>
      </c>
      <c r="G131" s="26"/>
      <c r="H131" s="22"/>
      <c r="I131" s="22"/>
      <c r="J131" s="6"/>
      <c r="K131" s="2">
        <v>10</v>
      </c>
      <c r="L131" s="6">
        <v>25.850340136054424</v>
      </c>
      <c r="M131" s="2">
        <v>79.2</v>
      </c>
      <c r="N131" s="22"/>
      <c r="O131" s="22"/>
      <c r="P131" s="2"/>
    </row>
    <row r="132" spans="1:16" ht="15" customHeight="1">
      <c r="A132" s="2">
        <v>131</v>
      </c>
      <c r="B132" s="22" t="s">
        <v>63</v>
      </c>
      <c r="C132" s="22" t="s">
        <v>64</v>
      </c>
      <c r="D132" s="3">
        <v>41743</v>
      </c>
      <c r="E132" s="27" t="s">
        <v>29</v>
      </c>
      <c r="F132" s="22" t="s">
        <v>19</v>
      </c>
      <c r="G132" s="26" t="s">
        <v>54</v>
      </c>
      <c r="H132" s="22"/>
      <c r="I132" s="22"/>
      <c r="J132" s="6"/>
      <c r="K132" s="2">
        <v>6</v>
      </c>
      <c r="L132" s="6">
        <v>137.7245508982036</v>
      </c>
      <c r="M132" s="2">
        <v>88.4</v>
      </c>
      <c r="N132" s="22" t="s">
        <v>30</v>
      </c>
      <c r="O132" s="22"/>
      <c r="P132" s="2"/>
    </row>
    <row r="133" spans="1:16" ht="15" customHeight="1">
      <c r="A133" s="2">
        <v>132</v>
      </c>
      <c r="B133" s="22" t="s">
        <v>63</v>
      </c>
      <c r="C133" s="22" t="s">
        <v>64</v>
      </c>
      <c r="D133" s="3">
        <v>41743</v>
      </c>
      <c r="E133" s="22" t="s">
        <v>62</v>
      </c>
      <c r="F133" s="22" t="s">
        <v>19</v>
      </c>
      <c r="G133" s="26"/>
      <c r="H133" s="22"/>
      <c r="I133" s="22"/>
      <c r="J133" s="6"/>
      <c r="K133" s="2">
        <v>6</v>
      </c>
      <c r="L133" s="6">
        <v>62.790697674418603</v>
      </c>
      <c r="M133" s="2">
        <v>88.4</v>
      </c>
      <c r="N133" s="22"/>
      <c r="O133" s="22"/>
      <c r="P133" s="2"/>
    </row>
    <row r="134" spans="1:16" ht="15" customHeight="1">
      <c r="A134" s="2">
        <v>133</v>
      </c>
      <c r="B134" s="22" t="s">
        <v>63</v>
      </c>
      <c r="C134" s="22" t="s">
        <v>64</v>
      </c>
      <c r="D134" s="3">
        <v>41743</v>
      </c>
      <c r="E134" s="22" t="s">
        <v>23</v>
      </c>
      <c r="F134" s="22" t="s">
        <v>19</v>
      </c>
      <c r="G134" s="26"/>
      <c r="H134" s="22"/>
      <c r="I134" s="22"/>
      <c r="J134" s="6"/>
      <c r="K134" s="2">
        <v>6</v>
      </c>
      <c r="L134" s="6">
        <v>131.7365269461078</v>
      </c>
      <c r="M134" s="2">
        <v>88.4</v>
      </c>
      <c r="N134" s="22"/>
      <c r="O134" s="22"/>
      <c r="P134" s="2"/>
    </row>
    <row r="135" spans="1:16" ht="15" customHeight="1">
      <c r="A135" s="2">
        <v>134</v>
      </c>
      <c r="B135" s="22" t="s">
        <v>33</v>
      </c>
      <c r="C135" s="22" t="s">
        <v>34</v>
      </c>
      <c r="D135" s="3">
        <v>41744</v>
      </c>
      <c r="E135" s="22" t="s">
        <v>65</v>
      </c>
      <c r="F135" s="22" t="s">
        <v>19</v>
      </c>
      <c r="G135" s="26"/>
      <c r="H135" s="22"/>
      <c r="I135" s="22"/>
      <c r="J135" s="6"/>
      <c r="K135" s="2">
        <v>5</v>
      </c>
      <c r="L135" s="6">
        <v>93.023255813953483</v>
      </c>
      <c r="M135" s="2"/>
      <c r="N135" s="22"/>
      <c r="O135" s="22" t="s">
        <v>66</v>
      </c>
      <c r="P135" s="2"/>
    </row>
    <row r="136" spans="1:16" ht="15" customHeight="1">
      <c r="A136" s="2">
        <v>135</v>
      </c>
      <c r="B136" s="22" t="s">
        <v>47</v>
      </c>
      <c r="C136" s="22" t="s">
        <v>48</v>
      </c>
      <c r="D136" s="3">
        <v>41747</v>
      </c>
      <c r="E136" s="22" t="s">
        <v>67</v>
      </c>
      <c r="F136" s="22" t="s">
        <v>19</v>
      </c>
      <c r="G136" s="26"/>
      <c r="H136" s="22"/>
      <c r="I136" s="22"/>
      <c r="J136" s="6"/>
      <c r="K136" s="2">
        <v>6</v>
      </c>
      <c r="L136" s="6">
        <v>718.56287425149708</v>
      </c>
      <c r="M136" s="2">
        <v>101.9</v>
      </c>
      <c r="N136" s="22"/>
      <c r="O136" s="22"/>
      <c r="P136" s="2"/>
    </row>
    <row r="137" spans="1:16" ht="15" customHeight="1">
      <c r="A137" s="2">
        <v>136</v>
      </c>
      <c r="B137" s="22" t="s">
        <v>16</v>
      </c>
      <c r="C137" s="22" t="s">
        <v>17</v>
      </c>
      <c r="D137" s="3">
        <v>41747</v>
      </c>
      <c r="E137" s="22" t="s">
        <v>43</v>
      </c>
      <c r="F137" s="22" t="s">
        <v>19</v>
      </c>
      <c r="G137" s="26"/>
      <c r="H137" s="22"/>
      <c r="I137" s="22"/>
      <c r="J137" s="6"/>
      <c r="K137" s="2">
        <v>5</v>
      </c>
      <c r="L137" s="6">
        <v>151.16279069767441</v>
      </c>
      <c r="M137" s="2">
        <v>82.5</v>
      </c>
      <c r="N137" s="22" t="s">
        <v>44</v>
      </c>
      <c r="O137" s="22"/>
      <c r="P137" s="2"/>
    </row>
    <row r="138" spans="1:16" ht="15" customHeight="1">
      <c r="A138" s="2">
        <v>137</v>
      </c>
      <c r="B138" s="22" t="s">
        <v>16</v>
      </c>
      <c r="C138" s="22" t="s">
        <v>17</v>
      </c>
      <c r="D138" s="3">
        <v>41747</v>
      </c>
      <c r="E138" s="22" t="s">
        <v>50</v>
      </c>
      <c r="F138" s="22" t="s">
        <v>19</v>
      </c>
      <c r="G138" s="26"/>
      <c r="H138" s="22"/>
      <c r="I138" s="22"/>
      <c r="J138" s="6"/>
      <c r="K138" s="2">
        <v>6</v>
      </c>
      <c r="L138" s="6">
        <v>227.54491017964074</v>
      </c>
      <c r="M138" s="2">
        <v>82.5</v>
      </c>
      <c r="N138" s="22"/>
      <c r="O138" s="22"/>
      <c r="P138" s="2"/>
    </row>
    <row r="139" spans="1:16" ht="15" customHeight="1">
      <c r="A139" s="2">
        <v>138</v>
      </c>
      <c r="B139" s="22" t="s">
        <v>38</v>
      </c>
      <c r="C139" s="22" t="s">
        <v>39</v>
      </c>
      <c r="D139" s="3">
        <v>41747</v>
      </c>
      <c r="E139" s="22" t="s">
        <v>43</v>
      </c>
      <c r="F139" s="22" t="s">
        <v>19</v>
      </c>
      <c r="G139" s="26"/>
      <c r="H139" s="22"/>
      <c r="I139" s="22"/>
      <c r="J139" s="6"/>
      <c r="K139" s="2">
        <v>5</v>
      </c>
      <c r="L139" s="6">
        <v>116.27906976744187</v>
      </c>
      <c r="M139" s="2">
        <v>79.099999999999994</v>
      </c>
      <c r="N139" s="22" t="s">
        <v>44</v>
      </c>
      <c r="O139" s="22"/>
      <c r="P139" s="2"/>
    </row>
    <row r="140" spans="1:16" ht="15" customHeight="1">
      <c r="A140" s="2">
        <v>139</v>
      </c>
      <c r="B140" s="22" t="s">
        <v>38</v>
      </c>
      <c r="C140" s="22" t="s">
        <v>39</v>
      </c>
      <c r="D140" s="3">
        <v>41747</v>
      </c>
      <c r="E140" s="22" t="s">
        <v>50</v>
      </c>
      <c r="F140" s="22" t="s">
        <v>19</v>
      </c>
      <c r="G140" s="26"/>
      <c r="H140" s="22"/>
      <c r="I140" s="22"/>
      <c r="J140" s="6"/>
      <c r="K140" s="2">
        <v>8</v>
      </c>
      <c r="L140" s="6">
        <v>191.08280254777068</v>
      </c>
      <c r="M140" s="2">
        <v>79.099999999999994</v>
      </c>
      <c r="N140" s="22"/>
      <c r="O140" s="22"/>
      <c r="P140" s="2"/>
    </row>
    <row r="141" spans="1:16" ht="15" customHeight="1">
      <c r="A141" s="2">
        <v>140</v>
      </c>
      <c r="B141" s="22" t="s">
        <v>27</v>
      </c>
      <c r="C141" s="22" t="s">
        <v>28</v>
      </c>
      <c r="D141" s="3">
        <v>41747</v>
      </c>
      <c r="E141" s="22" t="s">
        <v>67</v>
      </c>
      <c r="F141" s="22" t="s">
        <v>19</v>
      </c>
      <c r="G141" s="26"/>
      <c r="H141" s="22"/>
      <c r="I141" s="22"/>
      <c r="J141" s="6"/>
      <c r="K141" s="2">
        <v>6</v>
      </c>
      <c r="L141" s="6">
        <v>526.94610778443121</v>
      </c>
      <c r="M141" s="2">
        <v>96.4</v>
      </c>
      <c r="N141" s="22"/>
      <c r="O141" s="22"/>
      <c r="P141" s="2"/>
    </row>
    <row r="142" spans="1:16" ht="15" customHeight="1">
      <c r="A142" s="2">
        <v>141</v>
      </c>
      <c r="B142" s="22" t="s">
        <v>31</v>
      </c>
      <c r="C142" s="22" t="s">
        <v>32</v>
      </c>
      <c r="D142" s="3">
        <v>41747</v>
      </c>
      <c r="E142" s="22" t="s">
        <v>43</v>
      </c>
      <c r="F142" s="22" t="s">
        <v>19</v>
      </c>
      <c r="G142" s="26"/>
      <c r="H142" s="22"/>
      <c r="I142" s="22"/>
      <c r="J142" s="6"/>
      <c r="K142" s="2">
        <v>5</v>
      </c>
      <c r="L142" s="6">
        <v>151.16279069767441</v>
      </c>
      <c r="M142" s="2">
        <v>83.6</v>
      </c>
      <c r="N142" s="22" t="s">
        <v>44</v>
      </c>
      <c r="O142" s="22"/>
      <c r="P142" s="2"/>
    </row>
    <row r="143" spans="1:16" ht="15" customHeight="1">
      <c r="A143" s="2">
        <v>142</v>
      </c>
      <c r="B143" s="22" t="s">
        <v>31</v>
      </c>
      <c r="C143" s="22" t="s">
        <v>32</v>
      </c>
      <c r="D143" s="3">
        <v>41747</v>
      </c>
      <c r="E143" s="22" t="s">
        <v>68</v>
      </c>
      <c r="F143" s="22" t="s">
        <v>19</v>
      </c>
      <c r="G143" s="26"/>
      <c r="H143" s="22"/>
      <c r="I143" s="22"/>
      <c r="J143" s="6"/>
      <c r="K143" s="2">
        <v>6</v>
      </c>
      <c r="L143" s="6">
        <v>107.78443113772455</v>
      </c>
      <c r="M143" s="2">
        <v>83.6</v>
      </c>
      <c r="N143" s="22" t="s">
        <v>69</v>
      </c>
      <c r="O143" s="22"/>
      <c r="P143" s="2"/>
    </row>
    <row r="144" spans="1:16" ht="15" customHeight="1">
      <c r="A144" s="2">
        <v>143</v>
      </c>
      <c r="B144" s="22" t="s">
        <v>31</v>
      </c>
      <c r="C144" s="22" t="s">
        <v>32</v>
      </c>
      <c r="D144" s="3">
        <v>41747</v>
      </c>
      <c r="E144" s="22" t="s">
        <v>50</v>
      </c>
      <c r="F144" s="22" t="s">
        <v>19</v>
      </c>
      <c r="G144" s="26"/>
      <c r="H144" s="22"/>
      <c r="I144" s="22"/>
      <c r="J144" s="6"/>
      <c r="K144" s="2">
        <v>6</v>
      </c>
      <c r="L144" s="6">
        <v>227.54491017964074</v>
      </c>
      <c r="M144" s="2">
        <v>83.6</v>
      </c>
      <c r="N144" s="22"/>
      <c r="O144" s="22"/>
      <c r="P144" s="2"/>
    </row>
    <row r="145" spans="1:16" ht="15" customHeight="1">
      <c r="A145" s="2">
        <v>144</v>
      </c>
      <c r="B145" s="22" t="s">
        <v>63</v>
      </c>
      <c r="C145" s="22" t="s">
        <v>64</v>
      </c>
      <c r="D145" s="3">
        <v>41747</v>
      </c>
      <c r="E145" s="22" t="s">
        <v>43</v>
      </c>
      <c r="F145" s="22" t="s">
        <v>19</v>
      </c>
      <c r="G145" s="26"/>
      <c r="H145" s="22"/>
      <c r="I145" s="22"/>
      <c r="J145" s="6"/>
      <c r="K145" s="2">
        <v>6</v>
      </c>
      <c r="L145" s="6">
        <v>143.7125748502994</v>
      </c>
      <c r="M145" s="2">
        <v>89.3</v>
      </c>
      <c r="N145" s="22" t="s">
        <v>44</v>
      </c>
      <c r="O145" s="22"/>
      <c r="P145" s="2"/>
    </row>
    <row r="146" spans="1:16" ht="15" customHeight="1">
      <c r="A146" s="2">
        <v>145</v>
      </c>
      <c r="B146" s="22" t="s">
        <v>63</v>
      </c>
      <c r="C146" s="22" t="s">
        <v>64</v>
      </c>
      <c r="D146" s="3">
        <v>41747</v>
      </c>
      <c r="E146" s="22" t="s">
        <v>50</v>
      </c>
      <c r="F146" s="22" t="s">
        <v>19</v>
      </c>
      <c r="G146" s="26"/>
      <c r="H146" s="22"/>
      <c r="I146" s="22"/>
      <c r="J146" s="6"/>
      <c r="K146" s="2">
        <v>8</v>
      </c>
      <c r="L146" s="6">
        <v>215.56886227544911</v>
      </c>
      <c r="M146" s="2">
        <v>89.3</v>
      </c>
      <c r="N146" s="22"/>
      <c r="O146" s="22"/>
      <c r="P146" s="2"/>
    </row>
    <row r="147" spans="1:16" ht="15" customHeight="1">
      <c r="A147" s="2">
        <v>146</v>
      </c>
      <c r="B147" s="22" t="s">
        <v>47</v>
      </c>
      <c r="C147" s="22" t="s">
        <v>48</v>
      </c>
      <c r="D147" s="3">
        <v>41748</v>
      </c>
      <c r="E147" s="22" t="s">
        <v>53</v>
      </c>
      <c r="F147" s="22" t="s">
        <v>19</v>
      </c>
      <c r="G147" s="26"/>
      <c r="H147" s="22"/>
      <c r="I147" s="22"/>
      <c r="J147" s="6"/>
      <c r="K147" s="2">
        <v>6</v>
      </c>
      <c r="L147" s="6">
        <v>137.7245508982036</v>
      </c>
      <c r="M147" s="2">
        <v>102.1</v>
      </c>
      <c r="N147" s="22"/>
      <c r="O147" s="22"/>
      <c r="P147" s="2"/>
    </row>
    <row r="148" spans="1:16" ht="15" customHeight="1">
      <c r="A148" s="2">
        <v>147</v>
      </c>
      <c r="B148" s="22" t="s">
        <v>16</v>
      </c>
      <c r="C148" s="22" t="s">
        <v>17</v>
      </c>
      <c r="D148" s="3">
        <v>41748</v>
      </c>
      <c r="E148" s="22" t="s">
        <v>53</v>
      </c>
      <c r="F148" s="22" t="s">
        <v>19</v>
      </c>
      <c r="G148" s="26"/>
      <c r="H148" s="22"/>
      <c r="I148" s="22"/>
      <c r="J148" s="6"/>
      <c r="K148" s="2">
        <v>6</v>
      </c>
      <c r="L148" s="6">
        <v>106.58682634730539</v>
      </c>
      <c r="M148" s="2">
        <v>82.8</v>
      </c>
      <c r="N148" s="22"/>
      <c r="O148" s="22"/>
      <c r="P148" s="2"/>
    </row>
    <row r="149" spans="1:16" ht="15" customHeight="1">
      <c r="A149" s="2">
        <v>148</v>
      </c>
      <c r="B149" s="22" t="s">
        <v>38</v>
      </c>
      <c r="C149" s="22" t="s">
        <v>39</v>
      </c>
      <c r="D149" s="3">
        <v>41748</v>
      </c>
      <c r="E149" s="22" t="s">
        <v>70</v>
      </c>
      <c r="F149" s="22" t="s">
        <v>19</v>
      </c>
      <c r="G149" s="26"/>
      <c r="H149" s="22"/>
      <c r="I149" s="22"/>
      <c r="J149" s="6"/>
      <c r="K149" s="2">
        <v>3</v>
      </c>
      <c r="L149" s="6">
        <v>93.023255813953483</v>
      </c>
      <c r="M149" s="2">
        <v>78.7</v>
      </c>
      <c r="N149" s="22"/>
      <c r="O149" s="22"/>
      <c r="P149" s="2"/>
    </row>
    <row r="150" spans="1:16" ht="15" customHeight="1">
      <c r="A150" s="2">
        <v>149</v>
      </c>
      <c r="B150" s="22" t="s">
        <v>38</v>
      </c>
      <c r="C150" s="22" t="s">
        <v>39</v>
      </c>
      <c r="D150" s="3">
        <v>41748</v>
      </c>
      <c r="E150" s="22" t="s">
        <v>53</v>
      </c>
      <c r="F150" s="22" t="s">
        <v>19</v>
      </c>
      <c r="G150" s="26"/>
      <c r="H150" s="22"/>
      <c r="I150" s="22"/>
      <c r="J150" s="6"/>
      <c r="K150" s="2">
        <v>6</v>
      </c>
      <c r="L150" s="6">
        <v>81.395348837209298</v>
      </c>
      <c r="M150" s="2">
        <v>78.7</v>
      </c>
      <c r="N150" s="22"/>
      <c r="O150" s="22"/>
      <c r="P150" s="2"/>
    </row>
    <row r="151" spans="1:16" ht="15" customHeight="1">
      <c r="A151" s="2">
        <v>150</v>
      </c>
      <c r="B151" s="22" t="s">
        <v>27</v>
      </c>
      <c r="C151" s="22" t="s">
        <v>28</v>
      </c>
      <c r="D151" s="3">
        <v>41748</v>
      </c>
      <c r="E151" s="22" t="s">
        <v>53</v>
      </c>
      <c r="F151" s="22" t="s">
        <v>19</v>
      </c>
      <c r="G151" s="26"/>
      <c r="H151" s="22"/>
      <c r="I151" s="22"/>
      <c r="J151" s="6"/>
      <c r="K151" s="2">
        <v>6</v>
      </c>
      <c r="L151" s="6">
        <v>137.7245508982036</v>
      </c>
      <c r="M151" s="2">
        <v>96.3</v>
      </c>
      <c r="N151" s="22"/>
      <c r="O151" s="22"/>
      <c r="P151" s="2"/>
    </row>
    <row r="152" spans="1:16" ht="15" customHeight="1">
      <c r="A152" s="2">
        <v>151</v>
      </c>
      <c r="B152" s="22" t="s">
        <v>31</v>
      </c>
      <c r="C152" s="22" t="s">
        <v>32</v>
      </c>
      <c r="D152" s="3">
        <v>41748</v>
      </c>
      <c r="E152" s="22" t="s">
        <v>53</v>
      </c>
      <c r="F152" s="22" t="s">
        <v>19</v>
      </c>
      <c r="G152" s="26"/>
      <c r="H152" s="22"/>
      <c r="I152" s="22"/>
      <c r="J152" s="6"/>
      <c r="K152" s="2">
        <v>6</v>
      </c>
      <c r="L152" s="6">
        <v>107.78443113772455</v>
      </c>
      <c r="M152" s="2">
        <v>84.7</v>
      </c>
      <c r="N152" s="22"/>
      <c r="O152" s="22"/>
      <c r="P152" s="2"/>
    </row>
    <row r="153" spans="1:16" ht="15" customHeight="1">
      <c r="A153" s="2">
        <v>152</v>
      </c>
      <c r="B153" s="22" t="s">
        <v>31</v>
      </c>
      <c r="C153" s="22" t="s">
        <v>32</v>
      </c>
      <c r="D153" s="3">
        <v>41748</v>
      </c>
      <c r="E153" s="22" t="s">
        <v>71</v>
      </c>
      <c r="F153" s="22" t="s">
        <v>19</v>
      </c>
      <c r="G153" s="26"/>
      <c r="H153" s="22"/>
      <c r="I153" s="22"/>
      <c r="J153" s="6">
        <v>40</v>
      </c>
      <c r="K153" s="2">
        <v>21</v>
      </c>
      <c r="L153" s="6" t="s">
        <v>72</v>
      </c>
      <c r="M153" s="2">
        <v>84.7</v>
      </c>
      <c r="N153" s="22"/>
      <c r="O153" s="22" t="s">
        <v>73</v>
      </c>
      <c r="P153" s="2"/>
    </row>
    <row r="154" spans="1:16" ht="15" customHeight="1">
      <c r="A154" s="2">
        <v>153</v>
      </c>
      <c r="B154" s="22" t="s">
        <v>63</v>
      </c>
      <c r="C154" s="22" t="s">
        <v>64</v>
      </c>
      <c r="D154" s="3">
        <v>41748</v>
      </c>
      <c r="E154" s="22" t="s">
        <v>53</v>
      </c>
      <c r="F154" s="22" t="s">
        <v>19</v>
      </c>
      <c r="G154" s="26"/>
      <c r="H154" s="22"/>
      <c r="I154" s="22"/>
      <c r="J154" s="6"/>
      <c r="K154" s="2">
        <v>6</v>
      </c>
      <c r="L154" s="6">
        <v>95.808383233532936</v>
      </c>
      <c r="M154" s="2">
        <v>87.8</v>
      </c>
      <c r="N154" s="22"/>
      <c r="O154" s="22"/>
      <c r="P154" s="2"/>
    </row>
    <row r="155" spans="1:16" ht="15" customHeight="1">
      <c r="A155" s="2">
        <v>154</v>
      </c>
      <c r="B155" s="22" t="s">
        <v>63</v>
      </c>
      <c r="C155" s="22" t="s">
        <v>64</v>
      </c>
      <c r="D155" s="3">
        <v>41748</v>
      </c>
      <c r="E155" s="22" t="s">
        <v>43</v>
      </c>
      <c r="F155" s="22" t="s">
        <v>19</v>
      </c>
      <c r="G155" s="26"/>
      <c r="H155" s="22"/>
      <c r="I155" s="22"/>
      <c r="J155" s="6"/>
      <c r="K155" s="2">
        <v>3</v>
      </c>
      <c r="L155" s="6">
        <v>109.89010989010988</v>
      </c>
      <c r="M155" s="2">
        <v>87.8</v>
      </c>
      <c r="N155" s="22" t="s">
        <v>44</v>
      </c>
      <c r="O155" s="22"/>
      <c r="P155" s="2"/>
    </row>
    <row r="156" spans="1:16" ht="15" customHeight="1">
      <c r="A156" s="2">
        <v>155</v>
      </c>
      <c r="B156" s="22" t="s">
        <v>47</v>
      </c>
      <c r="C156" s="22" t="s">
        <v>48</v>
      </c>
      <c r="D156" s="3">
        <v>41750</v>
      </c>
      <c r="E156" s="22" t="s">
        <v>62</v>
      </c>
      <c r="F156" s="22" t="s">
        <v>19</v>
      </c>
      <c r="G156" s="26"/>
      <c r="H156" s="22"/>
      <c r="I156" s="22"/>
      <c r="J156" s="6"/>
      <c r="K156" s="2">
        <v>5</v>
      </c>
      <c r="L156" s="6">
        <v>45.348837209302324</v>
      </c>
      <c r="M156" s="2">
        <v>102.2</v>
      </c>
      <c r="N156" s="22"/>
      <c r="O156" s="22"/>
      <c r="P156" s="2"/>
    </row>
    <row r="157" spans="1:16" ht="15" customHeight="1">
      <c r="A157" s="2">
        <v>156</v>
      </c>
      <c r="B157" s="22" t="s">
        <v>16</v>
      </c>
      <c r="C157" s="22" t="s">
        <v>17</v>
      </c>
      <c r="D157" s="3">
        <v>41750</v>
      </c>
      <c r="E157" s="22" t="s">
        <v>18</v>
      </c>
      <c r="F157" s="22" t="s">
        <v>19</v>
      </c>
      <c r="G157" s="26" t="s">
        <v>54</v>
      </c>
      <c r="H157" s="22"/>
      <c r="I157" s="22"/>
      <c r="J157" s="6"/>
      <c r="K157" s="2">
        <v>5</v>
      </c>
      <c r="L157" s="6">
        <v>145.34883720930233</v>
      </c>
      <c r="M157" s="2">
        <v>83</v>
      </c>
      <c r="N157" s="22" t="s">
        <v>74</v>
      </c>
      <c r="O157" s="22"/>
      <c r="P157" s="2"/>
    </row>
    <row r="158" spans="1:16" ht="15" customHeight="1">
      <c r="A158" s="2">
        <v>157</v>
      </c>
      <c r="B158" s="22" t="s">
        <v>16</v>
      </c>
      <c r="C158" s="22" t="s">
        <v>17</v>
      </c>
      <c r="D158" s="3">
        <v>41750</v>
      </c>
      <c r="E158" s="22" t="s">
        <v>23</v>
      </c>
      <c r="F158" s="22" t="s">
        <v>19</v>
      </c>
      <c r="G158" s="26"/>
      <c r="H158" s="22"/>
      <c r="I158" s="22"/>
      <c r="J158" s="6"/>
      <c r="K158" s="2">
        <v>5</v>
      </c>
      <c r="L158" s="6">
        <v>232.55813953488374</v>
      </c>
      <c r="M158" s="2">
        <v>83</v>
      </c>
      <c r="N158" s="22"/>
      <c r="O158" s="22"/>
      <c r="P158" s="2"/>
    </row>
    <row r="159" spans="1:16" ht="15" customHeight="1">
      <c r="A159" s="2">
        <v>158</v>
      </c>
      <c r="B159" s="22" t="s">
        <v>38</v>
      </c>
      <c r="C159" s="22" t="s">
        <v>39</v>
      </c>
      <c r="D159" s="3">
        <v>41750</v>
      </c>
      <c r="E159" s="27" t="s">
        <v>29</v>
      </c>
      <c r="F159" s="22" t="s">
        <v>19</v>
      </c>
      <c r="G159" s="26" t="s">
        <v>54</v>
      </c>
      <c r="H159" s="22"/>
      <c r="I159" s="22"/>
      <c r="J159" s="6"/>
      <c r="K159" s="2">
        <v>5</v>
      </c>
      <c r="L159" s="6">
        <v>110.46511627906978</v>
      </c>
      <c r="M159" s="2">
        <v>79.5</v>
      </c>
      <c r="N159" s="22" t="s">
        <v>30</v>
      </c>
      <c r="O159" s="22"/>
      <c r="P159" s="2"/>
    </row>
    <row r="160" spans="1:16" ht="15" customHeight="1">
      <c r="A160" s="2">
        <v>159</v>
      </c>
      <c r="B160" s="22" t="s">
        <v>38</v>
      </c>
      <c r="C160" s="22" t="s">
        <v>39</v>
      </c>
      <c r="D160" s="3">
        <v>41750</v>
      </c>
      <c r="E160" s="22" t="s">
        <v>23</v>
      </c>
      <c r="F160" s="22" t="s">
        <v>19</v>
      </c>
      <c r="G160" s="26"/>
      <c r="H160" s="22"/>
      <c r="I160" s="22"/>
      <c r="J160" s="6">
        <v>120</v>
      </c>
      <c r="K160" s="2">
        <v>6</v>
      </c>
      <c r="L160" s="6" t="e">
        <v>#REF!</v>
      </c>
      <c r="M160" s="2">
        <v>79.5</v>
      </c>
      <c r="N160" s="22"/>
      <c r="O160" s="22"/>
      <c r="P160" s="2"/>
    </row>
    <row r="161" spans="1:16" ht="15" customHeight="1">
      <c r="A161" s="2">
        <v>160</v>
      </c>
      <c r="B161" s="22" t="s">
        <v>38</v>
      </c>
      <c r="C161" s="22" t="s">
        <v>39</v>
      </c>
      <c r="D161" s="3">
        <v>41750</v>
      </c>
      <c r="E161" s="22" t="s">
        <v>23</v>
      </c>
      <c r="F161" s="22" t="s">
        <v>19</v>
      </c>
      <c r="G161" s="26"/>
      <c r="H161" s="22"/>
      <c r="I161" s="22"/>
      <c r="J161" s="6">
        <v>145</v>
      </c>
      <c r="K161" s="2">
        <v>6</v>
      </c>
      <c r="L161" s="6" t="e">
        <v>#REF!</v>
      </c>
      <c r="M161" s="2">
        <v>79.5</v>
      </c>
      <c r="N161" s="22"/>
      <c r="O161" s="22"/>
      <c r="P161" s="2"/>
    </row>
    <row r="162" spans="1:16" ht="15" customHeight="1">
      <c r="A162" s="2">
        <v>161</v>
      </c>
      <c r="B162" s="22" t="s">
        <v>27</v>
      </c>
      <c r="C162" s="22" t="s">
        <v>28</v>
      </c>
      <c r="D162" s="3">
        <v>41750</v>
      </c>
      <c r="E162" s="22" t="s">
        <v>18</v>
      </c>
      <c r="F162" s="22" t="s">
        <v>19</v>
      </c>
      <c r="G162" s="26" t="s">
        <v>54</v>
      </c>
      <c r="H162" s="22"/>
      <c r="I162" s="22"/>
      <c r="J162" s="6"/>
      <c r="K162" s="2">
        <v>5</v>
      </c>
      <c r="L162" s="6">
        <v>209.30232558139537</v>
      </c>
      <c r="M162" s="2">
        <v>96.4</v>
      </c>
      <c r="N162" s="22" t="s">
        <v>74</v>
      </c>
      <c r="O162" s="22"/>
      <c r="P162" s="2"/>
    </row>
    <row r="163" spans="1:16" ht="15" customHeight="1">
      <c r="A163" s="2">
        <v>162</v>
      </c>
      <c r="B163" s="22" t="s">
        <v>27</v>
      </c>
      <c r="C163" s="22" t="s">
        <v>28</v>
      </c>
      <c r="D163" s="3">
        <v>41750</v>
      </c>
      <c r="E163" s="22" t="s">
        <v>23</v>
      </c>
      <c r="F163" s="22" t="s">
        <v>19</v>
      </c>
      <c r="G163" s="26"/>
      <c r="H163" s="22"/>
      <c r="I163" s="22"/>
      <c r="J163" s="6"/>
      <c r="K163" s="2">
        <v>5</v>
      </c>
      <c r="L163" s="6">
        <v>244.18604651162792</v>
      </c>
      <c r="M163" s="2">
        <v>96.4</v>
      </c>
      <c r="N163" s="22"/>
      <c r="O163" s="22"/>
      <c r="P163" s="2"/>
    </row>
    <row r="164" spans="1:16" ht="15" customHeight="1">
      <c r="A164" s="2">
        <v>163</v>
      </c>
      <c r="B164" s="22" t="s">
        <v>31</v>
      </c>
      <c r="C164" s="22" t="s">
        <v>32</v>
      </c>
      <c r="D164" s="3">
        <v>41750</v>
      </c>
      <c r="E164" s="22" t="s">
        <v>18</v>
      </c>
      <c r="F164" s="22" t="s">
        <v>19</v>
      </c>
      <c r="G164" s="26" t="s">
        <v>54</v>
      </c>
      <c r="H164" s="22"/>
      <c r="I164" s="22"/>
      <c r="J164" s="6"/>
      <c r="K164" s="2">
        <v>5</v>
      </c>
      <c r="L164" s="6">
        <v>127.90697674418605</v>
      </c>
      <c r="M164" s="2">
        <v>83.5</v>
      </c>
      <c r="N164" s="22" t="s">
        <v>74</v>
      </c>
      <c r="O164" s="22"/>
      <c r="P164" s="2"/>
    </row>
    <row r="165" spans="1:16" ht="15" customHeight="1">
      <c r="A165" s="2">
        <v>164</v>
      </c>
      <c r="B165" s="22" t="s">
        <v>41</v>
      </c>
      <c r="C165" s="22" t="s">
        <v>42</v>
      </c>
      <c r="D165" s="3">
        <v>41750</v>
      </c>
      <c r="E165" s="22" t="s">
        <v>53</v>
      </c>
      <c r="F165" s="22" t="s">
        <v>19</v>
      </c>
      <c r="G165" s="26"/>
      <c r="H165" s="22"/>
      <c r="I165" s="22"/>
      <c r="J165" s="6"/>
      <c r="K165" s="2">
        <v>4</v>
      </c>
      <c r="L165" s="6">
        <v>90.395480225988706</v>
      </c>
      <c r="M165" s="2">
        <v>79.400000000000006</v>
      </c>
      <c r="N165" s="22"/>
      <c r="O165" s="22"/>
      <c r="P165" s="2"/>
    </row>
    <row r="166" spans="1:16" ht="15" customHeight="1">
      <c r="A166" s="2">
        <v>165</v>
      </c>
      <c r="B166" s="22" t="s">
        <v>41</v>
      </c>
      <c r="C166" s="22" t="s">
        <v>42</v>
      </c>
      <c r="D166" s="3">
        <v>41750</v>
      </c>
      <c r="E166" s="27" t="s">
        <v>29</v>
      </c>
      <c r="F166" s="22" t="s">
        <v>19</v>
      </c>
      <c r="G166" s="26" t="s">
        <v>54</v>
      </c>
      <c r="H166" s="22"/>
      <c r="I166" s="22"/>
      <c r="J166" s="6"/>
      <c r="K166" s="2">
        <v>5</v>
      </c>
      <c r="L166" s="6">
        <v>151.16279069767441</v>
      </c>
      <c r="M166" s="2">
        <v>79.400000000000006</v>
      </c>
      <c r="N166" s="22" t="s">
        <v>52</v>
      </c>
      <c r="O166" s="22"/>
      <c r="P166" s="2"/>
    </row>
    <row r="167" spans="1:16" ht="15" customHeight="1">
      <c r="A167" s="2">
        <v>166</v>
      </c>
      <c r="B167" s="22" t="s">
        <v>41</v>
      </c>
      <c r="C167" s="22" t="s">
        <v>42</v>
      </c>
      <c r="D167" s="3">
        <v>41750</v>
      </c>
      <c r="E167" s="22" t="s">
        <v>67</v>
      </c>
      <c r="F167" s="22" t="s">
        <v>19</v>
      </c>
      <c r="G167" s="26"/>
      <c r="H167" s="22"/>
      <c r="I167" s="22"/>
      <c r="J167" s="6"/>
      <c r="K167" s="2">
        <v>5</v>
      </c>
      <c r="L167" s="6">
        <v>372.09302325581393</v>
      </c>
      <c r="M167" s="2">
        <v>79.400000000000006</v>
      </c>
      <c r="N167" s="22"/>
      <c r="O167" s="22"/>
      <c r="P167" s="2"/>
    </row>
    <row r="168" spans="1:16" ht="15" customHeight="1">
      <c r="A168" s="2">
        <v>167</v>
      </c>
      <c r="B168" s="22" t="s">
        <v>63</v>
      </c>
      <c r="C168" s="22" t="s">
        <v>64</v>
      </c>
      <c r="D168" s="3">
        <v>41750</v>
      </c>
      <c r="E168" s="27" t="s">
        <v>29</v>
      </c>
      <c r="F168" s="22" t="s">
        <v>19</v>
      </c>
      <c r="G168" s="26" t="s">
        <v>54</v>
      </c>
      <c r="H168" s="22"/>
      <c r="I168" s="22"/>
      <c r="J168" s="6"/>
      <c r="K168" s="2">
        <v>5</v>
      </c>
      <c r="L168" s="6">
        <v>133.72093023255815</v>
      </c>
      <c r="M168" s="2">
        <v>89.5</v>
      </c>
      <c r="N168" s="22" t="s">
        <v>30</v>
      </c>
      <c r="O168" s="22"/>
      <c r="P168" s="2"/>
    </row>
    <row r="169" spans="1:16" ht="15" customHeight="1">
      <c r="A169" s="2">
        <v>168</v>
      </c>
      <c r="B169" s="22" t="s">
        <v>63</v>
      </c>
      <c r="C169" s="22" t="s">
        <v>64</v>
      </c>
      <c r="D169" s="3">
        <v>41750</v>
      </c>
      <c r="E169" s="22" t="s">
        <v>23</v>
      </c>
      <c r="F169" s="22" t="s">
        <v>19</v>
      </c>
      <c r="G169" s="26"/>
      <c r="H169" s="22"/>
      <c r="I169" s="22"/>
      <c r="J169" s="6">
        <v>145</v>
      </c>
      <c r="K169" s="2">
        <v>6</v>
      </c>
      <c r="L169" s="6" t="e">
        <v>#REF!</v>
      </c>
      <c r="M169" s="2">
        <v>89.5</v>
      </c>
      <c r="N169" s="22"/>
      <c r="O169" s="22"/>
      <c r="P169" s="2"/>
    </row>
    <row r="170" spans="1:16" ht="15" customHeight="1">
      <c r="A170" s="2">
        <v>169</v>
      </c>
      <c r="B170" s="22" t="s">
        <v>63</v>
      </c>
      <c r="C170" s="22" t="s">
        <v>64</v>
      </c>
      <c r="D170" s="3">
        <v>41750</v>
      </c>
      <c r="E170" s="22" t="s">
        <v>23</v>
      </c>
      <c r="F170" s="22" t="s">
        <v>19</v>
      </c>
      <c r="G170" s="26"/>
      <c r="H170" s="22"/>
      <c r="I170" s="22"/>
      <c r="J170" s="6">
        <v>160</v>
      </c>
      <c r="K170" s="2">
        <v>6</v>
      </c>
      <c r="L170" s="6" t="e">
        <v>#REF!</v>
      </c>
      <c r="M170" s="2">
        <v>89.5</v>
      </c>
      <c r="N170" s="22"/>
      <c r="O170" s="22"/>
      <c r="P170" s="2"/>
    </row>
    <row r="171" spans="1:16" ht="15" customHeight="1">
      <c r="A171" s="2">
        <v>170</v>
      </c>
      <c r="B171" s="22" t="s">
        <v>47</v>
      </c>
      <c r="C171" s="22" t="s">
        <v>48</v>
      </c>
      <c r="D171" s="3">
        <v>41752</v>
      </c>
      <c r="E171" s="22" t="s">
        <v>26</v>
      </c>
      <c r="F171" s="22" t="s">
        <v>19</v>
      </c>
      <c r="G171" s="26"/>
      <c r="H171" s="22"/>
      <c r="I171" s="22"/>
      <c r="J171" s="6"/>
      <c r="K171" s="2">
        <v>4</v>
      </c>
      <c r="L171" s="6">
        <v>135.59322033898306</v>
      </c>
      <c r="M171" s="2">
        <v>102.3</v>
      </c>
      <c r="N171" s="22"/>
      <c r="O171" s="22"/>
      <c r="P171" s="2"/>
    </row>
    <row r="172" spans="1:16" ht="15" customHeight="1">
      <c r="A172" s="2">
        <v>171</v>
      </c>
      <c r="B172" s="22" t="s">
        <v>47</v>
      </c>
      <c r="C172" s="22" t="s">
        <v>48</v>
      </c>
      <c r="D172" s="3">
        <v>41752</v>
      </c>
      <c r="E172" s="22" t="s">
        <v>75</v>
      </c>
      <c r="F172" s="22" t="s">
        <v>19</v>
      </c>
      <c r="G172" s="26"/>
      <c r="H172" s="22"/>
      <c r="I172" s="22"/>
      <c r="J172" s="6"/>
      <c r="K172" s="2">
        <v>10</v>
      </c>
      <c r="L172" s="6">
        <v>135.90033975084938</v>
      </c>
      <c r="M172" s="2">
        <v>102.3</v>
      </c>
      <c r="N172" s="22"/>
      <c r="O172" s="22"/>
      <c r="P172" s="2"/>
    </row>
    <row r="173" spans="1:16" ht="15" customHeight="1">
      <c r="A173" s="2">
        <v>172</v>
      </c>
      <c r="B173" s="22" t="s">
        <v>16</v>
      </c>
      <c r="C173" s="22" t="s">
        <v>17</v>
      </c>
      <c r="D173" s="3">
        <v>41752</v>
      </c>
      <c r="E173" s="22" t="s">
        <v>26</v>
      </c>
      <c r="F173" s="22" t="s">
        <v>19</v>
      </c>
      <c r="G173" s="26"/>
      <c r="H173" s="22"/>
      <c r="I173" s="22"/>
      <c r="J173" s="6"/>
      <c r="K173" s="2">
        <v>4</v>
      </c>
      <c r="L173" s="6">
        <v>112.99435028248587</v>
      </c>
      <c r="M173" s="2">
        <v>82.6</v>
      </c>
      <c r="N173" s="22"/>
      <c r="O173" s="22"/>
      <c r="P173" s="2"/>
    </row>
    <row r="174" spans="1:16" ht="15" customHeight="1">
      <c r="A174" s="2">
        <v>173</v>
      </c>
      <c r="B174" s="22" t="s">
        <v>38</v>
      </c>
      <c r="C174" s="22" t="s">
        <v>39</v>
      </c>
      <c r="D174" s="3">
        <v>41752</v>
      </c>
      <c r="E174" s="22" t="s">
        <v>26</v>
      </c>
      <c r="F174" s="22" t="s">
        <v>19</v>
      </c>
      <c r="G174" s="26"/>
      <c r="H174" s="22"/>
      <c r="I174" s="22"/>
      <c r="J174" s="6"/>
      <c r="K174" s="2">
        <v>4</v>
      </c>
      <c r="L174" s="6">
        <v>56.497175141242934</v>
      </c>
      <c r="M174" s="2">
        <v>79.099999999999994</v>
      </c>
      <c r="N174" s="22"/>
      <c r="O174" s="22"/>
      <c r="P174" s="2"/>
    </row>
    <row r="175" spans="1:16" ht="15" customHeight="1">
      <c r="A175" s="2">
        <v>174</v>
      </c>
      <c r="B175" s="22" t="s">
        <v>38</v>
      </c>
      <c r="C175" s="22" t="s">
        <v>39</v>
      </c>
      <c r="D175" s="3">
        <v>41752</v>
      </c>
      <c r="E175" s="22" t="s">
        <v>46</v>
      </c>
      <c r="F175" s="22" t="s">
        <v>19</v>
      </c>
      <c r="G175" s="26"/>
      <c r="H175" s="22"/>
      <c r="I175" s="22"/>
      <c r="J175" s="6"/>
      <c r="K175" s="2">
        <v>5</v>
      </c>
      <c r="L175" s="6">
        <v>63.953488372093027</v>
      </c>
      <c r="M175" s="2">
        <v>79.099999999999994</v>
      </c>
      <c r="N175" s="22"/>
      <c r="O175" s="22"/>
      <c r="P175" s="2"/>
    </row>
    <row r="176" spans="1:16" ht="15" customHeight="1">
      <c r="A176" s="2">
        <v>175</v>
      </c>
      <c r="B176" s="22" t="s">
        <v>38</v>
      </c>
      <c r="C176" s="22" t="s">
        <v>39</v>
      </c>
      <c r="D176" s="3">
        <v>41752</v>
      </c>
      <c r="E176" s="22" t="s">
        <v>23</v>
      </c>
      <c r="F176" s="22" t="s">
        <v>19</v>
      </c>
      <c r="G176" s="26"/>
      <c r="H176" s="22"/>
      <c r="I176" s="22"/>
      <c r="J176" s="6"/>
      <c r="K176" s="2"/>
      <c r="L176" s="6">
        <v>139.53488369999999</v>
      </c>
      <c r="M176" s="2">
        <v>79.099999999999994</v>
      </c>
      <c r="N176" s="22"/>
      <c r="O176" s="22" t="s">
        <v>76</v>
      </c>
      <c r="P176" s="2"/>
    </row>
    <row r="177" spans="1:16" ht="15" customHeight="1">
      <c r="A177" s="2">
        <v>176</v>
      </c>
      <c r="B177" s="22" t="s">
        <v>38</v>
      </c>
      <c r="C177" s="22" t="s">
        <v>39</v>
      </c>
      <c r="D177" s="3">
        <v>41752</v>
      </c>
      <c r="E177" s="22" t="s">
        <v>23</v>
      </c>
      <c r="F177" s="22" t="s">
        <v>19</v>
      </c>
      <c r="G177" s="26"/>
      <c r="H177" s="22"/>
      <c r="I177" s="22"/>
      <c r="J177" s="6"/>
      <c r="K177" s="2"/>
      <c r="L177" s="6">
        <v>168.6046511627907</v>
      </c>
      <c r="M177" s="2">
        <v>79.099999999999994</v>
      </c>
      <c r="N177" s="22"/>
      <c r="O177" s="22" t="s">
        <v>77</v>
      </c>
      <c r="P177" s="2"/>
    </row>
    <row r="178" spans="1:16" ht="15" customHeight="1">
      <c r="A178" s="2">
        <v>177</v>
      </c>
      <c r="B178" s="22" t="s">
        <v>27</v>
      </c>
      <c r="C178" s="22" t="s">
        <v>28</v>
      </c>
      <c r="D178" s="3">
        <v>41752</v>
      </c>
      <c r="E178" s="22" t="s">
        <v>26</v>
      </c>
      <c r="F178" s="22" t="s">
        <v>19</v>
      </c>
      <c r="G178" s="26"/>
      <c r="H178" s="22"/>
      <c r="I178" s="22"/>
      <c r="J178" s="6"/>
      <c r="K178" s="2">
        <v>4</v>
      </c>
      <c r="L178" s="6">
        <v>135.59322033898306</v>
      </c>
      <c r="M178" s="2">
        <v>95.8</v>
      </c>
      <c r="N178" s="22"/>
      <c r="O178" s="22"/>
      <c r="P178" s="2"/>
    </row>
    <row r="179" spans="1:16" ht="15" customHeight="1">
      <c r="A179" s="2">
        <v>178</v>
      </c>
      <c r="B179" s="22" t="s">
        <v>27</v>
      </c>
      <c r="C179" s="22" t="s">
        <v>28</v>
      </c>
      <c r="D179" s="3">
        <v>41752</v>
      </c>
      <c r="E179" s="22" t="s">
        <v>78</v>
      </c>
      <c r="F179" s="22" t="s">
        <v>19</v>
      </c>
      <c r="G179" s="26"/>
      <c r="H179" s="22"/>
      <c r="I179" s="22"/>
      <c r="J179" s="6"/>
      <c r="K179" s="2">
        <v>10</v>
      </c>
      <c r="L179" s="6">
        <v>95.238095238095241</v>
      </c>
      <c r="M179" s="2">
        <v>95.8</v>
      </c>
      <c r="N179" s="22"/>
      <c r="O179" s="22"/>
      <c r="P179" s="2"/>
    </row>
    <row r="180" spans="1:16" ht="15" customHeight="1">
      <c r="A180" s="2">
        <v>179</v>
      </c>
      <c r="B180" s="22" t="s">
        <v>31</v>
      </c>
      <c r="C180" s="22" t="s">
        <v>32</v>
      </c>
      <c r="D180" s="3">
        <v>41752</v>
      </c>
      <c r="E180" s="22" t="s">
        <v>26</v>
      </c>
      <c r="F180" s="22" t="s">
        <v>19</v>
      </c>
      <c r="G180" s="26"/>
      <c r="H180" s="22"/>
      <c r="I180" s="22"/>
      <c r="J180" s="6"/>
      <c r="K180" s="2">
        <v>4</v>
      </c>
      <c r="L180" s="6">
        <v>112.99435028248587</v>
      </c>
      <c r="M180" s="2">
        <v>83.2</v>
      </c>
      <c r="N180" s="22"/>
      <c r="O180" s="22"/>
      <c r="P180" s="2"/>
    </row>
    <row r="181" spans="1:16" ht="15" customHeight="1">
      <c r="A181" s="2">
        <v>180</v>
      </c>
      <c r="B181" s="22" t="s">
        <v>63</v>
      </c>
      <c r="C181" s="22" t="s">
        <v>64</v>
      </c>
      <c r="D181" s="3">
        <v>41752</v>
      </c>
      <c r="E181" s="22" t="s">
        <v>26</v>
      </c>
      <c r="F181" s="22" t="s">
        <v>19</v>
      </c>
      <c r="G181" s="26"/>
      <c r="H181" s="22"/>
      <c r="I181" s="22"/>
      <c r="J181" s="6"/>
      <c r="K181" s="2">
        <v>4</v>
      </c>
      <c r="L181" s="6">
        <v>90.395480225988706</v>
      </c>
      <c r="M181" s="2">
        <v>88.1</v>
      </c>
      <c r="N181" s="22"/>
      <c r="O181" s="22"/>
      <c r="P181" s="2"/>
    </row>
    <row r="182" spans="1:16" ht="15" customHeight="1">
      <c r="A182" s="2">
        <v>181</v>
      </c>
      <c r="B182" s="22" t="s">
        <v>63</v>
      </c>
      <c r="C182" s="22" t="s">
        <v>64</v>
      </c>
      <c r="D182" s="3">
        <v>41752</v>
      </c>
      <c r="E182" s="22" t="s">
        <v>23</v>
      </c>
      <c r="F182" s="22" t="s">
        <v>19</v>
      </c>
      <c r="G182" s="26"/>
      <c r="H182" s="22"/>
      <c r="I182" s="22"/>
      <c r="J182" s="6"/>
      <c r="K182" s="2"/>
      <c r="L182" s="6">
        <v>191.61676650000001</v>
      </c>
      <c r="M182" s="2">
        <v>88.1</v>
      </c>
      <c r="N182" s="22"/>
      <c r="O182" s="22" t="s">
        <v>76</v>
      </c>
      <c r="P182" s="2"/>
    </row>
    <row r="183" spans="1:16" ht="15" customHeight="1">
      <c r="A183" s="2">
        <v>182</v>
      </c>
      <c r="B183" s="22" t="s">
        <v>63</v>
      </c>
      <c r="C183" s="22" t="s">
        <v>64</v>
      </c>
      <c r="D183" s="3">
        <v>41752</v>
      </c>
      <c r="E183" s="22" t="s">
        <v>23</v>
      </c>
      <c r="F183" s="22" t="s">
        <v>19</v>
      </c>
      <c r="G183" s="26"/>
      <c r="H183" s="22"/>
      <c r="I183" s="22"/>
      <c r="J183" s="6"/>
      <c r="K183" s="2"/>
      <c r="L183" s="6">
        <v>173.65269461077844</v>
      </c>
      <c r="M183" s="2">
        <v>88.1</v>
      </c>
      <c r="N183" s="22"/>
      <c r="O183" s="22" t="s">
        <v>77</v>
      </c>
      <c r="P183" s="2"/>
    </row>
    <row r="184" spans="1:16" ht="15" customHeight="1">
      <c r="A184" s="2">
        <v>183</v>
      </c>
      <c r="B184" s="22" t="s">
        <v>47</v>
      </c>
      <c r="C184" s="22" t="s">
        <v>48</v>
      </c>
      <c r="D184" s="3">
        <v>41754</v>
      </c>
      <c r="E184" s="22" t="s">
        <v>50</v>
      </c>
      <c r="F184" s="22" t="s">
        <v>19</v>
      </c>
      <c r="G184" s="26"/>
      <c r="H184" s="22"/>
      <c r="I184" s="22"/>
      <c r="J184" s="6"/>
      <c r="K184" s="2">
        <v>1</v>
      </c>
      <c r="L184" s="6">
        <v>310</v>
      </c>
      <c r="M184" s="2">
        <v>102.1</v>
      </c>
      <c r="N184" s="22"/>
      <c r="O184" s="22"/>
      <c r="P184" s="2"/>
    </row>
    <row r="185" spans="1:16" ht="15" customHeight="1">
      <c r="A185" s="2">
        <v>184</v>
      </c>
      <c r="B185" s="22" t="s">
        <v>47</v>
      </c>
      <c r="C185" s="22" t="s">
        <v>48</v>
      </c>
      <c r="D185" s="3">
        <v>41754</v>
      </c>
      <c r="E185" s="22" t="s">
        <v>67</v>
      </c>
      <c r="F185" s="22" t="s">
        <v>19</v>
      </c>
      <c r="G185" s="26"/>
      <c r="H185" s="22"/>
      <c r="I185" s="22"/>
      <c r="J185" s="6"/>
      <c r="K185" s="2">
        <v>4</v>
      </c>
      <c r="L185" s="6">
        <v>697.67441860465112</v>
      </c>
      <c r="M185" s="2">
        <v>102.1</v>
      </c>
      <c r="N185" s="22"/>
      <c r="O185" s="22" t="s">
        <v>79</v>
      </c>
      <c r="P185" s="2"/>
    </row>
    <row r="186" spans="1:16" ht="15" customHeight="1">
      <c r="A186" s="2">
        <v>185</v>
      </c>
      <c r="B186" s="22" t="s">
        <v>16</v>
      </c>
      <c r="C186" s="22" t="s">
        <v>17</v>
      </c>
      <c r="D186" s="3">
        <v>41754</v>
      </c>
      <c r="E186" s="27" t="s">
        <v>29</v>
      </c>
      <c r="F186" s="22" t="s">
        <v>19</v>
      </c>
      <c r="G186" s="26" t="s">
        <v>54</v>
      </c>
      <c r="H186" s="22"/>
      <c r="I186" s="22"/>
      <c r="J186" s="6"/>
      <c r="K186" s="2">
        <v>5</v>
      </c>
      <c r="L186" s="6">
        <v>174.41860465116278</v>
      </c>
      <c r="M186" s="2">
        <v>82.8</v>
      </c>
      <c r="N186" s="22" t="s">
        <v>30</v>
      </c>
      <c r="O186" s="22"/>
      <c r="P186" s="2"/>
    </row>
    <row r="187" spans="1:16" ht="15" customHeight="1">
      <c r="A187" s="2">
        <v>186</v>
      </c>
      <c r="B187" s="22" t="s">
        <v>16</v>
      </c>
      <c r="C187" s="22" t="s">
        <v>17</v>
      </c>
      <c r="D187" s="3">
        <v>41754</v>
      </c>
      <c r="E187" s="22" t="s">
        <v>62</v>
      </c>
      <c r="F187" s="22" t="s">
        <v>19</v>
      </c>
      <c r="G187" s="26"/>
      <c r="H187" s="22"/>
      <c r="I187" s="22"/>
      <c r="J187" s="6"/>
      <c r="K187" s="2">
        <v>5</v>
      </c>
      <c r="L187" s="6">
        <v>70.930232558139537</v>
      </c>
      <c r="M187" s="2">
        <v>82.8</v>
      </c>
      <c r="N187" s="22"/>
      <c r="O187" s="22"/>
      <c r="P187" s="2"/>
    </row>
    <row r="188" spans="1:16" ht="15" customHeight="1">
      <c r="A188" s="2">
        <v>187</v>
      </c>
      <c r="B188" s="22" t="s">
        <v>38</v>
      </c>
      <c r="C188" s="22" t="s">
        <v>39</v>
      </c>
      <c r="D188" s="3">
        <v>41754</v>
      </c>
      <c r="E188" s="22" t="s">
        <v>67</v>
      </c>
      <c r="F188" s="22" t="s">
        <v>19</v>
      </c>
      <c r="G188" s="26"/>
      <c r="H188" s="22"/>
      <c r="I188" s="22"/>
      <c r="J188" s="6"/>
      <c r="K188" s="2">
        <v>6</v>
      </c>
      <c r="L188" s="6">
        <v>293.41317365269464</v>
      </c>
      <c r="M188" s="2">
        <v>79.599999999999994</v>
      </c>
      <c r="N188" s="22"/>
      <c r="O188" s="22"/>
      <c r="P188" s="2"/>
    </row>
    <row r="189" spans="1:16" ht="15" customHeight="1">
      <c r="A189" s="2">
        <v>188</v>
      </c>
      <c r="B189" s="22" t="s">
        <v>38</v>
      </c>
      <c r="C189" s="22" t="s">
        <v>39</v>
      </c>
      <c r="D189" s="3">
        <v>41754</v>
      </c>
      <c r="E189" s="22" t="s">
        <v>50</v>
      </c>
      <c r="F189" s="22" t="s">
        <v>19</v>
      </c>
      <c r="G189" s="26"/>
      <c r="H189" s="22"/>
      <c r="I189" s="22"/>
      <c r="J189" s="6"/>
      <c r="K189" s="2">
        <v>8</v>
      </c>
      <c r="L189" s="6">
        <v>191.08280254777068</v>
      </c>
      <c r="M189" s="2">
        <v>79.599999999999994</v>
      </c>
      <c r="N189" s="22"/>
      <c r="O189" s="22"/>
      <c r="P189" s="2"/>
    </row>
    <row r="190" spans="1:16" ht="15" customHeight="1">
      <c r="A190" s="2">
        <v>189</v>
      </c>
      <c r="B190" s="22" t="s">
        <v>27</v>
      </c>
      <c r="C190" s="22" t="s">
        <v>28</v>
      </c>
      <c r="D190" s="3">
        <v>41754</v>
      </c>
      <c r="E190" s="22" t="s">
        <v>67</v>
      </c>
      <c r="F190" s="22" t="s">
        <v>19</v>
      </c>
      <c r="G190" s="26"/>
      <c r="H190" s="22"/>
      <c r="I190" s="22"/>
      <c r="J190" s="6"/>
      <c r="K190" s="2">
        <v>4</v>
      </c>
      <c r="L190" s="6">
        <v>558.1395348837209</v>
      </c>
      <c r="M190" s="2">
        <v>96</v>
      </c>
      <c r="N190" s="22"/>
      <c r="O190" s="22" t="s">
        <v>79</v>
      </c>
      <c r="P190" s="2"/>
    </row>
    <row r="191" spans="1:16" ht="15" customHeight="1">
      <c r="A191" s="2">
        <v>190</v>
      </c>
      <c r="B191" s="22" t="s">
        <v>27</v>
      </c>
      <c r="C191" s="22" t="s">
        <v>28</v>
      </c>
      <c r="D191" s="3">
        <v>41754</v>
      </c>
      <c r="E191" s="22" t="s">
        <v>50</v>
      </c>
      <c r="F191" s="22" t="s">
        <v>19</v>
      </c>
      <c r="G191" s="26"/>
      <c r="H191" s="22"/>
      <c r="I191" s="22"/>
      <c r="J191" s="6"/>
      <c r="K191" s="2">
        <v>6</v>
      </c>
      <c r="L191" s="6">
        <v>311.37724550898207</v>
      </c>
      <c r="M191" s="2">
        <v>96</v>
      </c>
      <c r="N191" s="22"/>
      <c r="O191" s="22"/>
      <c r="P191" s="2"/>
    </row>
    <row r="192" spans="1:16" ht="15" customHeight="1">
      <c r="A192" s="2">
        <v>191</v>
      </c>
      <c r="B192" s="22" t="s">
        <v>31</v>
      </c>
      <c r="C192" s="22" t="s">
        <v>32</v>
      </c>
      <c r="D192" s="3">
        <v>41754</v>
      </c>
      <c r="E192" s="22" t="s">
        <v>68</v>
      </c>
      <c r="F192" s="22" t="s">
        <v>19</v>
      </c>
      <c r="G192" s="26"/>
      <c r="H192" s="22"/>
      <c r="I192" s="22"/>
      <c r="J192" s="6"/>
      <c r="K192" s="2">
        <v>5</v>
      </c>
      <c r="L192" s="6">
        <v>116.27906976744187</v>
      </c>
      <c r="M192" s="2">
        <v>84.1</v>
      </c>
      <c r="N192" s="22" t="s">
        <v>69</v>
      </c>
      <c r="O192" s="22" t="s">
        <v>80</v>
      </c>
      <c r="P192" s="2"/>
    </row>
    <row r="193" spans="1:16" ht="15" customHeight="1">
      <c r="A193" s="2">
        <v>192</v>
      </c>
      <c r="B193" s="22" t="s">
        <v>31</v>
      </c>
      <c r="C193" s="22" t="s">
        <v>32</v>
      </c>
      <c r="D193" s="3">
        <v>41754</v>
      </c>
      <c r="E193" s="22" t="s">
        <v>50</v>
      </c>
      <c r="F193" s="22" t="s">
        <v>19</v>
      </c>
      <c r="G193" s="26"/>
      <c r="H193" s="22"/>
      <c r="I193" s="22"/>
      <c r="J193" s="6"/>
      <c r="K193" s="2">
        <v>6</v>
      </c>
      <c r="L193" s="6">
        <v>251.49700598802397</v>
      </c>
      <c r="M193" s="2">
        <v>84.1</v>
      </c>
      <c r="N193" s="22"/>
      <c r="O193" s="22" t="s">
        <v>80</v>
      </c>
      <c r="P193" s="2"/>
    </row>
    <row r="194" spans="1:16" ht="15" customHeight="1">
      <c r="A194" s="2">
        <v>193</v>
      </c>
      <c r="B194" s="22" t="s">
        <v>41</v>
      </c>
      <c r="C194" s="22" t="s">
        <v>42</v>
      </c>
      <c r="D194" s="3">
        <v>41754</v>
      </c>
      <c r="E194" s="22" t="s">
        <v>26</v>
      </c>
      <c r="F194" s="22" t="s">
        <v>19</v>
      </c>
      <c r="G194" s="26"/>
      <c r="H194" s="22"/>
      <c r="I194" s="22"/>
      <c r="J194" s="6"/>
      <c r="K194" s="2">
        <v>4</v>
      </c>
      <c r="L194" s="6">
        <v>67.79661016949153</v>
      </c>
      <c r="M194" s="2">
        <v>79</v>
      </c>
      <c r="N194" s="22"/>
      <c r="O194" s="22"/>
      <c r="P194" s="2"/>
    </row>
    <row r="195" spans="1:16" ht="15" customHeight="1">
      <c r="A195" s="2">
        <v>194</v>
      </c>
      <c r="B195" s="22" t="s">
        <v>63</v>
      </c>
      <c r="C195" s="22" t="s">
        <v>64</v>
      </c>
      <c r="D195" s="3">
        <v>41754</v>
      </c>
      <c r="E195" s="22" t="s">
        <v>67</v>
      </c>
      <c r="F195" s="22" t="s">
        <v>19</v>
      </c>
      <c r="G195" s="26"/>
      <c r="H195" s="22"/>
      <c r="I195" s="22"/>
      <c r="J195" s="6"/>
      <c r="K195" s="2">
        <v>6</v>
      </c>
      <c r="L195" s="6">
        <v>359.28143712574854</v>
      </c>
      <c r="M195" s="2">
        <v>88</v>
      </c>
      <c r="N195" s="22"/>
      <c r="O195" s="22"/>
      <c r="P195" s="2"/>
    </row>
    <row r="196" spans="1:16" ht="15" customHeight="1">
      <c r="A196" s="2">
        <v>195</v>
      </c>
      <c r="B196" s="22" t="s">
        <v>63</v>
      </c>
      <c r="C196" s="22" t="s">
        <v>64</v>
      </c>
      <c r="D196" s="3">
        <v>41754</v>
      </c>
      <c r="E196" s="22" t="s">
        <v>50</v>
      </c>
      <c r="F196" s="22" t="s">
        <v>19</v>
      </c>
      <c r="G196" s="26"/>
      <c r="H196" s="22"/>
      <c r="I196" s="22"/>
      <c r="J196" s="6"/>
      <c r="K196" s="2">
        <v>8</v>
      </c>
      <c r="L196" s="6">
        <v>229.29936305732483</v>
      </c>
      <c r="M196" s="2">
        <v>88</v>
      </c>
      <c r="N196" s="22"/>
      <c r="O196" s="22"/>
      <c r="P196" s="2"/>
    </row>
    <row r="197" spans="1:16" ht="15" customHeight="1">
      <c r="A197" s="2">
        <v>196</v>
      </c>
      <c r="B197" s="22" t="s">
        <v>33</v>
      </c>
      <c r="C197" s="22" t="s">
        <v>34</v>
      </c>
      <c r="D197" s="3">
        <v>41756</v>
      </c>
      <c r="E197" s="22" t="s">
        <v>23</v>
      </c>
      <c r="F197" s="22" t="s">
        <v>19</v>
      </c>
      <c r="G197" s="26"/>
      <c r="H197" s="22"/>
      <c r="I197" s="22"/>
      <c r="J197" s="6"/>
      <c r="K197" s="2">
        <v>5</v>
      </c>
      <c r="L197" s="6">
        <v>174.41860465116278</v>
      </c>
      <c r="M197" s="2">
        <v>89.9</v>
      </c>
      <c r="N197" s="22"/>
      <c r="O197" s="22" t="s">
        <v>81</v>
      </c>
      <c r="P197" s="2"/>
    </row>
    <row r="198" spans="1:16" ht="15" customHeight="1">
      <c r="A198" s="2">
        <v>197</v>
      </c>
      <c r="B198" s="22" t="s">
        <v>33</v>
      </c>
      <c r="C198" s="22" t="s">
        <v>34</v>
      </c>
      <c r="D198" s="3">
        <v>41756</v>
      </c>
      <c r="E198" s="27" t="s">
        <v>29</v>
      </c>
      <c r="F198" s="22" t="s">
        <v>19</v>
      </c>
      <c r="G198" s="26" t="s">
        <v>54</v>
      </c>
      <c r="H198" s="22"/>
      <c r="I198" s="22"/>
      <c r="J198" s="6"/>
      <c r="K198" s="2">
        <v>5</v>
      </c>
      <c r="L198" s="6">
        <v>162.7906976744186</v>
      </c>
      <c r="M198" s="2">
        <v>89.9</v>
      </c>
      <c r="N198" s="22" t="s">
        <v>82</v>
      </c>
      <c r="O198" s="22" t="s">
        <v>81</v>
      </c>
      <c r="P198" s="2"/>
    </row>
    <row r="199" spans="1:16" ht="15" customHeight="1">
      <c r="A199" s="2">
        <v>198</v>
      </c>
      <c r="B199" s="22" t="s">
        <v>47</v>
      </c>
      <c r="C199" s="22" t="s">
        <v>48</v>
      </c>
      <c r="D199" s="8">
        <v>41757</v>
      </c>
      <c r="E199" s="27" t="s">
        <v>18</v>
      </c>
      <c r="F199" s="26" t="s">
        <v>58</v>
      </c>
      <c r="G199" s="26"/>
      <c r="H199" s="27" t="s">
        <v>83</v>
      </c>
      <c r="I199" s="27" t="s">
        <v>84</v>
      </c>
      <c r="J199" s="133">
        <v>203</v>
      </c>
      <c r="K199" s="5">
        <v>3</v>
      </c>
      <c r="L199" s="6">
        <v>252.74725274725273</v>
      </c>
      <c r="M199" s="2">
        <v>102.1</v>
      </c>
      <c r="N199" s="22" t="s">
        <v>30</v>
      </c>
      <c r="O199" s="7" t="s">
        <v>10</v>
      </c>
      <c r="P199" s="2" t="s">
        <v>85</v>
      </c>
    </row>
    <row r="200" spans="1:16" ht="15" customHeight="1">
      <c r="A200" s="2">
        <v>199</v>
      </c>
      <c r="B200" s="22" t="s">
        <v>16</v>
      </c>
      <c r="C200" s="22" t="s">
        <v>17</v>
      </c>
      <c r="D200" s="8">
        <v>41757</v>
      </c>
      <c r="E200" s="27" t="s">
        <v>29</v>
      </c>
      <c r="F200" s="26" t="s">
        <v>58</v>
      </c>
      <c r="G200" s="26"/>
      <c r="H200" s="27" t="s">
        <v>83</v>
      </c>
      <c r="I200" s="27" t="s">
        <v>84</v>
      </c>
      <c r="J200" s="133">
        <v>185</v>
      </c>
      <c r="K200" s="5">
        <v>3</v>
      </c>
      <c r="L200" s="6">
        <v>203.2967032967033</v>
      </c>
      <c r="M200" s="2">
        <v>83.1</v>
      </c>
      <c r="N200" s="22" t="s">
        <v>30</v>
      </c>
      <c r="O200" s="10"/>
      <c r="P200" s="2" t="s">
        <v>86</v>
      </c>
    </row>
    <row r="201" spans="1:16" ht="15" customHeight="1">
      <c r="A201" s="2">
        <v>200</v>
      </c>
      <c r="B201" s="22" t="s">
        <v>27</v>
      </c>
      <c r="C201" s="22" t="s">
        <v>87</v>
      </c>
      <c r="D201" s="8">
        <v>41757</v>
      </c>
      <c r="E201" s="27" t="s">
        <v>29</v>
      </c>
      <c r="F201" s="26" t="s">
        <v>58</v>
      </c>
      <c r="G201" s="26"/>
      <c r="H201" s="27" t="s">
        <v>83</v>
      </c>
      <c r="I201" s="27" t="s">
        <v>84</v>
      </c>
      <c r="J201" s="6"/>
      <c r="K201" s="25">
        <v>1</v>
      </c>
      <c r="L201" s="6">
        <v>260</v>
      </c>
      <c r="M201" s="2">
        <v>96.6</v>
      </c>
      <c r="N201" s="22" t="s">
        <v>30</v>
      </c>
      <c r="O201" s="5" t="s">
        <v>88</v>
      </c>
      <c r="P201" s="11" t="s">
        <v>89</v>
      </c>
    </row>
    <row r="202" spans="1:16" ht="15" customHeight="1">
      <c r="A202" s="2">
        <v>201</v>
      </c>
      <c r="B202" s="22" t="s">
        <v>31</v>
      </c>
      <c r="C202" s="22" t="s">
        <v>32</v>
      </c>
      <c r="D202" s="8">
        <v>41757</v>
      </c>
      <c r="E202" s="27" t="s">
        <v>29</v>
      </c>
      <c r="F202" s="26" t="s">
        <v>58</v>
      </c>
      <c r="G202" s="26"/>
      <c r="H202" s="27" t="s">
        <v>83</v>
      </c>
      <c r="I202" s="27" t="s">
        <v>84</v>
      </c>
      <c r="J202" s="133">
        <v>160</v>
      </c>
      <c r="K202" s="5">
        <v>3</v>
      </c>
      <c r="L202" s="6">
        <v>175.82417582417582</v>
      </c>
      <c r="M202" s="2">
        <v>84.8</v>
      </c>
      <c r="N202" s="22" t="s">
        <v>30</v>
      </c>
      <c r="O202" s="10"/>
      <c r="P202" s="11" t="s">
        <v>90</v>
      </c>
    </row>
    <row r="203" spans="1:16" ht="15" customHeight="1">
      <c r="A203" s="2">
        <v>202</v>
      </c>
      <c r="B203" s="22" t="s">
        <v>33</v>
      </c>
      <c r="C203" s="22" t="s">
        <v>34</v>
      </c>
      <c r="D203" s="8">
        <v>41757</v>
      </c>
      <c r="E203" s="27" t="s">
        <v>29</v>
      </c>
      <c r="F203" s="26" t="s">
        <v>58</v>
      </c>
      <c r="G203" s="26"/>
      <c r="H203" s="27" t="s">
        <v>83</v>
      </c>
      <c r="I203" s="27" t="s">
        <v>84</v>
      </c>
      <c r="J203" s="6"/>
      <c r="K203" s="25"/>
      <c r="L203" s="6"/>
      <c r="M203" s="2"/>
      <c r="N203" s="22" t="s">
        <v>30</v>
      </c>
      <c r="O203" s="5" t="s">
        <v>91</v>
      </c>
      <c r="P203" s="11" t="s">
        <v>92</v>
      </c>
    </row>
    <row r="204" spans="1:16" ht="15" customHeight="1">
      <c r="A204" s="2">
        <v>203</v>
      </c>
      <c r="B204" s="22" t="s">
        <v>63</v>
      </c>
      <c r="C204" s="22" t="s">
        <v>64</v>
      </c>
      <c r="D204" s="8">
        <v>41757</v>
      </c>
      <c r="E204" s="27" t="s">
        <v>29</v>
      </c>
      <c r="F204" s="26" t="s">
        <v>58</v>
      </c>
      <c r="G204" s="26"/>
      <c r="H204" s="27" t="s">
        <v>83</v>
      </c>
      <c r="I204" s="27" t="s">
        <v>84</v>
      </c>
      <c r="J204" s="133">
        <v>155</v>
      </c>
      <c r="K204" s="5">
        <v>6</v>
      </c>
      <c r="L204" s="6">
        <v>185.62874251497007</v>
      </c>
      <c r="M204" s="2">
        <v>88.5</v>
      </c>
      <c r="N204" s="22" t="s">
        <v>30</v>
      </c>
      <c r="O204" s="10"/>
      <c r="P204" s="11" t="s">
        <v>93</v>
      </c>
    </row>
    <row r="205" spans="1:16" ht="15" customHeight="1">
      <c r="A205" s="2">
        <v>204</v>
      </c>
      <c r="B205" s="22" t="s">
        <v>41</v>
      </c>
      <c r="C205" s="22" t="s">
        <v>94</v>
      </c>
      <c r="D205" s="8">
        <v>41757</v>
      </c>
      <c r="E205" s="27" t="s">
        <v>29</v>
      </c>
      <c r="F205" s="26" t="s">
        <v>58</v>
      </c>
      <c r="G205" s="26"/>
      <c r="H205" s="27" t="s">
        <v>83</v>
      </c>
      <c r="I205" s="27" t="s">
        <v>84</v>
      </c>
      <c r="J205" s="133"/>
      <c r="K205" s="25"/>
      <c r="L205" s="6">
        <v>180</v>
      </c>
      <c r="M205" s="2"/>
      <c r="N205" s="22" t="s">
        <v>30</v>
      </c>
      <c r="O205" s="10"/>
      <c r="P205" s="2"/>
    </row>
    <row r="206" spans="1:16" ht="15" customHeight="1">
      <c r="A206" s="2">
        <v>205</v>
      </c>
      <c r="B206" s="22" t="s">
        <v>95</v>
      </c>
      <c r="C206" s="22" t="s">
        <v>96</v>
      </c>
      <c r="D206" s="3">
        <v>41757</v>
      </c>
      <c r="E206" s="27" t="s">
        <v>29</v>
      </c>
      <c r="F206" s="26" t="s">
        <v>58</v>
      </c>
      <c r="G206" s="26"/>
      <c r="H206" s="22" t="s">
        <v>83</v>
      </c>
      <c r="I206" s="22" t="s">
        <v>84</v>
      </c>
      <c r="J206" s="133"/>
      <c r="K206" s="25"/>
      <c r="L206" s="6">
        <v>122.09302325581396</v>
      </c>
      <c r="M206" s="2"/>
      <c r="N206" s="22" t="s">
        <v>30</v>
      </c>
      <c r="O206" s="10"/>
      <c r="P206" s="2"/>
    </row>
    <row r="207" spans="1:16" ht="15" customHeight="1">
      <c r="A207" s="2">
        <v>206</v>
      </c>
      <c r="B207" s="22" t="s">
        <v>47</v>
      </c>
      <c r="C207" s="22" t="s">
        <v>48</v>
      </c>
      <c r="D207" s="3">
        <v>41757</v>
      </c>
      <c r="E207" s="22" t="s">
        <v>26</v>
      </c>
      <c r="F207" s="26" t="s">
        <v>58</v>
      </c>
      <c r="G207" s="26"/>
      <c r="H207" s="22" t="s">
        <v>83</v>
      </c>
      <c r="I207" s="22" t="s">
        <v>84</v>
      </c>
      <c r="J207" s="133"/>
      <c r="K207" s="25"/>
      <c r="L207" s="6">
        <v>130</v>
      </c>
      <c r="M207" s="2">
        <v>102.1</v>
      </c>
      <c r="N207" s="22"/>
      <c r="O207" s="10"/>
      <c r="P207" s="2"/>
    </row>
    <row r="208" spans="1:16" ht="15" customHeight="1">
      <c r="A208" s="2">
        <v>207</v>
      </c>
      <c r="B208" s="22" t="s">
        <v>16</v>
      </c>
      <c r="C208" s="22" t="s">
        <v>17</v>
      </c>
      <c r="D208" s="8">
        <v>41757</v>
      </c>
      <c r="E208" s="27" t="s">
        <v>26</v>
      </c>
      <c r="F208" s="26" t="s">
        <v>58</v>
      </c>
      <c r="G208" s="26"/>
      <c r="H208" s="27" t="s">
        <v>83</v>
      </c>
      <c r="I208" s="27" t="s">
        <v>84</v>
      </c>
      <c r="J208" s="133"/>
      <c r="K208" s="25"/>
      <c r="L208" s="6">
        <v>110</v>
      </c>
      <c r="M208" s="2">
        <v>83.1</v>
      </c>
      <c r="N208" s="22"/>
      <c r="O208" s="10"/>
      <c r="P208" s="2"/>
    </row>
    <row r="209" spans="1:16" ht="15" customHeight="1">
      <c r="A209" s="2">
        <v>208</v>
      </c>
      <c r="B209" s="22" t="s">
        <v>31</v>
      </c>
      <c r="C209" s="22" t="s">
        <v>32</v>
      </c>
      <c r="D209" s="3">
        <v>41757</v>
      </c>
      <c r="E209" s="22" t="s">
        <v>26</v>
      </c>
      <c r="F209" s="26" t="s">
        <v>58</v>
      </c>
      <c r="G209" s="26"/>
      <c r="H209" s="22" t="s">
        <v>83</v>
      </c>
      <c r="I209" s="22" t="s">
        <v>84</v>
      </c>
      <c r="J209" s="133"/>
      <c r="K209" s="25"/>
      <c r="L209" s="6">
        <v>115</v>
      </c>
      <c r="M209" s="2">
        <v>84.8</v>
      </c>
      <c r="N209" s="22"/>
      <c r="O209" s="10"/>
      <c r="P209" s="2"/>
    </row>
    <row r="210" spans="1:16" ht="15" customHeight="1">
      <c r="A210" s="2">
        <v>209</v>
      </c>
      <c r="B210" s="22" t="s">
        <v>63</v>
      </c>
      <c r="C210" s="22" t="s">
        <v>64</v>
      </c>
      <c r="D210" s="8">
        <v>41757</v>
      </c>
      <c r="E210" s="27" t="s">
        <v>26</v>
      </c>
      <c r="F210" s="26" t="s">
        <v>58</v>
      </c>
      <c r="G210" s="26"/>
      <c r="H210" s="27" t="s">
        <v>83</v>
      </c>
      <c r="I210" s="27" t="s">
        <v>84</v>
      </c>
      <c r="J210" s="133"/>
      <c r="K210" s="25"/>
      <c r="L210" s="6">
        <v>90</v>
      </c>
      <c r="M210" s="2" t="s">
        <v>97</v>
      </c>
      <c r="N210" s="22"/>
      <c r="O210" s="10"/>
      <c r="P210" s="2"/>
    </row>
    <row r="211" spans="1:16" ht="15" customHeight="1">
      <c r="A211" s="2">
        <v>210</v>
      </c>
      <c r="B211" s="22" t="s">
        <v>27</v>
      </c>
      <c r="C211" s="22" t="s">
        <v>87</v>
      </c>
      <c r="D211" s="8">
        <v>41757</v>
      </c>
      <c r="E211" s="27" t="s">
        <v>26</v>
      </c>
      <c r="F211" s="26" t="s">
        <v>58</v>
      </c>
      <c r="G211" s="26"/>
      <c r="H211" s="27" t="s">
        <v>83</v>
      </c>
      <c r="I211" s="27" t="s">
        <v>84</v>
      </c>
      <c r="J211" s="133"/>
      <c r="K211" s="25"/>
      <c r="L211" s="6">
        <v>135</v>
      </c>
      <c r="M211" s="2">
        <v>96.6</v>
      </c>
      <c r="N211" s="22"/>
      <c r="O211" s="10"/>
      <c r="P211" s="2"/>
    </row>
    <row r="212" spans="1:16" ht="15" customHeight="1">
      <c r="A212" s="2">
        <v>211</v>
      </c>
      <c r="B212" s="22" t="s">
        <v>41</v>
      </c>
      <c r="C212" s="22" t="s">
        <v>94</v>
      </c>
      <c r="D212" s="3">
        <v>41757</v>
      </c>
      <c r="E212" s="22" t="s">
        <v>26</v>
      </c>
      <c r="F212" s="26" t="s">
        <v>58</v>
      </c>
      <c r="G212" s="26"/>
      <c r="H212" s="22" t="s">
        <v>83</v>
      </c>
      <c r="I212" s="22" t="s">
        <v>84</v>
      </c>
      <c r="J212" s="133"/>
      <c r="K212" s="25"/>
      <c r="L212" s="6">
        <v>75</v>
      </c>
      <c r="M212" s="2">
        <v>79.099999999999994</v>
      </c>
      <c r="N212" s="22"/>
      <c r="O212" s="10"/>
      <c r="P212" s="2"/>
    </row>
    <row r="213" spans="1:16" ht="15" customHeight="1">
      <c r="A213" s="2">
        <v>212</v>
      </c>
      <c r="B213" s="22" t="s">
        <v>95</v>
      </c>
      <c r="C213" s="22" t="s">
        <v>96</v>
      </c>
      <c r="D213" s="3">
        <v>41757</v>
      </c>
      <c r="E213" s="22" t="s">
        <v>26</v>
      </c>
      <c r="F213" s="26" t="s">
        <v>58</v>
      </c>
      <c r="G213" s="26"/>
      <c r="H213" s="22" t="s">
        <v>83</v>
      </c>
      <c r="I213" s="22" t="s">
        <v>84</v>
      </c>
      <c r="J213" s="133"/>
      <c r="K213" s="25"/>
      <c r="L213" s="6">
        <v>75</v>
      </c>
      <c r="M213" s="2" t="s">
        <v>97</v>
      </c>
      <c r="N213" s="22"/>
      <c r="O213" s="10"/>
      <c r="P213" s="2"/>
    </row>
    <row r="214" spans="1:16" ht="15" customHeight="1">
      <c r="A214" s="2">
        <v>213</v>
      </c>
      <c r="B214" s="22" t="s">
        <v>47</v>
      </c>
      <c r="C214" s="22" t="s">
        <v>48</v>
      </c>
      <c r="D214" s="3">
        <v>41757</v>
      </c>
      <c r="E214" s="27" t="s">
        <v>29</v>
      </c>
      <c r="F214" s="22" t="s">
        <v>58</v>
      </c>
      <c r="G214" s="26" t="s">
        <v>20</v>
      </c>
      <c r="H214" s="22"/>
      <c r="I214" s="22"/>
      <c r="J214" s="6"/>
      <c r="K214" s="2">
        <v>2</v>
      </c>
      <c r="L214" s="6">
        <v>252.74725274725273</v>
      </c>
      <c r="M214" s="2">
        <v>101.7</v>
      </c>
      <c r="N214" s="22" t="s">
        <v>30</v>
      </c>
      <c r="O214" s="22"/>
      <c r="P214" s="2"/>
    </row>
    <row r="215" spans="1:16" ht="15" customHeight="1">
      <c r="A215" s="2">
        <v>214</v>
      </c>
      <c r="B215" s="22" t="s">
        <v>47</v>
      </c>
      <c r="C215" s="22" t="s">
        <v>48</v>
      </c>
      <c r="D215" s="3">
        <v>41757</v>
      </c>
      <c r="E215" s="22" t="s">
        <v>26</v>
      </c>
      <c r="F215" s="22" t="s">
        <v>58</v>
      </c>
      <c r="G215" s="26"/>
      <c r="H215" s="22"/>
      <c r="I215" s="22"/>
      <c r="J215" s="6"/>
      <c r="K215" s="2"/>
      <c r="L215" s="6">
        <v>130</v>
      </c>
      <c r="M215" s="2">
        <v>101.7</v>
      </c>
      <c r="N215" s="22"/>
      <c r="O215" s="22"/>
      <c r="P215" s="2"/>
    </row>
    <row r="216" spans="1:16" ht="15" customHeight="1">
      <c r="A216" s="2">
        <v>215</v>
      </c>
      <c r="B216" s="22" t="s">
        <v>16</v>
      </c>
      <c r="C216" s="22" t="s">
        <v>17</v>
      </c>
      <c r="D216" s="3">
        <v>41757</v>
      </c>
      <c r="E216" s="27" t="s">
        <v>29</v>
      </c>
      <c r="F216" s="22" t="s">
        <v>58</v>
      </c>
      <c r="G216" s="26" t="s">
        <v>20</v>
      </c>
      <c r="H216" s="22"/>
      <c r="I216" s="22"/>
      <c r="J216" s="6"/>
      <c r="K216" s="2">
        <v>3</v>
      </c>
      <c r="L216" s="6">
        <v>203.2967032967033</v>
      </c>
      <c r="M216" s="2">
        <v>83.1</v>
      </c>
      <c r="N216" s="22" t="s">
        <v>30</v>
      </c>
      <c r="O216" s="22"/>
      <c r="P216" s="2"/>
    </row>
    <row r="217" spans="1:16" ht="15" customHeight="1">
      <c r="A217" s="2">
        <v>216</v>
      </c>
      <c r="B217" s="22" t="s">
        <v>16</v>
      </c>
      <c r="C217" s="22" t="s">
        <v>17</v>
      </c>
      <c r="D217" s="3">
        <v>41757</v>
      </c>
      <c r="E217" s="22" t="s">
        <v>26</v>
      </c>
      <c r="F217" s="22" t="s">
        <v>58</v>
      </c>
      <c r="G217" s="26"/>
      <c r="H217" s="22"/>
      <c r="I217" s="22"/>
      <c r="J217" s="6"/>
      <c r="K217" s="2"/>
      <c r="L217" s="6">
        <v>110</v>
      </c>
      <c r="M217" s="2">
        <v>83.1</v>
      </c>
      <c r="N217" s="22"/>
      <c r="O217" s="22"/>
      <c r="P217" s="2"/>
    </row>
    <row r="218" spans="1:16" ht="15" customHeight="1">
      <c r="A218" s="2">
        <v>217</v>
      </c>
      <c r="B218" s="22" t="s">
        <v>38</v>
      </c>
      <c r="C218" s="22" t="s">
        <v>39</v>
      </c>
      <c r="D218" s="3">
        <v>41757</v>
      </c>
      <c r="E218" s="22" t="s">
        <v>26</v>
      </c>
      <c r="F218" s="22" t="s">
        <v>58</v>
      </c>
      <c r="G218" s="26"/>
      <c r="H218" s="22"/>
      <c r="I218" s="22"/>
      <c r="J218" s="6">
        <v>75</v>
      </c>
      <c r="K218" s="2">
        <v>1</v>
      </c>
      <c r="L218" s="6">
        <v>75</v>
      </c>
      <c r="M218" s="2">
        <v>79</v>
      </c>
      <c r="N218" s="22"/>
      <c r="O218" s="22"/>
      <c r="P218" s="2"/>
    </row>
    <row r="219" spans="1:16" ht="15" customHeight="1">
      <c r="A219" s="2">
        <v>218</v>
      </c>
      <c r="B219" s="22" t="s">
        <v>38</v>
      </c>
      <c r="C219" s="22" t="s">
        <v>39</v>
      </c>
      <c r="D219" s="3">
        <v>41757</v>
      </c>
      <c r="E219" s="27" t="s">
        <v>29</v>
      </c>
      <c r="F219" s="22" t="s">
        <v>58</v>
      </c>
      <c r="G219" s="26" t="s">
        <v>20</v>
      </c>
      <c r="H219" s="22"/>
      <c r="I219" s="22"/>
      <c r="J219" s="6"/>
      <c r="K219" s="2">
        <v>5</v>
      </c>
      <c r="L219" s="6">
        <v>122.09302325581396</v>
      </c>
      <c r="M219" s="2">
        <v>79</v>
      </c>
      <c r="N219" s="22" t="s">
        <v>30</v>
      </c>
      <c r="O219" s="22"/>
      <c r="P219" s="2"/>
    </row>
    <row r="220" spans="1:16" ht="15" customHeight="1">
      <c r="A220" s="2">
        <v>219</v>
      </c>
      <c r="B220" s="22" t="s">
        <v>27</v>
      </c>
      <c r="C220" s="22" t="s">
        <v>28</v>
      </c>
      <c r="D220" s="3">
        <v>41757</v>
      </c>
      <c r="E220" s="27" t="s">
        <v>29</v>
      </c>
      <c r="F220" s="22" t="s">
        <v>58</v>
      </c>
      <c r="G220" s="26" t="s">
        <v>20</v>
      </c>
      <c r="H220" s="22"/>
      <c r="I220" s="22"/>
      <c r="J220" s="6">
        <v>260</v>
      </c>
      <c r="K220" s="2">
        <v>1</v>
      </c>
      <c r="L220" s="6">
        <v>260</v>
      </c>
      <c r="M220" s="2">
        <v>96.6</v>
      </c>
      <c r="N220" s="22" t="s">
        <v>30</v>
      </c>
      <c r="O220" s="22" t="s">
        <v>98</v>
      </c>
      <c r="P220" s="2"/>
    </row>
    <row r="221" spans="1:16" ht="15" customHeight="1">
      <c r="A221" s="2">
        <v>220</v>
      </c>
      <c r="B221" s="22" t="s">
        <v>27</v>
      </c>
      <c r="C221" s="22" t="s">
        <v>28</v>
      </c>
      <c r="D221" s="3">
        <v>41757</v>
      </c>
      <c r="E221" s="22" t="s">
        <v>26</v>
      </c>
      <c r="F221" s="22" t="s">
        <v>58</v>
      </c>
      <c r="G221" s="26"/>
      <c r="H221" s="22"/>
      <c r="I221" s="22"/>
      <c r="J221" s="6"/>
      <c r="K221" s="2"/>
      <c r="L221" s="6">
        <v>135</v>
      </c>
      <c r="M221" s="2">
        <v>96.6</v>
      </c>
      <c r="N221" s="22"/>
      <c r="O221" s="22" t="s">
        <v>98</v>
      </c>
      <c r="P221" s="2"/>
    </row>
    <row r="222" spans="1:16" ht="15" customHeight="1">
      <c r="A222" s="2">
        <v>221</v>
      </c>
      <c r="B222" s="22" t="s">
        <v>31</v>
      </c>
      <c r="C222" s="22" t="s">
        <v>32</v>
      </c>
      <c r="D222" s="3">
        <v>41757</v>
      </c>
      <c r="E222" s="27" t="s">
        <v>29</v>
      </c>
      <c r="F222" s="22" t="s">
        <v>58</v>
      </c>
      <c r="G222" s="26" t="s">
        <v>20</v>
      </c>
      <c r="H222" s="22"/>
      <c r="I222" s="22"/>
      <c r="J222" s="6"/>
      <c r="K222" s="2">
        <v>3</v>
      </c>
      <c r="L222" s="6">
        <v>175.82417582417582</v>
      </c>
      <c r="M222" s="2">
        <v>84.8</v>
      </c>
      <c r="N222" s="22" t="s">
        <v>30</v>
      </c>
      <c r="O222" s="22"/>
      <c r="P222" s="2"/>
    </row>
    <row r="223" spans="1:16" ht="15" customHeight="1">
      <c r="A223" s="2">
        <v>222</v>
      </c>
      <c r="B223" s="22" t="s">
        <v>31</v>
      </c>
      <c r="C223" s="22" t="s">
        <v>32</v>
      </c>
      <c r="D223" s="3">
        <v>41757</v>
      </c>
      <c r="E223" s="22" t="s">
        <v>26</v>
      </c>
      <c r="F223" s="22" t="s">
        <v>58</v>
      </c>
      <c r="G223" s="26"/>
      <c r="H223" s="22"/>
      <c r="I223" s="22"/>
      <c r="J223" s="6"/>
      <c r="K223" s="2"/>
      <c r="L223" s="6">
        <v>115</v>
      </c>
      <c r="M223" s="2">
        <v>84.8</v>
      </c>
      <c r="N223" s="22"/>
      <c r="O223" s="22"/>
      <c r="P223" s="2"/>
    </row>
    <row r="224" spans="1:16" ht="15" customHeight="1">
      <c r="A224" s="2">
        <v>223</v>
      </c>
      <c r="B224" s="22" t="s">
        <v>41</v>
      </c>
      <c r="C224" s="22" t="s">
        <v>42</v>
      </c>
      <c r="D224" s="3">
        <v>41757</v>
      </c>
      <c r="E224" s="22" t="s">
        <v>26</v>
      </c>
      <c r="F224" s="22" t="s">
        <v>58</v>
      </c>
      <c r="G224" s="26"/>
      <c r="H224" s="22"/>
      <c r="I224" s="22"/>
      <c r="J224" s="6">
        <v>75</v>
      </c>
      <c r="K224" s="2">
        <v>1</v>
      </c>
      <c r="L224" s="6">
        <v>75</v>
      </c>
      <c r="M224" s="2">
        <v>96.6</v>
      </c>
      <c r="N224" s="22"/>
      <c r="O224" s="22"/>
      <c r="P224" s="2"/>
    </row>
    <row r="225" spans="1:16" ht="15" customHeight="1">
      <c r="A225" s="2">
        <v>224</v>
      </c>
      <c r="B225" s="22" t="s">
        <v>41</v>
      </c>
      <c r="C225" s="22" t="s">
        <v>42</v>
      </c>
      <c r="D225" s="3">
        <v>41757</v>
      </c>
      <c r="E225" s="27" t="s">
        <v>29</v>
      </c>
      <c r="F225" s="22" t="s">
        <v>58</v>
      </c>
      <c r="G225" s="26" t="s">
        <v>20</v>
      </c>
      <c r="H225" s="22"/>
      <c r="I225" s="22"/>
      <c r="J225" s="6">
        <v>180</v>
      </c>
      <c r="K225" s="2">
        <v>1</v>
      </c>
      <c r="L225" s="6">
        <v>180</v>
      </c>
      <c r="M225" s="2">
        <v>96.6</v>
      </c>
      <c r="N225" s="22" t="s">
        <v>52</v>
      </c>
      <c r="O225" s="22"/>
      <c r="P225" s="2"/>
    </row>
    <row r="226" spans="1:16" ht="15" customHeight="1">
      <c r="A226" s="2">
        <v>225</v>
      </c>
      <c r="B226" s="22" t="s">
        <v>63</v>
      </c>
      <c r="C226" s="22" t="s">
        <v>64</v>
      </c>
      <c r="D226" s="3">
        <v>41757</v>
      </c>
      <c r="E226" s="22" t="s">
        <v>26</v>
      </c>
      <c r="F226" s="22" t="s">
        <v>58</v>
      </c>
      <c r="G226" s="26"/>
      <c r="H226" s="22"/>
      <c r="I226" s="22"/>
      <c r="J226" s="6">
        <v>90</v>
      </c>
      <c r="K226" s="2">
        <v>1</v>
      </c>
      <c r="L226" s="6">
        <v>90</v>
      </c>
      <c r="M226" s="2">
        <v>88.5</v>
      </c>
      <c r="N226" s="22"/>
      <c r="O226" s="22"/>
      <c r="P226" s="2"/>
    </row>
    <row r="227" spans="1:16" ht="15" customHeight="1">
      <c r="A227" s="2">
        <v>226</v>
      </c>
      <c r="B227" s="22" t="s">
        <v>63</v>
      </c>
      <c r="C227" s="22" t="s">
        <v>64</v>
      </c>
      <c r="D227" s="3">
        <v>41757</v>
      </c>
      <c r="E227" s="27" t="s">
        <v>29</v>
      </c>
      <c r="F227" s="22" t="s">
        <v>58</v>
      </c>
      <c r="G227" s="26" t="s">
        <v>20</v>
      </c>
      <c r="H227" s="22"/>
      <c r="I227" s="22"/>
      <c r="J227" s="6"/>
      <c r="K227" s="2">
        <v>6</v>
      </c>
      <c r="L227" s="6">
        <v>185.62874251497007</v>
      </c>
      <c r="M227" s="2">
        <v>88.5</v>
      </c>
      <c r="N227" s="22" t="s">
        <v>30</v>
      </c>
      <c r="O227" s="22"/>
      <c r="P227" s="2"/>
    </row>
    <row r="228" spans="1:16" ht="15" customHeight="1">
      <c r="A228" s="2">
        <v>227</v>
      </c>
      <c r="B228" s="22" t="s">
        <v>33</v>
      </c>
      <c r="C228" s="22" t="s">
        <v>34</v>
      </c>
      <c r="D228" s="3">
        <v>41758</v>
      </c>
      <c r="E228" s="22" t="s">
        <v>18</v>
      </c>
      <c r="F228" s="22" t="s">
        <v>19</v>
      </c>
      <c r="G228" s="26"/>
      <c r="H228" s="22"/>
      <c r="I228" s="22"/>
      <c r="J228" s="6"/>
      <c r="K228" s="2">
        <v>3</v>
      </c>
      <c r="L228" s="6">
        <v>186.8131868131868</v>
      </c>
      <c r="M228" s="2"/>
      <c r="N228" s="22" t="s">
        <v>99</v>
      </c>
      <c r="O228" s="22" t="s">
        <v>100</v>
      </c>
      <c r="P228" s="2"/>
    </row>
    <row r="229" spans="1:16" ht="15" customHeight="1">
      <c r="A229" s="2">
        <v>228</v>
      </c>
      <c r="B229" s="22" t="s">
        <v>33</v>
      </c>
      <c r="C229" s="22" t="s">
        <v>34</v>
      </c>
      <c r="D229" s="3">
        <v>41760</v>
      </c>
      <c r="E229" s="22" t="s">
        <v>62</v>
      </c>
      <c r="F229" s="22" t="s">
        <v>19</v>
      </c>
      <c r="G229" s="26"/>
      <c r="H229" s="22"/>
      <c r="I229" s="22"/>
      <c r="J229" s="6"/>
      <c r="K229" s="2">
        <v>4</v>
      </c>
      <c r="L229" s="6">
        <v>67.79661016949153</v>
      </c>
      <c r="M229" s="2">
        <v>89.6</v>
      </c>
      <c r="N229" s="22"/>
      <c r="O229" s="22" t="s">
        <v>81</v>
      </c>
      <c r="P229" s="2"/>
    </row>
    <row r="230" spans="1:16" ht="15" customHeight="1">
      <c r="A230" s="2">
        <v>229</v>
      </c>
      <c r="B230" s="22" t="s">
        <v>33</v>
      </c>
      <c r="C230" s="22" t="s">
        <v>34</v>
      </c>
      <c r="D230" s="3">
        <v>41760</v>
      </c>
      <c r="E230" s="27" t="s">
        <v>29</v>
      </c>
      <c r="F230" s="22" t="s">
        <v>19</v>
      </c>
      <c r="G230" s="26" t="s">
        <v>54</v>
      </c>
      <c r="H230" s="22"/>
      <c r="I230" s="22"/>
      <c r="J230" s="6"/>
      <c r="K230" s="2">
        <v>5</v>
      </c>
      <c r="L230" s="6">
        <v>162.7906976744186</v>
      </c>
      <c r="M230" s="2">
        <v>89.6</v>
      </c>
      <c r="N230" s="22" t="s">
        <v>82</v>
      </c>
      <c r="O230" s="22" t="s">
        <v>81</v>
      </c>
      <c r="P230" s="2"/>
    </row>
    <row r="231" spans="1:16" ht="15" customHeight="1">
      <c r="A231" s="2">
        <v>230</v>
      </c>
      <c r="B231" s="22" t="s">
        <v>33</v>
      </c>
      <c r="C231" s="22" t="s">
        <v>34</v>
      </c>
      <c r="D231" s="3">
        <v>41760</v>
      </c>
      <c r="E231" s="22" t="s">
        <v>23</v>
      </c>
      <c r="F231" s="22" t="s">
        <v>19</v>
      </c>
      <c r="G231" s="26"/>
      <c r="H231" s="22"/>
      <c r="I231" s="22"/>
      <c r="J231" s="6"/>
      <c r="K231" s="2">
        <v>5</v>
      </c>
      <c r="L231" s="6">
        <v>174.41860465116278</v>
      </c>
      <c r="M231" s="2">
        <v>89.6</v>
      </c>
      <c r="N231" s="22"/>
      <c r="O231" s="22" t="s">
        <v>81</v>
      </c>
      <c r="P231" s="2"/>
    </row>
    <row r="232" spans="1:16" ht="15" customHeight="1">
      <c r="A232" s="2">
        <v>231</v>
      </c>
      <c r="B232" s="22" t="s">
        <v>47</v>
      </c>
      <c r="C232" s="22" t="s">
        <v>48</v>
      </c>
      <c r="D232" s="3">
        <v>41761</v>
      </c>
      <c r="E232" s="22" t="s">
        <v>50</v>
      </c>
      <c r="F232" s="22" t="s">
        <v>19</v>
      </c>
      <c r="G232" s="26"/>
      <c r="H232" s="22"/>
      <c r="I232" s="22"/>
      <c r="J232" s="6"/>
      <c r="K232" s="2">
        <v>5</v>
      </c>
      <c r="L232" s="6">
        <v>372.09302325581393</v>
      </c>
      <c r="M232" s="2">
        <v>102.4</v>
      </c>
      <c r="N232" s="22"/>
      <c r="O232" s="22"/>
      <c r="P232" s="2"/>
    </row>
    <row r="233" spans="1:16" ht="15" customHeight="1">
      <c r="A233" s="2">
        <v>232</v>
      </c>
      <c r="B233" s="22" t="s">
        <v>16</v>
      </c>
      <c r="C233" s="22" t="s">
        <v>17</v>
      </c>
      <c r="D233" s="3">
        <v>41761</v>
      </c>
      <c r="E233" s="22" t="s">
        <v>50</v>
      </c>
      <c r="F233" s="22" t="s">
        <v>19</v>
      </c>
      <c r="G233" s="26"/>
      <c r="H233" s="22"/>
      <c r="I233" s="22"/>
      <c r="J233" s="6"/>
      <c r="K233" s="2">
        <v>5</v>
      </c>
      <c r="L233" s="6">
        <v>244.18604651162792</v>
      </c>
      <c r="M233" s="2">
        <v>82.6</v>
      </c>
      <c r="N233" s="22"/>
      <c r="O233" s="22"/>
      <c r="P233" s="2"/>
    </row>
    <row r="234" spans="1:16" ht="15" customHeight="1">
      <c r="A234" s="2">
        <v>233</v>
      </c>
      <c r="B234" s="22" t="s">
        <v>27</v>
      </c>
      <c r="C234" s="22" t="s">
        <v>28</v>
      </c>
      <c r="D234" s="3">
        <v>41761</v>
      </c>
      <c r="E234" s="22" t="s">
        <v>50</v>
      </c>
      <c r="F234" s="22" t="s">
        <v>19</v>
      </c>
      <c r="G234" s="26"/>
      <c r="H234" s="22"/>
      <c r="I234" s="22"/>
      <c r="J234" s="6"/>
      <c r="K234" s="2">
        <v>5</v>
      </c>
      <c r="L234" s="6">
        <v>348.83720930232556</v>
      </c>
      <c r="M234" s="2">
        <v>96.6</v>
      </c>
      <c r="N234" s="22"/>
      <c r="O234" s="22"/>
      <c r="P234" s="2"/>
    </row>
    <row r="235" spans="1:16" ht="15" customHeight="1">
      <c r="A235" s="2">
        <v>234</v>
      </c>
      <c r="B235" s="22" t="s">
        <v>31</v>
      </c>
      <c r="C235" s="22" t="s">
        <v>32</v>
      </c>
      <c r="D235" s="3">
        <v>41761</v>
      </c>
      <c r="E235" s="22" t="s">
        <v>50</v>
      </c>
      <c r="F235" s="22" t="s">
        <v>19</v>
      </c>
      <c r="G235" s="26"/>
      <c r="H235" s="22"/>
      <c r="I235" s="22"/>
      <c r="J235" s="6"/>
      <c r="K235" s="2">
        <v>5</v>
      </c>
      <c r="L235" s="6">
        <v>244.18604651162792</v>
      </c>
      <c r="M235" s="2">
        <v>83.3</v>
      </c>
      <c r="N235" s="22"/>
      <c r="O235" s="22"/>
      <c r="P235" s="2"/>
    </row>
    <row r="236" spans="1:16" ht="15" customHeight="1">
      <c r="A236" s="2">
        <v>235</v>
      </c>
      <c r="B236" s="22" t="s">
        <v>41</v>
      </c>
      <c r="C236" s="22" t="s">
        <v>42</v>
      </c>
      <c r="D236" s="3">
        <v>41761</v>
      </c>
      <c r="E236" s="22" t="s">
        <v>50</v>
      </c>
      <c r="F236" s="22" t="s">
        <v>19</v>
      </c>
      <c r="G236" s="26"/>
      <c r="H236" s="22"/>
      <c r="I236" s="22"/>
      <c r="J236" s="6"/>
      <c r="K236" s="2">
        <v>5</v>
      </c>
      <c r="L236" s="6">
        <v>174.41860465116278</v>
      </c>
      <c r="M236" s="2">
        <v>78.8</v>
      </c>
      <c r="N236" s="22"/>
      <c r="O236" s="22"/>
      <c r="P236" s="2"/>
    </row>
    <row r="237" spans="1:16" ht="15" customHeight="1">
      <c r="A237" s="2">
        <v>236</v>
      </c>
      <c r="B237" s="22" t="s">
        <v>63</v>
      </c>
      <c r="C237" s="22" t="s">
        <v>64</v>
      </c>
      <c r="D237" s="3">
        <v>41761</v>
      </c>
      <c r="E237" s="22" t="s">
        <v>70</v>
      </c>
      <c r="F237" s="22" t="s">
        <v>19</v>
      </c>
      <c r="G237" s="26"/>
      <c r="H237" s="22"/>
      <c r="I237" s="22"/>
      <c r="J237" s="6"/>
      <c r="K237" s="2">
        <v>3</v>
      </c>
      <c r="L237" s="6">
        <v>131.86813186813185</v>
      </c>
      <c r="M237" s="2">
        <v>88.3</v>
      </c>
      <c r="N237" s="22"/>
      <c r="O237" s="22"/>
      <c r="P237" s="2"/>
    </row>
    <row r="238" spans="1:16" ht="15" customHeight="1">
      <c r="A238" s="2">
        <v>237</v>
      </c>
      <c r="B238" s="22" t="s">
        <v>63</v>
      </c>
      <c r="C238" s="22" t="s">
        <v>64</v>
      </c>
      <c r="D238" s="3">
        <v>41761</v>
      </c>
      <c r="E238" s="22" t="s">
        <v>50</v>
      </c>
      <c r="F238" s="22" t="s">
        <v>19</v>
      </c>
      <c r="G238" s="26"/>
      <c r="H238" s="22"/>
      <c r="I238" s="22"/>
      <c r="J238" s="6"/>
      <c r="K238" s="2">
        <v>5</v>
      </c>
      <c r="L238" s="6">
        <v>255.81395348837211</v>
      </c>
      <c r="M238" s="2">
        <v>88.3</v>
      </c>
      <c r="N238" s="22"/>
      <c r="O238" s="22"/>
      <c r="P238" s="2"/>
    </row>
    <row r="239" spans="1:16" ht="15" customHeight="1">
      <c r="A239" s="2">
        <v>238</v>
      </c>
      <c r="B239" s="22" t="s">
        <v>33</v>
      </c>
      <c r="C239" s="22" t="s">
        <v>34</v>
      </c>
      <c r="D239" s="3">
        <v>41762</v>
      </c>
      <c r="E239" s="22" t="s">
        <v>101</v>
      </c>
      <c r="F239" s="22" t="s">
        <v>19</v>
      </c>
      <c r="G239" s="26"/>
      <c r="H239" s="22"/>
      <c r="I239" s="22"/>
      <c r="J239" s="6"/>
      <c r="K239" s="2">
        <v>3</v>
      </c>
      <c r="L239" s="6">
        <v>65.934065934065927</v>
      </c>
      <c r="M239" s="2">
        <v>89.9</v>
      </c>
      <c r="N239" s="22"/>
      <c r="O239" s="22" t="s">
        <v>102</v>
      </c>
      <c r="P239" s="2"/>
    </row>
    <row r="240" spans="1:16" ht="15" customHeight="1">
      <c r="A240" s="2">
        <v>239</v>
      </c>
      <c r="B240" s="22" t="s">
        <v>33</v>
      </c>
      <c r="C240" s="22" t="s">
        <v>34</v>
      </c>
      <c r="D240" s="3">
        <v>41762</v>
      </c>
      <c r="E240" s="22" t="s">
        <v>53</v>
      </c>
      <c r="F240" s="22" t="s">
        <v>19</v>
      </c>
      <c r="G240" s="26"/>
      <c r="H240" s="22"/>
      <c r="I240" s="22"/>
      <c r="J240" s="6"/>
      <c r="K240" s="2">
        <v>3</v>
      </c>
      <c r="L240" s="6">
        <v>120.87912087912088</v>
      </c>
      <c r="M240" s="2">
        <v>89.9</v>
      </c>
      <c r="N240" s="22"/>
      <c r="O240" s="22" t="s">
        <v>102</v>
      </c>
      <c r="P240" s="2"/>
    </row>
    <row r="241" spans="1:16" ht="15" customHeight="1">
      <c r="A241" s="2">
        <v>240</v>
      </c>
      <c r="B241" s="22" t="s">
        <v>33</v>
      </c>
      <c r="C241" s="22" t="s">
        <v>34</v>
      </c>
      <c r="D241" s="3">
        <v>41762</v>
      </c>
      <c r="E241" s="22" t="s">
        <v>101</v>
      </c>
      <c r="F241" s="22" t="s">
        <v>19</v>
      </c>
      <c r="G241" s="26"/>
      <c r="H241" s="22"/>
      <c r="I241" s="22"/>
      <c r="J241" s="6"/>
      <c r="K241" s="2">
        <v>3</v>
      </c>
      <c r="L241" s="6">
        <v>65.934065934065927</v>
      </c>
      <c r="M241" s="2">
        <v>89.9</v>
      </c>
      <c r="N241" s="22"/>
      <c r="O241" s="22" t="s">
        <v>102</v>
      </c>
      <c r="P241" s="2"/>
    </row>
    <row r="242" spans="1:16" ht="15" customHeight="1">
      <c r="A242" s="2">
        <v>241</v>
      </c>
      <c r="B242" s="22" t="s">
        <v>47</v>
      </c>
      <c r="C242" s="22" t="s">
        <v>48</v>
      </c>
      <c r="D242" s="3">
        <v>41764</v>
      </c>
      <c r="E242" s="27" t="s">
        <v>29</v>
      </c>
      <c r="F242" s="22" t="s">
        <v>19</v>
      </c>
      <c r="G242" s="26" t="s">
        <v>54</v>
      </c>
      <c r="H242" s="22"/>
      <c r="I242" s="22"/>
      <c r="J242" s="6"/>
      <c r="K242" s="2">
        <v>5</v>
      </c>
      <c r="L242" s="6">
        <v>197.67441860465118</v>
      </c>
      <c r="M242" s="2">
        <v>101.9</v>
      </c>
      <c r="N242" s="22" t="s">
        <v>30</v>
      </c>
      <c r="O242" s="22"/>
      <c r="P242" s="2"/>
    </row>
    <row r="243" spans="1:16" ht="15" customHeight="1">
      <c r="A243" s="2">
        <v>242</v>
      </c>
      <c r="B243" s="22" t="s">
        <v>47</v>
      </c>
      <c r="C243" s="22" t="s">
        <v>48</v>
      </c>
      <c r="D243" s="3">
        <v>41764</v>
      </c>
      <c r="E243" s="22" t="s">
        <v>62</v>
      </c>
      <c r="F243" s="22" t="s">
        <v>19</v>
      </c>
      <c r="G243" s="26"/>
      <c r="H243" s="22"/>
      <c r="I243" s="22"/>
      <c r="J243" s="6"/>
      <c r="K243" s="2">
        <v>5</v>
      </c>
      <c r="L243" s="6">
        <v>54.651162790697676</v>
      </c>
      <c r="M243" s="2">
        <v>101.9</v>
      </c>
      <c r="N243" s="22"/>
      <c r="O243" s="22"/>
      <c r="P243" s="2"/>
    </row>
    <row r="244" spans="1:16" ht="15" customHeight="1">
      <c r="A244" s="2">
        <v>243</v>
      </c>
      <c r="B244" s="22" t="s">
        <v>47</v>
      </c>
      <c r="C244" s="22" t="s">
        <v>48</v>
      </c>
      <c r="D244" s="3">
        <v>41764</v>
      </c>
      <c r="E244" s="22" t="s">
        <v>23</v>
      </c>
      <c r="F244" s="22" t="s">
        <v>19</v>
      </c>
      <c r="G244" s="26"/>
      <c r="H244" s="22"/>
      <c r="I244" s="22"/>
      <c r="J244" s="6"/>
      <c r="K244" s="2">
        <v>5</v>
      </c>
      <c r="L244" s="6">
        <v>232.55813953488374</v>
      </c>
      <c r="M244" s="2">
        <v>101.9</v>
      </c>
      <c r="N244" s="22"/>
      <c r="O244" s="22"/>
      <c r="P244" s="2"/>
    </row>
    <row r="245" spans="1:16" ht="15" customHeight="1">
      <c r="A245" s="2">
        <v>244</v>
      </c>
      <c r="B245" s="22" t="s">
        <v>16</v>
      </c>
      <c r="C245" s="22" t="s">
        <v>17</v>
      </c>
      <c r="D245" s="3">
        <v>41764</v>
      </c>
      <c r="E245" s="27" t="s">
        <v>29</v>
      </c>
      <c r="F245" s="22" t="s">
        <v>19</v>
      </c>
      <c r="G245" s="26" t="s">
        <v>54</v>
      </c>
      <c r="H245" s="22"/>
      <c r="I245" s="22"/>
      <c r="J245" s="6"/>
      <c r="K245" s="2">
        <v>5</v>
      </c>
      <c r="L245" s="6">
        <v>139.53488372093022</v>
      </c>
      <c r="M245" s="2">
        <v>83.6</v>
      </c>
      <c r="N245" s="22" t="s">
        <v>30</v>
      </c>
      <c r="O245" s="22"/>
      <c r="P245" s="2"/>
    </row>
    <row r="246" spans="1:16" ht="15" customHeight="1">
      <c r="A246" s="2">
        <v>245</v>
      </c>
      <c r="B246" s="22" t="s">
        <v>16</v>
      </c>
      <c r="C246" s="22" t="s">
        <v>17</v>
      </c>
      <c r="D246" s="3">
        <v>41764</v>
      </c>
      <c r="E246" s="22" t="s">
        <v>23</v>
      </c>
      <c r="F246" s="22" t="s">
        <v>19</v>
      </c>
      <c r="G246" s="26"/>
      <c r="H246" s="22"/>
      <c r="I246" s="22"/>
      <c r="J246" s="6"/>
      <c r="K246" s="2">
        <v>5</v>
      </c>
      <c r="L246" s="6">
        <v>232.55813953488374</v>
      </c>
      <c r="M246" s="2">
        <v>83.6</v>
      </c>
      <c r="N246" s="22"/>
      <c r="O246" s="22"/>
      <c r="P246" s="2"/>
    </row>
    <row r="247" spans="1:16" ht="15" customHeight="1">
      <c r="A247" s="2">
        <v>246</v>
      </c>
      <c r="B247" s="22" t="s">
        <v>16</v>
      </c>
      <c r="C247" s="22" t="s">
        <v>17</v>
      </c>
      <c r="D247" s="3">
        <v>41764</v>
      </c>
      <c r="E247" s="22" t="s">
        <v>43</v>
      </c>
      <c r="F247" s="22" t="s">
        <v>19</v>
      </c>
      <c r="G247" s="26"/>
      <c r="H247" s="22"/>
      <c r="I247" s="22"/>
      <c r="J247" s="6"/>
      <c r="K247" s="2">
        <v>5</v>
      </c>
      <c r="L247" s="6">
        <v>127.90697674418605</v>
      </c>
      <c r="M247" s="2">
        <v>83.6</v>
      </c>
      <c r="N247" s="22" t="s">
        <v>44</v>
      </c>
      <c r="O247" s="22"/>
      <c r="P247" s="2"/>
    </row>
    <row r="248" spans="1:16" ht="15" customHeight="1">
      <c r="A248" s="2">
        <v>247</v>
      </c>
      <c r="B248" s="22" t="s">
        <v>38</v>
      </c>
      <c r="C248" s="22" t="s">
        <v>39</v>
      </c>
      <c r="D248" s="3">
        <v>41764</v>
      </c>
      <c r="E248" s="22" t="s">
        <v>46</v>
      </c>
      <c r="F248" s="22" t="s">
        <v>19</v>
      </c>
      <c r="G248" s="26"/>
      <c r="H248" s="22"/>
      <c r="I248" s="22"/>
      <c r="J248" s="6"/>
      <c r="K248" s="2">
        <v>3</v>
      </c>
      <c r="L248" s="6">
        <v>71.428571428571431</v>
      </c>
      <c r="M248" s="2">
        <v>79.8</v>
      </c>
      <c r="N248" s="22"/>
      <c r="O248" s="22"/>
      <c r="P248" s="2"/>
    </row>
    <row r="249" spans="1:16" ht="15" customHeight="1">
      <c r="A249" s="2">
        <v>248</v>
      </c>
      <c r="B249" s="22" t="s">
        <v>38</v>
      </c>
      <c r="C249" s="22" t="s">
        <v>39</v>
      </c>
      <c r="D249" s="3">
        <v>41764</v>
      </c>
      <c r="E249" s="27" t="s">
        <v>29</v>
      </c>
      <c r="F249" s="22" t="s">
        <v>19</v>
      </c>
      <c r="G249" s="26" t="s">
        <v>54</v>
      </c>
      <c r="H249" s="22"/>
      <c r="I249" s="22"/>
      <c r="J249" s="6"/>
      <c r="K249" s="2">
        <v>4</v>
      </c>
      <c r="L249" s="6">
        <v>158.19209039548022</v>
      </c>
      <c r="M249" s="2">
        <v>79.8</v>
      </c>
      <c r="N249" s="22" t="s">
        <v>52</v>
      </c>
      <c r="O249" s="22"/>
      <c r="P249" s="2"/>
    </row>
    <row r="250" spans="1:16" ht="15" customHeight="1">
      <c r="A250" s="2">
        <v>249</v>
      </c>
      <c r="B250" s="22" t="s">
        <v>27</v>
      </c>
      <c r="C250" s="22" t="s">
        <v>28</v>
      </c>
      <c r="D250" s="3">
        <v>41764</v>
      </c>
      <c r="E250" s="27" t="s">
        <v>29</v>
      </c>
      <c r="F250" s="22" t="s">
        <v>19</v>
      </c>
      <c r="G250" s="26" t="s">
        <v>54</v>
      </c>
      <c r="H250" s="22"/>
      <c r="I250" s="22"/>
      <c r="J250" s="6"/>
      <c r="K250" s="2">
        <v>5</v>
      </c>
      <c r="L250" s="6">
        <v>197.67441860465118</v>
      </c>
      <c r="M250" s="2">
        <v>97.3</v>
      </c>
      <c r="N250" s="22" t="s">
        <v>30</v>
      </c>
      <c r="O250" s="22"/>
      <c r="P250" s="2"/>
    </row>
    <row r="251" spans="1:16" ht="15" customHeight="1">
      <c r="A251" s="2">
        <v>250</v>
      </c>
      <c r="B251" s="22" t="s">
        <v>27</v>
      </c>
      <c r="C251" s="22" t="s">
        <v>28</v>
      </c>
      <c r="D251" s="3">
        <v>41764</v>
      </c>
      <c r="E251" s="22" t="s">
        <v>23</v>
      </c>
      <c r="F251" s="22" t="s">
        <v>19</v>
      </c>
      <c r="G251" s="26"/>
      <c r="H251" s="22"/>
      <c r="I251" s="22"/>
      <c r="J251" s="6"/>
      <c r="K251" s="2">
        <v>5</v>
      </c>
      <c r="L251" s="6">
        <v>209.30232558139537</v>
      </c>
      <c r="M251" s="2">
        <v>97.3</v>
      </c>
      <c r="N251" s="22"/>
      <c r="O251" s="22"/>
      <c r="P251" s="2"/>
    </row>
    <row r="252" spans="1:16" ht="15" customHeight="1">
      <c r="A252" s="2">
        <v>251</v>
      </c>
      <c r="B252" s="22" t="s">
        <v>31</v>
      </c>
      <c r="C252" s="22" t="s">
        <v>32</v>
      </c>
      <c r="D252" s="3">
        <v>41764</v>
      </c>
      <c r="E252" s="27" t="s">
        <v>29</v>
      </c>
      <c r="F252" s="22" t="s">
        <v>19</v>
      </c>
      <c r="G252" s="26" t="s">
        <v>54</v>
      </c>
      <c r="H252" s="22"/>
      <c r="I252" s="22"/>
      <c r="J252" s="6"/>
      <c r="K252" s="2">
        <v>5</v>
      </c>
      <c r="L252" s="6">
        <v>139.53488372093022</v>
      </c>
      <c r="M252" s="2">
        <v>83.4</v>
      </c>
      <c r="N252" s="22" t="s">
        <v>30</v>
      </c>
      <c r="O252" s="22"/>
      <c r="P252" s="2"/>
    </row>
    <row r="253" spans="1:16" ht="15" customHeight="1">
      <c r="A253" s="2">
        <v>252</v>
      </c>
      <c r="B253" s="22" t="s">
        <v>31</v>
      </c>
      <c r="C253" s="22" t="s">
        <v>32</v>
      </c>
      <c r="D253" s="3">
        <v>41764</v>
      </c>
      <c r="E253" s="22" t="s">
        <v>23</v>
      </c>
      <c r="F253" s="22" t="s">
        <v>19</v>
      </c>
      <c r="G253" s="26"/>
      <c r="H253" s="22"/>
      <c r="I253" s="22"/>
      <c r="J253" s="6"/>
      <c r="K253" s="2">
        <v>5</v>
      </c>
      <c r="L253" s="6">
        <v>209.30232558139537</v>
      </c>
      <c r="M253" s="2">
        <v>83.4</v>
      </c>
      <c r="N253" s="22"/>
      <c r="O253" s="22"/>
      <c r="P253" s="2"/>
    </row>
    <row r="254" spans="1:16" ht="15" customHeight="1">
      <c r="A254" s="2">
        <v>253</v>
      </c>
      <c r="B254" s="22" t="s">
        <v>31</v>
      </c>
      <c r="C254" s="22" t="s">
        <v>32</v>
      </c>
      <c r="D254" s="3">
        <v>41764</v>
      </c>
      <c r="E254" s="22" t="s">
        <v>43</v>
      </c>
      <c r="F254" s="22" t="s">
        <v>19</v>
      </c>
      <c r="G254" s="26"/>
      <c r="H254" s="22"/>
      <c r="I254" s="22"/>
      <c r="J254" s="6"/>
      <c r="K254" s="2">
        <v>5</v>
      </c>
      <c r="L254" s="6">
        <v>127.90697674418605</v>
      </c>
      <c r="M254" s="2">
        <v>83.4</v>
      </c>
      <c r="N254" s="22" t="s">
        <v>44</v>
      </c>
      <c r="O254" s="22"/>
      <c r="P254" s="2"/>
    </row>
    <row r="255" spans="1:16" ht="15" customHeight="1">
      <c r="A255" s="2">
        <v>254</v>
      </c>
      <c r="B255" s="29" t="s">
        <v>41</v>
      </c>
      <c r="C255" s="29" t="s">
        <v>42</v>
      </c>
      <c r="D255" s="3">
        <v>41764</v>
      </c>
      <c r="E255" s="22" t="s">
        <v>46</v>
      </c>
      <c r="F255" s="22" t="s">
        <v>19</v>
      </c>
      <c r="G255" s="32"/>
      <c r="H255" s="29"/>
      <c r="I255" s="29"/>
      <c r="J255" s="30"/>
      <c r="K255" s="28">
        <v>3</v>
      </c>
      <c r="L255" s="30">
        <v>69.230769230769226</v>
      </c>
      <c r="M255" s="28">
        <v>78.400000000000006</v>
      </c>
      <c r="N255" s="22"/>
      <c r="O255" s="29"/>
      <c r="P255" s="28"/>
    </row>
    <row r="256" spans="1:16" ht="15" customHeight="1">
      <c r="A256" s="2">
        <v>255</v>
      </c>
      <c r="B256" s="22" t="s">
        <v>41</v>
      </c>
      <c r="C256" s="22" t="s">
        <v>42</v>
      </c>
      <c r="D256" s="3">
        <v>41764</v>
      </c>
      <c r="E256" s="27" t="s">
        <v>29</v>
      </c>
      <c r="F256" s="22" t="s">
        <v>19</v>
      </c>
      <c r="G256" s="26" t="s">
        <v>20</v>
      </c>
      <c r="H256" s="22"/>
      <c r="I256" s="22"/>
      <c r="J256" s="6"/>
      <c r="K256" s="2">
        <v>4</v>
      </c>
      <c r="L256" s="6">
        <v>180.79096045197741</v>
      </c>
      <c r="M256" s="2">
        <v>78.400000000000006</v>
      </c>
      <c r="N256" s="22" t="s">
        <v>52</v>
      </c>
      <c r="O256" s="22"/>
      <c r="P256" s="2"/>
    </row>
    <row r="257" spans="1:16" ht="15" customHeight="1">
      <c r="A257" s="2">
        <v>256</v>
      </c>
      <c r="B257" s="22" t="s">
        <v>38</v>
      </c>
      <c r="C257" s="22" t="s">
        <v>39</v>
      </c>
      <c r="D257" s="3">
        <v>41766</v>
      </c>
      <c r="E257" s="22" t="s">
        <v>103</v>
      </c>
      <c r="F257" s="22" t="s">
        <v>19</v>
      </c>
      <c r="G257" s="26"/>
      <c r="H257" s="22"/>
      <c r="I257" s="22"/>
      <c r="J257" s="6">
        <v>55</v>
      </c>
      <c r="K257" s="2">
        <v>6</v>
      </c>
      <c r="L257" s="6">
        <v>827</v>
      </c>
      <c r="M257" s="2">
        <v>80.400000000000006</v>
      </c>
      <c r="N257" s="22"/>
      <c r="O257" s="22"/>
      <c r="P257" s="2"/>
    </row>
    <row r="258" spans="1:16" ht="15" customHeight="1">
      <c r="A258" s="2">
        <v>257</v>
      </c>
      <c r="B258" s="22" t="s">
        <v>38</v>
      </c>
      <c r="C258" s="22" t="s">
        <v>39</v>
      </c>
      <c r="D258" s="3">
        <v>41766</v>
      </c>
      <c r="E258" s="22" t="s">
        <v>70</v>
      </c>
      <c r="F258" s="22" t="s">
        <v>19</v>
      </c>
      <c r="G258" s="26"/>
      <c r="H258" s="22"/>
      <c r="I258" s="22"/>
      <c r="J258" s="6"/>
      <c r="K258" s="2">
        <v>6</v>
      </c>
      <c r="L258" s="6">
        <v>143.7125748502994</v>
      </c>
      <c r="M258" s="2">
        <v>80.400000000000006</v>
      </c>
      <c r="N258" s="22"/>
      <c r="O258" s="22"/>
      <c r="P258" s="2"/>
    </row>
    <row r="259" spans="1:16" ht="15" customHeight="1">
      <c r="A259" s="2">
        <v>258</v>
      </c>
      <c r="B259" s="22" t="s">
        <v>63</v>
      </c>
      <c r="C259" s="22" t="s">
        <v>64</v>
      </c>
      <c r="D259" s="3">
        <v>41766</v>
      </c>
      <c r="E259" s="22" t="s">
        <v>103</v>
      </c>
      <c r="F259" s="22" t="s">
        <v>19</v>
      </c>
      <c r="G259" s="26"/>
      <c r="H259" s="22"/>
      <c r="I259" s="22"/>
      <c r="J259" s="6">
        <v>50</v>
      </c>
      <c r="K259" s="2">
        <v>6</v>
      </c>
      <c r="L259" s="6">
        <v>827</v>
      </c>
      <c r="M259" s="2">
        <v>88.5</v>
      </c>
      <c r="N259" s="22"/>
      <c r="O259" s="22"/>
      <c r="P259" s="2"/>
    </row>
    <row r="260" spans="1:16" ht="15" customHeight="1">
      <c r="A260" s="2">
        <v>259</v>
      </c>
      <c r="B260" s="22" t="s">
        <v>63</v>
      </c>
      <c r="C260" s="22" t="s">
        <v>64</v>
      </c>
      <c r="D260" s="3">
        <v>41766</v>
      </c>
      <c r="E260" s="22" t="s">
        <v>70</v>
      </c>
      <c r="F260" s="22" t="s">
        <v>19</v>
      </c>
      <c r="G260" s="26"/>
      <c r="H260" s="22"/>
      <c r="I260" s="22"/>
      <c r="J260" s="6"/>
      <c r="K260" s="2">
        <v>6</v>
      </c>
      <c r="L260" s="6">
        <v>127.90697674418605</v>
      </c>
      <c r="M260" s="2">
        <v>88.5</v>
      </c>
      <c r="N260" s="22"/>
      <c r="O260" s="22"/>
      <c r="P260" s="2"/>
    </row>
    <row r="261" spans="1:16" ht="15" customHeight="1">
      <c r="A261" s="2">
        <v>260</v>
      </c>
      <c r="B261" s="22" t="s">
        <v>33</v>
      </c>
      <c r="C261" s="22" t="s">
        <v>34</v>
      </c>
      <c r="D261" s="3">
        <v>41767</v>
      </c>
      <c r="E261" s="22" t="s">
        <v>65</v>
      </c>
      <c r="F261" s="22" t="s">
        <v>19</v>
      </c>
      <c r="G261" s="26"/>
      <c r="H261" s="22"/>
      <c r="I261" s="22"/>
      <c r="J261" s="6"/>
      <c r="K261" s="2">
        <v>5</v>
      </c>
      <c r="L261" s="6">
        <v>127.90697674418605</v>
      </c>
      <c r="M261" s="2">
        <v>90.5</v>
      </c>
      <c r="N261" s="22"/>
      <c r="O261" s="22" t="s">
        <v>66</v>
      </c>
      <c r="P261" s="2"/>
    </row>
    <row r="262" spans="1:16" ht="15" customHeight="1">
      <c r="A262" s="2">
        <v>261</v>
      </c>
      <c r="B262" s="22" t="s">
        <v>47</v>
      </c>
      <c r="C262" s="22" t="s">
        <v>48</v>
      </c>
      <c r="D262" s="3">
        <v>41768</v>
      </c>
      <c r="E262" s="22" t="s">
        <v>46</v>
      </c>
      <c r="F262" s="22" t="s">
        <v>19</v>
      </c>
      <c r="G262" s="26"/>
      <c r="H262" s="22"/>
      <c r="I262" s="22"/>
      <c r="J262" s="6"/>
      <c r="K262" s="2">
        <v>4</v>
      </c>
      <c r="L262" s="6">
        <v>124.29378531073446</v>
      </c>
      <c r="M262" s="2">
        <v>101.6</v>
      </c>
      <c r="N262" s="22"/>
      <c r="O262" s="22" t="s">
        <v>104</v>
      </c>
      <c r="P262" s="2"/>
    </row>
    <row r="263" spans="1:16" ht="15" customHeight="1">
      <c r="A263" s="2">
        <v>262</v>
      </c>
      <c r="B263" s="22" t="s">
        <v>16</v>
      </c>
      <c r="C263" s="22" t="s">
        <v>17</v>
      </c>
      <c r="D263" s="3">
        <v>41768</v>
      </c>
      <c r="E263" s="27" t="s">
        <v>29</v>
      </c>
      <c r="F263" s="22" t="s">
        <v>19</v>
      </c>
      <c r="G263" s="26" t="s">
        <v>54</v>
      </c>
      <c r="H263" s="22"/>
      <c r="I263" s="22"/>
      <c r="J263" s="6"/>
      <c r="K263" s="2">
        <v>5</v>
      </c>
      <c r="L263" s="6">
        <v>174.41860465116278</v>
      </c>
      <c r="M263" s="2">
        <v>82.8</v>
      </c>
      <c r="N263" s="22" t="s">
        <v>30</v>
      </c>
      <c r="O263" s="22"/>
      <c r="P263" s="2"/>
    </row>
    <row r="264" spans="1:16" ht="15" customHeight="1">
      <c r="A264" s="2">
        <v>263</v>
      </c>
      <c r="B264" s="22" t="s">
        <v>16</v>
      </c>
      <c r="C264" s="22" t="s">
        <v>17</v>
      </c>
      <c r="D264" s="3">
        <v>41768</v>
      </c>
      <c r="E264" s="22" t="s">
        <v>62</v>
      </c>
      <c r="F264" s="22" t="s">
        <v>19</v>
      </c>
      <c r="G264" s="26"/>
      <c r="H264" s="22"/>
      <c r="I264" s="22"/>
      <c r="J264" s="6"/>
      <c r="K264" s="2">
        <v>5</v>
      </c>
      <c r="L264" s="6">
        <v>70.930232558139537</v>
      </c>
      <c r="M264" s="2">
        <v>82.8</v>
      </c>
      <c r="N264" s="22"/>
      <c r="O264" s="22"/>
      <c r="P264" s="2"/>
    </row>
    <row r="265" spans="1:16" ht="15" customHeight="1">
      <c r="A265" s="2">
        <v>264</v>
      </c>
      <c r="B265" s="22" t="s">
        <v>16</v>
      </c>
      <c r="C265" s="22" t="s">
        <v>17</v>
      </c>
      <c r="D265" s="3">
        <v>41768</v>
      </c>
      <c r="E265" s="22" t="s">
        <v>50</v>
      </c>
      <c r="F265" s="22" t="s">
        <v>19</v>
      </c>
      <c r="G265" s="26"/>
      <c r="H265" s="22"/>
      <c r="I265" s="22"/>
      <c r="J265" s="6"/>
      <c r="K265" s="2">
        <v>5</v>
      </c>
      <c r="L265" s="6">
        <v>255.81395348837211</v>
      </c>
      <c r="M265" s="2">
        <v>82.8</v>
      </c>
      <c r="N265" s="22"/>
      <c r="O265" s="22"/>
      <c r="P265" s="2"/>
    </row>
    <row r="266" spans="1:16" ht="15" customHeight="1">
      <c r="A266" s="2">
        <v>265</v>
      </c>
      <c r="B266" s="22" t="s">
        <v>38</v>
      </c>
      <c r="C266" s="22" t="s">
        <v>39</v>
      </c>
      <c r="D266" s="3">
        <v>41768</v>
      </c>
      <c r="E266" s="22" t="s">
        <v>26</v>
      </c>
      <c r="F266" s="22" t="s">
        <v>19</v>
      </c>
      <c r="G266" s="26"/>
      <c r="H266" s="22"/>
      <c r="I266" s="22"/>
      <c r="J266" s="6"/>
      <c r="K266" s="2">
        <v>4</v>
      </c>
      <c r="L266" s="6">
        <v>73.44632768361582</v>
      </c>
      <c r="M266" s="2">
        <v>80.599999999999994</v>
      </c>
      <c r="N266" s="22"/>
      <c r="O266" s="22"/>
      <c r="P266" s="2"/>
    </row>
    <row r="267" spans="1:16" ht="15" customHeight="1">
      <c r="A267" s="2">
        <v>266</v>
      </c>
      <c r="B267" s="22" t="s">
        <v>38</v>
      </c>
      <c r="C267" s="22" t="s">
        <v>39</v>
      </c>
      <c r="D267" s="3">
        <v>41768</v>
      </c>
      <c r="E267" s="22" t="s">
        <v>23</v>
      </c>
      <c r="F267" s="22" t="s">
        <v>19</v>
      </c>
      <c r="G267" s="26"/>
      <c r="H267" s="22"/>
      <c r="I267" s="22"/>
      <c r="J267" s="6">
        <v>150</v>
      </c>
      <c r="K267" s="2">
        <v>5</v>
      </c>
      <c r="L267" s="6">
        <v>175.2336448598131</v>
      </c>
      <c r="M267" s="2">
        <v>80.599999999999994</v>
      </c>
      <c r="N267" s="22"/>
      <c r="O267" s="22"/>
      <c r="P267" s="2"/>
    </row>
    <row r="268" spans="1:16" ht="15" customHeight="1">
      <c r="A268" s="2">
        <v>267</v>
      </c>
      <c r="B268" s="22" t="s">
        <v>38</v>
      </c>
      <c r="C268" s="22" t="s">
        <v>39</v>
      </c>
      <c r="D268" s="3">
        <v>41768</v>
      </c>
      <c r="E268" s="22" t="s">
        <v>23</v>
      </c>
      <c r="F268" s="22" t="s">
        <v>19</v>
      </c>
      <c r="G268" s="26"/>
      <c r="H268" s="22"/>
      <c r="I268" s="22"/>
      <c r="J268" s="6">
        <v>140</v>
      </c>
      <c r="K268" s="2">
        <v>5</v>
      </c>
      <c r="L268" s="6">
        <v>163.55140186915889</v>
      </c>
      <c r="M268" s="2"/>
      <c r="N268" s="22"/>
      <c r="O268" s="22"/>
      <c r="P268" s="2"/>
    </row>
    <row r="269" spans="1:16" ht="15" customHeight="1">
      <c r="A269" s="2">
        <v>268</v>
      </c>
      <c r="B269" s="22" t="s">
        <v>27</v>
      </c>
      <c r="C269" s="22" t="s">
        <v>28</v>
      </c>
      <c r="D269" s="3">
        <v>41768</v>
      </c>
      <c r="E269" s="22" t="s">
        <v>67</v>
      </c>
      <c r="F269" s="22" t="s">
        <v>19</v>
      </c>
      <c r="G269" s="26"/>
      <c r="H269" s="22"/>
      <c r="I269" s="22"/>
      <c r="J269" s="6"/>
      <c r="K269" s="2">
        <v>5</v>
      </c>
      <c r="L269" s="6">
        <v>395.34883720930236</v>
      </c>
      <c r="M269" s="2">
        <v>95.5</v>
      </c>
      <c r="N269" s="22"/>
      <c r="O269" s="22" t="s">
        <v>105</v>
      </c>
      <c r="P269" s="2"/>
    </row>
    <row r="270" spans="1:16" ht="15" customHeight="1">
      <c r="A270" s="2">
        <v>269</v>
      </c>
      <c r="B270" s="22" t="s">
        <v>27</v>
      </c>
      <c r="C270" s="22" t="s">
        <v>28</v>
      </c>
      <c r="D270" s="3">
        <v>41768</v>
      </c>
      <c r="E270" s="22" t="s">
        <v>50</v>
      </c>
      <c r="F270" s="22" t="s">
        <v>19</v>
      </c>
      <c r="G270" s="26"/>
      <c r="H270" s="22"/>
      <c r="I270" s="22"/>
      <c r="J270" s="6"/>
      <c r="K270" s="2">
        <v>5</v>
      </c>
      <c r="L270" s="6">
        <v>353.74149659863946</v>
      </c>
      <c r="M270" s="2">
        <v>95.5</v>
      </c>
      <c r="N270" s="22"/>
      <c r="O270" s="22" t="s">
        <v>105</v>
      </c>
      <c r="P270" s="2"/>
    </row>
    <row r="271" spans="1:16" ht="15" customHeight="1">
      <c r="A271" s="2">
        <v>270</v>
      </c>
      <c r="B271" s="22" t="s">
        <v>31</v>
      </c>
      <c r="C271" s="22" t="s">
        <v>32</v>
      </c>
      <c r="D271" s="3">
        <v>41768</v>
      </c>
      <c r="E271" s="22" t="s">
        <v>68</v>
      </c>
      <c r="F271" s="22" t="s">
        <v>19</v>
      </c>
      <c r="G271" s="26"/>
      <c r="H271" s="22"/>
      <c r="I271" s="22"/>
      <c r="J271" s="6"/>
      <c r="K271" s="2">
        <v>4</v>
      </c>
      <c r="L271" s="6">
        <v>112.99435028248587</v>
      </c>
      <c r="M271" s="2">
        <v>84</v>
      </c>
      <c r="N271" s="22" t="s">
        <v>69</v>
      </c>
      <c r="O271" s="22"/>
      <c r="P271" s="2"/>
    </row>
    <row r="272" spans="1:16" ht="15" customHeight="1">
      <c r="A272" s="2">
        <v>271</v>
      </c>
      <c r="B272" s="22" t="s">
        <v>31</v>
      </c>
      <c r="C272" s="22" t="s">
        <v>32</v>
      </c>
      <c r="D272" s="3">
        <v>41768</v>
      </c>
      <c r="E272" s="22" t="s">
        <v>50</v>
      </c>
      <c r="F272" s="22" t="s">
        <v>19</v>
      </c>
      <c r="G272" s="26"/>
      <c r="H272" s="22"/>
      <c r="I272" s="22"/>
      <c r="J272" s="6"/>
      <c r="K272" s="2">
        <v>5</v>
      </c>
      <c r="L272" s="6">
        <v>244.18604651162792</v>
      </c>
      <c r="M272" s="2">
        <v>84</v>
      </c>
      <c r="N272" s="22"/>
      <c r="O272" s="22"/>
      <c r="P272" s="2"/>
    </row>
    <row r="273" spans="1:16" ht="15" customHeight="1">
      <c r="A273" s="2">
        <v>272</v>
      </c>
      <c r="B273" s="22" t="s">
        <v>33</v>
      </c>
      <c r="C273" s="22" t="s">
        <v>34</v>
      </c>
      <c r="D273" s="3">
        <v>41768</v>
      </c>
      <c r="E273" s="22" t="s">
        <v>62</v>
      </c>
      <c r="F273" s="22" t="s">
        <v>19</v>
      </c>
      <c r="G273" s="26"/>
      <c r="H273" s="22"/>
      <c r="I273" s="22"/>
      <c r="J273" s="6"/>
      <c r="K273" s="2">
        <v>4</v>
      </c>
      <c r="L273" s="6">
        <v>67.79661016949153</v>
      </c>
      <c r="M273" s="2">
        <v>90.9</v>
      </c>
      <c r="N273" s="22"/>
      <c r="O273" s="22" t="s">
        <v>81</v>
      </c>
      <c r="P273" s="2"/>
    </row>
    <row r="274" spans="1:16" ht="15" customHeight="1">
      <c r="A274" s="2">
        <v>273</v>
      </c>
      <c r="B274" s="22" t="s">
        <v>33</v>
      </c>
      <c r="C274" s="22" t="s">
        <v>34</v>
      </c>
      <c r="D274" s="3">
        <v>41768</v>
      </c>
      <c r="E274" s="27" t="s">
        <v>29</v>
      </c>
      <c r="F274" s="22" t="s">
        <v>19</v>
      </c>
      <c r="G274" s="26" t="s">
        <v>54</v>
      </c>
      <c r="H274" s="22"/>
      <c r="I274" s="22"/>
      <c r="J274" s="6"/>
      <c r="K274" s="2">
        <v>5</v>
      </c>
      <c r="L274" s="6">
        <v>168.6046511627907</v>
      </c>
      <c r="M274" s="2">
        <v>90.9</v>
      </c>
      <c r="N274" s="22" t="s">
        <v>82</v>
      </c>
      <c r="O274" s="22" t="s">
        <v>81</v>
      </c>
      <c r="P274" s="2"/>
    </row>
    <row r="275" spans="1:16" ht="15" customHeight="1">
      <c r="A275" s="2">
        <v>274</v>
      </c>
      <c r="B275" s="22" t="s">
        <v>33</v>
      </c>
      <c r="C275" s="22" t="s">
        <v>34</v>
      </c>
      <c r="D275" s="3">
        <v>41768</v>
      </c>
      <c r="E275" s="22" t="s">
        <v>23</v>
      </c>
      <c r="F275" s="22" t="s">
        <v>19</v>
      </c>
      <c r="G275" s="26"/>
      <c r="H275" s="22"/>
      <c r="I275" s="22"/>
      <c r="J275" s="6"/>
      <c r="K275" s="2">
        <v>5</v>
      </c>
      <c r="L275" s="6">
        <v>220.93023255813955</v>
      </c>
      <c r="M275" s="2">
        <v>90.9</v>
      </c>
      <c r="N275" s="22"/>
      <c r="O275" s="22" t="s">
        <v>81</v>
      </c>
      <c r="P275" s="2"/>
    </row>
    <row r="276" spans="1:16" ht="15" customHeight="1">
      <c r="A276" s="2">
        <v>275</v>
      </c>
      <c r="B276" s="22" t="s">
        <v>41</v>
      </c>
      <c r="C276" s="22" t="s">
        <v>42</v>
      </c>
      <c r="D276" s="3">
        <v>41768</v>
      </c>
      <c r="E276" s="22" t="s">
        <v>26</v>
      </c>
      <c r="F276" s="22" t="s">
        <v>19</v>
      </c>
      <c r="G276" s="26"/>
      <c r="H276" s="22"/>
      <c r="I276" s="22"/>
      <c r="J276" s="6"/>
      <c r="K276" s="2">
        <v>4</v>
      </c>
      <c r="L276" s="6">
        <v>73.44632768361582</v>
      </c>
      <c r="M276" s="2">
        <v>79.7</v>
      </c>
      <c r="N276" s="22"/>
      <c r="O276" s="22"/>
      <c r="P276" s="2"/>
    </row>
    <row r="277" spans="1:16" ht="15" customHeight="1">
      <c r="A277" s="2">
        <v>276</v>
      </c>
      <c r="B277" s="22" t="s">
        <v>63</v>
      </c>
      <c r="C277" s="22" t="s">
        <v>64</v>
      </c>
      <c r="D277" s="3">
        <v>41768</v>
      </c>
      <c r="E277" s="22" t="s">
        <v>46</v>
      </c>
      <c r="F277" s="22" t="s">
        <v>19</v>
      </c>
      <c r="G277" s="26"/>
      <c r="H277" s="22"/>
      <c r="I277" s="22"/>
      <c r="J277" s="6"/>
      <c r="K277" s="2">
        <v>4</v>
      </c>
      <c r="L277" s="6">
        <v>84.745762711864401</v>
      </c>
      <c r="M277" s="2">
        <v>88.1</v>
      </c>
      <c r="N277" s="22"/>
      <c r="O277" s="22"/>
      <c r="P277" s="2"/>
    </row>
    <row r="278" spans="1:16" ht="15" customHeight="1">
      <c r="A278" s="2">
        <v>277</v>
      </c>
      <c r="B278" s="22" t="s">
        <v>63</v>
      </c>
      <c r="C278" s="22" t="s">
        <v>64</v>
      </c>
      <c r="D278" s="3">
        <v>41768</v>
      </c>
      <c r="E278" s="22" t="s">
        <v>23</v>
      </c>
      <c r="F278" s="22" t="s">
        <v>19</v>
      </c>
      <c r="G278" s="26"/>
      <c r="H278" s="22"/>
      <c r="I278" s="22"/>
      <c r="J278" s="6"/>
      <c r="K278" s="2">
        <v>5</v>
      </c>
      <c r="L278" s="6">
        <v>197.67441860465118</v>
      </c>
      <c r="M278" s="2">
        <v>88.1</v>
      </c>
      <c r="N278" s="22"/>
      <c r="O278" s="22"/>
      <c r="P278" s="2"/>
    </row>
    <row r="279" spans="1:16" ht="15" customHeight="1">
      <c r="A279" s="2">
        <v>278</v>
      </c>
      <c r="B279" s="22" t="s">
        <v>33</v>
      </c>
      <c r="C279" s="22" t="s">
        <v>34</v>
      </c>
      <c r="D279" s="3">
        <v>41770</v>
      </c>
      <c r="E279" s="22" t="s">
        <v>101</v>
      </c>
      <c r="F279" s="22" t="s">
        <v>19</v>
      </c>
      <c r="G279" s="26"/>
      <c r="H279" s="22"/>
      <c r="I279" s="22"/>
      <c r="J279" s="6"/>
      <c r="K279" s="2">
        <v>3</v>
      </c>
      <c r="L279" s="6">
        <v>87.912087912087912</v>
      </c>
      <c r="M279" s="2">
        <v>90.6</v>
      </c>
      <c r="N279" s="22"/>
      <c r="O279" s="22" t="s">
        <v>102</v>
      </c>
      <c r="P279" s="2"/>
    </row>
    <row r="280" spans="1:16" ht="15" customHeight="1">
      <c r="A280" s="2">
        <v>279</v>
      </c>
      <c r="B280" s="22" t="s">
        <v>33</v>
      </c>
      <c r="C280" s="22" t="s">
        <v>34</v>
      </c>
      <c r="D280" s="3">
        <v>41770</v>
      </c>
      <c r="E280" s="22" t="s">
        <v>53</v>
      </c>
      <c r="F280" s="22" t="s">
        <v>19</v>
      </c>
      <c r="G280" s="26"/>
      <c r="H280" s="22"/>
      <c r="I280" s="22"/>
      <c r="J280" s="6"/>
      <c r="K280" s="2">
        <v>3</v>
      </c>
      <c r="L280" s="6">
        <v>131.86813186813185</v>
      </c>
      <c r="M280" s="2">
        <v>90.6</v>
      </c>
      <c r="N280" s="22"/>
      <c r="O280" s="22" t="s">
        <v>102</v>
      </c>
      <c r="P280" s="2"/>
    </row>
    <row r="281" spans="1:16" ht="15" customHeight="1">
      <c r="A281" s="2">
        <v>280</v>
      </c>
      <c r="B281" s="22" t="s">
        <v>33</v>
      </c>
      <c r="C281" s="22" t="s">
        <v>34</v>
      </c>
      <c r="D281" s="3">
        <v>41770</v>
      </c>
      <c r="E281" s="22" t="s">
        <v>101</v>
      </c>
      <c r="F281" s="22" t="s">
        <v>19</v>
      </c>
      <c r="G281" s="26"/>
      <c r="H281" s="22"/>
      <c r="I281" s="22"/>
      <c r="J281" s="6"/>
      <c r="K281" s="2">
        <v>3</v>
      </c>
      <c r="L281" s="6">
        <v>87.912087912087912</v>
      </c>
      <c r="M281" s="2">
        <v>90.6</v>
      </c>
      <c r="N281" s="22"/>
      <c r="O281" s="22" t="s">
        <v>102</v>
      </c>
      <c r="P281" s="2"/>
    </row>
    <row r="282" spans="1:16" ht="15" customHeight="1">
      <c r="A282" s="2">
        <v>281</v>
      </c>
      <c r="B282" s="22" t="s">
        <v>47</v>
      </c>
      <c r="C282" s="22" t="s">
        <v>48</v>
      </c>
      <c r="D282" s="3">
        <v>41771</v>
      </c>
      <c r="E282" s="27" t="s">
        <v>29</v>
      </c>
      <c r="F282" s="22" t="s">
        <v>19</v>
      </c>
      <c r="G282" s="26" t="s">
        <v>20</v>
      </c>
      <c r="H282" s="22"/>
      <c r="I282" s="22"/>
      <c r="J282" s="6"/>
      <c r="K282" s="2">
        <v>3</v>
      </c>
      <c r="L282" s="6">
        <v>247.25274725274724</v>
      </c>
      <c r="M282" s="2"/>
      <c r="N282" s="22" t="s">
        <v>30</v>
      </c>
      <c r="O282" s="22"/>
      <c r="P282" s="2"/>
    </row>
    <row r="283" spans="1:16" ht="15" customHeight="1">
      <c r="A283" s="2">
        <v>282</v>
      </c>
      <c r="B283" s="22" t="s">
        <v>16</v>
      </c>
      <c r="C283" s="22" t="s">
        <v>17</v>
      </c>
      <c r="D283" s="3">
        <v>41771</v>
      </c>
      <c r="E283" s="27" t="s">
        <v>29</v>
      </c>
      <c r="F283" s="22" t="s">
        <v>19</v>
      </c>
      <c r="G283" s="26" t="s">
        <v>20</v>
      </c>
      <c r="H283" s="22"/>
      <c r="I283" s="22"/>
      <c r="J283" s="6"/>
      <c r="K283" s="2">
        <v>3</v>
      </c>
      <c r="L283" s="6">
        <v>189.01098901098899</v>
      </c>
      <c r="M283" s="2">
        <v>83.3</v>
      </c>
      <c r="N283" s="22" t="s">
        <v>30</v>
      </c>
      <c r="O283" s="22"/>
      <c r="P283" s="2"/>
    </row>
    <row r="284" spans="1:16" ht="15" customHeight="1">
      <c r="A284" s="2">
        <v>283</v>
      </c>
      <c r="B284" s="22" t="s">
        <v>16</v>
      </c>
      <c r="C284" s="22" t="s">
        <v>17</v>
      </c>
      <c r="D284" s="3">
        <v>41771</v>
      </c>
      <c r="E284" s="22" t="s">
        <v>46</v>
      </c>
      <c r="F284" s="22" t="s">
        <v>19</v>
      </c>
      <c r="G284" s="26"/>
      <c r="H284" s="22"/>
      <c r="I284" s="22"/>
      <c r="J284" s="6"/>
      <c r="K284" s="2">
        <v>3</v>
      </c>
      <c r="L284" s="6">
        <v>109.89010989010988</v>
      </c>
      <c r="M284" s="2">
        <v>83.3</v>
      </c>
      <c r="N284" s="22"/>
      <c r="O284" s="22"/>
      <c r="P284" s="2"/>
    </row>
    <row r="285" spans="1:16" ht="15" customHeight="1">
      <c r="A285" s="2">
        <v>284</v>
      </c>
      <c r="B285" s="22" t="s">
        <v>38</v>
      </c>
      <c r="C285" s="22" t="s">
        <v>39</v>
      </c>
      <c r="D285" s="3">
        <v>41771</v>
      </c>
      <c r="E285" s="22" t="s">
        <v>46</v>
      </c>
      <c r="F285" s="22" t="s">
        <v>19</v>
      </c>
      <c r="G285" s="26"/>
      <c r="H285" s="22"/>
      <c r="I285" s="22"/>
      <c r="J285" s="6"/>
      <c r="K285" s="2">
        <v>3</v>
      </c>
      <c r="L285" s="6">
        <v>76.92307692307692</v>
      </c>
      <c r="M285" s="2">
        <v>81.2</v>
      </c>
      <c r="N285" s="22"/>
      <c r="O285" s="22"/>
      <c r="P285" s="2"/>
    </row>
    <row r="286" spans="1:16" ht="15" customHeight="1">
      <c r="A286" s="2">
        <v>285</v>
      </c>
      <c r="B286" s="22" t="s">
        <v>38</v>
      </c>
      <c r="C286" s="22" t="s">
        <v>39</v>
      </c>
      <c r="D286" s="3">
        <v>41771</v>
      </c>
      <c r="E286" s="27" t="s">
        <v>29</v>
      </c>
      <c r="F286" s="22" t="s">
        <v>19</v>
      </c>
      <c r="G286" s="26" t="s">
        <v>54</v>
      </c>
      <c r="H286" s="22"/>
      <c r="I286" s="22"/>
      <c r="J286" s="6"/>
      <c r="K286" s="2">
        <v>4</v>
      </c>
      <c r="L286" s="6">
        <v>169.4915254237288</v>
      </c>
      <c r="M286" s="2">
        <v>81.2</v>
      </c>
      <c r="N286" s="22" t="s">
        <v>52</v>
      </c>
      <c r="O286" s="22"/>
      <c r="P286" s="2"/>
    </row>
    <row r="287" spans="1:16" ht="15" customHeight="1">
      <c r="A287" s="2">
        <v>286</v>
      </c>
      <c r="B287" s="22" t="s">
        <v>38</v>
      </c>
      <c r="C287" s="22" t="s">
        <v>39</v>
      </c>
      <c r="D287" s="3">
        <v>41771</v>
      </c>
      <c r="E287" s="22" t="s">
        <v>23</v>
      </c>
      <c r="F287" s="22" t="s">
        <v>19</v>
      </c>
      <c r="G287" s="26"/>
      <c r="H287" s="22"/>
      <c r="I287" s="22"/>
      <c r="J287" s="6"/>
      <c r="K287" s="2"/>
      <c r="L287" s="6">
        <v>162.79069770000001</v>
      </c>
      <c r="M287" s="2">
        <v>81.2</v>
      </c>
      <c r="N287" s="22"/>
      <c r="O287" s="22" t="s">
        <v>76</v>
      </c>
      <c r="P287" s="2"/>
    </row>
    <row r="288" spans="1:16" ht="15" customHeight="1">
      <c r="A288" s="2">
        <v>287</v>
      </c>
      <c r="B288" s="22" t="s">
        <v>38</v>
      </c>
      <c r="C288" s="22" t="s">
        <v>39</v>
      </c>
      <c r="D288" s="3">
        <v>41771</v>
      </c>
      <c r="E288" s="22" t="s">
        <v>23</v>
      </c>
      <c r="F288" s="22" t="s">
        <v>19</v>
      </c>
      <c r="G288" s="26"/>
      <c r="H288" s="22"/>
      <c r="I288" s="22"/>
      <c r="J288" s="6"/>
      <c r="K288" s="2"/>
      <c r="L288" s="6">
        <v>174.41860465116278</v>
      </c>
      <c r="M288" s="2">
        <v>81.2</v>
      </c>
      <c r="N288" s="22"/>
      <c r="O288" s="22" t="s">
        <v>77</v>
      </c>
      <c r="P288" s="2"/>
    </row>
    <row r="289" spans="1:16" ht="15" customHeight="1">
      <c r="A289" s="2">
        <v>288</v>
      </c>
      <c r="B289" s="22" t="s">
        <v>27</v>
      </c>
      <c r="C289" s="22" t="s">
        <v>28</v>
      </c>
      <c r="D289" s="3">
        <v>41771</v>
      </c>
      <c r="E289" s="22" t="s">
        <v>46</v>
      </c>
      <c r="F289" s="22" t="s">
        <v>19</v>
      </c>
      <c r="G289" s="26"/>
      <c r="H289" s="22"/>
      <c r="I289" s="22"/>
      <c r="J289" s="6"/>
      <c r="K289" s="2">
        <v>2</v>
      </c>
      <c r="L289" s="6">
        <v>128.34224598930481</v>
      </c>
      <c r="M289" s="2">
        <v>97.2</v>
      </c>
      <c r="N289" s="22"/>
      <c r="O289" s="22"/>
      <c r="P289" s="2"/>
    </row>
    <row r="290" spans="1:16" ht="15" customHeight="1">
      <c r="A290" s="2">
        <v>289</v>
      </c>
      <c r="B290" s="22" t="s">
        <v>27</v>
      </c>
      <c r="C290" s="22" t="s">
        <v>28</v>
      </c>
      <c r="D290" s="3">
        <v>41771</v>
      </c>
      <c r="E290" s="27" t="s">
        <v>29</v>
      </c>
      <c r="F290" s="22" t="s">
        <v>19</v>
      </c>
      <c r="G290" s="26" t="s">
        <v>20</v>
      </c>
      <c r="H290" s="22"/>
      <c r="I290" s="22"/>
      <c r="J290" s="6"/>
      <c r="K290" s="2">
        <v>3</v>
      </c>
      <c r="L290" s="6">
        <v>263.73626373626371</v>
      </c>
      <c r="M290" s="2">
        <v>97.2</v>
      </c>
      <c r="N290" s="22" t="s">
        <v>30</v>
      </c>
      <c r="O290" s="22"/>
      <c r="P290" s="2"/>
    </row>
    <row r="291" spans="1:16" ht="15" customHeight="1">
      <c r="A291" s="2">
        <v>290</v>
      </c>
      <c r="B291" s="22" t="s">
        <v>31</v>
      </c>
      <c r="C291" s="22" t="s">
        <v>32</v>
      </c>
      <c r="D291" s="3">
        <v>41771</v>
      </c>
      <c r="E291" s="22" t="s">
        <v>46</v>
      </c>
      <c r="F291" s="22" t="s">
        <v>19</v>
      </c>
      <c r="G291" s="26"/>
      <c r="H291" s="22"/>
      <c r="I291" s="22"/>
      <c r="J291" s="6"/>
      <c r="K291" s="2">
        <v>2</v>
      </c>
      <c r="L291" s="6">
        <v>106.951871657754</v>
      </c>
      <c r="M291" s="2">
        <v>83.8</v>
      </c>
      <c r="N291" s="22"/>
      <c r="O291" s="22"/>
      <c r="P291" s="2"/>
    </row>
    <row r="292" spans="1:16" ht="15" customHeight="1">
      <c r="A292" s="2">
        <v>291</v>
      </c>
      <c r="B292" s="22" t="s">
        <v>31</v>
      </c>
      <c r="C292" s="22" t="s">
        <v>32</v>
      </c>
      <c r="D292" s="3">
        <v>41771</v>
      </c>
      <c r="E292" s="27" t="s">
        <v>29</v>
      </c>
      <c r="F292" s="22" t="s">
        <v>19</v>
      </c>
      <c r="G292" s="26" t="s">
        <v>20</v>
      </c>
      <c r="H292" s="22"/>
      <c r="I292" s="22"/>
      <c r="J292" s="6"/>
      <c r="K292" s="2">
        <v>3</v>
      </c>
      <c r="L292" s="6">
        <v>164.83516483516482</v>
      </c>
      <c r="M292" s="2">
        <v>83.8</v>
      </c>
      <c r="N292" s="22" t="s">
        <v>30</v>
      </c>
      <c r="O292" s="22"/>
      <c r="P292" s="2"/>
    </row>
    <row r="293" spans="1:16" ht="15" customHeight="1">
      <c r="A293" s="2">
        <v>292</v>
      </c>
      <c r="B293" s="22" t="s">
        <v>33</v>
      </c>
      <c r="C293" s="22" t="s">
        <v>34</v>
      </c>
      <c r="D293" s="3">
        <v>41771</v>
      </c>
      <c r="E293" s="22" t="s">
        <v>18</v>
      </c>
      <c r="F293" s="22" t="s">
        <v>19</v>
      </c>
      <c r="G293" s="26" t="s">
        <v>20</v>
      </c>
      <c r="H293" s="22"/>
      <c r="I293" s="22"/>
      <c r="J293" s="6"/>
      <c r="K293" s="2">
        <v>4</v>
      </c>
      <c r="L293" s="6">
        <v>158.19209039548022</v>
      </c>
      <c r="M293" s="2">
        <v>90.4</v>
      </c>
      <c r="N293" s="22"/>
      <c r="O293" s="22" t="s">
        <v>81</v>
      </c>
      <c r="P293" s="2"/>
    </row>
    <row r="294" spans="1:16" ht="15" customHeight="1">
      <c r="A294" s="2">
        <v>293</v>
      </c>
      <c r="B294" s="22" t="s">
        <v>33</v>
      </c>
      <c r="C294" s="22" t="s">
        <v>34</v>
      </c>
      <c r="D294" s="3">
        <v>41771</v>
      </c>
      <c r="E294" s="22" t="s">
        <v>23</v>
      </c>
      <c r="F294" s="22" t="s">
        <v>19</v>
      </c>
      <c r="G294" s="26"/>
      <c r="H294" s="22"/>
      <c r="I294" s="22"/>
      <c r="J294" s="6"/>
      <c r="K294" s="2">
        <v>5</v>
      </c>
      <c r="L294" s="6">
        <v>255.81395348837211</v>
      </c>
      <c r="M294" s="2">
        <v>90.4</v>
      </c>
      <c r="N294" s="22"/>
      <c r="O294" s="22" t="s">
        <v>106</v>
      </c>
      <c r="P294" s="2"/>
    </row>
    <row r="295" spans="1:16" ht="15" customHeight="1">
      <c r="A295" s="2">
        <v>294</v>
      </c>
      <c r="B295" s="22" t="s">
        <v>41</v>
      </c>
      <c r="C295" s="22" t="s">
        <v>42</v>
      </c>
      <c r="D295" s="3">
        <v>41771</v>
      </c>
      <c r="E295" s="22" t="s">
        <v>46</v>
      </c>
      <c r="F295" s="22" t="s">
        <v>19</v>
      </c>
      <c r="G295" s="26"/>
      <c r="H295" s="22"/>
      <c r="I295" s="22"/>
      <c r="J295" s="6"/>
      <c r="K295" s="2">
        <v>3</v>
      </c>
      <c r="L295" s="6">
        <v>69.230769230769226</v>
      </c>
      <c r="M295" s="2">
        <v>79.2</v>
      </c>
      <c r="N295" s="22"/>
      <c r="O295" s="22"/>
      <c r="P295" s="2"/>
    </row>
    <row r="296" spans="1:16" ht="15" customHeight="1">
      <c r="A296" s="2">
        <v>295</v>
      </c>
      <c r="B296" s="22" t="s">
        <v>41</v>
      </c>
      <c r="C296" s="22" t="s">
        <v>42</v>
      </c>
      <c r="D296" s="3">
        <v>41771</v>
      </c>
      <c r="E296" s="27" t="s">
        <v>29</v>
      </c>
      <c r="F296" s="22" t="s">
        <v>19</v>
      </c>
      <c r="G296" s="26" t="s">
        <v>54</v>
      </c>
      <c r="H296" s="22"/>
      <c r="I296" s="22"/>
      <c r="J296" s="6"/>
      <c r="K296" s="2">
        <v>4</v>
      </c>
      <c r="L296" s="6">
        <v>169.4915254237288</v>
      </c>
      <c r="M296" s="2">
        <v>79.2</v>
      </c>
      <c r="N296" s="22" t="s">
        <v>107</v>
      </c>
      <c r="O296" s="22"/>
      <c r="P296" s="2"/>
    </row>
    <row r="297" spans="1:16" ht="15" customHeight="1">
      <c r="A297" s="2">
        <v>296</v>
      </c>
      <c r="B297" s="22" t="s">
        <v>63</v>
      </c>
      <c r="C297" s="22" t="s">
        <v>64</v>
      </c>
      <c r="D297" s="3">
        <v>41771</v>
      </c>
      <c r="E297" s="27" t="s">
        <v>29</v>
      </c>
      <c r="F297" s="22" t="s">
        <v>19</v>
      </c>
      <c r="G297" s="26" t="s">
        <v>54</v>
      </c>
      <c r="H297" s="22"/>
      <c r="I297" s="22"/>
      <c r="J297" s="6"/>
      <c r="K297" s="2">
        <v>4</v>
      </c>
      <c r="L297" s="6">
        <v>169.4915254237288</v>
      </c>
      <c r="M297" s="2">
        <v>88.3</v>
      </c>
      <c r="N297" s="22" t="s">
        <v>30</v>
      </c>
      <c r="O297" s="22"/>
      <c r="P297" s="2"/>
    </row>
    <row r="298" spans="1:16" ht="15" customHeight="1">
      <c r="A298" s="2">
        <v>297</v>
      </c>
      <c r="B298" s="22" t="s">
        <v>16</v>
      </c>
      <c r="C298" s="22" t="s">
        <v>17</v>
      </c>
      <c r="D298" s="3">
        <v>41773</v>
      </c>
      <c r="E298" s="22" t="s">
        <v>103</v>
      </c>
      <c r="F298" s="22" t="s">
        <v>19</v>
      </c>
      <c r="G298" s="26"/>
      <c r="H298" s="22"/>
      <c r="I298" s="22"/>
      <c r="J298" s="6">
        <v>60</v>
      </c>
      <c r="K298" s="2">
        <v>6</v>
      </c>
      <c r="L298" s="6">
        <v>982</v>
      </c>
      <c r="M298" s="2">
        <v>82.9</v>
      </c>
      <c r="N298" s="22"/>
      <c r="O298" s="22" t="s">
        <v>76</v>
      </c>
      <c r="P298" s="2"/>
    </row>
    <row r="299" spans="1:16" ht="15" customHeight="1">
      <c r="A299" s="2">
        <v>298</v>
      </c>
      <c r="B299" s="22" t="s">
        <v>16</v>
      </c>
      <c r="C299" s="22" t="s">
        <v>17</v>
      </c>
      <c r="D299" s="3">
        <v>41773</v>
      </c>
      <c r="E299" s="22" t="s">
        <v>103</v>
      </c>
      <c r="F299" s="22" t="s">
        <v>19</v>
      </c>
      <c r="G299" s="26"/>
      <c r="H299" s="22"/>
      <c r="I299" s="22"/>
      <c r="J299" s="6">
        <v>60</v>
      </c>
      <c r="K299" s="2">
        <v>6</v>
      </c>
      <c r="L299" s="6">
        <v>1014</v>
      </c>
      <c r="M299" s="2">
        <v>82.9</v>
      </c>
      <c r="N299" s="22"/>
      <c r="O299" s="22" t="s">
        <v>77</v>
      </c>
      <c r="P299" s="2"/>
    </row>
    <row r="300" spans="1:16" ht="15" customHeight="1">
      <c r="A300" s="2">
        <v>299</v>
      </c>
      <c r="B300" s="22" t="s">
        <v>38</v>
      </c>
      <c r="C300" s="22" t="s">
        <v>39</v>
      </c>
      <c r="D300" s="3">
        <v>41773</v>
      </c>
      <c r="E300" s="22" t="s">
        <v>67</v>
      </c>
      <c r="F300" s="22" t="s">
        <v>19</v>
      </c>
      <c r="G300" s="26"/>
      <c r="H300" s="22"/>
      <c r="I300" s="22"/>
      <c r="J300" s="6"/>
      <c r="K300" s="2">
        <v>5</v>
      </c>
      <c r="L300" s="6">
        <v>325.58139534883719</v>
      </c>
      <c r="M300" s="2">
        <v>82</v>
      </c>
      <c r="N300" s="22"/>
      <c r="O300" s="22"/>
      <c r="P300" s="2"/>
    </row>
    <row r="301" spans="1:16" ht="15" customHeight="1">
      <c r="A301" s="2">
        <v>300</v>
      </c>
      <c r="B301" s="22" t="s">
        <v>38</v>
      </c>
      <c r="C301" s="22" t="s">
        <v>39</v>
      </c>
      <c r="D301" s="3">
        <v>41773</v>
      </c>
      <c r="E301" s="22" t="s">
        <v>108</v>
      </c>
      <c r="F301" s="22" t="s">
        <v>19</v>
      </c>
      <c r="G301" s="26"/>
      <c r="H301" s="22"/>
      <c r="I301" s="22"/>
      <c r="J301" s="6"/>
      <c r="K301" s="2">
        <v>5</v>
      </c>
      <c r="L301" s="6">
        <v>46.511627906976742</v>
      </c>
      <c r="M301" s="2">
        <v>82</v>
      </c>
      <c r="N301" s="22"/>
      <c r="O301" s="22"/>
      <c r="P301" s="2"/>
    </row>
    <row r="302" spans="1:16" ht="15" customHeight="1">
      <c r="A302" s="2">
        <v>301</v>
      </c>
      <c r="B302" s="22" t="s">
        <v>38</v>
      </c>
      <c r="C302" s="22" t="s">
        <v>39</v>
      </c>
      <c r="D302" s="3">
        <v>41773</v>
      </c>
      <c r="E302" s="22" t="s">
        <v>103</v>
      </c>
      <c r="F302" s="22" t="s">
        <v>19</v>
      </c>
      <c r="G302" s="26"/>
      <c r="H302" s="22"/>
      <c r="I302" s="22"/>
      <c r="J302" s="6">
        <v>55</v>
      </c>
      <c r="K302" s="2">
        <v>6</v>
      </c>
      <c r="L302" s="6">
        <v>827</v>
      </c>
      <c r="M302" s="2">
        <v>82</v>
      </c>
      <c r="N302" s="22"/>
      <c r="O302" s="22"/>
      <c r="P302" s="2"/>
    </row>
    <row r="303" spans="1:16" ht="15" customHeight="1">
      <c r="A303" s="2">
        <v>302</v>
      </c>
      <c r="B303" s="22" t="s">
        <v>27</v>
      </c>
      <c r="C303" s="22" t="s">
        <v>28</v>
      </c>
      <c r="D303" s="3">
        <v>41773</v>
      </c>
      <c r="E303" s="22" t="s">
        <v>109</v>
      </c>
      <c r="F303" s="22" t="s">
        <v>19</v>
      </c>
      <c r="G303" s="26"/>
      <c r="H303" s="22"/>
      <c r="I303" s="22"/>
      <c r="J303" s="6"/>
      <c r="K303" s="2">
        <v>5</v>
      </c>
      <c r="L303" s="6">
        <v>69.767441860465112</v>
      </c>
      <c r="M303" s="2">
        <v>95.8</v>
      </c>
      <c r="N303" s="22"/>
      <c r="O303" s="22"/>
      <c r="P303" s="2"/>
    </row>
    <row r="304" spans="1:16" ht="15" customHeight="1">
      <c r="A304" s="2">
        <v>303</v>
      </c>
      <c r="B304" s="22" t="s">
        <v>27</v>
      </c>
      <c r="C304" s="22" t="s">
        <v>28</v>
      </c>
      <c r="D304" s="3">
        <v>41773</v>
      </c>
      <c r="E304" s="22" t="s">
        <v>103</v>
      </c>
      <c r="F304" s="22" t="s">
        <v>19</v>
      </c>
      <c r="G304" s="26"/>
      <c r="H304" s="22"/>
      <c r="I304" s="22"/>
      <c r="J304" s="6">
        <v>80</v>
      </c>
      <c r="K304" s="2">
        <v>6</v>
      </c>
      <c r="L304" s="6">
        <v>1329</v>
      </c>
      <c r="M304" s="2">
        <v>95.8</v>
      </c>
      <c r="N304" s="22"/>
      <c r="O304" s="22" t="s">
        <v>76</v>
      </c>
      <c r="P304" s="2"/>
    </row>
    <row r="305" spans="1:16" ht="15" customHeight="1">
      <c r="A305" s="2">
        <v>304</v>
      </c>
      <c r="B305" s="22" t="s">
        <v>27</v>
      </c>
      <c r="C305" s="22" t="s">
        <v>28</v>
      </c>
      <c r="D305" s="3">
        <v>41773</v>
      </c>
      <c r="E305" s="22" t="s">
        <v>103</v>
      </c>
      <c r="F305" s="22" t="s">
        <v>19</v>
      </c>
      <c r="G305" s="26"/>
      <c r="H305" s="22"/>
      <c r="I305" s="22"/>
      <c r="J305" s="6">
        <v>80</v>
      </c>
      <c r="K305" s="2">
        <v>6</v>
      </c>
      <c r="L305" s="6">
        <v>1591</v>
      </c>
      <c r="M305" s="2">
        <v>95.8</v>
      </c>
      <c r="N305" s="22"/>
      <c r="O305" s="22" t="s">
        <v>77</v>
      </c>
      <c r="P305" s="2"/>
    </row>
    <row r="306" spans="1:16" ht="15" customHeight="1">
      <c r="A306" s="2">
        <v>305</v>
      </c>
      <c r="B306" s="22" t="s">
        <v>31</v>
      </c>
      <c r="C306" s="22" t="s">
        <v>32</v>
      </c>
      <c r="D306" s="3">
        <v>41773</v>
      </c>
      <c r="E306" s="22" t="s">
        <v>109</v>
      </c>
      <c r="F306" s="22" t="s">
        <v>19</v>
      </c>
      <c r="G306" s="26"/>
      <c r="H306" s="22"/>
      <c r="I306" s="22"/>
      <c r="J306" s="6"/>
      <c r="K306" s="2">
        <v>5</v>
      </c>
      <c r="L306" s="6">
        <v>104.65116279069768</v>
      </c>
      <c r="M306" s="2">
        <v>82.8</v>
      </c>
      <c r="N306" s="22"/>
      <c r="O306" s="22"/>
      <c r="P306" s="2"/>
    </row>
    <row r="307" spans="1:16" ht="15" customHeight="1">
      <c r="A307" s="2">
        <v>306</v>
      </c>
      <c r="B307" s="22" t="s">
        <v>31</v>
      </c>
      <c r="C307" s="22" t="s">
        <v>32</v>
      </c>
      <c r="D307" s="3">
        <v>41773</v>
      </c>
      <c r="E307" s="22" t="s">
        <v>103</v>
      </c>
      <c r="F307" s="22" t="s">
        <v>19</v>
      </c>
      <c r="G307" s="26"/>
      <c r="H307" s="22"/>
      <c r="I307" s="22"/>
      <c r="J307" s="6">
        <v>60</v>
      </c>
      <c r="K307" s="2">
        <v>6</v>
      </c>
      <c r="L307" s="6">
        <v>900</v>
      </c>
      <c r="M307" s="2">
        <v>82.8</v>
      </c>
      <c r="N307" s="22"/>
      <c r="O307" s="22"/>
      <c r="P307" s="2"/>
    </row>
    <row r="308" spans="1:16" ht="15" customHeight="1">
      <c r="A308" s="2">
        <v>307</v>
      </c>
      <c r="B308" s="22" t="s">
        <v>33</v>
      </c>
      <c r="C308" s="22" t="s">
        <v>34</v>
      </c>
      <c r="D308" s="3">
        <v>41773</v>
      </c>
      <c r="E308" s="22" t="s">
        <v>26</v>
      </c>
      <c r="F308" s="22" t="s">
        <v>19</v>
      </c>
      <c r="G308" s="26"/>
      <c r="H308" s="22"/>
      <c r="I308" s="22"/>
      <c r="J308" s="6"/>
      <c r="K308" s="2">
        <v>3</v>
      </c>
      <c r="L308" s="6">
        <v>104.39560439560439</v>
      </c>
      <c r="M308" s="2">
        <v>89.4</v>
      </c>
      <c r="N308" s="22"/>
      <c r="O308" s="22" t="s">
        <v>102</v>
      </c>
      <c r="P308" s="2"/>
    </row>
    <row r="309" spans="1:16" ht="15" customHeight="1">
      <c r="A309" s="2">
        <v>308</v>
      </c>
      <c r="B309" s="22" t="s">
        <v>41</v>
      </c>
      <c r="C309" s="22" t="s">
        <v>42</v>
      </c>
      <c r="D309" s="3">
        <v>41773</v>
      </c>
      <c r="E309" s="22" t="s">
        <v>108</v>
      </c>
      <c r="F309" s="22" t="s">
        <v>19</v>
      </c>
      <c r="G309" s="26"/>
      <c r="H309" s="22"/>
      <c r="I309" s="22"/>
      <c r="J309" s="6"/>
      <c r="K309" s="2">
        <v>5</v>
      </c>
      <c r="L309" s="6">
        <v>58.139534883720934</v>
      </c>
      <c r="M309" s="2">
        <v>78.8</v>
      </c>
      <c r="N309" s="22"/>
      <c r="O309" s="22"/>
      <c r="P309" s="2"/>
    </row>
    <row r="310" spans="1:16" ht="15" customHeight="1">
      <c r="A310" s="2">
        <v>309</v>
      </c>
      <c r="B310" s="22" t="s">
        <v>41</v>
      </c>
      <c r="C310" s="22" t="s">
        <v>42</v>
      </c>
      <c r="D310" s="3">
        <v>41773</v>
      </c>
      <c r="E310" s="22" t="s">
        <v>103</v>
      </c>
      <c r="F310" s="22" t="s">
        <v>19</v>
      </c>
      <c r="G310" s="26"/>
      <c r="H310" s="22"/>
      <c r="I310" s="22"/>
      <c r="J310" s="6">
        <v>30</v>
      </c>
      <c r="K310" s="2">
        <v>6</v>
      </c>
      <c r="L310" s="6">
        <v>377</v>
      </c>
      <c r="M310" s="2">
        <v>78.8</v>
      </c>
      <c r="N310" s="22"/>
      <c r="O310" s="22" t="s">
        <v>76</v>
      </c>
      <c r="P310" s="2"/>
    </row>
    <row r="311" spans="1:16" ht="15" customHeight="1">
      <c r="A311" s="2">
        <v>310</v>
      </c>
      <c r="B311" s="22" t="s">
        <v>41</v>
      </c>
      <c r="C311" s="22" t="s">
        <v>42</v>
      </c>
      <c r="D311" s="3">
        <v>41773</v>
      </c>
      <c r="E311" s="22" t="s">
        <v>103</v>
      </c>
      <c r="F311" s="22" t="s">
        <v>19</v>
      </c>
      <c r="G311" s="26"/>
      <c r="H311" s="22"/>
      <c r="I311" s="22"/>
      <c r="J311" s="6">
        <v>30</v>
      </c>
      <c r="K311" s="2">
        <v>6</v>
      </c>
      <c r="L311" s="6">
        <v>448</v>
      </c>
      <c r="M311" s="2">
        <v>78.8</v>
      </c>
      <c r="N311" s="22"/>
      <c r="O311" s="22" t="s">
        <v>77</v>
      </c>
      <c r="P311" s="2"/>
    </row>
    <row r="312" spans="1:16" ht="15" customHeight="1">
      <c r="A312" s="2">
        <v>311</v>
      </c>
      <c r="B312" s="22" t="s">
        <v>63</v>
      </c>
      <c r="C312" s="22" t="s">
        <v>64</v>
      </c>
      <c r="D312" s="3">
        <v>41773</v>
      </c>
      <c r="E312" s="22" t="s">
        <v>70</v>
      </c>
      <c r="F312" s="22" t="s">
        <v>19</v>
      </c>
      <c r="G312" s="26"/>
      <c r="H312" s="22"/>
      <c r="I312" s="22"/>
      <c r="J312" s="6"/>
      <c r="K312" s="2">
        <v>5</v>
      </c>
      <c r="L312" s="6">
        <v>151.16279069767441</v>
      </c>
      <c r="M312" s="2">
        <v>88.6</v>
      </c>
      <c r="N312" s="22"/>
      <c r="O312" s="22"/>
      <c r="P312" s="2"/>
    </row>
    <row r="313" spans="1:16" ht="15" customHeight="1">
      <c r="A313" s="2">
        <v>312</v>
      </c>
      <c r="B313" s="22" t="s">
        <v>63</v>
      </c>
      <c r="C313" s="22" t="s">
        <v>64</v>
      </c>
      <c r="D313" s="3">
        <v>41773</v>
      </c>
      <c r="E313" s="22" t="s">
        <v>103</v>
      </c>
      <c r="F313" s="22" t="s">
        <v>19</v>
      </c>
      <c r="G313" s="26"/>
      <c r="H313" s="22"/>
      <c r="I313" s="22"/>
      <c r="J313" s="6">
        <v>55</v>
      </c>
      <c r="K313" s="2">
        <v>6</v>
      </c>
      <c r="L313" s="6">
        <v>930</v>
      </c>
      <c r="M313" s="2">
        <v>88.6</v>
      </c>
      <c r="N313" s="22"/>
      <c r="O313" s="22"/>
      <c r="P313" s="2"/>
    </row>
    <row r="314" spans="1:16" ht="15" customHeight="1">
      <c r="A314" s="2">
        <v>313</v>
      </c>
      <c r="B314" s="22" t="s">
        <v>16</v>
      </c>
      <c r="C314" s="22" t="s">
        <v>17</v>
      </c>
      <c r="D314" s="3">
        <v>41775</v>
      </c>
      <c r="E314" s="22" t="s">
        <v>26</v>
      </c>
      <c r="F314" s="22" t="s">
        <v>19</v>
      </c>
      <c r="G314" s="26"/>
      <c r="H314" s="22"/>
      <c r="I314" s="22"/>
      <c r="J314" s="6"/>
      <c r="K314" s="2">
        <v>3</v>
      </c>
      <c r="L314" s="6">
        <v>109.89010989010988</v>
      </c>
      <c r="M314" s="2">
        <v>83.1</v>
      </c>
      <c r="N314" s="22"/>
      <c r="O314" s="22"/>
      <c r="P314" s="2"/>
    </row>
    <row r="315" spans="1:16" ht="15" customHeight="1">
      <c r="A315" s="2">
        <v>314</v>
      </c>
      <c r="B315" s="22" t="s">
        <v>16</v>
      </c>
      <c r="C315" s="22" t="s">
        <v>17</v>
      </c>
      <c r="D315" s="3">
        <v>41775</v>
      </c>
      <c r="E315" s="27" t="s">
        <v>29</v>
      </c>
      <c r="F315" s="22" t="s">
        <v>19</v>
      </c>
      <c r="G315" s="26" t="s">
        <v>54</v>
      </c>
      <c r="H315" s="22"/>
      <c r="I315" s="22"/>
      <c r="J315" s="6"/>
      <c r="K315" s="2"/>
      <c r="L315" s="6">
        <v>160</v>
      </c>
      <c r="M315" s="2">
        <v>83.1</v>
      </c>
      <c r="N315" s="22" t="s">
        <v>30</v>
      </c>
      <c r="O315" s="22" t="s">
        <v>55</v>
      </c>
      <c r="P315" s="2"/>
    </row>
    <row r="316" spans="1:16" ht="15" customHeight="1">
      <c r="A316" s="2">
        <v>315</v>
      </c>
      <c r="B316" s="22" t="s">
        <v>38</v>
      </c>
      <c r="C316" s="22" t="s">
        <v>39</v>
      </c>
      <c r="D316" s="3">
        <v>41775</v>
      </c>
      <c r="E316" s="22" t="s">
        <v>26</v>
      </c>
      <c r="F316" s="22" t="s">
        <v>19</v>
      </c>
      <c r="G316" s="26"/>
      <c r="H316" s="22"/>
      <c r="I316" s="22"/>
      <c r="J316" s="6"/>
      <c r="K316" s="2">
        <v>3</v>
      </c>
      <c r="L316" s="6">
        <v>87.912087912087912</v>
      </c>
      <c r="M316" s="2">
        <v>81.400000000000006</v>
      </c>
      <c r="N316" s="22"/>
      <c r="O316" s="22"/>
      <c r="P316" s="2"/>
    </row>
    <row r="317" spans="1:16" ht="15" customHeight="1">
      <c r="A317" s="2">
        <v>316</v>
      </c>
      <c r="B317" s="22" t="s">
        <v>38</v>
      </c>
      <c r="C317" s="22" t="s">
        <v>39</v>
      </c>
      <c r="D317" s="3">
        <v>41775</v>
      </c>
      <c r="E317" s="22" t="s">
        <v>23</v>
      </c>
      <c r="F317" s="22" t="s">
        <v>19</v>
      </c>
      <c r="G317" s="26"/>
      <c r="H317" s="22"/>
      <c r="I317" s="22"/>
      <c r="J317" s="6"/>
      <c r="K317" s="2">
        <v>5</v>
      </c>
      <c r="L317" s="6">
        <v>186.04651162790697</v>
      </c>
      <c r="M317" s="2">
        <v>81.400000000000006</v>
      </c>
      <c r="N317" s="22"/>
      <c r="O317" s="22"/>
      <c r="P317" s="2"/>
    </row>
    <row r="318" spans="1:16" ht="15" customHeight="1">
      <c r="A318" s="2">
        <v>317</v>
      </c>
      <c r="B318" s="22" t="s">
        <v>27</v>
      </c>
      <c r="C318" s="22" t="s">
        <v>28</v>
      </c>
      <c r="D318" s="3">
        <v>41775</v>
      </c>
      <c r="E318" s="22" t="s">
        <v>26</v>
      </c>
      <c r="F318" s="22" t="s">
        <v>19</v>
      </c>
      <c r="G318" s="26"/>
      <c r="H318" s="22"/>
      <c r="I318" s="22"/>
      <c r="J318" s="6"/>
      <c r="K318" s="2">
        <v>3</v>
      </c>
      <c r="L318" s="6">
        <v>142.85714285714286</v>
      </c>
      <c r="M318" s="2">
        <v>95.9</v>
      </c>
      <c r="N318" s="22"/>
      <c r="O318" s="22"/>
      <c r="P318" s="2"/>
    </row>
    <row r="319" spans="1:16" ht="15" customHeight="1">
      <c r="A319" s="2">
        <v>318</v>
      </c>
      <c r="B319" s="22" t="s">
        <v>31</v>
      </c>
      <c r="C319" s="22" t="s">
        <v>32</v>
      </c>
      <c r="D319" s="3">
        <v>41775</v>
      </c>
      <c r="E319" s="22" t="s">
        <v>26</v>
      </c>
      <c r="F319" s="22" t="s">
        <v>19</v>
      </c>
      <c r="G319" s="26"/>
      <c r="H319" s="22"/>
      <c r="I319" s="22"/>
      <c r="J319" s="6"/>
      <c r="K319" s="2">
        <v>3</v>
      </c>
      <c r="L319" s="6">
        <v>109.89010989010988</v>
      </c>
      <c r="M319" s="2">
        <v>84.1</v>
      </c>
      <c r="N319" s="22"/>
      <c r="O319" s="22"/>
      <c r="P319" s="2"/>
    </row>
    <row r="320" spans="1:16" ht="15" customHeight="1">
      <c r="A320" s="2">
        <v>319</v>
      </c>
      <c r="B320" s="22" t="s">
        <v>31</v>
      </c>
      <c r="C320" s="22" t="s">
        <v>32</v>
      </c>
      <c r="D320" s="3">
        <v>41775</v>
      </c>
      <c r="E320" s="27" t="s">
        <v>29</v>
      </c>
      <c r="F320" s="22" t="s">
        <v>19</v>
      </c>
      <c r="G320" s="26" t="s">
        <v>20</v>
      </c>
      <c r="H320" s="22"/>
      <c r="I320" s="22"/>
      <c r="J320" s="6"/>
      <c r="K320" s="2"/>
      <c r="L320" s="6">
        <v>140</v>
      </c>
      <c r="M320" s="2">
        <v>84.1</v>
      </c>
      <c r="N320" s="22" t="s">
        <v>30</v>
      </c>
      <c r="O320" s="22" t="s">
        <v>56</v>
      </c>
      <c r="P320" s="2"/>
    </row>
    <row r="321" spans="1:16" ht="15" customHeight="1">
      <c r="A321" s="2">
        <v>320</v>
      </c>
      <c r="B321" s="22" t="s">
        <v>33</v>
      </c>
      <c r="C321" s="22" t="s">
        <v>34</v>
      </c>
      <c r="D321" s="3">
        <v>41775</v>
      </c>
      <c r="E321" s="22" t="s">
        <v>110</v>
      </c>
      <c r="F321" s="22" t="s">
        <v>19</v>
      </c>
      <c r="G321" s="26"/>
      <c r="H321" s="22"/>
      <c r="I321" s="22"/>
      <c r="J321" s="6">
        <v>102</v>
      </c>
      <c r="K321" s="2">
        <v>4</v>
      </c>
      <c r="L321" s="6">
        <v>115.77752553916004</v>
      </c>
      <c r="M321" s="2">
        <v>89.6</v>
      </c>
      <c r="N321" s="22"/>
      <c r="O321" s="22" t="s">
        <v>100</v>
      </c>
      <c r="P321" s="2"/>
    </row>
    <row r="322" spans="1:16" ht="15" customHeight="1">
      <c r="A322" s="2">
        <v>321</v>
      </c>
      <c r="B322" s="22" t="s">
        <v>33</v>
      </c>
      <c r="C322" s="22" t="s">
        <v>34</v>
      </c>
      <c r="D322" s="3">
        <v>41775</v>
      </c>
      <c r="E322" s="22" t="s">
        <v>103</v>
      </c>
      <c r="F322" s="22" t="s">
        <v>19</v>
      </c>
      <c r="G322" s="26"/>
      <c r="H322" s="22"/>
      <c r="I322" s="22"/>
      <c r="J322" s="6"/>
      <c r="K322" s="2">
        <v>6</v>
      </c>
      <c r="L322" s="6">
        <v>77.844311377245518</v>
      </c>
      <c r="M322" s="2">
        <v>89.6</v>
      </c>
      <c r="N322" s="22"/>
      <c r="O322" s="22" t="s">
        <v>100</v>
      </c>
      <c r="P322" s="2"/>
    </row>
    <row r="323" spans="1:16" ht="15" customHeight="1">
      <c r="A323" s="2">
        <v>322</v>
      </c>
      <c r="B323" s="22" t="s">
        <v>41</v>
      </c>
      <c r="C323" s="22" t="s">
        <v>42</v>
      </c>
      <c r="D323" s="3">
        <v>41775</v>
      </c>
      <c r="E323" s="22" t="s">
        <v>26</v>
      </c>
      <c r="F323" s="22" t="s">
        <v>19</v>
      </c>
      <c r="G323" s="26"/>
      <c r="H323" s="22"/>
      <c r="I323" s="22"/>
      <c r="J323" s="6"/>
      <c r="K323" s="2">
        <v>1</v>
      </c>
      <c r="L323" s="6">
        <v>70</v>
      </c>
      <c r="M323" s="2">
        <v>79.400000000000006</v>
      </c>
      <c r="N323" s="22"/>
      <c r="O323" s="22" t="s">
        <v>111</v>
      </c>
      <c r="P323" s="2"/>
    </row>
    <row r="324" spans="1:16" ht="15" customHeight="1">
      <c r="A324" s="2">
        <v>323</v>
      </c>
      <c r="B324" s="22" t="s">
        <v>41</v>
      </c>
      <c r="C324" s="22" t="s">
        <v>42</v>
      </c>
      <c r="D324" s="3">
        <v>41775</v>
      </c>
      <c r="E324" s="22" t="s">
        <v>112</v>
      </c>
      <c r="F324" s="22" t="s">
        <v>19</v>
      </c>
      <c r="G324" s="26"/>
      <c r="H324" s="22"/>
      <c r="I324" s="22"/>
      <c r="J324" s="6"/>
      <c r="K324" s="2">
        <v>2</v>
      </c>
      <c r="L324" s="6">
        <v>53.475935828876999</v>
      </c>
      <c r="M324" s="2">
        <v>79.400000000000006</v>
      </c>
      <c r="N324" s="22"/>
      <c r="O324" s="22" t="s">
        <v>111</v>
      </c>
      <c r="P324" s="2"/>
    </row>
    <row r="325" spans="1:16" ht="15" customHeight="1">
      <c r="A325" s="2">
        <v>324</v>
      </c>
      <c r="B325" s="22" t="s">
        <v>63</v>
      </c>
      <c r="C325" s="22" t="s">
        <v>64</v>
      </c>
      <c r="D325" s="3">
        <v>41775</v>
      </c>
      <c r="E325" s="22" t="s">
        <v>46</v>
      </c>
      <c r="F325" s="22" t="s">
        <v>19</v>
      </c>
      <c r="G325" s="26"/>
      <c r="H325" s="22"/>
      <c r="I325" s="22"/>
      <c r="J325" s="6"/>
      <c r="K325" s="2">
        <v>3</v>
      </c>
      <c r="L325" s="6">
        <v>98.901098901098891</v>
      </c>
      <c r="M325" s="2">
        <v>88.4</v>
      </c>
      <c r="N325" s="22"/>
      <c r="O325" s="22"/>
      <c r="P325" s="2"/>
    </row>
    <row r="326" spans="1:16" ht="15" customHeight="1">
      <c r="A326" s="2">
        <v>325</v>
      </c>
      <c r="B326" s="22" t="s">
        <v>63</v>
      </c>
      <c r="C326" s="22" t="s">
        <v>64</v>
      </c>
      <c r="D326" s="3">
        <v>41775</v>
      </c>
      <c r="E326" s="22" t="s">
        <v>23</v>
      </c>
      <c r="F326" s="22" t="s">
        <v>19</v>
      </c>
      <c r="G326" s="26"/>
      <c r="H326" s="22"/>
      <c r="I326" s="22"/>
      <c r="J326" s="6"/>
      <c r="K326" s="2">
        <v>5</v>
      </c>
      <c r="L326" s="6">
        <v>232.55813953488374</v>
      </c>
      <c r="M326" s="2">
        <v>88.4</v>
      </c>
      <c r="N326" s="22"/>
      <c r="O326" s="22"/>
      <c r="P326" s="2"/>
    </row>
    <row r="327" spans="1:16" ht="15" customHeight="1">
      <c r="A327" s="2">
        <v>326</v>
      </c>
      <c r="B327" s="22" t="s">
        <v>33</v>
      </c>
      <c r="C327" s="22" t="s">
        <v>34</v>
      </c>
      <c r="D327" s="3">
        <v>41777</v>
      </c>
      <c r="E327" s="22" t="s">
        <v>26</v>
      </c>
      <c r="F327" s="22" t="s">
        <v>19</v>
      </c>
      <c r="G327" s="26"/>
      <c r="H327" s="22"/>
      <c r="I327" s="22"/>
      <c r="J327" s="6">
        <v>110</v>
      </c>
      <c r="K327" s="2">
        <v>4</v>
      </c>
      <c r="L327" s="6">
        <v>124.85811577752554</v>
      </c>
      <c r="M327" s="2">
        <v>89.8</v>
      </c>
      <c r="N327" s="22"/>
      <c r="O327" s="22" t="s">
        <v>102</v>
      </c>
      <c r="P327" s="2"/>
    </row>
    <row r="328" spans="1:16" ht="15" customHeight="1">
      <c r="A328" s="2">
        <v>327</v>
      </c>
      <c r="B328" s="22" t="s">
        <v>47</v>
      </c>
      <c r="C328" s="22" t="s">
        <v>48</v>
      </c>
      <c r="D328" s="3">
        <v>41778</v>
      </c>
      <c r="E328" s="27" t="s">
        <v>29</v>
      </c>
      <c r="F328" s="22" t="s">
        <v>19</v>
      </c>
      <c r="G328" s="26" t="s">
        <v>20</v>
      </c>
      <c r="H328" s="22"/>
      <c r="I328" s="22"/>
      <c r="J328" s="6"/>
      <c r="K328" s="2">
        <v>2</v>
      </c>
      <c r="L328" s="6">
        <v>213.903743315508</v>
      </c>
      <c r="M328" s="2">
        <v>101.2</v>
      </c>
      <c r="N328" s="22" t="s">
        <v>30</v>
      </c>
      <c r="O328" s="22"/>
      <c r="P328" s="2"/>
    </row>
    <row r="329" spans="1:16" ht="15" customHeight="1">
      <c r="A329" s="2">
        <v>328</v>
      </c>
      <c r="B329" s="22" t="s">
        <v>47</v>
      </c>
      <c r="C329" s="22" t="s">
        <v>48</v>
      </c>
      <c r="D329" s="3">
        <v>41778</v>
      </c>
      <c r="E329" s="22" t="s">
        <v>46</v>
      </c>
      <c r="F329" s="22" t="s">
        <v>19</v>
      </c>
      <c r="G329" s="26"/>
      <c r="H329" s="22"/>
      <c r="I329" s="22"/>
      <c r="J329" s="6"/>
      <c r="K329" s="2">
        <v>2</v>
      </c>
      <c r="L329" s="6">
        <v>106.951871657754</v>
      </c>
      <c r="M329" s="2">
        <v>101.2</v>
      </c>
      <c r="N329" s="22"/>
      <c r="O329" s="22"/>
      <c r="P329" s="2"/>
    </row>
    <row r="330" spans="1:16" ht="15" customHeight="1">
      <c r="A330" s="2">
        <v>329</v>
      </c>
      <c r="B330" s="22" t="s">
        <v>16</v>
      </c>
      <c r="C330" s="22" t="s">
        <v>17</v>
      </c>
      <c r="D330" s="3">
        <v>41778</v>
      </c>
      <c r="E330" s="27" t="s">
        <v>29</v>
      </c>
      <c r="F330" s="22" t="s">
        <v>19</v>
      </c>
      <c r="G330" s="26" t="s">
        <v>20</v>
      </c>
      <c r="H330" s="22"/>
      <c r="I330" s="22"/>
      <c r="J330" s="6"/>
      <c r="K330" s="2">
        <v>2</v>
      </c>
      <c r="L330" s="6">
        <v>192.51336898395721</v>
      </c>
      <c r="M330" s="2">
        <v>83.9</v>
      </c>
      <c r="N330" s="22" t="s">
        <v>30</v>
      </c>
      <c r="O330" s="22"/>
      <c r="P330" s="2"/>
    </row>
    <row r="331" spans="1:16" ht="15" customHeight="1">
      <c r="A331" s="2">
        <v>330</v>
      </c>
      <c r="B331" s="22" t="s">
        <v>16</v>
      </c>
      <c r="C331" s="22" t="s">
        <v>17</v>
      </c>
      <c r="D331" s="3">
        <v>41778</v>
      </c>
      <c r="E331" s="22" t="s">
        <v>46</v>
      </c>
      <c r="F331" s="22" t="s">
        <v>19</v>
      </c>
      <c r="G331" s="26"/>
      <c r="H331" s="22"/>
      <c r="I331" s="22"/>
      <c r="J331" s="6"/>
      <c r="K331" s="2">
        <v>2</v>
      </c>
      <c r="L331" s="6">
        <v>112.29946524064171</v>
      </c>
      <c r="M331" s="2">
        <v>83.9</v>
      </c>
      <c r="N331" s="22"/>
      <c r="O331" s="22"/>
      <c r="P331" s="2"/>
    </row>
    <row r="332" spans="1:16" ht="15" customHeight="1">
      <c r="A332" s="2">
        <v>331</v>
      </c>
      <c r="B332" s="22" t="s">
        <v>16</v>
      </c>
      <c r="C332" s="22" t="s">
        <v>17</v>
      </c>
      <c r="D332" s="3">
        <v>41778</v>
      </c>
      <c r="E332" s="22" t="s">
        <v>103</v>
      </c>
      <c r="F332" s="22" t="s">
        <v>19</v>
      </c>
      <c r="G332" s="26"/>
      <c r="H332" s="22"/>
      <c r="I332" s="22"/>
      <c r="J332" s="6">
        <v>60</v>
      </c>
      <c r="K332" s="2">
        <v>5</v>
      </c>
      <c r="L332" s="6">
        <v>1181</v>
      </c>
      <c r="M332" s="2">
        <v>83.9</v>
      </c>
      <c r="N332" s="22"/>
      <c r="O332" s="22" t="s">
        <v>76</v>
      </c>
      <c r="P332" s="2"/>
    </row>
    <row r="333" spans="1:16" ht="15" customHeight="1">
      <c r="A333" s="2">
        <v>332</v>
      </c>
      <c r="B333" s="22" t="s">
        <v>16</v>
      </c>
      <c r="C333" s="22" t="s">
        <v>17</v>
      </c>
      <c r="D333" s="3">
        <v>41778</v>
      </c>
      <c r="E333" s="22" t="s">
        <v>103</v>
      </c>
      <c r="F333" s="22" t="s">
        <v>19</v>
      </c>
      <c r="G333" s="26"/>
      <c r="H333" s="22"/>
      <c r="I333" s="22"/>
      <c r="J333" s="6">
        <v>60</v>
      </c>
      <c r="K333" s="2">
        <v>5</v>
      </c>
      <c r="L333" s="6">
        <v>1285</v>
      </c>
      <c r="M333" s="2">
        <v>83.9</v>
      </c>
      <c r="N333" s="22"/>
      <c r="O333" s="22" t="s">
        <v>77</v>
      </c>
      <c r="P333" s="2"/>
    </row>
    <row r="334" spans="1:16" ht="15" customHeight="1">
      <c r="A334" s="2">
        <v>333</v>
      </c>
      <c r="B334" s="22" t="s">
        <v>38</v>
      </c>
      <c r="C334" s="22" t="s">
        <v>39</v>
      </c>
      <c r="D334" s="3">
        <v>41778</v>
      </c>
      <c r="E334" s="27" t="s">
        <v>29</v>
      </c>
      <c r="F334" s="22" t="s">
        <v>19</v>
      </c>
      <c r="G334" s="26" t="s">
        <v>20</v>
      </c>
      <c r="H334" s="22"/>
      <c r="I334" s="22"/>
      <c r="J334" s="6"/>
      <c r="K334" s="2">
        <v>2</v>
      </c>
      <c r="L334" s="6">
        <v>181.81818181818181</v>
      </c>
      <c r="M334" s="2">
        <v>81.099999999999994</v>
      </c>
      <c r="N334" s="22" t="s">
        <v>52</v>
      </c>
      <c r="O334" s="22"/>
      <c r="P334" s="2"/>
    </row>
    <row r="335" spans="1:16" ht="15" customHeight="1">
      <c r="A335" s="2">
        <v>334</v>
      </c>
      <c r="B335" s="22" t="s">
        <v>38</v>
      </c>
      <c r="C335" s="22" t="s">
        <v>39</v>
      </c>
      <c r="D335" s="3">
        <v>41778</v>
      </c>
      <c r="E335" s="22" t="s">
        <v>46</v>
      </c>
      <c r="F335" s="22" t="s">
        <v>19</v>
      </c>
      <c r="G335" s="26"/>
      <c r="H335" s="22"/>
      <c r="I335" s="22"/>
      <c r="J335" s="6"/>
      <c r="K335" s="2">
        <v>2</v>
      </c>
      <c r="L335" s="6">
        <v>85.561497326203209</v>
      </c>
      <c r="M335" s="2">
        <v>81.099999999999994</v>
      </c>
      <c r="N335" s="22"/>
      <c r="O335" s="22"/>
      <c r="P335" s="2"/>
    </row>
    <row r="336" spans="1:16" ht="15" customHeight="1">
      <c r="A336" s="2">
        <v>335</v>
      </c>
      <c r="B336" s="22" t="s">
        <v>27</v>
      </c>
      <c r="C336" s="22" t="s">
        <v>28</v>
      </c>
      <c r="D336" s="3">
        <v>41778</v>
      </c>
      <c r="E336" s="22" t="s">
        <v>46</v>
      </c>
      <c r="F336" s="22" t="s">
        <v>19</v>
      </c>
      <c r="G336" s="26"/>
      <c r="H336" s="22"/>
      <c r="I336" s="22"/>
      <c r="J336" s="6"/>
      <c r="K336" s="2">
        <v>2</v>
      </c>
      <c r="L336" s="6">
        <v>128.34224598930481</v>
      </c>
      <c r="M336" s="2">
        <v>95.9</v>
      </c>
      <c r="N336" s="22"/>
      <c r="O336" s="22"/>
      <c r="P336" s="2"/>
    </row>
    <row r="337" spans="1:16" ht="15" customHeight="1">
      <c r="A337" s="2">
        <v>336</v>
      </c>
      <c r="B337" s="22" t="s">
        <v>27</v>
      </c>
      <c r="C337" s="22" t="s">
        <v>28</v>
      </c>
      <c r="D337" s="3">
        <v>41778</v>
      </c>
      <c r="E337" s="22" t="s">
        <v>67</v>
      </c>
      <c r="F337" s="22" t="s">
        <v>19</v>
      </c>
      <c r="G337" s="26"/>
      <c r="H337" s="22"/>
      <c r="I337" s="22"/>
      <c r="J337" s="6"/>
      <c r="K337" s="2">
        <v>6</v>
      </c>
      <c r="L337" s="6">
        <v>790.4191616766467</v>
      </c>
      <c r="M337" s="2">
        <v>95.9</v>
      </c>
      <c r="N337" s="22"/>
      <c r="O337" s="22"/>
      <c r="P337" s="2"/>
    </row>
    <row r="338" spans="1:16" ht="15" customHeight="1">
      <c r="A338" s="2">
        <v>337</v>
      </c>
      <c r="B338" s="22" t="s">
        <v>27</v>
      </c>
      <c r="C338" s="22" t="s">
        <v>28</v>
      </c>
      <c r="D338" s="3">
        <v>41778</v>
      </c>
      <c r="E338" s="22" t="s">
        <v>67</v>
      </c>
      <c r="F338" s="22" t="s">
        <v>19</v>
      </c>
      <c r="G338" s="26"/>
      <c r="H338" s="22"/>
      <c r="I338" s="22"/>
      <c r="J338" s="6"/>
      <c r="K338" s="2"/>
      <c r="L338" s="6">
        <v>480</v>
      </c>
      <c r="M338" s="2">
        <v>95.9</v>
      </c>
      <c r="N338" s="22"/>
      <c r="O338" s="22" t="s">
        <v>113</v>
      </c>
      <c r="P338" s="2"/>
    </row>
    <row r="339" spans="1:16" ht="15" customHeight="1">
      <c r="A339" s="2">
        <v>338</v>
      </c>
      <c r="B339" s="22" t="s">
        <v>31</v>
      </c>
      <c r="C339" s="22" t="s">
        <v>32</v>
      </c>
      <c r="D339" s="3">
        <v>41778</v>
      </c>
      <c r="E339" s="27" t="s">
        <v>29</v>
      </c>
      <c r="F339" s="22" t="s">
        <v>19</v>
      </c>
      <c r="G339" s="26" t="s">
        <v>20</v>
      </c>
      <c r="H339" s="22"/>
      <c r="I339" s="22"/>
      <c r="J339" s="6"/>
      <c r="K339" s="2">
        <v>2</v>
      </c>
      <c r="L339" s="6">
        <v>171.12299465240642</v>
      </c>
      <c r="M339" s="2">
        <v>84</v>
      </c>
      <c r="N339" s="22" t="s">
        <v>30</v>
      </c>
      <c r="O339" s="22"/>
      <c r="P339" s="2"/>
    </row>
    <row r="340" spans="1:16" ht="15" customHeight="1">
      <c r="A340" s="2">
        <v>339</v>
      </c>
      <c r="B340" s="22" t="s">
        <v>31</v>
      </c>
      <c r="C340" s="22" t="s">
        <v>32</v>
      </c>
      <c r="D340" s="3">
        <v>41778</v>
      </c>
      <c r="E340" s="22" t="s">
        <v>46</v>
      </c>
      <c r="F340" s="22" t="s">
        <v>19</v>
      </c>
      <c r="G340" s="26"/>
      <c r="H340" s="22"/>
      <c r="I340" s="22"/>
      <c r="J340" s="6"/>
      <c r="K340" s="2">
        <v>2</v>
      </c>
      <c r="L340" s="6">
        <v>112.29946524064171</v>
      </c>
      <c r="M340" s="2">
        <v>84</v>
      </c>
      <c r="N340" s="22"/>
      <c r="O340" s="22"/>
      <c r="P340" s="2"/>
    </row>
    <row r="341" spans="1:16" ht="15" customHeight="1">
      <c r="A341" s="2">
        <v>340</v>
      </c>
      <c r="B341" s="22" t="s">
        <v>31</v>
      </c>
      <c r="C341" s="22" t="s">
        <v>32</v>
      </c>
      <c r="D341" s="3">
        <v>41778</v>
      </c>
      <c r="E341" s="22" t="s">
        <v>103</v>
      </c>
      <c r="F341" s="22" t="s">
        <v>19</v>
      </c>
      <c r="G341" s="26"/>
      <c r="H341" s="22"/>
      <c r="I341" s="22"/>
      <c r="J341" s="6">
        <v>60</v>
      </c>
      <c r="K341" s="2">
        <v>5</v>
      </c>
      <c r="L341" s="6">
        <v>850</v>
      </c>
      <c r="M341" s="2">
        <v>84</v>
      </c>
      <c r="N341" s="22"/>
      <c r="O341" s="22"/>
      <c r="P341" s="2"/>
    </row>
    <row r="342" spans="1:16" ht="15" customHeight="1">
      <c r="A342" s="2">
        <v>341</v>
      </c>
      <c r="B342" s="22" t="s">
        <v>41</v>
      </c>
      <c r="C342" s="22" t="s">
        <v>42</v>
      </c>
      <c r="D342" s="3">
        <v>41778</v>
      </c>
      <c r="E342" s="22" t="s">
        <v>114</v>
      </c>
      <c r="F342" s="22" t="s">
        <v>19</v>
      </c>
      <c r="G342" s="26"/>
      <c r="H342" s="22"/>
      <c r="I342" s="22"/>
      <c r="J342" s="6"/>
      <c r="K342" s="2">
        <v>2</v>
      </c>
      <c r="L342" s="6">
        <v>69.518716577540104</v>
      </c>
      <c r="M342" s="2">
        <v>78.099999999999994</v>
      </c>
      <c r="N342" s="22"/>
      <c r="O342" s="22" t="s">
        <v>111</v>
      </c>
      <c r="P342" s="2"/>
    </row>
    <row r="343" spans="1:16" ht="15" customHeight="1">
      <c r="A343" s="2">
        <v>342</v>
      </c>
      <c r="B343" s="22" t="s">
        <v>63</v>
      </c>
      <c r="C343" s="22" t="s">
        <v>64</v>
      </c>
      <c r="D343" s="3">
        <v>41778</v>
      </c>
      <c r="E343" s="27" t="s">
        <v>29</v>
      </c>
      <c r="F343" s="22" t="s">
        <v>19</v>
      </c>
      <c r="G343" s="26" t="s">
        <v>20</v>
      </c>
      <c r="H343" s="22"/>
      <c r="I343" s="22"/>
      <c r="J343" s="6"/>
      <c r="K343" s="2">
        <v>2</v>
      </c>
      <c r="L343" s="6">
        <v>192.51336898395721</v>
      </c>
      <c r="M343" s="2">
        <v>88.6</v>
      </c>
      <c r="N343" s="22" t="s">
        <v>30</v>
      </c>
      <c r="O343" s="22"/>
      <c r="P343" s="2"/>
    </row>
    <row r="344" spans="1:16" ht="15" customHeight="1">
      <c r="A344" s="2">
        <v>343</v>
      </c>
      <c r="B344" s="22" t="s">
        <v>47</v>
      </c>
      <c r="C344" s="22" t="s">
        <v>48</v>
      </c>
      <c r="D344" s="3">
        <v>41780</v>
      </c>
      <c r="E344" s="22" t="s">
        <v>103</v>
      </c>
      <c r="F344" s="22" t="s">
        <v>19</v>
      </c>
      <c r="G344" s="26"/>
      <c r="H344" s="22"/>
      <c r="I344" s="22"/>
      <c r="J344" s="6">
        <v>60</v>
      </c>
      <c r="K344" s="2">
        <v>5</v>
      </c>
      <c r="L344" s="6">
        <v>1360</v>
      </c>
      <c r="M344" s="2">
        <v>100.4</v>
      </c>
      <c r="N344" s="22"/>
      <c r="O344" s="22" t="s">
        <v>76</v>
      </c>
      <c r="P344" s="2"/>
    </row>
    <row r="345" spans="1:16" ht="15" customHeight="1">
      <c r="A345" s="2">
        <v>344</v>
      </c>
      <c r="B345" s="22" t="s">
        <v>47</v>
      </c>
      <c r="C345" s="22" t="s">
        <v>48</v>
      </c>
      <c r="D345" s="3">
        <v>41780</v>
      </c>
      <c r="E345" s="22" t="s">
        <v>103</v>
      </c>
      <c r="F345" s="22" t="s">
        <v>19</v>
      </c>
      <c r="G345" s="26"/>
      <c r="H345" s="22"/>
      <c r="I345" s="22"/>
      <c r="J345" s="6">
        <v>60</v>
      </c>
      <c r="K345" s="2">
        <v>5</v>
      </c>
      <c r="L345" s="6">
        <v>1383</v>
      </c>
      <c r="M345" s="2">
        <v>100.4</v>
      </c>
      <c r="N345" s="22"/>
      <c r="O345" s="22" t="s">
        <v>77</v>
      </c>
      <c r="P345" s="2"/>
    </row>
    <row r="346" spans="1:16" ht="15" customHeight="1">
      <c r="A346" s="2">
        <v>345</v>
      </c>
      <c r="B346" s="22" t="s">
        <v>38</v>
      </c>
      <c r="C346" s="22" t="s">
        <v>39</v>
      </c>
      <c r="D346" s="3">
        <v>41780</v>
      </c>
      <c r="E346" s="22" t="s">
        <v>67</v>
      </c>
      <c r="F346" s="22" t="s">
        <v>19</v>
      </c>
      <c r="G346" s="26"/>
      <c r="H346" s="22"/>
      <c r="I346" s="22"/>
      <c r="J346" s="6"/>
      <c r="K346" s="2">
        <v>5</v>
      </c>
      <c r="L346" s="6">
        <v>348.83720930232556</v>
      </c>
      <c r="M346" s="2">
        <v>82.1</v>
      </c>
      <c r="N346" s="22"/>
      <c r="O346" s="22"/>
      <c r="P346" s="2"/>
    </row>
    <row r="347" spans="1:16" ht="15" customHeight="1">
      <c r="A347" s="2">
        <v>346</v>
      </c>
      <c r="B347" s="22" t="s">
        <v>38</v>
      </c>
      <c r="C347" s="22" t="s">
        <v>39</v>
      </c>
      <c r="D347" s="3">
        <v>41780</v>
      </c>
      <c r="E347" s="22" t="s">
        <v>103</v>
      </c>
      <c r="F347" s="22" t="s">
        <v>19</v>
      </c>
      <c r="G347" s="26"/>
      <c r="H347" s="22"/>
      <c r="I347" s="22"/>
      <c r="J347" s="6">
        <v>65</v>
      </c>
      <c r="K347" s="2">
        <v>6</v>
      </c>
      <c r="L347" s="6">
        <v>1031</v>
      </c>
      <c r="M347" s="2">
        <v>82.1</v>
      </c>
      <c r="N347" s="22"/>
      <c r="O347" s="22" t="s">
        <v>76</v>
      </c>
      <c r="P347" s="2"/>
    </row>
    <row r="348" spans="1:16" ht="15" customHeight="1">
      <c r="A348" s="2">
        <v>347</v>
      </c>
      <c r="B348" s="22" t="s">
        <v>38</v>
      </c>
      <c r="C348" s="22" t="s">
        <v>39</v>
      </c>
      <c r="D348" s="3">
        <v>41780</v>
      </c>
      <c r="E348" s="22" t="s">
        <v>103</v>
      </c>
      <c r="F348" s="22" t="s">
        <v>19</v>
      </c>
      <c r="G348" s="26"/>
      <c r="H348" s="22"/>
      <c r="I348" s="22"/>
      <c r="J348" s="6">
        <v>65</v>
      </c>
      <c r="K348" s="2">
        <v>6</v>
      </c>
      <c r="L348" s="6">
        <v>1071</v>
      </c>
      <c r="M348" s="2">
        <v>82.1</v>
      </c>
      <c r="N348" s="22"/>
      <c r="O348" s="22" t="s">
        <v>77</v>
      </c>
      <c r="P348" s="2"/>
    </row>
    <row r="349" spans="1:16" ht="15" customHeight="1">
      <c r="A349" s="2">
        <v>348</v>
      </c>
      <c r="B349" s="22" t="s">
        <v>27</v>
      </c>
      <c r="C349" s="22" t="s">
        <v>28</v>
      </c>
      <c r="D349" s="3">
        <v>41780</v>
      </c>
      <c r="E349" s="22" t="s">
        <v>103</v>
      </c>
      <c r="F349" s="22" t="s">
        <v>19</v>
      </c>
      <c r="G349" s="26"/>
      <c r="H349" s="22"/>
      <c r="I349" s="22"/>
      <c r="J349" s="6">
        <v>80</v>
      </c>
      <c r="K349" s="2">
        <v>5</v>
      </c>
      <c r="L349" s="6">
        <v>1159</v>
      </c>
      <c r="M349" s="2">
        <v>95.6</v>
      </c>
      <c r="N349" s="22"/>
      <c r="O349" s="22" t="s">
        <v>76</v>
      </c>
      <c r="P349" s="2"/>
    </row>
    <row r="350" spans="1:16" ht="15" customHeight="1">
      <c r="A350" s="2">
        <v>349</v>
      </c>
      <c r="B350" s="22" t="s">
        <v>27</v>
      </c>
      <c r="C350" s="22" t="s">
        <v>28</v>
      </c>
      <c r="D350" s="3">
        <v>41780</v>
      </c>
      <c r="E350" s="22" t="s">
        <v>103</v>
      </c>
      <c r="F350" s="22" t="s">
        <v>19</v>
      </c>
      <c r="G350" s="26"/>
      <c r="H350" s="22"/>
      <c r="I350" s="22"/>
      <c r="J350" s="6">
        <v>80</v>
      </c>
      <c r="K350" s="2">
        <v>5</v>
      </c>
      <c r="L350" s="6">
        <v>1200</v>
      </c>
      <c r="M350" s="2">
        <v>95.6</v>
      </c>
      <c r="N350" s="22"/>
      <c r="O350" s="22" t="s">
        <v>77</v>
      </c>
      <c r="P350" s="2"/>
    </row>
    <row r="351" spans="1:16" ht="15" customHeight="1">
      <c r="A351" s="2">
        <v>350</v>
      </c>
      <c r="B351" s="22" t="s">
        <v>27</v>
      </c>
      <c r="C351" s="22" t="s">
        <v>28</v>
      </c>
      <c r="D351" s="3">
        <v>41780</v>
      </c>
      <c r="E351" s="22" t="s">
        <v>109</v>
      </c>
      <c r="F351" s="22" t="s">
        <v>19</v>
      </c>
      <c r="G351" s="26"/>
      <c r="H351" s="22"/>
      <c r="I351" s="22"/>
      <c r="J351" s="6"/>
      <c r="K351" s="2">
        <v>5</v>
      </c>
      <c r="L351" s="6">
        <v>116.27906976744187</v>
      </c>
      <c r="M351" s="2">
        <v>95.6</v>
      </c>
      <c r="N351" s="22"/>
      <c r="O351" s="22"/>
      <c r="P351" s="2"/>
    </row>
    <row r="352" spans="1:16" ht="15" customHeight="1">
      <c r="A352" s="2">
        <v>351</v>
      </c>
      <c r="B352" s="22" t="s">
        <v>31</v>
      </c>
      <c r="C352" s="22" t="s">
        <v>32</v>
      </c>
      <c r="D352" s="3">
        <v>41780</v>
      </c>
      <c r="E352" s="22" t="s">
        <v>109</v>
      </c>
      <c r="F352" s="22" t="s">
        <v>19</v>
      </c>
      <c r="G352" s="26"/>
      <c r="H352" s="22"/>
      <c r="I352" s="22"/>
      <c r="J352" s="6"/>
      <c r="K352" s="2">
        <v>5</v>
      </c>
      <c r="L352" s="6">
        <v>116.27906976744187</v>
      </c>
      <c r="M352" s="2">
        <v>83.9</v>
      </c>
      <c r="N352" s="22"/>
      <c r="O352" s="22"/>
      <c r="P352" s="2"/>
    </row>
    <row r="353" spans="1:16" ht="15" customHeight="1">
      <c r="A353" s="2">
        <v>352</v>
      </c>
      <c r="B353" s="22" t="s">
        <v>63</v>
      </c>
      <c r="C353" s="22" t="s">
        <v>64</v>
      </c>
      <c r="D353" s="3">
        <v>41780</v>
      </c>
      <c r="E353" s="22" t="s">
        <v>70</v>
      </c>
      <c r="F353" s="22" t="s">
        <v>19</v>
      </c>
      <c r="G353" s="26"/>
      <c r="H353" s="22"/>
      <c r="I353" s="22"/>
      <c r="J353" s="6"/>
      <c r="K353" s="2">
        <v>5</v>
      </c>
      <c r="L353" s="6">
        <v>186.04651162790697</v>
      </c>
      <c r="M353" s="2">
        <v>87.8</v>
      </c>
      <c r="N353" s="22"/>
      <c r="O353" s="22"/>
      <c r="P353" s="2"/>
    </row>
    <row r="354" spans="1:16" ht="15" customHeight="1">
      <c r="A354" s="2">
        <v>353</v>
      </c>
      <c r="B354" s="22" t="s">
        <v>63</v>
      </c>
      <c r="C354" s="22" t="s">
        <v>64</v>
      </c>
      <c r="D354" s="3">
        <v>41780</v>
      </c>
      <c r="E354" s="22" t="s">
        <v>103</v>
      </c>
      <c r="F354" s="22" t="s">
        <v>19</v>
      </c>
      <c r="G354" s="26"/>
      <c r="H354" s="22"/>
      <c r="I354" s="22"/>
      <c r="J354" s="6">
        <v>65</v>
      </c>
      <c r="K354" s="2">
        <v>6</v>
      </c>
      <c r="L354" s="6">
        <v>1265</v>
      </c>
      <c r="M354" s="2">
        <v>87.8</v>
      </c>
      <c r="N354" s="22"/>
      <c r="O354" s="22" t="s">
        <v>76</v>
      </c>
      <c r="P354" s="2"/>
    </row>
    <row r="355" spans="1:16" ht="15" customHeight="1">
      <c r="A355" s="2">
        <v>354</v>
      </c>
      <c r="B355" s="22" t="s">
        <v>63</v>
      </c>
      <c r="C355" s="22" t="s">
        <v>64</v>
      </c>
      <c r="D355" s="3">
        <v>41780</v>
      </c>
      <c r="E355" s="22" t="s">
        <v>103</v>
      </c>
      <c r="F355" s="22" t="s">
        <v>19</v>
      </c>
      <c r="G355" s="26"/>
      <c r="H355" s="22"/>
      <c r="I355" s="22"/>
      <c r="J355" s="6">
        <v>65</v>
      </c>
      <c r="K355" s="2">
        <v>6</v>
      </c>
      <c r="L355" s="6">
        <v>1190</v>
      </c>
      <c r="M355" s="2">
        <v>87.8</v>
      </c>
      <c r="N355" s="22"/>
      <c r="O355" s="22" t="s">
        <v>77</v>
      </c>
      <c r="P355" s="2"/>
    </row>
    <row r="356" spans="1:16" ht="15" customHeight="1">
      <c r="A356" s="2">
        <v>355</v>
      </c>
      <c r="B356" s="22" t="s">
        <v>47</v>
      </c>
      <c r="C356" s="22" t="s">
        <v>48</v>
      </c>
      <c r="D356" s="3">
        <v>41782</v>
      </c>
      <c r="E356" s="27" t="s">
        <v>29</v>
      </c>
      <c r="F356" s="22" t="s">
        <v>19</v>
      </c>
      <c r="G356" s="26" t="s">
        <v>54</v>
      </c>
      <c r="H356" s="22"/>
      <c r="I356" s="22"/>
      <c r="J356" s="6"/>
      <c r="K356" s="2">
        <v>4</v>
      </c>
      <c r="L356" s="6">
        <v>203.38983050847457</v>
      </c>
      <c r="M356" s="2"/>
      <c r="N356" s="22" t="s">
        <v>30</v>
      </c>
      <c r="O356" s="22"/>
      <c r="P356" s="2"/>
    </row>
    <row r="357" spans="1:16" ht="15" customHeight="1">
      <c r="A357" s="2">
        <v>356</v>
      </c>
      <c r="B357" s="22" t="s">
        <v>47</v>
      </c>
      <c r="C357" s="22" t="s">
        <v>48</v>
      </c>
      <c r="D357" s="3">
        <v>41782</v>
      </c>
      <c r="E357" s="22" t="s">
        <v>26</v>
      </c>
      <c r="F357" s="22" t="s">
        <v>19</v>
      </c>
      <c r="G357" s="26"/>
      <c r="H357" s="22"/>
      <c r="I357" s="22"/>
      <c r="J357" s="6"/>
      <c r="K357" s="2">
        <v>4</v>
      </c>
      <c r="L357" s="6">
        <v>124.29378531073446</v>
      </c>
      <c r="M357" s="2"/>
      <c r="N357" s="22"/>
      <c r="O357" s="22"/>
      <c r="P357" s="2"/>
    </row>
    <row r="358" spans="1:16" ht="15" customHeight="1">
      <c r="A358" s="2">
        <v>357</v>
      </c>
      <c r="B358" s="22" t="s">
        <v>16</v>
      </c>
      <c r="C358" s="22" t="s">
        <v>17</v>
      </c>
      <c r="D358" s="3">
        <v>41782</v>
      </c>
      <c r="E358" s="22" t="s">
        <v>26</v>
      </c>
      <c r="F358" s="22" t="s">
        <v>19</v>
      </c>
      <c r="G358" s="26"/>
      <c r="H358" s="22"/>
      <c r="I358" s="22"/>
      <c r="J358" s="6"/>
      <c r="K358" s="2">
        <v>2</v>
      </c>
      <c r="L358" s="6">
        <v>117.64705882352941</v>
      </c>
      <c r="M358" s="2">
        <v>82.7</v>
      </c>
      <c r="N358" s="22"/>
      <c r="O358" s="22"/>
      <c r="P358" s="2"/>
    </row>
    <row r="359" spans="1:16" ht="15" customHeight="1">
      <c r="A359" s="2">
        <v>358</v>
      </c>
      <c r="B359" s="22" t="s">
        <v>16</v>
      </c>
      <c r="C359" s="22" t="s">
        <v>17</v>
      </c>
      <c r="D359" s="3">
        <v>41782</v>
      </c>
      <c r="E359" s="27" t="s">
        <v>29</v>
      </c>
      <c r="F359" s="22" t="s">
        <v>19</v>
      </c>
      <c r="G359" s="26" t="s">
        <v>54</v>
      </c>
      <c r="H359" s="22"/>
      <c r="I359" s="22"/>
      <c r="J359" s="6"/>
      <c r="K359" s="2"/>
      <c r="L359" s="6">
        <v>160</v>
      </c>
      <c r="M359" s="2">
        <v>82.7</v>
      </c>
      <c r="N359" s="22" t="s">
        <v>30</v>
      </c>
      <c r="O359" s="22" t="s">
        <v>55</v>
      </c>
      <c r="P359" s="2"/>
    </row>
    <row r="360" spans="1:16" ht="15" customHeight="1">
      <c r="A360" s="2">
        <v>359</v>
      </c>
      <c r="B360" s="22" t="s">
        <v>38</v>
      </c>
      <c r="C360" s="22" t="s">
        <v>39</v>
      </c>
      <c r="D360" s="3">
        <v>41782</v>
      </c>
      <c r="E360" s="27" t="s">
        <v>29</v>
      </c>
      <c r="F360" s="22" t="s">
        <v>19</v>
      </c>
      <c r="G360" s="26" t="s">
        <v>20</v>
      </c>
      <c r="H360" s="22"/>
      <c r="I360" s="22"/>
      <c r="J360" s="6"/>
      <c r="K360" s="2">
        <v>2</v>
      </c>
      <c r="L360" s="6">
        <v>192.51336898395721</v>
      </c>
      <c r="M360" s="2">
        <v>82.7</v>
      </c>
      <c r="N360" s="22" t="s">
        <v>52</v>
      </c>
      <c r="O360" s="22"/>
      <c r="P360" s="2"/>
    </row>
    <row r="361" spans="1:16" ht="15" customHeight="1">
      <c r="A361" s="2">
        <v>360</v>
      </c>
      <c r="B361" s="22" t="s">
        <v>38</v>
      </c>
      <c r="C361" s="22" t="s">
        <v>39</v>
      </c>
      <c r="D361" s="3">
        <v>41782</v>
      </c>
      <c r="E361" s="22" t="s">
        <v>26</v>
      </c>
      <c r="F361" s="22" t="s">
        <v>19</v>
      </c>
      <c r="G361" s="26"/>
      <c r="H361" s="22"/>
      <c r="I361" s="22"/>
      <c r="J361" s="6"/>
      <c r="K361" s="2">
        <v>3</v>
      </c>
      <c r="L361" s="6">
        <v>82.417582417582409</v>
      </c>
      <c r="M361" s="2">
        <v>82.7</v>
      </c>
      <c r="N361" s="22"/>
      <c r="O361" s="22"/>
      <c r="P361" s="2"/>
    </row>
    <row r="362" spans="1:16" ht="15" customHeight="1">
      <c r="A362" s="2">
        <v>361</v>
      </c>
      <c r="B362" s="22" t="s">
        <v>27</v>
      </c>
      <c r="C362" s="22" t="s">
        <v>28</v>
      </c>
      <c r="D362" s="3">
        <v>41782</v>
      </c>
      <c r="E362" s="22" t="s">
        <v>26</v>
      </c>
      <c r="F362" s="22" t="s">
        <v>19</v>
      </c>
      <c r="G362" s="26"/>
      <c r="H362" s="22"/>
      <c r="I362" s="22"/>
      <c r="J362" s="6"/>
      <c r="K362" s="2">
        <v>2</v>
      </c>
      <c r="L362" s="6">
        <v>128.34224598930481</v>
      </c>
      <c r="M362" s="2">
        <v>96.3</v>
      </c>
      <c r="N362" s="22"/>
      <c r="O362" s="22"/>
      <c r="P362" s="2"/>
    </row>
    <row r="363" spans="1:16" ht="15" customHeight="1">
      <c r="A363" s="2">
        <v>362</v>
      </c>
      <c r="B363" s="22" t="s">
        <v>31</v>
      </c>
      <c r="C363" s="22" t="s">
        <v>32</v>
      </c>
      <c r="D363" s="3">
        <v>41782</v>
      </c>
      <c r="E363" s="27" t="s">
        <v>29</v>
      </c>
      <c r="F363" s="22" t="s">
        <v>19</v>
      </c>
      <c r="G363" s="26" t="s">
        <v>20</v>
      </c>
      <c r="H363" s="22"/>
      <c r="I363" s="22"/>
      <c r="J363" s="6"/>
      <c r="K363" s="2"/>
      <c r="L363" s="6">
        <v>130</v>
      </c>
      <c r="M363" s="2">
        <v>83.6</v>
      </c>
      <c r="N363" s="22" t="s">
        <v>30</v>
      </c>
      <c r="O363" s="22" t="s">
        <v>56</v>
      </c>
      <c r="P363" s="2"/>
    </row>
    <row r="364" spans="1:16" ht="15" customHeight="1">
      <c r="A364" s="2">
        <v>363</v>
      </c>
      <c r="B364" s="22" t="s">
        <v>63</v>
      </c>
      <c r="C364" s="22" t="s">
        <v>64</v>
      </c>
      <c r="D364" s="3">
        <v>41782</v>
      </c>
      <c r="E364" s="27" t="s">
        <v>29</v>
      </c>
      <c r="F364" s="22" t="s">
        <v>19</v>
      </c>
      <c r="G364" s="26" t="s">
        <v>20</v>
      </c>
      <c r="H364" s="22"/>
      <c r="I364" s="22"/>
      <c r="J364" s="6"/>
      <c r="K364" s="2">
        <v>2</v>
      </c>
      <c r="L364" s="6">
        <v>181.81818181818181</v>
      </c>
      <c r="M364" s="2">
        <v>88.5</v>
      </c>
      <c r="N364" s="22" t="s">
        <v>30</v>
      </c>
      <c r="O364" s="22"/>
      <c r="P364" s="2"/>
    </row>
    <row r="365" spans="1:16" ht="15" customHeight="1">
      <c r="A365" s="2">
        <v>364</v>
      </c>
      <c r="B365" s="22" t="s">
        <v>63</v>
      </c>
      <c r="C365" s="22" t="s">
        <v>64</v>
      </c>
      <c r="D365" s="3">
        <v>41782</v>
      </c>
      <c r="E365" s="22" t="s">
        <v>26</v>
      </c>
      <c r="F365" s="22" t="s">
        <v>19</v>
      </c>
      <c r="G365" s="26"/>
      <c r="H365" s="22"/>
      <c r="I365" s="22"/>
      <c r="J365" s="6"/>
      <c r="K365" s="2">
        <v>3</v>
      </c>
      <c r="L365" s="6">
        <v>98.901098901098891</v>
      </c>
      <c r="M365" s="2">
        <v>88.5</v>
      </c>
      <c r="N365" s="22"/>
      <c r="O365" s="22"/>
      <c r="P365" s="2"/>
    </row>
    <row r="366" spans="1:16" ht="15" customHeight="1">
      <c r="A366" s="2">
        <v>365</v>
      </c>
      <c r="B366" s="22" t="s">
        <v>33</v>
      </c>
      <c r="C366" s="22" t="s">
        <v>34</v>
      </c>
      <c r="D366" s="3">
        <v>41783</v>
      </c>
      <c r="E366" s="22" t="s">
        <v>65</v>
      </c>
      <c r="F366" s="22" t="s">
        <v>19</v>
      </c>
      <c r="G366" s="26"/>
      <c r="H366" s="22"/>
      <c r="I366" s="22"/>
      <c r="J366" s="6"/>
      <c r="K366" s="2">
        <v>5</v>
      </c>
      <c r="L366" s="6">
        <v>93.023255813953483</v>
      </c>
      <c r="M366" s="2"/>
      <c r="N366" s="22"/>
      <c r="O366" s="22" t="s">
        <v>66</v>
      </c>
      <c r="P366" s="2"/>
    </row>
    <row r="367" spans="1:16" ht="15" customHeight="1">
      <c r="A367" s="2">
        <v>366</v>
      </c>
      <c r="B367" s="26" t="s">
        <v>16</v>
      </c>
      <c r="C367" s="22" t="s">
        <v>17</v>
      </c>
      <c r="D367" s="8">
        <v>41785</v>
      </c>
      <c r="E367" s="27" t="s">
        <v>29</v>
      </c>
      <c r="F367" s="26" t="s">
        <v>58</v>
      </c>
      <c r="G367" s="26"/>
      <c r="H367" s="27" t="s">
        <v>115</v>
      </c>
      <c r="I367" s="27" t="s">
        <v>116</v>
      </c>
      <c r="J367" s="133">
        <v>185</v>
      </c>
      <c r="K367" s="25">
        <v>1</v>
      </c>
      <c r="L367" s="6">
        <v>185</v>
      </c>
      <c r="M367" s="2">
        <v>82.3</v>
      </c>
      <c r="N367" s="22" t="s">
        <v>30</v>
      </c>
      <c r="O367" s="10"/>
      <c r="P367" s="11" t="s">
        <v>117</v>
      </c>
    </row>
    <row r="368" spans="1:16" ht="15" customHeight="1">
      <c r="A368" s="2">
        <v>367</v>
      </c>
      <c r="B368" s="22" t="s">
        <v>27</v>
      </c>
      <c r="C368" s="22" t="s">
        <v>87</v>
      </c>
      <c r="D368" s="8">
        <v>41785</v>
      </c>
      <c r="E368" s="27" t="s">
        <v>29</v>
      </c>
      <c r="F368" s="26" t="s">
        <v>58</v>
      </c>
      <c r="G368" s="26"/>
      <c r="H368" s="27" t="s">
        <v>115</v>
      </c>
      <c r="I368" s="27" t="s">
        <v>116</v>
      </c>
      <c r="J368" s="133" t="s">
        <v>118</v>
      </c>
      <c r="K368" s="25"/>
      <c r="L368" s="6"/>
      <c r="M368" s="2">
        <v>96</v>
      </c>
      <c r="N368" s="22" t="s">
        <v>30</v>
      </c>
      <c r="O368" s="10"/>
      <c r="P368" s="11" t="s">
        <v>118</v>
      </c>
    </row>
    <row r="369" spans="1:16" ht="15" customHeight="1">
      <c r="A369" s="2">
        <v>368</v>
      </c>
      <c r="B369" s="22" t="s">
        <v>31</v>
      </c>
      <c r="C369" s="22" t="s">
        <v>32</v>
      </c>
      <c r="D369" s="8">
        <v>41785</v>
      </c>
      <c r="E369" s="27" t="s">
        <v>29</v>
      </c>
      <c r="F369" s="26" t="s">
        <v>58</v>
      </c>
      <c r="G369" s="26"/>
      <c r="H369" s="27" t="s">
        <v>115</v>
      </c>
      <c r="I369" s="27" t="s">
        <v>116</v>
      </c>
      <c r="J369" s="133"/>
      <c r="K369" s="25"/>
      <c r="L369" s="6">
        <v>170</v>
      </c>
      <c r="M369" s="2">
        <v>83.8</v>
      </c>
      <c r="N369" s="22" t="s">
        <v>30</v>
      </c>
      <c r="O369" s="10"/>
      <c r="P369" s="11"/>
    </row>
    <row r="370" spans="1:16" ht="15" customHeight="1">
      <c r="A370" s="2">
        <v>369</v>
      </c>
      <c r="B370" s="26" t="s">
        <v>33</v>
      </c>
      <c r="C370" s="22" t="s">
        <v>34</v>
      </c>
      <c r="D370" s="8">
        <v>41785</v>
      </c>
      <c r="E370" s="27" t="s">
        <v>29</v>
      </c>
      <c r="F370" s="26" t="s">
        <v>58</v>
      </c>
      <c r="G370" s="26"/>
      <c r="H370" s="27" t="s">
        <v>115</v>
      </c>
      <c r="I370" s="27" t="s">
        <v>116</v>
      </c>
      <c r="J370" s="6"/>
      <c r="K370" s="25"/>
      <c r="L370" s="6"/>
      <c r="M370" s="2"/>
      <c r="N370" s="22" t="s">
        <v>30</v>
      </c>
      <c r="O370" s="5" t="s">
        <v>91</v>
      </c>
      <c r="P370" s="2" t="s">
        <v>92</v>
      </c>
    </row>
    <row r="371" spans="1:16" ht="15" customHeight="1">
      <c r="A371" s="2">
        <v>370</v>
      </c>
      <c r="B371" s="22" t="s">
        <v>63</v>
      </c>
      <c r="C371" s="22" t="s">
        <v>64</v>
      </c>
      <c r="D371" s="8">
        <v>41785</v>
      </c>
      <c r="E371" s="27" t="s">
        <v>29</v>
      </c>
      <c r="F371" s="26" t="s">
        <v>58</v>
      </c>
      <c r="G371" s="26"/>
      <c r="H371" s="27" t="s">
        <v>115</v>
      </c>
      <c r="I371" s="27" t="s">
        <v>116</v>
      </c>
      <c r="J371" s="133">
        <v>170</v>
      </c>
      <c r="K371" s="5">
        <v>3</v>
      </c>
      <c r="L371" s="6">
        <v>186.8131868131868</v>
      </c>
      <c r="M371" s="2">
        <v>88.5</v>
      </c>
      <c r="N371" s="22" t="s">
        <v>30</v>
      </c>
      <c r="O371" s="10"/>
      <c r="P371" s="11" t="s">
        <v>119</v>
      </c>
    </row>
    <row r="372" spans="1:16" ht="15" customHeight="1">
      <c r="A372" s="2">
        <v>371</v>
      </c>
      <c r="B372" s="22" t="s">
        <v>41</v>
      </c>
      <c r="C372" s="22" t="s">
        <v>94</v>
      </c>
      <c r="D372" s="8">
        <v>41785</v>
      </c>
      <c r="E372" s="27" t="s">
        <v>29</v>
      </c>
      <c r="F372" s="26" t="s">
        <v>58</v>
      </c>
      <c r="G372" s="26"/>
      <c r="H372" s="27" t="s">
        <v>115</v>
      </c>
      <c r="I372" s="27" t="s">
        <v>116</v>
      </c>
      <c r="J372" s="6"/>
      <c r="K372" s="25"/>
      <c r="L372" s="6">
        <v>150</v>
      </c>
      <c r="M372" s="2">
        <v>78.099999999999994</v>
      </c>
      <c r="N372" s="22" t="s">
        <v>30</v>
      </c>
      <c r="O372" s="5" t="s">
        <v>107</v>
      </c>
      <c r="P372" s="11" t="s">
        <v>120</v>
      </c>
    </row>
    <row r="373" spans="1:16" ht="15" customHeight="1">
      <c r="A373" s="2">
        <v>372</v>
      </c>
      <c r="B373" s="22" t="s">
        <v>95</v>
      </c>
      <c r="C373" s="22" t="s">
        <v>96</v>
      </c>
      <c r="D373" s="8">
        <v>41785</v>
      </c>
      <c r="E373" s="27" t="s">
        <v>29</v>
      </c>
      <c r="F373" s="26" t="s">
        <v>58</v>
      </c>
      <c r="G373" s="26"/>
      <c r="H373" s="27" t="s">
        <v>115</v>
      </c>
      <c r="I373" s="27" t="s">
        <v>116</v>
      </c>
      <c r="J373" s="6"/>
      <c r="K373" s="5">
        <v>3</v>
      </c>
      <c r="L373" s="6">
        <v>137.36263736263737</v>
      </c>
      <c r="M373" s="2">
        <v>78.7</v>
      </c>
      <c r="N373" s="22" t="s">
        <v>30</v>
      </c>
      <c r="O373" s="10"/>
      <c r="P373" s="2" t="s">
        <v>121</v>
      </c>
    </row>
    <row r="374" spans="1:16" ht="15" customHeight="1">
      <c r="A374" s="2">
        <v>373</v>
      </c>
      <c r="B374" s="22" t="s">
        <v>16</v>
      </c>
      <c r="C374" s="22" t="s">
        <v>17</v>
      </c>
      <c r="D374" s="3">
        <v>41785</v>
      </c>
      <c r="E374" s="22" t="s">
        <v>26</v>
      </c>
      <c r="F374" s="26" t="s">
        <v>58</v>
      </c>
      <c r="G374" s="26"/>
      <c r="H374" s="22" t="s">
        <v>115</v>
      </c>
      <c r="I374" s="22" t="s">
        <v>116</v>
      </c>
      <c r="J374" s="133"/>
      <c r="K374" s="25"/>
      <c r="L374" s="11">
        <v>115</v>
      </c>
      <c r="M374" s="2"/>
      <c r="N374" s="22"/>
      <c r="O374" s="10"/>
      <c r="P374" s="2"/>
    </row>
    <row r="375" spans="1:16" ht="15" customHeight="1">
      <c r="A375" s="2">
        <v>374</v>
      </c>
      <c r="B375" s="22" t="s">
        <v>31</v>
      </c>
      <c r="C375" s="22" t="s">
        <v>32</v>
      </c>
      <c r="D375" s="3">
        <v>41785</v>
      </c>
      <c r="E375" s="26" t="s">
        <v>26</v>
      </c>
      <c r="F375" s="26" t="s">
        <v>58</v>
      </c>
      <c r="G375" s="26"/>
      <c r="H375" s="22" t="s">
        <v>115</v>
      </c>
      <c r="I375" s="22" t="s">
        <v>116</v>
      </c>
      <c r="J375" s="133"/>
      <c r="K375" s="25"/>
      <c r="L375" s="11">
        <v>120</v>
      </c>
      <c r="M375" s="2"/>
      <c r="N375" s="22"/>
      <c r="O375" s="10"/>
      <c r="P375" s="2"/>
    </row>
    <row r="376" spans="1:16" ht="15" customHeight="1">
      <c r="A376" s="2">
        <v>375</v>
      </c>
      <c r="B376" s="22" t="s">
        <v>33</v>
      </c>
      <c r="C376" s="22" t="s">
        <v>34</v>
      </c>
      <c r="D376" s="3">
        <v>41785</v>
      </c>
      <c r="E376" s="26" t="s">
        <v>26</v>
      </c>
      <c r="F376" s="26" t="s">
        <v>58</v>
      </c>
      <c r="G376" s="26"/>
      <c r="H376" s="22" t="s">
        <v>115</v>
      </c>
      <c r="I376" s="22" t="s">
        <v>116</v>
      </c>
      <c r="J376" s="6"/>
      <c r="K376" s="25"/>
      <c r="L376" s="11">
        <v>110</v>
      </c>
      <c r="M376" s="2"/>
      <c r="N376" s="22"/>
      <c r="O376" s="5"/>
      <c r="P376" s="2"/>
    </row>
    <row r="377" spans="1:16" ht="15" customHeight="1">
      <c r="A377" s="2">
        <v>376</v>
      </c>
      <c r="B377" s="22" t="s">
        <v>63</v>
      </c>
      <c r="C377" s="22" t="s">
        <v>64</v>
      </c>
      <c r="D377" s="3">
        <v>41785</v>
      </c>
      <c r="E377" s="26" t="s">
        <v>26</v>
      </c>
      <c r="F377" s="26" t="s">
        <v>58</v>
      </c>
      <c r="G377" s="26"/>
      <c r="H377" s="22" t="s">
        <v>115</v>
      </c>
      <c r="I377" s="22" t="s">
        <v>116</v>
      </c>
      <c r="J377" s="133"/>
      <c r="K377" s="25"/>
      <c r="L377" s="11">
        <v>90</v>
      </c>
      <c r="M377" s="2"/>
      <c r="N377" s="22"/>
      <c r="O377" s="10"/>
      <c r="P377" s="2"/>
    </row>
    <row r="378" spans="1:16" ht="15" customHeight="1">
      <c r="A378" s="2">
        <v>377</v>
      </c>
      <c r="B378" s="22" t="s">
        <v>27</v>
      </c>
      <c r="C378" s="22" t="s">
        <v>87</v>
      </c>
      <c r="D378" s="3">
        <v>41785</v>
      </c>
      <c r="E378" s="26" t="s">
        <v>26</v>
      </c>
      <c r="F378" s="26" t="s">
        <v>58</v>
      </c>
      <c r="G378" s="26"/>
      <c r="H378" s="22" t="s">
        <v>115</v>
      </c>
      <c r="I378" s="27" t="s">
        <v>116</v>
      </c>
      <c r="J378" s="133"/>
      <c r="K378" s="25"/>
      <c r="L378" s="11">
        <v>145</v>
      </c>
      <c r="M378" s="2"/>
      <c r="N378" s="22"/>
      <c r="O378" s="10"/>
      <c r="P378" s="2"/>
    </row>
    <row r="379" spans="1:16" ht="15" customHeight="1">
      <c r="A379" s="2">
        <v>378</v>
      </c>
      <c r="B379" s="22" t="s">
        <v>41</v>
      </c>
      <c r="C379" s="22" t="s">
        <v>94</v>
      </c>
      <c r="D379" s="3">
        <v>41785</v>
      </c>
      <c r="E379" s="26" t="s">
        <v>26</v>
      </c>
      <c r="F379" s="26" t="s">
        <v>58</v>
      </c>
      <c r="G379" s="26"/>
      <c r="H379" s="22" t="s">
        <v>115</v>
      </c>
      <c r="I379" s="27" t="s">
        <v>116</v>
      </c>
      <c r="J379" s="133"/>
      <c r="K379" s="25"/>
      <c r="L379" s="11">
        <v>80</v>
      </c>
      <c r="M379" s="2"/>
      <c r="N379" s="22"/>
      <c r="O379" s="10"/>
      <c r="P379" s="2"/>
    </row>
    <row r="380" spans="1:16" ht="15" customHeight="1">
      <c r="A380" s="2">
        <v>379</v>
      </c>
      <c r="B380" s="22" t="s">
        <v>95</v>
      </c>
      <c r="C380" s="22" t="s">
        <v>96</v>
      </c>
      <c r="D380" s="3">
        <v>41785</v>
      </c>
      <c r="E380" s="26" t="s">
        <v>26</v>
      </c>
      <c r="F380" s="26" t="s">
        <v>58</v>
      </c>
      <c r="G380" s="26"/>
      <c r="H380" s="22" t="s">
        <v>115</v>
      </c>
      <c r="I380" s="27" t="s">
        <v>116</v>
      </c>
      <c r="J380" s="133"/>
      <c r="K380" s="25"/>
      <c r="L380" s="11">
        <v>85</v>
      </c>
      <c r="M380" s="2"/>
      <c r="N380" s="22"/>
      <c r="O380" s="10"/>
      <c r="P380" s="2"/>
    </row>
    <row r="381" spans="1:16" ht="15" customHeight="1">
      <c r="A381" s="2">
        <v>380</v>
      </c>
      <c r="B381" s="22" t="s">
        <v>16</v>
      </c>
      <c r="C381" s="22" t="s">
        <v>17</v>
      </c>
      <c r="D381" s="3">
        <v>41785</v>
      </c>
      <c r="E381" s="27" t="s">
        <v>29</v>
      </c>
      <c r="F381" s="22" t="s">
        <v>58</v>
      </c>
      <c r="G381" s="26" t="s">
        <v>20</v>
      </c>
      <c r="H381" s="22"/>
      <c r="I381" s="22"/>
      <c r="J381" s="6"/>
      <c r="K381" s="2">
        <v>1</v>
      </c>
      <c r="L381" s="6">
        <v>195</v>
      </c>
      <c r="M381" s="2"/>
      <c r="N381" s="22" t="s">
        <v>30</v>
      </c>
      <c r="O381" s="22"/>
      <c r="P381" s="2"/>
    </row>
    <row r="382" spans="1:16" ht="15" customHeight="1">
      <c r="A382" s="2">
        <v>381</v>
      </c>
      <c r="B382" s="22" t="s">
        <v>16</v>
      </c>
      <c r="C382" s="22" t="s">
        <v>17</v>
      </c>
      <c r="D382" s="3">
        <v>41785</v>
      </c>
      <c r="E382" s="22" t="s">
        <v>26</v>
      </c>
      <c r="F382" s="22" t="s">
        <v>58</v>
      </c>
      <c r="G382" s="26"/>
      <c r="H382" s="22"/>
      <c r="I382" s="22"/>
      <c r="J382" s="6"/>
      <c r="K382" s="2"/>
      <c r="L382" s="6">
        <v>115</v>
      </c>
      <c r="M382" s="2"/>
      <c r="N382" s="22"/>
      <c r="O382" s="22"/>
      <c r="P382" s="2"/>
    </row>
    <row r="383" spans="1:16" ht="15" customHeight="1">
      <c r="A383" s="2">
        <v>382</v>
      </c>
      <c r="B383" s="22" t="s">
        <v>27</v>
      </c>
      <c r="C383" s="22" t="s">
        <v>28</v>
      </c>
      <c r="D383" s="3">
        <v>41785</v>
      </c>
      <c r="E383" s="27" t="s">
        <v>29</v>
      </c>
      <c r="F383" s="22" t="s">
        <v>58</v>
      </c>
      <c r="G383" s="26" t="s">
        <v>20</v>
      </c>
      <c r="H383" s="22"/>
      <c r="I383" s="22"/>
      <c r="J383" s="6"/>
      <c r="K383" s="2">
        <v>4</v>
      </c>
      <c r="L383" s="6">
        <v>192.09039548022599</v>
      </c>
      <c r="M383" s="2"/>
      <c r="N383" s="22" t="s">
        <v>30</v>
      </c>
      <c r="O383" s="22" t="s">
        <v>118</v>
      </c>
      <c r="P383" s="2"/>
    </row>
    <row r="384" spans="1:16" ht="15" customHeight="1">
      <c r="A384" s="2">
        <v>383</v>
      </c>
      <c r="B384" s="22" t="s">
        <v>27</v>
      </c>
      <c r="C384" s="22" t="s">
        <v>28</v>
      </c>
      <c r="D384" s="3">
        <v>41785</v>
      </c>
      <c r="E384" s="22" t="s">
        <v>26</v>
      </c>
      <c r="F384" s="22" t="s">
        <v>58</v>
      </c>
      <c r="G384" s="26"/>
      <c r="H384" s="22"/>
      <c r="I384" s="22"/>
      <c r="J384" s="6"/>
      <c r="K384" s="2"/>
      <c r="L384" s="6">
        <v>145</v>
      </c>
      <c r="M384" s="2"/>
      <c r="N384" s="22"/>
      <c r="O384" s="22" t="s">
        <v>118</v>
      </c>
      <c r="P384" s="2"/>
    </row>
    <row r="385" spans="1:16" ht="15" customHeight="1">
      <c r="A385" s="2">
        <v>384</v>
      </c>
      <c r="B385" s="22" t="s">
        <v>31</v>
      </c>
      <c r="C385" s="22" t="s">
        <v>32</v>
      </c>
      <c r="D385" s="3">
        <v>41785</v>
      </c>
      <c r="E385" s="22" t="s">
        <v>26</v>
      </c>
      <c r="F385" s="22" t="s">
        <v>58</v>
      </c>
      <c r="G385" s="26"/>
      <c r="H385" s="22"/>
      <c r="I385" s="22"/>
      <c r="J385" s="6">
        <v>120</v>
      </c>
      <c r="K385" s="2">
        <v>1</v>
      </c>
      <c r="L385" s="6">
        <v>120</v>
      </c>
      <c r="M385" s="2"/>
      <c r="N385" s="22"/>
      <c r="O385" s="22"/>
      <c r="P385" s="2"/>
    </row>
    <row r="386" spans="1:16" ht="15" customHeight="1">
      <c r="A386" s="2">
        <v>385</v>
      </c>
      <c r="B386" s="22" t="s">
        <v>31</v>
      </c>
      <c r="C386" s="22" t="s">
        <v>32</v>
      </c>
      <c r="D386" s="3">
        <v>41785</v>
      </c>
      <c r="E386" s="27" t="s">
        <v>29</v>
      </c>
      <c r="F386" s="22" t="s">
        <v>58</v>
      </c>
      <c r="G386" s="26" t="s">
        <v>20</v>
      </c>
      <c r="H386" s="22"/>
      <c r="I386" s="22"/>
      <c r="J386" s="6"/>
      <c r="K386" s="2"/>
      <c r="L386" s="6">
        <v>170</v>
      </c>
      <c r="M386" s="2"/>
      <c r="N386" s="22" t="s">
        <v>30</v>
      </c>
      <c r="O386" s="22" t="s">
        <v>122</v>
      </c>
      <c r="P386" s="2"/>
    </row>
    <row r="387" spans="1:16" ht="15" customHeight="1">
      <c r="A387" s="2">
        <v>386</v>
      </c>
      <c r="B387" s="22" t="s">
        <v>38</v>
      </c>
      <c r="C387" s="22" t="s">
        <v>39</v>
      </c>
      <c r="D387" s="3">
        <v>41787</v>
      </c>
      <c r="E387" s="22" t="s">
        <v>26</v>
      </c>
      <c r="F387" s="22" t="s">
        <v>58</v>
      </c>
      <c r="G387" s="26"/>
      <c r="H387" s="22"/>
      <c r="I387" s="22"/>
      <c r="J387" s="6">
        <v>85</v>
      </c>
      <c r="K387" s="2">
        <v>1</v>
      </c>
      <c r="L387" s="6">
        <v>85</v>
      </c>
      <c r="M387" s="2">
        <v>81.5</v>
      </c>
      <c r="N387" s="22"/>
      <c r="O387" s="22"/>
      <c r="P387" s="2"/>
    </row>
    <row r="388" spans="1:16" ht="15" customHeight="1">
      <c r="A388" s="2">
        <v>387</v>
      </c>
      <c r="B388" s="22" t="s">
        <v>38</v>
      </c>
      <c r="C388" s="22" t="s">
        <v>39</v>
      </c>
      <c r="D388" s="3">
        <v>41787</v>
      </c>
      <c r="E388" s="27" t="s">
        <v>29</v>
      </c>
      <c r="F388" s="22" t="s">
        <v>58</v>
      </c>
      <c r="G388" s="26" t="s">
        <v>20</v>
      </c>
      <c r="H388" s="22"/>
      <c r="I388" s="22"/>
      <c r="J388" s="6"/>
      <c r="K388" s="2">
        <v>3</v>
      </c>
      <c r="L388" s="6">
        <v>138</v>
      </c>
      <c r="M388" s="2">
        <v>81.5</v>
      </c>
      <c r="N388" s="22" t="s">
        <v>30</v>
      </c>
      <c r="O388" s="22"/>
      <c r="P388" s="2"/>
    </row>
    <row r="389" spans="1:16" ht="15" customHeight="1">
      <c r="A389" s="2">
        <v>388</v>
      </c>
      <c r="B389" s="22" t="s">
        <v>33</v>
      </c>
      <c r="C389" s="22" t="s">
        <v>34</v>
      </c>
      <c r="D389" s="3">
        <v>41787</v>
      </c>
      <c r="E389" s="22" t="s">
        <v>110</v>
      </c>
      <c r="F389" s="22" t="s">
        <v>19</v>
      </c>
      <c r="G389" s="26"/>
      <c r="H389" s="22"/>
      <c r="I389" s="22"/>
      <c r="J389" s="6"/>
      <c r="K389" s="2">
        <v>3</v>
      </c>
      <c r="L389" s="6">
        <v>93.406593406593402</v>
      </c>
      <c r="M389" s="2">
        <v>89.4</v>
      </c>
      <c r="N389" s="22"/>
      <c r="O389" s="22" t="s">
        <v>100</v>
      </c>
      <c r="P389" s="2"/>
    </row>
    <row r="390" spans="1:16" ht="15" customHeight="1">
      <c r="A390" s="2">
        <v>389</v>
      </c>
      <c r="B390" s="22" t="s">
        <v>41</v>
      </c>
      <c r="C390" s="22" t="s">
        <v>42</v>
      </c>
      <c r="D390" s="3">
        <v>41787</v>
      </c>
      <c r="E390" s="22" t="s">
        <v>26</v>
      </c>
      <c r="F390" s="22" t="s">
        <v>58</v>
      </c>
      <c r="G390" s="26"/>
      <c r="H390" s="22"/>
      <c r="I390" s="22"/>
      <c r="J390" s="6">
        <v>80</v>
      </c>
      <c r="K390" s="2">
        <v>1</v>
      </c>
      <c r="L390" s="6">
        <v>80</v>
      </c>
      <c r="M390" s="2">
        <v>79.099999999999994</v>
      </c>
      <c r="N390" s="22"/>
      <c r="O390" s="22"/>
      <c r="P390" s="2"/>
    </row>
    <row r="391" spans="1:16" ht="15" customHeight="1">
      <c r="A391" s="2">
        <v>390</v>
      </c>
      <c r="B391" s="22" t="s">
        <v>41</v>
      </c>
      <c r="C391" s="22" t="s">
        <v>42</v>
      </c>
      <c r="D391" s="3">
        <v>41787</v>
      </c>
      <c r="E391" s="27" t="s">
        <v>29</v>
      </c>
      <c r="F391" s="22" t="s">
        <v>58</v>
      </c>
      <c r="G391" s="26" t="s">
        <v>54</v>
      </c>
      <c r="H391" s="22"/>
      <c r="I391" s="22"/>
      <c r="J391" s="6">
        <v>150</v>
      </c>
      <c r="K391" s="2">
        <v>1</v>
      </c>
      <c r="L391" s="6">
        <v>150</v>
      </c>
      <c r="M391" s="2">
        <v>79.099999999999994</v>
      </c>
      <c r="N391" s="22" t="s">
        <v>107</v>
      </c>
      <c r="O391" s="22"/>
      <c r="P391" s="2"/>
    </row>
    <row r="392" spans="1:16" ht="15" customHeight="1">
      <c r="A392" s="2">
        <v>391</v>
      </c>
      <c r="B392" s="22" t="s">
        <v>63</v>
      </c>
      <c r="C392" s="22" t="s">
        <v>64</v>
      </c>
      <c r="D392" s="3">
        <v>41787</v>
      </c>
      <c r="E392" s="22" t="s">
        <v>26</v>
      </c>
      <c r="F392" s="22" t="s">
        <v>58</v>
      </c>
      <c r="G392" s="26"/>
      <c r="H392" s="22"/>
      <c r="I392" s="22"/>
      <c r="J392" s="6">
        <v>90</v>
      </c>
      <c r="K392" s="2">
        <v>1</v>
      </c>
      <c r="L392" s="6">
        <v>90</v>
      </c>
      <c r="M392" s="2">
        <v>87.4</v>
      </c>
      <c r="N392" s="22"/>
      <c r="O392" s="22"/>
      <c r="P392" s="2"/>
    </row>
    <row r="393" spans="1:16" ht="15" customHeight="1">
      <c r="A393" s="2">
        <v>392</v>
      </c>
      <c r="B393" s="22" t="s">
        <v>63</v>
      </c>
      <c r="C393" s="22" t="s">
        <v>64</v>
      </c>
      <c r="D393" s="3">
        <v>41787</v>
      </c>
      <c r="E393" s="27" t="s">
        <v>29</v>
      </c>
      <c r="F393" s="22" t="s">
        <v>58</v>
      </c>
      <c r="G393" s="26" t="s">
        <v>20</v>
      </c>
      <c r="H393" s="22"/>
      <c r="I393" s="22"/>
      <c r="J393" s="6"/>
      <c r="K393" s="2">
        <v>3</v>
      </c>
      <c r="L393" s="6">
        <v>186.8131868131868</v>
      </c>
      <c r="M393" s="2">
        <v>87.4</v>
      </c>
      <c r="N393" s="22" t="s">
        <v>30</v>
      </c>
      <c r="O393" s="22"/>
      <c r="P393" s="2"/>
    </row>
    <row r="394" spans="1:16" ht="15" customHeight="1">
      <c r="A394" s="2">
        <v>393</v>
      </c>
      <c r="B394" s="22" t="s">
        <v>38</v>
      </c>
      <c r="C394" s="22" t="s">
        <v>39</v>
      </c>
      <c r="D394" s="3">
        <v>41789</v>
      </c>
      <c r="E394" s="22" t="s">
        <v>123</v>
      </c>
      <c r="F394" s="22" t="s">
        <v>19</v>
      </c>
      <c r="G394" s="26"/>
      <c r="H394" s="22"/>
      <c r="I394" s="22"/>
      <c r="J394" s="6"/>
      <c r="K394" s="2" t="s">
        <v>124</v>
      </c>
      <c r="L394" s="6">
        <v>24</v>
      </c>
      <c r="M394" s="2"/>
      <c r="N394" s="22"/>
      <c r="O394" s="22"/>
      <c r="P394" s="2"/>
    </row>
    <row r="395" spans="1:16" ht="15" customHeight="1">
      <c r="A395" s="2">
        <v>394</v>
      </c>
      <c r="B395" s="22" t="s">
        <v>33</v>
      </c>
      <c r="C395" s="22" t="s">
        <v>34</v>
      </c>
      <c r="D395" s="3">
        <v>41789</v>
      </c>
      <c r="E395" s="22" t="s">
        <v>62</v>
      </c>
      <c r="F395" s="22" t="s">
        <v>19</v>
      </c>
      <c r="G395" s="26"/>
      <c r="H395" s="22"/>
      <c r="I395" s="22"/>
      <c r="J395" s="6"/>
      <c r="K395" s="2">
        <v>3</v>
      </c>
      <c r="L395" s="6">
        <v>71.428571428571431</v>
      </c>
      <c r="M395" s="2"/>
      <c r="N395" s="22"/>
      <c r="O395" s="22" t="s">
        <v>81</v>
      </c>
      <c r="P395" s="2"/>
    </row>
    <row r="396" spans="1:16" ht="15" customHeight="1">
      <c r="A396" s="2">
        <v>395</v>
      </c>
      <c r="B396" s="22" t="s">
        <v>33</v>
      </c>
      <c r="C396" s="22" t="s">
        <v>34</v>
      </c>
      <c r="D396" s="3">
        <v>41789</v>
      </c>
      <c r="E396" s="22" t="s">
        <v>23</v>
      </c>
      <c r="F396" s="22" t="s">
        <v>19</v>
      </c>
      <c r="G396" s="26"/>
      <c r="H396" s="22"/>
      <c r="I396" s="22"/>
      <c r="J396" s="6"/>
      <c r="K396" s="2">
        <v>5</v>
      </c>
      <c r="L396" s="6">
        <v>290.69767441860466</v>
      </c>
      <c r="M396" s="2"/>
      <c r="N396" s="22"/>
      <c r="O396" s="22" t="s">
        <v>106</v>
      </c>
      <c r="P396" s="2"/>
    </row>
    <row r="397" spans="1:16" ht="15" customHeight="1">
      <c r="A397" s="2">
        <v>396</v>
      </c>
      <c r="B397" s="22" t="s">
        <v>63</v>
      </c>
      <c r="C397" s="22" t="s">
        <v>64</v>
      </c>
      <c r="D397" s="3">
        <v>41789</v>
      </c>
      <c r="E397" s="22" t="s">
        <v>123</v>
      </c>
      <c r="F397" s="22" t="s">
        <v>19</v>
      </c>
      <c r="G397" s="26"/>
      <c r="H397" s="22"/>
      <c r="I397" s="22"/>
      <c r="J397" s="6"/>
      <c r="K397" s="2" t="s">
        <v>125</v>
      </c>
      <c r="L397" s="6">
        <v>24</v>
      </c>
      <c r="M397" s="2"/>
      <c r="N397" s="22"/>
      <c r="O397" s="22"/>
      <c r="P397" s="2"/>
    </row>
    <row r="398" spans="1:16" ht="15" customHeight="1">
      <c r="A398" s="2">
        <v>397</v>
      </c>
      <c r="B398" s="22" t="s">
        <v>33</v>
      </c>
      <c r="C398" s="22" t="s">
        <v>34</v>
      </c>
      <c r="D398" s="3">
        <v>41791</v>
      </c>
      <c r="E398" s="22" t="s">
        <v>18</v>
      </c>
      <c r="F398" s="22" t="s">
        <v>19</v>
      </c>
      <c r="G398" s="26" t="s">
        <v>20</v>
      </c>
      <c r="H398" s="22"/>
      <c r="I398" s="22"/>
      <c r="J398" s="6"/>
      <c r="K398" s="2">
        <v>3</v>
      </c>
      <c r="L398" s="6">
        <v>175.82417582417582</v>
      </c>
      <c r="M398" s="2"/>
      <c r="N398" s="22"/>
      <c r="O398" s="22" t="s">
        <v>102</v>
      </c>
      <c r="P398" s="2"/>
    </row>
    <row r="399" spans="1:16" ht="15" customHeight="1">
      <c r="A399" s="2">
        <v>398</v>
      </c>
      <c r="B399" s="22" t="s">
        <v>33</v>
      </c>
      <c r="C399" s="22" t="s">
        <v>34</v>
      </c>
      <c r="D399" s="3">
        <v>41791</v>
      </c>
      <c r="E399" s="22" t="s">
        <v>26</v>
      </c>
      <c r="F399" s="22" t="s">
        <v>19</v>
      </c>
      <c r="G399" s="26"/>
      <c r="H399" s="22"/>
      <c r="I399" s="22"/>
      <c r="J399" s="6"/>
      <c r="K399" s="2">
        <v>3</v>
      </c>
      <c r="L399" s="6">
        <v>109.89010989010988</v>
      </c>
      <c r="M399" s="2"/>
      <c r="N399" s="22"/>
      <c r="O399" s="22" t="s">
        <v>102</v>
      </c>
      <c r="P399" s="2"/>
    </row>
    <row r="400" spans="1:16" ht="15" customHeight="1">
      <c r="A400" s="2">
        <v>399</v>
      </c>
      <c r="B400" s="22" t="s">
        <v>38</v>
      </c>
      <c r="C400" s="22" t="s">
        <v>39</v>
      </c>
      <c r="D400" s="3">
        <v>41793</v>
      </c>
      <c r="E400" s="27" t="s">
        <v>29</v>
      </c>
      <c r="F400" s="22" t="s">
        <v>19</v>
      </c>
      <c r="G400" s="26" t="s">
        <v>20</v>
      </c>
      <c r="H400" s="22"/>
      <c r="I400" s="22"/>
      <c r="J400" s="6"/>
      <c r="K400" s="2">
        <v>2</v>
      </c>
      <c r="L400" s="6">
        <v>181.81818181818181</v>
      </c>
      <c r="M400" s="2"/>
      <c r="N400" s="22" t="s">
        <v>52</v>
      </c>
      <c r="O400" s="22"/>
      <c r="P400" s="2"/>
    </row>
    <row r="401" spans="1:16" ht="15" customHeight="1">
      <c r="A401" s="2">
        <v>400</v>
      </c>
      <c r="B401" s="22" t="s">
        <v>38</v>
      </c>
      <c r="C401" s="22" t="s">
        <v>39</v>
      </c>
      <c r="D401" s="3">
        <v>41795</v>
      </c>
      <c r="E401" s="22" t="s">
        <v>46</v>
      </c>
      <c r="F401" s="22" t="s">
        <v>19</v>
      </c>
      <c r="G401" s="26"/>
      <c r="H401" s="22"/>
      <c r="I401" s="22"/>
      <c r="J401" s="6"/>
      <c r="K401" s="2">
        <v>2</v>
      </c>
      <c r="L401" s="6">
        <v>85.561497326203209</v>
      </c>
      <c r="M401" s="2"/>
      <c r="N401" s="22"/>
      <c r="O401" s="22"/>
      <c r="P401" s="2"/>
    </row>
    <row r="402" spans="1:16" ht="15" customHeight="1">
      <c r="A402" s="2">
        <v>401</v>
      </c>
      <c r="B402" s="22" t="s">
        <v>63</v>
      </c>
      <c r="C402" s="22" t="s">
        <v>64</v>
      </c>
      <c r="D402" s="3">
        <v>41795</v>
      </c>
      <c r="E402" s="22" t="s">
        <v>46</v>
      </c>
      <c r="F402" s="22" t="s">
        <v>19</v>
      </c>
      <c r="G402" s="26"/>
      <c r="H402" s="22"/>
      <c r="I402" s="22"/>
      <c r="J402" s="6"/>
      <c r="K402" s="2">
        <v>2</v>
      </c>
      <c r="L402" s="6">
        <v>90.909090909090907</v>
      </c>
      <c r="M402" s="2"/>
      <c r="N402" s="22"/>
      <c r="O402" s="22"/>
      <c r="P402" s="2"/>
    </row>
    <row r="403" spans="1:16" ht="15" customHeight="1">
      <c r="A403" s="2">
        <v>402</v>
      </c>
      <c r="B403" s="22" t="s">
        <v>33</v>
      </c>
      <c r="C403" s="22" t="s">
        <v>34</v>
      </c>
      <c r="D403" s="3">
        <v>41796</v>
      </c>
      <c r="E403" s="22" t="s">
        <v>46</v>
      </c>
      <c r="F403" s="22" t="s">
        <v>19</v>
      </c>
      <c r="G403" s="26"/>
      <c r="H403" s="22"/>
      <c r="I403" s="22"/>
      <c r="J403" s="6"/>
      <c r="K403" s="2">
        <v>3</v>
      </c>
      <c r="L403" s="6">
        <v>87.912087912087912</v>
      </c>
      <c r="M403" s="2">
        <v>90.9</v>
      </c>
      <c r="N403" s="22"/>
      <c r="O403" s="22" t="s">
        <v>102</v>
      </c>
      <c r="P403" s="2"/>
    </row>
    <row r="404" spans="1:16" ht="15" customHeight="1">
      <c r="A404" s="2">
        <v>403</v>
      </c>
      <c r="B404" s="22" t="s">
        <v>33</v>
      </c>
      <c r="C404" s="22" t="s">
        <v>34</v>
      </c>
      <c r="D404" s="3">
        <v>41796</v>
      </c>
      <c r="E404" s="22" t="s">
        <v>23</v>
      </c>
      <c r="F404" s="22" t="s">
        <v>19</v>
      </c>
      <c r="G404" s="26"/>
      <c r="H404" s="22"/>
      <c r="I404" s="22"/>
      <c r="J404" s="6"/>
      <c r="K404" s="2">
        <v>3</v>
      </c>
      <c r="L404" s="6">
        <v>109.89010989010988</v>
      </c>
      <c r="M404" s="2">
        <v>90.9</v>
      </c>
      <c r="N404" s="22"/>
      <c r="O404" s="22" t="s">
        <v>102</v>
      </c>
      <c r="P404" s="2"/>
    </row>
    <row r="405" spans="1:16" ht="15" customHeight="1">
      <c r="A405" s="2">
        <v>404</v>
      </c>
      <c r="B405" s="22" t="s">
        <v>33</v>
      </c>
      <c r="C405" s="22" t="s">
        <v>34</v>
      </c>
      <c r="D405" s="3">
        <v>41802</v>
      </c>
      <c r="E405" s="22" t="s">
        <v>65</v>
      </c>
      <c r="F405" s="22" t="s">
        <v>19</v>
      </c>
      <c r="G405" s="26"/>
      <c r="H405" s="22"/>
      <c r="I405" s="22"/>
      <c r="J405" s="6"/>
      <c r="K405" s="2">
        <v>5</v>
      </c>
      <c r="L405" s="6">
        <v>93.023255813953483</v>
      </c>
      <c r="M405" s="2"/>
      <c r="N405" s="22"/>
      <c r="O405" s="22" t="s">
        <v>66</v>
      </c>
      <c r="P405" s="2"/>
    </row>
    <row r="406" spans="1:16" ht="15" customHeight="1">
      <c r="A406" s="2">
        <v>405</v>
      </c>
      <c r="B406" s="22" t="s">
        <v>33</v>
      </c>
      <c r="C406" s="22" t="s">
        <v>34</v>
      </c>
      <c r="D406" s="3">
        <v>41803</v>
      </c>
      <c r="E406" s="27" t="s">
        <v>29</v>
      </c>
      <c r="F406" s="22" t="s">
        <v>19</v>
      </c>
      <c r="G406" s="26" t="s">
        <v>54</v>
      </c>
      <c r="H406" s="22"/>
      <c r="I406" s="22"/>
      <c r="J406" s="6"/>
      <c r="K406" s="2">
        <v>2</v>
      </c>
      <c r="L406" s="6">
        <v>213.903743315508</v>
      </c>
      <c r="M406" s="2"/>
      <c r="N406" s="22" t="s">
        <v>126</v>
      </c>
      <c r="O406" s="22" t="s">
        <v>81</v>
      </c>
      <c r="P406" s="2"/>
    </row>
    <row r="407" spans="1:16" ht="15" customHeight="1">
      <c r="A407" s="2">
        <v>406</v>
      </c>
      <c r="B407" s="22" t="s">
        <v>33</v>
      </c>
      <c r="C407" s="22" t="s">
        <v>34</v>
      </c>
      <c r="D407" s="3">
        <v>41808</v>
      </c>
      <c r="E407" s="22" t="s">
        <v>46</v>
      </c>
      <c r="F407" s="22" t="s">
        <v>19</v>
      </c>
      <c r="G407" s="26"/>
      <c r="H407" s="22"/>
      <c r="I407" s="22"/>
      <c r="J407" s="6"/>
      <c r="K407" s="2">
        <v>2</v>
      </c>
      <c r="L407" s="6">
        <v>106.951871657754</v>
      </c>
      <c r="M407" s="2">
        <v>90.5</v>
      </c>
      <c r="N407" s="22"/>
      <c r="O407" s="22" t="s">
        <v>102</v>
      </c>
      <c r="P407" s="2"/>
    </row>
    <row r="408" spans="1:16" ht="15" customHeight="1">
      <c r="A408" s="2">
        <v>407</v>
      </c>
      <c r="B408" s="22" t="s">
        <v>33</v>
      </c>
      <c r="C408" s="22" t="s">
        <v>34</v>
      </c>
      <c r="D408" s="3">
        <v>41808</v>
      </c>
      <c r="E408" s="22" t="s">
        <v>26</v>
      </c>
      <c r="F408" s="22" t="s">
        <v>19</v>
      </c>
      <c r="G408" s="26"/>
      <c r="H408" s="22"/>
      <c r="I408" s="22"/>
      <c r="J408" s="6"/>
      <c r="K408" s="2">
        <v>2</v>
      </c>
      <c r="L408" s="6">
        <v>106.951871657754</v>
      </c>
      <c r="M408" s="2">
        <v>90.5</v>
      </c>
      <c r="N408" s="22"/>
      <c r="O408" s="22" t="s">
        <v>102</v>
      </c>
      <c r="P408" s="2"/>
    </row>
    <row r="409" spans="1:16" ht="15" customHeight="1">
      <c r="A409" s="2">
        <v>408</v>
      </c>
      <c r="B409" s="22" t="s">
        <v>33</v>
      </c>
      <c r="C409" s="22" t="s">
        <v>34</v>
      </c>
      <c r="D409" s="3">
        <v>41808</v>
      </c>
      <c r="E409" s="22" t="s">
        <v>23</v>
      </c>
      <c r="F409" s="22" t="s">
        <v>19</v>
      </c>
      <c r="G409" s="26"/>
      <c r="H409" s="22"/>
      <c r="I409" s="22"/>
      <c r="J409" s="6"/>
      <c r="K409" s="2">
        <v>3</v>
      </c>
      <c r="L409" s="6">
        <v>109.89010989010988</v>
      </c>
      <c r="M409" s="2">
        <v>90.5</v>
      </c>
      <c r="N409" s="22"/>
      <c r="O409" s="22" t="s">
        <v>102</v>
      </c>
      <c r="P409" s="2"/>
    </row>
    <row r="410" spans="1:16" ht="15" customHeight="1">
      <c r="A410" s="2">
        <v>409</v>
      </c>
      <c r="B410" s="22" t="s">
        <v>47</v>
      </c>
      <c r="C410" s="22" t="s">
        <v>48</v>
      </c>
      <c r="D410" s="3">
        <v>41876</v>
      </c>
      <c r="E410" s="22" t="s">
        <v>68</v>
      </c>
      <c r="F410" s="22" t="s">
        <v>19</v>
      </c>
      <c r="G410" s="26"/>
      <c r="H410" s="22"/>
      <c r="I410" s="22"/>
      <c r="J410" s="6"/>
      <c r="K410" s="2">
        <v>8</v>
      </c>
      <c r="L410" s="6">
        <v>101.9108280254777</v>
      </c>
      <c r="M410" s="2">
        <v>102.5</v>
      </c>
      <c r="N410" s="22" t="s">
        <v>69</v>
      </c>
      <c r="O410" s="22"/>
      <c r="P410" s="2"/>
    </row>
    <row r="411" spans="1:16" ht="15" customHeight="1">
      <c r="A411" s="2">
        <v>410</v>
      </c>
      <c r="B411" s="22" t="s">
        <v>47</v>
      </c>
      <c r="C411" s="22" t="s">
        <v>48</v>
      </c>
      <c r="D411" s="3">
        <v>41876</v>
      </c>
      <c r="E411" s="22" t="s">
        <v>127</v>
      </c>
      <c r="F411" s="22" t="s">
        <v>19</v>
      </c>
      <c r="G411" s="26"/>
      <c r="H411" s="22"/>
      <c r="I411" s="22"/>
      <c r="J411" s="6"/>
      <c r="K411" s="2">
        <v>10</v>
      </c>
      <c r="L411" s="6">
        <v>13.605442176870749</v>
      </c>
      <c r="M411" s="2"/>
      <c r="N411" s="22"/>
      <c r="O411" s="22"/>
      <c r="P411" s="2"/>
    </row>
    <row r="412" spans="1:16" ht="15" customHeight="1">
      <c r="A412" s="2">
        <v>411</v>
      </c>
      <c r="B412" s="22" t="s">
        <v>47</v>
      </c>
      <c r="C412" s="22" t="s">
        <v>48</v>
      </c>
      <c r="D412" s="3">
        <v>41876</v>
      </c>
      <c r="E412" s="22" t="s">
        <v>67</v>
      </c>
      <c r="F412" s="22" t="s">
        <v>19</v>
      </c>
      <c r="G412" s="26"/>
      <c r="H412" s="22"/>
      <c r="I412" s="22"/>
      <c r="J412" s="6"/>
      <c r="K412" s="2">
        <v>10</v>
      </c>
      <c r="L412" s="6">
        <v>544.21768707483</v>
      </c>
      <c r="M412" s="2">
        <v>102.5</v>
      </c>
      <c r="N412" s="22"/>
      <c r="O412" s="22"/>
      <c r="P412" s="2"/>
    </row>
    <row r="413" spans="1:16" ht="15" customHeight="1">
      <c r="A413" s="2">
        <v>412</v>
      </c>
      <c r="B413" s="22" t="s">
        <v>47</v>
      </c>
      <c r="C413" s="22" t="s">
        <v>48</v>
      </c>
      <c r="D413" s="3">
        <v>41876</v>
      </c>
      <c r="E413" s="22" t="s">
        <v>62</v>
      </c>
      <c r="F413" s="22" t="s">
        <v>19</v>
      </c>
      <c r="G413" s="26"/>
      <c r="H413" s="22"/>
      <c r="I413" s="22"/>
      <c r="J413" s="6"/>
      <c r="K413" s="2">
        <v>10</v>
      </c>
      <c r="L413" s="6">
        <v>63.945578231292515</v>
      </c>
      <c r="M413" s="2">
        <v>102.5</v>
      </c>
      <c r="N413" s="22"/>
      <c r="O413" s="22"/>
      <c r="P413" s="2"/>
    </row>
    <row r="414" spans="1:16" ht="15" customHeight="1">
      <c r="A414" s="2">
        <v>413</v>
      </c>
      <c r="B414" s="22" t="s">
        <v>16</v>
      </c>
      <c r="C414" s="22" t="s">
        <v>17</v>
      </c>
      <c r="D414" s="3">
        <v>41876</v>
      </c>
      <c r="E414" s="22" t="s">
        <v>68</v>
      </c>
      <c r="F414" s="22" t="s">
        <v>19</v>
      </c>
      <c r="G414" s="26"/>
      <c r="H414" s="22"/>
      <c r="I414" s="22"/>
      <c r="J414" s="6"/>
      <c r="K414" s="2">
        <v>8</v>
      </c>
      <c r="L414" s="6">
        <v>101.9108280254777</v>
      </c>
      <c r="M414" s="2">
        <v>82.5</v>
      </c>
      <c r="N414" s="22" t="s">
        <v>69</v>
      </c>
      <c r="O414" s="22"/>
      <c r="P414" s="2"/>
    </row>
    <row r="415" spans="1:16" ht="15" customHeight="1">
      <c r="A415" s="2">
        <v>414</v>
      </c>
      <c r="B415" s="22" t="s">
        <v>16</v>
      </c>
      <c r="C415" s="22" t="s">
        <v>17</v>
      </c>
      <c r="D415" s="3">
        <v>41876</v>
      </c>
      <c r="E415" s="22" t="s">
        <v>67</v>
      </c>
      <c r="F415" s="22" t="s">
        <v>19</v>
      </c>
      <c r="G415" s="26"/>
      <c r="H415" s="22"/>
      <c r="I415" s="22"/>
      <c r="J415" s="6"/>
      <c r="K415" s="2">
        <v>10</v>
      </c>
      <c r="L415" s="6">
        <v>476.1904761904762</v>
      </c>
      <c r="M415" s="2">
        <v>82.5</v>
      </c>
      <c r="N415" s="22"/>
      <c r="O415" s="22"/>
      <c r="P415" s="2"/>
    </row>
    <row r="416" spans="1:16" ht="15" customHeight="1">
      <c r="A416" s="2">
        <v>415</v>
      </c>
      <c r="B416" s="22" t="s">
        <v>16</v>
      </c>
      <c r="C416" s="22" t="s">
        <v>17</v>
      </c>
      <c r="D416" s="3">
        <v>41876</v>
      </c>
      <c r="E416" s="22" t="s">
        <v>62</v>
      </c>
      <c r="F416" s="22" t="s">
        <v>19</v>
      </c>
      <c r="G416" s="26"/>
      <c r="H416" s="22"/>
      <c r="I416" s="22"/>
      <c r="J416" s="6"/>
      <c r="K416" s="2">
        <v>10</v>
      </c>
      <c r="L416" s="6">
        <v>63.945578231292515</v>
      </c>
      <c r="M416" s="2">
        <v>82.5</v>
      </c>
      <c r="N416" s="22"/>
      <c r="O416" s="22"/>
      <c r="P416" s="2"/>
    </row>
    <row r="417" spans="1:16" ht="15" customHeight="1">
      <c r="A417" s="2">
        <v>416</v>
      </c>
      <c r="B417" s="22" t="s">
        <v>38</v>
      </c>
      <c r="C417" s="22" t="s">
        <v>39</v>
      </c>
      <c r="D417" s="3">
        <v>41876</v>
      </c>
      <c r="E417" s="22" t="s">
        <v>43</v>
      </c>
      <c r="F417" s="22" t="s">
        <v>19</v>
      </c>
      <c r="G417" s="26"/>
      <c r="H417" s="22"/>
      <c r="I417" s="22"/>
      <c r="J417" s="6"/>
      <c r="K417" s="2">
        <v>5</v>
      </c>
      <c r="L417" s="6">
        <v>131.3953488372093</v>
      </c>
      <c r="M417" s="2">
        <v>82</v>
      </c>
      <c r="N417" s="22" t="s">
        <v>128</v>
      </c>
      <c r="O417" s="22"/>
      <c r="P417" s="2"/>
    </row>
    <row r="418" spans="1:16" ht="15" customHeight="1">
      <c r="A418" s="2">
        <v>417</v>
      </c>
      <c r="B418" s="22" t="s">
        <v>27</v>
      </c>
      <c r="C418" s="22" t="s">
        <v>28</v>
      </c>
      <c r="D418" s="3">
        <v>41876</v>
      </c>
      <c r="E418" s="22" t="s">
        <v>68</v>
      </c>
      <c r="F418" s="22" t="s">
        <v>19</v>
      </c>
      <c r="G418" s="26"/>
      <c r="H418" s="22"/>
      <c r="I418" s="22"/>
      <c r="J418" s="6"/>
      <c r="K418" s="2">
        <v>8</v>
      </c>
      <c r="L418" s="6">
        <v>127.38853503184713</v>
      </c>
      <c r="M418" s="2">
        <v>95.4</v>
      </c>
      <c r="N418" s="22" t="s">
        <v>69</v>
      </c>
      <c r="O418" s="22"/>
      <c r="P418" s="2"/>
    </row>
    <row r="419" spans="1:16" ht="15" customHeight="1">
      <c r="A419" s="2">
        <v>418</v>
      </c>
      <c r="B419" s="22" t="s">
        <v>27</v>
      </c>
      <c r="C419" s="22" t="s">
        <v>28</v>
      </c>
      <c r="D419" s="3">
        <v>41876</v>
      </c>
      <c r="E419" s="22" t="s">
        <v>67</v>
      </c>
      <c r="F419" s="22" t="s">
        <v>19</v>
      </c>
      <c r="G419" s="26"/>
      <c r="H419" s="22"/>
      <c r="I419" s="22"/>
      <c r="J419" s="6"/>
      <c r="K419" s="2">
        <v>10</v>
      </c>
      <c r="L419" s="6">
        <v>435.37414965986397</v>
      </c>
      <c r="M419" s="2">
        <v>95.4</v>
      </c>
      <c r="N419" s="22"/>
      <c r="O419" s="22"/>
      <c r="P419" s="2"/>
    </row>
    <row r="420" spans="1:16" ht="15" customHeight="1">
      <c r="A420" s="2">
        <v>419</v>
      </c>
      <c r="B420" s="22" t="s">
        <v>27</v>
      </c>
      <c r="C420" s="22" t="s">
        <v>28</v>
      </c>
      <c r="D420" s="3">
        <v>41876</v>
      </c>
      <c r="E420" s="22" t="s">
        <v>62</v>
      </c>
      <c r="F420" s="22" t="s">
        <v>19</v>
      </c>
      <c r="G420" s="26"/>
      <c r="H420" s="22"/>
      <c r="I420" s="22"/>
      <c r="J420" s="6"/>
      <c r="K420" s="2">
        <v>10</v>
      </c>
      <c r="L420" s="6">
        <v>63.945578231292515</v>
      </c>
      <c r="M420" s="2">
        <v>95.4</v>
      </c>
      <c r="N420" s="22"/>
      <c r="O420" s="22"/>
      <c r="P420" s="2"/>
    </row>
    <row r="421" spans="1:16" ht="15" customHeight="1">
      <c r="A421" s="2">
        <v>420</v>
      </c>
      <c r="B421" s="22" t="s">
        <v>31</v>
      </c>
      <c r="C421" s="22" t="s">
        <v>32</v>
      </c>
      <c r="D421" s="3">
        <v>41876</v>
      </c>
      <c r="E421" s="22" t="s">
        <v>25</v>
      </c>
      <c r="F421" s="22" t="s">
        <v>19</v>
      </c>
      <c r="G421" s="26"/>
      <c r="H421" s="22"/>
      <c r="I421" s="22"/>
      <c r="J421" s="6"/>
      <c r="K421" s="2">
        <v>5</v>
      </c>
      <c r="L421" s="6">
        <v>37.209302325581397</v>
      </c>
      <c r="M421" s="2">
        <v>83.5</v>
      </c>
      <c r="N421" s="22"/>
      <c r="O421" s="22"/>
      <c r="P421" s="2"/>
    </row>
    <row r="422" spans="1:16" ht="15" customHeight="1">
      <c r="A422" s="2">
        <v>421</v>
      </c>
      <c r="B422" s="22" t="s">
        <v>31</v>
      </c>
      <c r="C422" s="22" t="s">
        <v>32</v>
      </c>
      <c r="D422" s="3">
        <v>41876</v>
      </c>
      <c r="E422" s="22" t="s">
        <v>68</v>
      </c>
      <c r="F422" s="22" t="s">
        <v>19</v>
      </c>
      <c r="G422" s="26"/>
      <c r="H422" s="22"/>
      <c r="I422" s="22"/>
      <c r="J422" s="6"/>
      <c r="K422" s="2">
        <v>8</v>
      </c>
      <c r="L422" s="6">
        <v>101.9108280254777</v>
      </c>
      <c r="M422" s="2">
        <v>83.5</v>
      </c>
      <c r="N422" s="22" t="s">
        <v>69</v>
      </c>
      <c r="O422" s="22"/>
      <c r="P422" s="2"/>
    </row>
    <row r="423" spans="1:16" ht="15" customHeight="1">
      <c r="A423" s="2">
        <v>422</v>
      </c>
      <c r="B423" s="22" t="s">
        <v>31</v>
      </c>
      <c r="C423" s="22" t="s">
        <v>32</v>
      </c>
      <c r="D423" s="3">
        <v>41876</v>
      </c>
      <c r="E423" s="22" t="s">
        <v>127</v>
      </c>
      <c r="F423" s="22" t="s">
        <v>19</v>
      </c>
      <c r="G423" s="26"/>
      <c r="H423" s="22"/>
      <c r="I423" s="22"/>
      <c r="J423" s="6"/>
      <c r="K423" s="2">
        <v>10</v>
      </c>
      <c r="L423" s="6">
        <v>29.931972789115648</v>
      </c>
      <c r="M423" s="2">
        <v>83.5</v>
      </c>
      <c r="N423" s="22"/>
      <c r="O423" s="22"/>
      <c r="P423" s="2"/>
    </row>
    <row r="424" spans="1:16" ht="15" customHeight="1">
      <c r="A424" s="2">
        <v>423</v>
      </c>
      <c r="B424" s="22" t="s">
        <v>31</v>
      </c>
      <c r="C424" s="22" t="s">
        <v>32</v>
      </c>
      <c r="D424" s="3">
        <v>41876</v>
      </c>
      <c r="E424" s="22" t="s">
        <v>67</v>
      </c>
      <c r="F424" s="22" t="s">
        <v>19</v>
      </c>
      <c r="G424" s="26"/>
      <c r="H424" s="22"/>
      <c r="I424" s="22"/>
      <c r="J424" s="6"/>
      <c r="K424" s="2">
        <v>10</v>
      </c>
      <c r="L424" s="6">
        <v>435.37414965986397</v>
      </c>
      <c r="M424" s="2">
        <v>83.5</v>
      </c>
      <c r="N424" s="22"/>
      <c r="O424" s="22"/>
      <c r="P424" s="2"/>
    </row>
    <row r="425" spans="1:16" ht="15" customHeight="1">
      <c r="A425" s="2">
        <v>424</v>
      </c>
      <c r="B425" s="22" t="s">
        <v>31</v>
      </c>
      <c r="C425" s="22" t="s">
        <v>32</v>
      </c>
      <c r="D425" s="3">
        <v>41876</v>
      </c>
      <c r="E425" s="22" t="s">
        <v>62</v>
      </c>
      <c r="F425" s="22" t="s">
        <v>19</v>
      </c>
      <c r="G425" s="26"/>
      <c r="H425" s="22"/>
      <c r="I425" s="22"/>
      <c r="J425" s="6"/>
      <c r="K425" s="2">
        <v>10</v>
      </c>
      <c r="L425" s="6">
        <v>63.945578231292515</v>
      </c>
      <c r="M425" s="2">
        <v>83.5</v>
      </c>
      <c r="N425" s="22"/>
      <c r="O425" s="22"/>
      <c r="P425" s="2"/>
    </row>
    <row r="426" spans="1:16" ht="15" customHeight="1">
      <c r="A426" s="2">
        <v>425</v>
      </c>
      <c r="B426" s="22" t="s">
        <v>41</v>
      </c>
      <c r="C426" s="22" t="s">
        <v>42</v>
      </c>
      <c r="D426" s="3">
        <v>41876</v>
      </c>
      <c r="E426" s="22" t="s">
        <v>68</v>
      </c>
      <c r="F426" s="22" t="s">
        <v>19</v>
      </c>
      <c r="G426" s="26"/>
      <c r="H426" s="22"/>
      <c r="I426" s="22"/>
      <c r="J426" s="6"/>
      <c r="K426" s="2">
        <v>8</v>
      </c>
      <c r="L426" s="6">
        <v>76.43312101910827</v>
      </c>
      <c r="M426" s="2">
        <v>78.7</v>
      </c>
      <c r="N426" s="22"/>
      <c r="O426" s="22"/>
      <c r="P426" s="2"/>
    </row>
    <row r="427" spans="1:16" ht="15" customHeight="1">
      <c r="A427" s="2">
        <v>426</v>
      </c>
      <c r="B427" s="22" t="s">
        <v>41</v>
      </c>
      <c r="C427" s="22" t="s">
        <v>42</v>
      </c>
      <c r="D427" s="3">
        <v>41876</v>
      </c>
      <c r="E427" s="22" t="s">
        <v>127</v>
      </c>
      <c r="F427" s="22" t="s">
        <v>19</v>
      </c>
      <c r="G427" s="26"/>
      <c r="H427" s="22"/>
      <c r="I427" s="22"/>
      <c r="J427" s="6"/>
      <c r="K427" s="2">
        <v>10</v>
      </c>
      <c r="L427" s="6">
        <v>20.408163265306122</v>
      </c>
      <c r="M427" s="2">
        <v>78.7</v>
      </c>
      <c r="N427" s="22"/>
      <c r="O427" s="22"/>
      <c r="P427" s="2"/>
    </row>
    <row r="428" spans="1:16" ht="15" customHeight="1">
      <c r="A428" s="2">
        <v>427</v>
      </c>
      <c r="B428" s="22" t="s">
        <v>41</v>
      </c>
      <c r="C428" s="22" t="s">
        <v>42</v>
      </c>
      <c r="D428" s="3">
        <v>41876</v>
      </c>
      <c r="E428" s="22" t="s">
        <v>67</v>
      </c>
      <c r="F428" s="22" t="s">
        <v>19</v>
      </c>
      <c r="G428" s="26"/>
      <c r="H428" s="22"/>
      <c r="I428" s="22"/>
      <c r="J428" s="6"/>
      <c r="K428" s="2">
        <v>10</v>
      </c>
      <c r="L428" s="6">
        <v>340.13605442176873</v>
      </c>
      <c r="M428" s="2">
        <v>78.7</v>
      </c>
      <c r="N428" s="22"/>
      <c r="O428" s="22"/>
      <c r="P428" s="2"/>
    </row>
    <row r="429" spans="1:16" ht="15" customHeight="1">
      <c r="A429" s="2">
        <v>428</v>
      </c>
      <c r="B429" s="22" t="s">
        <v>41</v>
      </c>
      <c r="C429" s="22" t="s">
        <v>42</v>
      </c>
      <c r="D429" s="3">
        <v>41876</v>
      </c>
      <c r="E429" s="22" t="s">
        <v>62</v>
      </c>
      <c r="F429" s="22" t="s">
        <v>19</v>
      </c>
      <c r="G429" s="26"/>
      <c r="H429" s="22"/>
      <c r="I429" s="22"/>
      <c r="J429" s="6"/>
      <c r="K429" s="2">
        <v>10</v>
      </c>
      <c r="L429" s="6">
        <v>34.013605442176875</v>
      </c>
      <c r="M429" s="2">
        <v>78.7</v>
      </c>
      <c r="N429" s="22"/>
      <c r="O429" s="22"/>
      <c r="P429" s="2"/>
    </row>
    <row r="430" spans="1:16" ht="15" customHeight="1">
      <c r="A430" s="2">
        <v>429</v>
      </c>
      <c r="B430" s="22" t="s">
        <v>47</v>
      </c>
      <c r="C430" s="22" t="s">
        <v>48</v>
      </c>
      <c r="D430" s="3">
        <v>41878</v>
      </c>
      <c r="E430" s="22" t="s">
        <v>43</v>
      </c>
      <c r="F430" s="22" t="s">
        <v>19</v>
      </c>
      <c r="G430" s="26"/>
      <c r="H430" s="22"/>
      <c r="I430" s="22"/>
      <c r="J430" s="6"/>
      <c r="K430" s="2"/>
      <c r="L430" s="6">
        <v>209.30232558139537</v>
      </c>
      <c r="M430" s="2">
        <v>102.7</v>
      </c>
      <c r="N430" s="22" t="s">
        <v>128</v>
      </c>
      <c r="O430" s="22"/>
      <c r="P430" s="2"/>
    </row>
    <row r="431" spans="1:16" ht="15" customHeight="1">
      <c r="A431" s="2">
        <v>430</v>
      </c>
      <c r="B431" s="22" t="s">
        <v>47</v>
      </c>
      <c r="C431" s="22" t="s">
        <v>48</v>
      </c>
      <c r="D431" s="3">
        <v>41878</v>
      </c>
      <c r="E431" s="22" t="s">
        <v>129</v>
      </c>
      <c r="F431" s="22" t="s">
        <v>19</v>
      </c>
      <c r="G431" s="26"/>
      <c r="H431" s="22"/>
      <c r="I431" s="22"/>
      <c r="J431" s="6"/>
      <c r="K431" s="2"/>
      <c r="L431" s="6">
        <v>100</v>
      </c>
      <c r="M431" s="2">
        <v>102.7</v>
      </c>
      <c r="N431" s="22"/>
      <c r="O431" s="22"/>
      <c r="P431" s="2"/>
    </row>
    <row r="432" spans="1:16" ht="15" customHeight="1">
      <c r="A432" s="2">
        <v>431</v>
      </c>
      <c r="B432" s="22" t="s">
        <v>16</v>
      </c>
      <c r="C432" s="22" t="s">
        <v>17</v>
      </c>
      <c r="D432" s="3">
        <v>41878</v>
      </c>
      <c r="E432" s="22" t="s">
        <v>43</v>
      </c>
      <c r="F432" s="22" t="s">
        <v>19</v>
      </c>
      <c r="G432" s="26"/>
      <c r="H432" s="22"/>
      <c r="I432" s="22"/>
      <c r="J432" s="6"/>
      <c r="K432" s="2"/>
      <c r="L432" s="6">
        <v>174.41860465116278</v>
      </c>
      <c r="M432" s="2">
        <v>83.1</v>
      </c>
      <c r="N432" s="22" t="s">
        <v>44</v>
      </c>
      <c r="O432" s="22"/>
      <c r="P432" s="2"/>
    </row>
    <row r="433" spans="1:16" ht="15" customHeight="1">
      <c r="A433" s="2">
        <v>432</v>
      </c>
      <c r="B433" s="22" t="s">
        <v>27</v>
      </c>
      <c r="C433" s="22" t="s">
        <v>28</v>
      </c>
      <c r="D433" s="3">
        <v>41878</v>
      </c>
      <c r="E433" s="22" t="s">
        <v>43</v>
      </c>
      <c r="F433" s="22" t="s">
        <v>19</v>
      </c>
      <c r="G433" s="26"/>
      <c r="H433" s="22"/>
      <c r="I433" s="22"/>
      <c r="J433" s="6"/>
      <c r="K433" s="2"/>
      <c r="L433" s="6">
        <v>209.30232558139537</v>
      </c>
      <c r="M433" s="2">
        <v>93</v>
      </c>
      <c r="N433" s="22" t="s">
        <v>128</v>
      </c>
      <c r="O433" s="22"/>
      <c r="P433" s="2"/>
    </row>
    <row r="434" spans="1:16" ht="15" customHeight="1">
      <c r="A434" s="2">
        <v>433</v>
      </c>
      <c r="B434" s="22" t="s">
        <v>27</v>
      </c>
      <c r="C434" s="22" t="s">
        <v>28</v>
      </c>
      <c r="D434" s="3">
        <v>41878</v>
      </c>
      <c r="E434" s="22" t="s">
        <v>129</v>
      </c>
      <c r="F434" s="22" t="s">
        <v>19</v>
      </c>
      <c r="G434" s="26"/>
      <c r="H434" s="22"/>
      <c r="I434" s="22"/>
      <c r="J434" s="6"/>
      <c r="K434" s="2"/>
      <c r="L434" s="6">
        <v>131.7365269461078</v>
      </c>
      <c r="M434" s="2">
        <v>93</v>
      </c>
      <c r="N434" s="22"/>
      <c r="O434" s="22"/>
      <c r="P434" s="2"/>
    </row>
    <row r="435" spans="1:16" ht="15" customHeight="1">
      <c r="A435" s="2">
        <v>434</v>
      </c>
      <c r="B435" s="22" t="s">
        <v>41</v>
      </c>
      <c r="C435" s="22" t="s">
        <v>42</v>
      </c>
      <c r="D435" s="3">
        <v>41878</v>
      </c>
      <c r="E435" s="22" t="s">
        <v>129</v>
      </c>
      <c r="F435" s="22" t="s">
        <v>19</v>
      </c>
      <c r="G435" s="26"/>
      <c r="H435" s="22"/>
      <c r="I435" s="22"/>
      <c r="J435" s="6"/>
      <c r="K435" s="2"/>
      <c r="L435" s="6">
        <v>58.139534883720934</v>
      </c>
      <c r="M435" s="2">
        <v>78.900000000000006</v>
      </c>
      <c r="N435" s="22"/>
      <c r="O435" s="22"/>
      <c r="P435" s="2"/>
    </row>
    <row r="436" spans="1:16" ht="15" customHeight="1">
      <c r="A436" s="2">
        <v>435</v>
      </c>
      <c r="B436" s="22" t="s">
        <v>63</v>
      </c>
      <c r="C436" s="22" t="s">
        <v>64</v>
      </c>
      <c r="D436" s="3">
        <v>41878</v>
      </c>
      <c r="E436" s="22" t="s">
        <v>43</v>
      </c>
      <c r="F436" s="22" t="s">
        <v>19</v>
      </c>
      <c r="G436" s="26"/>
      <c r="H436" s="22"/>
      <c r="I436" s="22"/>
      <c r="J436" s="6"/>
      <c r="K436" s="2"/>
      <c r="L436" s="6">
        <v>154.65116279069767</v>
      </c>
      <c r="M436" s="2">
        <v>88.6</v>
      </c>
      <c r="N436" s="22" t="s">
        <v>128</v>
      </c>
      <c r="O436" s="22"/>
      <c r="P436" s="2"/>
    </row>
    <row r="437" spans="1:16" ht="15" customHeight="1">
      <c r="A437" s="2">
        <v>436</v>
      </c>
      <c r="B437" s="22" t="s">
        <v>47</v>
      </c>
      <c r="C437" s="22" t="s">
        <v>48</v>
      </c>
      <c r="D437" s="3">
        <v>41880</v>
      </c>
      <c r="E437" s="27" t="s">
        <v>29</v>
      </c>
      <c r="F437" s="22" t="s">
        <v>19</v>
      </c>
      <c r="G437" s="26" t="s">
        <v>54</v>
      </c>
      <c r="H437" s="22"/>
      <c r="I437" s="22"/>
      <c r="J437" s="6"/>
      <c r="K437" s="2"/>
      <c r="L437" s="6">
        <v>216.56050955414011</v>
      </c>
      <c r="M437" s="2">
        <v>103</v>
      </c>
      <c r="N437" s="22" t="s">
        <v>30</v>
      </c>
      <c r="O437" s="22"/>
      <c r="P437" s="2"/>
    </row>
    <row r="438" spans="1:16" ht="15" customHeight="1">
      <c r="A438" s="2">
        <v>437</v>
      </c>
      <c r="B438" s="22" t="s">
        <v>47</v>
      </c>
      <c r="C438" s="22" t="s">
        <v>48</v>
      </c>
      <c r="D438" s="3">
        <v>41880</v>
      </c>
      <c r="E438" s="22" t="s">
        <v>53</v>
      </c>
      <c r="F438" s="22" t="s">
        <v>19</v>
      </c>
      <c r="G438" s="26"/>
      <c r="H438" s="22"/>
      <c r="I438" s="22"/>
      <c r="J438" s="6"/>
      <c r="K438" s="2"/>
      <c r="L438" s="6">
        <v>127.90697674418605</v>
      </c>
      <c r="M438" s="2">
        <v>103</v>
      </c>
      <c r="N438" s="22"/>
      <c r="O438" s="22"/>
      <c r="P438" s="2"/>
    </row>
    <row r="439" spans="1:16" ht="15" customHeight="1">
      <c r="A439" s="2">
        <v>438</v>
      </c>
      <c r="B439" s="22" t="s">
        <v>47</v>
      </c>
      <c r="C439" s="22" t="s">
        <v>48</v>
      </c>
      <c r="D439" s="3">
        <v>41880</v>
      </c>
      <c r="E439" s="22" t="s">
        <v>23</v>
      </c>
      <c r="F439" s="22" t="s">
        <v>19</v>
      </c>
      <c r="G439" s="26"/>
      <c r="H439" s="22"/>
      <c r="I439" s="22"/>
      <c r="J439" s="6"/>
      <c r="K439" s="2"/>
      <c r="L439" s="6">
        <v>217.68707482993199</v>
      </c>
      <c r="M439" s="2">
        <v>103</v>
      </c>
      <c r="N439" s="22"/>
      <c r="O439" s="22"/>
      <c r="P439" s="2"/>
    </row>
    <row r="440" spans="1:16" ht="15" customHeight="1">
      <c r="A440" s="2">
        <v>439</v>
      </c>
      <c r="B440" s="22" t="s">
        <v>16</v>
      </c>
      <c r="C440" s="22" t="s">
        <v>17</v>
      </c>
      <c r="D440" s="3">
        <v>41880</v>
      </c>
      <c r="E440" s="27" t="s">
        <v>29</v>
      </c>
      <c r="F440" s="22" t="s">
        <v>19</v>
      </c>
      <c r="G440" s="26" t="s">
        <v>54</v>
      </c>
      <c r="H440" s="22"/>
      <c r="I440" s="22"/>
      <c r="J440" s="6"/>
      <c r="K440" s="2"/>
      <c r="L440" s="6">
        <v>130</v>
      </c>
      <c r="M440" s="2">
        <v>82.5</v>
      </c>
      <c r="N440" s="22" t="s">
        <v>30</v>
      </c>
      <c r="O440" s="22" t="s">
        <v>130</v>
      </c>
      <c r="P440" s="2"/>
    </row>
    <row r="441" spans="1:16" ht="15" customHeight="1">
      <c r="A441" s="2">
        <v>440</v>
      </c>
      <c r="B441" s="22" t="s">
        <v>16</v>
      </c>
      <c r="C441" s="22" t="s">
        <v>17</v>
      </c>
      <c r="D441" s="3">
        <v>41880</v>
      </c>
      <c r="E441" s="22" t="s">
        <v>68</v>
      </c>
      <c r="F441" s="22" t="s">
        <v>19</v>
      </c>
      <c r="G441" s="26"/>
      <c r="H441" s="22"/>
      <c r="I441" s="22"/>
      <c r="J441" s="6"/>
      <c r="K441" s="2"/>
      <c r="L441" s="6">
        <v>104.65116279069768</v>
      </c>
      <c r="M441" s="2">
        <v>82.5</v>
      </c>
      <c r="N441" s="22" t="s">
        <v>69</v>
      </c>
      <c r="O441" s="22"/>
      <c r="P441" s="2"/>
    </row>
    <row r="442" spans="1:16" ht="15" customHeight="1">
      <c r="A442" s="2">
        <v>441</v>
      </c>
      <c r="B442" s="22" t="s">
        <v>16</v>
      </c>
      <c r="C442" s="22" t="s">
        <v>17</v>
      </c>
      <c r="D442" s="3">
        <v>41880</v>
      </c>
      <c r="E442" s="22" t="s">
        <v>53</v>
      </c>
      <c r="F442" s="22" t="s">
        <v>19</v>
      </c>
      <c r="G442" s="26"/>
      <c r="H442" s="22"/>
      <c r="I442" s="22"/>
      <c r="J442" s="6"/>
      <c r="K442" s="2"/>
      <c r="L442" s="6">
        <v>116.27906976744187</v>
      </c>
      <c r="M442" s="2">
        <v>82.5</v>
      </c>
      <c r="N442" s="22"/>
      <c r="O442" s="22"/>
      <c r="P442" s="2"/>
    </row>
    <row r="443" spans="1:16" ht="15" customHeight="1">
      <c r="A443" s="2">
        <v>442</v>
      </c>
      <c r="B443" s="22" t="s">
        <v>16</v>
      </c>
      <c r="C443" s="22" t="s">
        <v>17</v>
      </c>
      <c r="D443" s="3">
        <v>41880</v>
      </c>
      <c r="E443" s="22" t="s">
        <v>26</v>
      </c>
      <c r="F443" s="22" t="s">
        <v>19</v>
      </c>
      <c r="G443" s="26"/>
      <c r="H443" s="22"/>
      <c r="I443" s="22"/>
      <c r="J443" s="6"/>
      <c r="K443" s="2"/>
      <c r="L443" s="6">
        <v>87.912087912087912</v>
      </c>
      <c r="M443" s="2">
        <v>82.5</v>
      </c>
      <c r="N443" s="22"/>
      <c r="O443" s="22"/>
      <c r="P443" s="2"/>
    </row>
    <row r="444" spans="1:16" ht="15" customHeight="1">
      <c r="A444" s="2">
        <v>443</v>
      </c>
      <c r="B444" s="22" t="s">
        <v>16</v>
      </c>
      <c r="C444" s="22" t="s">
        <v>17</v>
      </c>
      <c r="D444" s="3">
        <v>41880</v>
      </c>
      <c r="E444" s="22" t="s">
        <v>23</v>
      </c>
      <c r="F444" s="22" t="s">
        <v>19</v>
      </c>
      <c r="G444" s="26"/>
      <c r="H444" s="22"/>
      <c r="I444" s="22"/>
      <c r="J444" s="6"/>
      <c r="K444" s="2"/>
      <c r="L444" s="6">
        <v>217.68707482993199</v>
      </c>
      <c r="M444" s="2">
        <v>82.5</v>
      </c>
      <c r="N444" s="22"/>
      <c r="O444" s="22"/>
      <c r="P444" s="2"/>
    </row>
    <row r="445" spans="1:16" ht="15" customHeight="1">
      <c r="A445" s="2">
        <v>444</v>
      </c>
      <c r="B445" s="22" t="s">
        <v>38</v>
      </c>
      <c r="C445" s="22" t="s">
        <v>39</v>
      </c>
      <c r="D445" s="3">
        <v>41880</v>
      </c>
      <c r="E445" s="22" t="s">
        <v>131</v>
      </c>
      <c r="F445" s="22" t="s">
        <v>19</v>
      </c>
      <c r="G445" s="26"/>
      <c r="H445" s="22"/>
      <c r="I445" s="22"/>
      <c r="J445" s="6"/>
      <c r="K445" s="2"/>
      <c r="L445" s="6">
        <v>25.477707006369425</v>
      </c>
      <c r="M445" s="2">
        <v>82.6</v>
      </c>
      <c r="N445" s="22"/>
      <c r="O445" s="22"/>
      <c r="P445" s="2"/>
    </row>
    <row r="446" spans="1:16" ht="15" customHeight="1">
      <c r="A446" s="2">
        <v>445</v>
      </c>
      <c r="B446" s="22" t="s">
        <v>38</v>
      </c>
      <c r="C446" s="22" t="s">
        <v>39</v>
      </c>
      <c r="D446" s="3">
        <v>41880</v>
      </c>
      <c r="E446" s="22" t="s">
        <v>65</v>
      </c>
      <c r="F446" s="22" t="s">
        <v>19</v>
      </c>
      <c r="G446" s="26"/>
      <c r="H446" s="22"/>
      <c r="I446" s="22"/>
      <c r="J446" s="6"/>
      <c r="K446" s="2"/>
      <c r="L446" s="6">
        <v>95.238095238095241</v>
      </c>
      <c r="M446" s="2">
        <v>82.6</v>
      </c>
      <c r="N446" s="22"/>
      <c r="O446" s="22"/>
      <c r="P446" s="2"/>
    </row>
    <row r="447" spans="1:16" ht="15" customHeight="1">
      <c r="A447" s="2">
        <v>446</v>
      </c>
      <c r="B447" s="22" t="s">
        <v>27</v>
      </c>
      <c r="C447" s="22" t="s">
        <v>28</v>
      </c>
      <c r="D447" s="3">
        <v>41880</v>
      </c>
      <c r="E447" s="22" t="s">
        <v>18</v>
      </c>
      <c r="F447" s="22" t="s">
        <v>19</v>
      </c>
      <c r="G447" s="26"/>
      <c r="H447" s="22"/>
      <c r="I447" s="22"/>
      <c r="J447" s="6"/>
      <c r="K447" s="2"/>
      <c r="L447" s="6">
        <v>140</v>
      </c>
      <c r="M447" s="2">
        <v>94.5</v>
      </c>
      <c r="N447" s="22" t="s">
        <v>69</v>
      </c>
      <c r="O447" s="22" t="s">
        <v>130</v>
      </c>
      <c r="P447" s="2"/>
    </row>
    <row r="448" spans="1:16" ht="15" customHeight="1">
      <c r="A448" s="2">
        <v>447</v>
      </c>
      <c r="B448" s="22" t="s">
        <v>27</v>
      </c>
      <c r="C448" s="22" t="s">
        <v>28</v>
      </c>
      <c r="D448" s="3">
        <v>41880</v>
      </c>
      <c r="E448" s="22" t="s">
        <v>53</v>
      </c>
      <c r="F448" s="22" t="s">
        <v>19</v>
      </c>
      <c r="G448" s="26"/>
      <c r="H448" s="22"/>
      <c r="I448" s="22"/>
      <c r="J448" s="6"/>
      <c r="K448" s="2"/>
      <c r="L448" s="6">
        <v>139.53488372093022</v>
      </c>
      <c r="M448" s="2">
        <v>94.5</v>
      </c>
      <c r="N448" s="22"/>
      <c r="O448" s="22"/>
      <c r="P448" s="2"/>
    </row>
    <row r="449" spans="1:16" ht="15" customHeight="1">
      <c r="A449" s="2">
        <v>448</v>
      </c>
      <c r="B449" s="22" t="s">
        <v>27</v>
      </c>
      <c r="C449" s="22" t="s">
        <v>28</v>
      </c>
      <c r="D449" s="3">
        <v>41880</v>
      </c>
      <c r="E449" s="22" t="s">
        <v>26</v>
      </c>
      <c r="F449" s="22" t="s">
        <v>19</v>
      </c>
      <c r="G449" s="26"/>
      <c r="H449" s="22"/>
      <c r="I449" s="22"/>
      <c r="J449" s="6"/>
      <c r="K449" s="2"/>
      <c r="L449" s="6">
        <v>109.89010989010988</v>
      </c>
      <c r="M449" s="2">
        <v>94.5</v>
      </c>
      <c r="N449" s="22"/>
      <c r="O449" s="22"/>
      <c r="P449" s="2"/>
    </row>
    <row r="450" spans="1:16" ht="15" customHeight="1">
      <c r="A450" s="2">
        <v>449</v>
      </c>
      <c r="B450" s="22" t="s">
        <v>27</v>
      </c>
      <c r="C450" s="22" t="s">
        <v>28</v>
      </c>
      <c r="D450" s="3">
        <v>41880</v>
      </c>
      <c r="E450" s="22" t="s">
        <v>23</v>
      </c>
      <c r="F450" s="22" t="s">
        <v>19</v>
      </c>
      <c r="G450" s="26"/>
      <c r="H450" s="22"/>
      <c r="I450" s="22"/>
      <c r="J450" s="6"/>
      <c r="K450" s="2"/>
      <c r="L450" s="6">
        <v>217.68707482993199</v>
      </c>
      <c r="M450" s="2">
        <v>94.5</v>
      </c>
      <c r="N450" s="22"/>
      <c r="O450" s="22"/>
      <c r="P450" s="2"/>
    </row>
    <row r="451" spans="1:16" ht="15" customHeight="1">
      <c r="A451" s="2">
        <v>450</v>
      </c>
      <c r="B451" s="22" t="s">
        <v>41</v>
      </c>
      <c r="C451" s="22" t="s">
        <v>42</v>
      </c>
      <c r="D451" s="3">
        <v>41880</v>
      </c>
      <c r="E451" s="27" t="s">
        <v>29</v>
      </c>
      <c r="F451" s="22" t="s">
        <v>19</v>
      </c>
      <c r="G451" s="26" t="s">
        <v>54</v>
      </c>
      <c r="H451" s="22"/>
      <c r="I451" s="22"/>
      <c r="J451" s="6"/>
      <c r="K451" s="2"/>
      <c r="L451" s="6">
        <v>120</v>
      </c>
      <c r="M451" s="2">
        <v>79.3</v>
      </c>
      <c r="N451" s="22" t="s">
        <v>52</v>
      </c>
      <c r="O451" s="22" t="s">
        <v>130</v>
      </c>
      <c r="P451" s="2"/>
    </row>
    <row r="452" spans="1:16" ht="15" customHeight="1">
      <c r="A452" s="2">
        <v>451</v>
      </c>
      <c r="B452" s="22" t="s">
        <v>41</v>
      </c>
      <c r="C452" s="22" t="s">
        <v>42</v>
      </c>
      <c r="D452" s="3">
        <v>41880</v>
      </c>
      <c r="E452" s="22" t="s">
        <v>53</v>
      </c>
      <c r="F452" s="22" t="s">
        <v>19</v>
      </c>
      <c r="G452" s="26"/>
      <c r="H452" s="22"/>
      <c r="I452" s="22"/>
      <c r="J452" s="6"/>
      <c r="K452" s="2"/>
      <c r="L452" s="6">
        <v>93.023255813953483</v>
      </c>
      <c r="M452" s="2">
        <v>79.3</v>
      </c>
      <c r="N452" s="22"/>
      <c r="O452" s="22"/>
      <c r="P452" s="2"/>
    </row>
    <row r="453" spans="1:16" ht="15" customHeight="1">
      <c r="A453" s="2">
        <v>452</v>
      </c>
      <c r="B453" s="22" t="s">
        <v>41</v>
      </c>
      <c r="C453" s="22" t="s">
        <v>42</v>
      </c>
      <c r="D453" s="3">
        <v>41880</v>
      </c>
      <c r="E453" s="22" t="s">
        <v>68</v>
      </c>
      <c r="F453" s="22" t="s">
        <v>19</v>
      </c>
      <c r="G453" s="26"/>
      <c r="H453" s="22"/>
      <c r="I453" s="22"/>
      <c r="J453" s="6"/>
      <c r="K453" s="2"/>
      <c r="L453" s="6">
        <v>87.20930232558139</v>
      </c>
      <c r="M453" s="2">
        <v>79.3</v>
      </c>
      <c r="N453" s="22"/>
      <c r="O453" s="22"/>
      <c r="P453" s="2"/>
    </row>
    <row r="454" spans="1:16" ht="15" customHeight="1">
      <c r="A454" s="2">
        <v>453</v>
      </c>
      <c r="B454" s="22" t="s">
        <v>41</v>
      </c>
      <c r="C454" s="22" t="s">
        <v>42</v>
      </c>
      <c r="D454" s="3">
        <v>41880</v>
      </c>
      <c r="E454" s="22" t="s">
        <v>26</v>
      </c>
      <c r="F454" s="22" t="s">
        <v>19</v>
      </c>
      <c r="G454" s="26"/>
      <c r="H454" s="22"/>
      <c r="I454" s="22"/>
      <c r="J454" s="6"/>
      <c r="K454" s="2"/>
      <c r="L454" s="6">
        <v>65.934065934065927</v>
      </c>
      <c r="M454" s="2">
        <v>79.3</v>
      </c>
      <c r="N454" s="22"/>
      <c r="O454" s="22"/>
      <c r="P454" s="2"/>
    </row>
    <row r="455" spans="1:16" ht="15" customHeight="1">
      <c r="A455" s="2">
        <v>454</v>
      </c>
      <c r="B455" s="22" t="s">
        <v>41</v>
      </c>
      <c r="C455" s="22" t="s">
        <v>42</v>
      </c>
      <c r="D455" s="3">
        <v>41880</v>
      </c>
      <c r="E455" s="22" t="s">
        <v>23</v>
      </c>
      <c r="F455" s="22" t="s">
        <v>19</v>
      </c>
      <c r="G455" s="26"/>
      <c r="H455" s="22"/>
      <c r="I455" s="22"/>
      <c r="J455" s="6"/>
      <c r="K455" s="2"/>
      <c r="L455" s="6">
        <v>163.26530612244898</v>
      </c>
      <c r="M455" s="2">
        <v>79.3</v>
      </c>
      <c r="N455" s="22"/>
      <c r="O455" s="22"/>
      <c r="P455" s="2"/>
    </row>
    <row r="456" spans="1:16" ht="15" customHeight="1">
      <c r="A456" s="2">
        <v>455</v>
      </c>
      <c r="B456" s="22" t="s">
        <v>47</v>
      </c>
      <c r="C456" s="22" t="s">
        <v>48</v>
      </c>
      <c r="D456" s="3">
        <v>41883</v>
      </c>
      <c r="E456" s="22" t="s">
        <v>67</v>
      </c>
      <c r="F456" s="22" t="s">
        <v>19</v>
      </c>
      <c r="G456" s="26"/>
      <c r="H456" s="22"/>
      <c r="I456" s="22"/>
      <c r="J456" s="6">
        <v>525</v>
      </c>
      <c r="K456" s="2">
        <v>5</v>
      </c>
      <c r="L456" s="6">
        <v>613.31775700934577</v>
      </c>
      <c r="M456" s="2">
        <v>103</v>
      </c>
      <c r="N456" s="22"/>
      <c r="O456" s="22" t="s">
        <v>79</v>
      </c>
      <c r="P456" s="2"/>
    </row>
    <row r="457" spans="1:16" ht="15" customHeight="1">
      <c r="A457" s="2">
        <v>456</v>
      </c>
      <c r="B457" s="22" t="s">
        <v>47</v>
      </c>
      <c r="C457" s="22" t="s">
        <v>48</v>
      </c>
      <c r="D457" s="3">
        <v>41883</v>
      </c>
      <c r="E457" s="22" t="s">
        <v>68</v>
      </c>
      <c r="F457" s="22" t="s">
        <v>19</v>
      </c>
      <c r="G457" s="26"/>
      <c r="H457" s="22"/>
      <c r="I457" s="22"/>
      <c r="J457" s="6"/>
      <c r="K457" s="2"/>
      <c r="L457" s="6">
        <v>111.8</v>
      </c>
      <c r="M457" s="2">
        <v>103</v>
      </c>
      <c r="N457" s="22" t="s">
        <v>69</v>
      </c>
      <c r="O457" s="22"/>
      <c r="P457" s="2"/>
    </row>
    <row r="458" spans="1:16" ht="15" customHeight="1">
      <c r="A458" s="2">
        <v>457</v>
      </c>
      <c r="B458" s="22" t="s">
        <v>47</v>
      </c>
      <c r="C458" s="22" t="s">
        <v>48</v>
      </c>
      <c r="D458" s="3">
        <v>41883</v>
      </c>
      <c r="E458" s="22" t="s">
        <v>127</v>
      </c>
      <c r="F458" s="22" t="s">
        <v>19</v>
      </c>
      <c r="G458" s="26"/>
      <c r="H458" s="22"/>
      <c r="I458" s="22"/>
      <c r="J458" s="6"/>
      <c r="K458" s="2"/>
      <c r="L458" s="6">
        <v>19.047619047619047</v>
      </c>
      <c r="M458" s="2">
        <v>103</v>
      </c>
      <c r="N458" s="22"/>
      <c r="O458" s="22"/>
      <c r="P458" s="2"/>
    </row>
    <row r="459" spans="1:16" ht="15" customHeight="1">
      <c r="A459" s="2">
        <v>458</v>
      </c>
      <c r="B459" s="22" t="s">
        <v>47</v>
      </c>
      <c r="C459" s="22" t="s">
        <v>48</v>
      </c>
      <c r="D459" s="3">
        <v>41883</v>
      </c>
      <c r="E459" s="22" t="s">
        <v>25</v>
      </c>
      <c r="F459" s="22" t="s">
        <v>19</v>
      </c>
      <c r="G459" s="26"/>
      <c r="H459" s="22"/>
      <c r="I459" s="22"/>
      <c r="J459" s="6"/>
      <c r="K459" s="2"/>
      <c r="L459" s="6">
        <v>27.906976744186046</v>
      </c>
      <c r="M459" s="2">
        <v>103</v>
      </c>
      <c r="N459" s="22"/>
      <c r="O459" s="22"/>
      <c r="P459" s="2"/>
    </row>
    <row r="460" spans="1:16" ht="15" customHeight="1">
      <c r="A460" s="2">
        <v>459</v>
      </c>
      <c r="B460" s="22" t="s">
        <v>47</v>
      </c>
      <c r="C460" s="22" t="s">
        <v>48</v>
      </c>
      <c r="D460" s="3">
        <v>41883</v>
      </c>
      <c r="E460" s="22" t="s">
        <v>62</v>
      </c>
      <c r="F460" s="22" t="s">
        <v>19</v>
      </c>
      <c r="G460" s="26"/>
      <c r="H460" s="22"/>
      <c r="I460" s="22"/>
      <c r="J460" s="6"/>
      <c r="K460" s="2"/>
      <c r="L460" s="6">
        <v>63.945578231292515</v>
      </c>
      <c r="M460" s="2">
        <v>103</v>
      </c>
      <c r="N460" s="22"/>
      <c r="O460" s="22"/>
      <c r="P460" s="2"/>
    </row>
    <row r="461" spans="1:16" ht="15" customHeight="1">
      <c r="A461" s="2">
        <v>460</v>
      </c>
      <c r="B461" s="22" t="s">
        <v>16</v>
      </c>
      <c r="C461" s="22" t="s">
        <v>17</v>
      </c>
      <c r="D461" s="3">
        <v>41883</v>
      </c>
      <c r="E461" s="22" t="s">
        <v>67</v>
      </c>
      <c r="F461" s="22" t="s">
        <v>19</v>
      </c>
      <c r="G461" s="26"/>
      <c r="H461" s="22"/>
      <c r="I461" s="22"/>
      <c r="J461" s="6">
        <v>400</v>
      </c>
      <c r="K461" s="2">
        <v>6</v>
      </c>
      <c r="L461" s="6">
        <v>481.34777376654637</v>
      </c>
      <c r="M461" s="2">
        <v>83.2</v>
      </c>
      <c r="N461" s="22"/>
      <c r="O461" s="22" t="s">
        <v>132</v>
      </c>
      <c r="P461" s="2"/>
    </row>
    <row r="462" spans="1:16" ht="15" customHeight="1">
      <c r="A462" s="2">
        <v>461</v>
      </c>
      <c r="B462" s="22" t="s">
        <v>16</v>
      </c>
      <c r="C462" s="22" t="s">
        <v>17</v>
      </c>
      <c r="D462" s="3">
        <v>41883</v>
      </c>
      <c r="E462" s="22" t="s">
        <v>62</v>
      </c>
      <c r="F462" s="22" t="s">
        <v>19</v>
      </c>
      <c r="G462" s="26"/>
      <c r="H462" s="22"/>
      <c r="I462" s="22"/>
      <c r="J462" s="6"/>
      <c r="K462" s="2"/>
      <c r="L462" s="6">
        <v>63.945578231292515</v>
      </c>
      <c r="M462" s="2">
        <v>83.2</v>
      </c>
      <c r="N462" s="22"/>
      <c r="O462" s="22"/>
      <c r="P462" s="2"/>
    </row>
    <row r="463" spans="1:16" ht="15" customHeight="1">
      <c r="A463" s="2">
        <v>462</v>
      </c>
      <c r="B463" s="22" t="s">
        <v>38</v>
      </c>
      <c r="C463" s="22" t="s">
        <v>39</v>
      </c>
      <c r="D463" s="3">
        <v>41883</v>
      </c>
      <c r="E463" s="27" t="s">
        <v>29</v>
      </c>
      <c r="F463" s="22" t="s">
        <v>19</v>
      </c>
      <c r="G463" s="26" t="s">
        <v>54</v>
      </c>
      <c r="H463" s="22"/>
      <c r="I463" s="22"/>
      <c r="J463" s="6"/>
      <c r="K463" s="2"/>
      <c r="L463" s="6">
        <v>144.38502673796791</v>
      </c>
      <c r="M463" s="2">
        <v>82.1</v>
      </c>
      <c r="N463" s="22" t="s">
        <v>52</v>
      </c>
      <c r="O463" s="22"/>
      <c r="P463" s="2"/>
    </row>
    <row r="464" spans="1:16" ht="15" customHeight="1">
      <c r="A464" s="2">
        <v>463</v>
      </c>
      <c r="B464" s="22" t="s">
        <v>38</v>
      </c>
      <c r="C464" s="22" t="s">
        <v>39</v>
      </c>
      <c r="D464" s="3">
        <v>41883</v>
      </c>
      <c r="E464" s="22" t="s">
        <v>43</v>
      </c>
      <c r="F464" s="22" t="s">
        <v>19</v>
      </c>
      <c r="G464" s="26"/>
      <c r="H464" s="22"/>
      <c r="I464" s="22"/>
      <c r="J464" s="6"/>
      <c r="K464" s="2"/>
      <c r="L464" s="6">
        <v>148.83720930232559</v>
      </c>
      <c r="M464" s="2">
        <v>82.1</v>
      </c>
      <c r="N464" s="22" t="s">
        <v>128</v>
      </c>
      <c r="O464" s="22"/>
      <c r="P464" s="2"/>
    </row>
    <row r="465" spans="1:16" ht="15" customHeight="1">
      <c r="A465" s="2">
        <v>464</v>
      </c>
      <c r="B465" s="22" t="s">
        <v>38</v>
      </c>
      <c r="C465" s="22" t="s">
        <v>39</v>
      </c>
      <c r="D465" s="3">
        <v>41883</v>
      </c>
      <c r="E465" s="22" t="s">
        <v>46</v>
      </c>
      <c r="F465" s="22" t="s">
        <v>19</v>
      </c>
      <c r="G465" s="26"/>
      <c r="H465" s="22"/>
      <c r="I465" s="22"/>
      <c r="J465" s="6"/>
      <c r="K465" s="2"/>
      <c r="L465" s="6">
        <v>87.20930232558139</v>
      </c>
      <c r="M465" s="2">
        <v>82.1</v>
      </c>
      <c r="N465" s="22"/>
      <c r="O465" s="22"/>
      <c r="P465" s="2"/>
    </row>
    <row r="466" spans="1:16" ht="15" customHeight="1">
      <c r="A466" s="2">
        <v>465</v>
      </c>
      <c r="B466" s="22" t="s">
        <v>38</v>
      </c>
      <c r="C466" s="22" t="s">
        <v>39</v>
      </c>
      <c r="D466" s="3">
        <v>41883</v>
      </c>
      <c r="E466" s="22" t="s">
        <v>133</v>
      </c>
      <c r="F466" s="22" t="s">
        <v>19</v>
      </c>
      <c r="G466" s="26"/>
      <c r="H466" s="22"/>
      <c r="I466" s="22"/>
      <c r="J466" s="6"/>
      <c r="K466" s="2"/>
      <c r="L466" s="6">
        <v>127.90697674418605</v>
      </c>
      <c r="M466" s="2">
        <v>82.1</v>
      </c>
      <c r="N466" s="22"/>
      <c r="O466" s="22"/>
      <c r="P466" s="2"/>
    </row>
    <row r="467" spans="1:16" ht="15" customHeight="1">
      <c r="A467" s="2">
        <v>466</v>
      </c>
      <c r="B467" s="22" t="s">
        <v>38</v>
      </c>
      <c r="C467" s="22" t="s">
        <v>39</v>
      </c>
      <c r="D467" s="3">
        <v>41883</v>
      </c>
      <c r="E467" s="22" t="s">
        <v>23</v>
      </c>
      <c r="F467" s="22" t="s">
        <v>19</v>
      </c>
      <c r="G467" s="26"/>
      <c r="H467" s="22"/>
      <c r="I467" s="22"/>
      <c r="J467" s="6"/>
      <c r="K467" s="2"/>
      <c r="L467" s="6">
        <v>186.04651162790697</v>
      </c>
      <c r="M467" s="2">
        <v>82.1</v>
      </c>
      <c r="N467" s="22"/>
      <c r="O467" s="22"/>
      <c r="P467" s="2"/>
    </row>
    <row r="468" spans="1:16" ht="15" customHeight="1">
      <c r="A468" s="2">
        <v>467</v>
      </c>
      <c r="B468" s="22" t="s">
        <v>27</v>
      </c>
      <c r="C468" s="22" t="s">
        <v>28</v>
      </c>
      <c r="D468" s="3">
        <v>41883</v>
      </c>
      <c r="E468" s="22" t="s">
        <v>67</v>
      </c>
      <c r="F468" s="22" t="s">
        <v>19</v>
      </c>
      <c r="G468" s="26"/>
      <c r="H468" s="22"/>
      <c r="I468" s="22"/>
      <c r="J468" s="6">
        <v>500</v>
      </c>
      <c r="K468" s="2">
        <v>10</v>
      </c>
      <c r="L468" s="6">
        <v>672.04301075268813</v>
      </c>
      <c r="M468" s="2">
        <v>95.2</v>
      </c>
      <c r="N468" s="22"/>
      <c r="O468" s="22" t="s">
        <v>132</v>
      </c>
      <c r="P468" s="2"/>
    </row>
    <row r="469" spans="1:16" ht="15" customHeight="1">
      <c r="A469" s="2">
        <v>468</v>
      </c>
      <c r="B469" s="22" t="s">
        <v>27</v>
      </c>
      <c r="C469" s="22" t="s">
        <v>28</v>
      </c>
      <c r="D469" s="3">
        <v>41883</v>
      </c>
      <c r="E469" s="22" t="s">
        <v>68</v>
      </c>
      <c r="F469" s="22" t="s">
        <v>19</v>
      </c>
      <c r="G469" s="26"/>
      <c r="H469" s="22"/>
      <c r="I469" s="22"/>
      <c r="J469" s="6"/>
      <c r="K469" s="2"/>
      <c r="L469" s="6">
        <v>151.16279069767441</v>
      </c>
      <c r="M469" s="2">
        <v>95.2</v>
      </c>
      <c r="N469" s="22" t="s">
        <v>69</v>
      </c>
      <c r="O469" s="22"/>
      <c r="P469" s="2"/>
    </row>
    <row r="470" spans="1:16" ht="15" customHeight="1">
      <c r="A470" s="2">
        <v>469</v>
      </c>
      <c r="B470" s="22" t="s">
        <v>27</v>
      </c>
      <c r="C470" s="22" t="s">
        <v>28</v>
      </c>
      <c r="D470" s="3">
        <v>41883</v>
      </c>
      <c r="E470" s="22" t="s">
        <v>127</v>
      </c>
      <c r="F470" s="22" t="s">
        <v>19</v>
      </c>
      <c r="G470" s="26"/>
      <c r="H470" s="22"/>
      <c r="I470" s="22"/>
      <c r="J470" s="6"/>
      <c r="K470" s="2"/>
      <c r="L470" s="6">
        <v>24.489795918367346</v>
      </c>
      <c r="M470" s="2">
        <v>95.2</v>
      </c>
      <c r="N470" s="22"/>
      <c r="O470" s="22"/>
      <c r="P470" s="2"/>
    </row>
    <row r="471" spans="1:16" ht="15" customHeight="1">
      <c r="A471" s="2">
        <v>470</v>
      </c>
      <c r="B471" s="22" t="s">
        <v>27</v>
      </c>
      <c r="C471" s="22" t="s">
        <v>28</v>
      </c>
      <c r="D471" s="3">
        <v>41883</v>
      </c>
      <c r="E471" s="22" t="s">
        <v>62</v>
      </c>
      <c r="F471" s="22" t="s">
        <v>19</v>
      </c>
      <c r="G471" s="26"/>
      <c r="H471" s="22"/>
      <c r="I471" s="22"/>
      <c r="J471" s="6"/>
      <c r="K471" s="2"/>
      <c r="L471" s="6">
        <v>54.421768707482997</v>
      </c>
      <c r="M471" s="2">
        <v>95.2</v>
      </c>
      <c r="N471" s="22"/>
      <c r="O471" s="22"/>
      <c r="P471" s="2"/>
    </row>
    <row r="472" spans="1:16" ht="15" customHeight="1">
      <c r="A472" s="2">
        <v>471</v>
      </c>
      <c r="B472" s="22" t="s">
        <v>31</v>
      </c>
      <c r="C472" s="22" t="s">
        <v>32</v>
      </c>
      <c r="D472" s="3">
        <v>41883</v>
      </c>
      <c r="E472" s="22" t="s">
        <v>67</v>
      </c>
      <c r="F472" s="22" t="s">
        <v>19</v>
      </c>
      <c r="G472" s="26"/>
      <c r="H472" s="22"/>
      <c r="I472" s="22"/>
      <c r="J472" s="6">
        <v>380</v>
      </c>
      <c r="K472" s="2">
        <v>3</v>
      </c>
      <c r="L472" s="6">
        <v>419.42604856512145</v>
      </c>
      <c r="M472" s="2">
        <v>83.8</v>
      </c>
      <c r="N472" s="22"/>
      <c r="O472" s="22" t="s">
        <v>134</v>
      </c>
      <c r="P472" s="2"/>
    </row>
    <row r="473" spans="1:16" ht="15" customHeight="1">
      <c r="A473" s="2">
        <v>472</v>
      </c>
      <c r="B473" s="22" t="s">
        <v>31</v>
      </c>
      <c r="C473" s="22" t="s">
        <v>32</v>
      </c>
      <c r="D473" s="3">
        <v>41883</v>
      </c>
      <c r="E473" s="22" t="s">
        <v>68</v>
      </c>
      <c r="F473" s="22" t="s">
        <v>19</v>
      </c>
      <c r="G473" s="26"/>
      <c r="H473" s="22"/>
      <c r="I473" s="22"/>
      <c r="J473" s="6"/>
      <c r="K473" s="2"/>
      <c r="L473" s="6">
        <v>104.65116279069768</v>
      </c>
      <c r="M473" s="2">
        <v>83.8</v>
      </c>
      <c r="N473" s="22" t="s">
        <v>69</v>
      </c>
      <c r="O473" s="22"/>
      <c r="P473" s="2"/>
    </row>
    <row r="474" spans="1:16" ht="15" customHeight="1">
      <c r="A474" s="2">
        <v>473</v>
      </c>
      <c r="B474" s="22" t="s">
        <v>31</v>
      </c>
      <c r="C474" s="22" t="s">
        <v>32</v>
      </c>
      <c r="D474" s="3">
        <v>41883</v>
      </c>
      <c r="E474" s="22" t="s">
        <v>127</v>
      </c>
      <c r="F474" s="22" t="s">
        <v>19</v>
      </c>
      <c r="G474" s="26"/>
      <c r="H474" s="22"/>
      <c r="I474" s="22"/>
      <c r="J474" s="6"/>
      <c r="K474" s="2"/>
      <c r="L474" s="6">
        <v>29.931972789115648</v>
      </c>
      <c r="M474" s="2">
        <v>83.8</v>
      </c>
      <c r="N474" s="22"/>
      <c r="O474" s="22"/>
      <c r="P474" s="2"/>
    </row>
    <row r="475" spans="1:16" ht="15" customHeight="1">
      <c r="A475" s="2">
        <v>474</v>
      </c>
      <c r="B475" s="22" t="s">
        <v>31</v>
      </c>
      <c r="C475" s="22" t="s">
        <v>32</v>
      </c>
      <c r="D475" s="3">
        <v>41883</v>
      </c>
      <c r="E475" s="22" t="s">
        <v>25</v>
      </c>
      <c r="F475" s="22" t="s">
        <v>19</v>
      </c>
      <c r="G475" s="26"/>
      <c r="H475" s="22"/>
      <c r="I475" s="22"/>
      <c r="J475" s="6"/>
      <c r="K475" s="2"/>
      <c r="L475" s="6">
        <v>37.209302325581397</v>
      </c>
      <c r="M475" s="2">
        <v>83.8</v>
      </c>
      <c r="N475" s="22"/>
      <c r="O475" s="22"/>
      <c r="P475" s="2"/>
    </row>
    <row r="476" spans="1:16" ht="15" customHeight="1">
      <c r="A476" s="2">
        <v>475</v>
      </c>
      <c r="B476" s="22" t="s">
        <v>31</v>
      </c>
      <c r="C476" s="22" t="s">
        <v>32</v>
      </c>
      <c r="D476" s="3">
        <v>41883</v>
      </c>
      <c r="E476" s="22" t="s">
        <v>62</v>
      </c>
      <c r="F476" s="22" t="s">
        <v>19</v>
      </c>
      <c r="G476" s="26"/>
      <c r="H476" s="22"/>
      <c r="I476" s="22"/>
      <c r="J476" s="6"/>
      <c r="K476" s="2"/>
      <c r="L476" s="6">
        <v>63.945578231292515</v>
      </c>
      <c r="M476" s="2">
        <v>83.8</v>
      </c>
      <c r="N476" s="22"/>
      <c r="O476" s="22"/>
      <c r="P476" s="2"/>
    </row>
    <row r="477" spans="1:16" ht="15" customHeight="1">
      <c r="A477" s="2">
        <v>476</v>
      </c>
      <c r="B477" s="22" t="s">
        <v>41</v>
      </c>
      <c r="C477" s="22" t="s">
        <v>42</v>
      </c>
      <c r="D477" s="3">
        <v>41883</v>
      </c>
      <c r="E477" s="22" t="s">
        <v>67</v>
      </c>
      <c r="F477" s="22" t="s">
        <v>19</v>
      </c>
      <c r="G477" s="26"/>
      <c r="H477" s="22"/>
      <c r="I477" s="22"/>
      <c r="J477" s="6">
        <v>290</v>
      </c>
      <c r="K477" s="2">
        <v>8</v>
      </c>
      <c r="L477" s="6">
        <v>368.95674300254456</v>
      </c>
      <c r="M477" s="2">
        <v>80.2</v>
      </c>
      <c r="N477" s="22"/>
      <c r="O477" s="22" t="s">
        <v>135</v>
      </c>
      <c r="P477" s="2"/>
    </row>
    <row r="478" spans="1:16" ht="15" customHeight="1">
      <c r="A478" s="2">
        <v>477</v>
      </c>
      <c r="B478" s="22" t="s">
        <v>41</v>
      </c>
      <c r="C478" s="22" t="s">
        <v>42</v>
      </c>
      <c r="D478" s="3">
        <v>41883</v>
      </c>
      <c r="E478" s="22" t="s">
        <v>62</v>
      </c>
      <c r="F478" s="22" t="s">
        <v>19</v>
      </c>
      <c r="G478" s="26"/>
      <c r="H478" s="22"/>
      <c r="I478" s="22"/>
      <c r="J478" s="6"/>
      <c r="K478" s="2"/>
      <c r="L478" s="6">
        <v>34.013605442176875</v>
      </c>
      <c r="M478" s="2">
        <v>80.2</v>
      </c>
      <c r="N478" s="22"/>
      <c r="O478" s="22"/>
      <c r="P478" s="2"/>
    </row>
    <row r="479" spans="1:16" ht="15" customHeight="1">
      <c r="A479" s="2">
        <v>478</v>
      </c>
      <c r="B479" s="22" t="s">
        <v>63</v>
      </c>
      <c r="C479" s="22" t="s">
        <v>64</v>
      </c>
      <c r="D479" s="3">
        <v>41883</v>
      </c>
      <c r="E479" s="27" t="s">
        <v>29</v>
      </c>
      <c r="F479" s="22" t="s">
        <v>19</v>
      </c>
      <c r="G479" s="26" t="s">
        <v>54</v>
      </c>
      <c r="H479" s="22"/>
      <c r="I479" s="22"/>
      <c r="J479" s="6"/>
      <c r="K479" s="2"/>
      <c r="L479" s="6">
        <v>153.84615384615384</v>
      </c>
      <c r="M479" s="2">
        <v>88.2</v>
      </c>
      <c r="N479" s="22" t="s">
        <v>30</v>
      </c>
      <c r="O479" s="22"/>
      <c r="P479" s="2"/>
    </row>
    <row r="480" spans="1:16" ht="15" customHeight="1">
      <c r="A480" s="2">
        <v>479</v>
      </c>
      <c r="B480" s="22" t="s">
        <v>47</v>
      </c>
      <c r="C480" s="22" t="s">
        <v>48</v>
      </c>
      <c r="D480" s="3">
        <v>41885</v>
      </c>
      <c r="E480" s="22" t="s">
        <v>43</v>
      </c>
      <c r="F480" s="22" t="s">
        <v>19</v>
      </c>
      <c r="G480" s="26"/>
      <c r="H480" s="22"/>
      <c r="I480" s="22"/>
      <c r="J480" s="6"/>
      <c r="K480" s="2"/>
      <c r="L480" s="6">
        <v>197.67441860465118</v>
      </c>
      <c r="M480" s="2"/>
      <c r="N480" s="22" t="s">
        <v>128</v>
      </c>
      <c r="O480" s="22"/>
      <c r="P480" s="2"/>
    </row>
    <row r="481" spans="1:16" ht="15" customHeight="1">
      <c r="A481" s="2">
        <v>480</v>
      </c>
      <c r="B481" s="22" t="s">
        <v>47</v>
      </c>
      <c r="C481" s="22" t="s">
        <v>48</v>
      </c>
      <c r="D481" s="3">
        <v>41885</v>
      </c>
      <c r="E481" s="22" t="s">
        <v>67</v>
      </c>
      <c r="F481" s="22" t="s">
        <v>19</v>
      </c>
      <c r="G481" s="26"/>
      <c r="H481" s="22"/>
      <c r="I481" s="22"/>
      <c r="J481" s="6"/>
      <c r="K481" s="2"/>
      <c r="L481" s="6">
        <v>610</v>
      </c>
      <c r="M481" s="2"/>
      <c r="N481" s="22"/>
      <c r="O481" s="22"/>
      <c r="P481" s="2"/>
    </row>
    <row r="482" spans="1:16" ht="15" customHeight="1">
      <c r="A482" s="2">
        <v>481</v>
      </c>
      <c r="B482" s="22" t="s">
        <v>16</v>
      </c>
      <c r="C482" s="22" t="s">
        <v>17</v>
      </c>
      <c r="D482" s="3">
        <v>41885</v>
      </c>
      <c r="E482" s="22" t="s">
        <v>43</v>
      </c>
      <c r="F482" s="22" t="s">
        <v>19</v>
      </c>
      <c r="G482" s="26"/>
      <c r="H482" s="22"/>
      <c r="I482" s="22"/>
      <c r="J482" s="6"/>
      <c r="K482" s="2"/>
      <c r="L482" s="6">
        <v>174.41860465116278</v>
      </c>
      <c r="M482" s="2"/>
      <c r="N482" s="22" t="s">
        <v>128</v>
      </c>
      <c r="O482" s="22"/>
      <c r="P482" s="2"/>
    </row>
    <row r="483" spans="1:16" ht="15" customHeight="1">
      <c r="A483" s="2">
        <v>482</v>
      </c>
      <c r="B483" s="22" t="s">
        <v>16</v>
      </c>
      <c r="C483" s="22" t="s">
        <v>17</v>
      </c>
      <c r="D483" s="3">
        <v>41885</v>
      </c>
      <c r="E483" s="22" t="s">
        <v>67</v>
      </c>
      <c r="F483" s="22" t="s">
        <v>19</v>
      </c>
      <c r="G483" s="26"/>
      <c r="H483" s="22"/>
      <c r="I483" s="22"/>
      <c r="J483" s="6"/>
      <c r="K483" s="2"/>
      <c r="L483" s="6">
        <v>465</v>
      </c>
      <c r="M483" s="2"/>
      <c r="N483" s="22"/>
      <c r="O483" s="22"/>
      <c r="P483" s="2"/>
    </row>
    <row r="484" spans="1:16" ht="15" customHeight="1">
      <c r="A484" s="2">
        <v>483</v>
      </c>
      <c r="B484" s="22" t="s">
        <v>27</v>
      </c>
      <c r="C484" s="22" t="s">
        <v>28</v>
      </c>
      <c r="D484" s="3">
        <v>41885</v>
      </c>
      <c r="E484" s="22" t="s">
        <v>67</v>
      </c>
      <c r="F484" s="22" t="s">
        <v>19</v>
      </c>
      <c r="G484" s="26"/>
      <c r="H484" s="22"/>
      <c r="I484" s="22"/>
      <c r="J484" s="6"/>
      <c r="K484" s="2"/>
      <c r="L484" s="6">
        <v>680.27210884353747</v>
      </c>
      <c r="M484" s="2"/>
      <c r="N484" s="22"/>
      <c r="O484" s="22"/>
      <c r="P484" s="2"/>
    </row>
    <row r="485" spans="1:16" ht="15" customHeight="1">
      <c r="A485" s="2">
        <v>484</v>
      </c>
      <c r="B485" s="22" t="s">
        <v>31</v>
      </c>
      <c r="C485" s="22" t="s">
        <v>32</v>
      </c>
      <c r="D485" s="3">
        <v>41885</v>
      </c>
      <c r="E485" s="22" t="s">
        <v>67</v>
      </c>
      <c r="F485" s="22" t="s">
        <v>19</v>
      </c>
      <c r="G485" s="26"/>
      <c r="H485" s="22"/>
      <c r="I485" s="22"/>
      <c r="J485" s="6"/>
      <c r="K485" s="2"/>
      <c r="L485" s="6">
        <v>417.58241758241758</v>
      </c>
      <c r="M485" s="2"/>
      <c r="N485" s="22"/>
      <c r="O485" s="22"/>
      <c r="P485" s="2"/>
    </row>
    <row r="486" spans="1:16" ht="15" customHeight="1">
      <c r="A486" s="2">
        <v>485</v>
      </c>
      <c r="B486" s="22" t="s">
        <v>41</v>
      </c>
      <c r="C486" s="22" t="s">
        <v>42</v>
      </c>
      <c r="D486" s="3">
        <v>41885</v>
      </c>
      <c r="E486" s="22" t="s">
        <v>67</v>
      </c>
      <c r="F486" s="22" t="s">
        <v>19</v>
      </c>
      <c r="G486" s="26"/>
      <c r="H486" s="22"/>
      <c r="I486" s="22"/>
      <c r="J486" s="6"/>
      <c r="K486" s="2"/>
      <c r="L486" s="6">
        <v>369.42675159235665</v>
      </c>
      <c r="M486" s="2"/>
      <c r="N486" s="22"/>
      <c r="O486" s="22"/>
      <c r="P486" s="2"/>
    </row>
    <row r="487" spans="1:16" ht="15" customHeight="1">
      <c r="A487" s="2">
        <v>486</v>
      </c>
      <c r="B487" s="22" t="s">
        <v>63</v>
      </c>
      <c r="C487" s="22" t="s">
        <v>64</v>
      </c>
      <c r="D487" s="3">
        <v>41885</v>
      </c>
      <c r="E487" s="22" t="s">
        <v>43</v>
      </c>
      <c r="F487" s="22" t="s">
        <v>19</v>
      </c>
      <c r="G487" s="26"/>
      <c r="H487" s="22"/>
      <c r="I487" s="22"/>
      <c r="J487" s="6"/>
      <c r="K487" s="2"/>
      <c r="L487" s="6">
        <v>165.26946107784431</v>
      </c>
      <c r="M487" s="2"/>
      <c r="N487" s="22" t="s">
        <v>128</v>
      </c>
      <c r="O487" s="22"/>
      <c r="P487" s="2"/>
    </row>
    <row r="488" spans="1:16" ht="15" customHeight="1">
      <c r="A488" s="2">
        <v>487</v>
      </c>
      <c r="B488" s="22" t="s">
        <v>47</v>
      </c>
      <c r="C488" s="22" t="s">
        <v>48</v>
      </c>
      <c r="D488" s="3">
        <v>41887</v>
      </c>
      <c r="E488" s="27" t="s">
        <v>29</v>
      </c>
      <c r="F488" s="22" t="s">
        <v>19</v>
      </c>
      <c r="G488" s="26" t="s">
        <v>20</v>
      </c>
      <c r="H488" s="22"/>
      <c r="I488" s="22"/>
      <c r="J488" s="6"/>
      <c r="K488" s="2"/>
      <c r="L488" s="6">
        <v>190</v>
      </c>
      <c r="M488" s="2"/>
      <c r="N488" s="22" t="s">
        <v>30</v>
      </c>
      <c r="O488" s="22" t="s">
        <v>56</v>
      </c>
      <c r="P488" s="2"/>
    </row>
    <row r="489" spans="1:16" ht="15" customHeight="1">
      <c r="A489" s="2">
        <v>488</v>
      </c>
      <c r="B489" s="22" t="s">
        <v>47</v>
      </c>
      <c r="C489" s="22" t="s">
        <v>48</v>
      </c>
      <c r="D489" s="3">
        <v>41887</v>
      </c>
      <c r="E489" s="27" t="s">
        <v>29</v>
      </c>
      <c r="F489" s="22" t="s">
        <v>19</v>
      </c>
      <c r="G489" s="26" t="s">
        <v>20</v>
      </c>
      <c r="H489" s="22"/>
      <c r="I489" s="22"/>
      <c r="J489" s="6"/>
      <c r="K489" s="2"/>
      <c r="L489" s="6">
        <v>232.55813953488374</v>
      </c>
      <c r="M489" s="2"/>
      <c r="N489" s="22" t="s">
        <v>30</v>
      </c>
      <c r="O489" s="22"/>
      <c r="P489" s="2"/>
    </row>
    <row r="490" spans="1:16" ht="15" customHeight="1">
      <c r="A490" s="2">
        <v>489</v>
      </c>
      <c r="B490" s="22" t="s">
        <v>47</v>
      </c>
      <c r="C490" s="22" t="s">
        <v>48</v>
      </c>
      <c r="D490" s="3">
        <v>41887</v>
      </c>
      <c r="E490" s="22" t="s">
        <v>53</v>
      </c>
      <c r="F490" s="22" t="s">
        <v>19</v>
      </c>
      <c r="G490" s="26"/>
      <c r="H490" s="22"/>
      <c r="I490" s="22"/>
      <c r="J490" s="6"/>
      <c r="K490" s="2"/>
      <c r="L490" s="6">
        <v>116.27906976744187</v>
      </c>
      <c r="M490" s="2"/>
      <c r="N490" s="22"/>
      <c r="O490" s="22"/>
      <c r="P490" s="2"/>
    </row>
    <row r="491" spans="1:16" ht="15" customHeight="1">
      <c r="A491" s="2">
        <v>490</v>
      </c>
      <c r="B491" s="22" t="s">
        <v>47</v>
      </c>
      <c r="C491" s="22" t="s">
        <v>48</v>
      </c>
      <c r="D491" s="3">
        <v>41887</v>
      </c>
      <c r="E491" s="22" t="s">
        <v>26</v>
      </c>
      <c r="F491" s="22" t="s">
        <v>19</v>
      </c>
      <c r="G491" s="26"/>
      <c r="H491" s="22"/>
      <c r="I491" s="22"/>
      <c r="J491" s="6"/>
      <c r="K491" s="2"/>
      <c r="L491" s="6">
        <v>109.89010989010988</v>
      </c>
      <c r="M491" s="2"/>
      <c r="N491" s="22"/>
      <c r="O491" s="22"/>
      <c r="P491" s="2"/>
    </row>
    <row r="492" spans="1:16" ht="15" customHeight="1">
      <c r="A492" s="2">
        <v>491</v>
      </c>
      <c r="B492" s="22" t="s">
        <v>47</v>
      </c>
      <c r="C492" s="22" t="s">
        <v>48</v>
      </c>
      <c r="D492" s="3">
        <v>41887</v>
      </c>
      <c r="E492" s="22" t="s">
        <v>23</v>
      </c>
      <c r="F492" s="22" t="s">
        <v>19</v>
      </c>
      <c r="G492" s="26"/>
      <c r="H492" s="22"/>
      <c r="I492" s="22"/>
      <c r="J492" s="6"/>
      <c r="K492" s="2"/>
      <c r="L492" s="6">
        <v>186.04651162790697</v>
      </c>
      <c r="M492" s="2"/>
      <c r="N492" s="22"/>
      <c r="O492" s="22"/>
      <c r="P492" s="2"/>
    </row>
    <row r="493" spans="1:16" ht="15" customHeight="1">
      <c r="A493" s="2">
        <v>492</v>
      </c>
      <c r="B493" s="22" t="s">
        <v>16</v>
      </c>
      <c r="C493" s="22" t="s">
        <v>17</v>
      </c>
      <c r="D493" s="3">
        <v>41887</v>
      </c>
      <c r="E493" s="27" t="s">
        <v>29</v>
      </c>
      <c r="F493" s="22" t="s">
        <v>19</v>
      </c>
      <c r="G493" s="26" t="s">
        <v>54</v>
      </c>
      <c r="H493" s="22"/>
      <c r="I493" s="22"/>
      <c r="J493" s="6"/>
      <c r="K493" s="2"/>
      <c r="L493" s="6">
        <v>140</v>
      </c>
      <c r="M493" s="2"/>
      <c r="N493" s="22" t="s">
        <v>30</v>
      </c>
      <c r="O493" s="22" t="s">
        <v>130</v>
      </c>
      <c r="P493" s="2"/>
    </row>
    <row r="494" spans="1:16" ht="15" customHeight="1">
      <c r="A494" s="2">
        <v>493</v>
      </c>
      <c r="B494" s="22" t="s">
        <v>16</v>
      </c>
      <c r="C494" s="22" t="s">
        <v>17</v>
      </c>
      <c r="D494" s="3">
        <v>41887</v>
      </c>
      <c r="E494" s="22" t="s">
        <v>53</v>
      </c>
      <c r="F494" s="22" t="s">
        <v>19</v>
      </c>
      <c r="G494" s="26"/>
      <c r="H494" s="22"/>
      <c r="I494" s="22"/>
      <c r="J494" s="6"/>
      <c r="K494" s="2"/>
      <c r="L494" s="6">
        <v>116.27906976744187</v>
      </c>
      <c r="M494" s="2"/>
      <c r="N494" s="22"/>
      <c r="O494" s="22"/>
      <c r="P494" s="2"/>
    </row>
    <row r="495" spans="1:16" ht="15" customHeight="1">
      <c r="A495" s="2">
        <v>494</v>
      </c>
      <c r="B495" s="22" t="s">
        <v>16</v>
      </c>
      <c r="C495" s="22" t="s">
        <v>17</v>
      </c>
      <c r="D495" s="3">
        <v>41887</v>
      </c>
      <c r="E495" s="22" t="s">
        <v>26</v>
      </c>
      <c r="F495" s="22" t="s">
        <v>19</v>
      </c>
      <c r="G495" s="26"/>
      <c r="H495" s="22"/>
      <c r="I495" s="22"/>
      <c r="J495" s="6"/>
      <c r="K495" s="2"/>
      <c r="L495" s="6">
        <v>104.39560439560439</v>
      </c>
      <c r="M495" s="2"/>
      <c r="N495" s="22"/>
      <c r="O495" s="22"/>
      <c r="P495" s="2"/>
    </row>
    <row r="496" spans="1:16" ht="15" customHeight="1">
      <c r="A496" s="2">
        <v>495</v>
      </c>
      <c r="B496" s="22" t="s">
        <v>16</v>
      </c>
      <c r="C496" s="22" t="s">
        <v>17</v>
      </c>
      <c r="D496" s="3">
        <v>41887</v>
      </c>
      <c r="E496" s="22" t="s">
        <v>23</v>
      </c>
      <c r="F496" s="22" t="s">
        <v>19</v>
      </c>
      <c r="G496" s="26"/>
      <c r="H496" s="22"/>
      <c r="I496" s="22"/>
      <c r="J496" s="6"/>
      <c r="K496" s="2"/>
      <c r="L496" s="6">
        <v>225.98870056497174</v>
      </c>
      <c r="M496" s="2"/>
      <c r="N496" s="22"/>
      <c r="O496" s="22"/>
      <c r="P496" s="2"/>
    </row>
    <row r="497" spans="1:16" ht="15" customHeight="1">
      <c r="A497" s="2">
        <v>496</v>
      </c>
      <c r="B497" s="22" t="s">
        <v>27</v>
      </c>
      <c r="C497" s="22" t="s">
        <v>28</v>
      </c>
      <c r="D497" s="3">
        <v>41887</v>
      </c>
      <c r="E497" s="22" t="s">
        <v>18</v>
      </c>
      <c r="F497" s="22" t="s">
        <v>19</v>
      </c>
      <c r="G497" s="26"/>
      <c r="H497" s="22"/>
      <c r="I497" s="22"/>
      <c r="J497" s="6"/>
      <c r="K497" s="2"/>
      <c r="L497" s="6">
        <v>150</v>
      </c>
      <c r="M497" s="2"/>
      <c r="N497" s="22" t="s">
        <v>69</v>
      </c>
      <c r="O497" s="22" t="s">
        <v>130</v>
      </c>
      <c r="P497" s="2"/>
    </row>
    <row r="498" spans="1:16" ht="15" customHeight="1">
      <c r="A498" s="2">
        <v>497</v>
      </c>
      <c r="B498" s="22" t="s">
        <v>27</v>
      </c>
      <c r="C498" s="22" t="s">
        <v>28</v>
      </c>
      <c r="D498" s="3">
        <v>41887</v>
      </c>
      <c r="E498" s="22" t="s">
        <v>18</v>
      </c>
      <c r="F498" s="22" t="s">
        <v>19</v>
      </c>
      <c r="G498" s="26" t="s">
        <v>54</v>
      </c>
      <c r="H498" s="22"/>
      <c r="I498" s="22"/>
      <c r="J498" s="6"/>
      <c r="K498" s="2"/>
      <c r="L498" s="6">
        <v>174.41860465116278</v>
      </c>
      <c r="M498" s="2"/>
      <c r="N498" s="22" t="s">
        <v>74</v>
      </c>
      <c r="O498" s="22"/>
      <c r="P498" s="2"/>
    </row>
    <row r="499" spans="1:16" ht="15" customHeight="1">
      <c r="A499" s="2">
        <v>498</v>
      </c>
      <c r="B499" s="22" t="s">
        <v>27</v>
      </c>
      <c r="C499" s="22" t="s">
        <v>28</v>
      </c>
      <c r="D499" s="3">
        <v>41887</v>
      </c>
      <c r="E499" s="22" t="s">
        <v>53</v>
      </c>
      <c r="F499" s="22" t="s">
        <v>19</v>
      </c>
      <c r="G499" s="26"/>
      <c r="H499" s="22"/>
      <c r="I499" s="22"/>
      <c r="J499" s="6"/>
      <c r="K499" s="2"/>
      <c r="L499" s="6">
        <v>139.53488372093022</v>
      </c>
      <c r="M499" s="2"/>
      <c r="N499" s="22"/>
      <c r="O499" s="22"/>
      <c r="P499" s="2"/>
    </row>
    <row r="500" spans="1:16" ht="15" customHeight="1">
      <c r="A500" s="2">
        <v>499</v>
      </c>
      <c r="B500" s="22" t="s">
        <v>27</v>
      </c>
      <c r="C500" s="22" t="s">
        <v>28</v>
      </c>
      <c r="D500" s="3">
        <v>41887</v>
      </c>
      <c r="E500" s="22" t="s">
        <v>26</v>
      </c>
      <c r="F500" s="22" t="s">
        <v>19</v>
      </c>
      <c r="G500" s="26"/>
      <c r="H500" s="22"/>
      <c r="I500" s="22"/>
      <c r="J500" s="6"/>
      <c r="K500" s="2"/>
      <c r="L500" s="6">
        <v>120.87912087912088</v>
      </c>
      <c r="M500" s="2"/>
      <c r="N500" s="22"/>
      <c r="O500" s="22"/>
      <c r="P500" s="2"/>
    </row>
    <row r="501" spans="1:16" ht="15" customHeight="1">
      <c r="A501" s="2">
        <v>500</v>
      </c>
      <c r="B501" s="22" t="s">
        <v>27</v>
      </c>
      <c r="C501" s="22" t="s">
        <v>28</v>
      </c>
      <c r="D501" s="3">
        <v>41887</v>
      </c>
      <c r="E501" s="22" t="s">
        <v>23</v>
      </c>
      <c r="F501" s="22" t="s">
        <v>19</v>
      </c>
      <c r="G501" s="26"/>
      <c r="H501" s="22"/>
      <c r="I501" s="22"/>
      <c r="J501" s="6"/>
      <c r="K501" s="2"/>
      <c r="L501" s="6">
        <v>271.18644067796612</v>
      </c>
      <c r="M501" s="2"/>
      <c r="N501" s="22"/>
      <c r="O501" s="22"/>
      <c r="P501" s="2"/>
    </row>
    <row r="502" spans="1:16" ht="15" customHeight="1">
      <c r="A502" s="2">
        <v>501</v>
      </c>
      <c r="B502" s="22" t="s">
        <v>31</v>
      </c>
      <c r="C502" s="22" t="s">
        <v>32</v>
      </c>
      <c r="D502" s="3">
        <v>41887</v>
      </c>
      <c r="E502" s="27" t="s">
        <v>29</v>
      </c>
      <c r="F502" s="22" t="s">
        <v>19</v>
      </c>
      <c r="G502" s="26" t="s">
        <v>20</v>
      </c>
      <c r="H502" s="22"/>
      <c r="I502" s="22"/>
      <c r="J502" s="6"/>
      <c r="K502" s="2"/>
      <c r="L502" s="6">
        <v>125</v>
      </c>
      <c r="M502" s="2"/>
      <c r="N502" s="22" t="s">
        <v>30</v>
      </c>
      <c r="O502" s="22" t="s">
        <v>56</v>
      </c>
      <c r="P502" s="2"/>
    </row>
    <row r="503" spans="1:16" ht="15" customHeight="1">
      <c r="A503" s="2">
        <v>502</v>
      </c>
      <c r="B503" s="22" t="s">
        <v>31</v>
      </c>
      <c r="C503" s="22" t="s">
        <v>32</v>
      </c>
      <c r="D503" s="3">
        <v>41887</v>
      </c>
      <c r="E503" s="22" t="s">
        <v>53</v>
      </c>
      <c r="F503" s="22" t="s">
        <v>19</v>
      </c>
      <c r="G503" s="26"/>
      <c r="H503" s="22"/>
      <c r="I503" s="22"/>
      <c r="J503" s="6"/>
      <c r="K503" s="2"/>
      <c r="L503" s="6">
        <v>116.27906976744187</v>
      </c>
      <c r="M503" s="2"/>
      <c r="N503" s="22"/>
      <c r="O503" s="22"/>
      <c r="P503" s="2"/>
    </row>
    <row r="504" spans="1:16" ht="15" customHeight="1">
      <c r="A504" s="2">
        <v>503</v>
      </c>
      <c r="B504" s="22" t="s">
        <v>31</v>
      </c>
      <c r="C504" s="22" t="s">
        <v>32</v>
      </c>
      <c r="D504" s="3">
        <v>41887</v>
      </c>
      <c r="E504" s="22" t="s">
        <v>26</v>
      </c>
      <c r="F504" s="22" t="s">
        <v>19</v>
      </c>
      <c r="G504" s="26"/>
      <c r="H504" s="22"/>
      <c r="I504" s="22"/>
      <c r="J504" s="6"/>
      <c r="K504" s="2"/>
      <c r="L504" s="6">
        <v>104.39560439560439</v>
      </c>
      <c r="M504" s="2"/>
      <c r="N504" s="22"/>
      <c r="O504" s="22"/>
      <c r="P504" s="2"/>
    </row>
    <row r="505" spans="1:16" ht="15" customHeight="1">
      <c r="A505" s="2">
        <v>504</v>
      </c>
      <c r="B505" s="22" t="s">
        <v>31</v>
      </c>
      <c r="C505" s="22" t="s">
        <v>32</v>
      </c>
      <c r="D505" s="3">
        <v>41887</v>
      </c>
      <c r="E505" s="22" t="s">
        <v>23</v>
      </c>
      <c r="F505" s="22" t="s">
        <v>19</v>
      </c>
      <c r="G505" s="26"/>
      <c r="H505" s="22"/>
      <c r="I505" s="22"/>
      <c r="J505" s="6"/>
      <c r="K505" s="2"/>
      <c r="L505" s="6">
        <v>180.79096045197741</v>
      </c>
      <c r="M505" s="2"/>
      <c r="N505" s="22"/>
      <c r="O505" s="22"/>
      <c r="P505" s="2"/>
    </row>
    <row r="506" spans="1:16" ht="15" customHeight="1">
      <c r="A506" s="2">
        <v>505</v>
      </c>
      <c r="B506" s="22" t="s">
        <v>41</v>
      </c>
      <c r="C506" s="22" t="s">
        <v>42</v>
      </c>
      <c r="D506" s="3">
        <v>41887</v>
      </c>
      <c r="E506" s="27" t="s">
        <v>29</v>
      </c>
      <c r="F506" s="22" t="s">
        <v>19</v>
      </c>
      <c r="G506" s="26"/>
      <c r="H506" s="22"/>
      <c r="I506" s="22"/>
      <c r="J506" s="6"/>
      <c r="K506" s="2"/>
      <c r="L506" s="6">
        <v>120</v>
      </c>
      <c r="M506" s="2"/>
      <c r="N506" s="22" t="s">
        <v>107</v>
      </c>
      <c r="O506" s="22" t="s">
        <v>130</v>
      </c>
      <c r="P506" s="2"/>
    </row>
    <row r="507" spans="1:16" ht="15" customHeight="1">
      <c r="A507" s="2">
        <v>506</v>
      </c>
      <c r="B507" s="22" t="s">
        <v>41</v>
      </c>
      <c r="C507" s="22" t="s">
        <v>42</v>
      </c>
      <c r="D507" s="3">
        <v>41887</v>
      </c>
      <c r="E507" s="22" t="s">
        <v>53</v>
      </c>
      <c r="F507" s="22" t="s">
        <v>19</v>
      </c>
      <c r="G507" s="26"/>
      <c r="H507" s="22"/>
      <c r="I507" s="22"/>
      <c r="J507" s="6"/>
      <c r="K507" s="2"/>
      <c r="L507" s="6">
        <v>87.20930232558139</v>
      </c>
      <c r="M507" s="2"/>
      <c r="N507" s="22"/>
      <c r="O507" s="22"/>
      <c r="P507" s="2"/>
    </row>
    <row r="508" spans="1:16" ht="15" customHeight="1">
      <c r="A508" s="2">
        <v>507</v>
      </c>
      <c r="B508" s="22" t="s">
        <v>41</v>
      </c>
      <c r="C508" s="22" t="s">
        <v>42</v>
      </c>
      <c r="D508" s="3">
        <v>41887</v>
      </c>
      <c r="E508" s="22" t="s">
        <v>26</v>
      </c>
      <c r="F508" s="22" t="s">
        <v>19</v>
      </c>
      <c r="G508" s="26"/>
      <c r="H508" s="22"/>
      <c r="I508" s="22"/>
      <c r="J508" s="6"/>
      <c r="K508" s="2"/>
      <c r="L508" s="6">
        <v>65.934065934065927</v>
      </c>
      <c r="M508" s="2"/>
      <c r="N508" s="22"/>
      <c r="O508" s="22"/>
      <c r="P508" s="2"/>
    </row>
    <row r="509" spans="1:16" ht="15" customHeight="1">
      <c r="A509" s="2">
        <v>508</v>
      </c>
      <c r="B509" s="22" t="s">
        <v>41</v>
      </c>
      <c r="C509" s="22" t="s">
        <v>42</v>
      </c>
      <c r="D509" s="3">
        <v>41887</v>
      </c>
      <c r="E509" s="22" t="s">
        <v>62</v>
      </c>
      <c r="F509" s="22" t="s">
        <v>19</v>
      </c>
      <c r="G509" s="26"/>
      <c r="H509" s="22"/>
      <c r="I509" s="22"/>
      <c r="J509" s="6"/>
      <c r="K509" s="2"/>
      <c r="L509" s="6">
        <v>35.374149659863946</v>
      </c>
      <c r="M509" s="2"/>
      <c r="N509" s="22"/>
      <c r="O509" s="22"/>
      <c r="P509" s="2"/>
    </row>
    <row r="510" spans="1:16" ht="15" customHeight="1">
      <c r="A510" s="2">
        <v>509</v>
      </c>
      <c r="B510" s="22" t="s">
        <v>41</v>
      </c>
      <c r="C510" s="22" t="s">
        <v>42</v>
      </c>
      <c r="D510" s="3">
        <v>41887</v>
      </c>
      <c r="E510" s="22" t="s">
        <v>23</v>
      </c>
      <c r="F510" s="22" t="s">
        <v>19</v>
      </c>
      <c r="G510" s="26"/>
      <c r="H510" s="22"/>
      <c r="I510" s="22"/>
      <c r="J510" s="6"/>
      <c r="K510" s="2"/>
      <c r="L510" s="6">
        <v>158.19209039548022</v>
      </c>
      <c r="M510" s="2"/>
      <c r="N510" s="22"/>
      <c r="O510" s="22"/>
      <c r="P510" s="2"/>
    </row>
    <row r="511" spans="1:16" ht="15" customHeight="1">
      <c r="A511" s="2">
        <v>510</v>
      </c>
      <c r="B511" s="22" t="s">
        <v>63</v>
      </c>
      <c r="C511" s="22" t="s">
        <v>64</v>
      </c>
      <c r="D511" s="3">
        <v>41887</v>
      </c>
      <c r="E511" s="22" t="s">
        <v>46</v>
      </c>
      <c r="F511" s="22" t="s">
        <v>19</v>
      </c>
      <c r="G511" s="26"/>
      <c r="H511" s="22"/>
      <c r="I511" s="22"/>
      <c r="J511" s="6"/>
      <c r="K511" s="2"/>
      <c r="L511" s="6">
        <v>93.023255813953483</v>
      </c>
      <c r="M511" s="2"/>
      <c r="N511" s="22"/>
      <c r="O511" s="22"/>
      <c r="P511" s="2"/>
    </row>
    <row r="512" spans="1:16" ht="15" customHeight="1">
      <c r="A512" s="2">
        <v>511</v>
      </c>
      <c r="B512" s="22" t="s">
        <v>63</v>
      </c>
      <c r="C512" s="22" t="s">
        <v>64</v>
      </c>
      <c r="D512" s="3">
        <v>41887</v>
      </c>
      <c r="E512" s="22" t="s">
        <v>133</v>
      </c>
      <c r="F512" s="22" t="s">
        <v>19</v>
      </c>
      <c r="G512" s="26"/>
      <c r="H512" s="22"/>
      <c r="I512" s="22"/>
      <c r="J512" s="6"/>
      <c r="K512" s="2"/>
      <c r="L512" s="6">
        <v>103.48837209302326</v>
      </c>
      <c r="M512" s="2"/>
      <c r="N512" s="22"/>
      <c r="O512" s="22"/>
      <c r="P512" s="2"/>
    </row>
    <row r="513" spans="1:16" ht="15" customHeight="1">
      <c r="A513" s="2">
        <v>512</v>
      </c>
      <c r="B513" s="22" t="s">
        <v>63</v>
      </c>
      <c r="C513" s="22" t="s">
        <v>64</v>
      </c>
      <c r="D513" s="3">
        <v>41887</v>
      </c>
      <c r="E513" s="22" t="s">
        <v>23</v>
      </c>
      <c r="F513" s="22" t="s">
        <v>19</v>
      </c>
      <c r="G513" s="26"/>
      <c r="H513" s="22"/>
      <c r="I513" s="22"/>
      <c r="J513" s="6"/>
      <c r="K513" s="2"/>
      <c r="L513" s="6">
        <v>209.30232558139537</v>
      </c>
      <c r="M513" s="2"/>
      <c r="N513" s="22"/>
      <c r="O513" s="22"/>
      <c r="P513" s="2"/>
    </row>
    <row r="514" spans="1:16" ht="15" customHeight="1">
      <c r="A514" s="2">
        <v>513</v>
      </c>
      <c r="B514" s="22" t="s">
        <v>47</v>
      </c>
      <c r="C514" s="22" t="s">
        <v>48</v>
      </c>
      <c r="D514" s="8">
        <v>41890</v>
      </c>
      <c r="E514" s="27" t="s">
        <v>136</v>
      </c>
      <c r="F514" s="26" t="s">
        <v>58</v>
      </c>
      <c r="G514" s="26"/>
      <c r="H514" s="27"/>
      <c r="I514" s="27"/>
      <c r="J514" s="133">
        <v>250</v>
      </c>
      <c r="K514" s="5">
        <v>8</v>
      </c>
      <c r="L514" s="6">
        <v>318.4713375796178</v>
      </c>
      <c r="M514" s="2">
        <v>102.5</v>
      </c>
      <c r="N514" s="22"/>
      <c r="O514" s="10"/>
      <c r="P514" s="2" t="s">
        <v>137</v>
      </c>
    </row>
    <row r="515" spans="1:16" ht="15" customHeight="1">
      <c r="A515" s="2">
        <v>514</v>
      </c>
      <c r="B515" s="22" t="s">
        <v>16</v>
      </c>
      <c r="C515" s="22" t="s">
        <v>17</v>
      </c>
      <c r="D515" s="8">
        <v>41890</v>
      </c>
      <c r="E515" s="27" t="s">
        <v>136</v>
      </c>
      <c r="F515" s="26" t="s">
        <v>58</v>
      </c>
      <c r="G515" s="26"/>
      <c r="H515" s="27"/>
      <c r="I515" s="27"/>
      <c r="J515" s="133">
        <v>200</v>
      </c>
      <c r="K515" s="5">
        <v>9</v>
      </c>
      <c r="L515" s="6">
        <v>263.15789473684208</v>
      </c>
      <c r="M515" s="2">
        <v>83.5</v>
      </c>
      <c r="N515" s="22"/>
      <c r="O515" s="10"/>
      <c r="P515" s="2" t="s">
        <v>138</v>
      </c>
    </row>
    <row r="516" spans="1:16" ht="15" customHeight="1">
      <c r="A516" s="2">
        <v>515</v>
      </c>
      <c r="B516" s="22" t="s">
        <v>27</v>
      </c>
      <c r="C516" s="22" t="s">
        <v>87</v>
      </c>
      <c r="D516" s="8">
        <v>41890</v>
      </c>
      <c r="E516" s="27" t="s">
        <v>136</v>
      </c>
      <c r="F516" s="26" t="s">
        <v>58</v>
      </c>
      <c r="G516" s="26"/>
      <c r="H516" s="27"/>
      <c r="I516" s="27"/>
      <c r="J516" s="133">
        <v>240</v>
      </c>
      <c r="K516" s="5">
        <v>12</v>
      </c>
      <c r="L516" s="11">
        <v>355.55555555555554</v>
      </c>
      <c r="M516" s="2">
        <v>95.2</v>
      </c>
      <c r="N516" s="22"/>
      <c r="O516" s="10"/>
      <c r="P516" s="2" t="s">
        <v>139</v>
      </c>
    </row>
    <row r="517" spans="1:16" ht="15" customHeight="1">
      <c r="A517" s="2">
        <v>516</v>
      </c>
      <c r="B517" s="22" t="s">
        <v>31</v>
      </c>
      <c r="C517" s="22" t="s">
        <v>32</v>
      </c>
      <c r="D517" s="8">
        <v>41890</v>
      </c>
      <c r="E517" s="27" t="s">
        <v>136</v>
      </c>
      <c r="F517" s="26" t="s">
        <v>58</v>
      </c>
      <c r="G517" s="26"/>
      <c r="H517" s="27"/>
      <c r="I517" s="27"/>
      <c r="J517" s="133">
        <v>200</v>
      </c>
      <c r="K517" s="5">
        <v>1</v>
      </c>
      <c r="L517" s="11">
        <v>200</v>
      </c>
      <c r="M517" s="2">
        <v>84</v>
      </c>
      <c r="N517" s="22"/>
      <c r="O517" s="10"/>
      <c r="P517" s="11" t="s">
        <v>140</v>
      </c>
    </row>
    <row r="518" spans="1:16" ht="15" customHeight="1">
      <c r="A518" s="2">
        <v>517</v>
      </c>
      <c r="B518" s="22" t="s">
        <v>141</v>
      </c>
      <c r="C518" s="22" t="s">
        <v>142</v>
      </c>
      <c r="D518" s="8">
        <v>41890</v>
      </c>
      <c r="E518" s="27" t="s">
        <v>136</v>
      </c>
      <c r="F518" s="26" t="s">
        <v>58</v>
      </c>
      <c r="G518" s="26"/>
      <c r="H518" s="27"/>
      <c r="I518" s="27"/>
      <c r="J518" s="133">
        <v>120</v>
      </c>
      <c r="K518" s="5">
        <v>10</v>
      </c>
      <c r="L518" s="6">
        <v>161.30000000000001</v>
      </c>
      <c r="M518" s="2">
        <v>68.400000000000006</v>
      </c>
      <c r="N518" s="22"/>
      <c r="O518" s="10"/>
      <c r="P518" s="11" t="s">
        <v>143</v>
      </c>
    </row>
    <row r="519" spans="1:16" ht="15" customHeight="1">
      <c r="A519" s="2">
        <v>518</v>
      </c>
      <c r="B519" s="22" t="s">
        <v>41</v>
      </c>
      <c r="C519" s="22" t="s">
        <v>94</v>
      </c>
      <c r="D519" s="8">
        <v>41890</v>
      </c>
      <c r="E519" s="27" t="s">
        <v>136</v>
      </c>
      <c r="F519" s="26" t="s">
        <v>58</v>
      </c>
      <c r="G519" s="26"/>
      <c r="H519" s="27"/>
      <c r="I519" s="27"/>
      <c r="J519" s="133">
        <v>150</v>
      </c>
      <c r="K519" s="5">
        <v>6</v>
      </c>
      <c r="L519" s="6">
        <v>179.64071856287427</v>
      </c>
      <c r="M519" s="2">
        <v>80.099999999999994</v>
      </c>
      <c r="N519" s="22"/>
      <c r="O519" s="10"/>
      <c r="P519" s="11" t="s">
        <v>144</v>
      </c>
    </row>
    <row r="520" spans="1:16" ht="15" customHeight="1">
      <c r="A520" s="2">
        <v>519</v>
      </c>
      <c r="B520" s="22" t="s">
        <v>47</v>
      </c>
      <c r="C520" s="22" t="s">
        <v>48</v>
      </c>
      <c r="D520" s="8">
        <v>41890</v>
      </c>
      <c r="E520" s="27" t="s">
        <v>145</v>
      </c>
      <c r="F520" s="26" t="s">
        <v>58</v>
      </c>
      <c r="G520" s="26"/>
      <c r="H520" s="27"/>
      <c r="I520" s="27"/>
      <c r="J520" s="133">
        <v>250</v>
      </c>
      <c r="K520" s="5">
        <v>8</v>
      </c>
      <c r="L520" s="11">
        <v>318.4713375796178</v>
      </c>
      <c r="M520" s="2">
        <v>102.5</v>
      </c>
      <c r="N520" s="22"/>
      <c r="O520" s="10"/>
      <c r="P520" s="11" t="s">
        <v>137</v>
      </c>
    </row>
    <row r="521" spans="1:16" ht="15" customHeight="1">
      <c r="A521" s="2">
        <v>520</v>
      </c>
      <c r="B521" s="22" t="s">
        <v>16</v>
      </c>
      <c r="C521" s="22" t="s">
        <v>17</v>
      </c>
      <c r="D521" s="8">
        <v>41890</v>
      </c>
      <c r="E521" s="27" t="s">
        <v>145</v>
      </c>
      <c r="F521" s="26" t="s">
        <v>58</v>
      </c>
      <c r="G521" s="26"/>
      <c r="H521" s="27"/>
      <c r="I521" s="27"/>
      <c r="J521" s="133">
        <v>200</v>
      </c>
      <c r="K521" s="5">
        <v>10</v>
      </c>
      <c r="L521" s="6">
        <v>272.108843537415</v>
      </c>
      <c r="M521" s="2">
        <v>83.5</v>
      </c>
      <c r="N521" s="22"/>
      <c r="O521" s="10"/>
      <c r="P521" s="11" t="s">
        <v>146</v>
      </c>
    </row>
    <row r="522" spans="1:16" ht="15" customHeight="1">
      <c r="A522" s="2">
        <v>521</v>
      </c>
      <c r="B522" s="22" t="s">
        <v>27</v>
      </c>
      <c r="C522" s="22" t="s">
        <v>87</v>
      </c>
      <c r="D522" s="8">
        <v>41890</v>
      </c>
      <c r="E522" s="27" t="s">
        <v>145</v>
      </c>
      <c r="F522" s="26" t="s">
        <v>58</v>
      </c>
      <c r="G522" s="26"/>
      <c r="H522" s="27"/>
      <c r="I522" s="27"/>
      <c r="J522" s="133">
        <v>240</v>
      </c>
      <c r="K522" s="5">
        <v>9</v>
      </c>
      <c r="L522" s="11">
        <v>315.78947368421052</v>
      </c>
      <c r="M522" s="2">
        <v>95.2</v>
      </c>
      <c r="N522" s="22"/>
      <c r="O522" s="10"/>
      <c r="P522" s="11" t="s">
        <v>147</v>
      </c>
    </row>
    <row r="523" spans="1:16" ht="15" customHeight="1">
      <c r="A523" s="2">
        <v>522</v>
      </c>
      <c r="B523" s="22" t="s">
        <v>31</v>
      </c>
      <c r="C523" s="22" t="s">
        <v>32</v>
      </c>
      <c r="D523" s="8">
        <v>41890</v>
      </c>
      <c r="E523" s="27" t="s">
        <v>145</v>
      </c>
      <c r="F523" s="26" t="s">
        <v>58</v>
      </c>
      <c r="G523" s="26"/>
      <c r="H523" s="27"/>
      <c r="I523" s="27"/>
      <c r="J523" s="133">
        <v>200</v>
      </c>
      <c r="K523" s="5" t="s">
        <v>148</v>
      </c>
      <c r="L523" s="6"/>
      <c r="M523" s="2">
        <v>84</v>
      </c>
      <c r="N523" s="22"/>
      <c r="O523" s="10"/>
      <c r="P523" s="11" t="s">
        <v>149</v>
      </c>
    </row>
    <row r="524" spans="1:16" ht="15" customHeight="1">
      <c r="A524" s="2">
        <v>523</v>
      </c>
      <c r="B524" s="22" t="s">
        <v>141</v>
      </c>
      <c r="C524" s="22" t="s">
        <v>142</v>
      </c>
      <c r="D524" s="8">
        <v>41890</v>
      </c>
      <c r="E524" s="27" t="s">
        <v>145</v>
      </c>
      <c r="F524" s="26" t="s">
        <v>58</v>
      </c>
      <c r="G524" s="26"/>
      <c r="H524" s="27"/>
      <c r="I524" s="27"/>
      <c r="J524" s="133">
        <v>140</v>
      </c>
      <c r="K524" s="5">
        <v>6</v>
      </c>
      <c r="L524" s="11">
        <v>168.5</v>
      </c>
      <c r="M524" s="2">
        <v>68.400000000000006</v>
      </c>
      <c r="N524" s="22"/>
      <c r="O524" s="10"/>
      <c r="P524" s="11" t="s">
        <v>150</v>
      </c>
    </row>
    <row r="525" spans="1:16" ht="15" customHeight="1">
      <c r="A525" s="2">
        <v>524</v>
      </c>
      <c r="B525" s="22" t="s">
        <v>41</v>
      </c>
      <c r="C525" s="22" t="s">
        <v>94</v>
      </c>
      <c r="D525" s="8">
        <v>41890</v>
      </c>
      <c r="E525" s="27" t="s">
        <v>145</v>
      </c>
      <c r="F525" s="26" t="s">
        <v>58</v>
      </c>
      <c r="G525" s="26"/>
      <c r="H525" s="27"/>
      <c r="I525" s="27"/>
      <c r="J525" s="133">
        <v>150</v>
      </c>
      <c r="K525" s="5">
        <v>7</v>
      </c>
      <c r="L525" s="6">
        <v>185.18518518518516</v>
      </c>
      <c r="M525" s="2">
        <v>80.099999999999994</v>
      </c>
      <c r="N525" s="22"/>
      <c r="O525" s="10"/>
      <c r="P525" s="11" t="s">
        <v>151</v>
      </c>
    </row>
    <row r="526" spans="1:16" ht="15" customHeight="1">
      <c r="A526" s="2">
        <v>525</v>
      </c>
      <c r="B526" s="22" t="s">
        <v>47</v>
      </c>
      <c r="C526" s="22" t="s">
        <v>48</v>
      </c>
      <c r="D526" s="3">
        <v>41890</v>
      </c>
      <c r="E526" s="27" t="s">
        <v>29</v>
      </c>
      <c r="F526" s="26" t="s">
        <v>58</v>
      </c>
      <c r="G526" s="26"/>
      <c r="H526" s="22" t="s">
        <v>152</v>
      </c>
      <c r="I526" s="22" t="s">
        <v>153</v>
      </c>
      <c r="J526" s="133">
        <v>220</v>
      </c>
      <c r="K526" s="5">
        <v>5</v>
      </c>
      <c r="L526" s="6">
        <v>255.81395348837211</v>
      </c>
      <c r="M526" s="2">
        <v>102.5</v>
      </c>
      <c r="N526" s="22" t="s">
        <v>30</v>
      </c>
      <c r="O526" s="7" t="s">
        <v>154</v>
      </c>
      <c r="P526" s="2" t="s">
        <v>155</v>
      </c>
    </row>
    <row r="527" spans="1:16" ht="15" customHeight="1">
      <c r="A527" s="2">
        <v>526</v>
      </c>
      <c r="B527" s="22" t="s">
        <v>16</v>
      </c>
      <c r="C527" s="22" t="s">
        <v>17</v>
      </c>
      <c r="D527" s="3">
        <v>41890</v>
      </c>
      <c r="E527" s="27" t="s">
        <v>29</v>
      </c>
      <c r="F527" s="26" t="s">
        <v>58</v>
      </c>
      <c r="G527" s="26"/>
      <c r="H527" s="22" t="s">
        <v>152</v>
      </c>
      <c r="I527" s="27" t="s">
        <v>153</v>
      </c>
      <c r="J527" s="133">
        <v>160</v>
      </c>
      <c r="K527" s="5">
        <v>6</v>
      </c>
      <c r="L527" s="6">
        <v>191.61676646706587</v>
      </c>
      <c r="M527" s="2">
        <v>83.5</v>
      </c>
      <c r="N527" s="22" t="s">
        <v>30</v>
      </c>
      <c r="O527" s="10"/>
      <c r="P527" s="2" t="s">
        <v>156</v>
      </c>
    </row>
    <row r="528" spans="1:16" ht="15" customHeight="1">
      <c r="A528" s="2">
        <v>527</v>
      </c>
      <c r="B528" s="22" t="s">
        <v>27</v>
      </c>
      <c r="C528" s="22" t="s">
        <v>87</v>
      </c>
      <c r="D528" s="3">
        <v>41890</v>
      </c>
      <c r="E528" s="27" t="s">
        <v>29</v>
      </c>
      <c r="F528" s="26" t="s">
        <v>58</v>
      </c>
      <c r="G528" s="26"/>
      <c r="H528" s="22" t="s">
        <v>152</v>
      </c>
      <c r="I528" s="22" t="s">
        <v>153</v>
      </c>
      <c r="J528" s="133">
        <v>180</v>
      </c>
      <c r="K528" s="5">
        <v>5</v>
      </c>
      <c r="L528" s="11">
        <v>209.30232558139537</v>
      </c>
      <c r="M528" s="2">
        <v>95.2</v>
      </c>
      <c r="N528" s="22" t="s">
        <v>30</v>
      </c>
      <c r="O528" s="10" t="s">
        <v>69</v>
      </c>
      <c r="P528" s="2" t="s">
        <v>157</v>
      </c>
    </row>
    <row r="529" spans="1:16" ht="15" customHeight="1">
      <c r="A529" s="2">
        <v>528</v>
      </c>
      <c r="B529" s="22" t="s">
        <v>31</v>
      </c>
      <c r="C529" s="22" t="s">
        <v>32</v>
      </c>
      <c r="D529" s="3">
        <v>41890</v>
      </c>
      <c r="E529" s="27" t="s">
        <v>29</v>
      </c>
      <c r="F529" s="26" t="s">
        <v>58</v>
      </c>
      <c r="G529" s="26"/>
      <c r="H529" s="22" t="s">
        <v>152</v>
      </c>
      <c r="I529" s="22" t="s">
        <v>153</v>
      </c>
      <c r="J529" s="133">
        <v>140</v>
      </c>
      <c r="K529" s="5">
        <v>8</v>
      </c>
      <c r="L529" s="6">
        <v>178.34394904458597</v>
      </c>
      <c r="M529" s="2">
        <v>84</v>
      </c>
      <c r="N529" s="22" t="s">
        <v>30</v>
      </c>
      <c r="O529" s="10"/>
      <c r="P529" s="2" t="s">
        <v>158</v>
      </c>
    </row>
    <row r="530" spans="1:16" ht="15" customHeight="1">
      <c r="A530" s="2">
        <v>529</v>
      </c>
      <c r="B530" s="22" t="s">
        <v>33</v>
      </c>
      <c r="C530" s="22" t="s">
        <v>34</v>
      </c>
      <c r="D530" s="3">
        <v>41890</v>
      </c>
      <c r="E530" s="27" t="s">
        <v>29</v>
      </c>
      <c r="F530" s="26" t="s">
        <v>58</v>
      </c>
      <c r="G530" s="26"/>
      <c r="H530" s="22" t="s">
        <v>152</v>
      </c>
      <c r="I530" s="27" t="s">
        <v>153</v>
      </c>
      <c r="J530" s="6"/>
      <c r="K530" s="25"/>
      <c r="L530" s="6"/>
      <c r="M530" s="2"/>
      <c r="N530" s="22" t="s">
        <v>30</v>
      </c>
      <c r="O530" s="5" t="s">
        <v>91</v>
      </c>
      <c r="P530" s="2" t="s">
        <v>92</v>
      </c>
    </row>
    <row r="531" spans="1:16" ht="15" customHeight="1">
      <c r="A531" s="2">
        <v>530</v>
      </c>
      <c r="B531" s="22" t="s">
        <v>41</v>
      </c>
      <c r="C531" s="22" t="s">
        <v>94</v>
      </c>
      <c r="D531" s="3">
        <v>41890</v>
      </c>
      <c r="E531" s="27" t="s">
        <v>29</v>
      </c>
      <c r="F531" s="26" t="s">
        <v>58</v>
      </c>
      <c r="G531" s="26"/>
      <c r="H531" s="22" t="s">
        <v>152</v>
      </c>
      <c r="I531" s="27" t="s">
        <v>153</v>
      </c>
      <c r="J531" s="133">
        <v>140</v>
      </c>
      <c r="K531" s="5">
        <v>2</v>
      </c>
      <c r="L531" s="6">
        <v>149.7326203208556</v>
      </c>
      <c r="M531" s="2">
        <v>80.099999999999994</v>
      </c>
      <c r="N531" s="22" t="s">
        <v>30</v>
      </c>
      <c r="O531" s="5" t="s">
        <v>107</v>
      </c>
      <c r="P531" s="2" t="s">
        <v>159</v>
      </c>
    </row>
    <row r="532" spans="1:16" ht="15" customHeight="1">
      <c r="A532" s="2">
        <v>531</v>
      </c>
      <c r="B532" s="22" t="s">
        <v>47</v>
      </c>
      <c r="C532" s="22" t="s">
        <v>48</v>
      </c>
      <c r="D532" s="3">
        <v>41890</v>
      </c>
      <c r="E532" s="27" t="s">
        <v>29</v>
      </c>
      <c r="F532" s="22" t="s">
        <v>19</v>
      </c>
      <c r="G532" s="26" t="s">
        <v>20</v>
      </c>
      <c r="H532" s="22"/>
      <c r="I532" s="22"/>
      <c r="J532" s="6"/>
      <c r="K532" s="2"/>
      <c r="L532" s="6">
        <v>255.81395348837211</v>
      </c>
      <c r="M532" s="2"/>
      <c r="N532" s="22" t="s">
        <v>30</v>
      </c>
      <c r="O532" s="22"/>
      <c r="P532" s="2"/>
    </row>
    <row r="533" spans="1:16" ht="15" customHeight="1">
      <c r="A533" s="2">
        <v>532</v>
      </c>
      <c r="B533" s="22" t="s">
        <v>47</v>
      </c>
      <c r="C533" s="22" t="s">
        <v>48</v>
      </c>
      <c r="D533" s="3">
        <v>41890</v>
      </c>
      <c r="E533" s="22" t="s">
        <v>62</v>
      </c>
      <c r="F533" s="22" t="s">
        <v>19</v>
      </c>
      <c r="G533" s="26"/>
      <c r="H533" s="22"/>
      <c r="I533" s="22"/>
      <c r="J533" s="6"/>
      <c r="K533" s="2"/>
      <c r="L533" s="6">
        <v>73.469387755102048</v>
      </c>
      <c r="M533" s="2"/>
      <c r="N533" s="22"/>
      <c r="O533" s="22"/>
      <c r="P533" s="2"/>
    </row>
    <row r="534" spans="1:16" ht="15" customHeight="1">
      <c r="A534" s="2">
        <v>533</v>
      </c>
      <c r="B534" s="22" t="s">
        <v>47</v>
      </c>
      <c r="C534" s="22" t="s">
        <v>48</v>
      </c>
      <c r="D534" s="3">
        <v>41890</v>
      </c>
      <c r="E534" s="22" t="s">
        <v>23</v>
      </c>
      <c r="F534" s="22" t="s">
        <v>19</v>
      </c>
      <c r="G534" s="26"/>
      <c r="H534" s="22"/>
      <c r="I534" s="22"/>
      <c r="J534" s="6"/>
      <c r="K534" s="2"/>
      <c r="L534" s="6">
        <v>318.4713375796178</v>
      </c>
      <c r="M534" s="2"/>
      <c r="N534" s="22"/>
      <c r="O534" s="22"/>
      <c r="P534" s="2"/>
    </row>
    <row r="535" spans="1:16" ht="15" customHeight="1">
      <c r="A535" s="2">
        <v>534</v>
      </c>
      <c r="B535" s="22" t="s">
        <v>16</v>
      </c>
      <c r="C535" s="22" t="s">
        <v>17</v>
      </c>
      <c r="D535" s="3">
        <v>41890</v>
      </c>
      <c r="E535" s="27" t="s">
        <v>29</v>
      </c>
      <c r="F535" s="22" t="s">
        <v>19</v>
      </c>
      <c r="G535" s="26" t="s">
        <v>20</v>
      </c>
      <c r="H535" s="22"/>
      <c r="I535" s="22"/>
      <c r="J535" s="6"/>
      <c r="K535" s="2"/>
      <c r="L535" s="6">
        <v>186.04651162790697</v>
      </c>
      <c r="M535" s="2"/>
      <c r="N535" s="22" t="s">
        <v>30</v>
      </c>
      <c r="O535" s="22"/>
      <c r="P535" s="2"/>
    </row>
    <row r="536" spans="1:16" ht="15" customHeight="1">
      <c r="A536" s="2">
        <v>535</v>
      </c>
      <c r="B536" s="22" t="s">
        <v>16</v>
      </c>
      <c r="C536" s="22" t="s">
        <v>17</v>
      </c>
      <c r="D536" s="3">
        <v>41890</v>
      </c>
      <c r="E536" s="22" t="s">
        <v>62</v>
      </c>
      <c r="F536" s="22" t="s">
        <v>19</v>
      </c>
      <c r="G536" s="26"/>
      <c r="H536" s="22"/>
      <c r="I536" s="22"/>
      <c r="J536" s="6"/>
      <c r="K536" s="2"/>
      <c r="L536" s="6">
        <v>63.945578231292515</v>
      </c>
      <c r="M536" s="2"/>
      <c r="N536" s="22"/>
      <c r="O536" s="22"/>
      <c r="P536" s="2"/>
    </row>
    <row r="537" spans="1:16" ht="15" customHeight="1">
      <c r="A537" s="2">
        <v>536</v>
      </c>
      <c r="B537" s="22" t="s">
        <v>16</v>
      </c>
      <c r="C537" s="22" t="s">
        <v>17</v>
      </c>
      <c r="D537" s="3">
        <v>41890</v>
      </c>
      <c r="E537" s="22" t="s">
        <v>23</v>
      </c>
      <c r="F537" s="22" t="s">
        <v>19</v>
      </c>
      <c r="G537" s="26"/>
      <c r="H537" s="22"/>
      <c r="I537" s="22"/>
      <c r="J537" s="6"/>
      <c r="K537" s="2"/>
      <c r="L537" s="6">
        <v>263.15789473684208</v>
      </c>
      <c r="M537" s="2"/>
      <c r="N537" s="22"/>
      <c r="O537" s="22"/>
      <c r="P537" s="2"/>
    </row>
    <row r="538" spans="1:16" ht="15" customHeight="1">
      <c r="A538" s="2">
        <v>537</v>
      </c>
      <c r="B538" s="22" t="s">
        <v>38</v>
      </c>
      <c r="C538" s="22" t="s">
        <v>39</v>
      </c>
      <c r="D538" s="3">
        <v>41890</v>
      </c>
      <c r="E538" s="27" t="s">
        <v>29</v>
      </c>
      <c r="F538" s="22" t="s">
        <v>19</v>
      </c>
      <c r="G538" s="26" t="s">
        <v>54</v>
      </c>
      <c r="H538" s="22"/>
      <c r="I538" s="22"/>
      <c r="J538" s="6"/>
      <c r="K538" s="2"/>
      <c r="L538" s="6">
        <v>158.19209039548022</v>
      </c>
      <c r="M538" s="2"/>
      <c r="N538" s="22" t="s">
        <v>52</v>
      </c>
      <c r="O538" s="22"/>
      <c r="P538" s="2"/>
    </row>
    <row r="539" spans="1:16" ht="15" customHeight="1">
      <c r="A539" s="2">
        <v>538</v>
      </c>
      <c r="B539" s="22" t="s">
        <v>27</v>
      </c>
      <c r="C539" s="22" t="s">
        <v>28</v>
      </c>
      <c r="D539" s="3">
        <v>41890</v>
      </c>
      <c r="E539" s="22" t="s">
        <v>18</v>
      </c>
      <c r="F539" s="22" t="s">
        <v>19</v>
      </c>
      <c r="G539" s="26" t="s">
        <v>54</v>
      </c>
      <c r="H539" s="22"/>
      <c r="I539" s="22"/>
      <c r="J539" s="6"/>
      <c r="K539" s="2"/>
      <c r="L539" s="6">
        <v>209.30232558139537</v>
      </c>
      <c r="M539" s="2"/>
      <c r="N539" s="22" t="s">
        <v>74</v>
      </c>
      <c r="O539" s="22"/>
      <c r="P539" s="2"/>
    </row>
    <row r="540" spans="1:16" ht="15" customHeight="1">
      <c r="A540" s="2">
        <v>539</v>
      </c>
      <c r="B540" s="22" t="s">
        <v>27</v>
      </c>
      <c r="C540" s="22" t="s">
        <v>28</v>
      </c>
      <c r="D540" s="3">
        <v>41890</v>
      </c>
      <c r="E540" s="22" t="s">
        <v>62</v>
      </c>
      <c r="F540" s="22" t="s">
        <v>19</v>
      </c>
      <c r="G540" s="26"/>
      <c r="H540" s="22"/>
      <c r="I540" s="22"/>
      <c r="J540" s="6"/>
      <c r="K540" s="2"/>
      <c r="L540" s="6">
        <v>73.469387755102048</v>
      </c>
      <c r="M540" s="2"/>
      <c r="N540" s="22"/>
      <c r="O540" s="22"/>
      <c r="P540" s="2"/>
    </row>
    <row r="541" spans="1:16" ht="15" customHeight="1">
      <c r="A541" s="2">
        <v>540</v>
      </c>
      <c r="B541" s="22" t="s">
        <v>27</v>
      </c>
      <c r="C541" s="22" t="s">
        <v>28</v>
      </c>
      <c r="D541" s="3">
        <v>41890</v>
      </c>
      <c r="E541" s="22" t="s">
        <v>23</v>
      </c>
      <c r="F541" s="22" t="s">
        <v>19</v>
      </c>
      <c r="G541" s="26"/>
      <c r="H541" s="22"/>
      <c r="I541" s="22"/>
      <c r="J541" s="6"/>
      <c r="K541" s="2"/>
      <c r="L541" s="6">
        <v>355.55555555555554</v>
      </c>
      <c r="M541" s="2"/>
      <c r="N541" s="22"/>
      <c r="O541" s="22"/>
      <c r="P541" s="2"/>
    </row>
    <row r="542" spans="1:16" ht="15" customHeight="1">
      <c r="A542" s="2">
        <v>541</v>
      </c>
      <c r="B542" s="22" t="s">
        <v>31</v>
      </c>
      <c r="C542" s="22" t="s">
        <v>32</v>
      </c>
      <c r="D542" s="3">
        <v>41890</v>
      </c>
      <c r="E542" s="22" t="s">
        <v>23</v>
      </c>
      <c r="F542" s="22" t="s">
        <v>19</v>
      </c>
      <c r="G542" s="26"/>
      <c r="H542" s="22"/>
      <c r="I542" s="22"/>
      <c r="J542" s="6">
        <v>200</v>
      </c>
      <c r="K542" s="2">
        <v>1</v>
      </c>
      <c r="L542" s="6">
        <v>200</v>
      </c>
      <c r="M542" s="2"/>
      <c r="N542" s="22"/>
      <c r="O542" s="22"/>
      <c r="P542" s="2"/>
    </row>
    <row r="543" spans="1:16" ht="15" customHeight="1">
      <c r="A543" s="2">
        <v>542</v>
      </c>
      <c r="B543" s="22" t="s">
        <v>31</v>
      </c>
      <c r="C543" s="22" t="s">
        <v>32</v>
      </c>
      <c r="D543" s="3">
        <v>41890</v>
      </c>
      <c r="E543" s="27" t="s">
        <v>29</v>
      </c>
      <c r="F543" s="22" t="s">
        <v>19</v>
      </c>
      <c r="G543" s="26" t="s">
        <v>20</v>
      </c>
      <c r="H543" s="22"/>
      <c r="I543" s="22"/>
      <c r="J543" s="6"/>
      <c r="K543" s="2"/>
      <c r="L543" s="6">
        <v>178.34394904458597</v>
      </c>
      <c r="M543" s="2"/>
      <c r="N543" s="22" t="s">
        <v>30</v>
      </c>
      <c r="O543" s="22"/>
      <c r="P543" s="2"/>
    </row>
    <row r="544" spans="1:16" ht="15" customHeight="1">
      <c r="A544" s="2">
        <v>543</v>
      </c>
      <c r="B544" s="22" t="s">
        <v>41</v>
      </c>
      <c r="C544" s="22" t="s">
        <v>42</v>
      </c>
      <c r="D544" s="3">
        <v>41890</v>
      </c>
      <c r="E544" s="27" t="s">
        <v>29</v>
      </c>
      <c r="F544" s="22" t="s">
        <v>19</v>
      </c>
      <c r="G544" s="26" t="s">
        <v>20</v>
      </c>
      <c r="H544" s="22"/>
      <c r="I544" s="22"/>
      <c r="J544" s="6"/>
      <c r="K544" s="2"/>
      <c r="L544" s="6">
        <v>149.7326203208556</v>
      </c>
      <c r="M544" s="2"/>
      <c r="N544" s="22" t="s">
        <v>107</v>
      </c>
      <c r="O544" s="22" t="s">
        <v>130</v>
      </c>
      <c r="P544" s="2"/>
    </row>
    <row r="545" spans="1:16" ht="15" customHeight="1">
      <c r="A545" s="2">
        <v>544</v>
      </c>
      <c r="B545" s="22" t="s">
        <v>41</v>
      </c>
      <c r="C545" s="22" t="s">
        <v>42</v>
      </c>
      <c r="D545" s="3">
        <v>41890</v>
      </c>
      <c r="E545" s="22" t="s">
        <v>43</v>
      </c>
      <c r="F545" s="22" t="s">
        <v>19</v>
      </c>
      <c r="G545" s="26"/>
      <c r="H545" s="22"/>
      <c r="I545" s="22"/>
      <c r="J545" s="6"/>
      <c r="K545" s="2"/>
      <c r="L545" s="6">
        <v>131.86813186813185</v>
      </c>
      <c r="M545" s="2"/>
      <c r="N545" s="22" t="s">
        <v>128</v>
      </c>
      <c r="O545" s="22"/>
      <c r="P545" s="2"/>
    </row>
    <row r="546" spans="1:16" ht="15" customHeight="1">
      <c r="A546" s="2">
        <v>545</v>
      </c>
      <c r="B546" s="22" t="s">
        <v>41</v>
      </c>
      <c r="C546" s="22" t="s">
        <v>42</v>
      </c>
      <c r="D546" s="3">
        <v>41890</v>
      </c>
      <c r="E546" s="22" t="s">
        <v>23</v>
      </c>
      <c r="F546" s="22" t="s">
        <v>19</v>
      </c>
      <c r="G546" s="26"/>
      <c r="H546" s="22"/>
      <c r="I546" s="22"/>
      <c r="J546" s="6"/>
      <c r="K546" s="2"/>
      <c r="L546" s="6">
        <v>179.64071856287427</v>
      </c>
      <c r="M546" s="2"/>
      <c r="N546" s="22"/>
      <c r="O546" s="22"/>
      <c r="P546" s="2"/>
    </row>
    <row r="547" spans="1:16" ht="15" customHeight="1">
      <c r="A547" s="2">
        <v>546</v>
      </c>
      <c r="B547" s="22" t="s">
        <v>63</v>
      </c>
      <c r="C547" s="22" t="s">
        <v>64</v>
      </c>
      <c r="D547" s="3">
        <v>41890</v>
      </c>
      <c r="E547" s="27" t="s">
        <v>29</v>
      </c>
      <c r="F547" s="22" t="s">
        <v>19</v>
      </c>
      <c r="G547" s="26" t="s">
        <v>54</v>
      </c>
      <c r="H547" s="22"/>
      <c r="I547" s="22"/>
      <c r="J547" s="6"/>
      <c r="K547" s="2"/>
      <c r="L547" s="6">
        <v>158.19209039548022</v>
      </c>
      <c r="M547" s="2"/>
      <c r="N547" s="22" t="s">
        <v>30</v>
      </c>
      <c r="O547" s="22"/>
      <c r="P547" s="2"/>
    </row>
    <row r="548" spans="1:16" ht="15" customHeight="1">
      <c r="A548" s="2">
        <v>547</v>
      </c>
      <c r="B548" s="22" t="s">
        <v>47</v>
      </c>
      <c r="C548" s="22" t="s">
        <v>48</v>
      </c>
      <c r="D548" s="3">
        <v>41892</v>
      </c>
      <c r="E548" s="22" t="s">
        <v>43</v>
      </c>
      <c r="F548" s="22" t="s">
        <v>19</v>
      </c>
      <c r="G548" s="26"/>
      <c r="H548" s="22"/>
      <c r="I548" s="22"/>
      <c r="J548" s="6"/>
      <c r="K548" s="2"/>
      <c r="L548" s="6">
        <v>164.83516483516482</v>
      </c>
      <c r="M548" s="2"/>
      <c r="N548" s="22" t="s">
        <v>128</v>
      </c>
      <c r="O548" s="22"/>
      <c r="P548" s="2"/>
    </row>
    <row r="549" spans="1:16" ht="15" customHeight="1">
      <c r="A549" s="2">
        <v>548</v>
      </c>
      <c r="B549" s="22" t="s">
        <v>16</v>
      </c>
      <c r="C549" s="22" t="s">
        <v>17</v>
      </c>
      <c r="D549" s="3">
        <v>41892</v>
      </c>
      <c r="E549" s="22" t="s">
        <v>43</v>
      </c>
      <c r="F549" s="22" t="s">
        <v>19</v>
      </c>
      <c r="G549" s="26"/>
      <c r="H549" s="22"/>
      <c r="I549" s="22"/>
      <c r="J549" s="6"/>
      <c r="K549" s="2"/>
      <c r="L549" s="6">
        <v>174.41860465116278</v>
      </c>
      <c r="M549" s="2"/>
      <c r="N549" s="22" t="s">
        <v>128</v>
      </c>
      <c r="O549" s="22"/>
      <c r="P549" s="2"/>
    </row>
    <row r="550" spans="1:16" ht="15" customHeight="1">
      <c r="A550" s="2">
        <v>549</v>
      </c>
      <c r="B550" s="22" t="s">
        <v>16</v>
      </c>
      <c r="C550" s="22" t="s">
        <v>17</v>
      </c>
      <c r="D550" s="3">
        <v>41892</v>
      </c>
      <c r="E550" s="22" t="s">
        <v>23</v>
      </c>
      <c r="F550" s="22" t="s">
        <v>19</v>
      </c>
      <c r="G550" s="26"/>
      <c r="H550" s="22"/>
      <c r="I550" s="22"/>
      <c r="J550" s="6"/>
      <c r="K550" s="2"/>
      <c r="L550" s="6">
        <v>272.108843537415</v>
      </c>
      <c r="M550" s="2"/>
      <c r="N550" s="22"/>
      <c r="O550" s="22"/>
      <c r="P550" s="2"/>
    </row>
    <row r="551" spans="1:16" ht="15" customHeight="1">
      <c r="A551" s="2">
        <v>550</v>
      </c>
      <c r="B551" s="22" t="s">
        <v>38</v>
      </c>
      <c r="C551" s="22" t="s">
        <v>39</v>
      </c>
      <c r="D551" s="3">
        <v>41892</v>
      </c>
      <c r="E551" s="22" t="s">
        <v>43</v>
      </c>
      <c r="F551" s="22" t="s">
        <v>19</v>
      </c>
      <c r="G551" s="26"/>
      <c r="H551" s="22"/>
      <c r="I551" s="22"/>
      <c r="J551" s="6"/>
      <c r="K551" s="2"/>
      <c r="L551" s="6">
        <v>142.85714285714286</v>
      </c>
      <c r="M551" s="2"/>
      <c r="N551" s="22" t="s">
        <v>128</v>
      </c>
      <c r="O551" s="22"/>
      <c r="P551" s="2"/>
    </row>
    <row r="552" spans="1:16" ht="15" customHeight="1">
      <c r="A552" s="2">
        <v>551</v>
      </c>
      <c r="B552" s="22" t="s">
        <v>27</v>
      </c>
      <c r="C552" s="22" t="s">
        <v>28</v>
      </c>
      <c r="D552" s="3">
        <v>41892</v>
      </c>
      <c r="E552" s="22" t="s">
        <v>43</v>
      </c>
      <c r="F552" s="22" t="s">
        <v>19</v>
      </c>
      <c r="G552" s="26"/>
      <c r="H552" s="22"/>
      <c r="I552" s="22"/>
      <c r="J552" s="6"/>
      <c r="K552" s="2"/>
      <c r="L552" s="6">
        <v>232.55813953488374</v>
      </c>
      <c r="M552" s="2"/>
      <c r="N552" s="22" t="s">
        <v>128</v>
      </c>
      <c r="O552" s="22"/>
      <c r="P552" s="2"/>
    </row>
    <row r="553" spans="1:16" ht="15" customHeight="1">
      <c r="A553" s="2">
        <v>552</v>
      </c>
      <c r="B553" s="22" t="s">
        <v>27</v>
      </c>
      <c r="C553" s="22" t="s">
        <v>28</v>
      </c>
      <c r="D553" s="3">
        <v>41892</v>
      </c>
      <c r="E553" s="22" t="s">
        <v>23</v>
      </c>
      <c r="F553" s="22" t="s">
        <v>19</v>
      </c>
      <c r="G553" s="26"/>
      <c r="H553" s="22"/>
      <c r="I553" s="22"/>
      <c r="J553" s="6"/>
      <c r="K553" s="2"/>
      <c r="L553" s="6">
        <v>315.78947368421052</v>
      </c>
      <c r="M553" s="2"/>
      <c r="N553" s="22"/>
      <c r="O553" s="22"/>
      <c r="P553" s="2"/>
    </row>
    <row r="554" spans="1:16" ht="15" customHeight="1">
      <c r="A554" s="2">
        <v>553</v>
      </c>
      <c r="B554" s="22" t="s">
        <v>41</v>
      </c>
      <c r="C554" s="22" t="s">
        <v>42</v>
      </c>
      <c r="D554" s="3">
        <v>41892</v>
      </c>
      <c r="E554" s="22" t="s">
        <v>23</v>
      </c>
      <c r="F554" s="22" t="s">
        <v>19</v>
      </c>
      <c r="G554" s="26"/>
      <c r="H554" s="22"/>
      <c r="I554" s="22"/>
      <c r="J554" s="6"/>
      <c r="K554" s="2"/>
      <c r="L554" s="6">
        <v>185.18518518518516</v>
      </c>
      <c r="M554" s="2"/>
      <c r="N554" s="22"/>
      <c r="O554" s="22"/>
      <c r="P554" s="2"/>
    </row>
    <row r="555" spans="1:16" ht="15" customHeight="1">
      <c r="A555" s="2">
        <v>554</v>
      </c>
      <c r="B555" s="22" t="s">
        <v>63</v>
      </c>
      <c r="C555" s="22" t="s">
        <v>64</v>
      </c>
      <c r="D555" s="3">
        <v>41892</v>
      </c>
      <c r="E555" s="22" t="s">
        <v>43</v>
      </c>
      <c r="F555" s="22" t="s">
        <v>19</v>
      </c>
      <c r="G555" s="26"/>
      <c r="H555" s="22"/>
      <c r="I555" s="22"/>
      <c r="J555" s="6"/>
      <c r="K555" s="2"/>
      <c r="L555" s="6">
        <v>139.53488372093022</v>
      </c>
      <c r="M555" s="2"/>
      <c r="N555" s="22" t="s">
        <v>128</v>
      </c>
      <c r="O555" s="22"/>
      <c r="P555" s="2"/>
    </row>
    <row r="556" spans="1:16" ht="15" customHeight="1">
      <c r="A556" s="2">
        <v>555</v>
      </c>
      <c r="B556" s="22" t="s">
        <v>47</v>
      </c>
      <c r="C556" s="22" t="s">
        <v>48</v>
      </c>
      <c r="D556" s="3">
        <v>41894</v>
      </c>
      <c r="E556" s="27" t="s">
        <v>29</v>
      </c>
      <c r="F556" s="22" t="s">
        <v>19</v>
      </c>
      <c r="G556" s="26" t="s">
        <v>20</v>
      </c>
      <c r="H556" s="22"/>
      <c r="I556" s="22"/>
      <c r="J556" s="6"/>
      <c r="K556" s="2"/>
      <c r="L556" s="6">
        <v>200</v>
      </c>
      <c r="M556" s="2"/>
      <c r="N556" s="22" t="s">
        <v>30</v>
      </c>
      <c r="O556" s="22" t="s">
        <v>55</v>
      </c>
      <c r="P556" s="2"/>
    </row>
    <row r="557" spans="1:16" ht="15" customHeight="1">
      <c r="A557" s="2">
        <v>556</v>
      </c>
      <c r="B557" s="22" t="s">
        <v>47</v>
      </c>
      <c r="C557" s="22" t="s">
        <v>48</v>
      </c>
      <c r="D557" s="3">
        <v>41894</v>
      </c>
      <c r="E557" s="22" t="s">
        <v>26</v>
      </c>
      <c r="F557" s="22" t="s">
        <v>19</v>
      </c>
      <c r="G557" s="26"/>
      <c r="H557" s="22"/>
      <c r="I557" s="22"/>
      <c r="J557" s="6"/>
      <c r="K557" s="2"/>
      <c r="L557" s="6">
        <v>131.86813186813185</v>
      </c>
      <c r="M557" s="2"/>
      <c r="N557" s="22"/>
      <c r="O557" s="22"/>
      <c r="P557" s="2"/>
    </row>
    <row r="558" spans="1:16" ht="15" customHeight="1">
      <c r="A558" s="2">
        <v>557</v>
      </c>
      <c r="B558" s="22" t="s">
        <v>47</v>
      </c>
      <c r="C558" s="22" t="s">
        <v>48</v>
      </c>
      <c r="D558" s="3">
        <v>41894</v>
      </c>
      <c r="E558" s="22" t="s">
        <v>133</v>
      </c>
      <c r="F558" s="22" t="s">
        <v>19</v>
      </c>
      <c r="G558" s="26"/>
      <c r="H558" s="22"/>
      <c r="I558" s="22"/>
      <c r="J558" s="6"/>
      <c r="K558" s="2"/>
      <c r="L558" s="6">
        <v>170.37037037037035</v>
      </c>
      <c r="M558" s="2"/>
      <c r="N558" s="22"/>
      <c r="O558" s="22"/>
      <c r="P558" s="2"/>
    </row>
    <row r="559" spans="1:16" ht="15" customHeight="1">
      <c r="A559" s="2">
        <v>558</v>
      </c>
      <c r="B559" s="22" t="s">
        <v>16</v>
      </c>
      <c r="C559" s="22" t="s">
        <v>17</v>
      </c>
      <c r="D559" s="3">
        <v>41894</v>
      </c>
      <c r="E559" s="27" t="s">
        <v>29</v>
      </c>
      <c r="F559" s="22" t="s">
        <v>19</v>
      </c>
      <c r="G559" s="26" t="s">
        <v>54</v>
      </c>
      <c r="H559" s="22"/>
      <c r="I559" s="22"/>
      <c r="J559" s="6"/>
      <c r="K559" s="2"/>
      <c r="L559" s="6">
        <v>150</v>
      </c>
      <c r="M559" s="2"/>
      <c r="N559" s="22" t="s">
        <v>30</v>
      </c>
      <c r="O559" s="22" t="s">
        <v>55</v>
      </c>
      <c r="P559" s="2"/>
    </row>
    <row r="560" spans="1:16" ht="15" customHeight="1">
      <c r="A560" s="2">
        <v>559</v>
      </c>
      <c r="B560" s="22" t="s">
        <v>16</v>
      </c>
      <c r="C560" s="22" t="s">
        <v>17</v>
      </c>
      <c r="D560" s="3">
        <v>41894</v>
      </c>
      <c r="E560" s="22" t="s">
        <v>26</v>
      </c>
      <c r="F560" s="22" t="s">
        <v>19</v>
      </c>
      <c r="G560" s="26"/>
      <c r="H560" s="22"/>
      <c r="I560" s="22"/>
      <c r="J560" s="6"/>
      <c r="K560" s="2"/>
      <c r="L560" s="6">
        <v>100</v>
      </c>
      <c r="M560" s="2"/>
      <c r="N560" s="22"/>
      <c r="O560" s="22"/>
      <c r="P560" s="2"/>
    </row>
    <row r="561" spans="1:16" ht="15" customHeight="1">
      <c r="A561" s="2">
        <v>560</v>
      </c>
      <c r="B561" s="22" t="s">
        <v>16</v>
      </c>
      <c r="C561" s="22" t="s">
        <v>17</v>
      </c>
      <c r="D561" s="3">
        <v>41894</v>
      </c>
      <c r="E561" s="22" t="s">
        <v>133</v>
      </c>
      <c r="F561" s="22" t="s">
        <v>19</v>
      </c>
      <c r="G561" s="26"/>
      <c r="H561" s="22"/>
      <c r="I561" s="22"/>
      <c r="J561" s="6"/>
      <c r="K561" s="2"/>
      <c r="L561" s="6">
        <v>149.65986394557822</v>
      </c>
      <c r="M561" s="2"/>
      <c r="N561" s="22"/>
      <c r="O561" s="22"/>
      <c r="P561" s="2"/>
    </row>
    <row r="562" spans="1:16" ht="15" customHeight="1">
      <c r="A562" s="2">
        <v>561</v>
      </c>
      <c r="B562" s="22" t="s">
        <v>38</v>
      </c>
      <c r="C562" s="22" t="s">
        <v>39</v>
      </c>
      <c r="D562" s="3">
        <v>41894</v>
      </c>
      <c r="E562" s="22" t="s">
        <v>46</v>
      </c>
      <c r="F562" s="22" t="s">
        <v>19</v>
      </c>
      <c r="G562" s="26"/>
      <c r="H562" s="22"/>
      <c r="I562" s="22"/>
      <c r="J562" s="6"/>
      <c r="K562" s="2"/>
      <c r="L562" s="6">
        <v>84.745762711864401</v>
      </c>
      <c r="M562" s="2"/>
      <c r="N562" s="22"/>
      <c r="O562" s="22"/>
      <c r="P562" s="2"/>
    </row>
    <row r="563" spans="1:16" ht="15" customHeight="1">
      <c r="A563" s="2">
        <v>562</v>
      </c>
      <c r="B563" s="22" t="s">
        <v>38</v>
      </c>
      <c r="C563" s="22" t="s">
        <v>39</v>
      </c>
      <c r="D563" s="3">
        <v>41894</v>
      </c>
      <c r="E563" s="22" t="s">
        <v>133</v>
      </c>
      <c r="F563" s="22" t="s">
        <v>19</v>
      </c>
      <c r="G563" s="26"/>
      <c r="H563" s="22"/>
      <c r="I563" s="22"/>
      <c r="J563" s="6"/>
      <c r="K563" s="2"/>
      <c r="L563" s="6">
        <v>136.04651162790697</v>
      </c>
      <c r="M563" s="2"/>
      <c r="N563" s="22"/>
      <c r="O563" s="22"/>
      <c r="P563" s="2"/>
    </row>
    <row r="564" spans="1:16" ht="15" customHeight="1">
      <c r="A564" s="2">
        <v>563</v>
      </c>
      <c r="B564" s="22" t="s">
        <v>38</v>
      </c>
      <c r="C564" s="22" t="s">
        <v>39</v>
      </c>
      <c r="D564" s="3">
        <v>41894</v>
      </c>
      <c r="E564" s="22" t="s">
        <v>23</v>
      </c>
      <c r="F564" s="22" t="s">
        <v>19</v>
      </c>
      <c r="G564" s="26"/>
      <c r="H564" s="22"/>
      <c r="I564" s="22"/>
      <c r="J564" s="6"/>
      <c r="K564" s="2"/>
      <c r="L564" s="6">
        <v>186.04651162790697</v>
      </c>
      <c r="M564" s="2"/>
      <c r="N564" s="22"/>
      <c r="O564" s="22"/>
      <c r="P564" s="2"/>
    </row>
    <row r="565" spans="1:16" ht="15" customHeight="1">
      <c r="A565" s="2">
        <v>564</v>
      </c>
      <c r="B565" s="22" t="s">
        <v>27</v>
      </c>
      <c r="C565" s="22" t="s">
        <v>28</v>
      </c>
      <c r="D565" s="3">
        <v>41894</v>
      </c>
      <c r="E565" s="22" t="s">
        <v>18</v>
      </c>
      <c r="F565" s="22" t="s">
        <v>19</v>
      </c>
      <c r="G565" s="26"/>
      <c r="H565" s="22"/>
      <c r="I565" s="22"/>
      <c r="J565" s="6"/>
      <c r="K565" s="2"/>
      <c r="L565" s="6">
        <v>110</v>
      </c>
      <c r="M565" s="2"/>
      <c r="N565" s="22" t="s">
        <v>69</v>
      </c>
      <c r="O565" s="22" t="s">
        <v>130</v>
      </c>
      <c r="P565" s="2"/>
    </row>
    <row r="566" spans="1:16" ht="15" customHeight="1">
      <c r="A566" s="2">
        <v>565</v>
      </c>
      <c r="B566" s="22" t="s">
        <v>27</v>
      </c>
      <c r="C566" s="22" t="s">
        <v>28</v>
      </c>
      <c r="D566" s="3">
        <v>41894</v>
      </c>
      <c r="E566" s="22" t="s">
        <v>26</v>
      </c>
      <c r="F566" s="22" t="s">
        <v>19</v>
      </c>
      <c r="G566" s="26"/>
      <c r="H566" s="22"/>
      <c r="I566" s="22"/>
      <c r="J566" s="6"/>
      <c r="K566" s="2"/>
      <c r="L566" s="6">
        <v>130</v>
      </c>
      <c r="M566" s="2"/>
      <c r="N566" s="22"/>
      <c r="O566" s="22"/>
      <c r="P566" s="2"/>
    </row>
    <row r="567" spans="1:16" ht="15" customHeight="1">
      <c r="A567" s="2">
        <v>566</v>
      </c>
      <c r="B567" s="22" t="s">
        <v>27</v>
      </c>
      <c r="C567" s="22" t="s">
        <v>28</v>
      </c>
      <c r="D567" s="3">
        <v>41894</v>
      </c>
      <c r="E567" s="22" t="s">
        <v>133</v>
      </c>
      <c r="F567" s="22" t="s">
        <v>19</v>
      </c>
      <c r="G567" s="26"/>
      <c r="H567" s="22"/>
      <c r="I567" s="22"/>
      <c r="J567" s="6"/>
      <c r="K567" s="2"/>
      <c r="L567" s="6">
        <v>127.90697674418605</v>
      </c>
      <c r="M567" s="2"/>
      <c r="N567" s="22"/>
      <c r="O567" s="22"/>
      <c r="P567" s="2"/>
    </row>
    <row r="568" spans="1:16" ht="15" customHeight="1">
      <c r="A568" s="2">
        <v>567</v>
      </c>
      <c r="B568" s="22" t="s">
        <v>31</v>
      </c>
      <c r="C568" s="22" t="s">
        <v>32</v>
      </c>
      <c r="D568" s="3">
        <v>41894</v>
      </c>
      <c r="E568" s="27" t="s">
        <v>29</v>
      </c>
      <c r="F568" s="22" t="s">
        <v>19</v>
      </c>
      <c r="G568" s="26" t="s">
        <v>20</v>
      </c>
      <c r="H568" s="22"/>
      <c r="I568" s="22"/>
      <c r="J568" s="6"/>
      <c r="K568" s="2"/>
      <c r="L568" s="6">
        <v>140</v>
      </c>
      <c r="M568" s="2"/>
      <c r="N568" s="22" t="s">
        <v>30</v>
      </c>
      <c r="O568" s="22" t="s">
        <v>56</v>
      </c>
      <c r="P568" s="2"/>
    </row>
    <row r="569" spans="1:16" ht="15" customHeight="1">
      <c r="A569" s="2">
        <v>568</v>
      </c>
      <c r="B569" s="22" t="s">
        <v>31</v>
      </c>
      <c r="C569" s="22" t="s">
        <v>32</v>
      </c>
      <c r="D569" s="3">
        <v>41894</v>
      </c>
      <c r="E569" s="22" t="s">
        <v>26</v>
      </c>
      <c r="F569" s="22" t="s">
        <v>19</v>
      </c>
      <c r="G569" s="26"/>
      <c r="H569" s="22"/>
      <c r="I569" s="22"/>
      <c r="J569" s="6"/>
      <c r="K569" s="2"/>
      <c r="L569" s="6">
        <v>100</v>
      </c>
      <c r="M569" s="2"/>
      <c r="N569" s="22"/>
      <c r="O569" s="22"/>
      <c r="P569" s="2"/>
    </row>
    <row r="570" spans="1:16" ht="15" customHeight="1">
      <c r="A570" s="2">
        <v>569</v>
      </c>
      <c r="B570" s="22" t="s">
        <v>31</v>
      </c>
      <c r="C570" s="22" t="s">
        <v>32</v>
      </c>
      <c r="D570" s="3">
        <v>41894</v>
      </c>
      <c r="E570" s="22" t="s">
        <v>133</v>
      </c>
      <c r="F570" s="22" t="s">
        <v>19</v>
      </c>
      <c r="G570" s="26"/>
      <c r="H570" s="22"/>
      <c r="I570" s="22"/>
      <c r="J570" s="6"/>
      <c r="K570" s="2"/>
      <c r="L570" s="6">
        <v>124.29378531073446</v>
      </c>
      <c r="M570" s="2"/>
      <c r="N570" s="22"/>
      <c r="O570" s="22"/>
      <c r="P570" s="2"/>
    </row>
    <row r="571" spans="1:16" ht="15" customHeight="1">
      <c r="A571" s="2">
        <v>570</v>
      </c>
      <c r="B571" s="22" t="s">
        <v>41</v>
      </c>
      <c r="C571" s="22" t="s">
        <v>42</v>
      </c>
      <c r="D571" s="3">
        <v>41894</v>
      </c>
      <c r="E571" s="27" t="s">
        <v>29</v>
      </c>
      <c r="F571" s="22" t="s">
        <v>19</v>
      </c>
      <c r="G571" s="26"/>
      <c r="H571" s="22"/>
      <c r="I571" s="22"/>
      <c r="J571" s="6"/>
      <c r="K571" s="2"/>
      <c r="L571" s="6">
        <v>135</v>
      </c>
      <c r="M571" s="2"/>
      <c r="N571" s="22" t="s">
        <v>107</v>
      </c>
      <c r="O571" s="22" t="s">
        <v>130</v>
      </c>
      <c r="P571" s="2"/>
    </row>
    <row r="572" spans="1:16" ht="15" customHeight="1">
      <c r="A572" s="2">
        <v>571</v>
      </c>
      <c r="B572" s="22" t="s">
        <v>41</v>
      </c>
      <c r="C572" s="22" t="s">
        <v>42</v>
      </c>
      <c r="D572" s="3">
        <v>41894</v>
      </c>
      <c r="E572" s="22" t="s">
        <v>26</v>
      </c>
      <c r="F572" s="22" t="s">
        <v>19</v>
      </c>
      <c r="G572" s="26"/>
      <c r="H572" s="22"/>
      <c r="I572" s="22"/>
      <c r="J572" s="6"/>
      <c r="K572" s="2"/>
      <c r="L572" s="6">
        <v>75</v>
      </c>
      <c r="M572" s="2"/>
      <c r="N572" s="22"/>
      <c r="O572" s="22"/>
      <c r="P572" s="2"/>
    </row>
    <row r="573" spans="1:16" ht="15" customHeight="1">
      <c r="A573" s="2">
        <v>572</v>
      </c>
      <c r="B573" s="22" t="s">
        <v>41</v>
      </c>
      <c r="C573" s="22" t="s">
        <v>42</v>
      </c>
      <c r="D573" s="3">
        <v>41894</v>
      </c>
      <c r="E573" s="22" t="s">
        <v>133</v>
      </c>
      <c r="F573" s="22" t="s">
        <v>19</v>
      </c>
      <c r="G573" s="26"/>
      <c r="H573" s="22"/>
      <c r="I573" s="22"/>
      <c r="J573" s="6"/>
      <c r="K573" s="2"/>
      <c r="L573" s="6">
        <v>86.624203821656053</v>
      </c>
      <c r="M573" s="2"/>
      <c r="N573" s="22"/>
      <c r="O573" s="22"/>
      <c r="P573" s="2"/>
    </row>
    <row r="574" spans="1:16" ht="15" customHeight="1">
      <c r="A574" s="2">
        <v>573</v>
      </c>
      <c r="B574" s="22" t="s">
        <v>63</v>
      </c>
      <c r="C574" s="22" t="s">
        <v>64</v>
      </c>
      <c r="D574" s="3">
        <v>41894</v>
      </c>
      <c r="E574" s="22" t="s">
        <v>133</v>
      </c>
      <c r="F574" s="22" t="s">
        <v>19</v>
      </c>
      <c r="G574" s="26"/>
      <c r="H574" s="22"/>
      <c r="I574" s="22"/>
      <c r="J574" s="6"/>
      <c r="K574" s="2"/>
      <c r="L574" s="6">
        <v>106.97674418604652</v>
      </c>
      <c r="M574" s="2"/>
      <c r="N574" s="22"/>
      <c r="O574" s="22"/>
      <c r="P574" s="2"/>
    </row>
    <row r="575" spans="1:16" ht="15" customHeight="1">
      <c r="A575" s="2">
        <v>574</v>
      </c>
      <c r="B575" s="22" t="s">
        <v>63</v>
      </c>
      <c r="C575" s="22" t="s">
        <v>64</v>
      </c>
      <c r="D575" s="3">
        <v>41894</v>
      </c>
      <c r="E575" s="22" t="s">
        <v>23</v>
      </c>
      <c r="F575" s="22" t="s">
        <v>19</v>
      </c>
      <c r="G575" s="26"/>
      <c r="H575" s="22"/>
      <c r="I575" s="22"/>
      <c r="J575" s="6"/>
      <c r="K575" s="2"/>
      <c r="L575" s="6">
        <v>209.30232558139537</v>
      </c>
      <c r="M575" s="2"/>
      <c r="N575" s="22"/>
      <c r="O575" s="22"/>
      <c r="P575" s="2"/>
    </row>
    <row r="576" spans="1:16" ht="15" customHeight="1">
      <c r="A576" s="2">
        <v>575</v>
      </c>
      <c r="B576" s="22" t="s">
        <v>47</v>
      </c>
      <c r="C576" s="22" t="s">
        <v>48</v>
      </c>
      <c r="D576" s="3">
        <v>41897</v>
      </c>
      <c r="E576" s="22" t="s">
        <v>67</v>
      </c>
      <c r="F576" s="22" t="s">
        <v>19</v>
      </c>
      <c r="G576" s="26"/>
      <c r="H576" s="22"/>
      <c r="I576" s="22"/>
      <c r="J576" s="6"/>
      <c r="K576" s="2">
        <v>6</v>
      </c>
      <c r="L576" s="6">
        <v>538.92215568862275</v>
      </c>
      <c r="M576" s="2"/>
      <c r="N576" s="22"/>
      <c r="O576" s="22" t="s">
        <v>160</v>
      </c>
      <c r="P576" s="2"/>
    </row>
    <row r="577" spans="1:16" ht="15" customHeight="1">
      <c r="A577" s="2">
        <v>576</v>
      </c>
      <c r="B577" s="22" t="s">
        <v>47</v>
      </c>
      <c r="C577" s="22" t="s">
        <v>48</v>
      </c>
      <c r="D577" s="3">
        <v>41897</v>
      </c>
      <c r="E577" s="22" t="s">
        <v>133</v>
      </c>
      <c r="F577" s="22" t="s">
        <v>19</v>
      </c>
      <c r="G577" s="26"/>
      <c r="H577" s="22"/>
      <c r="I577" s="22"/>
      <c r="J577" s="6"/>
      <c r="K577" s="2">
        <v>6</v>
      </c>
      <c r="L577" s="6">
        <v>123.35329341317366</v>
      </c>
      <c r="M577" s="2"/>
      <c r="N577" s="22"/>
      <c r="O577" s="22" t="s">
        <v>160</v>
      </c>
      <c r="P577" s="2"/>
    </row>
    <row r="578" spans="1:16" ht="15" customHeight="1">
      <c r="A578" s="2">
        <v>577</v>
      </c>
      <c r="B578" s="22" t="s">
        <v>47</v>
      </c>
      <c r="C578" s="22" t="s">
        <v>48</v>
      </c>
      <c r="D578" s="3">
        <v>41897</v>
      </c>
      <c r="E578" s="22" t="s">
        <v>68</v>
      </c>
      <c r="F578" s="22" t="s">
        <v>19</v>
      </c>
      <c r="G578" s="26"/>
      <c r="H578" s="22"/>
      <c r="I578" s="22"/>
      <c r="J578" s="6"/>
      <c r="K578" s="2">
        <v>8</v>
      </c>
      <c r="L578" s="6">
        <v>165.60509554140125</v>
      </c>
      <c r="M578" s="2"/>
      <c r="N578" s="22" t="s">
        <v>69</v>
      </c>
      <c r="O578" s="22" t="s">
        <v>160</v>
      </c>
      <c r="P578" s="2"/>
    </row>
    <row r="579" spans="1:16" ht="15" customHeight="1">
      <c r="A579" s="2">
        <v>578</v>
      </c>
      <c r="B579" s="22" t="s">
        <v>38</v>
      </c>
      <c r="C579" s="22" t="s">
        <v>39</v>
      </c>
      <c r="D579" s="3">
        <v>41897</v>
      </c>
      <c r="E579" s="27" t="s">
        <v>29</v>
      </c>
      <c r="F579" s="22" t="s">
        <v>19</v>
      </c>
      <c r="G579" s="26" t="s">
        <v>54</v>
      </c>
      <c r="H579" s="22"/>
      <c r="I579" s="22"/>
      <c r="J579" s="6"/>
      <c r="K579" s="2">
        <v>4</v>
      </c>
      <c r="L579" s="6">
        <v>160.427807486631</v>
      </c>
      <c r="M579" s="2"/>
      <c r="N579" s="22" t="s">
        <v>52</v>
      </c>
      <c r="O579" s="22" t="s">
        <v>160</v>
      </c>
      <c r="P579" s="2"/>
    </row>
    <row r="580" spans="1:16" ht="15" customHeight="1">
      <c r="A580" s="2">
        <v>579</v>
      </c>
      <c r="B580" s="22" t="s">
        <v>27</v>
      </c>
      <c r="C580" s="22" t="s">
        <v>28</v>
      </c>
      <c r="D580" s="3">
        <v>41897</v>
      </c>
      <c r="E580" s="22" t="s">
        <v>67</v>
      </c>
      <c r="F580" s="22" t="s">
        <v>19</v>
      </c>
      <c r="G580" s="26"/>
      <c r="H580" s="22"/>
      <c r="I580" s="22"/>
      <c r="J580" s="6"/>
      <c r="K580" s="2">
        <v>6</v>
      </c>
      <c r="L580" s="6">
        <v>540.69767441860461</v>
      </c>
      <c r="M580" s="2"/>
      <c r="N580" s="22"/>
      <c r="O580" s="22" t="s">
        <v>160</v>
      </c>
      <c r="P580" s="2"/>
    </row>
    <row r="581" spans="1:16" ht="15" customHeight="1">
      <c r="A581" s="2">
        <v>580</v>
      </c>
      <c r="B581" s="22" t="s">
        <v>27</v>
      </c>
      <c r="C581" s="22" t="s">
        <v>28</v>
      </c>
      <c r="D581" s="3">
        <v>41897</v>
      </c>
      <c r="E581" s="22" t="s">
        <v>133</v>
      </c>
      <c r="F581" s="22" t="s">
        <v>19</v>
      </c>
      <c r="G581" s="26"/>
      <c r="H581" s="22"/>
      <c r="I581" s="22"/>
      <c r="J581" s="6"/>
      <c r="K581" s="2">
        <v>6</v>
      </c>
      <c r="L581" s="6">
        <v>118.6046511627907</v>
      </c>
      <c r="M581" s="2"/>
      <c r="N581" s="22"/>
      <c r="O581" s="22" t="s">
        <v>160</v>
      </c>
      <c r="P581" s="2"/>
    </row>
    <row r="582" spans="1:16" ht="15" customHeight="1">
      <c r="A582" s="2">
        <v>581</v>
      </c>
      <c r="B582" s="22" t="s">
        <v>27</v>
      </c>
      <c r="C582" s="22" t="s">
        <v>28</v>
      </c>
      <c r="D582" s="3">
        <v>41897</v>
      </c>
      <c r="E582" s="22" t="s">
        <v>68</v>
      </c>
      <c r="F582" s="22" t="s">
        <v>19</v>
      </c>
      <c r="G582" s="26" t="s">
        <v>54</v>
      </c>
      <c r="H582" s="22"/>
      <c r="I582" s="22"/>
      <c r="J582" s="6"/>
      <c r="K582" s="2">
        <v>8</v>
      </c>
      <c r="L582" s="6">
        <v>165.60509554140125</v>
      </c>
      <c r="M582" s="2"/>
      <c r="N582" s="22" t="s">
        <v>69</v>
      </c>
      <c r="O582" s="22" t="s">
        <v>160</v>
      </c>
      <c r="P582" s="2"/>
    </row>
    <row r="583" spans="1:16" ht="15" customHeight="1">
      <c r="A583" s="2">
        <v>582</v>
      </c>
      <c r="B583" s="22" t="s">
        <v>31</v>
      </c>
      <c r="C583" s="22" t="s">
        <v>32</v>
      </c>
      <c r="D583" s="3">
        <v>41897</v>
      </c>
      <c r="E583" s="22" t="s">
        <v>67</v>
      </c>
      <c r="F583" s="22" t="s">
        <v>19</v>
      </c>
      <c r="G583" s="26"/>
      <c r="H583" s="22"/>
      <c r="I583" s="22"/>
      <c r="J583" s="6"/>
      <c r="K583" s="2">
        <v>6</v>
      </c>
      <c r="L583" s="6">
        <v>383.23353293413174</v>
      </c>
      <c r="M583" s="2"/>
      <c r="N583" s="22"/>
      <c r="O583" s="22" t="s">
        <v>160</v>
      </c>
      <c r="P583" s="2"/>
    </row>
    <row r="584" spans="1:16" ht="15" customHeight="1">
      <c r="A584" s="2">
        <v>583</v>
      </c>
      <c r="B584" s="22" t="s">
        <v>31</v>
      </c>
      <c r="C584" s="22" t="s">
        <v>32</v>
      </c>
      <c r="D584" s="3">
        <v>41897</v>
      </c>
      <c r="E584" s="22" t="s">
        <v>133</v>
      </c>
      <c r="F584" s="22" t="s">
        <v>19</v>
      </c>
      <c r="G584" s="26"/>
      <c r="H584" s="22"/>
      <c r="I584" s="22"/>
      <c r="J584" s="6"/>
      <c r="K584" s="2">
        <v>6</v>
      </c>
      <c r="L584" s="6">
        <v>106.97674418604652</v>
      </c>
      <c r="M584" s="2"/>
      <c r="N584" s="22"/>
      <c r="O584" s="22" t="s">
        <v>160</v>
      </c>
      <c r="P584" s="2"/>
    </row>
    <row r="585" spans="1:16" ht="15" customHeight="1">
      <c r="A585" s="2">
        <v>584</v>
      </c>
      <c r="B585" s="22" t="s">
        <v>31</v>
      </c>
      <c r="C585" s="22" t="s">
        <v>32</v>
      </c>
      <c r="D585" s="3">
        <v>41897</v>
      </c>
      <c r="E585" s="22" t="s">
        <v>68</v>
      </c>
      <c r="F585" s="22" t="s">
        <v>19</v>
      </c>
      <c r="G585" s="26"/>
      <c r="H585" s="22"/>
      <c r="I585" s="22"/>
      <c r="J585" s="6"/>
      <c r="K585" s="2">
        <v>8</v>
      </c>
      <c r="L585" s="6">
        <v>108.28025477707006</v>
      </c>
      <c r="M585" s="2"/>
      <c r="N585" s="22" t="s">
        <v>69</v>
      </c>
      <c r="O585" s="22" t="s">
        <v>160</v>
      </c>
      <c r="P585" s="2"/>
    </row>
    <row r="586" spans="1:16" ht="15" customHeight="1">
      <c r="A586" s="2">
        <v>585</v>
      </c>
      <c r="B586" s="22" t="s">
        <v>41</v>
      </c>
      <c r="C586" s="22" t="s">
        <v>42</v>
      </c>
      <c r="D586" s="3">
        <v>41897</v>
      </c>
      <c r="E586" s="22" t="s">
        <v>67</v>
      </c>
      <c r="F586" s="22" t="s">
        <v>19</v>
      </c>
      <c r="G586" s="26"/>
      <c r="H586" s="22"/>
      <c r="I586" s="22"/>
      <c r="J586" s="6"/>
      <c r="K586" s="2">
        <v>6</v>
      </c>
      <c r="L586" s="6">
        <v>325.58139534883719</v>
      </c>
      <c r="M586" s="2"/>
      <c r="N586" s="22"/>
      <c r="O586" s="22" t="s">
        <v>160</v>
      </c>
      <c r="P586" s="2"/>
    </row>
    <row r="587" spans="1:16" ht="15" customHeight="1">
      <c r="A587" s="2">
        <v>586</v>
      </c>
      <c r="B587" s="22" t="s">
        <v>41</v>
      </c>
      <c r="C587" s="22" t="s">
        <v>42</v>
      </c>
      <c r="D587" s="3">
        <v>41897</v>
      </c>
      <c r="E587" s="22" t="s">
        <v>133</v>
      </c>
      <c r="F587" s="22" t="s">
        <v>19</v>
      </c>
      <c r="G587" s="26"/>
      <c r="H587" s="22"/>
      <c r="I587" s="22"/>
      <c r="J587" s="6"/>
      <c r="K587" s="2">
        <v>6</v>
      </c>
      <c r="L587" s="6">
        <v>74.418604651162795</v>
      </c>
      <c r="M587" s="2"/>
      <c r="N587" s="22"/>
      <c r="O587" s="22" t="s">
        <v>160</v>
      </c>
      <c r="P587" s="2"/>
    </row>
    <row r="588" spans="1:16" ht="15" customHeight="1">
      <c r="A588" s="2">
        <v>587</v>
      </c>
      <c r="B588" s="22" t="s">
        <v>41</v>
      </c>
      <c r="C588" s="22" t="s">
        <v>42</v>
      </c>
      <c r="D588" s="3">
        <v>41897</v>
      </c>
      <c r="E588" s="22" t="s">
        <v>68</v>
      </c>
      <c r="F588" s="22" t="s">
        <v>19</v>
      </c>
      <c r="G588" s="26"/>
      <c r="H588" s="22"/>
      <c r="I588" s="22"/>
      <c r="J588" s="6"/>
      <c r="K588" s="2">
        <v>8</v>
      </c>
      <c r="L588" s="6">
        <v>101.9108280254777</v>
      </c>
      <c r="M588" s="2"/>
      <c r="N588" s="22"/>
      <c r="O588" s="22" t="s">
        <v>160</v>
      </c>
      <c r="P588" s="2"/>
    </row>
    <row r="589" spans="1:16" ht="15" customHeight="1">
      <c r="A589" s="2">
        <v>588</v>
      </c>
      <c r="B589" s="22" t="s">
        <v>63</v>
      </c>
      <c r="C589" s="22" t="s">
        <v>64</v>
      </c>
      <c r="D589" s="3">
        <v>41897</v>
      </c>
      <c r="E589" s="27" t="s">
        <v>29</v>
      </c>
      <c r="F589" s="22" t="s">
        <v>19</v>
      </c>
      <c r="G589" s="26" t="s">
        <v>54</v>
      </c>
      <c r="H589" s="22"/>
      <c r="I589" s="22"/>
      <c r="J589" s="6"/>
      <c r="K589" s="2">
        <v>4</v>
      </c>
      <c r="L589" s="6">
        <v>158.19209039548022</v>
      </c>
      <c r="M589" s="2"/>
      <c r="N589" s="22" t="s">
        <v>30</v>
      </c>
      <c r="O589" s="22" t="s">
        <v>160</v>
      </c>
      <c r="P589" s="2"/>
    </row>
    <row r="590" spans="1:16" ht="15" customHeight="1">
      <c r="A590" s="2">
        <v>589</v>
      </c>
      <c r="B590" s="22" t="s">
        <v>16</v>
      </c>
      <c r="C590" s="22" t="s">
        <v>17</v>
      </c>
      <c r="D590" s="3">
        <v>41899</v>
      </c>
      <c r="E590" s="22" t="s">
        <v>67</v>
      </c>
      <c r="F590" s="22" t="s">
        <v>19</v>
      </c>
      <c r="G590" s="26"/>
      <c r="H590" s="22"/>
      <c r="I590" s="22"/>
      <c r="J590" s="6"/>
      <c r="K590" s="2">
        <v>6</v>
      </c>
      <c r="L590" s="6">
        <v>431.13772455089821</v>
      </c>
      <c r="M590" s="2"/>
      <c r="N590" s="22"/>
      <c r="O590" s="22" t="s">
        <v>160</v>
      </c>
      <c r="P590" s="2"/>
    </row>
    <row r="591" spans="1:16" ht="15" customHeight="1">
      <c r="A591" s="2">
        <v>590</v>
      </c>
      <c r="B591" s="22" t="s">
        <v>16</v>
      </c>
      <c r="C591" s="22" t="s">
        <v>17</v>
      </c>
      <c r="D591" s="3">
        <v>41899</v>
      </c>
      <c r="E591" s="22" t="s">
        <v>68</v>
      </c>
      <c r="F591" s="22" t="s">
        <v>19</v>
      </c>
      <c r="G591" s="26"/>
      <c r="H591" s="22"/>
      <c r="I591" s="22"/>
      <c r="J591" s="6"/>
      <c r="K591" s="2">
        <v>8</v>
      </c>
      <c r="L591" s="6">
        <v>101.79640718562875</v>
      </c>
      <c r="M591" s="2"/>
      <c r="N591" s="22" t="s">
        <v>69</v>
      </c>
      <c r="O591" s="22" t="s">
        <v>160</v>
      </c>
      <c r="P591" s="2"/>
    </row>
    <row r="592" spans="1:16" ht="15" customHeight="1">
      <c r="A592" s="2">
        <v>591</v>
      </c>
      <c r="B592" s="22" t="s">
        <v>47</v>
      </c>
      <c r="C592" s="22" t="s">
        <v>48</v>
      </c>
      <c r="D592" s="3">
        <v>41904</v>
      </c>
      <c r="E592" s="22" t="s">
        <v>67</v>
      </c>
      <c r="F592" s="22" t="s">
        <v>19</v>
      </c>
      <c r="G592" s="26"/>
      <c r="H592" s="22"/>
      <c r="I592" s="22"/>
      <c r="J592" s="6"/>
      <c r="K592" s="2">
        <v>6</v>
      </c>
      <c r="L592" s="6">
        <v>538.92215568862275</v>
      </c>
      <c r="M592" s="2"/>
      <c r="N592" s="22"/>
      <c r="O592" s="22" t="s">
        <v>161</v>
      </c>
      <c r="P592" s="2"/>
    </row>
    <row r="593" spans="1:16" ht="15" customHeight="1">
      <c r="A593" s="2">
        <v>592</v>
      </c>
      <c r="B593" s="22" t="s">
        <v>47</v>
      </c>
      <c r="C593" s="22" t="s">
        <v>48</v>
      </c>
      <c r="D593" s="3">
        <v>41904</v>
      </c>
      <c r="E593" s="22" t="s">
        <v>133</v>
      </c>
      <c r="F593" s="22" t="s">
        <v>19</v>
      </c>
      <c r="G593" s="26"/>
      <c r="H593" s="22"/>
      <c r="I593" s="22"/>
      <c r="J593" s="6"/>
      <c r="K593" s="2">
        <v>6</v>
      </c>
      <c r="L593" s="6">
        <v>123.35329341317366</v>
      </c>
      <c r="M593" s="2"/>
      <c r="N593" s="22"/>
      <c r="O593" s="22" t="s">
        <v>161</v>
      </c>
      <c r="P593" s="2"/>
    </row>
    <row r="594" spans="1:16" ht="15" customHeight="1">
      <c r="A594" s="2">
        <v>593</v>
      </c>
      <c r="B594" s="22" t="s">
        <v>27</v>
      </c>
      <c r="C594" s="22" t="s">
        <v>28</v>
      </c>
      <c r="D594" s="3">
        <v>41904</v>
      </c>
      <c r="E594" s="22" t="s">
        <v>67</v>
      </c>
      <c r="F594" s="22" t="s">
        <v>19</v>
      </c>
      <c r="G594" s="26"/>
      <c r="H594" s="22"/>
      <c r="I594" s="22"/>
      <c r="J594" s="6"/>
      <c r="K594" s="2">
        <v>6</v>
      </c>
      <c r="L594" s="6">
        <v>574.85029940119762</v>
      </c>
      <c r="M594" s="2"/>
      <c r="N594" s="22"/>
      <c r="O594" s="22" t="s">
        <v>161</v>
      </c>
      <c r="P594" s="2"/>
    </row>
    <row r="595" spans="1:16" ht="15" customHeight="1">
      <c r="A595" s="2">
        <v>594</v>
      </c>
      <c r="B595" s="22" t="s">
        <v>27</v>
      </c>
      <c r="C595" s="22" t="s">
        <v>28</v>
      </c>
      <c r="D595" s="3">
        <v>41904</v>
      </c>
      <c r="E595" s="22" t="s">
        <v>133</v>
      </c>
      <c r="F595" s="22" t="s">
        <v>19</v>
      </c>
      <c r="G595" s="26"/>
      <c r="H595" s="22"/>
      <c r="I595" s="22"/>
      <c r="J595" s="6"/>
      <c r="K595" s="2">
        <v>6</v>
      </c>
      <c r="L595" s="6">
        <v>114.97005988023953</v>
      </c>
      <c r="M595" s="2"/>
      <c r="N595" s="22"/>
      <c r="O595" s="22" t="s">
        <v>161</v>
      </c>
      <c r="P595" s="2"/>
    </row>
    <row r="596" spans="1:16" ht="15" customHeight="1">
      <c r="A596" s="2">
        <v>595</v>
      </c>
      <c r="B596" s="22" t="s">
        <v>33</v>
      </c>
      <c r="C596" s="22" t="s">
        <v>34</v>
      </c>
      <c r="D596" s="3">
        <v>41904</v>
      </c>
      <c r="E596" s="22" t="s">
        <v>18</v>
      </c>
      <c r="F596" s="22" t="s">
        <v>19</v>
      </c>
      <c r="G596" s="26"/>
      <c r="H596" s="22"/>
      <c r="I596" s="22"/>
      <c r="J596" s="6"/>
      <c r="K596" s="2">
        <v>3</v>
      </c>
      <c r="L596" s="6">
        <v>175.82417582417582</v>
      </c>
      <c r="M596" s="2"/>
      <c r="N596" s="22" t="s">
        <v>99</v>
      </c>
      <c r="O596" s="22" t="s">
        <v>162</v>
      </c>
      <c r="P596" s="2"/>
    </row>
    <row r="597" spans="1:16" ht="15" customHeight="1">
      <c r="A597" s="2">
        <v>596</v>
      </c>
      <c r="B597" s="22" t="s">
        <v>33</v>
      </c>
      <c r="C597" s="22" t="s">
        <v>34</v>
      </c>
      <c r="D597" s="3">
        <v>41904</v>
      </c>
      <c r="E597" s="22" t="s">
        <v>101</v>
      </c>
      <c r="F597" s="22" t="s">
        <v>19</v>
      </c>
      <c r="G597" s="26"/>
      <c r="H597" s="22"/>
      <c r="I597" s="22"/>
      <c r="J597" s="6"/>
      <c r="K597" s="2">
        <v>3</v>
      </c>
      <c r="L597" s="6">
        <v>43.956043956043956</v>
      </c>
      <c r="M597" s="2"/>
      <c r="N597" s="22"/>
      <c r="O597" s="22"/>
      <c r="P597" s="2"/>
    </row>
    <row r="598" spans="1:16" ht="15" customHeight="1">
      <c r="A598" s="2">
        <v>597</v>
      </c>
      <c r="B598" s="22" t="s">
        <v>41</v>
      </c>
      <c r="C598" s="22" t="s">
        <v>42</v>
      </c>
      <c r="D598" s="3">
        <v>41904</v>
      </c>
      <c r="E598" s="22" t="s">
        <v>67</v>
      </c>
      <c r="F598" s="22" t="s">
        <v>19</v>
      </c>
      <c r="G598" s="26"/>
      <c r="H598" s="22"/>
      <c r="I598" s="22"/>
      <c r="J598" s="6"/>
      <c r="K598" s="2">
        <v>6</v>
      </c>
      <c r="L598" s="6">
        <v>347.30538922155688</v>
      </c>
      <c r="M598" s="2"/>
      <c r="N598" s="22"/>
      <c r="O598" s="22" t="s">
        <v>161</v>
      </c>
      <c r="P598" s="2"/>
    </row>
    <row r="599" spans="1:16" ht="15" customHeight="1">
      <c r="A599" s="2">
        <v>598</v>
      </c>
      <c r="B599" s="22" t="s">
        <v>16</v>
      </c>
      <c r="C599" s="22" t="s">
        <v>17</v>
      </c>
      <c r="D599" s="3">
        <v>41906</v>
      </c>
      <c r="E599" s="22" t="s">
        <v>43</v>
      </c>
      <c r="F599" s="22" t="s">
        <v>19</v>
      </c>
      <c r="G599" s="26"/>
      <c r="H599" s="22"/>
      <c r="I599" s="22"/>
      <c r="J599" s="6"/>
      <c r="K599" s="2">
        <v>3</v>
      </c>
      <c r="L599" s="6">
        <v>164.83516483516482</v>
      </c>
      <c r="M599" s="2"/>
      <c r="N599" s="22" t="s">
        <v>128</v>
      </c>
      <c r="O599" s="22"/>
      <c r="P599" s="2"/>
    </row>
    <row r="600" spans="1:16" ht="15" customHeight="1">
      <c r="A600" s="2">
        <v>599</v>
      </c>
      <c r="B600" s="22" t="s">
        <v>38</v>
      </c>
      <c r="C600" s="22" t="s">
        <v>39</v>
      </c>
      <c r="D600" s="3">
        <v>41906</v>
      </c>
      <c r="E600" s="22" t="s">
        <v>43</v>
      </c>
      <c r="F600" s="22" t="s">
        <v>19</v>
      </c>
      <c r="G600" s="26"/>
      <c r="H600" s="22"/>
      <c r="I600" s="22"/>
      <c r="J600" s="6"/>
      <c r="K600" s="2">
        <v>3</v>
      </c>
      <c r="L600" s="6">
        <v>153.84615384615384</v>
      </c>
      <c r="M600" s="2"/>
      <c r="N600" s="22" t="s">
        <v>128</v>
      </c>
      <c r="O600" s="22"/>
      <c r="P600" s="2"/>
    </row>
    <row r="601" spans="1:16" ht="15" customHeight="1">
      <c r="A601" s="2">
        <v>600</v>
      </c>
      <c r="B601" s="22" t="s">
        <v>163</v>
      </c>
      <c r="C601" s="22" t="s">
        <v>164</v>
      </c>
      <c r="D601" s="3">
        <v>41906</v>
      </c>
      <c r="E601" s="22" t="s">
        <v>67</v>
      </c>
      <c r="F601" s="22" t="s">
        <v>19</v>
      </c>
      <c r="G601" s="26"/>
      <c r="H601" s="22" t="s">
        <v>165</v>
      </c>
      <c r="I601" s="22"/>
      <c r="J601" s="6"/>
      <c r="K601" s="2">
        <v>3</v>
      </c>
      <c r="L601" s="6">
        <v>197.80219780219778</v>
      </c>
      <c r="M601" s="2"/>
      <c r="N601" s="22"/>
      <c r="O601" s="22"/>
      <c r="P601" s="2"/>
    </row>
    <row r="602" spans="1:16" ht="15" customHeight="1">
      <c r="A602" s="2">
        <v>601</v>
      </c>
      <c r="B602" s="22" t="s">
        <v>27</v>
      </c>
      <c r="C602" s="22" t="s">
        <v>28</v>
      </c>
      <c r="D602" s="3">
        <v>41906</v>
      </c>
      <c r="E602" s="22" t="s">
        <v>43</v>
      </c>
      <c r="F602" s="22" t="s">
        <v>19</v>
      </c>
      <c r="G602" s="26"/>
      <c r="H602" s="22"/>
      <c r="I602" s="22"/>
      <c r="J602" s="6"/>
      <c r="K602" s="2">
        <v>3</v>
      </c>
      <c r="L602" s="6">
        <v>219.78021978021977</v>
      </c>
      <c r="M602" s="2"/>
      <c r="N602" s="22" t="s">
        <v>128</v>
      </c>
      <c r="O602" s="22"/>
      <c r="P602" s="2"/>
    </row>
    <row r="603" spans="1:16" ht="15" customHeight="1">
      <c r="A603" s="2">
        <v>602</v>
      </c>
      <c r="B603" s="22" t="s">
        <v>63</v>
      </c>
      <c r="C603" s="22" t="s">
        <v>64</v>
      </c>
      <c r="D603" s="3">
        <v>41906</v>
      </c>
      <c r="E603" s="22" t="s">
        <v>43</v>
      </c>
      <c r="F603" s="22" t="s">
        <v>19</v>
      </c>
      <c r="G603" s="26"/>
      <c r="H603" s="22"/>
      <c r="I603" s="22"/>
      <c r="J603" s="6"/>
      <c r="K603" s="2">
        <v>3</v>
      </c>
      <c r="L603" s="6">
        <v>142.85714285714286</v>
      </c>
      <c r="M603" s="2"/>
      <c r="N603" s="22" t="s">
        <v>128</v>
      </c>
      <c r="O603" s="22"/>
      <c r="P603" s="2"/>
    </row>
    <row r="604" spans="1:16" ht="15" customHeight="1">
      <c r="A604" s="2">
        <v>603</v>
      </c>
      <c r="B604" s="22" t="s">
        <v>47</v>
      </c>
      <c r="C604" s="22" t="s">
        <v>48</v>
      </c>
      <c r="D604" s="3">
        <v>41908</v>
      </c>
      <c r="E604" s="27" t="s">
        <v>29</v>
      </c>
      <c r="F604" s="22" t="s">
        <v>19</v>
      </c>
      <c r="G604" s="26" t="s">
        <v>54</v>
      </c>
      <c r="H604" s="22"/>
      <c r="I604" s="22"/>
      <c r="J604" s="6"/>
      <c r="K604" s="2">
        <v>3</v>
      </c>
      <c r="L604" s="6">
        <v>219.78021978021977</v>
      </c>
      <c r="M604" s="2"/>
      <c r="N604" s="22" t="s">
        <v>30</v>
      </c>
      <c r="O604" s="22"/>
      <c r="P604" s="2"/>
    </row>
    <row r="605" spans="1:16" ht="15" customHeight="1">
      <c r="A605" s="2">
        <v>604</v>
      </c>
      <c r="B605" s="22" t="s">
        <v>47</v>
      </c>
      <c r="C605" s="22" t="s">
        <v>48</v>
      </c>
      <c r="D605" s="3">
        <v>41908</v>
      </c>
      <c r="E605" s="22" t="s">
        <v>26</v>
      </c>
      <c r="F605" s="22" t="s">
        <v>19</v>
      </c>
      <c r="G605" s="26"/>
      <c r="H605" s="22"/>
      <c r="I605" s="22"/>
      <c r="J605" s="6"/>
      <c r="K605" s="2">
        <v>3</v>
      </c>
      <c r="L605" s="6">
        <v>131.86813186813185</v>
      </c>
      <c r="M605" s="2"/>
      <c r="N605" s="22"/>
      <c r="O605" s="22"/>
      <c r="P605" s="2"/>
    </row>
    <row r="606" spans="1:16" ht="15" customHeight="1">
      <c r="A606" s="2">
        <v>605</v>
      </c>
      <c r="B606" s="22" t="s">
        <v>47</v>
      </c>
      <c r="C606" s="22" t="s">
        <v>48</v>
      </c>
      <c r="D606" s="3">
        <v>41908</v>
      </c>
      <c r="E606" s="22" t="s">
        <v>53</v>
      </c>
      <c r="F606" s="22" t="s">
        <v>19</v>
      </c>
      <c r="G606" s="26"/>
      <c r="H606" s="22"/>
      <c r="I606" s="22"/>
      <c r="J606" s="6"/>
      <c r="K606" s="2">
        <v>4</v>
      </c>
      <c r="L606" s="6">
        <v>180.79096045197741</v>
      </c>
      <c r="M606" s="2"/>
      <c r="N606" s="22"/>
      <c r="O606" s="22"/>
      <c r="P606" s="2"/>
    </row>
    <row r="607" spans="1:16" ht="15" customHeight="1">
      <c r="A607" s="2">
        <v>606</v>
      </c>
      <c r="B607" s="22" t="s">
        <v>47</v>
      </c>
      <c r="C607" s="22" t="s">
        <v>48</v>
      </c>
      <c r="D607" s="3">
        <v>41908</v>
      </c>
      <c r="E607" s="22" t="s">
        <v>23</v>
      </c>
      <c r="F607" s="22" t="s">
        <v>19</v>
      </c>
      <c r="G607" s="26"/>
      <c r="H607" s="22"/>
      <c r="I607" s="22"/>
      <c r="J607" s="6"/>
      <c r="K607" s="2">
        <v>6</v>
      </c>
      <c r="L607" s="6">
        <v>263.4730538922156</v>
      </c>
      <c r="M607" s="2"/>
      <c r="N607" s="22"/>
      <c r="O607" s="22"/>
      <c r="P607" s="2"/>
    </row>
    <row r="608" spans="1:16" ht="15" customHeight="1">
      <c r="A608" s="2">
        <v>607</v>
      </c>
      <c r="B608" s="22" t="s">
        <v>16</v>
      </c>
      <c r="C608" s="22" t="s">
        <v>17</v>
      </c>
      <c r="D608" s="3">
        <v>41908</v>
      </c>
      <c r="E608" s="22" t="s">
        <v>26</v>
      </c>
      <c r="F608" s="22" t="s">
        <v>19</v>
      </c>
      <c r="G608" s="26"/>
      <c r="H608" s="22"/>
      <c r="I608" s="22"/>
      <c r="J608" s="6"/>
      <c r="K608" s="2">
        <v>3</v>
      </c>
      <c r="L608" s="6">
        <v>98.901098901098891</v>
      </c>
      <c r="M608" s="2"/>
      <c r="N608" s="22"/>
      <c r="O608" s="22"/>
      <c r="P608" s="2"/>
    </row>
    <row r="609" spans="1:16" ht="15" customHeight="1">
      <c r="A609" s="2">
        <v>608</v>
      </c>
      <c r="B609" s="22" t="s">
        <v>16</v>
      </c>
      <c r="C609" s="22" t="s">
        <v>17</v>
      </c>
      <c r="D609" s="3">
        <v>41908</v>
      </c>
      <c r="E609" s="22" t="s">
        <v>53</v>
      </c>
      <c r="F609" s="22" t="s">
        <v>19</v>
      </c>
      <c r="G609" s="26"/>
      <c r="H609" s="22"/>
      <c r="I609" s="22"/>
      <c r="J609" s="6"/>
      <c r="K609" s="2">
        <v>4</v>
      </c>
      <c r="L609" s="6">
        <v>112.99435028248587</v>
      </c>
      <c r="M609" s="2"/>
      <c r="N609" s="22"/>
      <c r="O609" s="22"/>
      <c r="P609" s="2"/>
    </row>
    <row r="610" spans="1:16" ht="15" customHeight="1">
      <c r="A610" s="2">
        <v>609</v>
      </c>
      <c r="B610" s="22" t="s">
        <v>16</v>
      </c>
      <c r="C610" s="22" t="s">
        <v>17</v>
      </c>
      <c r="D610" s="3">
        <v>41908</v>
      </c>
      <c r="E610" s="27" t="s">
        <v>29</v>
      </c>
      <c r="F610" s="22" t="s">
        <v>19</v>
      </c>
      <c r="G610" s="26" t="s">
        <v>54</v>
      </c>
      <c r="H610" s="22"/>
      <c r="I610" s="22"/>
      <c r="J610" s="6"/>
      <c r="K610" s="2">
        <v>5</v>
      </c>
      <c r="L610" s="6">
        <v>162.7906976744186</v>
      </c>
      <c r="M610" s="2"/>
      <c r="N610" s="22" t="s">
        <v>30</v>
      </c>
      <c r="O610" s="22"/>
      <c r="P610" s="2"/>
    </row>
    <row r="611" spans="1:16" ht="15" customHeight="1">
      <c r="A611" s="2">
        <v>610</v>
      </c>
      <c r="B611" s="22" t="s">
        <v>16</v>
      </c>
      <c r="C611" s="22" t="s">
        <v>17</v>
      </c>
      <c r="D611" s="3">
        <v>41908</v>
      </c>
      <c r="E611" s="22" t="s">
        <v>23</v>
      </c>
      <c r="F611" s="22" t="s">
        <v>19</v>
      </c>
      <c r="G611" s="26"/>
      <c r="H611" s="22"/>
      <c r="I611" s="22"/>
      <c r="J611" s="6"/>
      <c r="K611" s="2">
        <v>6</v>
      </c>
      <c r="L611" s="6">
        <v>227.54491017964074</v>
      </c>
      <c r="M611" s="2"/>
      <c r="N611" s="22"/>
      <c r="O611" s="22"/>
      <c r="P611" s="2"/>
    </row>
    <row r="612" spans="1:16" ht="15" customHeight="1">
      <c r="A612" s="2">
        <v>611</v>
      </c>
      <c r="B612" s="22" t="s">
        <v>38</v>
      </c>
      <c r="C612" s="22" t="s">
        <v>39</v>
      </c>
      <c r="D612" s="3">
        <v>41908</v>
      </c>
      <c r="E612" s="27" t="s">
        <v>29</v>
      </c>
      <c r="F612" s="22" t="s">
        <v>19</v>
      </c>
      <c r="G612" s="26" t="s">
        <v>54</v>
      </c>
      <c r="H612" s="22"/>
      <c r="I612" s="22"/>
      <c r="J612" s="6"/>
      <c r="K612" s="2">
        <v>6</v>
      </c>
      <c r="L612" s="6">
        <v>107.78443113772455</v>
      </c>
      <c r="M612" s="2"/>
      <c r="N612" s="22" t="s">
        <v>107</v>
      </c>
      <c r="O612" s="22"/>
      <c r="P612" s="2"/>
    </row>
    <row r="613" spans="1:16" ht="15" customHeight="1">
      <c r="A613" s="2">
        <v>612</v>
      </c>
      <c r="B613" s="22" t="s">
        <v>38</v>
      </c>
      <c r="C613" s="22" t="s">
        <v>39</v>
      </c>
      <c r="D613" s="3">
        <v>41908</v>
      </c>
      <c r="E613" s="22" t="s">
        <v>23</v>
      </c>
      <c r="F613" s="22" t="s">
        <v>19</v>
      </c>
      <c r="G613" s="26"/>
      <c r="H613" s="22"/>
      <c r="I613" s="22"/>
      <c r="J613" s="6"/>
      <c r="K613" s="2">
        <v>6</v>
      </c>
      <c r="L613" s="6">
        <v>191.61676646706587</v>
      </c>
      <c r="M613" s="2"/>
      <c r="N613" s="22"/>
      <c r="O613" s="22"/>
      <c r="P613" s="2"/>
    </row>
    <row r="614" spans="1:16" ht="15" customHeight="1">
      <c r="A614" s="2">
        <v>613</v>
      </c>
      <c r="B614" s="22" t="s">
        <v>38</v>
      </c>
      <c r="C614" s="22" t="s">
        <v>39</v>
      </c>
      <c r="D614" s="3">
        <v>41908</v>
      </c>
      <c r="E614" s="22" t="s">
        <v>71</v>
      </c>
      <c r="F614" s="22" t="s">
        <v>19</v>
      </c>
      <c r="G614" s="26"/>
      <c r="H614" s="22"/>
      <c r="I614" s="22"/>
      <c r="J614" s="6"/>
      <c r="K614" s="2">
        <v>15</v>
      </c>
      <c r="L614" s="6">
        <v>92.145015105740171</v>
      </c>
      <c r="M614" s="2"/>
      <c r="N614" s="22"/>
      <c r="O614" s="22"/>
      <c r="P614" s="2"/>
    </row>
    <row r="615" spans="1:16" ht="15" customHeight="1">
      <c r="A615" s="2">
        <v>614</v>
      </c>
      <c r="B615" s="22" t="s">
        <v>38</v>
      </c>
      <c r="C615" s="22" t="s">
        <v>39</v>
      </c>
      <c r="D615" s="3">
        <v>41908</v>
      </c>
      <c r="E615" s="22" t="s">
        <v>50</v>
      </c>
      <c r="F615" s="22" t="s">
        <v>19</v>
      </c>
      <c r="G615" s="26"/>
      <c r="H615" s="22"/>
      <c r="I615" s="22"/>
      <c r="J615" s="6"/>
      <c r="K615" s="2">
        <v>15</v>
      </c>
      <c r="L615" s="6">
        <v>151.05740181268882</v>
      </c>
      <c r="M615" s="2"/>
      <c r="N615" s="22"/>
      <c r="O615" s="22"/>
      <c r="P615" s="2"/>
    </row>
    <row r="616" spans="1:16" ht="15" customHeight="1">
      <c r="A616" s="2">
        <v>615</v>
      </c>
      <c r="B616" s="22" t="s">
        <v>163</v>
      </c>
      <c r="C616" s="22" t="s">
        <v>164</v>
      </c>
      <c r="D616" s="3">
        <v>41908</v>
      </c>
      <c r="E616" s="22" t="s">
        <v>67</v>
      </c>
      <c r="F616" s="22" t="s">
        <v>19</v>
      </c>
      <c r="G616" s="26"/>
      <c r="H616" s="22"/>
      <c r="I616" s="22"/>
      <c r="J616" s="6"/>
      <c r="K616" s="2">
        <v>6</v>
      </c>
      <c r="L616" s="6">
        <v>293.41317365269464</v>
      </c>
      <c r="M616" s="2"/>
      <c r="N616" s="22"/>
      <c r="O616" s="22"/>
      <c r="P616" s="2"/>
    </row>
    <row r="617" spans="1:16" ht="15" customHeight="1">
      <c r="A617" s="2">
        <v>616</v>
      </c>
      <c r="B617" s="22" t="s">
        <v>27</v>
      </c>
      <c r="C617" s="22" t="s">
        <v>28</v>
      </c>
      <c r="D617" s="3">
        <v>41908</v>
      </c>
      <c r="E617" s="22" t="s">
        <v>26</v>
      </c>
      <c r="F617" s="22" t="s">
        <v>19</v>
      </c>
      <c r="G617" s="26"/>
      <c r="H617" s="22"/>
      <c r="I617" s="22"/>
      <c r="J617" s="6"/>
      <c r="K617" s="2">
        <v>3</v>
      </c>
      <c r="L617" s="6">
        <v>120.87912087912088</v>
      </c>
      <c r="M617" s="2"/>
      <c r="N617" s="22"/>
      <c r="O617" s="22"/>
      <c r="P617" s="2"/>
    </row>
    <row r="618" spans="1:16" ht="15" customHeight="1">
      <c r="A618" s="2">
        <v>617</v>
      </c>
      <c r="B618" s="22" t="s">
        <v>27</v>
      </c>
      <c r="C618" s="22" t="s">
        <v>28</v>
      </c>
      <c r="D618" s="3">
        <v>41908</v>
      </c>
      <c r="E618" s="22" t="s">
        <v>53</v>
      </c>
      <c r="F618" s="22" t="s">
        <v>19</v>
      </c>
      <c r="G618" s="26"/>
      <c r="H618" s="22"/>
      <c r="I618" s="22"/>
      <c r="J618" s="6"/>
      <c r="K618" s="2">
        <v>4</v>
      </c>
      <c r="L618" s="6">
        <v>146.89265536723164</v>
      </c>
      <c r="M618" s="2"/>
      <c r="N618" s="22"/>
      <c r="O618" s="22"/>
      <c r="P618" s="2"/>
    </row>
    <row r="619" spans="1:16" ht="15" customHeight="1">
      <c r="A619" s="2">
        <v>618</v>
      </c>
      <c r="B619" s="22" t="s">
        <v>27</v>
      </c>
      <c r="C619" s="22" t="s">
        <v>28</v>
      </c>
      <c r="D619" s="3">
        <v>41908</v>
      </c>
      <c r="E619" s="22" t="s">
        <v>18</v>
      </c>
      <c r="F619" s="22" t="s">
        <v>19</v>
      </c>
      <c r="G619" s="26" t="s">
        <v>54</v>
      </c>
      <c r="H619" s="22"/>
      <c r="I619" s="22"/>
      <c r="J619" s="6"/>
      <c r="K619" s="2">
        <v>5</v>
      </c>
      <c r="L619" s="6">
        <v>197.67441860465118</v>
      </c>
      <c r="M619" s="2"/>
      <c r="N619" s="22" t="s">
        <v>74</v>
      </c>
      <c r="O619" s="22"/>
      <c r="P619" s="2"/>
    </row>
    <row r="620" spans="1:16" ht="15" customHeight="1">
      <c r="A620" s="2">
        <v>619</v>
      </c>
      <c r="B620" s="22" t="s">
        <v>27</v>
      </c>
      <c r="C620" s="22" t="s">
        <v>28</v>
      </c>
      <c r="D620" s="3">
        <v>41908</v>
      </c>
      <c r="E620" s="22" t="s">
        <v>23</v>
      </c>
      <c r="F620" s="22" t="s">
        <v>19</v>
      </c>
      <c r="G620" s="26"/>
      <c r="H620" s="22"/>
      <c r="I620" s="22"/>
      <c r="J620" s="6"/>
      <c r="K620" s="2">
        <v>6</v>
      </c>
      <c r="L620" s="6">
        <v>263.4730538922156</v>
      </c>
      <c r="M620" s="2"/>
      <c r="N620" s="22"/>
      <c r="O620" s="22"/>
      <c r="P620" s="2"/>
    </row>
    <row r="621" spans="1:16" ht="15" customHeight="1">
      <c r="A621" s="2">
        <v>620</v>
      </c>
      <c r="B621" s="22" t="s">
        <v>33</v>
      </c>
      <c r="C621" s="22" t="s">
        <v>34</v>
      </c>
      <c r="D621" s="3">
        <v>41908</v>
      </c>
      <c r="E621" s="22" t="s">
        <v>46</v>
      </c>
      <c r="F621" s="22" t="s">
        <v>19</v>
      </c>
      <c r="G621" s="26"/>
      <c r="H621" s="22"/>
      <c r="I621" s="22"/>
      <c r="J621" s="6"/>
      <c r="K621" s="2">
        <v>4</v>
      </c>
      <c r="L621" s="6">
        <v>90.395480225988706</v>
      </c>
      <c r="M621" s="2"/>
      <c r="N621" s="22"/>
      <c r="O621" s="22"/>
      <c r="P621" s="2"/>
    </row>
    <row r="622" spans="1:16" ht="15" customHeight="1">
      <c r="A622" s="2">
        <v>621</v>
      </c>
      <c r="B622" s="22" t="s">
        <v>33</v>
      </c>
      <c r="C622" s="22" t="s">
        <v>34</v>
      </c>
      <c r="D622" s="3">
        <v>41908</v>
      </c>
      <c r="E622" s="22" t="s">
        <v>68</v>
      </c>
      <c r="F622" s="22" t="s">
        <v>19</v>
      </c>
      <c r="G622" s="26"/>
      <c r="H622" s="22"/>
      <c r="I622" s="22"/>
      <c r="J622" s="6"/>
      <c r="K622" s="2">
        <v>6</v>
      </c>
      <c r="L622" s="6">
        <v>131.7365269461078</v>
      </c>
      <c r="M622" s="2"/>
      <c r="N622" s="22" t="s">
        <v>69</v>
      </c>
      <c r="O622" s="22"/>
      <c r="P622" s="2"/>
    </row>
    <row r="623" spans="1:16" ht="15" customHeight="1">
      <c r="A623" s="2">
        <v>622</v>
      </c>
      <c r="B623" s="22" t="s">
        <v>33</v>
      </c>
      <c r="C623" s="22" t="s">
        <v>34</v>
      </c>
      <c r="D623" s="3">
        <v>41908</v>
      </c>
      <c r="E623" s="22" t="s">
        <v>62</v>
      </c>
      <c r="F623" s="22" t="s">
        <v>19</v>
      </c>
      <c r="G623" s="26"/>
      <c r="H623" s="22"/>
      <c r="I623" s="22"/>
      <c r="J623" s="6"/>
      <c r="K623" s="2">
        <v>8</v>
      </c>
      <c r="L623" s="6">
        <v>68.789808917197448</v>
      </c>
      <c r="M623" s="2"/>
      <c r="N623" s="22"/>
      <c r="O623" s="22"/>
      <c r="P623" s="2"/>
    </row>
    <row r="624" spans="1:16" ht="15" customHeight="1">
      <c r="A624" s="2">
        <v>623</v>
      </c>
      <c r="B624" s="22" t="s">
        <v>41</v>
      </c>
      <c r="C624" s="22" t="s">
        <v>42</v>
      </c>
      <c r="D624" s="3">
        <v>41908</v>
      </c>
      <c r="E624" s="27" t="s">
        <v>29</v>
      </c>
      <c r="F624" s="22" t="s">
        <v>19</v>
      </c>
      <c r="G624" s="26" t="s">
        <v>20</v>
      </c>
      <c r="H624" s="22"/>
      <c r="I624" s="22"/>
      <c r="J624" s="6"/>
      <c r="K624" s="2">
        <v>5</v>
      </c>
      <c r="L624" s="6">
        <v>151.16279069767441</v>
      </c>
      <c r="M624" s="2"/>
      <c r="N624" s="22" t="s">
        <v>107</v>
      </c>
      <c r="O624" s="22"/>
      <c r="P624" s="2"/>
    </row>
    <row r="625" spans="1:16" ht="15" customHeight="1">
      <c r="A625" s="2">
        <v>624</v>
      </c>
      <c r="B625" s="22" t="s">
        <v>63</v>
      </c>
      <c r="C625" s="22" t="s">
        <v>64</v>
      </c>
      <c r="D625" s="3">
        <v>41908</v>
      </c>
      <c r="E625" s="22" t="s">
        <v>46</v>
      </c>
      <c r="F625" s="22" t="s">
        <v>19</v>
      </c>
      <c r="G625" s="26"/>
      <c r="H625" s="22"/>
      <c r="I625" s="22"/>
      <c r="J625" s="6"/>
      <c r="K625" s="2">
        <v>5</v>
      </c>
      <c r="L625" s="6">
        <v>98.83720930232559</v>
      </c>
      <c r="M625" s="2"/>
      <c r="N625" s="22"/>
      <c r="O625" s="22"/>
      <c r="P625" s="2"/>
    </row>
    <row r="626" spans="1:16" ht="15" customHeight="1">
      <c r="A626" s="2">
        <v>625</v>
      </c>
      <c r="B626" s="22" t="s">
        <v>63</v>
      </c>
      <c r="C626" s="22" t="s">
        <v>64</v>
      </c>
      <c r="D626" s="3">
        <v>41908</v>
      </c>
      <c r="E626" s="22" t="s">
        <v>68</v>
      </c>
      <c r="F626" s="22" t="s">
        <v>19</v>
      </c>
      <c r="G626" s="26"/>
      <c r="H626" s="22"/>
      <c r="I626" s="22"/>
      <c r="J626" s="6"/>
      <c r="K626" s="2">
        <v>8</v>
      </c>
      <c r="L626" s="6">
        <v>89.171974522292984</v>
      </c>
      <c r="M626" s="2"/>
      <c r="N626" s="22" t="s">
        <v>69</v>
      </c>
      <c r="O626" s="22"/>
      <c r="P626" s="2"/>
    </row>
    <row r="627" spans="1:16" ht="15" customHeight="1">
      <c r="A627" s="2">
        <v>626</v>
      </c>
      <c r="B627" s="22" t="s">
        <v>63</v>
      </c>
      <c r="C627" s="22" t="s">
        <v>64</v>
      </c>
      <c r="D627" s="3">
        <v>41908</v>
      </c>
      <c r="E627" s="22" t="s">
        <v>62</v>
      </c>
      <c r="F627" s="22" t="s">
        <v>19</v>
      </c>
      <c r="G627" s="26"/>
      <c r="H627" s="22"/>
      <c r="I627" s="22"/>
      <c r="J627" s="6"/>
      <c r="K627" s="2">
        <v>8</v>
      </c>
      <c r="L627" s="6">
        <v>72.611464968152859</v>
      </c>
      <c r="M627" s="2"/>
      <c r="N627" s="22"/>
      <c r="O627" s="22"/>
      <c r="P627" s="2"/>
    </row>
    <row r="628" spans="1:16" ht="15" customHeight="1">
      <c r="A628" s="2">
        <v>627</v>
      </c>
      <c r="B628" s="22" t="s">
        <v>47</v>
      </c>
      <c r="C628" s="22" t="s">
        <v>48</v>
      </c>
      <c r="D628" s="3">
        <v>41911</v>
      </c>
      <c r="E628" s="27" t="s">
        <v>29</v>
      </c>
      <c r="F628" s="22" t="s">
        <v>19</v>
      </c>
      <c r="G628" s="26" t="s">
        <v>20</v>
      </c>
      <c r="H628" s="22"/>
      <c r="I628" s="22"/>
      <c r="J628" s="6"/>
      <c r="K628" s="2">
        <v>5</v>
      </c>
      <c r="L628" s="6">
        <v>232.55813953488374</v>
      </c>
      <c r="M628" s="2"/>
      <c r="N628" s="22" t="s">
        <v>30</v>
      </c>
      <c r="O628" s="22"/>
      <c r="P628" s="2"/>
    </row>
    <row r="629" spans="1:16" ht="15" customHeight="1">
      <c r="A629" s="2">
        <v>628</v>
      </c>
      <c r="B629" s="22" t="s">
        <v>47</v>
      </c>
      <c r="C629" s="22" t="s">
        <v>48</v>
      </c>
      <c r="D629" s="3">
        <v>41911</v>
      </c>
      <c r="E629" s="22" t="s">
        <v>62</v>
      </c>
      <c r="F629" s="22" t="s">
        <v>19</v>
      </c>
      <c r="G629" s="26"/>
      <c r="H629" s="22"/>
      <c r="I629" s="22"/>
      <c r="J629" s="6"/>
      <c r="K629" s="2">
        <v>6</v>
      </c>
      <c r="L629" s="6">
        <v>73.053892215568865</v>
      </c>
      <c r="M629" s="2"/>
      <c r="N629" s="22"/>
      <c r="O629" s="22"/>
      <c r="P629" s="2"/>
    </row>
    <row r="630" spans="1:16" ht="15" customHeight="1">
      <c r="A630" s="2">
        <v>629</v>
      </c>
      <c r="B630" s="22" t="s">
        <v>47</v>
      </c>
      <c r="C630" s="22" t="s">
        <v>48</v>
      </c>
      <c r="D630" s="3">
        <v>41911</v>
      </c>
      <c r="E630" s="27" t="s">
        <v>29</v>
      </c>
      <c r="F630" s="22" t="s">
        <v>19</v>
      </c>
      <c r="G630" s="26" t="s">
        <v>20</v>
      </c>
      <c r="H630" s="22"/>
      <c r="I630" s="22"/>
      <c r="J630" s="6"/>
      <c r="K630" s="2"/>
      <c r="L630" s="6">
        <v>200</v>
      </c>
      <c r="M630" s="2"/>
      <c r="N630" s="22" t="s">
        <v>30</v>
      </c>
      <c r="O630" s="22" t="s">
        <v>55</v>
      </c>
      <c r="P630" s="2"/>
    </row>
    <row r="631" spans="1:16" ht="15" customHeight="1">
      <c r="A631" s="2">
        <v>630</v>
      </c>
      <c r="B631" s="22" t="s">
        <v>16</v>
      </c>
      <c r="C631" s="22" t="s">
        <v>17</v>
      </c>
      <c r="D631" s="3">
        <v>41911</v>
      </c>
      <c r="E631" s="27" t="s">
        <v>29</v>
      </c>
      <c r="F631" s="22" t="s">
        <v>19</v>
      </c>
      <c r="G631" s="26" t="s">
        <v>20</v>
      </c>
      <c r="H631" s="22"/>
      <c r="I631" s="22"/>
      <c r="J631" s="6"/>
      <c r="K631" s="2">
        <v>5</v>
      </c>
      <c r="L631" s="6">
        <v>186.04651162790697</v>
      </c>
      <c r="M631" s="2"/>
      <c r="N631" s="22" t="s">
        <v>30</v>
      </c>
      <c r="O631" s="22"/>
      <c r="P631" s="2"/>
    </row>
    <row r="632" spans="1:16" ht="15" customHeight="1">
      <c r="A632" s="2">
        <v>631</v>
      </c>
      <c r="B632" s="22" t="s">
        <v>16</v>
      </c>
      <c r="C632" s="22" t="s">
        <v>17</v>
      </c>
      <c r="D632" s="3">
        <v>41911</v>
      </c>
      <c r="E632" s="22" t="s">
        <v>62</v>
      </c>
      <c r="F632" s="22" t="s">
        <v>19</v>
      </c>
      <c r="G632" s="26"/>
      <c r="H632" s="22"/>
      <c r="I632" s="22"/>
      <c r="J632" s="6"/>
      <c r="K632" s="2">
        <v>6</v>
      </c>
      <c r="L632" s="6">
        <v>73.053892215568865</v>
      </c>
      <c r="M632" s="2"/>
      <c r="N632" s="22"/>
      <c r="O632" s="22"/>
      <c r="P632" s="2"/>
    </row>
    <row r="633" spans="1:16" ht="15" customHeight="1">
      <c r="A633" s="2">
        <v>632</v>
      </c>
      <c r="B633" s="22" t="s">
        <v>16</v>
      </c>
      <c r="C633" s="22" t="s">
        <v>17</v>
      </c>
      <c r="D633" s="3">
        <v>41911</v>
      </c>
      <c r="E633" s="27" t="s">
        <v>29</v>
      </c>
      <c r="F633" s="22" t="s">
        <v>19</v>
      </c>
      <c r="G633" s="26" t="s">
        <v>20</v>
      </c>
      <c r="H633" s="22"/>
      <c r="I633" s="22"/>
      <c r="J633" s="6"/>
      <c r="K633" s="2"/>
      <c r="L633" s="6">
        <v>145</v>
      </c>
      <c r="M633" s="2"/>
      <c r="N633" s="22" t="s">
        <v>30</v>
      </c>
      <c r="O633" s="22" t="s">
        <v>166</v>
      </c>
      <c r="P633" s="2"/>
    </row>
    <row r="634" spans="1:16" ht="15" customHeight="1">
      <c r="A634" s="2">
        <v>633</v>
      </c>
      <c r="B634" s="22" t="s">
        <v>38</v>
      </c>
      <c r="C634" s="22" t="s">
        <v>39</v>
      </c>
      <c r="D634" s="3">
        <v>41911</v>
      </c>
      <c r="E634" s="22" t="s">
        <v>46</v>
      </c>
      <c r="F634" s="22" t="s">
        <v>19</v>
      </c>
      <c r="G634" s="26"/>
      <c r="H634" s="22"/>
      <c r="I634" s="22"/>
      <c r="J634" s="6"/>
      <c r="K634" s="2">
        <v>5</v>
      </c>
      <c r="L634" s="6">
        <v>81.395348837209298</v>
      </c>
      <c r="M634" s="2"/>
      <c r="N634" s="22"/>
      <c r="O634" s="22"/>
      <c r="P634" s="2"/>
    </row>
    <row r="635" spans="1:16" ht="15" customHeight="1">
      <c r="A635" s="2">
        <v>634</v>
      </c>
      <c r="B635" s="22" t="s">
        <v>38</v>
      </c>
      <c r="C635" s="22" t="s">
        <v>39</v>
      </c>
      <c r="D635" s="3">
        <v>41911</v>
      </c>
      <c r="E635" s="22" t="s">
        <v>62</v>
      </c>
      <c r="F635" s="22" t="s">
        <v>19</v>
      </c>
      <c r="G635" s="26"/>
      <c r="H635" s="22"/>
      <c r="I635" s="22"/>
      <c r="J635" s="6"/>
      <c r="K635" s="2">
        <v>8</v>
      </c>
      <c r="L635" s="6">
        <v>81.528662420382162</v>
      </c>
      <c r="M635" s="2"/>
      <c r="N635" s="22"/>
      <c r="O635" s="22"/>
      <c r="P635" s="2"/>
    </row>
    <row r="636" spans="1:16" ht="15" customHeight="1">
      <c r="A636" s="2">
        <v>635</v>
      </c>
      <c r="B636" s="22" t="s">
        <v>163</v>
      </c>
      <c r="C636" s="22" t="s">
        <v>164</v>
      </c>
      <c r="D636" s="3">
        <v>41911</v>
      </c>
      <c r="E636" s="22" t="s">
        <v>62</v>
      </c>
      <c r="F636" s="22" t="s">
        <v>19</v>
      </c>
      <c r="G636" s="26"/>
      <c r="H636" s="22"/>
      <c r="I636" s="22"/>
      <c r="J636" s="6"/>
      <c r="K636" s="2">
        <v>6</v>
      </c>
      <c r="L636" s="6">
        <v>39.52095808383234</v>
      </c>
      <c r="M636" s="2"/>
      <c r="N636" s="22"/>
      <c r="O636" s="22"/>
      <c r="P636" s="2"/>
    </row>
    <row r="637" spans="1:16" ht="15" customHeight="1">
      <c r="A637" s="2">
        <v>636</v>
      </c>
      <c r="B637" s="22" t="s">
        <v>27</v>
      </c>
      <c r="C637" s="22" t="s">
        <v>28</v>
      </c>
      <c r="D637" s="3">
        <v>41911</v>
      </c>
      <c r="E637" s="22" t="s">
        <v>18</v>
      </c>
      <c r="F637" s="22" t="s">
        <v>19</v>
      </c>
      <c r="G637" s="26" t="s">
        <v>54</v>
      </c>
      <c r="H637" s="22"/>
      <c r="I637" s="22"/>
      <c r="J637" s="6"/>
      <c r="K637" s="2">
        <v>5</v>
      </c>
      <c r="L637" s="6">
        <v>186.04651162790697</v>
      </c>
      <c r="M637" s="2"/>
      <c r="N637" s="22" t="s">
        <v>74</v>
      </c>
      <c r="O637" s="22"/>
      <c r="P637" s="2"/>
    </row>
    <row r="638" spans="1:16" ht="15" customHeight="1">
      <c r="A638" s="2">
        <v>637</v>
      </c>
      <c r="B638" s="22" t="s">
        <v>27</v>
      </c>
      <c r="C638" s="22" t="s">
        <v>28</v>
      </c>
      <c r="D638" s="3">
        <v>41911</v>
      </c>
      <c r="E638" s="22" t="s">
        <v>62</v>
      </c>
      <c r="F638" s="22" t="s">
        <v>19</v>
      </c>
      <c r="G638" s="26"/>
      <c r="H638" s="22"/>
      <c r="I638" s="22"/>
      <c r="J638" s="6"/>
      <c r="K638" s="2">
        <v>6</v>
      </c>
      <c r="L638" s="6">
        <v>79.041916167664681</v>
      </c>
      <c r="M638" s="2"/>
      <c r="N638" s="22"/>
      <c r="O638" s="22"/>
      <c r="P638" s="2"/>
    </row>
    <row r="639" spans="1:16" ht="15" customHeight="1">
      <c r="A639" s="2">
        <v>638</v>
      </c>
      <c r="B639" s="22" t="s">
        <v>27</v>
      </c>
      <c r="C639" s="22" t="s">
        <v>28</v>
      </c>
      <c r="D639" s="3">
        <v>41911</v>
      </c>
      <c r="E639" s="22" t="s">
        <v>18</v>
      </c>
      <c r="F639" s="22" t="s">
        <v>19</v>
      </c>
      <c r="G639" s="26"/>
      <c r="H639" s="22"/>
      <c r="I639" s="22"/>
      <c r="J639" s="6"/>
      <c r="K639" s="2"/>
      <c r="L639" s="6">
        <v>190</v>
      </c>
      <c r="M639" s="2"/>
      <c r="N639" s="22" t="s">
        <v>69</v>
      </c>
      <c r="O639" s="22" t="s">
        <v>166</v>
      </c>
      <c r="P639" s="2"/>
    </row>
    <row r="640" spans="1:16" ht="15" customHeight="1">
      <c r="A640" s="2">
        <v>639</v>
      </c>
      <c r="B640" s="22" t="s">
        <v>33</v>
      </c>
      <c r="C640" s="22" t="s">
        <v>34</v>
      </c>
      <c r="D640" s="3">
        <v>41911</v>
      </c>
      <c r="E640" s="22" t="s">
        <v>18</v>
      </c>
      <c r="F640" s="22" t="s">
        <v>19</v>
      </c>
      <c r="G640" s="26"/>
      <c r="H640" s="22"/>
      <c r="I640" s="22"/>
      <c r="J640" s="6"/>
      <c r="K640" s="2">
        <v>3</v>
      </c>
      <c r="L640" s="6">
        <v>186.8131868131868</v>
      </c>
      <c r="M640" s="2"/>
      <c r="N640" s="22" t="s">
        <v>99</v>
      </c>
      <c r="O640" s="22" t="s">
        <v>162</v>
      </c>
      <c r="P640" s="2"/>
    </row>
    <row r="641" spans="1:16" ht="15" customHeight="1">
      <c r="A641" s="2">
        <v>640</v>
      </c>
      <c r="B641" s="22" t="s">
        <v>41</v>
      </c>
      <c r="C641" s="22" t="s">
        <v>42</v>
      </c>
      <c r="D641" s="3">
        <v>41911</v>
      </c>
      <c r="E641" s="27" t="s">
        <v>29</v>
      </c>
      <c r="F641" s="22" t="s">
        <v>19</v>
      </c>
      <c r="G641" s="26" t="s">
        <v>20</v>
      </c>
      <c r="H641" s="22"/>
      <c r="I641" s="22"/>
      <c r="J641" s="6"/>
      <c r="K641" s="2">
        <v>5</v>
      </c>
      <c r="L641" s="6">
        <v>156.97674418604652</v>
      </c>
      <c r="M641" s="2"/>
      <c r="N641" s="22" t="s">
        <v>107</v>
      </c>
      <c r="O641" s="22"/>
      <c r="P641" s="2"/>
    </row>
    <row r="642" spans="1:16" ht="15" customHeight="1">
      <c r="A642" s="2">
        <v>641</v>
      </c>
      <c r="B642" s="22" t="s">
        <v>41</v>
      </c>
      <c r="C642" s="22" t="s">
        <v>42</v>
      </c>
      <c r="D642" s="3">
        <v>41911</v>
      </c>
      <c r="E642" s="27" t="s">
        <v>29</v>
      </c>
      <c r="F642" s="22" t="s">
        <v>19</v>
      </c>
      <c r="G642" s="26"/>
      <c r="H642" s="22"/>
      <c r="I642" s="22"/>
      <c r="J642" s="6"/>
      <c r="K642" s="2"/>
      <c r="L642" s="6">
        <v>130</v>
      </c>
      <c r="M642" s="2"/>
      <c r="N642" s="22" t="s">
        <v>107</v>
      </c>
      <c r="O642" s="22" t="s">
        <v>166</v>
      </c>
      <c r="P642" s="2"/>
    </row>
    <row r="643" spans="1:16" ht="15" customHeight="1">
      <c r="A643" s="2">
        <v>642</v>
      </c>
      <c r="B643" s="22" t="s">
        <v>63</v>
      </c>
      <c r="C643" s="22" t="s">
        <v>64</v>
      </c>
      <c r="D643" s="3">
        <v>41911</v>
      </c>
      <c r="E643" s="22" t="s">
        <v>18</v>
      </c>
      <c r="F643" s="22" t="s">
        <v>19</v>
      </c>
      <c r="G643" s="26"/>
      <c r="H643" s="22"/>
      <c r="I643" s="22"/>
      <c r="J643" s="6"/>
      <c r="K643" s="2">
        <v>3</v>
      </c>
      <c r="L643" s="6">
        <v>164.83516483516482</v>
      </c>
      <c r="M643" s="2"/>
      <c r="N643" s="22" t="s">
        <v>99</v>
      </c>
      <c r="O643" s="22" t="s">
        <v>162</v>
      </c>
      <c r="P643" s="2"/>
    </row>
    <row r="644" spans="1:16" ht="15" customHeight="1">
      <c r="A644" s="2">
        <v>643</v>
      </c>
      <c r="B644" s="22" t="s">
        <v>16</v>
      </c>
      <c r="C644" s="22" t="s">
        <v>17</v>
      </c>
      <c r="D644" s="3">
        <v>41913</v>
      </c>
      <c r="E644" s="22" t="s">
        <v>43</v>
      </c>
      <c r="F644" s="22" t="s">
        <v>19</v>
      </c>
      <c r="G644" s="26"/>
      <c r="H644" s="22"/>
      <c r="I644" s="22"/>
      <c r="J644" s="6"/>
      <c r="K644" s="2">
        <v>3</v>
      </c>
      <c r="L644" s="6">
        <v>164.83516483516482</v>
      </c>
      <c r="M644" s="2"/>
      <c r="N644" s="22" t="s">
        <v>128</v>
      </c>
      <c r="O644" s="22"/>
      <c r="P644" s="2"/>
    </row>
    <row r="645" spans="1:16" ht="15" customHeight="1">
      <c r="A645" s="2">
        <v>644</v>
      </c>
      <c r="B645" s="22" t="s">
        <v>38</v>
      </c>
      <c r="C645" s="22" t="s">
        <v>39</v>
      </c>
      <c r="D645" s="3">
        <v>41913</v>
      </c>
      <c r="E645" s="22" t="s">
        <v>43</v>
      </c>
      <c r="F645" s="22" t="s">
        <v>19</v>
      </c>
      <c r="G645" s="26"/>
      <c r="H645" s="22"/>
      <c r="I645" s="22"/>
      <c r="J645" s="6"/>
      <c r="K645" s="2">
        <v>3</v>
      </c>
      <c r="L645" s="6">
        <v>153.84615384615384</v>
      </c>
      <c r="M645" s="2"/>
      <c r="N645" s="22" t="s">
        <v>128</v>
      </c>
      <c r="O645" s="22"/>
      <c r="P645" s="2"/>
    </row>
    <row r="646" spans="1:16" ht="15" customHeight="1">
      <c r="A646" s="2">
        <v>645</v>
      </c>
      <c r="B646" s="22" t="s">
        <v>163</v>
      </c>
      <c r="C646" s="22" t="s">
        <v>164</v>
      </c>
      <c r="D646" s="3">
        <v>41913</v>
      </c>
      <c r="E646" s="22" t="s">
        <v>67</v>
      </c>
      <c r="F646" s="22" t="s">
        <v>19</v>
      </c>
      <c r="G646" s="26"/>
      <c r="H646" s="22" t="s">
        <v>165</v>
      </c>
      <c r="I646" s="22"/>
      <c r="J646" s="6"/>
      <c r="K646" s="2">
        <v>3</v>
      </c>
      <c r="L646" s="6">
        <v>241.75824175824175</v>
      </c>
      <c r="M646" s="2"/>
      <c r="N646" s="22"/>
      <c r="O646" s="22"/>
      <c r="P646" s="2"/>
    </row>
    <row r="647" spans="1:16" ht="15" customHeight="1">
      <c r="A647" s="2">
        <v>646</v>
      </c>
      <c r="B647" s="22" t="s">
        <v>27</v>
      </c>
      <c r="C647" s="22" t="s">
        <v>28</v>
      </c>
      <c r="D647" s="3">
        <v>41913</v>
      </c>
      <c r="E647" s="22" t="s">
        <v>43</v>
      </c>
      <c r="F647" s="22" t="s">
        <v>19</v>
      </c>
      <c r="G647" s="26"/>
      <c r="H647" s="22"/>
      <c r="I647" s="22"/>
      <c r="J647" s="6"/>
      <c r="K647" s="2">
        <v>3</v>
      </c>
      <c r="L647" s="6">
        <v>219.78021978021977</v>
      </c>
      <c r="M647" s="2"/>
      <c r="N647" s="22" t="s">
        <v>128</v>
      </c>
      <c r="O647" s="22"/>
      <c r="P647" s="2"/>
    </row>
    <row r="648" spans="1:16" ht="15" customHeight="1">
      <c r="A648" s="2">
        <v>647</v>
      </c>
      <c r="B648" s="22" t="s">
        <v>33</v>
      </c>
      <c r="C648" s="22" t="s">
        <v>34</v>
      </c>
      <c r="D648" s="3">
        <v>41913</v>
      </c>
      <c r="E648" s="22" t="s">
        <v>43</v>
      </c>
      <c r="F648" s="22" t="s">
        <v>19</v>
      </c>
      <c r="G648" s="26"/>
      <c r="H648" s="22"/>
      <c r="I648" s="22"/>
      <c r="J648" s="6"/>
      <c r="K648" s="2">
        <v>3</v>
      </c>
      <c r="L648" s="6">
        <v>186.8131868131868</v>
      </c>
      <c r="M648" s="2"/>
      <c r="N648" s="22" t="s">
        <v>128</v>
      </c>
      <c r="O648" s="22"/>
      <c r="P648" s="2"/>
    </row>
    <row r="649" spans="1:16" ht="15" customHeight="1">
      <c r="A649" s="2">
        <v>648</v>
      </c>
      <c r="B649" s="22" t="s">
        <v>41</v>
      </c>
      <c r="C649" s="22" t="s">
        <v>42</v>
      </c>
      <c r="D649" s="3">
        <v>41913</v>
      </c>
      <c r="E649" s="22" t="s">
        <v>43</v>
      </c>
      <c r="F649" s="22" t="s">
        <v>19</v>
      </c>
      <c r="G649" s="26"/>
      <c r="H649" s="22"/>
      <c r="I649" s="22"/>
      <c r="J649" s="6"/>
      <c r="K649" s="2">
        <v>3</v>
      </c>
      <c r="L649" s="6">
        <v>131.86813186813185</v>
      </c>
      <c r="M649" s="2"/>
      <c r="N649" s="22" t="s">
        <v>128</v>
      </c>
      <c r="O649" s="22"/>
      <c r="P649" s="2"/>
    </row>
    <row r="650" spans="1:16" ht="15" customHeight="1">
      <c r="A650" s="2">
        <v>649</v>
      </c>
      <c r="B650" s="22" t="s">
        <v>63</v>
      </c>
      <c r="C650" s="22" t="s">
        <v>64</v>
      </c>
      <c r="D650" s="3">
        <v>41913</v>
      </c>
      <c r="E650" s="22" t="s">
        <v>43</v>
      </c>
      <c r="F650" s="22" t="s">
        <v>19</v>
      </c>
      <c r="G650" s="26"/>
      <c r="H650" s="22"/>
      <c r="I650" s="22"/>
      <c r="J650" s="6"/>
      <c r="K650" s="2">
        <v>3</v>
      </c>
      <c r="L650" s="6">
        <v>164.83516483516482</v>
      </c>
      <c r="M650" s="2"/>
      <c r="N650" s="22" t="s">
        <v>128</v>
      </c>
      <c r="O650" s="22"/>
      <c r="P650" s="2"/>
    </row>
    <row r="651" spans="1:16" ht="15" customHeight="1">
      <c r="A651" s="2">
        <v>650</v>
      </c>
      <c r="B651" s="22" t="s">
        <v>38</v>
      </c>
      <c r="C651" s="22" t="s">
        <v>39</v>
      </c>
      <c r="D651" s="3">
        <v>41915</v>
      </c>
      <c r="E651" s="27" t="s">
        <v>29</v>
      </c>
      <c r="F651" s="22" t="s">
        <v>19</v>
      </c>
      <c r="G651" s="26" t="s">
        <v>54</v>
      </c>
      <c r="H651" s="22"/>
      <c r="I651" s="22"/>
      <c r="J651" s="6"/>
      <c r="K651" s="2">
        <v>6</v>
      </c>
      <c r="L651" s="6">
        <v>119.76047904191617</v>
      </c>
      <c r="M651" s="2"/>
      <c r="N651" s="22" t="s">
        <v>107</v>
      </c>
      <c r="O651" s="22"/>
      <c r="P651" s="2"/>
    </row>
    <row r="652" spans="1:16" ht="15" customHeight="1">
      <c r="A652" s="2">
        <v>651</v>
      </c>
      <c r="B652" s="22" t="s">
        <v>38</v>
      </c>
      <c r="C652" s="22" t="s">
        <v>39</v>
      </c>
      <c r="D652" s="3">
        <v>41915</v>
      </c>
      <c r="E652" s="22" t="s">
        <v>23</v>
      </c>
      <c r="F652" s="22" t="s">
        <v>19</v>
      </c>
      <c r="G652" s="26"/>
      <c r="H652" s="22"/>
      <c r="I652" s="22"/>
      <c r="J652" s="6"/>
      <c r="K652" s="2">
        <v>6</v>
      </c>
      <c r="L652" s="6">
        <v>215.56886227544911</v>
      </c>
      <c r="M652" s="2"/>
      <c r="N652" s="22"/>
      <c r="O652" s="22"/>
      <c r="P652" s="2"/>
    </row>
    <row r="653" spans="1:16" ht="15" customHeight="1">
      <c r="A653" s="2">
        <v>652</v>
      </c>
      <c r="B653" s="22" t="s">
        <v>38</v>
      </c>
      <c r="C653" s="22" t="s">
        <v>39</v>
      </c>
      <c r="D653" s="3">
        <v>41915</v>
      </c>
      <c r="E653" s="22" t="s">
        <v>50</v>
      </c>
      <c r="F653" s="22" t="s">
        <v>19</v>
      </c>
      <c r="G653" s="26"/>
      <c r="H653" s="22"/>
      <c r="I653" s="22"/>
      <c r="J653" s="6"/>
      <c r="K653" s="2">
        <v>20</v>
      </c>
      <c r="L653" s="6">
        <v>181.51815181518151</v>
      </c>
      <c r="M653" s="2"/>
      <c r="N653" s="22"/>
      <c r="O653" s="22"/>
      <c r="P653" s="2"/>
    </row>
    <row r="654" spans="1:16" ht="15" customHeight="1">
      <c r="A654" s="2">
        <v>653</v>
      </c>
      <c r="B654" s="22" t="s">
        <v>38</v>
      </c>
      <c r="C654" s="22" t="s">
        <v>39</v>
      </c>
      <c r="D654" s="3">
        <v>41915</v>
      </c>
      <c r="E654" s="22" t="s">
        <v>71</v>
      </c>
      <c r="F654" s="22" t="s">
        <v>19</v>
      </c>
      <c r="G654" s="26"/>
      <c r="H654" s="22"/>
      <c r="I654" s="22"/>
      <c r="J654" s="6"/>
      <c r="K654" s="2">
        <v>21</v>
      </c>
      <c r="L654" s="6">
        <v>81.570996978851966</v>
      </c>
      <c r="M654" s="2"/>
      <c r="N654" s="22"/>
      <c r="O654" s="22" t="s">
        <v>73</v>
      </c>
      <c r="P654" s="2"/>
    </row>
    <row r="655" spans="1:16" ht="15" customHeight="1">
      <c r="A655" s="2">
        <v>654</v>
      </c>
      <c r="B655" s="22" t="s">
        <v>33</v>
      </c>
      <c r="C655" s="22" t="s">
        <v>34</v>
      </c>
      <c r="D655" s="3">
        <v>41915</v>
      </c>
      <c r="E655" s="22" t="s">
        <v>46</v>
      </c>
      <c r="F655" s="22" t="s">
        <v>19</v>
      </c>
      <c r="G655" s="26"/>
      <c r="H655" s="22"/>
      <c r="I655" s="22"/>
      <c r="J655" s="6"/>
      <c r="K655" s="2">
        <v>4</v>
      </c>
      <c r="L655" s="6">
        <v>101.69491525423729</v>
      </c>
      <c r="M655" s="2"/>
      <c r="N655" s="22"/>
      <c r="O655" s="22"/>
      <c r="P655" s="2"/>
    </row>
    <row r="656" spans="1:16" ht="15" customHeight="1">
      <c r="A656" s="2">
        <v>655</v>
      </c>
      <c r="B656" s="22" t="s">
        <v>33</v>
      </c>
      <c r="C656" s="22" t="s">
        <v>34</v>
      </c>
      <c r="D656" s="3">
        <v>41915</v>
      </c>
      <c r="E656" s="22" t="s">
        <v>68</v>
      </c>
      <c r="F656" s="22" t="s">
        <v>19</v>
      </c>
      <c r="G656" s="26"/>
      <c r="H656" s="22"/>
      <c r="I656" s="22"/>
      <c r="J656" s="6"/>
      <c r="K656" s="2">
        <v>5</v>
      </c>
      <c r="L656" s="6">
        <v>127.90697674418605</v>
      </c>
      <c r="M656" s="2"/>
      <c r="N656" s="22" t="s">
        <v>69</v>
      </c>
      <c r="O656" s="22"/>
      <c r="P656" s="2"/>
    </row>
    <row r="657" spans="1:16" ht="15" customHeight="1">
      <c r="A657" s="2">
        <v>656</v>
      </c>
      <c r="B657" s="22" t="s">
        <v>33</v>
      </c>
      <c r="C657" s="22" t="s">
        <v>34</v>
      </c>
      <c r="D657" s="3">
        <v>41915</v>
      </c>
      <c r="E657" s="22" t="s">
        <v>62</v>
      </c>
      <c r="F657" s="22" t="s">
        <v>19</v>
      </c>
      <c r="G657" s="26"/>
      <c r="H657" s="22"/>
      <c r="I657" s="22"/>
      <c r="J657" s="6"/>
      <c r="K657" s="2">
        <v>8</v>
      </c>
      <c r="L657" s="6">
        <v>77.70700636942675</v>
      </c>
      <c r="M657" s="2"/>
      <c r="N657" s="22"/>
      <c r="O657" s="22"/>
      <c r="P657" s="2"/>
    </row>
    <row r="658" spans="1:16" ht="15" customHeight="1">
      <c r="A658" s="2">
        <v>657</v>
      </c>
      <c r="B658" s="22" t="s">
        <v>63</v>
      </c>
      <c r="C658" s="22" t="s">
        <v>64</v>
      </c>
      <c r="D658" s="3">
        <v>41915</v>
      </c>
      <c r="E658" s="22" t="s">
        <v>46</v>
      </c>
      <c r="F658" s="22" t="s">
        <v>19</v>
      </c>
      <c r="G658" s="26"/>
      <c r="H658" s="22"/>
      <c r="I658" s="22"/>
      <c r="J658" s="6"/>
      <c r="K658" s="2">
        <v>5</v>
      </c>
      <c r="L658" s="6">
        <v>98.83720930232559</v>
      </c>
      <c r="M658" s="2"/>
      <c r="N658" s="22"/>
      <c r="O658" s="22"/>
      <c r="P658" s="2"/>
    </row>
    <row r="659" spans="1:16" ht="15" customHeight="1">
      <c r="A659" s="2">
        <v>658</v>
      </c>
      <c r="B659" s="22" t="s">
        <v>63</v>
      </c>
      <c r="C659" s="22" t="s">
        <v>64</v>
      </c>
      <c r="D659" s="3">
        <v>41915</v>
      </c>
      <c r="E659" s="22" t="s">
        <v>68</v>
      </c>
      <c r="F659" s="22" t="s">
        <v>19</v>
      </c>
      <c r="G659" s="26"/>
      <c r="H659" s="22"/>
      <c r="I659" s="22"/>
      <c r="J659" s="6"/>
      <c r="K659" s="2">
        <v>6</v>
      </c>
      <c r="L659" s="6">
        <v>95.808383233532936</v>
      </c>
      <c r="M659" s="2"/>
      <c r="N659" s="22" t="s">
        <v>69</v>
      </c>
      <c r="O659" s="22"/>
      <c r="P659" s="2"/>
    </row>
    <row r="660" spans="1:16" ht="15" customHeight="1">
      <c r="A660" s="2">
        <v>659</v>
      </c>
      <c r="B660" s="22" t="s">
        <v>63</v>
      </c>
      <c r="C660" s="22" t="s">
        <v>64</v>
      </c>
      <c r="D660" s="3">
        <v>41915</v>
      </c>
      <c r="E660" s="22" t="s">
        <v>62</v>
      </c>
      <c r="F660" s="22" t="s">
        <v>19</v>
      </c>
      <c r="G660" s="26"/>
      <c r="H660" s="22"/>
      <c r="I660" s="22"/>
      <c r="J660" s="6"/>
      <c r="K660" s="2">
        <v>8</v>
      </c>
      <c r="L660" s="6">
        <v>72.611464968152859</v>
      </c>
      <c r="M660" s="2"/>
      <c r="N660" s="22"/>
      <c r="O660" s="22"/>
      <c r="P660" s="2"/>
    </row>
    <row r="661" spans="1:16" ht="15" customHeight="1">
      <c r="A661" s="2">
        <v>660</v>
      </c>
      <c r="B661" s="22" t="s">
        <v>38</v>
      </c>
      <c r="C661" s="22" t="s">
        <v>39</v>
      </c>
      <c r="D661" s="3">
        <v>41918</v>
      </c>
      <c r="E661" s="22" t="s">
        <v>46</v>
      </c>
      <c r="F661" s="22" t="s">
        <v>19</v>
      </c>
      <c r="G661" s="26"/>
      <c r="H661" s="22"/>
      <c r="I661" s="22"/>
      <c r="J661" s="6"/>
      <c r="K661" s="2">
        <v>5</v>
      </c>
      <c r="L661" s="6">
        <v>87.20930232558139</v>
      </c>
      <c r="M661" s="2"/>
      <c r="N661" s="22"/>
      <c r="O661" s="22"/>
      <c r="P661" s="2"/>
    </row>
    <row r="662" spans="1:16" ht="15" customHeight="1">
      <c r="A662" s="2">
        <v>661</v>
      </c>
      <c r="B662" s="22" t="s">
        <v>38</v>
      </c>
      <c r="C662" s="22" t="s">
        <v>39</v>
      </c>
      <c r="D662" s="3">
        <v>41918</v>
      </c>
      <c r="E662" s="22" t="s">
        <v>62</v>
      </c>
      <c r="F662" s="22" t="s">
        <v>19</v>
      </c>
      <c r="G662" s="26"/>
      <c r="H662" s="22"/>
      <c r="I662" s="22"/>
      <c r="J662" s="6"/>
      <c r="K662" s="2">
        <v>8</v>
      </c>
      <c r="L662" s="6">
        <v>86.624203821656053</v>
      </c>
      <c r="M662" s="2"/>
      <c r="N662" s="22"/>
      <c r="O662" s="22"/>
      <c r="P662" s="2"/>
    </row>
    <row r="663" spans="1:16" ht="15" customHeight="1">
      <c r="A663" s="2">
        <v>662</v>
      </c>
      <c r="B663" s="22" t="s">
        <v>33</v>
      </c>
      <c r="C663" s="22" t="s">
        <v>34</v>
      </c>
      <c r="D663" s="3">
        <v>41918</v>
      </c>
      <c r="E663" s="22" t="s">
        <v>43</v>
      </c>
      <c r="F663" s="22" t="s">
        <v>19</v>
      </c>
      <c r="G663" s="26"/>
      <c r="H663" s="22"/>
      <c r="I663" s="22"/>
      <c r="J663" s="6"/>
      <c r="K663" s="2">
        <v>3</v>
      </c>
      <c r="L663" s="6">
        <v>208.79120879120879</v>
      </c>
      <c r="M663" s="2"/>
      <c r="N663" s="22" t="s">
        <v>128</v>
      </c>
      <c r="O663" s="22"/>
      <c r="P663" s="2"/>
    </row>
    <row r="664" spans="1:16" ht="15" customHeight="1">
      <c r="A664" s="2">
        <v>663</v>
      </c>
      <c r="B664" s="22" t="s">
        <v>33</v>
      </c>
      <c r="C664" s="22" t="s">
        <v>34</v>
      </c>
      <c r="D664" s="3">
        <v>41918</v>
      </c>
      <c r="E664" s="22" t="s">
        <v>18</v>
      </c>
      <c r="F664" s="22" t="s">
        <v>19</v>
      </c>
      <c r="G664" s="26"/>
      <c r="H664" s="22"/>
      <c r="I664" s="22"/>
      <c r="J664" s="6"/>
      <c r="K664" s="2">
        <v>3</v>
      </c>
      <c r="L664" s="6">
        <v>186.8131868131868</v>
      </c>
      <c r="M664" s="2"/>
      <c r="N664" s="22" t="s">
        <v>99</v>
      </c>
      <c r="O664" s="22" t="s">
        <v>162</v>
      </c>
      <c r="P664" s="2"/>
    </row>
    <row r="665" spans="1:16" ht="15" customHeight="1">
      <c r="A665" s="2">
        <v>664</v>
      </c>
      <c r="B665" s="22" t="s">
        <v>33</v>
      </c>
      <c r="C665" s="22" t="s">
        <v>34</v>
      </c>
      <c r="D665" s="3">
        <v>41918</v>
      </c>
      <c r="E665" s="22" t="s">
        <v>101</v>
      </c>
      <c r="F665" s="22" t="s">
        <v>19</v>
      </c>
      <c r="G665" s="26"/>
      <c r="H665" s="22"/>
      <c r="I665" s="22"/>
      <c r="J665" s="6"/>
      <c r="K665" s="2">
        <v>3</v>
      </c>
      <c r="L665" s="6">
        <v>43.956043956043956</v>
      </c>
      <c r="M665" s="2"/>
      <c r="N665" s="22"/>
      <c r="O665" s="22"/>
      <c r="P665" s="2"/>
    </row>
    <row r="666" spans="1:16" ht="15" customHeight="1">
      <c r="A666" s="2">
        <v>665</v>
      </c>
      <c r="B666" s="22" t="s">
        <v>63</v>
      </c>
      <c r="C666" s="22" t="s">
        <v>64</v>
      </c>
      <c r="D666" s="3">
        <v>41918</v>
      </c>
      <c r="E666" s="22" t="s">
        <v>18</v>
      </c>
      <c r="F666" s="22" t="s">
        <v>19</v>
      </c>
      <c r="G666" s="26"/>
      <c r="H666" s="22"/>
      <c r="I666" s="22"/>
      <c r="J666" s="6"/>
      <c r="K666" s="2">
        <v>3</v>
      </c>
      <c r="L666" s="6">
        <v>164.83516483516482</v>
      </c>
      <c r="M666" s="2"/>
      <c r="N666" s="22" t="s">
        <v>99</v>
      </c>
      <c r="O666" s="22" t="s">
        <v>162</v>
      </c>
      <c r="P666" s="2"/>
    </row>
    <row r="667" spans="1:16" ht="15" customHeight="1">
      <c r="A667" s="2">
        <v>666</v>
      </c>
      <c r="B667" s="22" t="s">
        <v>38</v>
      </c>
      <c r="C667" s="22" t="s">
        <v>39</v>
      </c>
      <c r="D667" s="3">
        <v>41920</v>
      </c>
      <c r="E667" s="22" t="s">
        <v>43</v>
      </c>
      <c r="F667" s="22" t="s">
        <v>19</v>
      </c>
      <c r="G667" s="26"/>
      <c r="H667" s="22"/>
      <c r="I667" s="22"/>
      <c r="J667" s="6"/>
      <c r="K667" s="2">
        <v>3</v>
      </c>
      <c r="L667" s="6">
        <v>159.34065934065933</v>
      </c>
      <c r="M667" s="2"/>
      <c r="N667" s="22" t="s">
        <v>128</v>
      </c>
      <c r="O667" s="22"/>
      <c r="P667" s="2"/>
    </row>
    <row r="668" spans="1:16" ht="15" customHeight="1">
      <c r="A668" s="2">
        <v>667</v>
      </c>
      <c r="B668" s="22" t="s">
        <v>63</v>
      </c>
      <c r="C668" s="22" t="s">
        <v>64</v>
      </c>
      <c r="D668" s="3">
        <v>41920</v>
      </c>
      <c r="E668" s="22" t="s">
        <v>43</v>
      </c>
      <c r="F668" s="22" t="s">
        <v>19</v>
      </c>
      <c r="G668" s="26"/>
      <c r="H668" s="22"/>
      <c r="I668" s="22"/>
      <c r="J668" s="6"/>
      <c r="K668" s="2">
        <v>3</v>
      </c>
      <c r="L668" s="6">
        <v>170.32967032967034</v>
      </c>
      <c r="M668" s="2"/>
      <c r="N668" s="22" t="s">
        <v>128</v>
      </c>
      <c r="O668" s="22"/>
      <c r="P668" s="2"/>
    </row>
    <row r="669" spans="1:16" ht="15" customHeight="1">
      <c r="A669" s="2">
        <v>668</v>
      </c>
      <c r="B669" s="22" t="s">
        <v>38</v>
      </c>
      <c r="C669" s="22" t="s">
        <v>39</v>
      </c>
      <c r="D669" s="3">
        <v>41922</v>
      </c>
      <c r="E669" s="27" t="s">
        <v>29</v>
      </c>
      <c r="F669" s="22" t="s">
        <v>19</v>
      </c>
      <c r="G669" s="26" t="s">
        <v>54</v>
      </c>
      <c r="H669" s="22"/>
      <c r="I669" s="22"/>
      <c r="J669" s="6"/>
      <c r="K669" s="2">
        <v>6</v>
      </c>
      <c r="L669" s="6">
        <v>131.7365269461078</v>
      </c>
      <c r="M669" s="2"/>
      <c r="N669" s="22" t="s">
        <v>107</v>
      </c>
      <c r="O669" s="22"/>
      <c r="P669" s="2"/>
    </row>
    <row r="670" spans="1:16" ht="15" customHeight="1">
      <c r="A670" s="2">
        <v>669</v>
      </c>
      <c r="B670" s="22" t="s">
        <v>33</v>
      </c>
      <c r="C670" s="22" t="s">
        <v>34</v>
      </c>
      <c r="D670" s="3">
        <v>41922</v>
      </c>
      <c r="E670" s="22" t="s">
        <v>46</v>
      </c>
      <c r="F670" s="22" t="s">
        <v>19</v>
      </c>
      <c r="G670" s="26"/>
      <c r="H670" s="22"/>
      <c r="I670" s="22"/>
      <c r="J670" s="6"/>
      <c r="K670" s="2">
        <v>4</v>
      </c>
      <c r="L670" s="6">
        <v>90.395480225988706</v>
      </c>
      <c r="M670" s="2"/>
      <c r="N670" s="22"/>
      <c r="O670" s="22"/>
      <c r="P670" s="2"/>
    </row>
    <row r="671" spans="1:16" ht="15" customHeight="1">
      <c r="A671" s="2">
        <v>670</v>
      </c>
      <c r="B671" s="22" t="s">
        <v>33</v>
      </c>
      <c r="C671" s="22" t="s">
        <v>34</v>
      </c>
      <c r="D671" s="3">
        <v>41922</v>
      </c>
      <c r="E671" s="22" t="s">
        <v>167</v>
      </c>
      <c r="F671" s="22" t="s">
        <v>19</v>
      </c>
      <c r="G671" s="26"/>
      <c r="H671" s="22"/>
      <c r="I671" s="22"/>
      <c r="J671" s="6"/>
      <c r="K671" s="2">
        <v>6</v>
      </c>
      <c r="L671" s="6">
        <v>107.78443113772455</v>
      </c>
      <c r="M671" s="2"/>
      <c r="N671" s="22"/>
      <c r="O671" s="22"/>
      <c r="P671" s="2"/>
    </row>
    <row r="672" spans="1:16" ht="15" customHeight="1">
      <c r="A672" s="2">
        <v>671</v>
      </c>
      <c r="B672" s="22" t="s">
        <v>33</v>
      </c>
      <c r="C672" s="22" t="s">
        <v>34</v>
      </c>
      <c r="D672" s="3">
        <v>41922</v>
      </c>
      <c r="E672" s="22" t="s">
        <v>62</v>
      </c>
      <c r="F672" s="22" t="s">
        <v>19</v>
      </c>
      <c r="G672" s="26"/>
      <c r="H672" s="22"/>
      <c r="I672" s="22"/>
      <c r="J672" s="6"/>
      <c r="K672" s="2">
        <v>8</v>
      </c>
      <c r="L672" s="6">
        <v>81.528662420382162</v>
      </c>
      <c r="M672" s="2"/>
      <c r="N672" s="22"/>
      <c r="O672" s="22"/>
      <c r="P672" s="2"/>
    </row>
    <row r="673" spans="1:16" ht="15" customHeight="1">
      <c r="A673" s="2">
        <v>672</v>
      </c>
      <c r="B673" s="22" t="s">
        <v>63</v>
      </c>
      <c r="C673" s="22" t="s">
        <v>64</v>
      </c>
      <c r="D673" s="3">
        <v>41922</v>
      </c>
      <c r="E673" s="22" t="s">
        <v>46</v>
      </c>
      <c r="F673" s="22" t="s">
        <v>19</v>
      </c>
      <c r="G673" s="26"/>
      <c r="H673" s="22"/>
      <c r="I673" s="22"/>
      <c r="J673" s="6"/>
      <c r="K673" s="2">
        <v>4</v>
      </c>
      <c r="L673" s="6">
        <v>96.045197740112997</v>
      </c>
      <c r="M673" s="2"/>
      <c r="N673" s="22"/>
      <c r="O673" s="22"/>
      <c r="P673" s="2"/>
    </row>
    <row r="674" spans="1:16" ht="15" customHeight="1">
      <c r="A674" s="2">
        <v>673</v>
      </c>
      <c r="B674" s="22" t="s">
        <v>63</v>
      </c>
      <c r="C674" s="22" t="s">
        <v>64</v>
      </c>
      <c r="D674" s="3">
        <v>41922</v>
      </c>
      <c r="E674" s="22" t="s">
        <v>68</v>
      </c>
      <c r="F674" s="22" t="s">
        <v>19</v>
      </c>
      <c r="G674" s="26"/>
      <c r="H674" s="22"/>
      <c r="I674" s="22"/>
      <c r="J674" s="6"/>
      <c r="K674" s="2">
        <v>6</v>
      </c>
      <c r="L674" s="6">
        <v>113.77245508982037</v>
      </c>
      <c r="M674" s="2"/>
      <c r="N674" s="22" t="s">
        <v>69</v>
      </c>
      <c r="O674" s="22"/>
      <c r="P674" s="2"/>
    </row>
    <row r="675" spans="1:16" ht="15" customHeight="1">
      <c r="A675" s="2">
        <v>674</v>
      </c>
      <c r="B675" s="22" t="s">
        <v>63</v>
      </c>
      <c r="C675" s="22" t="s">
        <v>64</v>
      </c>
      <c r="D675" s="3">
        <v>41922</v>
      </c>
      <c r="E675" s="22" t="s">
        <v>167</v>
      </c>
      <c r="F675" s="22" t="s">
        <v>19</v>
      </c>
      <c r="G675" s="26"/>
      <c r="H675" s="22"/>
      <c r="I675" s="22"/>
      <c r="J675" s="6"/>
      <c r="K675" s="2">
        <v>6</v>
      </c>
      <c r="L675" s="6">
        <v>83.832335329341319</v>
      </c>
      <c r="M675" s="2"/>
      <c r="N675" s="22"/>
      <c r="O675" s="22"/>
      <c r="P675" s="2"/>
    </row>
    <row r="676" spans="1:16" ht="15" customHeight="1">
      <c r="A676" s="2">
        <v>675</v>
      </c>
      <c r="B676" s="22" t="s">
        <v>63</v>
      </c>
      <c r="C676" s="22" t="s">
        <v>64</v>
      </c>
      <c r="D676" s="3">
        <v>41922</v>
      </c>
      <c r="E676" s="22" t="s">
        <v>62</v>
      </c>
      <c r="F676" s="22" t="s">
        <v>19</v>
      </c>
      <c r="G676" s="26"/>
      <c r="H676" s="22"/>
      <c r="I676" s="22"/>
      <c r="J676" s="6"/>
      <c r="K676" s="2">
        <v>8</v>
      </c>
      <c r="L676" s="6">
        <v>77.70700636942675</v>
      </c>
      <c r="M676" s="2"/>
      <c r="N676" s="22"/>
      <c r="O676" s="22"/>
      <c r="P676" s="2"/>
    </row>
    <row r="677" spans="1:16" ht="15" customHeight="1">
      <c r="A677" s="2">
        <v>676</v>
      </c>
      <c r="B677" s="22" t="s">
        <v>47</v>
      </c>
      <c r="C677" s="22" t="s">
        <v>48</v>
      </c>
      <c r="D677" s="8">
        <v>41923</v>
      </c>
      <c r="E677" s="27" t="s">
        <v>29</v>
      </c>
      <c r="F677" s="26" t="s">
        <v>58</v>
      </c>
      <c r="G677" s="26"/>
      <c r="H677" s="27" t="s">
        <v>152</v>
      </c>
      <c r="I677" s="27" t="s">
        <v>168</v>
      </c>
      <c r="J677" s="133">
        <v>220</v>
      </c>
      <c r="K677" s="5">
        <v>3</v>
      </c>
      <c r="L677" s="6">
        <v>241.75824175824175</v>
      </c>
      <c r="M677" s="2">
        <v>101.9</v>
      </c>
      <c r="N677" s="22" t="s">
        <v>30</v>
      </c>
      <c r="O677" s="7" t="s">
        <v>154</v>
      </c>
      <c r="P677" s="2" t="s">
        <v>169</v>
      </c>
    </row>
    <row r="678" spans="1:16" ht="15" customHeight="1">
      <c r="A678" s="2">
        <v>677</v>
      </c>
      <c r="B678" s="22" t="s">
        <v>16</v>
      </c>
      <c r="C678" s="22" t="s">
        <v>17</v>
      </c>
      <c r="D678" s="3">
        <v>41923</v>
      </c>
      <c r="E678" s="27" t="s">
        <v>29</v>
      </c>
      <c r="F678" s="26" t="s">
        <v>58</v>
      </c>
      <c r="G678" s="26"/>
      <c r="H678" s="22" t="s">
        <v>152</v>
      </c>
      <c r="I678" s="27" t="s">
        <v>168</v>
      </c>
      <c r="J678" s="133">
        <v>160</v>
      </c>
      <c r="K678" s="2">
        <v>9</v>
      </c>
      <c r="L678" s="11">
        <v>210.52631578947367</v>
      </c>
      <c r="M678" s="2">
        <v>83.9</v>
      </c>
      <c r="N678" s="22" t="s">
        <v>30</v>
      </c>
      <c r="O678" s="5" t="s">
        <v>170</v>
      </c>
      <c r="P678" s="2" t="s">
        <v>171</v>
      </c>
    </row>
    <row r="679" spans="1:16" ht="15" customHeight="1">
      <c r="A679" s="2">
        <v>678</v>
      </c>
      <c r="B679" s="22" t="s">
        <v>27</v>
      </c>
      <c r="C679" s="22" t="s">
        <v>87</v>
      </c>
      <c r="D679" s="3">
        <v>41923</v>
      </c>
      <c r="E679" s="27" t="s">
        <v>29</v>
      </c>
      <c r="F679" s="26" t="s">
        <v>58</v>
      </c>
      <c r="G679" s="26"/>
      <c r="H679" s="22" t="s">
        <v>152</v>
      </c>
      <c r="I679" s="22" t="s">
        <v>168</v>
      </c>
      <c r="J679" s="133">
        <v>180</v>
      </c>
      <c r="K679" s="5">
        <v>5</v>
      </c>
      <c r="L679" s="11">
        <v>209.30232558139537</v>
      </c>
      <c r="M679" s="2">
        <v>96.2</v>
      </c>
      <c r="N679" s="22" t="s">
        <v>30</v>
      </c>
      <c r="O679" s="13" t="s">
        <v>172</v>
      </c>
      <c r="P679" s="2" t="s">
        <v>173</v>
      </c>
    </row>
    <row r="680" spans="1:16" ht="15" customHeight="1">
      <c r="A680" s="2">
        <v>679</v>
      </c>
      <c r="B680" s="22" t="s">
        <v>31</v>
      </c>
      <c r="C680" s="22" t="s">
        <v>32</v>
      </c>
      <c r="D680" s="3">
        <v>41923</v>
      </c>
      <c r="E680" s="27" t="s">
        <v>29</v>
      </c>
      <c r="F680" s="26" t="s">
        <v>58</v>
      </c>
      <c r="G680" s="26"/>
      <c r="H680" s="22" t="s">
        <v>152</v>
      </c>
      <c r="I680" s="22" t="s">
        <v>168</v>
      </c>
      <c r="J680" s="133">
        <v>140</v>
      </c>
      <c r="K680" s="5">
        <v>5</v>
      </c>
      <c r="L680" s="6">
        <v>162.7906976744186</v>
      </c>
      <c r="M680" s="2">
        <v>83</v>
      </c>
      <c r="N680" s="22" t="s">
        <v>30</v>
      </c>
      <c r="O680" s="10" t="s">
        <v>174</v>
      </c>
      <c r="P680" s="2" t="s">
        <v>175</v>
      </c>
    </row>
    <row r="681" spans="1:16" ht="15" customHeight="1">
      <c r="A681" s="2">
        <v>680</v>
      </c>
      <c r="B681" s="22" t="s">
        <v>33</v>
      </c>
      <c r="C681" s="22" t="s">
        <v>34</v>
      </c>
      <c r="D681" s="3">
        <v>41923</v>
      </c>
      <c r="E681" s="27" t="s">
        <v>29</v>
      </c>
      <c r="F681" s="26" t="s">
        <v>58</v>
      </c>
      <c r="G681" s="26"/>
      <c r="H681" s="22" t="s">
        <v>152</v>
      </c>
      <c r="I681" s="22" t="s">
        <v>168</v>
      </c>
      <c r="J681" s="6"/>
      <c r="K681" s="25"/>
      <c r="L681" s="6">
        <v>216</v>
      </c>
      <c r="M681" s="2">
        <v>92.5</v>
      </c>
      <c r="N681" s="22" t="s">
        <v>30</v>
      </c>
      <c r="O681" s="5" t="s">
        <v>176</v>
      </c>
      <c r="P681" s="2" t="s">
        <v>177</v>
      </c>
    </row>
    <row r="682" spans="1:16" ht="15" customHeight="1">
      <c r="A682" s="2">
        <v>681</v>
      </c>
      <c r="B682" s="22" t="s">
        <v>41</v>
      </c>
      <c r="C682" s="22" t="s">
        <v>94</v>
      </c>
      <c r="D682" s="3">
        <v>41923</v>
      </c>
      <c r="E682" s="27" t="s">
        <v>29</v>
      </c>
      <c r="F682" s="26" t="s">
        <v>58</v>
      </c>
      <c r="G682" s="26"/>
      <c r="H682" s="22" t="s">
        <v>152</v>
      </c>
      <c r="I682" s="27" t="s">
        <v>168</v>
      </c>
      <c r="J682" s="133">
        <v>130</v>
      </c>
      <c r="K682" s="5">
        <v>7</v>
      </c>
      <c r="L682" s="11">
        <v>160.49382716049382</v>
      </c>
      <c r="M682" s="2">
        <v>79.900000000000006</v>
      </c>
      <c r="N682" s="22" t="s">
        <v>30</v>
      </c>
      <c r="O682" s="10" t="s">
        <v>107</v>
      </c>
      <c r="P682" s="2" t="s">
        <v>178</v>
      </c>
    </row>
    <row r="683" spans="1:16" ht="15" customHeight="1">
      <c r="A683" s="2">
        <v>682</v>
      </c>
      <c r="B683" s="22" t="s">
        <v>33</v>
      </c>
      <c r="C683" s="22" t="s">
        <v>34</v>
      </c>
      <c r="D683" s="8">
        <v>41925</v>
      </c>
      <c r="E683" s="27" t="s">
        <v>67</v>
      </c>
      <c r="F683" s="26" t="s">
        <v>58</v>
      </c>
      <c r="G683" s="26"/>
      <c r="H683" s="27"/>
      <c r="I683" s="27" t="s">
        <v>179</v>
      </c>
      <c r="J683" s="133">
        <v>400</v>
      </c>
      <c r="K683" s="5">
        <v>20</v>
      </c>
      <c r="L683" s="6">
        <v>660</v>
      </c>
      <c r="M683" s="2">
        <v>92.5</v>
      </c>
      <c r="N683" s="22"/>
      <c r="O683" s="10"/>
      <c r="P683" s="2" t="s">
        <v>180</v>
      </c>
    </row>
    <row r="684" spans="1:16" ht="15" customHeight="1">
      <c r="A684" s="2">
        <v>683</v>
      </c>
      <c r="B684" s="26" t="s">
        <v>163</v>
      </c>
      <c r="C684" s="26" t="s">
        <v>164</v>
      </c>
      <c r="D684" s="8">
        <v>41925</v>
      </c>
      <c r="E684" s="27" t="s">
        <v>67</v>
      </c>
      <c r="F684" s="26" t="s">
        <v>58</v>
      </c>
      <c r="G684" s="26"/>
      <c r="H684" s="27" t="s">
        <v>181</v>
      </c>
      <c r="I684" s="27" t="s">
        <v>179</v>
      </c>
      <c r="J684" s="133">
        <v>270</v>
      </c>
      <c r="K684" s="5">
        <v>15</v>
      </c>
      <c r="L684" s="6">
        <v>415</v>
      </c>
      <c r="M684" s="2">
        <v>73.2</v>
      </c>
      <c r="N684" s="22"/>
      <c r="O684" s="10"/>
      <c r="P684" s="2" t="s">
        <v>182</v>
      </c>
    </row>
    <row r="685" spans="1:16" ht="15" customHeight="1">
      <c r="A685" s="2">
        <v>684</v>
      </c>
      <c r="B685" s="22" t="s">
        <v>141</v>
      </c>
      <c r="C685" s="22" t="s">
        <v>142</v>
      </c>
      <c r="D685" s="8">
        <v>41925</v>
      </c>
      <c r="E685" s="27" t="s">
        <v>67</v>
      </c>
      <c r="F685" s="26" t="s">
        <v>58</v>
      </c>
      <c r="G685" s="26"/>
      <c r="H685" s="27" t="s">
        <v>183</v>
      </c>
      <c r="I685" s="27" t="s">
        <v>179</v>
      </c>
      <c r="J685" s="133">
        <v>320</v>
      </c>
      <c r="K685" s="5">
        <v>1</v>
      </c>
      <c r="L685" s="6">
        <v>320</v>
      </c>
      <c r="M685" s="2">
        <v>68.8</v>
      </c>
      <c r="N685" s="22"/>
      <c r="O685" s="10"/>
      <c r="P685" s="2" t="s">
        <v>184</v>
      </c>
    </row>
    <row r="686" spans="1:16" ht="15" customHeight="1">
      <c r="A686" s="2">
        <v>685</v>
      </c>
      <c r="B686" s="22" t="s">
        <v>95</v>
      </c>
      <c r="C686" s="22" t="s">
        <v>96</v>
      </c>
      <c r="D686" s="8">
        <v>41925</v>
      </c>
      <c r="E686" s="27" t="s">
        <v>67</v>
      </c>
      <c r="F686" s="26" t="s">
        <v>58</v>
      </c>
      <c r="G686" s="26"/>
      <c r="H686" s="27"/>
      <c r="I686" s="27" t="s">
        <v>179</v>
      </c>
      <c r="J686" s="133">
        <v>340</v>
      </c>
      <c r="K686" s="5">
        <v>6</v>
      </c>
      <c r="L686" s="6">
        <v>407.18562874251501</v>
      </c>
      <c r="M686" s="2">
        <v>82.4</v>
      </c>
      <c r="N686" s="22"/>
      <c r="O686" s="10"/>
      <c r="P686" s="2" t="s">
        <v>185</v>
      </c>
    </row>
    <row r="687" spans="1:16" ht="15" customHeight="1">
      <c r="A687" s="2">
        <v>686</v>
      </c>
      <c r="B687" s="22" t="s">
        <v>63</v>
      </c>
      <c r="C687" s="22" t="s">
        <v>64</v>
      </c>
      <c r="D687" s="8">
        <v>41925</v>
      </c>
      <c r="E687" s="27" t="s">
        <v>67</v>
      </c>
      <c r="F687" s="26" t="s">
        <v>58</v>
      </c>
      <c r="G687" s="26"/>
      <c r="H687" s="27"/>
      <c r="I687" s="27" t="s">
        <v>179</v>
      </c>
      <c r="J687" s="133">
        <v>450</v>
      </c>
      <c r="K687" s="5">
        <v>5</v>
      </c>
      <c r="L687" s="6">
        <v>523.25581395348843</v>
      </c>
      <c r="M687" s="2">
        <v>89.9</v>
      </c>
      <c r="N687" s="22"/>
      <c r="O687" s="10"/>
      <c r="P687" s="2" t="s">
        <v>186</v>
      </c>
    </row>
    <row r="688" spans="1:16" ht="15" customHeight="1">
      <c r="A688" s="2">
        <v>687</v>
      </c>
      <c r="B688" s="22" t="s">
        <v>38</v>
      </c>
      <c r="C688" s="22" t="s">
        <v>39</v>
      </c>
      <c r="D688" s="3">
        <v>41925</v>
      </c>
      <c r="E688" s="22" t="s">
        <v>26</v>
      </c>
      <c r="F688" s="22" t="s">
        <v>19</v>
      </c>
      <c r="G688" s="26"/>
      <c r="H688" s="22"/>
      <c r="I688" s="22"/>
      <c r="J688" s="6"/>
      <c r="K688" s="2">
        <v>4</v>
      </c>
      <c r="L688" s="6">
        <v>84.745762711864401</v>
      </c>
      <c r="M688" s="2"/>
      <c r="N688" s="22"/>
      <c r="O688" s="22"/>
      <c r="P688" s="2"/>
    </row>
    <row r="689" spans="1:16" ht="15" customHeight="1">
      <c r="A689" s="2">
        <v>688</v>
      </c>
      <c r="B689" s="22" t="s">
        <v>38</v>
      </c>
      <c r="C689" s="22" t="s">
        <v>39</v>
      </c>
      <c r="D689" s="3">
        <v>41925</v>
      </c>
      <c r="E689" s="22" t="s">
        <v>62</v>
      </c>
      <c r="F689" s="22" t="s">
        <v>19</v>
      </c>
      <c r="G689" s="26"/>
      <c r="H689" s="22"/>
      <c r="I689" s="22"/>
      <c r="J689" s="6"/>
      <c r="K689" s="2">
        <v>8</v>
      </c>
      <c r="L689" s="6">
        <v>86.624203821656053</v>
      </c>
      <c r="M689" s="2"/>
      <c r="N689" s="22"/>
      <c r="O689" s="22"/>
      <c r="P689" s="2"/>
    </row>
    <row r="690" spans="1:16" ht="15" customHeight="1">
      <c r="A690" s="2">
        <v>689</v>
      </c>
      <c r="B690" s="22" t="s">
        <v>38</v>
      </c>
      <c r="C690" s="22" t="s">
        <v>39</v>
      </c>
      <c r="D690" s="3">
        <v>41925</v>
      </c>
      <c r="E690" s="22" t="s">
        <v>67</v>
      </c>
      <c r="F690" s="22" t="s">
        <v>19</v>
      </c>
      <c r="G690" s="26"/>
      <c r="H690" s="22"/>
      <c r="I690" s="22"/>
      <c r="J690" s="6"/>
      <c r="K690" s="2"/>
      <c r="L690" s="6">
        <v>395.06172839506172</v>
      </c>
      <c r="M690" s="2"/>
      <c r="N690" s="22"/>
      <c r="O690" s="22"/>
      <c r="P690" s="2"/>
    </row>
    <row r="691" spans="1:16" ht="15" customHeight="1">
      <c r="A691" s="2">
        <v>690</v>
      </c>
      <c r="B691" s="22" t="s">
        <v>33</v>
      </c>
      <c r="C691" s="22" t="s">
        <v>34</v>
      </c>
      <c r="D691" s="3">
        <v>41925</v>
      </c>
      <c r="E691" s="22" t="s">
        <v>18</v>
      </c>
      <c r="F691" s="22" t="s">
        <v>19</v>
      </c>
      <c r="G691" s="26"/>
      <c r="H691" s="22"/>
      <c r="I691" s="22"/>
      <c r="J691" s="6"/>
      <c r="K691" s="2">
        <v>3</v>
      </c>
      <c r="L691" s="6">
        <v>186.8131868131868</v>
      </c>
      <c r="M691" s="2"/>
      <c r="N691" s="22" t="s">
        <v>99</v>
      </c>
      <c r="O691" s="22" t="s">
        <v>162</v>
      </c>
      <c r="P691" s="2"/>
    </row>
    <row r="692" spans="1:16" ht="15" customHeight="1">
      <c r="A692" s="2">
        <v>691</v>
      </c>
      <c r="B692" s="22" t="s">
        <v>33</v>
      </c>
      <c r="C692" s="22" t="s">
        <v>34</v>
      </c>
      <c r="D692" s="3">
        <v>41925</v>
      </c>
      <c r="E692" s="22" t="s">
        <v>67</v>
      </c>
      <c r="F692" s="22" t="s">
        <v>19</v>
      </c>
      <c r="G692" s="26"/>
      <c r="H692" s="22"/>
      <c r="I692" s="22"/>
      <c r="J692" s="6">
        <v>400</v>
      </c>
      <c r="K692" s="2">
        <v>20</v>
      </c>
      <c r="L692" s="6">
        <v>660.0660066006601</v>
      </c>
      <c r="M692" s="2"/>
      <c r="N692" s="22"/>
      <c r="O692" s="22"/>
      <c r="P692" s="2"/>
    </row>
    <row r="693" spans="1:16" ht="15" customHeight="1">
      <c r="A693" s="2">
        <v>692</v>
      </c>
      <c r="B693" s="22" t="s">
        <v>63</v>
      </c>
      <c r="C693" s="22" t="s">
        <v>64</v>
      </c>
      <c r="D693" s="3">
        <v>41925</v>
      </c>
      <c r="E693" s="22" t="s">
        <v>18</v>
      </c>
      <c r="F693" s="22" t="s">
        <v>19</v>
      </c>
      <c r="G693" s="26"/>
      <c r="H693" s="22"/>
      <c r="I693" s="22"/>
      <c r="J693" s="6"/>
      <c r="K693" s="2">
        <v>3</v>
      </c>
      <c r="L693" s="6">
        <v>175.82417582417582</v>
      </c>
      <c r="M693" s="2"/>
      <c r="N693" s="22" t="s">
        <v>99</v>
      </c>
      <c r="O693" s="22" t="s">
        <v>162</v>
      </c>
      <c r="P693" s="2"/>
    </row>
    <row r="694" spans="1:16" ht="15" customHeight="1">
      <c r="A694" s="2">
        <v>693</v>
      </c>
      <c r="B694" s="22" t="s">
        <v>63</v>
      </c>
      <c r="C694" s="22" t="s">
        <v>64</v>
      </c>
      <c r="D694" s="3">
        <v>41925</v>
      </c>
      <c r="E694" s="22" t="s">
        <v>67</v>
      </c>
      <c r="F694" s="22" t="s">
        <v>19</v>
      </c>
      <c r="G694" s="26"/>
      <c r="H694" s="22"/>
      <c r="I694" s="22"/>
      <c r="J694" s="6"/>
      <c r="K694" s="2"/>
      <c r="L694" s="6">
        <v>537.79069767441865</v>
      </c>
      <c r="M694" s="2"/>
      <c r="N694" s="22"/>
      <c r="O694" s="22"/>
      <c r="P694" s="2"/>
    </row>
    <row r="695" spans="1:16" ht="15" customHeight="1">
      <c r="A695" s="2">
        <v>694</v>
      </c>
      <c r="B695" s="22" t="s">
        <v>38</v>
      </c>
      <c r="C695" s="22" t="s">
        <v>39</v>
      </c>
      <c r="D695" s="3">
        <v>41927</v>
      </c>
      <c r="E695" s="22" t="s">
        <v>43</v>
      </c>
      <c r="F695" s="22" t="s">
        <v>19</v>
      </c>
      <c r="G695" s="26"/>
      <c r="H695" s="22"/>
      <c r="I695" s="22"/>
      <c r="J695" s="6"/>
      <c r="K695" s="2">
        <v>3</v>
      </c>
      <c r="L695" s="6">
        <v>164.83516483516482</v>
      </c>
      <c r="M695" s="2"/>
      <c r="N695" s="22" t="s">
        <v>128</v>
      </c>
      <c r="O695" s="22"/>
      <c r="P695" s="2"/>
    </row>
    <row r="696" spans="1:16" ht="15" customHeight="1">
      <c r="A696" s="2">
        <v>695</v>
      </c>
      <c r="B696" s="22" t="s">
        <v>163</v>
      </c>
      <c r="C696" s="22" t="s">
        <v>164</v>
      </c>
      <c r="D696" s="3">
        <v>41927</v>
      </c>
      <c r="E696" s="22" t="s">
        <v>46</v>
      </c>
      <c r="F696" s="22" t="s">
        <v>19</v>
      </c>
      <c r="G696" s="26"/>
      <c r="H696" s="22"/>
      <c r="I696" s="22"/>
      <c r="J696" s="6"/>
      <c r="K696" s="2">
        <v>3</v>
      </c>
      <c r="L696" s="6">
        <v>54.945054945054942</v>
      </c>
      <c r="M696" s="2"/>
      <c r="N696" s="22"/>
      <c r="O696" s="22" t="s">
        <v>187</v>
      </c>
      <c r="P696" s="2"/>
    </row>
    <row r="697" spans="1:16" ht="15" customHeight="1">
      <c r="A697" s="2">
        <v>696</v>
      </c>
      <c r="B697" s="22" t="s">
        <v>33</v>
      </c>
      <c r="C697" s="22" t="s">
        <v>34</v>
      </c>
      <c r="D697" s="3">
        <v>41927</v>
      </c>
      <c r="E697" s="22" t="s">
        <v>43</v>
      </c>
      <c r="F697" s="22" t="s">
        <v>19</v>
      </c>
      <c r="G697" s="26"/>
      <c r="H697" s="22"/>
      <c r="I697" s="22"/>
      <c r="J697" s="6"/>
      <c r="K697" s="2">
        <v>3</v>
      </c>
      <c r="L697" s="6">
        <v>241.75824175824175</v>
      </c>
      <c r="M697" s="2"/>
      <c r="N697" s="22" t="s">
        <v>128</v>
      </c>
      <c r="O697" s="22"/>
      <c r="P697" s="2"/>
    </row>
    <row r="698" spans="1:16" ht="15" customHeight="1">
      <c r="A698" s="2">
        <v>697</v>
      </c>
      <c r="B698" s="22" t="s">
        <v>41</v>
      </c>
      <c r="C698" s="22" t="s">
        <v>42</v>
      </c>
      <c r="D698" s="3">
        <v>41927</v>
      </c>
      <c r="E698" s="22" t="s">
        <v>46</v>
      </c>
      <c r="F698" s="22" t="s">
        <v>19</v>
      </c>
      <c r="G698" s="26"/>
      <c r="H698" s="22"/>
      <c r="I698" s="22"/>
      <c r="J698" s="6"/>
      <c r="K698" s="2">
        <v>3</v>
      </c>
      <c r="L698" s="6">
        <v>71.428571428571431</v>
      </c>
      <c r="M698" s="2"/>
      <c r="N698" s="22"/>
      <c r="O698" s="22"/>
      <c r="P698" s="2"/>
    </row>
    <row r="699" spans="1:16" ht="15" customHeight="1">
      <c r="A699" s="2">
        <v>698</v>
      </c>
      <c r="B699" s="22" t="s">
        <v>47</v>
      </c>
      <c r="C699" s="22" t="s">
        <v>48</v>
      </c>
      <c r="D699" s="3">
        <v>41929</v>
      </c>
      <c r="E699" s="22" t="s">
        <v>46</v>
      </c>
      <c r="F699" s="22" t="s">
        <v>19</v>
      </c>
      <c r="G699" s="26"/>
      <c r="H699" s="22"/>
      <c r="I699" s="22"/>
      <c r="J699" s="6"/>
      <c r="K699" s="2">
        <v>3</v>
      </c>
      <c r="L699" s="6">
        <v>98.901098901098891</v>
      </c>
      <c r="M699" s="2"/>
      <c r="N699" s="22"/>
      <c r="O699" s="22"/>
      <c r="P699" s="2"/>
    </row>
    <row r="700" spans="1:16" ht="15" customHeight="1">
      <c r="A700" s="2">
        <v>699</v>
      </c>
      <c r="B700" s="22" t="s">
        <v>47</v>
      </c>
      <c r="C700" s="22" t="s">
        <v>48</v>
      </c>
      <c r="D700" s="3">
        <v>41929</v>
      </c>
      <c r="E700" s="22" t="s">
        <v>103</v>
      </c>
      <c r="F700" s="22" t="s">
        <v>19</v>
      </c>
      <c r="G700" s="26"/>
      <c r="H700" s="22"/>
      <c r="I700" s="22"/>
      <c r="J700" s="6">
        <v>80</v>
      </c>
      <c r="K700" s="2">
        <v>6</v>
      </c>
      <c r="L700" s="6">
        <v>1157</v>
      </c>
      <c r="M700" s="2"/>
      <c r="N700" s="22"/>
      <c r="O700" s="22" t="s">
        <v>76</v>
      </c>
      <c r="P700" s="2"/>
    </row>
    <row r="701" spans="1:16" ht="15" customHeight="1">
      <c r="A701" s="2">
        <v>700</v>
      </c>
      <c r="B701" s="22" t="s">
        <v>47</v>
      </c>
      <c r="C701" s="22" t="s">
        <v>48</v>
      </c>
      <c r="D701" s="3">
        <v>41929</v>
      </c>
      <c r="E701" s="22" t="s">
        <v>188</v>
      </c>
      <c r="F701" s="22" t="s">
        <v>19</v>
      </c>
      <c r="G701" s="26"/>
      <c r="H701" s="22"/>
      <c r="I701" s="22"/>
      <c r="J701" s="6"/>
      <c r="K701" s="2">
        <v>6</v>
      </c>
      <c r="L701" s="6">
        <v>215.56886227544911</v>
      </c>
      <c r="M701" s="2"/>
      <c r="N701" s="22"/>
      <c r="O701" s="22" t="s">
        <v>189</v>
      </c>
      <c r="P701" s="2"/>
    </row>
    <row r="702" spans="1:16" ht="15" customHeight="1">
      <c r="A702" s="2">
        <v>701</v>
      </c>
      <c r="B702" s="22" t="s">
        <v>47</v>
      </c>
      <c r="C702" s="22" t="s">
        <v>48</v>
      </c>
      <c r="D702" s="3">
        <v>41929</v>
      </c>
      <c r="E702" s="22" t="s">
        <v>103</v>
      </c>
      <c r="F702" s="22" t="s">
        <v>19</v>
      </c>
      <c r="G702" s="26"/>
      <c r="H702" s="22"/>
      <c r="I702" s="22"/>
      <c r="J702" s="6">
        <v>80</v>
      </c>
      <c r="K702" s="2">
        <v>6</v>
      </c>
      <c r="L702" s="6">
        <v>1414</v>
      </c>
      <c r="M702" s="2"/>
      <c r="N702" s="22"/>
      <c r="O702" s="22" t="s">
        <v>77</v>
      </c>
      <c r="P702" s="2"/>
    </row>
    <row r="703" spans="1:16" ht="15" customHeight="1">
      <c r="A703" s="2">
        <v>702</v>
      </c>
      <c r="B703" s="22" t="s">
        <v>47</v>
      </c>
      <c r="C703" s="22" t="s">
        <v>48</v>
      </c>
      <c r="D703" s="3">
        <v>41929</v>
      </c>
      <c r="E703" s="27" t="s">
        <v>29</v>
      </c>
      <c r="F703" s="22" t="s">
        <v>19</v>
      </c>
      <c r="G703" s="26" t="s">
        <v>20</v>
      </c>
      <c r="H703" s="22"/>
      <c r="I703" s="22"/>
      <c r="J703" s="6"/>
      <c r="K703" s="2"/>
      <c r="L703" s="6">
        <v>241.75824175824175</v>
      </c>
      <c r="M703" s="2"/>
      <c r="N703" s="22" t="s">
        <v>30</v>
      </c>
      <c r="O703" s="22" t="s">
        <v>190</v>
      </c>
      <c r="P703" s="2"/>
    </row>
    <row r="704" spans="1:16" ht="15" customHeight="1">
      <c r="A704" s="2">
        <v>703</v>
      </c>
      <c r="B704" s="22" t="s">
        <v>16</v>
      </c>
      <c r="C704" s="22" t="s">
        <v>17</v>
      </c>
      <c r="D704" s="3">
        <v>41929</v>
      </c>
      <c r="E704" s="22" t="s">
        <v>46</v>
      </c>
      <c r="F704" s="22" t="s">
        <v>19</v>
      </c>
      <c r="G704" s="26"/>
      <c r="H704" s="22"/>
      <c r="I704" s="22"/>
      <c r="J704" s="6"/>
      <c r="K704" s="2">
        <v>3</v>
      </c>
      <c r="L704" s="6">
        <v>87.912087912087912</v>
      </c>
      <c r="M704" s="2"/>
      <c r="N704" s="22"/>
      <c r="O704" s="22"/>
      <c r="P704" s="2"/>
    </row>
    <row r="705" spans="1:16" ht="15" customHeight="1">
      <c r="A705" s="2">
        <v>704</v>
      </c>
      <c r="B705" s="22" t="s">
        <v>16</v>
      </c>
      <c r="C705" s="22" t="s">
        <v>17</v>
      </c>
      <c r="D705" s="3">
        <v>41929</v>
      </c>
      <c r="E705" s="22" t="s">
        <v>103</v>
      </c>
      <c r="F705" s="22" t="s">
        <v>19</v>
      </c>
      <c r="G705" s="26"/>
      <c r="H705" s="22"/>
      <c r="I705" s="22"/>
      <c r="J705" s="6">
        <v>60</v>
      </c>
      <c r="K705" s="2">
        <v>6</v>
      </c>
      <c r="L705" s="6">
        <v>1194</v>
      </c>
      <c r="M705" s="2"/>
      <c r="N705" s="22"/>
      <c r="O705" s="22" t="s">
        <v>76</v>
      </c>
      <c r="P705" s="2"/>
    </row>
    <row r="706" spans="1:16" ht="15" customHeight="1">
      <c r="A706" s="2">
        <v>705</v>
      </c>
      <c r="B706" s="22" t="s">
        <v>16</v>
      </c>
      <c r="C706" s="22" t="s">
        <v>17</v>
      </c>
      <c r="D706" s="3">
        <v>41929</v>
      </c>
      <c r="E706" s="22" t="s">
        <v>103</v>
      </c>
      <c r="F706" s="22" t="s">
        <v>19</v>
      </c>
      <c r="G706" s="26"/>
      <c r="H706" s="22"/>
      <c r="I706" s="22"/>
      <c r="J706" s="6">
        <v>60</v>
      </c>
      <c r="K706" s="2">
        <v>6</v>
      </c>
      <c r="L706" s="6">
        <v>1460</v>
      </c>
      <c r="M706" s="2"/>
      <c r="N706" s="22"/>
      <c r="O706" s="22" t="s">
        <v>77</v>
      </c>
      <c r="P706" s="2"/>
    </row>
    <row r="707" spans="1:16" ht="15" customHeight="1">
      <c r="A707" s="2">
        <v>706</v>
      </c>
      <c r="B707" s="22" t="s">
        <v>16</v>
      </c>
      <c r="C707" s="22" t="s">
        <v>17</v>
      </c>
      <c r="D707" s="3">
        <v>41929</v>
      </c>
      <c r="E707" s="22" t="s">
        <v>23</v>
      </c>
      <c r="F707" s="22" t="s">
        <v>19</v>
      </c>
      <c r="G707" s="26"/>
      <c r="H707" s="22"/>
      <c r="I707" s="22"/>
      <c r="J707" s="6"/>
      <c r="K707" s="2">
        <v>6</v>
      </c>
      <c r="L707" s="6">
        <v>203.5928143712575</v>
      </c>
      <c r="M707" s="2"/>
      <c r="N707" s="22"/>
      <c r="O707" s="22"/>
      <c r="P707" s="2"/>
    </row>
    <row r="708" spans="1:16" ht="15" customHeight="1">
      <c r="A708" s="2">
        <v>707</v>
      </c>
      <c r="B708" s="22" t="s">
        <v>16</v>
      </c>
      <c r="C708" s="22" t="s">
        <v>17</v>
      </c>
      <c r="D708" s="3">
        <v>41929</v>
      </c>
      <c r="E708" s="27" t="s">
        <v>29</v>
      </c>
      <c r="F708" s="22" t="s">
        <v>19</v>
      </c>
      <c r="G708" s="26" t="s">
        <v>20</v>
      </c>
      <c r="H708" s="22"/>
      <c r="I708" s="22"/>
      <c r="J708" s="6"/>
      <c r="K708" s="2"/>
      <c r="L708" s="6">
        <v>210.52631578947367</v>
      </c>
      <c r="M708" s="2"/>
      <c r="N708" s="22" t="s">
        <v>30</v>
      </c>
      <c r="O708" s="22"/>
      <c r="P708" s="2"/>
    </row>
    <row r="709" spans="1:16" ht="15" customHeight="1">
      <c r="A709" s="2">
        <v>708</v>
      </c>
      <c r="B709" s="22" t="s">
        <v>38</v>
      </c>
      <c r="C709" s="22" t="s">
        <v>39</v>
      </c>
      <c r="D709" s="3">
        <v>41929</v>
      </c>
      <c r="E709" s="27" t="s">
        <v>29</v>
      </c>
      <c r="F709" s="22" t="s">
        <v>19</v>
      </c>
      <c r="G709" s="26" t="s">
        <v>54</v>
      </c>
      <c r="H709" s="22"/>
      <c r="I709" s="22"/>
      <c r="J709" s="6"/>
      <c r="K709" s="2">
        <v>6</v>
      </c>
      <c r="L709" s="6">
        <v>143.7125748502994</v>
      </c>
      <c r="M709" s="2"/>
      <c r="N709" s="22" t="s">
        <v>107</v>
      </c>
      <c r="O709" s="22"/>
      <c r="P709" s="2"/>
    </row>
    <row r="710" spans="1:16" ht="15" customHeight="1">
      <c r="A710" s="2">
        <v>709</v>
      </c>
      <c r="B710" s="22" t="s">
        <v>38</v>
      </c>
      <c r="C710" s="22" t="s">
        <v>39</v>
      </c>
      <c r="D710" s="3">
        <v>41929</v>
      </c>
      <c r="E710" s="22" t="s">
        <v>50</v>
      </c>
      <c r="F710" s="22" t="s">
        <v>19</v>
      </c>
      <c r="G710" s="26"/>
      <c r="H710" s="22"/>
      <c r="I710" s="22"/>
      <c r="J710" s="6"/>
      <c r="K710" s="2">
        <v>15</v>
      </c>
      <c r="L710" s="6">
        <v>211.48036253776434</v>
      </c>
      <c r="M710" s="2"/>
      <c r="N710" s="22"/>
      <c r="O710" s="22"/>
      <c r="P710" s="2"/>
    </row>
    <row r="711" spans="1:16" ht="15" customHeight="1">
      <c r="A711" s="2">
        <v>710</v>
      </c>
      <c r="B711" s="22" t="s">
        <v>38</v>
      </c>
      <c r="C711" s="22" t="s">
        <v>39</v>
      </c>
      <c r="D711" s="3">
        <v>41929</v>
      </c>
      <c r="E711" s="22" t="s">
        <v>71</v>
      </c>
      <c r="F711" s="22" t="s">
        <v>19</v>
      </c>
      <c r="G711" s="26"/>
      <c r="H711" s="22"/>
      <c r="I711" s="22"/>
      <c r="J711" s="6"/>
      <c r="K711" s="2">
        <v>21</v>
      </c>
      <c r="L711" s="6">
        <v>81.570996978851966</v>
      </c>
      <c r="M711" s="2"/>
      <c r="N711" s="22"/>
      <c r="O711" s="22" t="s">
        <v>73</v>
      </c>
      <c r="P711" s="2"/>
    </row>
    <row r="712" spans="1:16" ht="15" customHeight="1">
      <c r="A712" s="2">
        <v>711</v>
      </c>
      <c r="B712" s="22" t="s">
        <v>163</v>
      </c>
      <c r="C712" s="22" t="s">
        <v>164</v>
      </c>
      <c r="D712" s="3">
        <v>41929</v>
      </c>
      <c r="E712" s="22" t="s">
        <v>133</v>
      </c>
      <c r="F712" s="22" t="s">
        <v>19</v>
      </c>
      <c r="G712" s="26"/>
      <c r="H712" s="22"/>
      <c r="I712" s="22"/>
      <c r="J712" s="6"/>
      <c r="K712" s="2">
        <v>6</v>
      </c>
      <c r="L712" s="6">
        <v>64.670658682634738</v>
      </c>
      <c r="M712" s="2"/>
      <c r="N712" s="22"/>
      <c r="O712" s="22"/>
      <c r="P712" s="2"/>
    </row>
    <row r="713" spans="1:16" ht="15" customHeight="1">
      <c r="A713" s="2">
        <v>712</v>
      </c>
      <c r="B713" s="22" t="s">
        <v>163</v>
      </c>
      <c r="C713" s="22" t="s">
        <v>164</v>
      </c>
      <c r="D713" s="3">
        <v>41929</v>
      </c>
      <c r="E713" s="22" t="s">
        <v>67</v>
      </c>
      <c r="F713" s="22" t="s">
        <v>19</v>
      </c>
      <c r="G713" s="26"/>
      <c r="H713" s="22"/>
      <c r="I713" s="22"/>
      <c r="J713" s="6"/>
      <c r="K713" s="2"/>
      <c r="L713" s="6">
        <v>407.85498489425981</v>
      </c>
      <c r="M713" s="2"/>
      <c r="N713" s="22"/>
      <c r="O713" s="22"/>
      <c r="P713" s="2"/>
    </row>
    <row r="714" spans="1:16" ht="15" customHeight="1">
      <c r="A714" s="2">
        <v>713</v>
      </c>
      <c r="B714" s="22" t="s">
        <v>27</v>
      </c>
      <c r="C714" s="22" t="s">
        <v>28</v>
      </c>
      <c r="D714" s="3">
        <v>41929</v>
      </c>
      <c r="E714" s="22" t="s">
        <v>188</v>
      </c>
      <c r="F714" s="22" t="s">
        <v>19</v>
      </c>
      <c r="G714" s="26"/>
      <c r="H714" s="22"/>
      <c r="I714" s="22"/>
      <c r="J714" s="6"/>
      <c r="K714" s="2">
        <v>6</v>
      </c>
      <c r="L714" s="6">
        <v>215.56886227544911</v>
      </c>
      <c r="M714" s="2"/>
      <c r="N714" s="22"/>
      <c r="O714" s="22" t="s">
        <v>189</v>
      </c>
      <c r="P714" s="2"/>
    </row>
    <row r="715" spans="1:16" ht="15" customHeight="1">
      <c r="A715" s="2">
        <v>714</v>
      </c>
      <c r="B715" s="22" t="s">
        <v>33</v>
      </c>
      <c r="C715" s="22" t="s">
        <v>34</v>
      </c>
      <c r="D715" s="3">
        <v>41929</v>
      </c>
      <c r="E715" s="22" t="s">
        <v>26</v>
      </c>
      <c r="F715" s="22" t="s">
        <v>19</v>
      </c>
      <c r="G715" s="26"/>
      <c r="H715" s="22"/>
      <c r="I715" s="22"/>
      <c r="J715" s="6"/>
      <c r="K715" s="2">
        <v>4</v>
      </c>
      <c r="L715" s="6">
        <v>112.99435028248587</v>
      </c>
      <c r="M715" s="2"/>
      <c r="N715" s="22"/>
      <c r="O715" s="22"/>
      <c r="P715" s="2"/>
    </row>
    <row r="716" spans="1:16" ht="15" customHeight="1">
      <c r="A716" s="2">
        <v>715</v>
      </c>
      <c r="B716" s="22" t="s">
        <v>33</v>
      </c>
      <c r="C716" s="22" t="s">
        <v>34</v>
      </c>
      <c r="D716" s="3">
        <v>41929</v>
      </c>
      <c r="E716" s="27" t="s">
        <v>29</v>
      </c>
      <c r="F716" s="22" t="s">
        <v>19</v>
      </c>
      <c r="G716" s="26" t="s">
        <v>20</v>
      </c>
      <c r="H716" s="22"/>
      <c r="I716" s="22"/>
      <c r="J716" s="6"/>
      <c r="K716" s="2">
        <v>5</v>
      </c>
      <c r="L716" s="6">
        <v>197.67441860465118</v>
      </c>
      <c r="M716" s="2"/>
      <c r="N716" s="22" t="s">
        <v>30</v>
      </c>
      <c r="O716" s="22"/>
      <c r="P716" s="2"/>
    </row>
    <row r="717" spans="1:16" ht="15" customHeight="1">
      <c r="A717" s="2">
        <v>716</v>
      </c>
      <c r="B717" s="22" t="s">
        <v>33</v>
      </c>
      <c r="C717" s="22" t="s">
        <v>34</v>
      </c>
      <c r="D717" s="3">
        <v>41929</v>
      </c>
      <c r="E717" s="22" t="s">
        <v>167</v>
      </c>
      <c r="F717" s="22" t="s">
        <v>19</v>
      </c>
      <c r="G717" s="26"/>
      <c r="H717" s="22"/>
      <c r="I717" s="22"/>
      <c r="J717" s="6"/>
      <c r="K717" s="2">
        <v>6</v>
      </c>
      <c r="L717" s="6">
        <v>71.856287425149702</v>
      </c>
      <c r="M717" s="2"/>
      <c r="N717" s="22"/>
      <c r="O717" s="22"/>
      <c r="P717" s="2"/>
    </row>
    <row r="718" spans="1:16" ht="15" customHeight="1">
      <c r="A718" s="2">
        <v>717</v>
      </c>
      <c r="B718" s="22" t="s">
        <v>41</v>
      </c>
      <c r="C718" s="22" t="s">
        <v>42</v>
      </c>
      <c r="D718" s="3">
        <v>41929</v>
      </c>
      <c r="E718" s="22" t="s">
        <v>133</v>
      </c>
      <c r="F718" s="22" t="s">
        <v>19</v>
      </c>
      <c r="G718" s="26"/>
      <c r="H718" s="22"/>
      <c r="I718" s="22"/>
      <c r="J718" s="6"/>
      <c r="K718" s="2">
        <v>6</v>
      </c>
      <c r="L718" s="6">
        <v>81.437125748502993</v>
      </c>
      <c r="M718" s="2"/>
      <c r="N718" s="22"/>
      <c r="O718" s="22"/>
      <c r="P718" s="2"/>
    </row>
    <row r="719" spans="1:16" ht="15" customHeight="1">
      <c r="A719" s="2">
        <v>718</v>
      </c>
      <c r="B719" s="22" t="s">
        <v>41</v>
      </c>
      <c r="C719" s="22" t="s">
        <v>42</v>
      </c>
      <c r="D719" s="3">
        <v>41929</v>
      </c>
      <c r="E719" s="22" t="s">
        <v>23</v>
      </c>
      <c r="F719" s="22" t="s">
        <v>19</v>
      </c>
      <c r="G719" s="26"/>
      <c r="H719" s="22"/>
      <c r="I719" s="22"/>
      <c r="J719" s="6"/>
      <c r="K719" s="2">
        <v>6</v>
      </c>
      <c r="L719" s="6">
        <v>161.67664670658684</v>
      </c>
      <c r="M719" s="2"/>
      <c r="N719" s="22"/>
      <c r="O719" s="22"/>
      <c r="P719" s="2"/>
    </row>
    <row r="720" spans="1:16" ht="15" customHeight="1">
      <c r="A720" s="2">
        <v>719</v>
      </c>
      <c r="B720" s="22" t="s">
        <v>41</v>
      </c>
      <c r="C720" s="22" t="s">
        <v>42</v>
      </c>
      <c r="D720" s="3">
        <v>41929</v>
      </c>
      <c r="E720" s="27" t="s">
        <v>29</v>
      </c>
      <c r="F720" s="22" t="s">
        <v>19</v>
      </c>
      <c r="G720" s="26" t="s">
        <v>20</v>
      </c>
      <c r="H720" s="22"/>
      <c r="I720" s="22"/>
      <c r="J720" s="6"/>
      <c r="K720" s="2"/>
      <c r="L720" s="6">
        <v>160.49382716049382</v>
      </c>
      <c r="M720" s="2"/>
      <c r="N720" s="22" t="s">
        <v>107</v>
      </c>
      <c r="O720" s="22"/>
      <c r="P720" s="2"/>
    </row>
    <row r="721" spans="1:16" ht="15" customHeight="1">
      <c r="A721" s="2">
        <v>720</v>
      </c>
      <c r="B721" s="22" t="s">
        <v>63</v>
      </c>
      <c r="C721" s="22" t="s">
        <v>64</v>
      </c>
      <c r="D721" s="3">
        <v>41929</v>
      </c>
      <c r="E721" s="22" t="s">
        <v>26</v>
      </c>
      <c r="F721" s="22" t="s">
        <v>19</v>
      </c>
      <c r="G721" s="26"/>
      <c r="H721" s="22"/>
      <c r="I721" s="22"/>
      <c r="J721" s="6"/>
      <c r="K721" s="2">
        <v>4</v>
      </c>
      <c r="L721" s="6">
        <v>101.69491525423729</v>
      </c>
      <c r="M721" s="2"/>
      <c r="N721" s="22"/>
      <c r="O721" s="22"/>
      <c r="P721" s="2"/>
    </row>
    <row r="722" spans="1:16" ht="15" customHeight="1">
      <c r="A722" s="2">
        <v>721</v>
      </c>
      <c r="B722" s="22" t="s">
        <v>63</v>
      </c>
      <c r="C722" s="22" t="s">
        <v>64</v>
      </c>
      <c r="D722" s="3">
        <v>41929</v>
      </c>
      <c r="E722" s="27" t="s">
        <v>29</v>
      </c>
      <c r="F722" s="22" t="s">
        <v>19</v>
      </c>
      <c r="G722" s="26" t="s">
        <v>20</v>
      </c>
      <c r="H722" s="22"/>
      <c r="I722" s="22"/>
      <c r="J722" s="6"/>
      <c r="K722" s="2">
        <v>5</v>
      </c>
      <c r="L722" s="6">
        <v>186.04651162790697</v>
      </c>
      <c r="M722" s="2"/>
      <c r="N722" s="22" t="s">
        <v>30</v>
      </c>
      <c r="O722" s="22"/>
      <c r="P722" s="2"/>
    </row>
    <row r="723" spans="1:16" ht="15" customHeight="1">
      <c r="A723" s="2">
        <v>722</v>
      </c>
      <c r="B723" s="22" t="s">
        <v>63</v>
      </c>
      <c r="C723" s="22" t="s">
        <v>64</v>
      </c>
      <c r="D723" s="3">
        <v>41929</v>
      </c>
      <c r="E723" s="22" t="s">
        <v>62</v>
      </c>
      <c r="F723" s="22" t="s">
        <v>19</v>
      </c>
      <c r="G723" s="26"/>
      <c r="H723" s="22"/>
      <c r="I723" s="22"/>
      <c r="J723" s="6"/>
      <c r="K723" s="2">
        <v>8</v>
      </c>
      <c r="L723" s="6">
        <v>77.70700636942675</v>
      </c>
      <c r="M723" s="2"/>
      <c r="N723" s="22"/>
      <c r="O723" s="22"/>
      <c r="P723" s="2"/>
    </row>
    <row r="724" spans="1:16" ht="15" customHeight="1">
      <c r="A724" s="2">
        <v>723</v>
      </c>
      <c r="B724" s="22" t="s">
        <v>33</v>
      </c>
      <c r="C724" s="22" t="s">
        <v>34</v>
      </c>
      <c r="D724" s="3">
        <v>41932</v>
      </c>
      <c r="E724" s="27" t="s">
        <v>29</v>
      </c>
      <c r="F724" s="26" t="s">
        <v>58</v>
      </c>
      <c r="G724" s="26"/>
      <c r="H724" s="22" t="s">
        <v>152</v>
      </c>
      <c r="I724" s="22" t="s">
        <v>191</v>
      </c>
      <c r="J724" s="133">
        <v>180</v>
      </c>
      <c r="K724" s="5">
        <v>6</v>
      </c>
      <c r="L724" s="6">
        <v>215.56886227544911</v>
      </c>
      <c r="M724" s="2">
        <v>92.2</v>
      </c>
      <c r="N724" s="22" t="s">
        <v>30</v>
      </c>
      <c r="O724" s="10"/>
      <c r="P724" s="2" t="s">
        <v>192</v>
      </c>
    </row>
    <row r="725" spans="1:16" ht="15" customHeight="1">
      <c r="A725" s="2">
        <v>724</v>
      </c>
      <c r="B725" s="22" t="s">
        <v>63</v>
      </c>
      <c r="C725" s="22" t="s">
        <v>64</v>
      </c>
      <c r="D725" s="8">
        <v>41932</v>
      </c>
      <c r="E725" s="27" t="s">
        <v>29</v>
      </c>
      <c r="F725" s="26" t="s">
        <v>58</v>
      </c>
      <c r="G725" s="26"/>
      <c r="H725" s="27" t="s">
        <v>152</v>
      </c>
      <c r="I725" s="27" t="s">
        <v>191</v>
      </c>
      <c r="J725" s="133">
        <v>170</v>
      </c>
      <c r="K725" s="5">
        <v>5</v>
      </c>
      <c r="L725" s="6">
        <v>197.67441860465118</v>
      </c>
      <c r="M725" s="2">
        <v>90</v>
      </c>
      <c r="N725" s="22" t="s">
        <v>30</v>
      </c>
      <c r="O725" s="10"/>
      <c r="P725" s="2" t="s">
        <v>193</v>
      </c>
    </row>
    <row r="726" spans="1:16" ht="15" customHeight="1">
      <c r="A726" s="2">
        <v>725</v>
      </c>
      <c r="B726" s="22" t="s">
        <v>95</v>
      </c>
      <c r="C726" s="22" t="s">
        <v>96</v>
      </c>
      <c r="D726" s="3">
        <v>41932</v>
      </c>
      <c r="E726" s="27" t="s">
        <v>29</v>
      </c>
      <c r="F726" s="26" t="s">
        <v>58</v>
      </c>
      <c r="G726" s="26"/>
      <c r="H726" s="22" t="s">
        <v>152</v>
      </c>
      <c r="I726" s="27" t="s">
        <v>191</v>
      </c>
      <c r="J726" s="133">
        <v>120</v>
      </c>
      <c r="K726" s="5">
        <v>4</v>
      </c>
      <c r="L726" s="11">
        <v>136.36363636363637</v>
      </c>
      <c r="M726" s="2">
        <v>82.9</v>
      </c>
      <c r="N726" s="22" t="s">
        <v>30</v>
      </c>
      <c r="O726" s="10"/>
      <c r="P726" s="2" t="s">
        <v>194</v>
      </c>
    </row>
    <row r="727" spans="1:16" ht="15" customHeight="1">
      <c r="A727" s="2">
        <v>726</v>
      </c>
      <c r="B727" s="22" t="s">
        <v>47</v>
      </c>
      <c r="C727" s="22" t="s">
        <v>48</v>
      </c>
      <c r="D727" s="3">
        <v>41932</v>
      </c>
      <c r="E727" s="22" t="s">
        <v>26</v>
      </c>
      <c r="F727" s="22" t="s">
        <v>19</v>
      </c>
      <c r="G727" s="26"/>
      <c r="H727" s="22"/>
      <c r="I727" s="22"/>
      <c r="J727" s="6"/>
      <c r="K727" s="2">
        <v>3</v>
      </c>
      <c r="L727" s="6">
        <v>104.39560439560439</v>
      </c>
      <c r="M727" s="2"/>
      <c r="N727" s="22"/>
      <c r="O727" s="22"/>
      <c r="P727" s="2"/>
    </row>
    <row r="728" spans="1:16" ht="15" customHeight="1">
      <c r="A728" s="2">
        <v>727</v>
      </c>
      <c r="B728" s="22" t="s">
        <v>38</v>
      </c>
      <c r="C728" s="22" t="s">
        <v>39</v>
      </c>
      <c r="D728" s="3">
        <v>41932</v>
      </c>
      <c r="E728" s="27" t="s">
        <v>29</v>
      </c>
      <c r="F728" s="22" t="s">
        <v>19</v>
      </c>
      <c r="G728" s="26" t="s">
        <v>20</v>
      </c>
      <c r="H728" s="22"/>
      <c r="I728" s="22"/>
      <c r="J728" s="6"/>
      <c r="K728" s="2"/>
      <c r="L728" s="6">
        <v>135.59322033898306</v>
      </c>
      <c r="M728" s="2"/>
      <c r="N728" s="22" t="s">
        <v>30</v>
      </c>
      <c r="O728" s="22"/>
      <c r="P728" s="2"/>
    </row>
    <row r="729" spans="1:16" ht="15" customHeight="1">
      <c r="A729" s="2">
        <v>728</v>
      </c>
      <c r="B729" s="22" t="s">
        <v>38</v>
      </c>
      <c r="C729" s="22" t="s">
        <v>39</v>
      </c>
      <c r="D729" s="3">
        <v>41932</v>
      </c>
      <c r="E729" s="22" t="s">
        <v>67</v>
      </c>
      <c r="F729" s="22" t="s">
        <v>19</v>
      </c>
      <c r="G729" s="26"/>
      <c r="H729" s="22"/>
      <c r="I729" s="22"/>
      <c r="J729" s="6"/>
      <c r="K729" s="2"/>
      <c r="L729" s="6">
        <v>407.18562874251501</v>
      </c>
      <c r="M729" s="2"/>
      <c r="N729" s="22"/>
      <c r="O729" s="22"/>
      <c r="P729" s="2"/>
    </row>
    <row r="730" spans="1:16" ht="15" customHeight="1">
      <c r="A730" s="2">
        <v>729</v>
      </c>
      <c r="B730" s="22" t="s">
        <v>27</v>
      </c>
      <c r="C730" s="22" t="s">
        <v>28</v>
      </c>
      <c r="D730" s="3">
        <v>41932</v>
      </c>
      <c r="E730" s="22" t="s">
        <v>26</v>
      </c>
      <c r="F730" s="22" t="s">
        <v>19</v>
      </c>
      <c r="G730" s="26"/>
      <c r="H730" s="22"/>
      <c r="I730" s="22"/>
      <c r="J730" s="6"/>
      <c r="K730" s="2">
        <v>3</v>
      </c>
      <c r="L730" s="6">
        <v>142.85714285714286</v>
      </c>
      <c r="M730" s="2"/>
      <c r="N730" s="22"/>
      <c r="O730" s="22"/>
      <c r="P730" s="2"/>
    </row>
    <row r="731" spans="1:16" ht="15" customHeight="1">
      <c r="A731" s="2">
        <v>730</v>
      </c>
      <c r="B731" s="22" t="s">
        <v>27</v>
      </c>
      <c r="C731" s="22" t="s">
        <v>28</v>
      </c>
      <c r="D731" s="3">
        <v>41932</v>
      </c>
      <c r="E731" s="22" t="s">
        <v>18</v>
      </c>
      <c r="F731" s="22" t="s">
        <v>19</v>
      </c>
      <c r="G731" s="26" t="s">
        <v>54</v>
      </c>
      <c r="H731" s="22"/>
      <c r="I731" s="22"/>
      <c r="J731" s="6"/>
      <c r="K731" s="2"/>
      <c r="L731" s="6">
        <v>209.30232558139537</v>
      </c>
      <c r="M731" s="2"/>
      <c r="N731" s="22" t="s">
        <v>74</v>
      </c>
      <c r="O731" s="22"/>
      <c r="P731" s="2"/>
    </row>
    <row r="732" spans="1:16" ht="15" customHeight="1">
      <c r="A732" s="2">
        <v>731</v>
      </c>
      <c r="B732" s="22" t="s">
        <v>33</v>
      </c>
      <c r="C732" s="22" t="s">
        <v>34</v>
      </c>
      <c r="D732" s="3">
        <v>41932</v>
      </c>
      <c r="E732" s="22" t="s">
        <v>23</v>
      </c>
      <c r="F732" s="22" t="s">
        <v>19</v>
      </c>
      <c r="G732" s="26"/>
      <c r="H732" s="22"/>
      <c r="I732" s="22"/>
      <c r="J732" s="6">
        <v>200</v>
      </c>
      <c r="K732" s="2">
        <v>3</v>
      </c>
      <c r="L732" s="6">
        <v>220.75055187637972</v>
      </c>
      <c r="M732" s="2"/>
      <c r="N732" s="22"/>
      <c r="O732" s="22"/>
      <c r="P732" s="2"/>
    </row>
    <row r="733" spans="1:16" ht="15" customHeight="1">
      <c r="A733" s="2">
        <v>732</v>
      </c>
      <c r="B733" s="22" t="s">
        <v>33</v>
      </c>
      <c r="C733" s="22" t="s">
        <v>34</v>
      </c>
      <c r="D733" s="3">
        <v>41932</v>
      </c>
      <c r="E733" s="27" t="s">
        <v>29</v>
      </c>
      <c r="F733" s="22" t="s">
        <v>19</v>
      </c>
      <c r="G733" s="26" t="s">
        <v>20</v>
      </c>
      <c r="H733" s="22"/>
      <c r="I733" s="22"/>
      <c r="J733" s="6"/>
      <c r="K733" s="2"/>
      <c r="L733" s="6">
        <v>215.56886227544911</v>
      </c>
      <c r="M733" s="2"/>
      <c r="N733" s="22" t="s">
        <v>30</v>
      </c>
      <c r="O733" s="22"/>
      <c r="P733" s="2"/>
    </row>
    <row r="734" spans="1:16" ht="15" customHeight="1">
      <c r="A734" s="2">
        <v>733</v>
      </c>
      <c r="B734" s="22" t="s">
        <v>41</v>
      </c>
      <c r="C734" s="22" t="s">
        <v>42</v>
      </c>
      <c r="D734" s="3">
        <v>41932</v>
      </c>
      <c r="E734" s="22" t="s">
        <v>26</v>
      </c>
      <c r="F734" s="22" t="s">
        <v>19</v>
      </c>
      <c r="G734" s="26"/>
      <c r="H734" s="22"/>
      <c r="I734" s="22"/>
      <c r="J734" s="6"/>
      <c r="K734" s="2">
        <v>3</v>
      </c>
      <c r="L734" s="6">
        <v>76.92307692307692</v>
      </c>
      <c r="M734" s="2"/>
      <c r="N734" s="22"/>
      <c r="O734" s="22"/>
      <c r="P734" s="2"/>
    </row>
    <row r="735" spans="1:16" ht="15" customHeight="1">
      <c r="A735" s="2">
        <v>734</v>
      </c>
      <c r="B735" s="22" t="s">
        <v>63</v>
      </c>
      <c r="C735" s="22" t="s">
        <v>64</v>
      </c>
      <c r="D735" s="3">
        <v>41932</v>
      </c>
      <c r="E735" s="27" t="s">
        <v>29</v>
      </c>
      <c r="F735" s="22" t="s">
        <v>19</v>
      </c>
      <c r="G735" s="26" t="s">
        <v>20</v>
      </c>
      <c r="H735" s="22"/>
      <c r="I735" s="22"/>
      <c r="J735" s="6"/>
      <c r="K735" s="2"/>
      <c r="L735" s="6">
        <v>197.67441860465118</v>
      </c>
      <c r="M735" s="2"/>
      <c r="N735" s="22" t="s">
        <v>30</v>
      </c>
      <c r="O735" s="22"/>
      <c r="P735" s="2"/>
    </row>
    <row r="736" spans="1:16" ht="15" customHeight="1">
      <c r="A736" s="2">
        <v>735</v>
      </c>
      <c r="B736" s="22" t="s">
        <v>63</v>
      </c>
      <c r="C736" s="22" t="s">
        <v>64</v>
      </c>
      <c r="D736" s="3">
        <v>41932</v>
      </c>
      <c r="E736" s="22" t="s">
        <v>67</v>
      </c>
      <c r="F736" s="22" t="s">
        <v>19</v>
      </c>
      <c r="G736" s="26"/>
      <c r="H736" s="22"/>
      <c r="I736" s="22"/>
      <c r="J736" s="6"/>
      <c r="K736" s="2"/>
      <c r="L736" s="6">
        <v>523.25581395348843</v>
      </c>
      <c r="M736" s="2"/>
      <c r="N736" s="22"/>
      <c r="O736" s="22"/>
      <c r="P736" s="2"/>
    </row>
    <row r="737" spans="1:16" ht="15" customHeight="1">
      <c r="A737" s="2">
        <v>736</v>
      </c>
      <c r="B737" s="22" t="s">
        <v>38</v>
      </c>
      <c r="C737" s="22" t="s">
        <v>39</v>
      </c>
      <c r="D737" s="3">
        <v>41934</v>
      </c>
      <c r="E737" s="22" t="s">
        <v>43</v>
      </c>
      <c r="F737" s="22" t="s">
        <v>19</v>
      </c>
      <c r="G737" s="26"/>
      <c r="H737" s="22"/>
      <c r="I737" s="22"/>
      <c r="J737" s="6"/>
      <c r="K737" s="2">
        <v>3</v>
      </c>
      <c r="L737" s="6">
        <v>175.82417582417582</v>
      </c>
      <c r="M737" s="2"/>
      <c r="N737" s="22" t="s">
        <v>128</v>
      </c>
      <c r="O737" s="22"/>
      <c r="P737" s="2"/>
    </row>
    <row r="738" spans="1:16" ht="15" customHeight="1">
      <c r="A738" s="2">
        <v>737</v>
      </c>
      <c r="B738" s="22" t="s">
        <v>27</v>
      </c>
      <c r="C738" s="22" t="s">
        <v>28</v>
      </c>
      <c r="D738" s="3">
        <v>41934</v>
      </c>
      <c r="E738" s="22" t="s">
        <v>46</v>
      </c>
      <c r="F738" s="22" t="s">
        <v>19</v>
      </c>
      <c r="G738" s="26"/>
      <c r="H738" s="22"/>
      <c r="I738" s="22"/>
      <c r="J738" s="6"/>
      <c r="K738" s="2">
        <v>3</v>
      </c>
      <c r="L738" s="6">
        <v>131.86813186813185</v>
      </c>
      <c r="M738" s="2"/>
      <c r="N738" s="22"/>
      <c r="O738" s="22"/>
      <c r="P738" s="2"/>
    </row>
    <row r="739" spans="1:16" ht="15" customHeight="1">
      <c r="A739" s="2">
        <v>738</v>
      </c>
      <c r="B739" s="22" t="s">
        <v>33</v>
      </c>
      <c r="C739" s="22" t="s">
        <v>34</v>
      </c>
      <c r="D739" s="3">
        <v>41934</v>
      </c>
      <c r="E739" s="22" t="s">
        <v>43</v>
      </c>
      <c r="F739" s="22" t="s">
        <v>19</v>
      </c>
      <c r="G739" s="26"/>
      <c r="H739" s="22"/>
      <c r="I739" s="22"/>
      <c r="J739" s="6"/>
      <c r="K739" s="2">
        <v>3</v>
      </c>
      <c r="L739" s="6">
        <v>230.76923076923077</v>
      </c>
      <c r="M739" s="2"/>
      <c r="N739" s="22" t="s">
        <v>128</v>
      </c>
      <c r="O739" s="22"/>
      <c r="P739" s="2"/>
    </row>
    <row r="740" spans="1:16" ht="15" customHeight="1">
      <c r="A740" s="2">
        <v>739</v>
      </c>
      <c r="B740" s="22" t="s">
        <v>63</v>
      </c>
      <c r="C740" s="22" t="s">
        <v>64</v>
      </c>
      <c r="D740" s="3">
        <v>41934</v>
      </c>
      <c r="E740" s="22" t="s">
        <v>43</v>
      </c>
      <c r="F740" s="22" t="s">
        <v>19</v>
      </c>
      <c r="G740" s="26"/>
      <c r="H740" s="22"/>
      <c r="I740" s="22"/>
      <c r="J740" s="6"/>
      <c r="K740" s="2">
        <v>3</v>
      </c>
      <c r="L740" s="6">
        <v>209.87654320987653</v>
      </c>
      <c r="M740" s="2"/>
      <c r="N740" s="22" t="s">
        <v>128</v>
      </c>
      <c r="O740" s="22"/>
      <c r="P740" s="2"/>
    </row>
    <row r="741" spans="1:16" ht="15" customHeight="1">
      <c r="A741" s="2">
        <v>740</v>
      </c>
      <c r="B741" s="22" t="s">
        <v>47</v>
      </c>
      <c r="C741" s="22" t="s">
        <v>48</v>
      </c>
      <c r="D741" s="3">
        <v>41936</v>
      </c>
      <c r="E741" s="27" t="s">
        <v>29</v>
      </c>
      <c r="F741" s="22" t="s">
        <v>19</v>
      </c>
      <c r="G741" s="26" t="s">
        <v>20</v>
      </c>
      <c r="H741" s="22"/>
      <c r="I741" s="22"/>
      <c r="J741" s="6"/>
      <c r="K741" s="2">
        <v>5</v>
      </c>
      <c r="L741" s="6">
        <v>220.93023255813955</v>
      </c>
      <c r="M741" s="2"/>
      <c r="N741" s="22" t="s">
        <v>30</v>
      </c>
      <c r="O741" s="22"/>
      <c r="P741" s="2"/>
    </row>
    <row r="742" spans="1:16" ht="15" customHeight="1">
      <c r="A742" s="2">
        <v>741</v>
      </c>
      <c r="B742" s="22" t="s">
        <v>47</v>
      </c>
      <c r="C742" s="22" t="s">
        <v>48</v>
      </c>
      <c r="D742" s="3">
        <v>41936</v>
      </c>
      <c r="E742" s="22" t="s">
        <v>195</v>
      </c>
      <c r="F742" s="22" t="s">
        <v>19</v>
      </c>
      <c r="G742" s="26"/>
      <c r="H742" s="22"/>
      <c r="I742" s="22"/>
      <c r="J742" s="6"/>
      <c r="K742" s="2">
        <v>5</v>
      </c>
      <c r="L742" s="6">
        <v>27.906976744186046</v>
      </c>
      <c r="M742" s="2"/>
      <c r="N742" s="22"/>
      <c r="O742" s="22"/>
      <c r="P742" s="2"/>
    </row>
    <row r="743" spans="1:16" ht="15" customHeight="1">
      <c r="A743" s="2">
        <v>742</v>
      </c>
      <c r="B743" s="22" t="s">
        <v>47</v>
      </c>
      <c r="C743" s="22" t="s">
        <v>48</v>
      </c>
      <c r="D743" s="3">
        <v>41936</v>
      </c>
      <c r="E743" s="22" t="s">
        <v>188</v>
      </c>
      <c r="F743" s="22" t="s">
        <v>19</v>
      </c>
      <c r="G743" s="26"/>
      <c r="H743" s="22"/>
      <c r="I743" s="22"/>
      <c r="J743" s="6"/>
      <c r="K743" s="2">
        <v>6</v>
      </c>
      <c r="L743" s="6">
        <v>191.61676646706587</v>
      </c>
      <c r="M743" s="2"/>
      <c r="N743" s="22"/>
      <c r="O743" s="22" t="s">
        <v>189</v>
      </c>
      <c r="P743" s="2"/>
    </row>
    <row r="744" spans="1:16" ht="15" customHeight="1">
      <c r="A744" s="2">
        <v>743</v>
      </c>
      <c r="B744" s="22" t="s">
        <v>47</v>
      </c>
      <c r="C744" s="22" t="s">
        <v>48</v>
      </c>
      <c r="D744" s="3">
        <v>41936</v>
      </c>
      <c r="E744" s="22" t="s">
        <v>133</v>
      </c>
      <c r="F744" s="22" t="s">
        <v>19</v>
      </c>
      <c r="G744" s="26"/>
      <c r="H744" s="22"/>
      <c r="I744" s="22"/>
      <c r="J744" s="6"/>
      <c r="K744" s="2">
        <v>6</v>
      </c>
      <c r="L744" s="6">
        <v>148.50299401197606</v>
      </c>
      <c r="M744" s="2"/>
      <c r="N744" s="22"/>
      <c r="O744" s="22"/>
      <c r="P744" s="2"/>
    </row>
    <row r="745" spans="1:16" ht="15" customHeight="1">
      <c r="A745" s="2">
        <v>744</v>
      </c>
      <c r="B745" s="22" t="s">
        <v>16</v>
      </c>
      <c r="C745" s="22" t="s">
        <v>17</v>
      </c>
      <c r="D745" s="3">
        <v>41936</v>
      </c>
      <c r="E745" s="27" t="s">
        <v>29</v>
      </c>
      <c r="F745" s="22" t="s">
        <v>19</v>
      </c>
      <c r="G745" s="26" t="s">
        <v>20</v>
      </c>
      <c r="H745" s="22"/>
      <c r="I745" s="22"/>
      <c r="J745" s="6"/>
      <c r="K745" s="2">
        <v>5</v>
      </c>
      <c r="L745" s="6">
        <v>174.41860465116278</v>
      </c>
      <c r="M745" s="2"/>
      <c r="N745" s="22" t="s">
        <v>30</v>
      </c>
      <c r="O745" s="22"/>
      <c r="P745" s="2"/>
    </row>
    <row r="746" spans="1:16" ht="15" customHeight="1">
      <c r="A746" s="2">
        <v>745</v>
      </c>
      <c r="B746" s="22" t="s">
        <v>16</v>
      </c>
      <c r="C746" s="22" t="s">
        <v>17</v>
      </c>
      <c r="D746" s="3">
        <v>41936</v>
      </c>
      <c r="E746" s="22" t="s">
        <v>195</v>
      </c>
      <c r="F746" s="22" t="s">
        <v>19</v>
      </c>
      <c r="G746" s="26"/>
      <c r="H746" s="22"/>
      <c r="I746" s="22"/>
      <c r="J746" s="6"/>
      <c r="K746" s="2">
        <v>5</v>
      </c>
      <c r="L746" s="6">
        <v>27.906976744186046</v>
      </c>
      <c r="M746" s="2"/>
      <c r="N746" s="22"/>
      <c r="O746" s="22"/>
      <c r="P746" s="2"/>
    </row>
    <row r="747" spans="1:16" ht="15" customHeight="1">
      <c r="A747" s="2">
        <v>746</v>
      </c>
      <c r="B747" s="22" t="s">
        <v>16</v>
      </c>
      <c r="C747" s="22" t="s">
        <v>17</v>
      </c>
      <c r="D747" s="3">
        <v>41936</v>
      </c>
      <c r="E747" s="22" t="s">
        <v>103</v>
      </c>
      <c r="F747" s="22" t="s">
        <v>19</v>
      </c>
      <c r="G747" s="26"/>
      <c r="H747" s="22"/>
      <c r="I747" s="22"/>
      <c r="J747" s="6">
        <v>60</v>
      </c>
      <c r="K747" s="2">
        <v>6</v>
      </c>
      <c r="L747" s="6">
        <v>1059</v>
      </c>
      <c r="M747" s="2"/>
      <c r="N747" s="22"/>
      <c r="O747" s="22" t="s">
        <v>76</v>
      </c>
      <c r="P747" s="2"/>
    </row>
    <row r="748" spans="1:16" ht="15" customHeight="1">
      <c r="A748" s="2">
        <v>747</v>
      </c>
      <c r="B748" s="22" t="s">
        <v>16</v>
      </c>
      <c r="C748" s="22" t="s">
        <v>17</v>
      </c>
      <c r="D748" s="3">
        <v>41936</v>
      </c>
      <c r="E748" s="22" t="s">
        <v>103</v>
      </c>
      <c r="F748" s="22" t="s">
        <v>19</v>
      </c>
      <c r="G748" s="26"/>
      <c r="H748" s="22"/>
      <c r="I748" s="22"/>
      <c r="J748" s="6">
        <v>60</v>
      </c>
      <c r="K748" s="2">
        <v>6</v>
      </c>
      <c r="L748" s="6">
        <v>1200</v>
      </c>
      <c r="M748" s="2"/>
      <c r="N748" s="22"/>
      <c r="O748" s="22" t="s">
        <v>77</v>
      </c>
      <c r="P748" s="2"/>
    </row>
    <row r="749" spans="1:16" ht="15" customHeight="1">
      <c r="A749" s="2">
        <v>748</v>
      </c>
      <c r="B749" s="22" t="s">
        <v>16</v>
      </c>
      <c r="C749" s="22" t="s">
        <v>17</v>
      </c>
      <c r="D749" s="3">
        <v>41936</v>
      </c>
      <c r="E749" s="22" t="s">
        <v>133</v>
      </c>
      <c r="F749" s="22" t="s">
        <v>19</v>
      </c>
      <c r="G749" s="26"/>
      <c r="H749" s="22"/>
      <c r="I749" s="22"/>
      <c r="J749" s="6"/>
      <c r="K749" s="2">
        <v>6</v>
      </c>
      <c r="L749" s="6">
        <v>123.35329341317366</v>
      </c>
      <c r="M749" s="2"/>
      <c r="N749" s="22"/>
      <c r="O749" s="22"/>
      <c r="P749" s="2"/>
    </row>
    <row r="750" spans="1:16" ht="15" customHeight="1">
      <c r="A750" s="2">
        <v>749</v>
      </c>
      <c r="B750" s="22" t="s">
        <v>16</v>
      </c>
      <c r="C750" s="22" t="s">
        <v>17</v>
      </c>
      <c r="D750" s="3">
        <v>41936</v>
      </c>
      <c r="E750" s="22" t="s">
        <v>23</v>
      </c>
      <c r="F750" s="22" t="s">
        <v>19</v>
      </c>
      <c r="G750" s="26"/>
      <c r="H750" s="22"/>
      <c r="I750" s="22"/>
      <c r="J750" s="6"/>
      <c r="K750" s="2">
        <v>6</v>
      </c>
      <c r="L750" s="6">
        <v>239.52095808383234</v>
      </c>
      <c r="M750" s="2"/>
      <c r="N750" s="22"/>
      <c r="O750" s="22"/>
      <c r="P750" s="2"/>
    </row>
    <row r="751" spans="1:16" ht="15" customHeight="1">
      <c r="A751" s="2">
        <v>750</v>
      </c>
      <c r="B751" s="22" t="s">
        <v>38</v>
      </c>
      <c r="C751" s="22" t="s">
        <v>39</v>
      </c>
      <c r="D751" s="3">
        <v>41936</v>
      </c>
      <c r="E751" s="22" t="s">
        <v>26</v>
      </c>
      <c r="F751" s="22" t="s">
        <v>19</v>
      </c>
      <c r="G751" s="26"/>
      <c r="H751" s="22"/>
      <c r="I751" s="22"/>
      <c r="J751" s="6"/>
      <c r="K751" s="2">
        <v>4</v>
      </c>
      <c r="L751" s="6">
        <v>96.045197740112997</v>
      </c>
      <c r="M751" s="2"/>
      <c r="N751" s="22"/>
      <c r="O751" s="22"/>
      <c r="P751" s="2"/>
    </row>
    <row r="752" spans="1:16" ht="15" customHeight="1">
      <c r="A752" s="2">
        <v>751</v>
      </c>
      <c r="B752" s="22" t="s">
        <v>38</v>
      </c>
      <c r="C752" s="22" t="s">
        <v>39</v>
      </c>
      <c r="D752" s="3">
        <v>41936</v>
      </c>
      <c r="E752" s="22" t="s">
        <v>62</v>
      </c>
      <c r="F752" s="22" t="s">
        <v>19</v>
      </c>
      <c r="G752" s="26"/>
      <c r="H752" s="22"/>
      <c r="I752" s="22"/>
      <c r="J752" s="6"/>
      <c r="K752" s="2">
        <v>8</v>
      </c>
      <c r="L752" s="6">
        <v>77.70700636942675</v>
      </c>
      <c r="M752" s="2"/>
      <c r="N752" s="22"/>
      <c r="O752" s="22"/>
      <c r="P752" s="2"/>
    </row>
    <row r="753" spans="1:16" ht="15" customHeight="1">
      <c r="A753" s="2">
        <v>752</v>
      </c>
      <c r="B753" s="22" t="s">
        <v>163</v>
      </c>
      <c r="C753" s="22" t="s">
        <v>164</v>
      </c>
      <c r="D753" s="3">
        <v>41936</v>
      </c>
      <c r="E753" s="22" t="s">
        <v>46</v>
      </c>
      <c r="F753" s="22" t="s">
        <v>19</v>
      </c>
      <c r="G753" s="26"/>
      <c r="H753" s="22"/>
      <c r="I753" s="22"/>
      <c r="J753" s="6"/>
      <c r="K753" s="2">
        <v>3</v>
      </c>
      <c r="L753" s="6">
        <v>54.945054945054942</v>
      </c>
      <c r="M753" s="2"/>
      <c r="N753" s="22"/>
      <c r="O753" s="22" t="s">
        <v>187</v>
      </c>
      <c r="P753" s="2"/>
    </row>
    <row r="754" spans="1:16" ht="15" customHeight="1">
      <c r="A754" s="2">
        <v>753</v>
      </c>
      <c r="B754" s="22" t="s">
        <v>163</v>
      </c>
      <c r="C754" s="22" t="s">
        <v>164</v>
      </c>
      <c r="D754" s="3">
        <v>41936</v>
      </c>
      <c r="E754" s="22" t="s">
        <v>43</v>
      </c>
      <c r="F754" s="22" t="s">
        <v>19</v>
      </c>
      <c r="G754" s="26"/>
      <c r="H754" s="22"/>
      <c r="I754" s="22"/>
      <c r="J754" s="6"/>
      <c r="K754" s="2">
        <v>5</v>
      </c>
      <c r="L754" s="6">
        <v>139.53488372093022</v>
      </c>
      <c r="M754" s="2"/>
      <c r="N754" s="22" t="s">
        <v>128</v>
      </c>
      <c r="O754" s="22"/>
      <c r="P754" s="2"/>
    </row>
    <row r="755" spans="1:16" ht="15" customHeight="1">
      <c r="A755" s="2">
        <v>754</v>
      </c>
      <c r="B755" s="22" t="s">
        <v>163</v>
      </c>
      <c r="C755" s="22" t="s">
        <v>164</v>
      </c>
      <c r="D755" s="3">
        <v>41936</v>
      </c>
      <c r="E755" s="22" t="s">
        <v>62</v>
      </c>
      <c r="F755" s="22" t="s">
        <v>19</v>
      </c>
      <c r="G755" s="26"/>
      <c r="H755" s="22"/>
      <c r="I755" s="22"/>
      <c r="J755" s="6"/>
      <c r="K755" s="2">
        <v>6</v>
      </c>
      <c r="L755" s="6">
        <v>73.053892215568865</v>
      </c>
      <c r="M755" s="2"/>
      <c r="N755" s="22"/>
      <c r="O755" s="22"/>
      <c r="P755" s="2"/>
    </row>
    <row r="756" spans="1:16" ht="15" customHeight="1">
      <c r="A756" s="2">
        <v>755</v>
      </c>
      <c r="B756" s="22" t="s">
        <v>27</v>
      </c>
      <c r="C756" s="22" t="s">
        <v>28</v>
      </c>
      <c r="D756" s="3">
        <v>41936</v>
      </c>
      <c r="E756" s="27" t="s">
        <v>29</v>
      </c>
      <c r="F756" s="22" t="s">
        <v>19</v>
      </c>
      <c r="G756" s="26" t="s">
        <v>20</v>
      </c>
      <c r="H756" s="22"/>
      <c r="I756" s="22"/>
      <c r="J756" s="6"/>
      <c r="K756" s="2">
        <v>5</v>
      </c>
      <c r="L756" s="6">
        <v>244.18604651162792</v>
      </c>
      <c r="M756" s="2"/>
      <c r="N756" s="22" t="s">
        <v>30</v>
      </c>
      <c r="O756" s="22"/>
      <c r="P756" s="2"/>
    </row>
    <row r="757" spans="1:16" ht="15" customHeight="1">
      <c r="A757" s="2">
        <v>756</v>
      </c>
      <c r="B757" s="22" t="s">
        <v>27</v>
      </c>
      <c r="C757" s="22" t="s">
        <v>28</v>
      </c>
      <c r="D757" s="3">
        <v>41936</v>
      </c>
      <c r="E757" s="22" t="s">
        <v>195</v>
      </c>
      <c r="F757" s="22" t="s">
        <v>19</v>
      </c>
      <c r="G757" s="26"/>
      <c r="H757" s="22"/>
      <c r="I757" s="22"/>
      <c r="J757" s="6"/>
      <c r="K757" s="2">
        <v>5</v>
      </c>
      <c r="L757" s="6">
        <v>13.953488372093023</v>
      </c>
      <c r="M757" s="2"/>
      <c r="N757" s="22"/>
      <c r="O757" s="22"/>
      <c r="P757" s="2"/>
    </row>
    <row r="758" spans="1:16" ht="15" customHeight="1">
      <c r="A758" s="2">
        <v>757</v>
      </c>
      <c r="B758" s="22" t="s">
        <v>27</v>
      </c>
      <c r="C758" s="22" t="s">
        <v>28</v>
      </c>
      <c r="D758" s="3">
        <v>41936</v>
      </c>
      <c r="E758" s="22" t="s">
        <v>103</v>
      </c>
      <c r="F758" s="22" t="s">
        <v>19</v>
      </c>
      <c r="G758" s="26"/>
      <c r="H758" s="22"/>
      <c r="I758" s="22"/>
      <c r="J758" s="6">
        <v>80</v>
      </c>
      <c r="K758" s="2">
        <v>6</v>
      </c>
      <c r="L758" s="6">
        <v>1100</v>
      </c>
      <c r="M758" s="2"/>
      <c r="N758" s="22"/>
      <c r="O758" s="22" t="s">
        <v>76</v>
      </c>
      <c r="P758" s="2"/>
    </row>
    <row r="759" spans="1:16" ht="15" customHeight="1">
      <c r="A759" s="2">
        <v>758</v>
      </c>
      <c r="B759" s="22" t="s">
        <v>27</v>
      </c>
      <c r="C759" s="22" t="s">
        <v>28</v>
      </c>
      <c r="D759" s="3">
        <v>41936</v>
      </c>
      <c r="E759" s="22" t="s">
        <v>188</v>
      </c>
      <c r="F759" s="22" t="s">
        <v>19</v>
      </c>
      <c r="G759" s="26"/>
      <c r="H759" s="22"/>
      <c r="I759" s="22"/>
      <c r="J759" s="6"/>
      <c r="K759" s="2">
        <v>6</v>
      </c>
      <c r="L759" s="6">
        <v>191.61676646706587</v>
      </c>
      <c r="M759" s="2"/>
      <c r="N759" s="22"/>
      <c r="O759" s="22" t="s">
        <v>189</v>
      </c>
      <c r="P759" s="2"/>
    </row>
    <row r="760" spans="1:16" ht="15" customHeight="1">
      <c r="A760" s="2">
        <v>759</v>
      </c>
      <c r="B760" s="22" t="s">
        <v>27</v>
      </c>
      <c r="C760" s="22" t="s">
        <v>28</v>
      </c>
      <c r="D760" s="3">
        <v>41936</v>
      </c>
      <c r="E760" s="22" t="s">
        <v>103</v>
      </c>
      <c r="F760" s="22" t="s">
        <v>19</v>
      </c>
      <c r="G760" s="26"/>
      <c r="H760" s="22"/>
      <c r="I760" s="22"/>
      <c r="J760" s="6">
        <v>80</v>
      </c>
      <c r="K760" s="2">
        <v>6</v>
      </c>
      <c r="L760" s="6">
        <v>1230</v>
      </c>
      <c r="M760" s="2"/>
      <c r="N760" s="22"/>
      <c r="O760" s="22" t="s">
        <v>77</v>
      </c>
      <c r="P760" s="2"/>
    </row>
    <row r="761" spans="1:16" ht="15" customHeight="1">
      <c r="A761" s="2">
        <v>760</v>
      </c>
      <c r="B761" s="22" t="s">
        <v>27</v>
      </c>
      <c r="C761" s="22" t="s">
        <v>28</v>
      </c>
      <c r="D761" s="3">
        <v>41936</v>
      </c>
      <c r="E761" s="22" t="s">
        <v>133</v>
      </c>
      <c r="F761" s="22" t="s">
        <v>19</v>
      </c>
      <c r="G761" s="26"/>
      <c r="H761" s="22"/>
      <c r="I761" s="22"/>
      <c r="J761" s="6"/>
      <c r="K761" s="2">
        <v>6</v>
      </c>
      <c r="L761" s="6">
        <v>106.58682634730539</v>
      </c>
      <c r="M761" s="2"/>
      <c r="N761" s="22"/>
      <c r="O761" s="22"/>
      <c r="P761" s="2"/>
    </row>
    <row r="762" spans="1:16" ht="15" customHeight="1">
      <c r="A762" s="2">
        <v>761</v>
      </c>
      <c r="B762" s="22" t="s">
        <v>33</v>
      </c>
      <c r="C762" s="22" t="s">
        <v>34</v>
      </c>
      <c r="D762" s="3">
        <v>41936</v>
      </c>
      <c r="E762" s="22" t="s">
        <v>26</v>
      </c>
      <c r="F762" s="22" t="s">
        <v>19</v>
      </c>
      <c r="G762" s="26"/>
      <c r="H762" s="22"/>
      <c r="I762" s="22"/>
      <c r="J762" s="6"/>
      <c r="K762" s="2">
        <v>3</v>
      </c>
      <c r="L762" s="6">
        <v>120.87912087912088</v>
      </c>
      <c r="M762" s="2"/>
      <c r="N762" s="22"/>
      <c r="O762" s="22"/>
      <c r="P762" s="2"/>
    </row>
    <row r="763" spans="1:16" ht="15" customHeight="1">
      <c r="A763" s="2">
        <v>762</v>
      </c>
      <c r="B763" s="22" t="s">
        <v>33</v>
      </c>
      <c r="C763" s="22" t="s">
        <v>34</v>
      </c>
      <c r="D763" s="3">
        <v>41936</v>
      </c>
      <c r="E763" s="22" t="s">
        <v>167</v>
      </c>
      <c r="F763" s="22" t="s">
        <v>19</v>
      </c>
      <c r="G763" s="26"/>
      <c r="H763" s="22"/>
      <c r="I763" s="22"/>
      <c r="J763" s="6"/>
      <c r="K763" s="2">
        <v>6</v>
      </c>
      <c r="L763" s="6">
        <v>119.76047904191617</v>
      </c>
      <c r="M763" s="2"/>
      <c r="N763" s="22"/>
      <c r="O763" s="22"/>
      <c r="P763" s="2"/>
    </row>
    <row r="764" spans="1:16" ht="15" customHeight="1">
      <c r="A764" s="2">
        <v>763</v>
      </c>
      <c r="B764" s="22" t="s">
        <v>33</v>
      </c>
      <c r="C764" s="22" t="s">
        <v>34</v>
      </c>
      <c r="D764" s="3">
        <v>41936</v>
      </c>
      <c r="E764" s="22" t="s">
        <v>62</v>
      </c>
      <c r="F764" s="22" t="s">
        <v>19</v>
      </c>
      <c r="G764" s="26"/>
      <c r="H764" s="22"/>
      <c r="I764" s="22"/>
      <c r="J764" s="6"/>
      <c r="K764" s="2">
        <v>8</v>
      </c>
      <c r="L764" s="6">
        <v>81.528662420382162</v>
      </c>
      <c r="M764" s="2"/>
      <c r="N764" s="22"/>
      <c r="O764" s="22"/>
      <c r="P764" s="2"/>
    </row>
    <row r="765" spans="1:16" ht="15" customHeight="1">
      <c r="A765" s="2">
        <v>764</v>
      </c>
      <c r="B765" s="22" t="s">
        <v>41</v>
      </c>
      <c r="C765" s="22" t="s">
        <v>42</v>
      </c>
      <c r="D765" s="3">
        <v>41936</v>
      </c>
      <c r="E765" s="27" t="s">
        <v>29</v>
      </c>
      <c r="F765" s="22" t="s">
        <v>19</v>
      </c>
      <c r="G765" s="26" t="s">
        <v>20</v>
      </c>
      <c r="H765" s="22"/>
      <c r="I765" s="22"/>
      <c r="J765" s="6"/>
      <c r="K765" s="2">
        <v>5</v>
      </c>
      <c r="L765" s="6">
        <v>156.97674418604652</v>
      </c>
      <c r="M765" s="2"/>
      <c r="N765" s="22" t="s">
        <v>107</v>
      </c>
      <c r="O765" s="22"/>
      <c r="P765" s="2"/>
    </row>
    <row r="766" spans="1:16" ht="15" customHeight="1">
      <c r="A766" s="2">
        <v>765</v>
      </c>
      <c r="B766" s="22" t="s">
        <v>41</v>
      </c>
      <c r="C766" s="22" t="s">
        <v>42</v>
      </c>
      <c r="D766" s="3">
        <v>41936</v>
      </c>
      <c r="E766" s="22" t="s">
        <v>195</v>
      </c>
      <c r="F766" s="22" t="s">
        <v>19</v>
      </c>
      <c r="G766" s="26"/>
      <c r="H766" s="22"/>
      <c r="I766" s="22"/>
      <c r="J766" s="6"/>
      <c r="K766" s="2">
        <v>5</v>
      </c>
      <c r="L766" s="6">
        <v>20.930232558139537</v>
      </c>
      <c r="M766" s="2"/>
      <c r="N766" s="22"/>
      <c r="O766" s="22"/>
      <c r="P766" s="2"/>
    </row>
    <row r="767" spans="1:16" ht="15" customHeight="1">
      <c r="A767" s="2">
        <v>766</v>
      </c>
      <c r="B767" s="22" t="s">
        <v>41</v>
      </c>
      <c r="C767" s="22" t="s">
        <v>42</v>
      </c>
      <c r="D767" s="3">
        <v>41936</v>
      </c>
      <c r="E767" s="22" t="s">
        <v>133</v>
      </c>
      <c r="F767" s="22" t="s">
        <v>19</v>
      </c>
      <c r="G767" s="26"/>
      <c r="H767" s="22"/>
      <c r="I767" s="22"/>
      <c r="J767" s="6"/>
      <c r="K767" s="2">
        <v>6</v>
      </c>
      <c r="L767" s="6">
        <v>73.053892215568865</v>
      </c>
      <c r="M767" s="2"/>
      <c r="N767" s="22"/>
      <c r="O767" s="22"/>
      <c r="P767" s="2"/>
    </row>
    <row r="768" spans="1:16" ht="15" customHeight="1">
      <c r="A768" s="2">
        <v>767</v>
      </c>
      <c r="B768" s="22" t="s">
        <v>41</v>
      </c>
      <c r="C768" s="22" t="s">
        <v>42</v>
      </c>
      <c r="D768" s="3">
        <v>41936</v>
      </c>
      <c r="E768" s="22" t="s">
        <v>23</v>
      </c>
      <c r="F768" s="22" t="s">
        <v>19</v>
      </c>
      <c r="G768" s="26"/>
      <c r="H768" s="22"/>
      <c r="I768" s="22"/>
      <c r="J768" s="6"/>
      <c r="K768" s="2">
        <v>6</v>
      </c>
      <c r="L768" s="6">
        <v>161.67664670658684</v>
      </c>
      <c r="M768" s="2"/>
      <c r="N768" s="22"/>
      <c r="O768" s="22"/>
      <c r="P768" s="2"/>
    </row>
    <row r="769" spans="1:16" ht="15" customHeight="1">
      <c r="A769" s="2">
        <v>768</v>
      </c>
      <c r="B769" s="22" t="s">
        <v>63</v>
      </c>
      <c r="C769" s="22" t="s">
        <v>64</v>
      </c>
      <c r="D769" s="3">
        <v>41936</v>
      </c>
      <c r="E769" s="22" t="s">
        <v>26</v>
      </c>
      <c r="F769" s="22" t="s">
        <v>19</v>
      </c>
      <c r="G769" s="26"/>
      <c r="H769" s="22"/>
      <c r="I769" s="22"/>
      <c r="J769" s="6"/>
      <c r="K769" s="2">
        <v>3</v>
      </c>
      <c r="L769" s="6">
        <v>104.39560439560439</v>
      </c>
      <c r="M769" s="2"/>
      <c r="N769" s="22"/>
      <c r="O769" s="22"/>
      <c r="P769" s="2"/>
    </row>
    <row r="770" spans="1:16" ht="15" customHeight="1">
      <c r="A770" s="2">
        <v>769</v>
      </c>
      <c r="B770" s="22" t="s">
        <v>63</v>
      </c>
      <c r="C770" s="22" t="s">
        <v>64</v>
      </c>
      <c r="D770" s="3">
        <v>41936</v>
      </c>
      <c r="E770" s="22" t="s">
        <v>167</v>
      </c>
      <c r="F770" s="22" t="s">
        <v>19</v>
      </c>
      <c r="G770" s="26"/>
      <c r="H770" s="22"/>
      <c r="I770" s="22"/>
      <c r="J770" s="6"/>
      <c r="K770" s="2">
        <v>6</v>
      </c>
      <c r="L770" s="6">
        <v>71.856287425149702</v>
      </c>
      <c r="M770" s="2"/>
      <c r="N770" s="22"/>
      <c r="O770" s="22"/>
      <c r="P770" s="2"/>
    </row>
    <row r="771" spans="1:16" ht="15" customHeight="1">
      <c r="A771" s="2">
        <v>770</v>
      </c>
      <c r="B771" s="22" t="s">
        <v>63</v>
      </c>
      <c r="C771" s="22" t="s">
        <v>64</v>
      </c>
      <c r="D771" s="3">
        <v>41936</v>
      </c>
      <c r="E771" s="22" t="s">
        <v>62</v>
      </c>
      <c r="F771" s="22" t="s">
        <v>19</v>
      </c>
      <c r="G771" s="26"/>
      <c r="H771" s="22"/>
      <c r="I771" s="22"/>
      <c r="J771" s="6"/>
      <c r="K771" s="2">
        <v>8</v>
      </c>
      <c r="L771" s="6">
        <v>72.611464968152859</v>
      </c>
      <c r="M771" s="2"/>
      <c r="N771" s="22"/>
      <c r="O771" s="22"/>
      <c r="P771" s="2"/>
    </row>
    <row r="772" spans="1:16" ht="15" customHeight="1">
      <c r="A772" s="2">
        <v>771</v>
      </c>
      <c r="B772" s="22" t="s">
        <v>38</v>
      </c>
      <c r="C772" s="22" t="s">
        <v>39</v>
      </c>
      <c r="D772" s="3">
        <v>41939</v>
      </c>
      <c r="E772" s="22" t="s">
        <v>46</v>
      </c>
      <c r="F772" s="22" t="s">
        <v>19</v>
      </c>
      <c r="G772" s="26"/>
      <c r="H772" s="22"/>
      <c r="I772" s="22"/>
      <c r="J772" s="6"/>
      <c r="K772" s="2">
        <v>3</v>
      </c>
      <c r="L772" s="6">
        <v>87.912087912087912</v>
      </c>
      <c r="M772" s="2"/>
      <c r="N772" s="22"/>
      <c r="O772" s="22"/>
      <c r="P772" s="2"/>
    </row>
    <row r="773" spans="1:16" ht="15" customHeight="1">
      <c r="A773" s="2">
        <v>772</v>
      </c>
      <c r="B773" s="22" t="s">
        <v>163</v>
      </c>
      <c r="C773" s="22" t="s">
        <v>164</v>
      </c>
      <c r="D773" s="3">
        <v>41939</v>
      </c>
      <c r="E773" s="22" t="s">
        <v>67</v>
      </c>
      <c r="F773" s="22" t="s">
        <v>19</v>
      </c>
      <c r="G773" s="26"/>
      <c r="H773" s="22" t="s">
        <v>165</v>
      </c>
      <c r="I773" s="22"/>
      <c r="J773" s="6"/>
      <c r="K773" s="2">
        <v>3</v>
      </c>
      <c r="L773" s="6">
        <v>307.69230769230768</v>
      </c>
      <c r="M773" s="2"/>
      <c r="N773" s="22"/>
      <c r="O773" s="22"/>
      <c r="P773" s="2"/>
    </row>
    <row r="774" spans="1:16" ht="15" customHeight="1">
      <c r="A774" s="2">
        <v>773</v>
      </c>
      <c r="B774" s="22" t="s">
        <v>163</v>
      </c>
      <c r="C774" s="22" t="s">
        <v>164</v>
      </c>
      <c r="D774" s="3">
        <v>41939</v>
      </c>
      <c r="E774" s="22" t="s">
        <v>67</v>
      </c>
      <c r="F774" s="22" t="s">
        <v>19</v>
      </c>
      <c r="G774" s="26"/>
      <c r="H774" s="22"/>
      <c r="I774" s="22"/>
      <c r="J774" s="6"/>
      <c r="K774" s="2">
        <v>6</v>
      </c>
      <c r="L774" s="6">
        <v>383.23353293413174</v>
      </c>
      <c r="M774" s="2"/>
      <c r="N774" s="22"/>
      <c r="O774" s="22"/>
      <c r="P774" s="2"/>
    </row>
    <row r="775" spans="1:16" ht="15" customHeight="1">
      <c r="A775" s="2">
        <v>774</v>
      </c>
      <c r="B775" s="22" t="s">
        <v>33</v>
      </c>
      <c r="C775" s="22" t="s">
        <v>34</v>
      </c>
      <c r="D775" s="3">
        <v>41939</v>
      </c>
      <c r="E775" s="22" t="s">
        <v>46</v>
      </c>
      <c r="F775" s="22" t="s">
        <v>19</v>
      </c>
      <c r="G775" s="26"/>
      <c r="H775" s="22"/>
      <c r="I775" s="22"/>
      <c r="J775" s="6"/>
      <c r="K775" s="2">
        <v>3</v>
      </c>
      <c r="L775" s="6">
        <v>98.901098901098891</v>
      </c>
      <c r="M775" s="2"/>
      <c r="N775" s="22"/>
      <c r="O775" s="22"/>
      <c r="P775" s="2"/>
    </row>
    <row r="776" spans="1:16" ht="15" customHeight="1">
      <c r="A776" s="2">
        <v>775</v>
      </c>
      <c r="B776" s="22" t="s">
        <v>63</v>
      </c>
      <c r="C776" s="22" t="s">
        <v>64</v>
      </c>
      <c r="D776" s="3">
        <v>41939</v>
      </c>
      <c r="E776" s="22" t="s">
        <v>43</v>
      </c>
      <c r="F776" s="22" t="s">
        <v>19</v>
      </c>
      <c r="G776" s="26"/>
      <c r="H776" s="22"/>
      <c r="I776" s="22"/>
      <c r="J776" s="6"/>
      <c r="K776" s="2">
        <v>3</v>
      </c>
      <c r="L776" s="6">
        <v>197.80219780219778</v>
      </c>
      <c r="M776" s="2"/>
      <c r="N776" s="22" t="s">
        <v>128</v>
      </c>
      <c r="O776" s="22"/>
      <c r="P776" s="2"/>
    </row>
    <row r="777" spans="1:16" ht="15" customHeight="1">
      <c r="A777" s="2">
        <v>776</v>
      </c>
      <c r="B777" s="22" t="s">
        <v>63</v>
      </c>
      <c r="C777" s="22" t="s">
        <v>64</v>
      </c>
      <c r="D777" s="3">
        <v>41939</v>
      </c>
      <c r="E777" s="22" t="s">
        <v>46</v>
      </c>
      <c r="F777" s="22" t="s">
        <v>19</v>
      </c>
      <c r="G777" s="26"/>
      <c r="H777" s="22"/>
      <c r="I777" s="22"/>
      <c r="J777" s="6"/>
      <c r="K777" s="2">
        <v>3</v>
      </c>
      <c r="L777" s="6">
        <v>98.901098901098891</v>
      </c>
      <c r="M777" s="2"/>
      <c r="N777" s="22"/>
      <c r="O777" s="22"/>
      <c r="P777" s="2"/>
    </row>
    <row r="778" spans="1:16" ht="15" customHeight="1">
      <c r="A778" s="2">
        <v>777</v>
      </c>
      <c r="B778" s="22" t="s">
        <v>38</v>
      </c>
      <c r="C778" s="22" t="s">
        <v>39</v>
      </c>
      <c r="D778" s="3">
        <v>41941</v>
      </c>
      <c r="E778" s="22" t="s">
        <v>43</v>
      </c>
      <c r="F778" s="22" t="s">
        <v>19</v>
      </c>
      <c r="G778" s="26"/>
      <c r="H778" s="22"/>
      <c r="I778" s="22"/>
      <c r="J778" s="6"/>
      <c r="K778" s="2">
        <v>3</v>
      </c>
      <c r="L778" s="6">
        <v>175.82417582417582</v>
      </c>
      <c r="M778" s="2"/>
      <c r="N778" s="22" t="s">
        <v>128</v>
      </c>
      <c r="O778" s="22"/>
      <c r="P778" s="2"/>
    </row>
    <row r="779" spans="1:16" ht="15" customHeight="1">
      <c r="A779" s="2">
        <v>778</v>
      </c>
      <c r="B779" s="22" t="s">
        <v>33</v>
      </c>
      <c r="C779" s="22" t="s">
        <v>34</v>
      </c>
      <c r="D779" s="3">
        <v>41941</v>
      </c>
      <c r="E779" s="22" t="s">
        <v>43</v>
      </c>
      <c r="F779" s="22" t="s">
        <v>19</v>
      </c>
      <c r="G779" s="26"/>
      <c r="H779" s="22"/>
      <c r="I779" s="22"/>
      <c r="J779" s="6"/>
      <c r="K779" s="2">
        <v>3</v>
      </c>
      <c r="L779" s="6">
        <v>252.74725274725273</v>
      </c>
      <c r="M779" s="2"/>
      <c r="N779" s="22" t="s">
        <v>128</v>
      </c>
      <c r="O779" s="22"/>
      <c r="P779" s="2"/>
    </row>
    <row r="780" spans="1:16" ht="15" customHeight="1">
      <c r="A780" s="2">
        <v>779</v>
      </c>
      <c r="B780" s="22" t="s">
        <v>33</v>
      </c>
      <c r="C780" s="22" t="s">
        <v>34</v>
      </c>
      <c r="D780" s="8">
        <v>41943</v>
      </c>
      <c r="E780" s="26" t="s">
        <v>26</v>
      </c>
      <c r="F780" s="26" t="s">
        <v>58</v>
      </c>
      <c r="G780" s="26"/>
      <c r="H780" s="27" t="s">
        <v>83</v>
      </c>
      <c r="I780" s="27" t="s">
        <v>196</v>
      </c>
      <c r="J780" s="133"/>
      <c r="K780" s="25"/>
      <c r="L780" s="6">
        <v>105</v>
      </c>
      <c r="M780" s="2"/>
      <c r="N780" s="22"/>
      <c r="O780" s="10"/>
      <c r="P780" s="11"/>
    </row>
    <row r="781" spans="1:16" ht="15" customHeight="1">
      <c r="A781" s="2">
        <v>780</v>
      </c>
      <c r="B781" s="22" t="s">
        <v>63</v>
      </c>
      <c r="C781" s="22" t="s">
        <v>64</v>
      </c>
      <c r="D781" s="3">
        <v>41943</v>
      </c>
      <c r="E781" s="26" t="s">
        <v>26</v>
      </c>
      <c r="F781" s="26" t="s">
        <v>58</v>
      </c>
      <c r="G781" s="26"/>
      <c r="H781" s="22" t="s">
        <v>83</v>
      </c>
      <c r="I781" s="22" t="s">
        <v>196</v>
      </c>
      <c r="J781" s="133"/>
      <c r="K781" s="25"/>
      <c r="L781" s="6">
        <v>105</v>
      </c>
      <c r="M781" s="2"/>
      <c r="N781" s="22"/>
      <c r="O781" s="10"/>
      <c r="P781" s="2"/>
    </row>
    <row r="782" spans="1:16" ht="15" customHeight="1">
      <c r="A782" s="2">
        <v>781</v>
      </c>
      <c r="B782" s="22" t="s">
        <v>95</v>
      </c>
      <c r="C782" s="22" t="s">
        <v>96</v>
      </c>
      <c r="D782" s="3">
        <v>41943</v>
      </c>
      <c r="E782" s="26" t="s">
        <v>26</v>
      </c>
      <c r="F782" s="26" t="s">
        <v>58</v>
      </c>
      <c r="G782" s="26"/>
      <c r="H782" s="22" t="s">
        <v>83</v>
      </c>
      <c r="I782" s="22" t="s">
        <v>196</v>
      </c>
      <c r="J782" s="133"/>
      <c r="K782" s="25"/>
      <c r="L782" s="6">
        <v>95</v>
      </c>
      <c r="M782" s="2"/>
      <c r="N782" s="22"/>
      <c r="O782" s="10"/>
      <c r="P782" s="2"/>
    </row>
    <row r="783" spans="1:16" ht="15" customHeight="1">
      <c r="A783" s="2">
        <v>782</v>
      </c>
      <c r="B783" s="22" t="s">
        <v>33</v>
      </c>
      <c r="C783" s="22" t="s">
        <v>34</v>
      </c>
      <c r="D783" s="3">
        <v>41943</v>
      </c>
      <c r="E783" s="27" t="s">
        <v>29</v>
      </c>
      <c r="F783" s="26" t="s">
        <v>58</v>
      </c>
      <c r="G783" s="26"/>
      <c r="H783" s="22" t="s">
        <v>83</v>
      </c>
      <c r="I783" s="22" t="s">
        <v>196</v>
      </c>
      <c r="J783" s="133">
        <v>200</v>
      </c>
      <c r="K783" s="5">
        <v>4</v>
      </c>
      <c r="L783" s="6">
        <v>225.98870056497174</v>
      </c>
      <c r="M783" s="2">
        <v>92</v>
      </c>
      <c r="N783" s="22" t="s">
        <v>30</v>
      </c>
      <c r="O783" s="10"/>
      <c r="P783" s="2" t="s">
        <v>197</v>
      </c>
    </row>
    <row r="784" spans="1:16" ht="15" customHeight="1">
      <c r="A784" s="2">
        <v>783</v>
      </c>
      <c r="B784" s="22" t="s">
        <v>63</v>
      </c>
      <c r="C784" s="22" t="s">
        <v>64</v>
      </c>
      <c r="D784" s="3">
        <v>41943</v>
      </c>
      <c r="E784" s="27" t="s">
        <v>29</v>
      </c>
      <c r="F784" s="26" t="s">
        <v>58</v>
      </c>
      <c r="G784" s="26"/>
      <c r="H784" s="22" t="s">
        <v>83</v>
      </c>
      <c r="I784" s="22" t="s">
        <v>196</v>
      </c>
      <c r="J784" s="133">
        <v>185</v>
      </c>
      <c r="K784" s="5">
        <v>4</v>
      </c>
      <c r="L784" s="6">
        <v>209.03954802259886</v>
      </c>
      <c r="M784" s="2">
        <v>89.4</v>
      </c>
      <c r="N784" s="22" t="s">
        <v>30</v>
      </c>
      <c r="O784" s="10"/>
      <c r="P784" s="2" t="s">
        <v>198</v>
      </c>
    </row>
    <row r="785" spans="1:16" ht="15" customHeight="1">
      <c r="A785" s="2">
        <v>784</v>
      </c>
      <c r="B785" s="22" t="s">
        <v>38</v>
      </c>
      <c r="C785" s="22" t="s">
        <v>39</v>
      </c>
      <c r="D785" s="3">
        <v>41943</v>
      </c>
      <c r="E785" s="22" t="s">
        <v>26</v>
      </c>
      <c r="F785" s="22" t="s">
        <v>19</v>
      </c>
      <c r="G785" s="26"/>
      <c r="H785" s="22"/>
      <c r="I785" s="22"/>
      <c r="J785" s="6">
        <v>95</v>
      </c>
      <c r="K785" s="2">
        <v>1</v>
      </c>
      <c r="L785" s="6">
        <v>95</v>
      </c>
      <c r="M785" s="2"/>
      <c r="N785" s="22"/>
      <c r="O785" s="22"/>
      <c r="P785" s="2"/>
    </row>
    <row r="786" spans="1:16" ht="15" customHeight="1">
      <c r="A786" s="2">
        <v>785</v>
      </c>
      <c r="B786" s="22" t="s">
        <v>38</v>
      </c>
      <c r="C786" s="22" t="s">
        <v>39</v>
      </c>
      <c r="D786" s="3">
        <v>41943</v>
      </c>
      <c r="E786" s="27" t="s">
        <v>29</v>
      </c>
      <c r="F786" s="22" t="s">
        <v>58</v>
      </c>
      <c r="G786" s="26" t="s">
        <v>20</v>
      </c>
      <c r="H786" s="22"/>
      <c r="I786" s="22"/>
      <c r="J786" s="6"/>
      <c r="K786" s="2">
        <v>3</v>
      </c>
      <c r="L786" s="6">
        <v>149.7326203208556</v>
      </c>
      <c r="M786" s="2"/>
      <c r="N786" s="22" t="s">
        <v>30</v>
      </c>
      <c r="O786" s="22"/>
      <c r="P786" s="2"/>
    </row>
    <row r="787" spans="1:16" ht="15" customHeight="1">
      <c r="A787" s="2">
        <v>786</v>
      </c>
      <c r="B787" s="22" t="s">
        <v>33</v>
      </c>
      <c r="C787" s="22" t="s">
        <v>34</v>
      </c>
      <c r="D787" s="3">
        <v>41943</v>
      </c>
      <c r="E787" s="22" t="s">
        <v>26</v>
      </c>
      <c r="F787" s="22" t="s">
        <v>19</v>
      </c>
      <c r="G787" s="26"/>
      <c r="H787" s="22"/>
      <c r="I787" s="22"/>
      <c r="J787" s="6">
        <v>105</v>
      </c>
      <c r="K787" s="2">
        <v>1</v>
      </c>
      <c r="L787" s="6">
        <v>105</v>
      </c>
      <c r="M787" s="2"/>
      <c r="N787" s="22"/>
      <c r="O787" s="22"/>
      <c r="P787" s="2"/>
    </row>
    <row r="788" spans="1:16" ht="15" customHeight="1">
      <c r="A788" s="2">
        <v>787</v>
      </c>
      <c r="B788" s="22" t="s">
        <v>33</v>
      </c>
      <c r="C788" s="22" t="s">
        <v>34</v>
      </c>
      <c r="D788" s="3">
        <v>41943</v>
      </c>
      <c r="E788" s="27" t="s">
        <v>29</v>
      </c>
      <c r="F788" s="22" t="s">
        <v>58</v>
      </c>
      <c r="G788" s="26" t="s">
        <v>20</v>
      </c>
      <c r="H788" s="22"/>
      <c r="I788" s="22"/>
      <c r="J788" s="6"/>
      <c r="K788" s="2">
        <v>3</v>
      </c>
      <c r="L788" s="6">
        <v>225.98870056497174</v>
      </c>
      <c r="M788" s="2"/>
      <c r="N788" s="22" t="s">
        <v>30</v>
      </c>
      <c r="O788" s="22"/>
      <c r="P788" s="2"/>
    </row>
    <row r="789" spans="1:16" ht="15" customHeight="1">
      <c r="A789" s="2">
        <v>788</v>
      </c>
      <c r="B789" s="22" t="s">
        <v>63</v>
      </c>
      <c r="C789" s="22" t="s">
        <v>64</v>
      </c>
      <c r="D789" s="3">
        <v>41943</v>
      </c>
      <c r="E789" s="22" t="s">
        <v>26</v>
      </c>
      <c r="F789" s="22" t="s">
        <v>19</v>
      </c>
      <c r="G789" s="26"/>
      <c r="H789" s="22"/>
      <c r="I789" s="22"/>
      <c r="J789" s="6">
        <v>105</v>
      </c>
      <c r="K789" s="2">
        <v>1</v>
      </c>
      <c r="L789" s="6">
        <v>105</v>
      </c>
      <c r="M789" s="2"/>
      <c r="N789" s="22"/>
      <c r="O789" s="22"/>
      <c r="P789" s="2"/>
    </row>
    <row r="790" spans="1:16" ht="15" customHeight="1">
      <c r="A790" s="2">
        <v>789</v>
      </c>
      <c r="B790" s="22" t="s">
        <v>63</v>
      </c>
      <c r="C790" s="22" t="s">
        <v>64</v>
      </c>
      <c r="D790" s="3">
        <v>41943</v>
      </c>
      <c r="E790" s="27" t="s">
        <v>29</v>
      </c>
      <c r="F790" s="22" t="s">
        <v>58</v>
      </c>
      <c r="G790" s="26" t="s">
        <v>20</v>
      </c>
      <c r="H790" s="22"/>
      <c r="I790" s="22"/>
      <c r="J790" s="6"/>
      <c r="K790" s="2">
        <v>3</v>
      </c>
      <c r="L790" s="6">
        <v>209.03954802259886</v>
      </c>
      <c r="M790" s="2"/>
      <c r="N790" s="22" t="s">
        <v>30</v>
      </c>
      <c r="O790" s="22"/>
      <c r="P790" s="2"/>
    </row>
    <row r="791" spans="1:16" ht="15" customHeight="1">
      <c r="A791" s="2">
        <v>790</v>
      </c>
      <c r="B791" s="22" t="s">
        <v>47</v>
      </c>
      <c r="C791" s="22" t="s">
        <v>48</v>
      </c>
      <c r="D791" s="3">
        <v>41944</v>
      </c>
      <c r="E791" s="27" t="s">
        <v>29</v>
      </c>
      <c r="F791" s="22" t="s">
        <v>19</v>
      </c>
      <c r="G791" s="26" t="s">
        <v>20</v>
      </c>
      <c r="H791" s="22"/>
      <c r="I791" s="22"/>
      <c r="J791" s="6"/>
      <c r="K791" s="2"/>
      <c r="L791" s="6">
        <v>260</v>
      </c>
      <c r="M791" s="2"/>
      <c r="N791" s="22" t="s">
        <v>30</v>
      </c>
      <c r="O791" s="22" t="s">
        <v>199</v>
      </c>
      <c r="P791" s="2"/>
    </row>
    <row r="792" spans="1:16" ht="15" customHeight="1">
      <c r="A792" s="2">
        <v>791</v>
      </c>
      <c r="B792" s="22" t="s">
        <v>33</v>
      </c>
      <c r="C792" s="22" t="s">
        <v>34</v>
      </c>
      <c r="D792" s="3">
        <v>41983</v>
      </c>
      <c r="E792" s="26" t="s">
        <v>26</v>
      </c>
      <c r="F792" s="26" t="s">
        <v>58</v>
      </c>
      <c r="G792" s="26"/>
      <c r="H792" s="22" t="s">
        <v>83</v>
      </c>
      <c r="I792" s="22" t="s">
        <v>200</v>
      </c>
      <c r="J792" s="133"/>
      <c r="K792" s="25"/>
      <c r="L792" s="6">
        <v>110</v>
      </c>
      <c r="M792" s="2"/>
      <c r="N792" s="22"/>
      <c r="O792" s="10"/>
      <c r="P792" s="2"/>
    </row>
    <row r="793" spans="1:16" ht="15" customHeight="1">
      <c r="A793" s="2">
        <v>792</v>
      </c>
      <c r="B793" s="22" t="s">
        <v>63</v>
      </c>
      <c r="C793" s="22" t="s">
        <v>64</v>
      </c>
      <c r="D793" s="3">
        <v>41983</v>
      </c>
      <c r="E793" s="26" t="s">
        <v>26</v>
      </c>
      <c r="F793" s="26" t="s">
        <v>58</v>
      </c>
      <c r="G793" s="26"/>
      <c r="H793" s="22" t="s">
        <v>83</v>
      </c>
      <c r="I793" s="22" t="s">
        <v>200</v>
      </c>
      <c r="J793" s="133"/>
      <c r="K793" s="25"/>
      <c r="L793" s="6">
        <v>105</v>
      </c>
      <c r="M793" s="2"/>
      <c r="N793" s="22"/>
      <c r="O793" s="10"/>
      <c r="P793" s="2"/>
    </row>
    <row r="794" spans="1:16" ht="15" customHeight="1">
      <c r="A794" s="2">
        <v>793</v>
      </c>
      <c r="B794" s="22" t="s">
        <v>95</v>
      </c>
      <c r="C794" s="22" t="s">
        <v>96</v>
      </c>
      <c r="D794" s="3">
        <v>41983</v>
      </c>
      <c r="E794" s="26" t="s">
        <v>26</v>
      </c>
      <c r="F794" s="26" t="s">
        <v>58</v>
      </c>
      <c r="G794" s="26"/>
      <c r="H794" s="22" t="s">
        <v>83</v>
      </c>
      <c r="I794" s="27" t="s">
        <v>200</v>
      </c>
      <c r="J794" s="133"/>
      <c r="K794" s="25"/>
      <c r="L794" s="11">
        <v>98</v>
      </c>
      <c r="M794" s="2"/>
      <c r="N794" s="22"/>
      <c r="O794" s="10"/>
      <c r="P794" s="2"/>
    </row>
    <row r="795" spans="1:16" ht="15" customHeight="1">
      <c r="A795" s="2">
        <v>794</v>
      </c>
      <c r="B795" s="22" t="s">
        <v>33</v>
      </c>
      <c r="C795" s="22" t="s">
        <v>34</v>
      </c>
      <c r="D795" s="3">
        <v>41983</v>
      </c>
      <c r="E795" s="27" t="s">
        <v>29</v>
      </c>
      <c r="F795" s="26" t="s">
        <v>58</v>
      </c>
      <c r="G795" s="26"/>
      <c r="H795" s="22" t="s">
        <v>83</v>
      </c>
      <c r="I795" s="22" t="s">
        <v>200</v>
      </c>
      <c r="J795" s="133">
        <v>185</v>
      </c>
      <c r="K795" s="5">
        <v>3</v>
      </c>
      <c r="L795" s="6">
        <v>203.2967032967033</v>
      </c>
      <c r="M795" s="2">
        <v>90.8</v>
      </c>
      <c r="N795" s="22" t="s">
        <v>30</v>
      </c>
      <c r="O795" s="10"/>
      <c r="P795" s="2" t="s">
        <v>86</v>
      </c>
    </row>
    <row r="796" spans="1:16" ht="15" customHeight="1">
      <c r="A796" s="2">
        <v>795</v>
      </c>
      <c r="B796" s="22" t="s">
        <v>63</v>
      </c>
      <c r="C796" s="22" t="s">
        <v>64</v>
      </c>
      <c r="D796" s="8">
        <v>41983</v>
      </c>
      <c r="E796" s="27" t="s">
        <v>29</v>
      </c>
      <c r="F796" s="26" t="s">
        <v>58</v>
      </c>
      <c r="G796" s="26"/>
      <c r="H796" s="27" t="s">
        <v>83</v>
      </c>
      <c r="I796" s="27" t="s">
        <v>200</v>
      </c>
      <c r="J796" s="133">
        <v>180</v>
      </c>
      <c r="K796" s="5">
        <v>2</v>
      </c>
      <c r="L796" s="6">
        <v>192.51336898395721</v>
      </c>
      <c r="M796" s="2">
        <v>88.5</v>
      </c>
      <c r="N796" s="22" t="s">
        <v>30</v>
      </c>
      <c r="O796" s="10"/>
      <c r="P796" s="2" t="s">
        <v>201</v>
      </c>
    </row>
    <row r="797" spans="1:16" ht="15" customHeight="1">
      <c r="A797" s="2">
        <v>796</v>
      </c>
      <c r="B797" s="22" t="s">
        <v>16</v>
      </c>
      <c r="C797" s="22" t="s">
        <v>17</v>
      </c>
      <c r="D797" s="3">
        <v>41997</v>
      </c>
      <c r="E797" s="27" t="s">
        <v>29</v>
      </c>
      <c r="F797" s="22" t="s">
        <v>19</v>
      </c>
      <c r="G797" s="26" t="s">
        <v>20</v>
      </c>
      <c r="H797" s="22"/>
      <c r="I797" s="22"/>
      <c r="J797" s="6"/>
      <c r="K797" s="2">
        <v>5</v>
      </c>
      <c r="L797" s="6">
        <v>139.53488372093022</v>
      </c>
      <c r="M797" s="2"/>
      <c r="N797" s="22" t="s">
        <v>30</v>
      </c>
      <c r="O797" s="22" t="s">
        <v>202</v>
      </c>
      <c r="P797" s="2"/>
    </row>
    <row r="798" spans="1:16" ht="15" customHeight="1">
      <c r="A798" s="2">
        <v>797</v>
      </c>
      <c r="B798" s="22" t="s">
        <v>16</v>
      </c>
      <c r="C798" s="22" t="s">
        <v>17</v>
      </c>
      <c r="D798" s="3">
        <v>42001</v>
      </c>
      <c r="E798" s="22" t="s">
        <v>53</v>
      </c>
      <c r="F798" s="22" t="s">
        <v>19</v>
      </c>
      <c r="G798" s="26"/>
      <c r="H798" s="22"/>
      <c r="I798" s="22"/>
      <c r="J798" s="6"/>
      <c r="K798" s="2">
        <v>5</v>
      </c>
      <c r="L798" s="6">
        <v>127.90697674418605</v>
      </c>
      <c r="M798" s="2"/>
      <c r="N798" s="22"/>
      <c r="O798" s="22"/>
      <c r="P798" s="2"/>
    </row>
    <row r="799" spans="1:16" ht="15" customHeight="1">
      <c r="A799" s="2">
        <v>798</v>
      </c>
      <c r="B799" s="22" t="s">
        <v>47</v>
      </c>
      <c r="C799" s="22" t="s">
        <v>48</v>
      </c>
      <c r="D799" s="8">
        <v>42013</v>
      </c>
      <c r="E799" s="26" t="s">
        <v>26</v>
      </c>
      <c r="F799" s="26" t="s">
        <v>58</v>
      </c>
      <c r="G799" s="26"/>
      <c r="H799" s="27" t="s">
        <v>83</v>
      </c>
      <c r="I799" s="27" t="s">
        <v>203</v>
      </c>
      <c r="J799" s="133"/>
      <c r="K799" s="25"/>
      <c r="L799" s="6">
        <v>140</v>
      </c>
      <c r="M799" s="2"/>
      <c r="N799" s="22"/>
      <c r="O799" s="10"/>
      <c r="P799" s="2"/>
    </row>
    <row r="800" spans="1:16" ht="15" customHeight="1">
      <c r="A800" s="2">
        <v>799</v>
      </c>
      <c r="B800" s="22" t="s">
        <v>16</v>
      </c>
      <c r="C800" s="22" t="s">
        <v>17</v>
      </c>
      <c r="D800" s="3">
        <v>42013</v>
      </c>
      <c r="E800" s="26" t="s">
        <v>26</v>
      </c>
      <c r="F800" s="26" t="s">
        <v>58</v>
      </c>
      <c r="G800" s="26"/>
      <c r="H800" s="22" t="s">
        <v>83</v>
      </c>
      <c r="I800" s="27" t="s">
        <v>203</v>
      </c>
      <c r="J800" s="133"/>
      <c r="K800" s="25"/>
      <c r="L800" s="11">
        <v>115</v>
      </c>
      <c r="M800" s="2"/>
      <c r="N800" s="22"/>
      <c r="O800" s="10"/>
      <c r="P800" s="2"/>
    </row>
    <row r="801" spans="1:16" ht="15" customHeight="1">
      <c r="A801" s="2">
        <v>800</v>
      </c>
      <c r="B801" s="22" t="s">
        <v>31</v>
      </c>
      <c r="C801" s="22" t="s">
        <v>32</v>
      </c>
      <c r="D801" s="3">
        <v>42013</v>
      </c>
      <c r="E801" s="26" t="s">
        <v>26</v>
      </c>
      <c r="F801" s="26" t="s">
        <v>58</v>
      </c>
      <c r="G801" s="26"/>
      <c r="H801" s="22" t="s">
        <v>83</v>
      </c>
      <c r="I801" s="22" t="s">
        <v>203</v>
      </c>
      <c r="J801" s="133"/>
      <c r="K801" s="25"/>
      <c r="L801" s="11">
        <v>120</v>
      </c>
      <c r="M801" s="2"/>
      <c r="N801" s="22"/>
      <c r="O801" s="10"/>
      <c r="P801" s="2"/>
    </row>
    <row r="802" spans="1:16" ht="15" customHeight="1">
      <c r="A802" s="2">
        <v>801</v>
      </c>
      <c r="B802" s="22" t="s">
        <v>27</v>
      </c>
      <c r="C802" s="22" t="s">
        <v>87</v>
      </c>
      <c r="D802" s="8">
        <v>42013</v>
      </c>
      <c r="E802" s="22" t="s">
        <v>26</v>
      </c>
      <c r="F802" s="26" t="s">
        <v>58</v>
      </c>
      <c r="G802" s="26"/>
      <c r="H802" s="27" t="s">
        <v>83</v>
      </c>
      <c r="I802" s="27" t="s">
        <v>203</v>
      </c>
      <c r="J802" s="133" t="s">
        <v>204</v>
      </c>
      <c r="K802" s="25"/>
      <c r="L802" s="6">
        <v>140</v>
      </c>
      <c r="M802" s="2"/>
      <c r="N802" s="22"/>
      <c r="O802" s="10"/>
      <c r="P802" s="2"/>
    </row>
    <row r="803" spans="1:16" ht="15" customHeight="1">
      <c r="A803" s="2">
        <v>802</v>
      </c>
      <c r="B803" s="22" t="s">
        <v>41</v>
      </c>
      <c r="C803" s="22" t="s">
        <v>94</v>
      </c>
      <c r="D803" s="3">
        <v>42013</v>
      </c>
      <c r="E803" s="22" t="s">
        <v>26</v>
      </c>
      <c r="F803" s="26" t="s">
        <v>58</v>
      </c>
      <c r="G803" s="26"/>
      <c r="H803" s="22" t="s">
        <v>83</v>
      </c>
      <c r="I803" s="27" t="s">
        <v>203</v>
      </c>
      <c r="J803" s="133"/>
      <c r="K803" s="25"/>
      <c r="L803" s="11">
        <v>80</v>
      </c>
      <c r="M803" s="2"/>
      <c r="N803" s="22"/>
      <c r="O803" s="10"/>
      <c r="P803" s="2"/>
    </row>
    <row r="804" spans="1:16" ht="15" customHeight="1">
      <c r="A804" s="2">
        <v>803</v>
      </c>
      <c r="B804" s="22" t="s">
        <v>47</v>
      </c>
      <c r="C804" s="22" t="s">
        <v>48</v>
      </c>
      <c r="D804" s="3">
        <v>42013</v>
      </c>
      <c r="E804" s="27" t="s">
        <v>29</v>
      </c>
      <c r="F804" s="26" t="s">
        <v>58</v>
      </c>
      <c r="G804" s="26"/>
      <c r="H804" s="22" t="s">
        <v>83</v>
      </c>
      <c r="I804" s="27" t="s">
        <v>203</v>
      </c>
      <c r="J804" s="133">
        <v>250</v>
      </c>
      <c r="K804" s="5">
        <v>5</v>
      </c>
      <c r="L804" s="11">
        <v>290.69767441860466</v>
      </c>
      <c r="M804" s="2">
        <v>100.9</v>
      </c>
      <c r="N804" s="22" t="s">
        <v>30</v>
      </c>
      <c r="O804" s="10" t="s">
        <v>190</v>
      </c>
      <c r="P804" s="2" t="s">
        <v>205</v>
      </c>
    </row>
    <row r="805" spans="1:16" ht="15" customHeight="1">
      <c r="A805" s="2">
        <v>804</v>
      </c>
      <c r="B805" s="22" t="s">
        <v>16</v>
      </c>
      <c r="C805" s="22" t="s">
        <v>17</v>
      </c>
      <c r="D805" s="3">
        <v>42013</v>
      </c>
      <c r="E805" s="27" t="s">
        <v>29</v>
      </c>
      <c r="F805" s="26" t="s">
        <v>58</v>
      </c>
      <c r="G805" s="26"/>
      <c r="H805" s="22" t="s">
        <v>83</v>
      </c>
      <c r="I805" s="22" t="s">
        <v>203</v>
      </c>
      <c r="J805" s="133">
        <v>175</v>
      </c>
      <c r="K805" s="5">
        <v>6</v>
      </c>
      <c r="L805" s="11">
        <v>203.48837209302326</v>
      </c>
      <c r="M805" s="2">
        <v>83.6</v>
      </c>
      <c r="N805" s="22" t="s">
        <v>30</v>
      </c>
      <c r="O805" s="10"/>
      <c r="P805" s="2" t="s">
        <v>206</v>
      </c>
    </row>
    <row r="806" spans="1:16" ht="15" customHeight="1">
      <c r="A806" s="2">
        <v>805</v>
      </c>
      <c r="B806" s="22" t="s">
        <v>27</v>
      </c>
      <c r="C806" s="22" t="s">
        <v>87</v>
      </c>
      <c r="D806" s="3">
        <v>42013</v>
      </c>
      <c r="E806" s="27" t="s">
        <v>29</v>
      </c>
      <c r="F806" s="26" t="s">
        <v>58</v>
      </c>
      <c r="G806" s="26"/>
      <c r="H806" s="22" t="s">
        <v>83</v>
      </c>
      <c r="I806" s="22" t="s">
        <v>203</v>
      </c>
      <c r="J806" s="133">
        <v>200</v>
      </c>
      <c r="K806" s="5">
        <v>4</v>
      </c>
      <c r="L806" s="6">
        <v>225.98870056497174</v>
      </c>
      <c r="M806" s="2">
        <v>97</v>
      </c>
      <c r="N806" s="22" t="s">
        <v>30</v>
      </c>
      <c r="O806" s="10" t="s">
        <v>69</v>
      </c>
      <c r="P806" s="2" t="s">
        <v>207</v>
      </c>
    </row>
    <row r="807" spans="1:16" ht="15" customHeight="1">
      <c r="A807" s="2">
        <v>806</v>
      </c>
      <c r="B807" s="22" t="s">
        <v>31</v>
      </c>
      <c r="C807" s="22" t="s">
        <v>32</v>
      </c>
      <c r="D807" s="3">
        <v>42013</v>
      </c>
      <c r="E807" s="27" t="s">
        <v>29</v>
      </c>
      <c r="F807" s="26" t="s">
        <v>58</v>
      </c>
      <c r="G807" s="26"/>
      <c r="H807" s="22" t="s">
        <v>83</v>
      </c>
      <c r="I807" s="22" t="s">
        <v>203</v>
      </c>
      <c r="J807" s="133">
        <v>160</v>
      </c>
      <c r="K807" s="5">
        <v>5</v>
      </c>
      <c r="L807" s="6">
        <v>186.04651162790697</v>
      </c>
      <c r="M807" s="2">
        <v>83.2</v>
      </c>
      <c r="N807" s="22" t="s">
        <v>30</v>
      </c>
      <c r="O807" s="10"/>
      <c r="P807" s="2" t="s">
        <v>208</v>
      </c>
    </row>
    <row r="808" spans="1:16" ht="15" customHeight="1">
      <c r="A808" s="2">
        <v>807</v>
      </c>
      <c r="B808" s="22" t="s">
        <v>141</v>
      </c>
      <c r="C808" s="22" t="s">
        <v>142</v>
      </c>
      <c r="D808" s="3">
        <v>42081</v>
      </c>
      <c r="E808" s="26" t="s">
        <v>209</v>
      </c>
      <c r="F808" s="26" t="s">
        <v>58</v>
      </c>
      <c r="G808" s="26"/>
      <c r="H808" s="22" t="s">
        <v>115</v>
      </c>
      <c r="I808" s="22"/>
      <c r="J808" s="133"/>
      <c r="K808" s="25"/>
      <c r="L808" s="6">
        <v>55</v>
      </c>
      <c r="M808" s="2"/>
      <c r="N808" s="22"/>
      <c r="O808" s="10"/>
      <c r="P808" s="2"/>
    </row>
    <row r="809" spans="1:16" ht="15" customHeight="1">
      <c r="A809" s="2">
        <v>808</v>
      </c>
      <c r="B809" s="22" t="s">
        <v>47</v>
      </c>
      <c r="C809" s="22" t="s">
        <v>48</v>
      </c>
      <c r="D809" s="3">
        <v>42090</v>
      </c>
      <c r="E809" s="27" t="s">
        <v>136</v>
      </c>
      <c r="F809" s="26" t="s">
        <v>58</v>
      </c>
      <c r="G809" s="26"/>
      <c r="H809" s="22"/>
      <c r="I809" s="22"/>
      <c r="J809" s="133"/>
      <c r="K809" s="25"/>
      <c r="L809" s="6">
        <v>284.5</v>
      </c>
      <c r="M809" s="2"/>
      <c r="N809" s="22"/>
      <c r="O809" s="10"/>
      <c r="P809" s="2"/>
    </row>
    <row r="810" spans="1:16" ht="15" customHeight="1">
      <c r="A810" s="2">
        <v>809</v>
      </c>
      <c r="B810" s="22" t="s">
        <v>27</v>
      </c>
      <c r="C810" s="22" t="s">
        <v>87</v>
      </c>
      <c r="D810" s="3">
        <v>42090</v>
      </c>
      <c r="E810" s="27" t="s">
        <v>136</v>
      </c>
      <c r="F810" s="26" t="s">
        <v>58</v>
      </c>
      <c r="G810" s="26"/>
      <c r="H810" s="22"/>
      <c r="I810" s="22"/>
      <c r="J810" s="133">
        <v>220</v>
      </c>
      <c r="K810" s="5">
        <v>7</v>
      </c>
      <c r="L810" s="6">
        <v>272.60000000000002</v>
      </c>
      <c r="M810" s="2">
        <v>97.2</v>
      </c>
      <c r="N810" s="22"/>
      <c r="O810" s="10"/>
      <c r="P810" s="2" t="s">
        <v>210</v>
      </c>
    </row>
    <row r="811" spans="1:16" ht="15" customHeight="1">
      <c r="A811" s="2">
        <v>810</v>
      </c>
      <c r="B811" s="22" t="s">
        <v>31</v>
      </c>
      <c r="C811" s="22" t="s">
        <v>32</v>
      </c>
      <c r="D811" s="3">
        <v>42090</v>
      </c>
      <c r="E811" s="27" t="s">
        <v>136</v>
      </c>
      <c r="F811" s="26" t="s">
        <v>58</v>
      </c>
      <c r="G811" s="26"/>
      <c r="H811" s="22"/>
      <c r="I811" s="22"/>
      <c r="J811" s="133">
        <v>180</v>
      </c>
      <c r="K811" s="5">
        <v>5</v>
      </c>
      <c r="L811" s="6">
        <v>210.3</v>
      </c>
      <c r="M811" s="2">
        <v>86</v>
      </c>
      <c r="N811" s="22"/>
      <c r="O811" s="10"/>
      <c r="P811" s="2" t="s">
        <v>211</v>
      </c>
    </row>
    <row r="812" spans="1:16" ht="15" customHeight="1">
      <c r="A812" s="2">
        <v>811</v>
      </c>
      <c r="B812" s="22" t="s">
        <v>33</v>
      </c>
      <c r="C812" s="22" t="s">
        <v>34</v>
      </c>
      <c r="D812" s="3">
        <v>42090</v>
      </c>
      <c r="E812" s="27" t="s">
        <v>136</v>
      </c>
      <c r="F812" s="26" t="s">
        <v>58</v>
      </c>
      <c r="G812" s="26"/>
      <c r="H812" s="22"/>
      <c r="I812" s="22"/>
      <c r="J812" s="133">
        <v>200</v>
      </c>
      <c r="K812" s="5">
        <v>8</v>
      </c>
      <c r="L812" s="6">
        <v>254.5</v>
      </c>
      <c r="M812" s="2">
        <v>93.1</v>
      </c>
      <c r="N812" s="22"/>
      <c r="O812" s="10"/>
      <c r="P812" s="2" t="s">
        <v>212</v>
      </c>
    </row>
    <row r="813" spans="1:16" ht="15" customHeight="1">
      <c r="A813" s="2">
        <v>812</v>
      </c>
      <c r="B813" s="22" t="s">
        <v>163</v>
      </c>
      <c r="C813" s="26" t="s">
        <v>164</v>
      </c>
      <c r="D813" s="3">
        <v>42090</v>
      </c>
      <c r="E813" s="27" t="s">
        <v>136</v>
      </c>
      <c r="F813" s="26" t="s">
        <v>58</v>
      </c>
      <c r="G813" s="26"/>
      <c r="H813" s="22"/>
      <c r="I813" s="22"/>
      <c r="J813" s="133">
        <v>105</v>
      </c>
      <c r="K813" s="5">
        <v>11</v>
      </c>
      <c r="L813" s="6">
        <v>145.19999999999999</v>
      </c>
      <c r="M813" s="2">
        <v>71.3</v>
      </c>
      <c r="N813" s="22"/>
      <c r="O813" s="10"/>
      <c r="P813" s="2" t="s">
        <v>213</v>
      </c>
    </row>
    <row r="814" spans="1:16" ht="15" customHeight="1">
      <c r="A814" s="2">
        <v>813</v>
      </c>
      <c r="B814" s="22" t="s">
        <v>141</v>
      </c>
      <c r="C814" s="22" t="s">
        <v>142</v>
      </c>
      <c r="D814" s="3">
        <v>42090</v>
      </c>
      <c r="E814" s="27" t="s">
        <v>136</v>
      </c>
      <c r="F814" s="26" t="s">
        <v>58</v>
      </c>
      <c r="G814" s="26"/>
      <c r="H814" s="22"/>
      <c r="I814" s="22"/>
      <c r="J814" s="133">
        <v>160</v>
      </c>
      <c r="K814" s="5">
        <v>4</v>
      </c>
      <c r="L814" s="6">
        <v>181.6</v>
      </c>
      <c r="M814" s="2">
        <v>68.099999999999994</v>
      </c>
      <c r="N814" s="22"/>
      <c r="O814" s="10"/>
      <c r="P814" s="2" t="s">
        <v>214</v>
      </c>
    </row>
    <row r="815" spans="1:16" ht="15" customHeight="1">
      <c r="A815" s="2">
        <v>814</v>
      </c>
      <c r="B815" s="22" t="s">
        <v>41</v>
      </c>
      <c r="C815" s="22" t="s">
        <v>94</v>
      </c>
      <c r="D815" s="3">
        <v>42090</v>
      </c>
      <c r="E815" s="27" t="s">
        <v>136</v>
      </c>
      <c r="F815" s="26" t="s">
        <v>58</v>
      </c>
      <c r="G815" s="26"/>
      <c r="H815" s="27"/>
      <c r="I815" s="27"/>
      <c r="J815" s="133">
        <v>180</v>
      </c>
      <c r="K815" s="5">
        <v>8</v>
      </c>
      <c r="L815" s="6">
        <v>229</v>
      </c>
      <c r="M815" s="2">
        <v>79.3</v>
      </c>
      <c r="N815" s="22"/>
      <c r="O815" s="10" t="s">
        <v>215</v>
      </c>
      <c r="P815" s="6" t="s">
        <v>216</v>
      </c>
    </row>
    <row r="816" spans="1:16" ht="15" customHeight="1">
      <c r="A816" s="2">
        <v>815</v>
      </c>
      <c r="B816" s="22" t="s">
        <v>217</v>
      </c>
      <c r="C816" s="22" t="s">
        <v>218</v>
      </c>
      <c r="D816" s="3">
        <v>42090</v>
      </c>
      <c r="E816" s="27" t="s">
        <v>136</v>
      </c>
      <c r="F816" s="26" t="s">
        <v>58</v>
      </c>
      <c r="G816" s="26"/>
      <c r="H816" s="27"/>
      <c r="I816" s="27"/>
      <c r="J816" s="133">
        <v>260</v>
      </c>
      <c r="K816" s="5">
        <v>7</v>
      </c>
      <c r="L816" s="9">
        <v>320.98765432098764</v>
      </c>
      <c r="M816" s="2">
        <v>98.9</v>
      </c>
      <c r="N816" s="22"/>
      <c r="O816" s="10"/>
      <c r="P816" s="2" t="s">
        <v>219</v>
      </c>
    </row>
    <row r="817" spans="1:16" ht="15" customHeight="1">
      <c r="A817" s="2">
        <v>816</v>
      </c>
      <c r="B817" s="22" t="s">
        <v>220</v>
      </c>
      <c r="C817" s="22" t="s">
        <v>221</v>
      </c>
      <c r="D817" s="3">
        <v>42090</v>
      </c>
      <c r="E817" s="27" t="s">
        <v>136</v>
      </c>
      <c r="F817" s="26" t="s">
        <v>58</v>
      </c>
      <c r="G817" s="26"/>
      <c r="H817" s="27"/>
      <c r="I817" s="27"/>
      <c r="J817" s="133">
        <v>160</v>
      </c>
      <c r="K817" s="5">
        <v>5</v>
      </c>
      <c r="L817" s="9">
        <v>186.04651162790697</v>
      </c>
      <c r="M817" s="2">
        <v>83.6</v>
      </c>
      <c r="N817" s="22"/>
      <c r="O817" s="10"/>
      <c r="P817" s="2" t="s">
        <v>222</v>
      </c>
    </row>
    <row r="818" spans="1:16" ht="15" customHeight="1">
      <c r="A818" s="2">
        <v>817</v>
      </c>
      <c r="B818" s="22" t="s">
        <v>47</v>
      </c>
      <c r="C818" s="22" t="s">
        <v>48</v>
      </c>
      <c r="D818" s="3">
        <v>42090</v>
      </c>
      <c r="E818" s="27" t="s">
        <v>145</v>
      </c>
      <c r="F818" s="26" t="s">
        <v>58</v>
      </c>
      <c r="G818" s="26"/>
      <c r="H818" s="27"/>
      <c r="I818" s="27"/>
      <c r="J818" s="133">
        <v>200</v>
      </c>
      <c r="K818" s="5">
        <v>12</v>
      </c>
      <c r="L818" s="6">
        <v>285</v>
      </c>
      <c r="M818" s="2">
        <v>103.9</v>
      </c>
      <c r="N818" s="22"/>
      <c r="O818" s="10"/>
      <c r="P818" s="4" t="s">
        <v>223</v>
      </c>
    </row>
    <row r="819" spans="1:16" ht="15" customHeight="1">
      <c r="A819" s="2">
        <v>818</v>
      </c>
      <c r="B819" s="22" t="s">
        <v>27</v>
      </c>
      <c r="C819" s="22" t="s">
        <v>87</v>
      </c>
      <c r="D819" s="3">
        <v>42090</v>
      </c>
      <c r="E819" s="27" t="s">
        <v>145</v>
      </c>
      <c r="F819" s="26" t="s">
        <v>58</v>
      </c>
      <c r="G819" s="26"/>
      <c r="H819" s="27"/>
      <c r="I819" s="27"/>
      <c r="J819" s="133">
        <v>220</v>
      </c>
      <c r="K819" s="5">
        <v>7</v>
      </c>
      <c r="L819" s="6">
        <v>272.60000000000002</v>
      </c>
      <c r="M819" s="2">
        <v>97.2</v>
      </c>
      <c r="N819" s="22"/>
      <c r="O819" s="10"/>
      <c r="P819" s="11" t="s">
        <v>210</v>
      </c>
    </row>
    <row r="820" spans="1:16" ht="15" customHeight="1">
      <c r="A820" s="2">
        <v>819</v>
      </c>
      <c r="B820" s="22" t="s">
        <v>31</v>
      </c>
      <c r="C820" s="22" t="s">
        <v>32</v>
      </c>
      <c r="D820" s="3">
        <v>42090</v>
      </c>
      <c r="E820" s="27" t="s">
        <v>145</v>
      </c>
      <c r="F820" s="26" t="s">
        <v>58</v>
      </c>
      <c r="G820" s="26"/>
      <c r="H820" s="22"/>
      <c r="I820" s="22"/>
      <c r="J820" s="133">
        <v>180</v>
      </c>
      <c r="K820" s="5">
        <v>4</v>
      </c>
      <c r="L820" s="11">
        <v>198.7</v>
      </c>
      <c r="M820" s="2">
        <v>86</v>
      </c>
      <c r="N820" s="22"/>
      <c r="O820" s="10"/>
      <c r="P820" s="2" t="s">
        <v>224</v>
      </c>
    </row>
    <row r="821" spans="1:16" ht="15" customHeight="1">
      <c r="A821" s="2">
        <v>820</v>
      </c>
      <c r="B821" s="22" t="s">
        <v>33</v>
      </c>
      <c r="C821" s="22" t="s">
        <v>34</v>
      </c>
      <c r="D821" s="3">
        <v>42090</v>
      </c>
      <c r="E821" s="27" t="s">
        <v>145</v>
      </c>
      <c r="F821" s="26" t="s">
        <v>58</v>
      </c>
      <c r="G821" s="26"/>
      <c r="H821" s="22"/>
      <c r="I821" s="22"/>
      <c r="J821" s="133">
        <v>200</v>
      </c>
      <c r="K821" s="5">
        <v>8</v>
      </c>
      <c r="L821" s="6">
        <v>254.5</v>
      </c>
      <c r="M821" s="2">
        <v>93.1</v>
      </c>
      <c r="N821" s="22"/>
      <c r="O821" s="10"/>
      <c r="P821" s="2" t="s">
        <v>212</v>
      </c>
    </row>
    <row r="822" spans="1:16" ht="15" customHeight="1">
      <c r="A822" s="2">
        <v>821</v>
      </c>
      <c r="B822" s="22" t="s">
        <v>163</v>
      </c>
      <c r="C822" s="26" t="s">
        <v>164</v>
      </c>
      <c r="D822" s="3">
        <v>42090</v>
      </c>
      <c r="E822" s="27" t="s">
        <v>145</v>
      </c>
      <c r="F822" s="26" t="s">
        <v>58</v>
      </c>
      <c r="G822" s="26"/>
      <c r="H822" s="22"/>
      <c r="I822" s="22"/>
      <c r="J822" s="133">
        <v>105</v>
      </c>
      <c r="K822" s="5">
        <v>13</v>
      </c>
      <c r="L822" s="6">
        <v>152.6</v>
      </c>
      <c r="M822" s="2">
        <v>71.3</v>
      </c>
      <c r="N822" s="22"/>
      <c r="O822" s="10"/>
      <c r="P822" s="2" t="s">
        <v>225</v>
      </c>
    </row>
    <row r="823" spans="1:16" ht="15" customHeight="1">
      <c r="A823" s="2">
        <v>822</v>
      </c>
      <c r="B823" s="22" t="s">
        <v>141</v>
      </c>
      <c r="C823" s="22" t="s">
        <v>142</v>
      </c>
      <c r="D823" s="3">
        <v>42090</v>
      </c>
      <c r="E823" s="27" t="s">
        <v>145</v>
      </c>
      <c r="F823" s="26" t="s">
        <v>58</v>
      </c>
      <c r="G823" s="26"/>
      <c r="H823" s="22"/>
      <c r="I823" s="22"/>
      <c r="J823" s="133">
        <v>180</v>
      </c>
      <c r="K823" s="5">
        <v>4</v>
      </c>
      <c r="L823" s="11">
        <v>204.3</v>
      </c>
      <c r="M823" s="2">
        <v>68.099999999999994</v>
      </c>
      <c r="N823" s="22"/>
      <c r="O823" s="10"/>
      <c r="P823" s="2" t="s">
        <v>224</v>
      </c>
    </row>
    <row r="824" spans="1:16" ht="15" customHeight="1">
      <c r="A824" s="2">
        <v>823</v>
      </c>
      <c r="B824" s="22" t="s">
        <v>41</v>
      </c>
      <c r="C824" s="22" t="s">
        <v>94</v>
      </c>
      <c r="D824" s="3">
        <v>42090</v>
      </c>
      <c r="E824" s="27" t="s">
        <v>145</v>
      </c>
      <c r="F824" s="26" t="s">
        <v>58</v>
      </c>
      <c r="G824" s="26"/>
      <c r="H824" s="22"/>
      <c r="I824" s="22"/>
      <c r="J824" s="133">
        <v>180</v>
      </c>
      <c r="K824" s="5">
        <v>13</v>
      </c>
      <c r="L824" s="6">
        <v>261.2</v>
      </c>
      <c r="M824" s="2">
        <v>79.3</v>
      </c>
      <c r="N824" s="22"/>
      <c r="O824" s="10" t="s">
        <v>215</v>
      </c>
      <c r="P824" s="2" t="s">
        <v>226</v>
      </c>
    </row>
    <row r="825" spans="1:16" ht="15" customHeight="1">
      <c r="A825" s="2">
        <v>824</v>
      </c>
      <c r="B825" s="22" t="s">
        <v>217</v>
      </c>
      <c r="C825" s="22" t="s">
        <v>218</v>
      </c>
      <c r="D825" s="3">
        <v>42090</v>
      </c>
      <c r="E825" s="27" t="s">
        <v>145</v>
      </c>
      <c r="F825" s="26" t="s">
        <v>58</v>
      </c>
      <c r="G825" s="26"/>
      <c r="H825" s="22"/>
      <c r="I825" s="22"/>
      <c r="J825" s="133">
        <v>260</v>
      </c>
      <c r="K825" s="5">
        <v>12</v>
      </c>
      <c r="L825" s="6">
        <v>388.05970149253727</v>
      </c>
      <c r="M825" s="2">
        <v>98.9</v>
      </c>
      <c r="N825" s="22"/>
      <c r="O825" s="10"/>
      <c r="P825" s="2" t="s">
        <v>227</v>
      </c>
    </row>
    <row r="826" spans="1:16" ht="15" customHeight="1">
      <c r="A826" s="2">
        <v>825</v>
      </c>
      <c r="B826" s="22" t="s">
        <v>220</v>
      </c>
      <c r="C826" s="22" t="s">
        <v>221</v>
      </c>
      <c r="D826" s="3">
        <v>42090</v>
      </c>
      <c r="E826" s="27" t="s">
        <v>145</v>
      </c>
      <c r="F826" s="26" t="s">
        <v>58</v>
      </c>
      <c r="G826" s="26"/>
      <c r="H826" s="22"/>
      <c r="I826" s="22"/>
      <c r="J826" s="133">
        <v>160</v>
      </c>
      <c r="K826" s="5">
        <v>5</v>
      </c>
      <c r="L826" s="6">
        <v>186.04651162790697</v>
      </c>
      <c r="M826" s="2">
        <v>83.6</v>
      </c>
      <c r="N826" s="22"/>
      <c r="O826" s="10"/>
      <c r="P826" s="2" t="s">
        <v>222</v>
      </c>
    </row>
    <row r="827" spans="1:16" ht="15" customHeight="1">
      <c r="A827" s="2">
        <v>826</v>
      </c>
      <c r="B827" s="22" t="s">
        <v>47</v>
      </c>
      <c r="C827" s="22" t="s">
        <v>48</v>
      </c>
      <c r="D827" s="3">
        <v>42090</v>
      </c>
      <c r="E827" s="27" t="s">
        <v>29</v>
      </c>
      <c r="F827" s="26" t="s">
        <v>58</v>
      </c>
      <c r="G827" s="26"/>
      <c r="H827" s="22" t="s">
        <v>152</v>
      </c>
      <c r="I827" s="22" t="s">
        <v>228</v>
      </c>
      <c r="J827" s="133">
        <v>270</v>
      </c>
      <c r="K827" s="5">
        <v>2</v>
      </c>
      <c r="L827" s="6">
        <v>288.77005347593581</v>
      </c>
      <c r="M827" s="2">
        <v>103.9</v>
      </c>
      <c r="N827" s="22" t="s">
        <v>30</v>
      </c>
      <c r="O827" s="10" t="s">
        <v>190</v>
      </c>
      <c r="P827" s="2" t="s">
        <v>229</v>
      </c>
    </row>
    <row r="828" spans="1:16" ht="15" customHeight="1">
      <c r="A828" s="2">
        <v>827</v>
      </c>
      <c r="B828" s="22" t="s">
        <v>27</v>
      </c>
      <c r="C828" s="22" t="s">
        <v>87</v>
      </c>
      <c r="D828" s="3">
        <v>42090</v>
      </c>
      <c r="E828" s="27" t="s">
        <v>29</v>
      </c>
      <c r="F828" s="26" t="s">
        <v>58</v>
      </c>
      <c r="G828" s="26"/>
      <c r="H828" s="27" t="s">
        <v>152</v>
      </c>
      <c r="I828" s="27" t="s">
        <v>228</v>
      </c>
      <c r="J828" s="133">
        <v>220</v>
      </c>
      <c r="K828" s="5">
        <v>3</v>
      </c>
      <c r="L828" s="6">
        <v>241.75824175824175</v>
      </c>
      <c r="M828" s="2">
        <v>97.2</v>
      </c>
      <c r="N828" s="22" t="s">
        <v>30</v>
      </c>
      <c r="O828" s="10" t="s">
        <v>69</v>
      </c>
      <c r="P828" s="2" t="s">
        <v>230</v>
      </c>
    </row>
    <row r="829" spans="1:16" ht="15" customHeight="1">
      <c r="A829" s="2">
        <v>828</v>
      </c>
      <c r="B829" s="22" t="s">
        <v>31</v>
      </c>
      <c r="C829" s="22" t="s">
        <v>32</v>
      </c>
      <c r="D829" s="3">
        <v>42090</v>
      </c>
      <c r="E829" s="27" t="s">
        <v>29</v>
      </c>
      <c r="F829" s="26" t="s">
        <v>58</v>
      </c>
      <c r="G829" s="26"/>
      <c r="H829" s="22" t="s">
        <v>152</v>
      </c>
      <c r="I829" s="27" t="s">
        <v>228</v>
      </c>
      <c r="J829" s="133">
        <v>170</v>
      </c>
      <c r="K829" s="5">
        <v>3</v>
      </c>
      <c r="L829" s="11">
        <v>186.8131868131868</v>
      </c>
      <c r="M829" s="2">
        <v>86</v>
      </c>
      <c r="N829" s="22" t="s">
        <v>30</v>
      </c>
      <c r="O829" s="10"/>
      <c r="P829" s="2" t="s">
        <v>119</v>
      </c>
    </row>
    <row r="830" spans="1:16" ht="15" customHeight="1">
      <c r="A830" s="2">
        <v>829</v>
      </c>
      <c r="B830" s="22" t="s">
        <v>33</v>
      </c>
      <c r="C830" s="22" t="s">
        <v>34</v>
      </c>
      <c r="D830" s="3">
        <v>42090</v>
      </c>
      <c r="E830" s="27" t="s">
        <v>29</v>
      </c>
      <c r="F830" s="26" t="s">
        <v>58</v>
      </c>
      <c r="G830" s="26"/>
      <c r="H830" s="22" t="s">
        <v>152</v>
      </c>
      <c r="I830" s="22" t="s">
        <v>228</v>
      </c>
      <c r="J830" s="133">
        <v>190</v>
      </c>
      <c r="K830" s="5">
        <v>5</v>
      </c>
      <c r="L830" s="11">
        <v>220.93023255813955</v>
      </c>
      <c r="M830" s="2">
        <v>93.1</v>
      </c>
      <c r="N830" s="22" t="s">
        <v>30</v>
      </c>
      <c r="O830" s="5" t="s">
        <v>231</v>
      </c>
      <c r="P830" s="2" t="s">
        <v>232</v>
      </c>
    </row>
    <row r="831" spans="1:16" ht="15" customHeight="1">
      <c r="A831" s="2">
        <v>830</v>
      </c>
      <c r="B831" s="22" t="s">
        <v>217</v>
      </c>
      <c r="C831" s="22" t="s">
        <v>218</v>
      </c>
      <c r="D831" s="3">
        <v>42090</v>
      </c>
      <c r="E831" s="27" t="s">
        <v>29</v>
      </c>
      <c r="F831" s="26" t="s">
        <v>58</v>
      </c>
      <c r="G831" s="26"/>
      <c r="H831" s="22" t="s">
        <v>152</v>
      </c>
      <c r="I831" s="22" t="s">
        <v>228</v>
      </c>
      <c r="J831" s="133">
        <v>230</v>
      </c>
      <c r="K831" s="5">
        <v>6</v>
      </c>
      <c r="L831" s="6">
        <v>275.44910179640721</v>
      </c>
      <c r="M831" s="2">
        <v>98.9</v>
      </c>
      <c r="N831" s="22" t="s">
        <v>30</v>
      </c>
      <c r="O831" s="7" t="s">
        <v>233</v>
      </c>
      <c r="P831" s="2" t="s">
        <v>234</v>
      </c>
    </row>
    <row r="832" spans="1:16" ht="15" customHeight="1">
      <c r="A832" s="2">
        <v>831</v>
      </c>
      <c r="B832" s="22" t="s">
        <v>63</v>
      </c>
      <c r="C832" s="22" t="s">
        <v>64</v>
      </c>
      <c r="D832" s="3">
        <v>42090</v>
      </c>
      <c r="E832" s="27" t="s">
        <v>29</v>
      </c>
      <c r="F832" s="26" t="s">
        <v>58</v>
      </c>
      <c r="G832" s="26"/>
      <c r="H832" s="22" t="s">
        <v>152</v>
      </c>
      <c r="I832" s="22" t="s">
        <v>228</v>
      </c>
      <c r="J832" s="133">
        <v>170</v>
      </c>
      <c r="K832" s="5">
        <v>4</v>
      </c>
      <c r="L832" s="6">
        <v>192.09039548022599</v>
      </c>
      <c r="M832" s="2">
        <v>88.6</v>
      </c>
      <c r="N832" s="22" t="s">
        <v>30</v>
      </c>
      <c r="O832" s="10"/>
      <c r="P832" s="2" t="s">
        <v>235</v>
      </c>
    </row>
    <row r="833" spans="1:16" ht="15" customHeight="1">
      <c r="A833" s="2">
        <v>832</v>
      </c>
      <c r="B833" s="22" t="s">
        <v>220</v>
      </c>
      <c r="C833" s="22" t="s">
        <v>221</v>
      </c>
      <c r="D833" s="3">
        <v>42090</v>
      </c>
      <c r="E833" s="27" t="s">
        <v>29</v>
      </c>
      <c r="F833" s="26" t="s">
        <v>58</v>
      </c>
      <c r="G833" s="26"/>
      <c r="H833" s="27" t="s">
        <v>152</v>
      </c>
      <c r="I833" s="27" t="s">
        <v>228</v>
      </c>
      <c r="J833" s="133"/>
      <c r="K833" s="25"/>
      <c r="L833" s="6">
        <v>203.48837209302326</v>
      </c>
      <c r="M833" s="2"/>
      <c r="N833" s="22" t="s">
        <v>30</v>
      </c>
      <c r="O833" s="10"/>
      <c r="P833" s="2"/>
    </row>
    <row r="834" spans="1:16" ht="15" customHeight="1">
      <c r="A834" s="2">
        <v>833</v>
      </c>
      <c r="B834" s="22" t="s">
        <v>236</v>
      </c>
      <c r="C834" s="22" t="s">
        <v>237</v>
      </c>
      <c r="D834" s="3">
        <v>42090</v>
      </c>
      <c r="E834" s="27" t="s">
        <v>29</v>
      </c>
      <c r="F834" s="26" t="s">
        <v>58</v>
      </c>
      <c r="G834" s="26"/>
      <c r="H834" s="22" t="s">
        <v>152</v>
      </c>
      <c r="I834" s="27" t="s">
        <v>228</v>
      </c>
      <c r="J834" s="133"/>
      <c r="K834" s="25"/>
      <c r="L834" s="11">
        <v>177.77777777777777</v>
      </c>
      <c r="M834" s="2"/>
      <c r="N834" s="22" t="s">
        <v>30</v>
      </c>
      <c r="O834" s="10"/>
      <c r="P834" s="2"/>
    </row>
    <row r="835" spans="1:16" ht="15" customHeight="1">
      <c r="A835" s="2">
        <v>834</v>
      </c>
      <c r="B835" s="22" t="s">
        <v>41</v>
      </c>
      <c r="C835" s="22" t="s">
        <v>94</v>
      </c>
      <c r="D835" s="3">
        <v>42090</v>
      </c>
      <c r="E835" s="27" t="s">
        <v>29</v>
      </c>
      <c r="F835" s="26" t="s">
        <v>58</v>
      </c>
      <c r="G835" s="26"/>
      <c r="H835" s="22" t="s">
        <v>152</v>
      </c>
      <c r="I835" s="22" t="s">
        <v>228</v>
      </c>
      <c r="J835" s="133">
        <v>130</v>
      </c>
      <c r="K835" s="5">
        <v>3</v>
      </c>
      <c r="L835" s="6">
        <v>142.85714285714286</v>
      </c>
      <c r="M835" s="2">
        <v>79.3</v>
      </c>
      <c r="N835" s="22" t="s">
        <v>30</v>
      </c>
      <c r="O835" s="5" t="s">
        <v>238</v>
      </c>
      <c r="P835" s="2" t="s">
        <v>239</v>
      </c>
    </row>
    <row r="836" spans="1:16" ht="15" customHeight="1">
      <c r="A836" s="2">
        <v>835</v>
      </c>
      <c r="B836" s="26" t="s">
        <v>163</v>
      </c>
      <c r="C836" s="26" t="s">
        <v>164</v>
      </c>
      <c r="D836" s="3">
        <v>42100</v>
      </c>
      <c r="E836" s="26" t="s">
        <v>67</v>
      </c>
      <c r="F836" s="26" t="s">
        <v>58</v>
      </c>
      <c r="G836" s="26"/>
      <c r="H836" s="22"/>
      <c r="I836" s="22" t="s">
        <v>181</v>
      </c>
      <c r="J836" s="134">
        <v>330</v>
      </c>
      <c r="K836" s="5">
        <v>13</v>
      </c>
      <c r="L836" s="6">
        <v>479.6511627906977</v>
      </c>
      <c r="M836" s="2"/>
      <c r="N836" s="22"/>
      <c r="O836" s="10"/>
      <c r="P836" s="12" t="s">
        <v>240</v>
      </c>
    </row>
    <row r="837" spans="1:16" ht="15" customHeight="1">
      <c r="A837" s="2">
        <v>836</v>
      </c>
      <c r="B837" s="26" t="s">
        <v>163</v>
      </c>
      <c r="C837" s="26" t="s">
        <v>164</v>
      </c>
      <c r="D837" s="3">
        <v>42132</v>
      </c>
      <c r="E837" s="26" t="s">
        <v>67</v>
      </c>
      <c r="F837" s="26" t="s">
        <v>58</v>
      </c>
      <c r="G837" s="26"/>
      <c r="H837" s="22"/>
      <c r="I837" s="22" t="s">
        <v>181</v>
      </c>
      <c r="J837" s="134">
        <v>440</v>
      </c>
      <c r="K837" s="5">
        <v>5</v>
      </c>
      <c r="L837" s="11">
        <v>514.01869158878503</v>
      </c>
      <c r="M837" s="2"/>
      <c r="N837" s="22"/>
      <c r="O837" s="10"/>
      <c r="P837" s="12" t="s">
        <v>241</v>
      </c>
    </row>
    <row r="838" spans="1:16" ht="15" customHeight="1">
      <c r="A838" s="2">
        <v>837</v>
      </c>
      <c r="B838" s="22" t="s">
        <v>47</v>
      </c>
      <c r="C838" s="22" t="s">
        <v>48</v>
      </c>
      <c r="D838" s="8">
        <v>42136</v>
      </c>
      <c r="E838" s="26" t="s">
        <v>67</v>
      </c>
      <c r="F838" s="26" t="s">
        <v>58</v>
      </c>
      <c r="G838" s="26"/>
      <c r="H838" s="27"/>
      <c r="I838" s="27" t="s">
        <v>242</v>
      </c>
      <c r="J838" s="133"/>
      <c r="K838" s="25"/>
      <c r="L838" s="6">
        <v>700</v>
      </c>
      <c r="M838" s="2"/>
      <c r="N838" s="22"/>
      <c r="O838" s="10"/>
      <c r="P838" s="11"/>
    </row>
    <row r="839" spans="1:16" ht="15" customHeight="1">
      <c r="A839" s="2">
        <v>838</v>
      </c>
      <c r="B839" s="22" t="s">
        <v>16</v>
      </c>
      <c r="C839" s="22" t="s">
        <v>17</v>
      </c>
      <c r="D839" s="3">
        <v>42136</v>
      </c>
      <c r="E839" s="22" t="s">
        <v>67</v>
      </c>
      <c r="F839" s="26" t="s">
        <v>58</v>
      </c>
      <c r="G839" s="26"/>
      <c r="H839" s="22"/>
      <c r="I839" s="27" t="s">
        <v>242</v>
      </c>
      <c r="J839" s="133"/>
      <c r="K839" s="25"/>
      <c r="L839" s="6">
        <v>610</v>
      </c>
      <c r="M839" s="2"/>
      <c r="N839" s="22"/>
      <c r="O839" s="10"/>
      <c r="P839" s="2"/>
    </row>
    <row r="840" spans="1:16" ht="15" customHeight="1">
      <c r="A840" s="2">
        <v>839</v>
      </c>
      <c r="B840" s="22" t="s">
        <v>31</v>
      </c>
      <c r="C840" s="22" t="s">
        <v>32</v>
      </c>
      <c r="D840" s="3">
        <v>42136</v>
      </c>
      <c r="E840" s="26" t="s">
        <v>67</v>
      </c>
      <c r="F840" s="26" t="s">
        <v>58</v>
      </c>
      <c r="G840" s="26"/>
      <c r="H840" s="22"/>
      <c r="I840" s="22" t="s">
        <v>242</v>
      </c>
      <c r="J840" s="133"/>
      <c r="K840" s="25"/>
      <c r="L840" s="6">
        <v>575</v>
      </c>
      <c r="M840" s="2"/>
      <c r="N840" s="22"/>
      <c r="O840" s="10"/>
      <c r="P840" s="2"/>
    </row>
    <row r="841" spans="1:16" ht="15" customHeight="1">
      <c r="A841" s="2">
        <v>840</v>
      </c>
      <c r="B841" s="26" t="s">
        <v>163</v>
      </c>
      <c r="C841" s="26" t="s">
        <v>164</v>
      </c>
      <c r="D841" s="8">
        <v>42136</v>
      </c>
      <c r="E841" s="26" t="s">
        <v>67</v>
      </c>
      <c r="F841" s="26" t="s">
        <v>58</v>
      </c>
      <c r="G841" s="26"/>
      <c r="H841" s="27" t="s">
        <v>181</v>
      </c>
      <c r="I841" s="27" t="s">
        <v>242</v>
      </c>
      <c r="J841" s="133">
        <v>460</v>
      </c>
      <c r="K841" s="5">
        <v>1</v>
      </c>
      <c r="L841" s="6">
        <v>460</v>
      </c>
      <c r="M841" s="2">
        <v>72.099999999999994</v>
      </c>
      <c r="N841" s="22"/>
      <c r="O841" s="10"/>
      <c r="P841" s="11" t="s">
        <v>243</v>
      </c>
    </row>
    <row r="842" spans="1:16" ht="15" customHeight="1">
      <c r="A842" s="2">
        <v>841</v>
      </c>
      <c r="B842" s="22" t="s">
        <v>47</v>
      </c>
      <c r="C842" s="22" t="s">
        <v>48</v>
      </c>
      <c r="D842" s="3">
        <v>42136</v>
      </c>
      <c r="E842" s="27" t="s">
        <v>29</v>
      </c>
      <c r="F842" s="26" t="s">
        <v>58</v>
      </c>
      <c r="G842" s="26"/>
      <c r="H842" s="22" t="s">
        <v>115</v>
      </c>
      <c r="I842" s="27" t="s">
        <v>242</v>
      </c>
      <c r="J842" s="133"/>
      <c r="K842" s="5">
        <v>1</v>
      </c>
      <c r="L842" s="11">
        <v>270</v>
      </c>
      <c r="M842" s="2">
        <v>101</v>
      </c>
      <c r="N842" s="22" t="s">
        <v>30</v>
      </c>
      <c r="O842" s="10" t="s">
        <v>190</v>
      </c>
      <c r="P842" s="2" t="s">
        <v>244</v>
      </c>
    </row>
    <row r="843" spans="1:16" ht="15" customHeight="1">
      <c r="A843" s="2">
        <v>842</v>
      </c>
      <c r="B843" s="22" t="s">
        <v>16</v>
      </c>
      <c r="C843" s="22" t="s">
        <v>17</v>
      </c>
      <c r="D843" s="3">
        <v>42136</v>
      </c>
      <c r="E843" s="27" t="s">
        <v>29</v>
      </c>
      <c r="F843" s="26" t="s">
        <v>58</v>
      </c>
      <c r="G843" s="26"/>
      <c r="H843" s="22" t="s">
        <v>115</v>
      </c>
      <c r="I843" s="22" t="s">
        <v>242</v>
      </c>
      <c r="J843" s="133">
        <v>200</v>
      </c>
      <c r="K843" s="5">
        <v>2</v>
      </c>
      <c r="L843" s="11">
        <v>213.903743315508</v>
      </c>
      <c r="M843" s="2">
        <v>84.9</v>
      </c>
      <c r="N843" s="22" t="s">
        <v>30</v>
      </c>
      <c r="O843" s="10"/>
      <c r="P843" s="2" t="s">
        <v>245</v>
      </c>
    </row>
    <row r="844" spans="1:16" ht="15" customHeight="1">
      <c r="A844" s="2">
        <v>843</v>
      </c>
      <c r="B844" s="22" t="s">
        <v>27</v>
      </c>
      <c r="C844" s="22" t="s">
        <v>87</v>
      </c>
      <c r="D844" s="3">
        <v>42136</v>
      </c>
      <c r="E844" s="27" t="s">
        <v>29</v>
      </c>
      <c r="F844" s="26" t="s">
        <v>58</v>
      </c>
      <c r="G844" s="26"/>
      <c r="H844" s="22" t="s">
        <v>115</v>
      </c>
      <c r="I844" s="22" t="s">
        <v>242</v>
      </c>
      <c r="J844" s="133"/>
      <c r="K844" s="5">
        <v>1</v>
      </c>
      <c r="L844" s="6">
        <v>275</v>
      </c>
      <c r="M844" s="2">
        <v>97.5</v>
      </c>
      <c r="N844" s="22" t="s">
        <v>30</v>
      </c>
      <c r="O844" s="10" t="s">
        <v>246</v>
      </c>
      <c r="P844" s="2" t="s">
        <v>247</v>
      </c>
    </row>
    <row r="845" spans="1:16" ht="15" customHeight="1">
      <c r="A845" s="2">
        <v>844</v>
      </c>
      <c r="B845" s="22" t="s">
        <v>31</v>
      </c>
      <c r="C845" s="22" t="s">
        <v>32</v>
      </c>
      <c r="D845" s="3">
        <v>42136</v>
      </c>
      <c r="E845" s="27" t="s">
        <v>29</v>
      </c>
      <c r="F845" s="26" t="s">
        <v>58</v>
      </c>
      <c r="G845" s="26"/>
      <c r="H845" s="22" t="s">
        <v>115</v>
      </c>
      <c r="I845" s="22" t="s">
        <v>242</v>
      </c>
      <c r="J845" s="133">
        <v>180</v>
      </c>
      <c r="K845" s="5">
        <v>1</v>
      </c>
      <c r="L845" s="6">
        <v>180</v>
      </c>
      <c r="M845" s="2">
        <v>85.7</v>
      </c>
      <c r="N845" s="22" t="s">
        <v>30</v>
      </c>
      <c r="O845" s="10"/>
      <c r="P845" s="2" t="s">
        <v>248</v>
      </c>
    </row>
    <row r="846" spans="1:16" ht="15" customHeight="1">
      <c r="A846" s="2">
        <v>845</v>
      </c>
      <c r="B846" s="22" t="s">
        <v>33</v>
      </c>
      <c r="C846" s="22" t="s">
        <v>34</v>
      </c>
      <c r="D846" s="8">
        <v>42136</v>
      </c>
      <c r="E846" s="27" t="s">
        <v>29</v>
      </c>
      <c r="F846" s="26" t="s">
        <v>58</v>
      </c>
      <c r="G846" s="26"/>
      <c r="H846" s="27" t="s">
        <v>115</v>
      </c>
      <c r="I846" s="27" t="s">
        <v>242</v>
      </c>
      <c r="J846" s="133">
        <v>210</v>
      </c>
      <c r="K846" s="5">
        <v>2</v>
      </c>
      <c r="L846" s="6">
        <v>224.59893048128342</v>
      </c>
      <c r="M846" s="2">
        <v>94.1</v>
      </c>
      <c r="N846" s="22" t="s">
        <v>30</v>
      </c>
      <c r="O846" s="10"/>
      <c r="P846" s="2" t="s">
        <v>249</v>
      </c>
    </row>
    <row r="847" spans="1:16" ht="15" customHeight="1">
      <c r="A847" s="2">
        <v>846</v>
      </c>
      <c r="B847" s="22" t="s">
        <v>217</v>
      </c>
      <c r="C847" s="22" t="s">
        <v>218</v>
      </c>
      <c r="D847" s="3">
        <v>42136</v>
      </c>
      <c r="E847" s="27" t="s">
        <v>29</v>
      </c>
      <c r="F847" s="26" t="s">
        <v>58</v>
      </c>
      <c r="G847" s="26"/>
      <c r="H847" s="22" t="s">
        <v>115</v>
      </c>
      <c r="I847" s="27" t="s">
        <v>242</v>
      </c>
      <c r="J847" s="133">
        <v>260</v>
      </c>
      <c r="K847" s="5">
        <v>2</v>
      </c>
      <c r="L847" s="11">
        <v>278.07486631016042</v>
      </c>
      <c r="M847" s="2">
        <v>98.5</v>
      </c>
      <c r="N847" s="22" t="s">
        <v>30</v>
      </c>
      <c r="O847" s="7" t="s">
        <v>233</v>
      </c>
      <c r="P847" s="2" t="s">
        <v>250</v>
      </c>
    </row>
    <row r="848" spans="1:16" ht="15" customHeight="1">
      <c r="A848" s="2">
        <v>847</v>
      </c>
      <c r="B848" s="22" t="s">
        <v>63</v>
      </c>
      <c r="C848" s="22" t="s">
        <v>64</v>
      </c>
      <c r="D848" s="3">
        <v>42136</v>
      </c>
      <c r="E848" s="27" t="s">
        <v>29</v>
      </c>
      <c r="F848" s="26" t="s">
        <v>58</v>
      </c>
      <c r="G848" s="26"/>
      <c r="H848" s="22" t="s">
        <v>115</v>
      </c>
      <c r="I848" s="22" t="s">
        <v>242</v>
      </c>
      <c r="J848" s="133">
        <v>190</v>
      </c>
      <c r="K848" s="5">
        <v>3</v>
      </c>
      <c r="L848" s="11">
        <v>208.79120879120879</v>
      </c>
      <c r="M848" s="2">
        <v>89.9</v>
      </c>
      <c r="N848" s="22" t="s">
        <v>30</v>
      </c>
      <c r="O848" s="10"/>
      <c r="P848" s="2" t="s">
        <v>251</v>
      </c>
    </row>
    <row r="849" spans="1:16" ht="15" customHeight="1">
      <c r="A849" s="2">
        <v>848</v>
      </c>
      <c r="B849" s="22" t="s">
        <v>220</v>
      </c>
      <c r="C849" s="22" t="s">
        <v>221</v>
      </c>
      <c r="D849" s="3">
        <v>42136</v>
      </c>
      <c r="E849" s="27" t="s">
        <v>29</v>
      </c>
      <c r="F849" s="26" t="s">
        <v>58</v>
      </c>
      <c r="G849" s="26"/>
      <c r="H849" s="22" t="s">
        <v>115</v>
      </c>
      <c r="I849" s="22" t="s">
        <v>242</v>
      </c>
      <c r="J849" s="133"/>
      <c r="K849" s="25"/>
      <c r="L849" s="6">
        <v>186.8131868131868</v>
      </c>
      <c r="M849" s="2"/>
      <c r="N849" s="22" t="s">
        <v>30</v>
      </c>
      <c r="O849" s="10"/>
      <c r="P849" s="2"/>
    </row>
    <row r="850" spans="1:16" ht="15" customHeight="1">
      <c r="A850" s="2">
        <v>849</v>
      </c>
      <c r="B850" s="22" t="s">
        <v>236</v>
      </c>
      <c r="C850" s="22" t="s">
        <v>237</v>
      </c>
      <c r="D850" s="3">
        <v>42136</v>
      </c>
      <c r="E850" s="27" t="s">
        <v>29</v>
      </c>
      <c r="F850" s="26" t="s">
        <v>58</v>
      </c>
      <c r="G850" s="26"/>
      <c r="H850" s="22" t="s">
        <v>115</v>
      </c>
      <c r="I850" s="22" t="s">
        <v>242</v>
      </c>
      <c r="J850" s="133"/>
      <c r="K850" s="25"/>
      <c r="L850" s="6">
        <v>167.66467065868264</v>
      </c>
      <c r="M850" s="2"/>
      <c r="N850" s="22" t="s">
        <v>30</v>
      </c>
      <c r="O850" s="10"/>
      <c r="P850" s="2"/>
    </row>
    <row r="851" spans="1:16" ht="15" customHeight="1">
      <c r="A851" s="2">
        <v>850</v>
      </c>
      <c r="B851" s="22" t="s">
        <v>95</v>
      </c>
      <c r="C851" s="22" t="s">
        <v>96</v>
      </c>
      <c r="D851" s="3">
        <v>42136</v>
      </c>
      <c r="E851" s="27" t="s">
        <v>29</v>
      </c>
      <c r="F851" s="26" t="s">
        <v>58</v>
      </c>
      <c r="G851" s="26"/>
      <c r="H851" s="22" t="s">
        <v>115</v>
      </c>
      <c r="I851" s="22" t="s">
        <v>242</v>
      </c>
      <c r="J851" s="133">
        <v>145</v>
      </c>
      <c r="K851" s="5">
        <v>3</v>
      </c>
      <c r="L851" s="6">
        <v>159.34065934065933</v>
      </c>
      <c r="M851" s="2">
        <v>82.5</v>
      </c>
      <c r="N851" s="22" t="s">
        <v>30</v>
      </c>
      <c r="O851" s="10"/>
      <c r="P851" s="2" t="s">
        <v>252</v>
      </c>
    </row>
    <row r="852" spans="1:16" ht="15" customHeight="1">
      <c r="A852" s="2">
        <v>851</v>
      </c>
      <c r="B852" s="22" t="s">
        <v>141</v>
      </c>
      <c r="C852" s="22" t="s">
        <v>142</v>
      </c>
      <c r="D852" s="8">
        <v>42137</v>
      </c>
      <c r="E852" s="26" t="s">
        <v>209</v>
      </c>
      <c r="F852" s="26" t="s">
        <v>58</v>
      </c>
      <c r="G852" s="26"/>
      <c r="H852" s="27" t="s">
        <v>115</v>
      </c>
      <c r="I852" s="27"/>
      <c r="J852" s="133">
        <v>60</v>
      </c>
      <c r="K852" s="5">
        <v>1</v>
      </c>
      <c r="L852" s="6">
        <v>60</v>
      </c>
      <c r="M852" s="2">
        <v>68.900000000000006</v>
      </c>
      <c r="N852" s="22"/>
      <c r="O852" s="10"/>
      <c r="P852" s="2" t="s">
        <v>253</v>
      </c>
    </row>
    <row r="853" spans="1:16" ht="15" customHeight="1">
      <c r="A853" s="2">
        <v>852</v>
      </c>
      <c r="B853" s="22" t="s">
        <v>163</v>
      </c>
      <c r="C853" s="26" t="s">
        <v>164</v>
      </c>
      <c r="D853" s="3">
        <v>42254</v>
      </c>
      <c r="E853" s="26" t="s">
        <v>209</v>
      </c>
      <c r="F853" s="26" t="s">
        <v>58</v>
      </c>
      <c r="G853" s="26"/>
      <c r="H853" s="22" t="s">
        <v>115</v>
      </c>
      <c r="I853" s="22"/>
      <c r="J853" s="133"/>
      <c r="K853" s="25"/>
      <c r="L853" s="6">
        <v>63.613231552162844</v>
      </c>
      <c r="M853" s="2"/>
      <c r="N853" s="22"/>
      <c r="O853" s="10"/>
      <c r="P853" s="2"/>
    </row>
    <row r="854" spans="1:16" ht="15" customHeight="1">
      <c r="A854" s="2">
        <v>853</v>
      </c>
      <c r="B854" s="22" t="s">
        <v>141</v>
      </c>
      <c r="C854" s="22" t="s">
        <v>142</v>
      </c>
      <c r="D854" s="3">
        <v>42254</v>
      </c>
      <c r="E854" s="22" t="s">
        <v>209</v>
      </c>
      <c r="F854" s="26" t="s">
        <v>58</v>
      </c>
      <c r="G854" s="26"/>
      <c r="H854" s="22" t="s">
        <v>115</v>
      </c>
      <c r="I854" s="27"/>
      <c r="J854" s="133">
        <v>60</v>
      </c>
      <c r="K854" s="5">
        <v>1</v>
      </c>
      <c r="L854" s="6">
        <v>60</v>
      </c>
      <c r="M854" s="2">
        <v>68.900000000000006</v>
      </c>
      <c r="N854" s="22"/>
      <c r="O854" s="10"/>
      <c r="P854" s="2" t="s">
        <v>253</v>
      </c>
    </row>
    <row r="855" spans="1:16" ht="15" customHeight="1">
      <c r="A855" s="2">
        <v>854</v>
      </c>
      <c r="B855" s="22" t="s">
        <v>141</v>
      </c>
      <c r="C855" s="22" t="s">
        <v>142</v>
      </c>
      <c r="D855" s="3">
        <v>42254</v>
      </c>
      <c r="E855" s="26" t="s">
        <v>67</v>
      </c>
      <c r="F855" s="26" t="s">
        <v>58</v>
      </c>
      <c r="G855" s="26"/>
      <c r="H855" s="27" t="s">
        <v>183</v>
      </c>
      <c r="I855" s="22" t="s">
        <v>254</v>
      </c>
      <c r="J855" s="133">
        <v>360</v>
      </c>
      <c r="K855" s="5">
        <v>1</v>
      </c>
      <c r="L855" s="11">
        <v>360</v>
      </c>
      <c r="M855" s="2">
        <v>68.900000000000006</v>
      </c>
      <c r="N855" s="22"/>
      <c r="O855" s="10"/>
      <c r="P855" s="2" t="s">
        <v>255</v>
      </c>
    </row>
    <row r="856" spans="1:16" ht="15" customHeight="1">
      <c r="A856" s="2">
        <v>855</v>
      </c>
      <c r="B856" s="22" t="s">
        <v>63</v>
      </c>
      <c r="C856" s="22" t="s">
        <v>64</v>
      </c>
      <c r="D856" s="3">
        <v>42254</v>
      </c>
      <c r="E856" s="27" t="s">
        <v>29</v>
      </c>
      <c r="F856" s="26" t="s">
        <v>58</v>
      </c>
      <c r="G856" s="26"/>
      <c r="H856" s="22" t="s">
        <v>152</v>
      </c>
      <c r="I856" s="22" t="s">
        <v>256</v>
      </c>
      <c r="J856" s="133">
        <v>160</v>
      </c>
      <c r="K856" s="5">
        <v>11</v>
      </c>
      <c r="L856" s="6">
        <v>221</v>
      </c>
      <c r="M856" s="2">
        <v>90.5</v>
      </c>
      <c r="N856" s="22" t="s">
        <v>30</v>
      </c>
      <c r="O856" s="10"/>
      <c r="P856" s="2" t="s">
        <v>257</v>
      </c>
    </row>
    <row r="857" spans="1:16" ht="15" customHeight="1">
      <c r="A857" s="2">
        <v>856</v>
      </c>
      <c r="B857" s="22" t="s">
        <v>220</v>
      </c>
      <c r="C857" s="22" t="s">
        <v>221</v>
      </c>
      <c r="D857" s="3">
        <v>42254</v>
      </c>
      <c r="E857" s="27" t="s">
        <v>29</v>
      </c>
      <c r="F857" s="26" t="s">
        <v>58</v>
      </c>
      <c r="G857" s="26"/>
      <c r="H857" s="22" t="s">
        <v>152</v>
      </c>
      <c r="I857" s="22" t="s">
        <v>256</v>
      </c>
      <c r="J857" s="133"/>
      <c r="K857" s="25"/>
      <c r="L857" s="6">
        <v>186.04651162790697</v>
      </c>
      <c r="M857" s="2"/>
      <c r="N857" s="22" t="s">
        <v>30</v>
      </c>
      <c r="O857" s="10"/>
      <c r="P857" s="2"/>
    </row>
    <row r="858" spans="1:16" ht="15" customHeight="1">
      <c r="A858" s="2">
        <v>857</v>
      </c>
      <c r="B858" s="22" t="s">
        <v>217</v>
      </c>
      <c r="C858" s="22" t="s">
        <v>218</v>
      </c>
      <c r="D858" s="3">
        <v>42261</v>
      </c>
      <c r="E858" s="27" t="s">
        <v>29</v>
      </c>
      <c r="F858" s="26" t="s">
        <v>58</v>
      </c>
      <c r="G858" s="26"/>
      <c r="H858" s="22" t="s">
        <v>83</v>
      </c>
      <c r="I858" s="22" t="s">
        <v>258</v>
      </c>
      <c r="J858" s="133">
        <v>225</v>
      </c>
      <c r="K858" s="5">
        <v>3</v>
      </c>
      <c r="L858" s="6">
        <v>247.25274725274724</v>
      </c>
      <c r="M858" s="2">
        <v>97.2</v>
      </c>
      <c r="N858" s="22" t="s">
        <v>30</v>
      </c>
      <c r="O858" s="7" t="s">
        <v>259</v>
      </c>
      <c r="P858" s="2" t="s">
        <v>260</v>
      </c>
    </row>
    <row r="859" spans="1:16" ht="15" customHeight="1">
      <c r="A859" s="2">
        <v>858</v>
      </c>
      <c r="B859" s="22" t="s">
        <v>63</v>
      </c>
      <c r="C859" s="22" t="s">
        <v>64</v>
      </c>
      <c r="D859" s="3">
        <v>42261</v>
      </c>
      <c r="E859" s="27" t="s">
        <v>29</v>
      </c>
      <c r="F859" s="26" t="s">
        <v>58</v>
      </c>
      <c r="G859" s="26"/>
      <c r="H859" s="22" t="s">
        <v>83</v>
      </c>
      <c r="I859" s="22" t="s">
        <v>258</v>
      </c>
      <c r="J859" s="133">
        <v>180</v>
      </c>
      <c r="K859" s="5">
        <v>3</v>
      </c>
      <c r="L859" s="6">
        <v>197.80219780219778</v>
      </c>
      <c r="M859" s="2">
        <v>91</v>
      </c>
      <c r="N859" s="22" t="s">
        <v>30</v>
      </c>
      <c r="O859" s="10"/>
      <c r="P859" s="2" t="s">
        <v>261</v>
      </c>
    </row>
    <row r="860" spans="1:16" ht="15" customHeight="1">
      <c r="A860" s="2">
        <v>859</v>
      </c>
      <c r="B860" s="22" t="s">
        <v>95</v>
      </c>
      <c r="C860" s="22" t="s">
        <v>96</v>
      </c>
      <c r="D860" s="3">
        <v>42261</v>
      </c>
      <c r="E860" s="27" t="s">
        <v>29</v>
      </c>
      <c r="F860" s="26" t="s">
        <v>58</v>
      </c>
      <c r="G860" s="26"/>
      <c r="H860" s="22" t="s">
        <v>83</v>
      </c>
      <c r="I860" s="22" t="s">
        <v>258</v>
      </c>
      <c r="J860" s="133">
        <v>130</v>
      </c>
      <c r="K860" s="5">
        <v>3</v>
      </c>
      <c r="L860" s="6">
        <v>142.85714285714286</v>
      </c>
      <c r="M860" s="2">
        <v>83.5</v>
      </c>
      <c r="N860" s="22" t="s">
        <v>30</v>
      </c>
      <c r="O860" s="10"/>
      <c r="P860" s="2" t="s">
        <v>262</v>
      </c>
    </row>
    <row r="861" spans="1:16" ht="15" customHeight="1">
      <c r="A861" s="2">
        <v>860</v>
      </c>
      <c r="B861" s="22" t="s">
        <v>217</v>
      </c>
      <c r="C861" s="22" t="s">
        <v>218</v>
      </c>
      <c r="D861" s="3">
        <v>42261</v>
      </c>
      <c r="E861" s="27" t="s">
        <v>29</v>
      </c>
      <c r="F861" s="26" t="s">
        <v>58</v>
      </c>
      <c r="G861" s="26"/>
      <c r="H861" s="22" t="s">
        <v>83</v>
      </c>
      <c r="I861" s="22" t="s">
        <v>258</v>
      </c>
      <c r="J861" s="133">
        <v>225</v>
      </c>
      <c r="K861" s="5">
        <v>3</v>
      </c>
      <c r="L861" s="6">
        <v>247.25274725274724</v>
      </c>
      <c r="M861" s="2">
        <v>97.2</v>
      </c>
      <c r="N861" s="22" t="s">
        <v>30</v>
      </c>
      <c r="O861" s="7" t="s">
        <v>259</v>
      </c>
      <c r="P861" s="2" t="s">
        <v>260</v>
      </c>
    </row>
    <row r="862" spans="1:16" ht="15" customHeight="1">
      <c r="A862" s="2">
        <v>861</v>
      </c>
      <c r="B862" s="22" t="s">
        <v>63</v>
      </c>
      <c r="C862" s="22" t="s">
        <v>64</v>
      </c>
      <c r="D862" s="8">
        <v>42261</v>
      </c>
      <c r="E862" s="27" t="s">
        <v>29</v>
      </c>
      <c r="F862" s="26" t="s">
        <v>58</v>
      </c>
      <c r="G862" s="26"/>
      <c r="H862" s="27" t="s">
        <v>83</v>
      </c>
      <c r="I862" s="27" t="s">
        <v>258</v>
      </c>
      <c r="J862" s="133">
        <v>180</v>
      </c>
      <c r="K862" s="5">
        <v>3</v>
      </c>
      <c r="L862" s="6">
        <v>197.80219780219778</v>
      </c>
      <c r="M862" s="2">
        <v>91</v>
      </c>
      <c r="N862" s="22" t="s">
        <v>30</v>
      </c>
      <c r="O862" s="10"/>
      <c r="P862" s="11" t="s">
        <v>261</v>
      </c>
    </row>
    <row r="863" spans="1:16" ht="15" customHeight="1">
      <c r="A863" s="2">
        <v>862</v>
      </c>
      <c r="B863" s="22" t="s">
        <v>95</v>
      </c>
      <c r="C863" s="22" t="s">
        <v>96</v>
      </c>
      <c r="D863" s="8">
        <v>42261</v>
      </c>
      <c r="E863" s="27" t="s">
        <v>29</v>
      </c>
      <c r="F863" s="26" t="s">
        <v>58</v>
      </c>
      <c r="G863" s="26"/>
      <c r="H863" s="27" t="s">
        <v>83</v>
      </c>
      <c r="I863" s="27" t="s">
        <v>258</v>
      </c>
      <c r="J863" s="133">
        <v>130</v>
      </c>
      <c r="K863" s="5">
        <v>3</v>
      </c>
      <c r="L863" s="6">
        <v>142.85714285714286</v>
      </c>
      <c r="M863" s="2">
        <v>83.5</v>
      </c>
      <c r="N863" s="22" t="s">
        <v>30</v>
      </c>
      <c r="O863" s="10"/>
      <c r="P863" s="2" t="s">
        <v>262</v>
      </c>
    </row>
    <row r="864" spans="1:16" ht="15" customHeight="1">
      <c r="A864" s="2">
        <v>863</v>
      </c>
      <c r="B864" s="22" t="s">
        <v>217</v>
      </c>
      <c r="C864" s="22" t="s">
        <v>218</v>
      </c>
      <c r="D864" s="8">
        <v>42261</v>
      </c>
      <c r="E864" s="27" t="s">
        <v>29</v>
      </c>
      <c r="F864" s="26" t="s">
        <v>58</v>
      </c>
      <c r="G864" s="26"/>
      <c r="H864" s="27" t="s">
        <v>83</v>
      </c>
      <c r="I864" s="27" t="s">
        <v>258</v>
      </c>
      <c r="J864" s="133">
        <v>225</v>
      </c>
      <c r="K864" s="5">
        <v>3</v>
      </c>
      <c r="L864" s="6">
        <v>247.25274725274724</v>
      </c>
      <c r="M864" s="2">
        <v>97.2</v>
      </c>
      <c r="N864" s="22" t="s">
        <v>30</v>
      </c>
      <c r="O864" s="7" t="s">
        <v>259</v>
      </c>
      <c r="P864" s="11" t="s">
        <v>260</v>
      </c>
    </row>
    <row r="865" spans="1:16" ht="15" customHeight="1">
      <c r="A865" s="2">
        <v>864</v>
      </c>
      <c r="B865" s="22" t="s">
        <v>63</v>
      </c>
      <c r="C865" s="22" t="s">
        <v>64</v>
      </c>
      <c r="D865" s="8">
        <v>42261</v>
      </c>
      <c r="E865" s="27" t="s">
        <v>29</v>
      </c>
      <c r="F865" s="26" t="s">
        <v>58</v>
      </c>
      <c r="G865" s="26"/>
      <c r="H865" s="27" t="s">
        <v>83</v>
      </c>
      <c r="I865" s="27" t="s">
        <v>258</v>
      </c>
      <c r="J865" s="133">
        <v>180</v>
      </c>
      <c r="K865" s="5">
        <v>3</v>
      </c>
      <c r="L865" s="6">
        <v>197.80219780219778</v>
      </c>
      <c r="M865" s="2">
        <v>91</v>
      </c>
      <c r="N865" s="22" t="s">
        <v>30</v>
      </c>
      <c r="O865" s="10"/>
      <c r="P865" s="11" t="s">
        <v>261</v>
      </c>
    </row>
    <row r="866" spans="1:16" ht="15" customHeight="1">
      <c r="A866" s="2">
        <v>865</v>
      </c>
      <c r="B866" s="22" t="s">
        <v>95</v>
      </c>
      <c r="C866" s="22" t="s">
        <v>96</v>
      </c>
      <c r="D866" s="8">
        <v>42261</v>
      </c>
      <c r="E866" s="27" t="s">
        <v>29</v>
      </c>
      <c r="F866" s="26" t="s">
        <v>58</v>
      </c>
      <c r="G866" s="26"/>
      <c r="H866" s="27" t="s">
        <v>83</v>
      </c>
      <c r="I866" s="27" t="s">
        <v>258</v>
      </c>
      <c r="J866" s="133">
        <v>130</v>
      </c>
      <c r="K866" s="5">
        <v>3</v>
      </c>
      <c r="L866" s="6">
        <v>142.85714285714286</v>
      </c>
      <c r="M866" s="2">
        <v>83.5</v>
      </c>
      <c r="N866" s="22" t="s">
        <v>30</v>
      </c>
      <c r="O866" s="10"/>
      <c r="P866" s="11" t="s">
        <v>262</v>
      </c>
    </row>
    <row r="867" spans="1:16" ht="15" customHeight="1">
      <c r="A867" s="2">
        <v>866</v>
      </c>
      <c r="B867" s="22" t="s">
        <v>217</v>
      </c>
      <c r="C867" s="22" t="s">
        <v>218</v>
      </c>
      <c r="D867" s="3">
        <v>42339</v>
      </c>
      <c r="E867" s="27" t="s">
        <v>29</v>
      </c>
      <c r="F867" s="26" t="s">
        <v>58</v>
      </c>
      <c r="G867" s="26"/>
      <c r="H867" s="22" t="s">
        <v>263</v>
      </c>
      <c r="I867" s="22" t="s">
        <v>264</v>
      </c>
      <c r="J867" s="133">
        <v>230</v>
      </c>
      <c r="K867" s="5">
        <v>5</v>
      </c>
      <c r="L867" s="6">
        <v>268.69158878504675</v>
      </c>
      <c r="M867" s="2">
        <v>99</v>
      </c>
      <c r="N867" s="22" t="s">
        <v>30</v>
      </c>
      <c r="O867" s="7" t="s">
        <v>265</v>
      </c>
      <c r="P867" s="2" t="s">
        <v>266</v>
      </c>
    </row>
    <row r="868" spans="1:16" ht="15" customHeight="1">
      <c r="A868" s="2">
        <v>867</v>
      </c>
      <c r="B868" s="22" t="s">
        <v>220</v>
      </c>
      <c r="C868" s="22" t="s">
        <v>221</v>
      </c>
      <c r="D868" s="3">
        <v>42339</v>
      </c>
      <c r="E868" s="27" t="s">
        <v>29</v>
      </c>
      <c r="F868" s="26" t="s">
        <v>58</v>
      </c>
      <c r="G868" s="26"/>
      <c r="H868" s="22" t="s">
        <v>263</v>
      </c>
      <c r="I868" s="22" t="s">
        <v>264</v>
      </c>
      <c r="J868" s="133"/>
      <c r="K868" s="25"/>
      <c r="L868" s="6">
        <v>185.57794273594911</v>
      </c>
      <c r="M868" s="2"/>
      <c r="N868" s="22" t="s">
        <v>30</v>
      </c>
      <c r="O868" s="10"/>
      <c r="P868" s="2"/>
    </row>
    <row r="869" spans="1:16" ht="15" customHeight="1">
      <c r="A869" s="2">
        <v>868</v>
      </c>
      <c r="B869" s="22" t="s">
        <v>236</v>
      </c>
      <c r="C869" s="22" t="s">
        <v>237</v>
      </c>
      <c r="D869" s="3">
        <v>42339</v>
      </c>
      <c r="E869" s="27" t="s">
        <v>29</v>
      </c>
      <c r="F869" s="26" t="s">
        <v>58</v>
      </c>
      <c r="G869" s="26"/>
      <c r="H869" s="22" t="s">
        <v>263</v>
      </c>
      <c r="I869" s="22" t="s">
        <v>264</v>
      </c>
      <c r="J869" s="133"/>
      <c r="K869" s="25"/>
      <c r="L869" s="6">
        <v>165.56291390728475</v>
      </c>
      <c r="M869" s="2"/>
      <c r="N869" s="22" t="s">
        <v>30</v>
      </c>
      <c r="O869" s="10"/>
      <c r="P869" s="2"/>
    </row>
    <row r="870" spans="1:16" ht="15" customHeight="1">
      <c r="A870" s="2">
        <v>869</v>
      </c>
      <c r="B870" s="22" t="s">
        <v>141</v>
      </c>
      <c r="C870" s="22" t="s">
        <v>142</v>
      </c>
      <c r="D870" s="8">
        <v>42361</v>
      </c>
      <c r="E870" s="26" t="s">
        <v>209</v>
      </c>
      <c r="F870" s="26" t="s">
        <v>58</v>
      </c>
      <c r="G870" s="26"/>
      <c r="H870" s="27"/>
      <c r="I870" s="27"/>
      <c r="J870" s="133">
        <v>60</v>
      </c>
      <c r="K870" s="5">
        <v>2</v>
      </c>
      <c r="L870" s="6">
        <v>63.492063492063494</v>
      </c>
      <c r="M870" s="2">
        <v>68.8</v>
      </c>
      <c r="N870" s="22"/>
      <c r="O870" s="10"/>
      <c r="P870" s="2" t="s">
        <v>267</v>
      </c>
    </row>
    <row r="871" spans="1:16" ht="15" customHeight="1">
      <c r="A871" s="2">
        <v>870</v>
      </c>
      <c r="B871" s="22" t="s">
        <v>47</v>
      </c>
      <c r="C871" s="22" t="s">
        <v>48</v>
      </c>
      <c r="D871" s="3">
        <v>42384</v>
      </c>
      <c r="E871" s="27" t="s">
        <v>29</v>
      </c>
      <c r="F871" s="26" t="s">
        <v>58</v>
      </c>
      <c r="G871" s="26"/>
      <c r="H871" s="22" t="s">
        <v>263</v>
      </c>
      <c r="I871" s="22" t="s">
        <v>268</v>
      </c>
      <c r="J871" s="133"/>
      <c r="K871" s="5">
        <v>1</v>
      </c>
      <c r="L871" s="6">
        <v>276</v>
      </c>
      <c r="M871" s="2">
        <v>96.4</v>
      </c>
      <c r="N871" s="22" t="s">
        <v>30</v>
      </c>
      <c r="O871" s="10" t="s">
        <v>190</v>
      </c>
      <c r="P871" s="2" t="s">
        <v>244</v>
      </c>
    </row>
    <row r="872" spans="1:16" ht="15" customHeight="1">
      <c r="A872" s="2">
        <v>871</v>
      </c>
      <c r="B872" s="22" t="s">
        <v>16</v>
      </c>
      <c r="C872" s="22" t="s">
        <v>17</v>
      </c>
      <c r="D872" s="3">
        <v>42384</v>
      </c>
      <c r="E872" s="27" t="s">
        <v>29</v>
      </c>
      <c r="F872" s="26" t="s">
        <v>58</v>
      </c>
      <c r="G872" s="26"/>
      <c r="H872" s="22" t="s">
        <v>263</v>
      </c>
      <c r="I872" s="22" t="s">
        <v>268</v>
      </c>
      <c r="J872" s="133">
        <v>210</v>
      </c>
      <c r="K872" s="5">
        <v>2</v>
      </c>
      <c r="L872" s="6">
        <v>224.59893048128342</v>
      </c>
      <c r="M872" s="2">
        <v>83.3</v>
      </c>
      <c r="N872" s="22" t="s">
        <v>30</v>
      </c>
      <c r="O872" s="10"/>
      <c r="P872" s="2" t="s">
        <v>249</v>
      </c>
    </row>
    <row r="873" spans="1:16" ht="15" customHeight="1">
      <c r="A873" s="2">
        <v>872</v>
      </c>
      <c r="B873" s="22" t="s">
        <v>27</v>
      </c>
      <c r="C873" s="22" t="s">
        <v>87</v>
      </c>
      <c r="D873" s="3">
        <v>42384</v>
      </c>
      <c r="E873" s="27" t="s">
        <v>29</v>
      </c>
      <c r="F873" s="26" t="s">
        <v>58</v>
      </c>
      <c r="G873" s="26"/>
      <c r="H873" s="22" t="s">
        <v>263</v>
      </c>
      <c r="I873" s="22" t="s">
        <v>268</v>
      </c>
      <c r="J873" s="133"/>
      <c r="K873" s="2"/>
      <c r="L873" s="6"/>
      <c r="M873" s="2"/>
      <c r="N873" s="22" t="s">
        <v>30</v>
      </c>
      <c r="O873" s="2" t="s">
        <v>269</v>
      </c>
      <c r="P873" s="2" t="s">
        <v>269</v>
      </c>
    </row>
    <row r="874" spans="1:16" ht="15" customHeight="1">
      <c r="A874" s="2">
        <v>873</v>
      </c>
      <c r="B874" s="22" t="s">
        <v>31</v>
      </c>
      <c r="C874" s="22" t="s">
        <v>32</v>
      </c>
      <c r="D874" s="3">
        <v>42384</v>
      </c>
      <c r="E874" s="27" t="s">
        <v>29</v>
      </c>
      <c r="F874" s="26" t="s">
        <v>58</v>
      </c>
      <c r="G874" s="26"/>
      <c r="H874" s="22" t="s">
        <v>263</v>
      </c>
      <c r="I874" s="22" t="s">
        <v>268</v>
      </c>
      <c r="J874" s="133">
        <v>180</v>
      </c>
      <c r="K874" s="5">
        <v>1</v>
      </c>
      <c r="L874" s="6">
        <v>180</v>
      </c>
      <c r="M874" s="2">
        <v>83.6</v>
      </c>
      <c r="N874" s="22" t="s">
        <v>30</v>
      </c>
      <c r="O874" s="10"/>
      <c r="P874" s="2" t="s">
        <v>248</v>
      </c>
    </row>
    <row r="875" spans="1:16" ht="15" customHeight="1">
      <c r="A875" s="2">
        <v>874</v>
      </c>
      <c r="B875" s="22" t="s">
        <v>33</v>
      </c>
      <c r="C875" s="22" t="s">
        <v>34</v>
      </c>
      <c r="D875" s="3">
        <v>42384</v>
      </c>
      <c r="E875" s="27" t="s">
        <v>29</v>
      </c>
      <c r="F875" s="26" t="s">
        <v>58</v>
      </c>
      <c r="G875" s="26"/>
      <c r="H875" s="22" t="s">
        <v>263</v>
      </c>
      <c r="I875" s="22" t="s">
        <v>268</v>
      </c>
      <c r="J875" s="133">
        <v>200</v>
      </c>
      <c r="K875" s="5">
        <v>3</v>
      </c>
      <c r="L875" s="6">
        <v>219.78021978021977</v>
      </c>
      <c r="M875" s="2">
        <v>90.3</v>
      </c>
      <c r="N875" s="22" t="s">
        <v>30</v>
      </c>
      <c r="O875" s="10"/>
      <c r="P875" s="2" t="s">
        <v>270</v>
      </c>
    </row>
    <row r="876" spans="1:16" ht="15" customHeight="1">
      <c r="A876" s="2">
        <v>875</v>
      </c>
      <c r="B876" s="22" t="s">
        <v>220</v>
      </c>
      <c r="C876" s="22" t="s">
        <v>221</v>
      </c>
      <c r="D876" s="3">
        <v>42384</v>
      </c>
      <c r="E876" s="27" t="s">
        <v>29</v>
      </c>
      <c r="F876" s="26" t="s">
        <v>58</v>
      </c>
      <c r="G876" s="26"/>
      <c r="H876" s="22" t="s">
        <v>263</v>
      </c>
      <c r="I876" s="22" t="s">
        <v>268</v>
      </c>
      <c r="J876" s="133"/>
      <c r="K876" s="25"/>
      <c r="L876" s="6">
        <v>198.5981308411215</v>
      </c>
      <c r="M876" s="2"/>
      <c r="N876" s="22" t="s">
        <v>30</v>
      </c>
      <c r="O876" s="10"/>
      <c r="P876" s="2"/>
    </row>
    <row r="877" spans="1:16" ht="15" customHeight="1">
      <c r="A877" s="2">
        <v>876</v>
      </c>
      <c r="B877" s="22" t="s">
        <v>47</v>
      </c>
      <c r="C877" s="22" t="s">
        <v>48</v>
      </c>
      <c r="D877" s="3">
        <v>42478</v>
      </c>
      <c r="E877" s="27" t="s">
        <v>29</v>
      </c>
      <c r="F877" s="26" t="s">
        <v>58</v>
      </c>
      <c r="G877" s="26"/>
      <c r="H877" s="22" t="s">
        <v>263</v>
      </c>
      <c r="I877" s="22" t="s">
        <v>271</v>
      </c>
      <c r="J877" s="133"/>
      <c r="K877" s="5">
        <v>1</v>
      </c>
      <c r="L877" s="6">
        <v>220</v>
      </c>
      <c r="M877" s="2">
        <v>96.8</v>
      </c>
      <c r="N877" s="22" t="s">
        <v>30</v>
      </c>
      <c r="O877" s="10" t="s">
        <v>190</v>
      </c>
      <c r="P877" s="2" t="s">
        <v>244</v>
      </c>
    </row>
    <row r="878" spans="1:16" ht="15" customHeight="1">
      <c r="A878" s="2">
        <v>877</v>
      </c>
      <c r="B878" s="22" t="s">
        <v>16</v>
      </c>
      <c r="C878" s="22" t="s">
        <v>17</v>
      </c>
      <c r="D878" s="3">
        <v>42478</v>
      </c>
      <c r="E878" s="27" t="s">
        <v>29</v>
      </c>
      <c r="F878" s="26" t="s">
        <v>58</v>
      </c>
      <c r="G878" s="26"/>
      <c r="H878" s="22" t="s">
        <v>263</v>
      </c>
      <c r="I878" s="22" t="s">
        <v>271</v>
      </c>
      <c r="J878" s="133">
        <v>200</v>
      </c>
      <c r="K878" s="5">
        <v>2</v>
      </c>
      <c r="L878" s="6">
        <v>213.903743315508</v>
      </c>
      <c r="M878" s="2">
        <v>83.4</v>
      </c>
      <c r="N878" s="22" t="s">
        <v>30</v>
      </c>
      <c r="O878" s="10"/>
      <c r="P878" s="2" t="s">
        <v>245</v>
      </c>
    </row>
    <row r="879" spans="1:16" ht="15" customHeight="1">
      <c r="A879" s="2">
        <v>878</v>
      </c>
      <c r="B879" s="22" t="s">
        <v>27</v>
      </c>
      <c r="C879" s="22" t="s">
        <v>87</v>
      </c>
      <c r="D879" s="3">
        <v>42478</v>
      </c>
      <c r="E879" s="27" t="s">
        <v>29</v>
      </c>
      <c r="F879" s="26" t="s">
        <v>58</v>
      </c>
      <c r="G879" s="26"/>
      <c r="H879" s="22" t="s">
        <v>263</v>
      </c>
      <c r="I879" s="22" t="s">
        <v>271</v>
      </c>
      <c r="J879" s="133">
        <v>210</v>
      </c>
      <c r="K879" s="5">
        <v>3</v>
      </c>
      <c r="L879" s="6">
        <v>230.76923076923077</v>
      </c>
      <c r="M879" s="2">
        <v>95.2</v>
      </c>
      <c r="N879" s="22" t="s">
        <v>30</v>
      </c>
      <c r="O879" s="10" t="s">
        <v>272</v>
      </c>
      <c r="P879" s="2" t="s">
        <v>273</v>
      </c>
    </row>
    <row r="880" spans="1:16" ht="15" customHeight="1">
      <c r="A880" s="2">
        <v>879</v>
      </c>
      <c r="B880" s="22" t="s">
        <v>31</v>
      </c>
      <c r="C880" s="22" t="s">
        <v>32</v>
      </c>
      <c r="D880" s="3">
        <v>42478</v>
      </c>
      <c r="E880" s="27" t="s">
        <v>29</v>
      </c>
      <c r="F880" s="26" t="s">
        <v>58</v>
      </c>
      <c r="G880" s="26"/>
      <c r="H880" s="22" t="s">
        <v>263</v>
      </c>
      <c r="I880" s="22" t="s">
        <v>271</v>
      </c>
      <c r="J880" s="133">
        <v>170</v>
      </c>
      <c r="K880" s="5">
        <v>1</v>
      </c>
      <c r="L880" s="6">
        <v>170</v>
      </c>
      <c r="M880" s="2">
        <v>82.5</v>
      </c>
      <c r="N880" s="22" t="s">
        <v>30</v>
      </c>
      <c r="O880" s="10"/>
      <c r="P880" s="2" t="s">
        <v>274</v>
      </c>
    </row>
    <row r="881" spans="1:16" ht="15" customHeight="1">
      <c r="A881" s="2">
        <v>880</v>
      </c>
      <c r="B881" s="22" t="s">
        <v>33</v>
      </c>
      <c r="C881" s="22" t="s">
        <v>34</v>
      </c>
      <c r="D881" s="3">
        <v>42478</v>
      </c>
      <c r="E881" s="27" t="s">
        <v>29</v>
      </c>
      <c r="F881" s="26" t="s">
        <v>58</v>
      </c>
      <c r="G881" s="26"/>
      <c r="H881" s="22" t="s">
        <v>263</v>
      </c>
      <c r="I881" s="22" t="s">
        <v>271</v>
      </c>
      <c r="J881" s="133">
        <v>195</v>
      </c>
      <c r="K881" s="5">
        <v>6</v>
      </c>
      <c r="L881" s="6">
        <v>229.41176470588235</v>
      </c>
      <c r="M881" s="2">
        <v>91</v>
      </c>
      <c r="N881" s="22" t="s">
        <v>30</v>
      </c>
      <c r="O881" s="10"/>
      <c r="P881" s="2" t="s">
        <v>275</v>
      </c>
    </row>
    <row r="882" spans="1:16" ht="15" customHeight="1">
      <c r="A882" s="2">
        <v>881</v>
      </c>
      <c r="B882" s="22" t="s">
        <v>217</v>
      </c>
      <c r="C882" s="22" t="s">
        <v>218</v>
      </c>
      <c r="D882" s="3">
        <v>42478</v>
      </c>
      <c r="E882" s="27" t="s">
        <v>29</v>
      </c>
      <c r="F882" s="26" t="s">
        <v>58</v>
      </c>
      <c r="G882" s="26"/>
      <c r="H882" s="22" t="s">
        <v>263</v>
      </c>
      <c r="I882" s="22" t="s">
        <v>271</v>
      </c>
      <c r="J882" s="133">
        <v>215</v>
      </c>
      <c r="K882" s="5">
        <v>6</v>
      </c>
      <c r="L882" s="6">
        <v>258.72442839951867</v>
      </c>
      <c r="M882" s="2" t="s">
        <v>276</v>
      </c>
      <c r="N882" s="22" t="s">
        <v>30</v>
      </c>
      <c r="O882" s="7" t="s">
        <v>277</v>
      </c>
      <c r="P882" s="2" t="s">
        <v>278</v>
      </c>
    </row>
    <row r="883" spans="1:16" ht="15" customHeight="1">
      <c r="A883" s="2">
        <v>882</v>
      </c>
      <c r="B883" s="22" t="s">
        <v>63</v>
      </c>
      <c r="C883" s="22" t="s">
        <v>64</v>
      </c>
      <c r="D883" s="3">
        <v>42478</v>
      </c>
      <c r="E883" s="27" t="s">
        <v>29</v>
      </c>
      <c r="F883" s="26" t="s">
        <v>58</v>
      </c>
      <c r="G883" s="26"/>
      <c r="H883" s="22" t="s">
        <v>263</v>
      </c>
      <c r="I883" s="22" t="s">
        <v>271</v>
      </c>
      <c r="J883" s="133">
        <v>190</v>
      </c>
      <c r="K883" s="5">
        <v>4</v>
      </c>
      <c r="L883" s="6">
        <v>215.66401816118048</v>
      </c>
      <c r="M883" s="2">
        <v>88.1</v>
      </c>
      <c r="N883" s="22" t="s">
        <v>30</v>
      </c>
      <c r="O883" s="10"/>
      <c r="P883" s="2" t="s">
        <v>279</v>
      </c>
    </row>
    <row r="884" spans="1:16" ht="15" customHeight="1">
      <c r="A884" s="2">
        <v>883</v>
      </c>
      <c r="B884" s="22" t="s">
        <v>220</v>
      </c>
      <c r="C884" s="22" t="s">
        <v>221</v>
      </c>
      <c r="D884" s="3">
        <v>42478</v>
      </c>
      <c r="E884" s="27" t="s">
        <v>29</v>
      </c>
      <c r="F884" s="26" t="s">
        <v>58</v>
      </c>
      <c r="G884" s="26"/>
      <c r="H884" s="22" t="s">
        <v>263</v>
      </c>
      <c r="I884" s="22" t="s">
        <v>271</v>
      </c>
      <c r="J884" s="133"/>
      <c r="K884" s="25"/>
      <c r="L884" s="6">
        <v>192.96254256526674</v>
      </c>
      <c r="M884" s="2"/>
      <c r="N884" s="22" t="s">
        <v>30</v>
      </c>
      <c r="O884" s="10"/>
      <c r="P884" s="2"/>
    </row>
    <row r="885" spans="1:16" ht="15" customHeight="1">
      <c r="A885" s="2">
        <v>884</v>
      </c>
      <c r="B885" s="22" t="s">
        <v>236</v>
      </c>
      <c r="C885" s="22" t="s">
        <v>237</v>
      </c>
      <c r="D885" s="3">
        <v>42478</v>
      </c>
      <c r="E885" s="27" t="s">
        <v>29</v>
      </c>
      <c r="F885" s="26" t="s">
        <v>58</v>
      </c>
      <c r="G885" s="26"/>
      <c r="H885" s="22" t="s">
        <v>263</v>
      </c>
      <c r="I885" s="22" t="s">
        <v>271</v>
      </c>
      <c r="J885" s="133"/>
      <c r="K885" s="25"/>
      <c r="L885" s="6">
        <v>164.58569807037458</v>
      </c>
      <c r="M885" s="2"/>
      <c r="N885" s="22" t="s">
        <v>30</v>
      </c>
      <c r="O885" s="10"/>
      <c r="P885" s="2"/>
    </row>
    <row r="886" spans="1:16" ht="15" customHeight="1">
      <c r="A886" s="2">
        <v>885</v>
      </c>
      <c r="B886" s="22" t="s">
        <v>141</v>
      </c>
      <c r="C886" s="22" t="s">
        <v>142</v>
      </c>
      <c r="D886" s="8">
        <v>42480</v>
      </c>
      <c r="E886" s="27" t="s">
        <v>136</v>
      </c>
      <c r="F886" s="26" t="s">
        <v>58</v>
      </c>
      <c r="G886" s="26"/>
      <c r="H886" s="27" t="s">
        <v>280</v>
      </c>
      <c r="I886" s="27"/>
      <c r="J886" s="133">
        <v>160</v>
      </c>
      <c r="K886" s="5">
        <v>4</v>
      </c>
      <c r="L886" s="6">
        <v>181.6</v>
      </c>
      <c r="M886" s="2">
        <v>67.8</v>
      </c>
      <c r="N886" s="22"/>
      <c r="O886" s="10" t="s">
        <v>280</v>
      </c>
      <c r="P886" s="2" t="s">
        <v>281</v>
      </c>
    </row>
    <row r="887" spans="1:16" ht="15" customHeight="1">
      <c r="A887" s="2">
        <v>886</v>
      </c>
      <c r="B887" s="22" t="s">
        <v>217</v>
      </c>
      <c r="C887" s="22" t="s">
        <v>218</v>
      </c>
      <c r="D887" s="8">
        <v>42480</v>
      </c>
      <c r="E887" s="27" t="s">
        <v>136</v>
      </c>
      <c r="F887" s="26" t="s">
        <v>58</v>
      </c>
      <c r="G887" s="26"/>
      <c r="H887" s="27"/>
      <c r="I887" s="27"/>
      <c r="J887" s="133">
        <v>250</v>
      </c>
      <c r="K887" s="5">
        <v>5</v>
      </c>
      <c r="L887" s="6">
        <v>292.05607476635515</v>
      </c>
      <c r="M887" s="2"/>
      <c r="N887" s="22"/>
      <c r="O887" s="10"/>
      <c r="P887" s="6" t="s">
        <v>282</v>
      </c>
    </row>
    <row r="888" spans="1:16" ht="15" customHeight="1">
      <c r="A888" s="2">
        <v>887</v>
      </c>
      <c r="B888" s="22" t="s">
        <v>141</v>
      </c>
      <c r="C888" s="22" t="s">
        <v>142</v>
      </c>
      <c r="D888" s="3">
        <v>42480</v>
      </c>
      <c r="E888" s="27" t="s">
        <v>145</v>
      </c>
      <c r="F888" s="26" t="s">
        <v>58</v>
      </c>
      <c r="G888" s="26"/>
      <c r="H888" s="27" t="s">
        <v>280</v>
      </c>
      <c r="I888" s="22"/>
      <c r="J888" s="133">
        <v>170</v>
      </c>
      <c r="K888" s="5">
        <v>7</v>
      </c>
      <c r="L888" s="6">
        <v>210.65675340768277</v>
      </c>
      <c r="M888" s="2">
        <v>67.8</v>
      </c>
      <c r="N888" s="22"/>
      <c r="O888" s="10" t="s">
        <v>280</v>
      </c>
      <c r="P888" s="2" t="s">
        <v>283</v>
      </c>
    </row>
    <row r="889" spans="1:16" ht="15" customHeight="1">
      <c r="A889" s="2">
        <v>888</v>
      </c>
      <c r="B889" s="22" t="s">
        <v>217</v>
      </c>
      <c r="C889" s="22" t="s">
        <v>218</v>
      </c>
      <c r="D889" s="8">
        <v>42480</v>
      </c>
      <c r="E889" s="27" t="s">
        <v>145</v>
      </c>
      <c r="F889" s="26" t="s">
        <v>58</v>
      </c>
      <c r="G889" s="26"/>
      <c r="H889" s="27"/>
      <c r="I889" s="27"/>
      <c r="J889" s="133">
        <v>250</v>
      </c>
      <c r="K889" s="5">
        <v>6</v>
      </c>
      <c r="L889" s="6">
        <v>300.84235860409149</v>
      </c>
      <c r="M889" s="2"/>
      <c r="N889" s="22"/>
      <c r="O889" s="10"/>
      <c r="P889" s="2" t="s">
        <v>284</v>
      </c>
    </row>
    <row r="890" spans="1:16" ht="15" customHeight="1">
      <c r="A890" s="2">
        <v>889</v>
      </c>
      <c r="B890" s="22" t="s">
        <v>285</v>
      </c>
      <c r="C890" s="22" t="s">
        <v>286</v>
      </c>
      <c r="D890" s="3">
        <v>42480</v>
      </c>
      <c r="E890" s="26" t="s">
        <v>209</v>
      </c>
      <c r="F890" s="26" t="s">
        <v>58</v>
      </c>
      <c r="G890" s="26"/>
      <c r="H890" s="22"/>
      <c r="I890" s="22"/>
      <c r="J890" s="133"/>
      <c r="K890" s="25"/>
      <c r="L890" s="6">
        <v>40.641711229946523</v>
      </c>
      <c r="M890" s="2"/>
      <c r="N890" s="22"/>
      <c r="O890" s="10"/>
      <c r="P890" s="2"/>
    </row>
    <row r="891" spans="1:16" ht="15" customHeight="1">
      <c r="A891" s="2">
        <v>890</v>
      </c>
      <c r="B891" s="22" t="s">
        <v>141</v>
      </c>
      <c r="C891" s="22" t="s">
        <v>142</v>
      </c>
      <c r="D891" s="3">
        <v>42480</v>
      </c>
      <c r="E891" s="26" t="s">
        <v>209</v>
      </c>
      <c r="F891" s="26" t="s">
        <v>58</v>
      </c>
      <c r="G891" s="26"/>
      <c r="H891" s="22"/>
      <c r="I891" s="22"/>
      <c r="J891" s="133" t="s">
        <v>287</v>
      </c>
      <c r="K891" s="25"/>
      <c r="L891" s="6">
        <v>65.934065934065927</v>
      </c>
      <c r="M891" s="2">
        <v>67.8</v>
      </c>
      <c r="N891" s="22"/>
      <c r="O891" s="10"/>
      <c r="P891" s="2" t="s">
        <v>288</v>
      </c>
    </row>
    <row r="892" spans="1:16" ht="15" customHeight="1">
      <c r="A892" s="2">
        <v>891</v>
      </c>
      <c r="B892" s="22" t="s">
        <v>47</v>
      </c>
      <c r="C892" s="22" t="s">
        <v>48</v>
      </c>
      <c r="D892" s="3">
        <v>42480</v>
      </c>
      <c r="E892" s="26" t="s">
        <v>26</v>
      </c>
      <c r="F892" s="26" t="s">
        <v>58</v>
      </c>
      <c r="G892" s="26"/>
      <c r="H892" s="22"/>
      <c r="I892" s="22" t="s">
        <v>271</v>
      </c>
      <c r="J892" s="133"/>
      <c r="K892" s="25"/>
      <c r="L892" s="11">
        <v>130</v>
      </c>
      <c r="M892" s="2"/>
      <c r="N892" s="22"/>
      <c r="O892" s="10"/>
      <c r="P892" s="2"/>
    </row>
    <row r="893" spans="1:16" ht="15" customHeight="1">
      <c r="A893" s="2">
        <v>892</v>
      </c>
      <c r="B893" s="22" t="s">
        <v>16</v>
      </c>
      <c r="C893" s="22" t="s">
        <v>17</v>
      </c>
      <c r="D893" s="3">
        <v>42480</v>
      </c>
      <c r="E893" s="26" t="s">
        <v>26</v>
      </c>
      <c r="F893" s="26" t="s">
        <v>58</v>
      </c>
      <c r="G893" s="26"/>
      <c r="H893" s="22"/>
      <c r="I893" s="22" t="s">
        <v>271</v>
      </c>
      <c r="J893" s="133"/>
      <c r="K893" s="25"/>
      <c r="L893" s="6">
        <v>115</v>
      </c>
      <c r="M893" s="2"/>
      <c r="N893" s="22"/>
      <c r="O893" s="10"/>
      <c r="P893" s="2"/>
    </row>
    <row r="894" spans="1:16" ht="15" customHeight="1">
      <c r="A894" s="2">
        <v>893</v>
      </c>
      <c r="B894" s="22" t="s">
        <v>31</v>
      </c>
      <c r="C894" s="22" t="s">
        <v>32</v>
      </c>
      <c r="D894" s="3">
        <v>42480</v>
      </c>
      <c r="E894" s="26" t="s">
        <v>26</v>
      </c>
      <c r="F894" s="26" t="s">
        <v>58</v>
      </c>
      <c r="G894" s="26"/>
      <c r="H894" s="22"/>
      <c r="I894" s="22" t="s">
        <v>271</v>
      </c>
      <c r="J894" s="133"/>
      <c r="K894" s="25"/>
      <c r="L894" s="6">
        <v>115</v>
      </c>
      <c r="M894" s="2"/>
      <c r="N894" s="22"/>
      <c r="O894" s="10"/>
      <c r="P894" s="2"/>
    </row>
    <row r="895" spans="1:16" ht="15" customHeight="1">
      <c r="A895" s="2">
        <v>894</v>
      </c>
      <c r="B895" s="22" t="s">
        <v>33</v>
      </c>
      <c r="C895" s="22" t="s">
        <v>34</v>
      </c>
      <c r="D895" s="8">
        <v>42480</v>
      </c>
      <c r="E895" s="26" t="s">
        <v>26</v>
      </c>
      <c r="F895" s="26" t="s">
        <v>58</v>
      </c>
      <c r="G895" s="26"/>
      <c r="H895" s="27"/>
      <c r="I895" s="27" t="s">
        <v>271</v>
      </c>
      <c r="J895" s="133"/>
      <c r="K895" s="25"/>
      <c r="L895" s="6">
        <v>120.87912087912088</v>
      </c>
      <c r="M895" s="2"/>
      <c r="N895" s="22"/>
      <c r="O895" s="10"/>
      <c r="P895" s="2"/>
    </row>
    <row r="896" spans="1:16" ht="15" customHeight="1">
      <c r="A896" s="2">
        <v>895</v>
      </c>
      <c r="B896" s="22" t="s">
        <v>220</v>
      </c>
      <c r="C896" s="22" t="s">
        <v>221</v>
      </c>
      <c r="D896" s="8">
        <v>42480</v>
      </c>
      <c r="E896" s="26" t="s">
        <v>26</v>
      </c>
      <c r="F896" s="26" t="s">
        <v>58</v>
      </c>
      <c r="G896" s="26"/>
      <c r="H896" s="27"/>
      <c r="I896" s="27" t="s">
        <v>271</v>
      </c>
      <c r="J896" s="133"/>
      <c r="K896" s="25"/>
      <c r="L896" s="6">
        <v>117</v>
      </c>
      <c r="M896" s="2"/>
      <c r="N896" s="22"/>
      <c r="O896" s="10"/>
      <c r="P896" s="2"/>
    </row>
    <row r="897" spans="1:16" ht="15" customHeight="1">
      <c r="A897" s="2">
        <v>896</v>
      </c>
      <c r="B897" s="22" t="s">
        <v>236</v>
      </c>
      <c r="C897" s="22" t="s">
        <v>237</v>
      </c>
      <c r="D897" s="8">
        <v>42480</v>
      </c>
      <c r="E897" s="27" t="s">
        <v>26</v>
      </c>
      <c r="F897" s="26" t="s">
        <v>58</v>
      </c>
      <c r="G897" s="26"/>
      <c r="H897" s="27"/>
      <c r="I897" s="27" t="s">
        <v>271</v>
      </c>
      <c r="J897" s="133"/>
      <c r="K897" s="25"/>
      <c r="L897" s="9">
        <v>96.481271282633372</v>
      </c>
      <c r="M897" s="11"/>
      <c r="N897" s="23"/>
      <c r="O897" s="10"/>
      <c r="P897" s="9"/>
    </row>
    <row r="898" spans="1:16" ht="15" customHeight="1">
      <c r="A898" s="2">
        <v>897</v>
      </c>
      <c r="B898" s="22" t="s">
        <v>141</v>
      </c>
      <c r="C898" s="22" t="s">
        <v>142</v>
      </c>
      <c r="D898" s="3">
        <v>42515</v>
      </c>
      <c r="E898" s="27" t="s">
        <v>136</v>
      </c>
      <c r="F898" s="26" t="s">
        <v>58</v>
      </c>
      <c r="G898" s="26"/>
      <c r="H898" s="27" t="s">
        <v>280</v>
      </c>
      <c r="I898" s="22"/>
      <c r="J898" s="133">
        <v>190</v>
      </c>
      <c r="K898" s="5">
        <v>1</v>
      </c>
      <c r="L898" s="11">
        <v>190</v>
      </c>
      <c r="M898" s="2">
        <v>68.900000000000006</v>
      </c>
      <c r="N898" s="22"/>
      <c r="O898" s="10" t="s">
        <v>280</v>
      </c>
      <c r="P898" s="2" t="s">
        <v>289</v>
      </c>
    </row>
    <row r="899" spans="1:16" ht="15" customHeight="1">
      <c r="A899" s="2">
        <v>898</v>
      </c>
      <c r="B899" s="22" t="s">
        <v>141</v>
      </c>
      <c r="C899" s="22" t="s">
        <v>142</v>
      </c>
      <c r="D899" s="8">
        <v>42515</v>
      </c>
      <c r="E899" s="27" t="s">
        <v>145</v>
      </c>
      <c r="F899" s="26" t="s">
        <v>58</v>
      </c>
      <c r="G899" s="26"/>
      <c r="H899" s="27" t="s">
        <v>280</v>
      </c>
      <c r="I899" s="27"/>
      <c r="J899" s="133">
        <v>200</v>
      </c>
      <c r="K899" s="5">
        <v>3</v>
      </c>
      <c r="L899" s="6">
        <v>220.75055187637969</v>
      </c>
      <c r="M899" s="2">
        <v>68.900000000000006</v>
      </c>
      <c r="N899" s="22"/>
      <c r="O899" s="10" t="s">
        <v>280</v>
      </c>
      <c r="P899" s="2" t="s">
        <v>290</v>
      </c>
    </row>
    <row r="900" spans="1:16" ht="15" customHeight="1">
      <c r="A900" s="2">
        <v>899</v>
      </c>
      <c r="B900" s="22" t="s">
        <v>47</v>
      </c>
      <c r="C900" s="22" t="s">
        <v>48</v>
      </c>
      <c r="D900" s="3">
        <v>42515</v>
      </c>
      <c r="E900" s="27" t="s">
        <v>29</v>
      </c>
      <c r="F900" s="26" t="s">
        <v>58</v>
      </c>
      <c r="G900" s="26"/>
      <c r="H900" s="22" t="s">
        <v>115</v>
      </c>
      <c r="I900" s="22" t="s">
        <v>291</v>
      </c>
      <c r="J900" s="133"/>
      <c r="K900" s="5">
        <v>1</v>
      </c>
      <c r="L900" s="6">
        <v>250</v>
      </c>
      <c r="M900" s="2">
        <v>97.8</v>
      </c>
      <c r="N900" s="22" t="s">
        <v>30</v>
      </c>
      <c r="O900" s="10" t="s">
        <v>190</v>
      </c>
      <c r="P900" s="2" t="s">
        <v>244</v>
      </c>
    </row>
    <row r="901" spans="1:16" ht="15" customHeight="1">
      <c r="A901" s="2">
        <v>900</v>
      </c>
      <c r="B901" s="22" t="s">
        <v>16</v>
      </c>
      <c r="C901" s="22" t="s">
        <v>17</v>
      </c>
      <c r="D901" s="3">
        <v>42515</v>
      </c>
      <c r="E901" s="27" t="s">
        <v>29</v>
      </c>
      <c r="F901" s="26" t="s">
        <v>58</v>
      </c>
      <c r="G901" s="26"/>
      <c r="H901" s="22" t="s">
        <v>115</v>
      </c>
      <c r="I901" s="22" t="s">
        <v>291</v>
      </c>
      <c r="J901" s="133"/>
      <c r="K901" s="5">
        <v>1</v>
      </c>
      <c r="L901" s="6">
        <v>216</v>
      </c>
      <c r="M901" s="2">
        <v>84.8</v>
      </c>
      <c r="N901" s="22" t="s">
        <v>30</v>
      </c>
      <c r="O901" s="10" t="s">
        <v>190</v>
      </c>
      <c r="P901" s="2" t="s">
        <v>244</v>
      </c>
    </row>
    <row r="902" spans="1:16" ht="15" customHeight="1">
      <c r="A902" s="2">
        <v>901</v>
      </c>
      <c r="B902" s="22" t="s">
        <v>95</v>
      </c>
      <c r="C902" s="22" t="s">
        <v>96</v>
      </c>
      <c r="D902" s="3">
        <v>42720</v>
      </c>
      <c r="E902" s="27" t="s">
        <v>29</v>
      </c>
      <c r="F902" s="26" t="s">
        <v>58</v>
      </c>
      <c r="G902" s="26"/>
      <c r="H902" s="22" t="s">
        <v>263</v>
      </c>
      <c r="I902" s="22" t="s">
        <v>268</v>
      </c>
      <c r="J902" s="133">
        <v>140</v>
      </c>
      <c r="K902" s="5">
        <v>3</v>
      </c>
      <c r="L902" s="6">
        <v>153.84615384615384</v>
      </c>
      <c r="M902" s="2">
        <v>84.8</v>
      </c>
      <c r="N902" s="22" t="s">
        <v>30</v>
      </c>
      <c r="O902" s="10"/>
      <c r="P902" s="2" t="s">
        <v>292</v>
      </c>
    </row>
    <row r="903" spans="1:16" ht="15" customHeight="1">
      <c r="A903" s="2">
        <v>902</v>
      </c>
      <c r="B903" s="22" t="s">
        <v>220</v>
      </c>
      <c r="C903" s="22" t="s">
        <v>221</v>
      </c>
      <c r="D903" s="8">
        <v>42835</v>
      </c>
      <c r="E903" s="27" t="s">
        <v>29</v>
      </c>
      <c r="F903" s="26" t="s">
        <v>58</v>
      </c>
      <c r="G903" s="26"/>
      <c r="H903" s="27" t="s">
        <v>293</v>
      </c>
      <c r="I903" s="27" t="s">
        <v>294</v>
      </c>
      <c r="J903" s="133"/>
      <c r="K903" s="25"/>
      <c r="L903" s="6">
        <v>192.53910950661853</v>
      </c>
      <c r="M903" s="2"/>
      <c r="N903" s="22" t="s">
        <v>30</v>
      </c>
      <c r="O903" s="10"/>
      <c r="P903" s="11"/>
    </row>
    <row r="904" spans="1:16" ht="15" customHeight="1">
      <c r="A904" s="2">
        <v>903</v>
      </c>
      <c r="B904" s="22" t="s">
        <v>295</v>
      </c>
      <c r="C904" s="22" t="s">
        <v>296</v>
      </c>
      <c r="D904" s="3">
        <v>42836</v>
      </c>
      <c r="E904" s="22" t="s">
        <v>209</v>
      </c>
      <c r="F904" s="26" t="s">
        <v>58</v>
      </c>
      <c r="G904" s="26"/>
      <c r="H904" s="22"/>
      <c r="I904" s="22"/>
      <c r="J904" s="6">
        <v>70</v>
      </c>
      <c r="K904" s="2">
        <v>4</v>
      </c>
      <c r="L904" s="6">
        <v>79.455164585698071</v>
      </c>
      <c r="M904" s="2">
        <v>76.2</v>
      </c>
      <c r="N904" s="22"/>
      <c r="O904" s="21"/>
      <c r="P904" s="2"/>
    </row>
    <row r="905" spans="1:16" ht="15" customHeight="1">
      <c r="A905" s="2">
        <v>904</v>
      </c>
      <c r="B905" s="22" t="s">
        <v>297</v>
      </c>
      <c r="C905" s="22" t="s">
        <v>298</v>
      </c>
      <c r="D905" s="3">
        <v>42836</v>
      </c>
      <c r="E905" s="22" t="s">
        <v>209</v>
      </c>
      <c r="F905" s="26" t="s">
        <v>58</v>
      </c>
      <c r="G905" s="26"/>
      <c r="H905" s="22"/>
      <c r="I905" s="22"/>
      <c r="J905" s="6">
        <v>80</v>
      </c>
      <c r="K905" s="2">
        <v>4</v>
      </c>
      <c r="L905" s="6">
        <v>90.805902383654939</v>
      </c>
      <c r="M905" s="2">
        <v>88.5</v>
      </c>
      <c r="N905" s="22"/>
      <c r="O905" s="21"/>
      <c r="P905" s="2"/>
    </row>
    <row r="906" spans="1:16" ht="15" customHeight="1">
      <c r="A906" s="2">
        <v>905</v>
      </c>
      <c r="B906" s="22" t="s">
        <v>299</v>
      </c>
      <c r="C906" s="22" t="s">
        <v>300</v>
      </c>
      <c r="D906" s="3">
        <v>42836</v>
      </c>
      <c r="E906" s="22" t="s">
        <v>209</v>
      </c>
      <c r="F906" s="26" t="s">
        <v>58</v>
      </c>
      <c r="G906" s="26"/>
      <c r="H906" s="22"/>
      <c r="I906" s="22"/>
      <c r="J906" s="6">
        <v>50</v>
      </c>
      <c r="K906" s="2">
        <v>3</v>
      </c>
      <c r="L906" s="6">
        <v>55.187637969094929</v>
      </c>
      <c r="M906" s="2">
        <v>61.9</v>
      </c>
      <c r="N906" s="22"/>
      <c r="O906" s="21"/>
      <c r="P906" s="2"/>
    </row>
    <row r="907" spans="1:16" ht="15" customHeight="1">
      <c r="A907" s="2">
        <v>906</v>
      </c>
      <c r="B907" s="22" t="s">
        <v>220</v>
      </c>
      <c r="C907" s="22" t="s">
        <v>221</v>
      </c>
      <c r="D907" s="3">
        <v>42836</v>
      </c>
      <c r="E907" s="22" t="s">
        <v>209</v>
      </c>
      <c r="F907" s="26" t="s">
        <v>58</v>
      </c>
      <c r="G907" s="26"/>
      <c r="H907" s="22"/>
      <c r="I907" s="22"/>
      <c r="J907" s="6">
        <v>80</v>
      </c>
      <c r="K907" s="2">
        <v>5</v>
      </c>
      <c r="L907" s="6">
        <v>93.45794392523365</v>
      </c>
      <c r="M907" s="2">
        <v>87.5</v>
      </c>
      <c r="N907" s="22"/>
      <c r="O907" s="21"/>
      <c r="P907" s="2"/>
    </row>
    <row r="908" spans="1:16" ht="15" customHeight="1">
      <c r="A908" s="2">
        <v>907</v>
      </c>
      <c r="B908" s="22" t="s">
        <v>285</v>
      </c>
      <c r="C908" s="22" t="s">
        <v>286</v>
      </c>
      <c r="D908" s="3">
        <v>42836</v>
      </c>
      <c r="E908" s="22" t="s">
        <v>209</v>
      </c>
      <c r="F908" s="26" t="s">
        <v>58</v>
      </c>
      <c r="G908" s="26"/>
      <c r="H908" s="22"/>
      <c r="I908" s="22"/>
      <c r="J908" s="6">
        <v>40</v>
      </c>
      <c r="K908" s="2">
        <v>5</v>
      </c>
      <c r="L908" s="6">
        <v>46.728971962616825</v>
      </c>
      <c r="M908" s="2">
        <v>64.900000000000006</v>
      </c>
      <c r="N908" s="22"/>
      <c r="O908" s="21"/>
      <c r="P908" s="2"/>
    </row>
    <row r="909" spans="1:16" ht="15" customHeight="1">
      <c r="A909" s="2">
        <v>908</v>
      </c>
      <c r="B909" s="22" t="s">
        <v>295</v>
      </c>
      <c r="C909" s="22" t="s">
        <v>296</v>
      </c>
      <c r="D909" s="3">
        <v>42836</v>
      </c>
      <c r="E909" s="22" t="s">
        <v>18</v>
      </c>
      <c r="F909" s="26" t="s">
        <v>58</v>
      </c>
      <c r="G909" s="26"/>
      <c r="H909" s="22"/>
      <c r="I909" s="22"/>
      <c r="J909" s="6">
        <v>110</v>
      </c>
      <c r="K909" s="2">
        <v>7</v>
      </c>
      <c r="L909" s="6">
        <v>136.30731102850061</v>
      </c>
      <c r="M909" s="2">
        <v>76.2</v>
      </c>
      <c r="N909" s="22" t="s">
        <v>301</v>
      </c>
      <c r="O909" s="21" t="s">
        <v>302</v>
      </c>
      <c r="P909" s="2"/>
    </row>
    <row r="910" spans="1:16" ht="15" customHeight="1">
      <c r="A910" s="2">
        <v>909</v>
      </c>
      <c r="B910" s="22" t="s">
        <v>297</v>
      </c>
      <c r="C910" s="22" t="s">
        <v>298</v>
      </c>
      <c r="D910" s="3">
        <v>42836</v>
      </c>
      <c r="E910" s="22" t="s">
        <v>18</v>
      </c>
      <c r="F910" s="26" t="s">
        <v>58</v>
      </c>
      <c r="G910" s="26"/>
      <c r="H910" s="22"/>
      <c r="I910" s="22"/>
      <c r="J910" s="6">
        <v>120</v>
      </c>
      <c r="K910" s="2">
        <v>6</v>
      </c>
      <c r="L910" s="6">
        <v>144.4043321299639</v>
      </c>
      <c r="M910" s="2">
        <v>88.5</v>
      </c>
      <c r="N910" s="22" t="s">
        <v>301</v>
      </c>
      <c r="O910" s="21" t="s">
        <v>303</v>
      </c>
      <c r="P910" s="2"/>
    </row>
    <row r="911" spans="1:16" ht="15" customHeight="1">
      <c r="A911" s="2">
        <v>910</v>
      </c>
      <c r="B911" s="22" t="s">
        <v>299</v>
      </c>
      <c r="C911" s="22" t="s">
        <v>300</v>
      </c>
      <c r="D911" s="3">
        <v>42836</v>
      </c>
      <c r="E911" s="22" t="s">
        <v>18</v>
      </c>
      <c r="F911" s="26" t="s">
        <v>58</v>
      </c>
      <c r="G911" s="26"/>
      <c r="H911" s="22"/>
      <c r="I911" s="22"/>
      <c r="J911" s="6">
        <v>70</v>
      </c>
      <c r="K911" s="2">
        <v>1</v>
      </c>
      <c r="L911" s="6">
        <v>70</v>
      </c>
      <c r="M911" s="2">
        <v>61.9</v>
      </c>
      <c r="N911" s="22" t="s">
        <v>301</v>
      </c>
      <c r="O911" s="21" t="s">
        <v>304</v>
      </c>
      <c r="P911" s="2"/>
    </row>
    <row r="912" spans="1:16" ht="15" customHeight="1">
      <c r="A912" s="2">
        <v>911</v>
      </c>
      <c r="B912" s="22" t="s">
        <v>220</v>
      </c>
      <c r="C912" s="22" t="s">
        <v>221</v>
      </c>
      <c r="D912" s="3">
        <v>42836</v>
      </c>
      <c r="E912" s="22" t="s">
        <v>18</v>
      </c>
      <c r="F912" s="26" t="s">
        <v>58</v>
      </c>
      <c r="G912" s="26"/>
      <c r="H912" s="22"/>
      <c r="I912" s="22"/>
      <c r="J912" s="6">
        <v>160</v>
      </c>
      <c r="K912" s="2">
        <v>6</v>
      </c>
      <c r="L912" s="6">
        <v>192.53910950661856</v>
      </c>
      <c r="M912" s="2">
        <v>87.5</v>
      </c>
      <c r="N912" s="22" t="s">
        <v>301</v>
      </c>
      <c r="O912" s="21" t="s">
        <v>305</v>
      </c>
      <c r="P912" s="2"/>
    </row>
    <row r="913" spans="1:16" ht="15" customHeight="1">
      <c r="A913" s="2">
        <v>912</v>
      </c>
      <c r="B913" s="22" t="s">
        <v>285</v>
      </c>
      <c r="C913" s="22" t="s">
        <v>286</v>
      </c>
      <c r="D913" s="3">
        <v>42836</v>
      </c>
      <c r="E913" s="22" t="s">
        <v>18</v>
      </c>
      <c r="F913" s="26" t="s">
        <v>58</v>
      </c>
      <c r="G913" s="26"/>
      <c r="H913" s="22"/>
      <c r="I913" s="22"/>
      <c r="J913" s="6">
        <v>80</v>
      </c>
      <c r="K913" s="2">
        <v>2</v>
      </c>
      <c r="L913" s="6">
        <v>84.835630965005308</v>
      </c>
      <c r="M913" s="2">
        <v>64.900000000000006</v>
      </c>
      <c r="N913" s="22" t="s">
        <v>301</v>
      </c>
      <c r="O913" s="21" t="s">
        <v>306</v>
      </c>
      <c r="P913" s="2"/>
    </row>
    <row r="914" spans="1:16" ht="15" customHeight="1">
      <c r="A914" s="2">
        <v>913</v>
      </c>
      <c r="B914" s="22" t="s">
        <v>47</v>
      </c>
      <c r="C914" s="22" t="s">
        <v>48</v>
      </c>
      <c r="D914" s="3">
        <v>43221</v>
      </c>
      <c r="E914" s="27" t="s">
        <v>29</v>
      </c>
      <c r="F914" s="26" t="s">
        <v>58</v>
      </c>
      <c r="G914" s="26"/>
      <c r="H914" s="22"/>
      <c r="I914" s="22"/>
      <c r="J914" s="6"/>
      <c r="K914" s="2"/>
      <c r="L914" s="6">
        <v>260</v>
      </c>
      <c r="M914" s="2"/>
      <c r="N914" s="22" t="s">
        <v>30</v>
      </c>
      <c r="O914" s="21"/>
      <c r="P914" s="2"/>
    </row>
    <row r="915" spans="1:16" ht="15" customHeight="1">
      <c r="A915" s="2">
        <v>914</v>
      </c>
      <c r="B915" s="22" t="s">
        <v>220</v>
      </c>
      <c r="C915" s="22" t="s">
        <v>221</v>
      </c>
      <c r="D915" s="3">
        <v>43221</v>
      </c>
      <c r="E915" s="27" t="s">
        <v>29</v>
      </c>
      <c r="F915" s="26" t="s">
        <v>58</v>
      </c>
      <c r="G915" s="26"/>
      <c r="H915" s="22"/>
      <c r="I915" s="22"/>
      <c r="J915" s="6"/>
      <c r="K915" s="2"/>
      <c r="L915" s="6">
        <v>200</v>
      </c>
      <c r="M915" s="2"/>
      <c r="N915" s="22" t="s">
        <v>30</v>
      </c>
      <c r="O915" s="21"/>
      <c r="P915" s="2"/>
    </row>
    <row r="916" spans="1:16" ht="15" customHeight="1">
      <c r="A916" s="2">
        <v>915</v>
      </c>
      <c r="B916" s="22" t="s">
        <v>220</v>
      </c>
      <c r="C916" s="22" t="s">
        <v>221</v>
      </c>
      <c r="D916" s="3">
        <v>43221</v>
      </c>
      <c r="E916" s="27" t="s">
        <v>136</v>
      </c>
      <c r="F916" s="26" t="s">
        <v>58</v>
      </c>
      <c r="G916" s="26"/>
      <c r="H916" s="22"/>
      <c r="I916" s="22"/>
      <c r="J916" s="6"/>
      <c r="K916" s="2"/>
      <c r="L916" s="6">
        <v>225</v>
      </c>
      <c r="M916" s="2"/>
      <c r="N916" s="22" t="s">
        <v>307</v>
      </c>
      <c r="O916" s="21" t="s">
        <v>308</v>
      </c>
      <c r="P916" s="2"/>
    </row>
    <row r="917" spans="1:16" ht="15" customHeight="1">
      <c r="A917" s="2">
        <v>916</v>
      </c>
      <c r="B917" s="22" t="s">
        <v>141</v>
      </c>
      <c r="C917" s="22" t="s">
        <v>142</v>
      </c>
      <c r="D917" s="3">
        <v>43221</v>
      </c>
      <c r="E917" s="27" t="s">
        <v>136</v>
      </c>
      <c r="F917" s="26" t="s">
        <v>58</v>
      </c>
      <c r="G917" s="26"/>
      <c r="H917" s="22"/>
      <c r="I917" s="22"/>
      <c r="J917" s="6"/>
      <c r="K917" s="2"/>
      <c r="L917" s="6">
        <v>165</v>
      </c>
      <c r="M917" s="2"/>
      <c r="N917" s="22" t="s">
        <v>307</v>
      </c>
      <c r="O917" s="21" t="s">
        <v>308</v>
      </c>
      <c r="P917" s="2"/>
    </row>
    <row r="918" spans="1:16" ht="15" customHeight="1">
      <c r="A918" s="2">
        <v>917</v>
      </c>
      <c r="B918" s="22" t="s">
        <v>220</v>
      </c>
      <c r="C918" s="22" t="s">
        <v>221</v>
      </c>
      <c r="D918" s="3">
        <v>43221</v>
      </c>
      <c r="E918" s="27" t="s">
        <v>145</v>
      </c>
      <c r="F918" s="26" t="s">
        <v>58</v>
      </c>
      <c r="G918" s="26"/>
      <c r="H918" s="22"/>
      <c r="I918" s="22"/>
      <c r="J918" s="6"/>
      <c r="K918" s="2"/>
      <c r="L918" s="6">
        <v>230</v>
      </c>
      <c r="M918" s="2"/>
      <c r="N918" s="22" t="s">
        <v>307</v>
      </c>
      <c r="O918" s="21" t="s">
        <v>308</v>
      </c>
      <c r="P918" s="2"/>
    </row>
    <row r="919" spans="1:16" ht="15" customHeight="1">
      <c r="A919" s="2">
        <v>918</v>
      </c>
      <c r="B919" s="22" t="s">
        <v>141</v>
      </c>
      <c r="C919" s="22" t="s">
        <v>142</v>
      </c>
      <c r="D919" s="3">
        <v>43221</v>
      </c>
      <c r="E919" s="27" t="s">
        <v>145</v>
      </c>
      <c r="F919" s="26" t="s">
        <v>58</v>
      </c>
      <c r="G919" s="26"/>
      <c r="H919" s="22"/>
      <c r="I919" s="22"/>
      <c r="J919" s="6"/>
      <c r="K919" s="2"/>
      <c r="L919" s="6">
        <v>170</v>
      </c>
      <c r="M919" s="2"/>
      <c r="N919" s="22" t="s">
        <v>307</v>
      </c>
      <c r="O919" s="21" t="s">
        <v>308</v>
      </c>
      <c r="P919" s="2"/>
    </row>
    <row r="920" spans="1:16" ht="15" customHeight="1">
      <c r="A920" s="2">
        <v>919</v>
      </c>
      <c r="B920" s="22" t="s">
        <v>295</v>
      </c>
      <c r="C920" s="22" t="s">
        <v>296</v>
      </c>
      <c r="D920" s="3">
        <v>43221</v>
      </c>
      <c r="E920" s="22" t="s">
        <v>43</v>
      </c>
      <c r="F920" s="26" t="s">
        <v>58</v>
      </c>
      <c r="G920" s="26"/>
      <c r="H920" s="22"/>
      <c r="I920" s="22"/>
      <c r="J920" s="6"/>
      <c r="K920" s="2"/>
      <c r="L920" s="6">
        <v>180</v>
      </c>
      <c r="M920" s="2"/>
      <c r="N920" s="22" t="s">
        <v>128</v>
      </c>
      <c r="O920" s="21"/>
      <c r="P920" s="2"/>
    </row>
    <row r="921" spans="1:16" ht="15" customHeight="1">
      <c r="A921" s="2">
        <v>920</v>
      </c>
      <c r="B921" s="22" t="s">
        <v>299</v>
      </c>
      <c r="C921" s="22" t="s">
        <v>300</v>
      </c>
      <c r="D921" s="3">
        <v>43221</v>
      </c>
      <c r="E921" s="22" t="s">
        <v>43</v>
      </c>
      <c r="F921" s="26" t="s">
        <v>58</v>
      </c>
      <c r="G921" s="26"/>
      <c r="H921" s="22"/>
      <c r="I921" s="22"/>
      <c r="J921" s="6"/>
      <c r="K921" s="2"/>
      <c r="L921" s="6">
        <v>100</v>
      </c>
      <c r="M921" s="2"/>
      <c r="N921" s="22" t="s">
        <v>128</v>
      </c>
      <c r="O921" s="21"/>
      <c r="P921" s="2"/>
    </row>
    <row r="922" spans="1:16" ht="15" customHeight="1">
      <c r="A922" s="2">
        <v>921</v>
      </c>
      <c r="B922" s="22" t="s">
        <v>220</v>
      </c>
      <c r="C922" s="22" t="s">
        <v>221</v>
      </c>
      <c r="D922" s="3">
        <v>43221</v>
      </c>
      <c r="E922" s="22" t="s">
        <v>43</v>
      </c>
      <c r="F922" s="26" t="s">
        <v>58</v>
      </c>
      <c r="G922" s="26"/>
      <c r="H922" s="22"/>
      <c r="I922" s="22"/>
      <c r="J922" s="6"/>
      <c r="K922" s="2"/>
      <c r="L922" s="6">
        <v>235</v>
      </c>
      <c r="M922" s="2"/>
      <c r="N922" s="22" t="s">
        <v>128</v>
      </c>
      <c r="O922" s="21"/>
      <c r="P922" s="2"/>
    </row>
    <row r="923" spans="1:16" ht="15" customHeight="1">
      <c r="A923" s="2">
        <v>922</v>
      </c>
      <c r="B923" s="22" t="s">
        <v>285</v>
      </c>
      <c r="C923" s="22" t="s">
        <v>286</v>
      </c>
      <c r="D923" s="3">
        <v>43221</v>
      </c>
      <c r="E923" s="22" t="s">
        <v>43</v>
      </c>
      <c r="F923" s="26" t="s">
        <v>58</v>
      </c>
      <c r="G923" s="26"/>
      <c r="H923" s="22"/>
      <c r="I923" s="22"/>
      <c r="J923" s="6"/>
      <c r="K923" s="2"/>
      <c r="L923" s="6">
        <v>115</v>
      </c>
      <c r="M923" s="2"/>
      <c r="N923" s="22" t="s">
        <v>128</v>
      </c>
      <c r="O923" s="21"/>
      <c r="P923" s="2"/>
    </row>
    <row r="924" spans="1:16" ht="15" customHeight="1">
      <c r="A924" s="2">
        <v>923</v>
      </c>
      <c r="B924" s="22" t="s">
        <v>295</v>
      </c>
      <c r="C924" s="22" t="s">
        <v>296</v>
      </c>
      <c r="D924" s="3">
        <v>43313</v>
      </c>
      <c r="E924" s="27" t="s">
        <v>29</v>
      </c>
      <c r="F924" s="26" t="s">
        <v>58</v>
      </c>
      <c r="G924" s="26"/>
      <c r="H924" s="22"/>
      <c r="I924" s="22"/>
      <c r="J924" s="6"/>
      <c r="K924" s="2"/>
      <c r="L924" s="6">
        <v>155</v>
      </c>
      <c r="M924" s="2"/>
      <c r="N924" s="22" t="s">
        <v>30</v>
      </c>
      <c r="O924" s="21"/>
      <c r="P924" s="2"/>
    </row>
    <row r="925" spans="1:16" ht="15" customHeight="1">
      <c r="A925" s="2">
        <v>924</v>
      </c>
      <c r="B925" s="22" t="s">
        <v>299</v>
      </c>
      <c r="C925" s="22" t="s">
        <v>300</v>
      </c>
      <c r="D925" s="3">
        <v>43313</v>
      </c>
      <c r="E925" s="27" t="s">
        <v>29</v>
      </c>
      <c r="F925" s="26" t="s">
        <v>58</v>
      </c>
      <c r="G925" s="26"/>
      <c r="H925" s="22"/>
      <c r="I925" s="22"/>
      <c r="J925" s="6"/>
      <c r="K925" s="2"/>
      <c r="L925" s="6">
        <v>110</v>
      </c>
      <c r="M925" s="2"/>
      <c r="N925" s="22" t="s">
        <v>30</v>
      </c>
      <c r="O925" s="21"/>
      <c r="P925" s="2"/>
    </row>
    <row r="926" spans="1:16" ht="15" customHeight="1">
      <c r="A926" s="2">
        <v>925</v>
      </c>
      <c r="B926" s="22" t="s">
        <v>16</v>
      </c>
      <c r="C926" s="22" t="s">
        <v>17</v>
      </c>
      <c r="D926" s="3">
        <v>43313</v>
      </c>
      <c r="E926" s="27" t="s">
        <v>29</v>
      </c>
      <c r="F926" s="26" t="s">
        <v>58</v>
      </c>
      <c r="G926" s="26"/>
      <c r="H926" s="22"/>
      <c r="I926" s="22"/>
      <c r="J926" s="6"/>
      <c r="K926" s="2"/>
      <c r="L926" s="6">
        <v>200</v>
      </c>
      <c r="M926" s="2"/>
      <c r="N926" s="22" t="s">
        <v>30</v>
      </c>
      <c r="O926" s="21"/>
      <c r="P926" s="2"/>
    </row>
    <row r="927" spans="1:16" ht="15" customHeight="1">
      <c r="A927" s="2">
        <v>926</v>
      </c>
      <c r="B927" s="22" t="s">
        <v>285</v>
      </c>
      <c r="C927" s="22" t="s">
        <v>286</v>
      </c>
      <c r="D927" s="3">
        <v>43313</v>
      </c>
      <c r="E927" s="27" t="s">
        <v>29</v>
      </c>
      <c r="F927" s="26" t="s">
        <v>58</v>
      </c>
      <c r="G927" s="26"/>
      <c r="H927" s="22"/>
      <c r="I927" s="22"/>
      <c r="J927" s="6"/>
      <c r="K927" s="2"/>
      <c r="L927" s="6">
        <v>110</v>
      </c>
      <c r="M927" s="2"/>
      <c r="N927" s="22" t="s">
        <v>30</v>
      </c>
      <c r="O927" s="21"/>
      <c r="P927" s="2"/>
    </row>
    <row r="928" spans="1:16" ht="15" customHeight="1">
      <c r="A928" s="2">
        <v>927</v>
      </c>
      <c r="B928" s="22" t="s">
        <v>31</v>
      </c>
      <c r="C928" s="22" t="s">
        <v>32</v>
      </c>
      <c r="D928" s="3">
        <v>43313</v>
      </c>
      <c r="E928" s="27" t="s">
        <v>29</v>
      </c>
      <c r="F928" s="26" t="s">
        <v>58</v>
      </c>
      <c r="G928" s="26"/>
      <c r="H928" s="22"/>
      <c r="I928" s="22"/>
      <c r="J928" s="6"/>
      <c r="K928" s="2"/>
      <c r="L928" s="6">
        <v>160</v>
      </c>
      <c r="M928" s="2"/>
      <c r="N928" s="22" t="s">
        <v>30</v>
      </c>
      <c r="O928" s="21"/>
      <c r="P928" s="2"/>
    </row>
    <row r="929" spans="1:16" ht="15" customHeight="1">
      <c r="A929" s="2">
        <v>928</v>
      </c>
      <c r="B929" s="22" t="s">
        <v>63</v>
      </c>
      <c r="C929" s="22" t="s">
        <v>64</v>
      </c>
      <c r="D929" s="3">
        <v>43313</v>
      </c>
      <c r="E929" s="27" t="s">
        <v>29</v>
      </c>
      <c r="F929" s="26" t="s">
        <v>58</v>
      </c>
      <c r="G929" s="26"/>
      <c r="H929" s="22"/>
      <c r="I929" s="22"/>
      <c r="J929" s="6"/>
      <c r="K929" s="2"/>
      <c r="L929" s="6">
        <v>193</v>
      </c>
      <c r="M929" s="2"/>
      <c r="N929" s="22" t="s">
        <v>30</v>
      </c>
      <c r="O929" s="21"/>
      <c r="P929" s="2"/>
    </row>
    <row r="930" spans="1:16" ht="15" customHeight="1">
      <c r="A930" s="2">
        <v>929</v>
      </c>
      <c r="B930" s="22" t="s">
        <v>295</v>
      </c>
      <c r="C930" s="22" t="s">
        <v>296</v>
      </c>
      <c r="D930" s="3">
        <v>43313</v>
      </c>
      <c r="E930" s="27" t="s">
        <v>136</v>
      </c>
      <c r="F930" s="26" t="s">
        <v>58</v>
      </c>
      <c r="G930" s="26"/>
      <c r="H930" s="22"/>
      <c r="I930" s="22"/>
      <c r="J930" s="6"/>
      <c r="K930" s="2"/>
      <c r="L930" s="6">
        <v>190</v>
      </c>
      <c r="M930" s="2"/>
      <c r="N930" s="22" t="s">
        <v>307</v>
      </c>
      <c r="O930" s="21" t="s">
        <v>308</v>
      </c>
      <c r="P930" s="2"/>
    </row>
    <row r="931" spans="1:16" ht="15" customHeight="1">
      <c r="A931" s="2">
        <v>930</v>
      </c>
      <c r="B931" s="22" t="s">
        <v>47</v>
      </c>
      <c r="C931" s="22" t="s">
        <v>48</v>
      </c>
      <c r="D931" s="3">
        <v>43313</v>
      </c>
      <c r="E931" s="27" t="s">
        <v>136</v>
      </c>
      <c r="F931" s="26" t="s">
        <v>58</v>
      </c>
      <c r="G931" s="26"/>
      <c r="H931" s="22"/>
      <c r="I931" s="22"/>
      <c r="J931" s="6"/>
      <c r="K931" s="2"/>
      <c r="L931" s="6">
        <v>320</v>
      </c>
      <c r="M931" s="2"/>
      <c r="N931" s="22" t="s">
        <v>309</v>
      </c>
      <c r="O931" s="21" t="s">
        <v>310</v>
      </c>
      <c r="P931" s="2"/>
    </row>
    <row r="932" spans="1:16" ht="15" customHeight="1">
      <c r="A932" s="2">
        <v>931</v>
      </c>
      <c r="B932" s="22" t="s">
        <v>299</v>
      </c>
      <c r="C932" s="22" t="s">
        <v>300</v>
      </c>
      <c r="D932" s="3">
        <v>43313</v>
      </c>
      <c r="E932" s="27" t="s">
        <v>136</v>
      </c>
      <c r="F932" s="26" t="s">
        <v>58</v>
      </c>
      <c r="G932" s="26"/>
      <c r="H932" s="22"/>
      <c r="I932" s="22"/>
      <c r="J932" s="6"/>
      <c r="K932" s="2"/>
      <c r="L932" s="6">
        <v>120</v>
      </c>
      <c r="M932" s="2"/>
      <c r="N932" s="22" t="s">
        <v>307</v>
      </c>
      <c r="O932" s="21" t="s">
        <v>308</v>
      </c>
      <c r="P932" s="2"/>
    </row>
    <row r="933" spans="1:16" ht="15" customHeight="1">
      <c r="A933" s="2">
        <v>932</v>
      </c>
      <c r="B933" s="22" t="s">
        <v>16</v>
      </c>
      <c r="C933" s="22" t="s">
        <v>17</v>
      </c>
      <c r="D933" s="3">
        <v>43313</v>
      </c>
      <c r="E933" s="27" t="s">
        <v>136</v>
      </c>
      <c r="F933" s="26" t="s">
        <v>58</v>
      </c>
      <c r="G933" s="26"/>
      <c r="H933" s="22"/>
      <c r="I933" s="22"/>
      <c r="J933" s="6"/>
      <c r="K933" s="2"/>
      <c r="L933" s="6">
        <v>360</v>
      </c>
      <c r="M933" s="2"/>
      <c r="N933" s="22" t="s">
        <v>309</v>
      </c>
      <c r="O933" s="21" t="s">
        <v>310</v>
      </c>
      <c r="P933" s="2"/>
    </row>
    <row r="934" spans="1:16" ht="15" customHeight="1">
      <c r="A934" s="2">
        <v>933</v>
      </c>
      <c r="B934" s="22" t="s">
        <v>285</v>
      </c>
      <c r="C934" s="22" t="s">
        <v>286</v>
      </c>
      <c r="D934" s="3">
        <v>43313</v>
      </c>
      <c r="E934" s="27" t="s">
        <v>136</v>
      </c>
      <c r="F934" s="26" t="s">
        <v>58</v>
      </c>
      <c r="G934" s="26"/>
      <c r="H934" s="22"/>
      <c r="I934" s="22"/>
      <c r="J934" s="6"/>
      <c r="K934" s="2"/>
      <c r="L934" s="6">
        <v>110</v>
      </c>
      <c r="M934" s="2"/>
      <c r="N934" s="22" t="s">
        <v>307</v>
      </c>
      <c r="O934" s="21" t="s">
        <v>308</v>
      </c>
      <c r="P934" s="2"/>
    </row>
    <row r="935" spans="1:16" ht="15" customHeight="1">
      <c r="A935" s="2">
        <v>934</v>
      </c>
      <c r="B935" s="22" t="s">
        <v>31</v>
      </c>
      <c r="C935" s="22" t="s">
        <v>32</v>
      </c>
      <c r="D935" s="3">
        <v>43313</v>
      </c>
      <c r="E935" s="27" t="s">
        <v>136</v>
      </c>
      <c r="F935" s="26" t="s">
        <v>58</v>
      </c>
      <c r="G935" s="26"/>
      <c r="H935" s="22"/>
      <c r="I935" s="22"/>
      <c r="J935" s="6"/>
      <c r="K935" s="2"/>
      <c r="L935" s="6">
        <v>240</v>
      </c>
      <c r="M935" s="2"/>
      <c r="N935" s="22" t="s">
        <v>311</v>
      </c>
      <c r="O935" s="21" t="s">
        <v>310</v>
      </c>
      <c r="P935" s="2"/>
    </row>
    <row r="936" spans="1:16" ht="15" customHeight="1">
      <c r="A936" s="2">
        <v>935</v>
      </c>
      <c r="B936" s="22" t="s">
        <v>63</v>
      </c>
      <c r="C936" s="22" t="s">
        <v>64</v>
      </c>
      <c r="D936" s="3">
        <v>43313</v>
      </c>
      <c r="E936" s="27" t="s">
        <v>136</v>
      </c>
      <c r="F936" s="26" t="s">
        <v>58</v>
      </c>
      <c r="G936" s="26"/>
      <c r="H936" s="22"/>
      <c r="I936" s="22"/>
      <c r="J936" s="6"/>
      <c r="K936" s="2"/>
      <c r="L936" s="6">
        <v>190</v>
      </c>
      <c r="M936" s="2"/>
      <c r="N936" s="22" t="s">
        <v>307</v>
      </c>
      <c r="O936" s="21" t="s">
        <v>308</v>
      </c>
      <c r="P936" s="2"/>
    </row>
    <row r="937" spans="1:16" ht="15" customHeight="1">
      <c r="A937" s="2">
        <v>936</v>
      </c>
      <c r="B937" s="22" t="s">
        <v>295</v>
      </c>
      <c r="C937" s="22" t="s">
        <v>296</v>
      </c>
      <c r="D937" s="3">
        <v>43313</v>
      </c>
      <c r="E937" s="27" t="s">
        <v>145</v>
      </c>
      <c r="F937" s="26" t="s">
        <v>58</v>
      </c>
      <c r="G937" s="26"/>
      <c r="H937" s="22"/>
      <c r="I937" s="22"/>
      <c r="J937" s="6"/>
      <c r="K937" s="2"/>
      <c r="L937" s="6">
        <v>190</v>
      </c>
      <c r="M937" s="2"/>
      <c r="N937" s="22" t="s">
        <v>307</v>
      </c>
      <c r="O937" s="21" t="s">
        <v>308</v>
      </c>
      <c r="P937" s="2"/>
    </row>
    <row r="938" spans="1:16" ht="15" customHeight="1">
      <c r="A938" s="2">
        <v>937</v>
      </c>
      <c r="B938" s="22" t="s">
        <v>47</v>
      </c>
      <c r="C938" s="22" t="s">
        <v>48</v>
      </c>
      <c r="D938" s="3">
        <v>43313</v>
      </c>
      <c r="E938" s="27" t="s">
        <v>145</v>
      </c>
      <c r="F938" s="26" t="s">
        <v>58</v>
      </c>
      <c r="G938" s="26"/>
      <c r="H938" s="22"/>
      <c r="I938" s="22"/>
      <c r="J938" s="6"/>
      <c r="K938" s="2"/>
      <c r="L938" s="6">
        <v>300</v>
      </c>
      <c r="M938" s="2"/>
      <c r="N938" s="22" t="s">
        <v>309</v>
      </c>
      <c r="O938" s="21" t="s">
        <v>310</v>
      </c>
      <c r="P938" s="2"/>
    </row>
    <row r="939" spans="1:16" ht="15" customHeight="1">
      <c r="A939" s="2">
        <v>938</v>
      </c>
      <c r="B939" s="22" t="s">
        <v>299</v>
      </c>
      <c r="C939" s="22" t="s">
        <v>300</v>
      </c>
      <c r="D939" s="3">
        <v>43313</v>
      </c>
      <c r="E939" s="27" t="s">
        <v>145</v>
      </c>
      <c r="F939" s="26" t="s">
        <v>58</v>
      </c>
      <c r="G939" s="26"/>
      <c r="H939" s="22"/>
      <c r="I939" s="22"/>
      <c r="J939" s="6"/>
      <c r="K939" s="2"/>
      <c r="L939" s="6">
        <v>127.5</v>
      </c>
      <c r="M939" s="2"/>
      <c r="N939" s="22" t="s">
        <v>307</v>
      </c>
      <c r="O939" s="21" t="s">
        <v>308</v>
      </c>
      <c r="P939" s="2"/>
    </row>
    <row r="940" spans="1:16" ht="15" customHeight="1">
      <c r="A940" s="2">
        <v>939</v>
      </c>
      <c r="B940" s="22" t="s">
        <v>16</v>
      </c>
      <c r="C940" s="22" t="s">
        <v>17</v>
      </c>
      <c r="D940" s="3">
        <v>43313</v>
      </c>
      <c r="E940" s="27" t="s">
        <v>145</v>
      </c>
      <c r="F940" s="26" t="s">
        <v>58</v>
      </c>
      <c r="G940" s="26"/>
      <c r="H940" s="22"/>
      <c r="I940" s="22"/>
      <c r="J940" s="6"/>
      <c r="K940" s="2"/>
      <c r="L940" s="6">
        <v>350</v>
      </c>
      <c r="M940" s="2"/>
      <c r="N940" s="22" t="s">
        <v>309</v>
      </c>
      <c r="O940" s="21" t="s">
        <v>310</v>
      </c>
      <c r="P940" s="2"/>
    </row>
    <row r="941" spans="1:16" ht="15" customHeight="1">
      <c r="A941" s="2">
        <v>940</v>
      </c>
      <c r="B941" s="22" t="s">
        <v>285</v>
      </c>
      <c r="C941" s="22" t="s">
        <v>286</v>
      </c>
      <c r="D941" s="3">
        <v>43313</v>
      </c>
      <c r="E941" s="27" t="s">
        <v>145</v>
      </c>
      <c r="F941" s="26" t="s">
        <v>58</v>
      </c>
      <c r="G941" s="26"/>
      <c r="H941" s="22"/>
      <c r="I941" s="22"/>
      <c r="J941" s="6"/>
      <c r="K941" s="2"/>
      <c r="L941" s="6">
        <v>120</v>
      </c>
      <c r="M941" s="2"/>
      <c r="N941" s="22" t="s">
        <v>307</v>
      </c>
      <c r="O941" s="21" t="s">
        <v>308</v>
      </c>
      <c r="P941" s="2"/>
    </row>
    <row r="942" spans="1:16" ht="15" customHeight="1">
      <c r="A942" s="2">
        <v>941</v>
      </c>
      <c r="B942" s="22" t="s">
        <v>31</v>
      </c>
      <c r="C942" s="22" t="s">
        <v>32</v>
      </c>
      <c r="D942" s="3">
        <v>43313</v>
      </c>
      <c r="E942" s="27" t="s">
        <v>145</v>
      </c>
      <c r="F942" s="26" t="s">
        <v>58</v>
      </c>
      <c r="G942" s="26"/>
      <c r="H942" s="22"/>
      <c r="I942" s="22"/>
      <c r="J942" s="6"/>
      <c r="K942" s="2"/>
      <c r="L942" s="6">
        <v>240</v>
      </c>
      <c r="M942" s="2"/>
      <c r="N942" s="22" t="s">
        <v>311</v>
      </c>
      <c r="O942" s="21" t="s">
        <v>310</v>
      </c>
      <c r="P942" s="2"/>
    </row>
    <row r="943" spans="1:16" ht="15" customHeight="1">
      <c r="A943" s="2">
        <v>942</v>
      </c>
      <c r="B943" s="22" t="s">
        <v>63</v>
      </c>
      <c r="C943" s="22" t="s">
        <v>64</v>
      </c>
      <c r="D943" s="3">
        <v>43313</v>
      </c>
      <c r="E943" s="27" t="s">
        <v>145</v>
      </c>
      <c r="F943" s="26" t="s">
        <v>58</v>
      </c>
      <c r="G943" s="26"/>
      <c r="H943" s="22"/>
      <c r="I943" s="22"/>
      <c r="J943" s="6"/>
      <c r="K943" s="2"/>
      <c r="L943" s="6">
        <v>180</v>
      </c>
      <c r="M943" s="2"/>
      <c r="N943" s="22" t="s">
        <v>307</v>
      </c>
      <c r="O943" s="21" t="s">
        <v>308</v>
      </c>
      <c r="P943" s="2"/>
    </row>
    <row r="944" spans="1:16" ht="15" customHeight="1">
      <c r="A944" s="2">
        <v>943</v>
      </c>
      <c r="B944" s="22" t="s">
        <v>47</v>
      </c>
      <c r="C944" s="22" t="s">
        <v>48</v>
      </c>
      <c r="D944" s="3">
        <v>43313</v>
      </c>
      <c r="E944" s="22" t="s">
        <v>43</v>
      </c>
      <c r="F944" s="26" t="s">
        <v>58</v>
      </c>
      <c r="G944" s="26"/>
      <c r="H944" s="22"/>
      <c r="I944" s="22"/>
      <c r="J944" s="6"/>
      <c r="K944" s="2"/>
      <c r="L944" s="6">
        <v>265</v>
      </c>
      <c r="M944" s="2"/>
      <c r="N944" s="22" t="s">
        <v>128</v>
      </c>
      <c r="O944" s="21"/>
      <c r="P944" s="2"/>
    </row>
    <row r="945" spans="1:16" ht="15" customHeight="1">
      <c r="A945" s="2">
        <v>944</v>
      </c>
      <c r="B945" s="22" t="s">
        <v>16</v>
      </c>
      <c r="C945" s="22" t="s">
        <v>17</v>
      </c>
      <c r="D945" s="3">
        <v>43313</v>
      </c>
      <c r="E945" s="22" t="s">
        <v>43</v>
      </c>
      <c r="F945" s="26" t="s">
        <v>58</v>
      </c>
      <c r="G945" s="26"/>
      <c r="H945" s="22"/>
      <c r="I945" s="22"/>
      <c r="J945" s="6"/>
      <c r="K945" s="2"/>
      <c r="L945" s="6">
        <v>220</v>
      </c>
      <c r="M945" s="2"/>
      <c r="N945" s="22" t="s">
        <v>128</v>
      </c>
      <c r="O945" s="21"/>
      <c r="P945" s="2"/>
    </row>
    <row r="946" spans="1:16" ht="15" customHeight="1">
      <c r="A946" s="2">
        <v>945</v>
      </c>
      <c r="B946" s="22" t="s">
        <v>31</v>
      </c>
      <c r="C946" s="22" t="s">
        <v>32</v>
      </c>
      <c r="D946" s="3">
        <v>43313</v>
      </c>
      <c r="E946" s="22" t="s">
        <v>43</v>
      </c>
      <c r="F946" s="26" t="s">
        <v>58</v>
      </c>
      <c r="G946" s="26"/>
      <c r="H946" s="22"/>
      <c r="I946" s="22"/>
      <c r="J946" s="6"/>
      <c r="K946" s="2"/>
      <c r="L946" s="6">
        <v>185</v>
      </c>
      <c r="M946" s="2"/>
      <c r="N946" s="22" t="s">
        <v>128</v>
      </c>
      <c r="O946" s="21"/>
      <c r="P946" s="2"/>
    </row>
    <row r="947" spans="1:16" ht="15" customHeight="1">
      <c r="A947" s="2">
        <v>946</v>
      </c>
      <c r="B947" s="22" t="s">
        <v>63</v>
      </c>
      <c r="C947" s="22" t="s">
        <v>64</v>
      </c>
      <c r="D947" s="3">
        <v>43313</v>
      </c>
      <c r="E947" s="22" t="s">
        <v>43</v>
      </c>
      <c r="F947" s="26" t="s">
        <v>58</v>
      </c>
      <c r="G947" s="26"/>
      <c r="H947" s="22"/>
      <c r="I947" s="22"/>
      <c r="J947" s="6"/>
      <c r="K947" s="2"/>
      <c r="L947" s="6">
        <v>210</v>
      </c>
      <c r="M947" s="2"/>
      <c r="N947" s="22" t="s">
        <v>128</v>
      </c>
      <c r="O947" s="21"/>
      <c r="P947" s="2"/>
    </row>
    <row r="948" spans="1:16" ht="15" customHeight="1">
      <c r="A948" s="2">
        <v>947</v>
      </c>
      <c r="B948" s="22" t="s">
        <v>312</v>
      </c>
      <c r="C948" s="22" t="s">
        <v>313</v>
      </c>
      <c r="D948" s="3">
        <v>43374</v>
      </c>
      <c r="E948" s="27" t="s">
        <v>136</v>
      </c>
      <c r="F948" s="26" t="s">
        <v>58</v>
      </c>
      <c r="G948" s="26"/>
      <c r="H948" s="22"/>
      <c r="I948" s="22"/>
      <c r="J948" s="6"/>
      <c r="K948" s="2"/>
      <c r="L948" s="6">
        <v>240</v>
      </c>
      <c r="M948" s="2"/>
      <c r="N948" s="22"/>
      <c r="O948" s="21"/>
      <c r="P948" s="2"/>
    </row>
    <row r="949" spans="1:16" ht="15" customHeight="1">
      <c r="A949" s="2">
        <v>948</v>
      </c>
      <c r="B949" s="22" t="s">
        <v>312</v>
      </c>
      <c r="C949" s="22" t="s">
        <v>313</v>
      </c>
      <c r="D949" s="3">
        <v>43374</v>
      </c>
      <c r="E949" s="27" t="s">
        <v>145</v>
      </c>
      <c r="F949" s="26" t="s">
        <v>58</v>
      </c>
      <c r="G949" s="26"/>
      <c r="H949" s="22"/>
      <c r="I949" s="22"/>
      <c r="J949" s="6"/>
      <c r="K949" s="2"/>
      <c r="L949" s="6">
        <v>225</v>
      </c>
      <c r="M949" s="2"/>
      <c r="N949" s="22"/>
      <c r="O949" s="21"/>
      <c r="P949" s="2"/>
    </row>
    <row r="950" spans="1:16" ht="15" customHeight="1">
      <c r="A950" s="2">
        <v>949</v>
      </c>
      <c r="B950" s="22" t="s">
        <v>16</v>
      </c>
      <c r="C950" s="22" t="s">
        <v>17</v>
      </c>
      <c r="D950" s="3">
        <v>43435</v>
      </c>
      <c r="E950" s="27" t="s">
        <v>29</v>
      </c>
      <c r="F950" s="26" t="s">
        <v>58</v>
      </c>
      <c r="G950" s="26"/>
      <c r="H950" s="22"/>
      <c r="I950" s="22"/>
      <c r="J950" s="6"/>
      <c r="K950" s="2"/>
      <c r="L950" s="6">
        <v>270</v>
      </c>
      <c r="M950" s="2"/>
      <c r="N950" s="22" t="s">
        <v>52</v>
      </c>
      <c r="O950" s="21"/>
      <c r="P950" s="2"/>
    </row>
    <row r="951" spans="1:16" ht="15" customHeight="1">
      <c r="A951" s="2">
        <v>950</v>
      </c>
      <c r="B951" s="22" t="s">
        <v>295</v>
      </c>
      <c r="C951" s="22" t="s">
        <v>296</v>
      </c>
      <c r="D951" s="3">
        <v>43435</v>
      </c>
      <c r="E951" s="27" t="s">
        <v>29</v>
      </c>
      <c r="F951" s="26" t="s">
        <v>58</v>
      </c>
      <c r="G951" s="26"/>
      <c r="H951" s="22"/>
      <c r="I951" s="22"/>
      <c r="J951" s="6"/>
      <c r="K951" s="2"/>
      <c r="L951" s="6">
        <v>170</v>
      </c>
      <c r="M951" s="2"/>
      <c r="N951" s="22" t="s">
        <v>30</v>
      </c>
      <c r="O951" s="21"/>
      <c r="P951" s="2"/>
    </row>
    <row r="952" spans="1:16" ht="15" customHeight="1">
      <c r="A952" s="2">
        <v>951</v>
      </c>
      <c r="B952" s="22" t="s">
        <v>47</v>
      </c>
      <c r="C952" s="22" t="s">
        <v>48</v>
      </c>
      <c r="D952" s="3">
        <v>43435</v>
      </c>
      <c r="E952" s="27" t="s">
        <v>29</v>
      </c>
      <c r="F952" s="26" t="s">
        <v>58</v>
      </c>
      <c r="G952" s="26"/>
      <c r="H952" s="22"/>
      <c r="I952" s="22"/>
      <c r="J952" s="6"/>
      <c r="K952" s="2"/>
      <c r="L952" s="6">
        <v>260</v>
      </c>
      <c r="M952" s="2"/>
      <c r="N952" s="22" t="s">
        <v>30</v>
      </c>
      <c r="O952" s="21"/>
      <c r="P952" s="2"/>
    </row>
    <row r="953" spans="1:16" ht="15" customHeight="1">
      <c r="A953" s="2">
        <v>952</v>
      </c>
      <c r="B953" s="22" t="s">
        <v>220</v>
      </c>
      <c r="C953" s="22" t="s">
        <v>221</v>
      </c>
      <c r="D953" s="3">
        <v>43435</v>
      </c>
      <c r="E953" s="27" t="s">
        <v>29</v>
      </c>
      <c r="F953" s="26" t="s">
        <v>58</v>
      </c>
      <c r="G953" s="26"/>
      <c r="H953" s="22"/>
      <c r="I953" s="22"/>
      <c r="J953" s="6"/>
      <c r="K953" s="2"/>
      <c r="L953" s="6">
        <v>185</v>
      </c>
      <c r="M953" s="2"/>
      <c r="N953" s="22" t="s">
        <v>30</v>
      </c>
      <c r="O953" s="21"/>
      <c r="P953" s="2"/>
    </row>
    <row r="954" spans="1:16" ht="15" customHeight="1">
      <c r="A954" s="2">
        <v>953</v>
      </c>
      <c r="B954" s="22" t="s">
        <v>285</v>
      </c>
      <c r="C954" s="22" t="s">
        <v>286</v>
      </c>
      <c r="D954" s="3">
        <v>43435</v>
      </c>
      <c r="E954" s="27" t="s">
        <v>29</v>
      </c>
      <c r="F954" s="26" t="s">
        <v>58</v>
      </c>
      <c r="G954" s="26"/>
      <c r="H954" s="22"/>
      <c r="I954" s="22"/>
      <c r="J954" s="6"/>
      <c r="K954" s="2"/>
      <c r="L954" s="6">
        <v>113</v>
      </c>
      <c r="M954" s="2"/>
      <c r="N954" s="22" t="s">
        <v>30</v>
      </c>
      <c r="O954" s="21"/>
      <c r="P954" s="2"/>
    </row>
    <row r="955" spans="1:16" ht="15" customHeight="1">
      <c r="A955" s="2">
        <v>954</v>
      </c>
      <c r="B955" s="22" t="s">
        <v>312</v>
      </c>
      <c r="C955" s="22" t="s">
        <v>313</v>
      </c>
      <c r="D955" s="3">
        <v>43435</v>
      </c>
      <c r="E955" s="27" t="s">
        <v>29</v>
      </c>
      <c r="F955" s="26" t="s">
        <v>58</v>
      </c>
      <c r="G955" s="26"/>
      <c r="H955" s="22"/>
      <c r="I955" s="22"/>
      <c r="J955" s="6"/>
      <c r="K955" s="2"/>
      <c r="L955" s="6">
        <v>180</v>
      </c>
      <c r="M955" s="2"/>
      <c r="N955" s="22" t="s">
        <v>30</v>
      </c>
      <c r="O955" s="21"/>
      <c r="P955" s="2"/>
    </row>
    <row r="956" spans="1:16" ht="15" customHeight="1">
      <c r="A956" s="2">
        <v>955</v>
      </c>
      <c r="B956" s="22" t="s">
        <v>31</v>
      </c>
      <c r="C956" s="22" t="s">
        <v>32</v>
      </c>
      <c r="D956" s="3">
        <v>43435</v>
      </c>
      <c r="E956" s="27" t="s">
        <v>29</v>
      </c>
      <c r="F956" s="26" t="s">
        <v>58</v>
      </c>
      <c r="G956" s="26"/>
      <c r="H956" s="22"/>
      <c r="I956" s="22"/>
      <c r="J956" s="6"/>
      <c r="K956" s="2"/>
      <c r="L956" s="6">
        <v>175</v>
      </c>
      <c r="M956" s="2"/>
      <c r="N956" s="22" t="s">
        <v>30</v>
      </c>
      <c r="O956" s="21"/>
      <c r="P956" s="2"/>
    </row>
    <row r="957" spans="1:16" ht="15" customHeight="1">
      <c r="A957" s="2">
        <v>956</v>
      </c>
      <c r="B957" s="22" t="s">
        <v>63</v>
      </c>
      <c r="C957" s="22" t="s">
        <v>64</v>
      </c>
      <c r="D957" s="3">
        <v>43435</v>
      </c>
      <c r="E957" s="27" t="s">
        <v>29</v>
      </c>
      <c r="F957" s="26" t="s">
        <v>58</v>
      </c>
      <c r="G957" s="26"/>
      <c r="H957" s="22"/>
      <c r="I957" s="22"/>
      <c r="J957" s="6"/>
      <c r="K957" s="2"/>
      <c r="L957" s="6">
        <v>213</v>
      </c>
      <c r="M957" s="2"/>
      <c r="N957" s="22" t="s">
        <v>30</v>
      </c>
      <c r="O957" s="21"/>
      <c r="P957" s="2"/>
    </row>
    <row r="958" spans="1:16" ht="15" customHeight="1">
      <c r="A958" s="2">
        <v>957</v>
      </c>
      <c r="B958" s="22" t="s">
        <v>295</v>
      </c>
      <c r="C958" s="22" t="s">
        <v>296</v>
      </c>
      <c r="D958" s="3">
        <v>43435</v>
      </c>
      <c r="E958" s="27" t="s">
        <v>136</v>
      </c>
      <c r="F958" s="26" t="s">
        <v>58</v>
      </c>
      <c r="G958" s="26"/>
      <c r="H958" s="22"/>
      <c r="I958" s="22"/>
      <c r="J958" s="6"/>
      <c r="K958" s="2"/>
      <c r="L958" s="6">
        <v>215</v>
      </c>
      <c r="M958" s="2"/>
      <c r="N958" s="22"/>
      <c r="O958" s="21"/>
      <c r="P958" s="2"/>
    </row>
    <row r="959" spans="1:16" ht="15" customHeight="1">
      <c r="A959" s="2">
        <v>958</v>
      </c>
      <c r="B959" s="22" t="s">
        <v>295</v>
      </c>
      <c r="C959" s="22" t="s">
        <v>296</v>
      </c>
      <c r="D959" s="3">
        <v>43435</v>
      </c>
      <c r="E959" s="27" t="s">
        <v>136</v>
      </c>
      <c r="F959" s="26" t="s">
        <v>58</v>
      </c>
      <c r="G959" s="26"/>
      <c r="H959" s="22"/>
      <c r="I959" s="22"/>
      <c r="J959" s="6"/>
      <c r="K959" s="2"/>
      <c r="L959" s="6">
        <v>215</v>
      </c>
      <c r="M959" s="2"/>
      <c r="N959" s="22"/>
      <c r="O959" s="21"/>
      <c r="P959" s="2"/>
    </row>
    <row r="960" spans="1:16" ht="15" customHeight="1">
      <c r="A960" s="2">
        <v>959</v>
      </c>
      <c r="B960" s="22" t="s">
        <v>297</v>
      </c>
      <c r="C960" s="22" t="s">
        <v>298</v>
      </c>
      <c r="D960" s="3">
        <v>43435</v>
      </c>
      <c r="E960" s="27" t="s">
        <v>136</v>
      </c>
      <c r="F960" s="26" t="s">
        <v>58</v>
      </c>
      <c r="G960" s="26"/>
      <c r="H960" s="22"/>
      <c r="I960" s="22"/>
      <c r="J960" s="6"/>
      <c r="K960" s="2"/>
      <c r="L960" s="6"/>
      <c r="M960" s="2"/>
      <c r="N960" s="22"/>
      <c r="O960" s="21"/>
      <c r="P960" s="2"/>
    </row>
    <row r="961" spans="1:16" ht="15" customHeight="1">
      <c r="A961" s="2">
        <v>960</v>
      </c>
      <c r="B961" s="22" t="s">
        <v>47</v>
      </c>
      <c r="C961" s="22" t="s">
        <v>48</v>
      </c>
      <c r="D961" s="3">
        <v>43435</v>
      </c>
      <c r="E961" s="27" t="s">
        <v>136</v>
      </c>
      <c r="F961" s="26" t="s">
        <v>58</v>
      </c>
      <c r="G961" s="26"/>
      <c r="H961" s="22"/>
      <c r="I961" s="22"/>
      <c r="J961" s="6"/>
      <c r="K961" s="2"/>
      <c r="L961" s="6">
        <v>350</v>
      </c>
      <c r="M961" s="2"/>
      <c r="N961" s="22"/>
      <c r="O961" s="21"/>
      <c r="P961" s="2"/>
    </row>
    <row r="962" spans="1:16" ht="15" customHeight="1">
      <c r="A962" s="2">
        <v>961</v>
      </c>
      <c r="B962" s="22" t="s">
        <v>47</v>
      </c>
      <c r="C962" s="22" t="s">
        <v>48</v>
      </c>
      <c r="D962" s="3">
        <v>43435</v>
      </c>
      <c r="E962" s="27" t="s">
        <v>136</v>
      </c>
      <c r="F962" s="26" t="s">
        <v>58</v>
      </c>
      <c r="G962" s="26"/>
      <c r="H962" s="22"/>
      <c r="I962" s="22"/>
      <c r="J962" s="6"/>
      <c r="K962" s="2"/>
      <c r="L962" s="6">
        <v>360</v>
      </c>
      <c r="M962" s="2"/>
      <c r="N962" s="22"/>
      <c r="O962" s="21"/>
      <c r="P962" s="2"/>
    </row>
    <row r="963" spans="1:16" ht="15" customHeight="1">
      <c r="A963" s="2">
        <v>962</v>
      </c>
      <c r="B963" s="22" t="s">
        <v>299</v>
      </c>
      <c r="C963" s="22" t="s">
        <v>300</v>
      </c>
      <c r="D963" s="3">
        <v>43435</v>
      </c>
      <c r="E963" s="27" t="s">
        <v>136</v>
      </c>
      <c r="F963" s="26" t="s">
        <v>58</v>
      </c>
      <c r="G963" s="26"/>
      <c r="H963" s="22"/>
      <c r="I963" s="22"/>
      <c r="J963" s="6"/>
      <c r="K963" s="2"/>
      <c r="L963" s="6"/>
      <c r="M963" s="2"/>
      <c r="N963" s="22"/>
      <c r="O963" s="21"/>
      <c r="P963" s="2"/>
    </row>
    <row r="964" spans="1:16" ht="15" customHeight="1">
      <c r="A964" s="2">
        <v>963</v>
      </c>
      <c r="B964" s="22" t="s">
        <v>16</v>
      </c>
      <c r="C964" s="22" t="s">
        <v>17</v>
      </c>
      <c r="D964" s="3">
        <v>43435</v>
      </c>
      <c r="E964" s="27" t="s">
        <v>136</v>
      </c>
      <c r="F964" s="26" t="s">
        <v>58</v>
      </c>
      <c r="G964" s="26"/>
      <c r="H964" s="22"/>
      <c r="I964" s="22"/>
      <c r="J964" s="6"/>
      <c r="K964" s="2"/>
      <c r="L964" s="6">
        <v>380</v>
      </c>
      <c r="M964" s="2"/>
      <c r="N964" s="22"/>
      <c r="O964" s="21"/>
      <c r="P964" s="2"/>
    </row>
    <row r="965" spans="1:16" ht="15" customHeight="1">
      <c r="A965" s="2">
        <v>964</v>
      </c>
      <c r="B965" s="22" t="s">
        <v>16</v>
      </c>
      <c r="C965" s="22" t="s">
        <v>17</v>
      </c>
      <c r="D965" s="3">
        <v>43435</v>
      </c>
      <c r="E965" s="27" t="s">
        <v>136</v>
      </c>
      <c r="F965" s="26" t="s">
        <v>58</v>
      </c>
      <c r="G965" s="26"/>
      <c r="H965" s="22"/>
      <c r="I965" s="22"/>
      <c r="J965" s="6"/>
      <c r="K965" s="2"/>
      <c r="L965" s="6">
        <v>400</v>
      </c>
      <c r="M965" s="2"/>
      <c r="N965" s="22"/>
      <c r="O965" s="21"/>
      <c r="P965" s="2"/>
    </row>
    <row r="966" spans="1:16" ht="15" customHeight="1">
      <c r="A966" s="2">
        <v>965</v>
      </c>
      <c r="B966" s="22" t="s">
        <v>220</v>
      </c>
      <c r="C966" s="22" t="s">
        <v>221</v>
      </c>
      <c r="D966" s="3">
        <v>43435</v>
      </c>
      <c r="E966" s="27" t="s">
        <v>136</v>
      </c>
      <c r="F966" s="26" t="s">
        <v>58</v>
      </c>
      <c r="G966" s="26"/>
      <c r="H966" s="22"/>
      <c r="I966" s="22"/>
      <c r="J966" s="6"/>
      <c r="K966" s="2"/>
      <c r="L966" s="6">
        <v>250</v>
      </c>
      <c r="M966" s="2"/>
      <c r="N966" s="22"/>
      <c r="O966" s="21"/>
      <c r="P966" s="2"/>
    </row>
    <row r="967" spans="1:16" ht="15" customHeight="1">
      <c r="A967" s="2">
        <v>966</v>
      </c>
      <c r="B967" s="22" t="s">
        <v>220</v>
      </c>
      <c r="C967" s="22" t="s">
        <v>221</v>
      </c>
      <c r="D967" s="3">
        <v>43435</v>
      </c>
      <c r="E967" s="27" t="s">
        <v>136</v>
      </c>
      <c r="F967" s="26" t="s">
        <v>58</v>
      </c>
      <c r="G967" s="26"/>
      <c r="H967" s="22"/>
      <c r="I967" s="22"/>
      <c r="J967" s="6"/>
      <c r="K967" s="2"/>
      <c r="L967" s="6">
        <v>240</v>
      </c>
      <c r="M967" s="2"/>
      <c r="N967" s="22"/>
      <c r="O967" s="21"/>
      <c r="P967" s="2"/>
    </row>
    <row r="968" spans="1:16" ht="15" customHeight="1">
      <c r="A968" s="2">
        <v>967</v>
      </c>
      <c r="B968" s="22" t="s">
        <v>141</v>
      </c>
      <c r="C968" s="22" t="s">
        <v>142</v>
      </c>
      <c r="D968" s="3">
        <v>43435</v>
      </c>
      <c r="E968" s="27" t="s">
        <v>136</v>
      </c>
      <c r="F968" s="26" t="s">
        <v>58</v>
      </c>
      <c r="G968" s="26"/>
      <c r="H968" s="22"/>
      <c r="I968" s="22"/>
      <c r="J968" s="6"/>
      <c r="K968" s="2"/>
      <c r="L968" s="6">
        <v>210</v>
      </c>
      <c r="M968" s="2"/>
      <c r="N968" s="22"/>
      <c r="O968" s="21"/>
      <c r="P968" s="2"/>
    </row>
    <row r="969" spans="1:16" ht="15" customHeight="1">
      <c r="A969" s="2">
        <v>968</v>
      </c>
      <c r="B969" s="22" t="s">
        <v>141</v>
      </c>
      <c r="C969" s="22" t="s">
        <v>142</v>
      </c>
      <c r="D969" s="3">
        <v>43435</v>
      </c>
      <c r="E969" s="27" t="s">
        <v>136</v>
      </c>
      <c r="F969" s="26" t="s">
        <v>58</v>
      </c>
      <c r="G969" s="26"/>
      <c r="H969" s="22"/>
      <c r="I969" s="22"/>
      <c r="J969" s="6"/>
      <c r="K969" s="2"/>
      <c r="L969" s="6">
        <v>210</v>
      </c>
      <c r="M969" s="2"/>
      <c r="N969" s="22"/>
      <c r="O969" s="21"/>
      <c r="P969" s="2"/>
    </row>
    <row r="970" spans="1:16" ht="15" customHeight="1">
      <c r="A970" s="2">
        <v>969</v>
      </c>
      <c r="B970" s="22" t="s">
        <v>285</v>
      </c>
      <c r="C970" s="22" t="s">
        <v>286</v>
      </c>
      <c r="D970" s="3">
        <v>43435</v>
      </c>
      <c r="E970" s="27" t="s">
        <v>136</v>
      </c>
      <c r="F970" s="26" t="s">
        <v>58</v>
      </c>
      <c r="G970" s="26"/>
      <c r="H970" s="22"/>
      <c r="I970" s="22"/>
      <c r="J970" s="6"/>
      <c r="K970" s="2"/>
      <c r="L970" s="6">
        <v>140</v>
      </c>
      <c r="M970" s="2"/>
      <c r="N970" s="22"/>
      <c r="O970" s="21"/>
      <c r="P970" s="2"/>
    </row>
    <row r="971" spans="1:16" ht="15" customHeight="1">
      <c r="A971" s="2">
        <v>970</v>
      </c>
      <c r="B971" s="22" t="s">
        <v>285</v>
      </c>
      <c r="C971" s="22" t="s">
        <v>286</v>
      </c>
      <c r="D971" s="3">
        <v>43435</v>
      </c>
      <c r="E971" s="27" t="s">
        <v>136</v>
      </c>
      <c r="F971" s="26" t="s">
        <v>58</v>
      </c>
      <c r="G971" s="26"/>
      <c r="H971" s="22"/>
      <c r="I971" s="22"/>
      <c r="J971" s="6"/>
      <c r="K971" s="2"/>
      <c r="L971" s="6">
        <v>135</v>
      </c>
      <c r="M971" s="2"/>
      <c r="N971" s="22"/>
      <c r="O971" s="21"/>
      <c r="P971" s="2"/>
    </row>
    <row r="972" spans="1:16" ht="15" customHeight="1">
      <c r="A972" s="2">
        <v>971</v>
      </c>
      <c r="B972" s="22" t="s">
        <v>312</v>
      </c>
      <c r="C972" s="22" t="s">
        <v>313</v>
      </c>
      <c r="D972" s="3">
        <v>43435</v>
      </c>
      <c r="E972" s="27" t="s">
        <v>136</v>
      </c>
      <c r="F972" s="26" t="s">
        <v>58</v>
      </c>
      <c r="G972" s="26"/>
      <c r="H972" s="22"/>
      <c r="I972" s="22"/>
      <c r="J972" s="6"/>
      <c r="K972" s="2"/>
      <c r="L972" s="6">
        <v>256</v>
      </c>
      <c r="M972" s="2"/>
      <c r="N972" s="22"/>
      <c r="O972" s="21"/>
      <c r="P972" s="2"/>
    </row>
    <row r="973" spans="1:16" ht="15" customHeight="1">
      <c r="A973" s="2">
        <v>972</v>
      </c>
      <c r="B973" s="22" t="s">
        <v>312</v>
      </c>
      <c r="C973" s="22" t="s">
        <v>313</v>
      </c>
      <c r="D973" s="3">
        <v>43435</v>
      </c>
      <c r="E973" s="27" t="s">
        <v>136</v>
      </c>
      <c r="F973" s="26" t="s">
        <v>58</v>
      </c>
      <c r="G973" s="26"/>
      <c r="H973" s="22"/>
      <c r="I973" s="22"/>
      <c r="J973" s="6"/>
      <c r="K973" s="2"/>
      <c r="L973" s="6">
        <v>265</v>
      </c>
      <c r="M973" s="2"/>
      <c r="N973" s="22"/>
      <c r="O973" s="21"/>
      <c r="P973" s="2"/>
    </row>
    <row r="974" spans="1:16" ht="15" customHeight="1">
      <c r="A974" s="2">
        <v>973</v>
      </c>
      <c r="B974" s="22" t="s">
        <v>31</v>
      </c>
      <c r="C974" s="22" t="s">
        <v>32</v>
      </c>
      <c r="D974" s="3">
        <v>43435</v>
      </c>
      <c r="E974" s="27" t="s">
        <v>136</v>
      </c>
      <c r="F974" s="26" t="s">
        <v>58</v>
      </c>
      <c r="G974" s="26"/>
      <c r="H974" s="22"/>
      <c r="I974" s="22"/>
      <c r="J974" s="6"/>
      <c r="K974" s="2"/>
      <c r="L974" s="6">
        <v>275</v>
      </c>
      <c r="M974" s="2"/>
      <c r="N974" s="22"/>
      <c r="O974" s="21"/>
      <c r="P974" s="2"/>
    </row>
    <row r="975" spans="1:16" ht="15" customHeight="1">
      <c r="A975" s="2">
        <v>974</v>
      </c>
      <c r="B975" s="22" t="s">
        <v>31</v>
      </c>
      <c r="C975" s="22" t="s">
        <v>32</v>
      </c>
      <c r="D975" s="3">
        <v>43435</v>
      </c>
      <c r="E975" s="27" t="s">
        <v>136</v>
      </c>
      <c r="F975" s="26" t="s">
        <v>58</v>
      </c>
      <c r="G975" s="26"/>
      <c r="H975" s="22"/>
      <c r="I975" s="22"/>
      <c r="J975" s="6"/>
      <c r="K975" s="2"/>
      <c r="L975" s="6">
        <v>280</v>
      </c>
      <c r="M975" s="2"/>
      <c r="N975" s="22"/>
      <c r="O975" s="21"/>
      <c r="P975" s="2"/>
    </row>
    <row r="976" spans="1:16" ht="15" customHeight="1">
      <c r="A976" s="2">
        <v>975</v>
      </c>
      <c r="B976" s="22" t="s">
        <v>314</v>
      </c>
      <c r="C976" s="22" t="s">
        <v>315</v>
      </c>
      <c r="D976" s="3">
        <v>43435</v>
      </c>
      <c r="E976" s="27" t="s">
        <v>136</v>
      </c>
      <c r="F976" s="26" t="s">
        <v>58</v>
      </c>
      <c r="G976" s="26"/>
      <c r="H976" s="22"/>
      <c r="I976" s="22"/>
      <c r="J976" s="6"/>
      <c r="K976" s="2"/>
      <c r="L976" s="6"/>
      <c r="M976" s="2"/>
      <c r="N976" s="22"/>
      <c r="O976" s="21"/>
      <c r="P976" s="2"/>
    </row>
    <row r="977" spans="1:16" ht="15" customHeight="1">
      <c r="A977" s="2">
        <v>976</v>
      </c>
      <c r="B977" s="22" t="s">
        <v>63</v>
      </c>
      <c r="C977" s="22" t="s">
        <v>64</v>
      </c>
      <c r="D977" s="3">
        <v>43435</v>
      </c>
      <c r="E977" s="27" t="s">
        <v>136</v>
      </c>
      <c r="F977" s="26" t="s">
        <v>58</v>
      </c>
      <c r="G977" s="26"/>
      <c r="H977" s="22"/>
      <c r="I977" s="22"/>
      <c r="J977" s="6"/>
      <c r="K977" s="2"/>
      <c r="L977" s="6">
        <v>240</v>
      </c>
      <c r="M977" s="2"/>
      <c r="N977" s="22"/>
      <c r="O977" s="21"/>
      <c r="P977" s="2"/>
    </row>
    <row r="978" spans="1:16" ht="15" customHeight="1">
      <c r="A978" s="2">
        <v>977</v>
      </c>
      <c r="B978" s="22" t="s">
        <v>63</v>
      </c>
      <c r="C978" s="22" t="s">
        <v>64</v>
      </c>
      <c r="D978" s="3">
        <v>43435</v>
      </c>
      <c r="E978" s="27" t="s">
        <v>136</v>
      </c>
      <c r="F978" s="26" t="s">
        <v>58</v>
      </c>
      <c r="G978" s="26"/>
      <c r="H978" s="22"/>
      <c r="I978" s="22"/>
      <c r="J978" s="6"/>
      <c r="K978" s="2"/>
      <c r="L978" s="6">
        <v>250</v>
      </c>
      <c r="M978" s="2"/>
      <c r="N978" s="22"/>
      <c r="O978" s="21"/>
      <c r="P978" s="2"/>
    </row>
    <row r="979" spans="1:16" ht="15" customHeight="1">
      <c r="A979" s="2">
        <v>978</v>
      </c>
      <c r="B979" s="22" t="s">
        <v>297</v>
      </c>
      <c r="C979" s="22" t="s">
        <v>298</v>
      </c>
      <c r="D979" s="3">
        <v>43914</v>
      </c>
      <c r="E979" s="22" t="s">
        <v>316</v>
      </c>
      <c r="F979" s="22" t="s">
        <v>19</v>
      </c>
      <c r="G979" s="26"/>
      <c r="H979" s="22"/>
      <c r="I979" s="22"/>
      <c r="J979" s="2">
        <v>60</v>
      </c>
      <c r="K979" s="6">
        <v>10</v>
      </c>
      <c r="L979" s="6">
        <v>80.645161290322577</v>
      </c>
      <c r="M979" s="2"/>
      <c r="N979" s="22"/>
      <c r="O979" s="21"/>
      <c r="P979" s="2"/>
    </row>
    <row r="980" spans="1:16" ht="15" customHeight="1">
      <c r="A980" s="2">
        <v>978</v>
      </c>
      <c r="B980" s="29" t="s">
        <v>314</v>
      </c>
      <c r="C980" s="29" t="s">
        <v>315</v>
      </c>
      <c r="D980" s="126">
        <v>43466</v>
      </c>
      <c r="E980" s="27" t="s">
        <v>29</v>
      </c>
      <c r="F980" s="32" t="s">
        <v>58</v>
      </c>
      <c r="G980" s="32"/>
      <c r="H980" s="29"/>
      <c r="I980" s="29"/>
      <c r="J980" s="28"/>
      <c r="K980" s="30"/>
      <c r="L980" s="30">
        <v>180</v>
      </c>
      <c r="M980" s="28"/>
      <c r="N980" s="29" t="s">
        <v>30</v>
      </c>
      <c r="O980" s="31"/>
      <c r="P980" s="28"/>
    </row>
    <row r="981" spans="1:16" ht="15" customHeight="1">
      <c r="A981" s="2">
        <v>979</v>
      </c>
      <c r="B981" s="22" t="s">
        <v>312</v>
      </c>
      <c r="C981" s="22" t="s">
        <v>313</v>
      </c>
      <c r="D981" s="3">
        <v>43466</v>
      </c>
      <c r="E981" s="27" t="s">
        <v>29</v>
      </c>
      <c r="F981" s="26" t="s">
        <v>58</v>
      </c>
      <c r="G981" s="26"/>
      <c r="H981" s="22"/>
      <c r="I981" s="22"/>
      <c r="J981" s="2"/>
      <c r="K981" s="6"/>
      <c r="L981" s="6">
        <v>200</v>
      </c>
      <c r="M981" s="2"/>
      <c r="N981" s="22" t="s">
        <v>30</v>
      </c>
      <c r="O981" s="21"/>
      <c r="P981" s="2"/>
    </row>
    <row r="982" spans="1:16" ht="15" customHeight="1">
      <c r="A982" s="2">
        <v>979</v>
      </c>
      <c r="B982" s="22" t="s">
        <v>297</v>
      </c>
      <c r="C982" s="22" t="s">
        <v>298</v>
      </c>
      <c r="D982" s="3">
        <v>43914</v>
      </c>
      <c r="E982" s="22" t="s">
        <v>43</v>
      </c>
      <c r="F982" s="22" t="s">
        <v>19</v>
      </c>
      <c r="G982" s="26"/>
      <c r="H982" s="22"/>
      <c r="I982" s="22"/>
      <c r="J982" s="2">
        <v>170</v>
      </c>
      <c r="K982" s="6">
        <v>6</v>
      </c>
      <c r="L982" s="150">
        <f t="shared" ref="L982:L1045" si="0">IF(K982=0,"",IF(K982=1,J982*(100/100),IF(K982=2,J982*(100/94.3),IF(K982=3,J982*(100/90.6),IF(K982=4,J982*(100/88.1),IF(K982=5,J982*(100/85.6),IF(K982=6,J982*(100/83.1),IF(K982=7,J982*(100/80.7),IF(K982=8,J982*(100/78.6),IF(K982=9,J982*(100/76.5),IF(K982=10,J982*(100/74.4),IF(K982=11,J982*(100/72.3),IF(K982=12,J982*(100/70.3),IF(K982=13,J982*(100/68.8),IF(K982=14,J982*(100/67.5),IF(K982=15,J982*(100/66.2),IF(K982=16,J982*(100/65),IF(K982=17,J982*(100/63.8),IF(K982=18,J982*(100/62.7),IF(K982=19,J982*(100/61.6),IF(K982=20,J982*(100/60.6),"&gt;20 reps")))))))))))))))))))))</f>
        <v>204.57280385078221</v>
      </c>
      <c r="M982" s="2"/>
      <c r="N982" s="22" t="s">
        <v>128</v>
      </c>
      <c r="O982" s="21"/>
      <c r="P982" s="2"/>
    </row>
    <row r="983" spans="1:16" ht="15" customHeight="1">
      <c r="A983" s="2">
        <v>980</v>
      </c>
      <c r="B983" s="22" t="s">
        <v>297</v>
      </c>
      <c r="C983" s="22" t="s">
        <v>298</v>
      </c>
      <c r="D983" s="3">
        <v>43914</v>
      </c>
      <c r="E983" s="22" t="s">
        <v>317</v>
      </c>
      <c r="F983" s="22" t="s">
        <v>19</v>
      </c>
      <c r="G983" s="26"/>
      <c r="H983" s="22"/>
      <c r="I983" s="22"/>
      <c r="J983" s="2">
        <v>82</v>
      </c>
      <c r="K983" s="6">
        <v>6</v>
      </c>
      <c r="L983" s="150">
        <f t="shared" si="0"/>
        <v>98.676293622141998</v>
      </c>
      <c r="M983" s="2"/>
      <c r="N983" s="22"/>
      <c r="O983" s="21"/>
      <c r="P983" s="2"/>
    </row>
    <row r="984" spans="1:16" ht="15" customHeight="1">
      <c r="A984" s="2">
        <v>981</v>
      </c>
      <c r="B984" s="22" t="s">
        <v>297</v>
      </c>
      <c r="C984" s="22" t="s">
        <v>298</v>
      </c>
      <c r="D984" s="3">
        <v>43914</v>
      </c>
      <c r="E984" s="22" t="s">
        <v>65</v>
      </c>
      <c r="F984" s="22" t="s">
        <v>19</v>
      </c>
      <c r="G984" s="26"/>
      <c r="H984" s="22"/>
      <c r="I984" s="22"/>
      <c r="J984" s="2">
        <v>110</v>
      </c>
      <c r="K984" s="6">
        <v>6</v>
      </c>
      <c r="L984" s="150">
        <f t="shared" si="0"/>
        <v>132.37063778580026</v>
      </c>
      <c r="M984" s="2"/>
      <c r="N984" s="22"/>
      <c r="O984" s="21"/>
      <c r="P984" s="2"/>
    </row>
    <row r="985" spans="1:16" ht="15" customHeight="1">
      <c r="A985" s="2">
        <v>982</v>
      </c>
      <c r="B985" s="22" t="s">
        <v>297</v>
      </c>
      <c r="C985" s="22" t="s">
        <v>298</v>
      </c>
      <c r="D985" s="3">
        <v>43916</v>
      </c>
      <c r="E985" s="22" t="s">
        <v>43</v>
      </c>
      <c r="F985" s="22" t="s">
        <v>19</v>
      </c>
      <c r="G985" s="26"/>
      <c r="H985" s="22"/>
      <c r="I985" s="22"/>
      <c r="J985" s="2">
        <v>170</v>
      </c>
      <c r="K985" s="6">
        <v>8</v>
      </c>
      <c r="L985" s="150">
        <f t="shared" si="0"/>
        <v>216.28498727735371</v>
      </c>
      <c r="M985" s="2"/>
      <c r="N985" s="22" t="s">
        <v>128</v>
      </c>
      <c r="O985" s="21"/>
      <c r="P985" s="2"/>
    </row>
    <row r="986" spans="1:16" ht="15" customHeight="1">
      <c r="A986" s="2">
        <v>983</v>
      </c>
      <c r="B986" s="22" t="s">
        <v>297</v>
      </c>
      <c r="C986" s="22" t="s">
        <v>298</v>
      </c>
      <c r="D986" s="3">
        <v>43916</v>
      </c>
      <c r="E986" s="22" t="s">
        <v>78</v>
      </c>
      <c r="F986" s="22" t="s">
        <v>19</v>
      </c>
      <c r="G986" s="26"/>
      <c r="H986" s="22"/>
      <c r="I986" s="22"/>
      <c r="J986" s="2">
        <v>40</v>
      </c>
      <c r="K986" s="6">
        <v>10</v>
      </c>
      <c r="L986" s="150">
        <f t="shared" si="0"/>
        <v>53.763440860215049</v>
      </c>
      <c r="M986" s="2"/>
      <c r="N986" s="22"/>
      <c r="O986" s="21"/>
      <c r="P986" s="2"/>
    </row>
    <row r="987" spans="1:16" ht="15" customHeight="1">
      <c r="A987" s="2">
        <v>984</v>
      </c>
      <c r="B987" s="22" t="s">
        <v>297</v>
      </c>
      <c r="C987" s="22" t="s">
        <v>298</v>
      </c>
      <c r="D987" s="3">
        <v>43916</v>
      </c>
      <c r="E987" s="22" t="s">
        <v>317</v>
      </c>
      <c r="F987" s="22" t="s">
        <v>19</v>
      </c>
      <c r="G987" s="26"/>
      <c r="H987" s="22"/>
      <c r="I987" s="22"/>
      <c r="J987" s="2">
        <v>82</v>
      </c>
      <c r="K987" s="6">
        <v>6</v>
      </c>
      <c r="L987" s="150">
        <f t="shared" si="0"/>
        <v>98.676293622141998</v>
      </c>
      <c r="M987" s="2"/>
      <c r="N987" s="22"/>
      <c r="O987" s="21"/>
      <c r="P987" s="2"/>
    </row>
    <row r="988" spans="1:16" ht="15" customHeight="1">
      <c r="A988" s="2">
        <v>985</v>
      </c>
      <c r="B988" s="22" t="s">
        <v>297</v>
      </c>
      <c r="C988" s="22" t="s">
        <v>298</v>
      </c>
      <c r="D988" s="3">
        <v>43916</v>
      </c>
      <c r="E988" s="22" t="s">
        <v>318</v>
      </c>
      <c r="F988" s="22" t="s">
        <v>19</v>
      </c>
      <c r="G988" s="26"/>
      <c r="H988" s="22"/>
      <c r="I988" s="22"/>
      <c r="J988" s="2">
        <v>70</v>
      </c>
      <c r="K988" s="6">
        <v>10</v>
      </c>
      <c r="L988" s="150">
        <f t="shared" si="0"/>
        <v>94.086021505376337</v>
      </c>
      <c r="M988" s="2"/>
      <c r="N988" s="22"/>
      <c r="O988" s="21"/>
      <c r="P988" s="2"/>
    </row>
    <row r="989" spans="1:16" ht="15" customHeight="1">
      <c r="A989" s="2">
        <v>986</v>
      </c>
      <c r="B989" s="22" t="s">
        <v>297</v>
      </c>
      <c r="C989" s="22" t="s">
        <v>298</v>
      </c>
      <c r="D989" s="3">
        <v>43918</v>
      </c>
      <c r="E989" s="22" t="s">
        <v>317</v>
      </c>
      <c r="F989" s="22" t="s">
        <v>19</v>
      </c>
      <c r="G989" s="26"/>
      <c r="H989" s="22"/>
      <c r="I989" s="22"/>
      <c r="J989" s="2">
        <v>89</v>
      </c>
      <c r="K989" s="6">
        <v>6</v>
      </c>
      <c r="L989" s="150">
        <f t="shared" si="0"/>
        <v>107.09987966305657</v>
      </c>
      <c r="M989" s="2"/>
      <c r="N989" s="22"/>
      <c r="O989" s="21"/>
      <c r="P989" s="2"/>
    </row>
    <row r="990" spans="1:16" ht="15" customHeight="1">
      <c r="A990" s="2">
        <v>987</v>
      </c>
      <c r="B990" s="22" t="s">
        <v>297</v>
      </c>
      <c r="C990" s="22" t="s">
        <v>298</v>
      </c>
      <c r="D990" s="3">
        <v>43918</v>
      </c>
      <c r="E990" s="22" t="s">
        <v>65</v>
      </c>
      <c r="F990" s="22" t="s">
        <v>19</v>
      </c>
      <c r="G990" s="26"/>
      <c r="H990" s="22"/>
      <c r="I990" s="22"/>
      <c r="J990" s="2">
        <v>110</v>
      </c>
      <c r="K990" s="6">
        <v>6</v>
      </c>
      <c r="L990" s="150">
        <f t="shared" si="0"/>
        <v>132.37063778580026</v>
      </c>
      <c r="M990" s="2"/>
      <c r="N990" s="22"/>
      <c r="O990" s="21"/>
      <c r="P990" s="2"/>
    </row>
    <row r="991" spans="1:16" ht="15" customHeight="1">
      <c r="A991" s="2">
        <v>988</v>
      </c>
      <c r="B991" s="22" t="s">
        <v>297</v>
      </c>
      <c r="C991" s="22" t="s">
        <v>298</v>
      </c>
      <c r="D991" s="3">
        <v>43918</v>
      </c>
      <c r="E991" s="22" t="s">
        <v>50</v>
      </c>
      <c r="F991" s="22" t="s">
        <v>19</v>
      </c>
      <c r="G991" s="26"/>
      <c r="H991" s="22"/>
      <c r="I991" s="22"/>
      <c r="J991" s="2">
        <v>200</v>
      </c>
      <c r="K991" s="6">
        <v>8</v>
      </c>
      <c r="L991" s="150">
        <f t="shared" si="0"/>
        <v>254.45292620865141</v>
      </c>
      <c r="M991" s="2"/>
      <c r="N991" s="22"/>
      <c r="O991" s="21"/>
      <c r="P991" s="2"/>
    </row>
    <row r="992" spans="1:16" ht="15" customHeight="1">
      <c r="A992" s="2">
        <v>989</v>
      </c>
      <c r="B992" s="22" t="s">
        <v>297</v>
      </c>
      <c r="C992" s="22" t="s">
        <v>298</v>
      </c>
      <c r="D992" s="3">
        <v>43920</v>
      </c>
      <c r="E992" s="22" t="s">
        <v>316</v>
      </c>
      <c r="F992" s="22" t="s">
        <v>19</v>
      </c>
      <c r="G992" s="26"/>
      <c r="H992" s="22"/>
      <c r="I992" s="22"/>
      <c r="J992" s="2">
        <v>70</v>
      </c>
      <c r="K992" s="6">
        <v>10</v>
      </c>
      <c r="L992" s="150">
        <f t="shared" si="0"/>
        <v>94.086021505376337</v>
      </c>
      <c r="M992" s="2"/>
      <c r="N992" s="22"/>
      <c r="O992" s="21"/>
      <c r="P992" s="2"/>
    </row>
    <row r="993" spans="1:16" ht="15" customHeight="1">
      <c r="A993" s="2">
        <v>990</v>
      </c>
      <c r="B993" s="22" t="s">
        <v>297</v>
      </c>
      <c r="C993" s="22" t="s">
        <v>298</v>
      </c>
      <c r="D993" s="3">
        <v>43920</v>
      </c>
      <c r="E993" s="22" t="s">
        <v>319</v>
      </c>
      <c r="F993" s="22" t="s">
        <v>19</v>
      </c>
      <c r="G993" s="26"/>
      <c r="H993" s="22"/>
      <c r="I993" s="22"/>
      <c r="J993" s="2">
        <v>75</v>
      </c>
      <c r="K993" s="6">
        <v>10</v>
      </c>
      <c r="L993" s="150">
        <f t="shared" si="0"/>
        <v>100.80645161290322</v>
      </c>
      <c r="M993" s="2"/>
      <c r="N993" s="22"/>
      <c r="O993" s="21"/>
      <c r="P993" s="2"/>
    </row>
    <row r="994" spans="1:16" ht="15" customHeight="1">
      <c r="A994" s="2">
        <v>991</v>
      </c>
      <c r="B994" s="22" t="s">
        <v>297</v>
      </c>
      <c r="C994" s="22" t="s">
        <v>298</v>
      </c>
      <c r="D994" s="3">
        <v>43920</v>
      </c>
      <c r="E994" s="22" t="s">
        <v>317</v>
      </c>
      <c r="F994" s="22" t="s">
        <v>19</v>
      </c>
      <c r="G994" s="26"/>
      <c r="H994" s="22"/>
      <c r="I994" s="22"/>
      <c r="J994" s="2">
        <v>89</v>
      </c>
      <c r="K994" s="6">
        <v>6</v>
      </c>
      <c r="L994" s="150">
        <f t="shared" si="0"/>
        <v>107.09987966305657</v>
      </c>
      <c r="M994" s="2"/>
      <c r="N994" s="22"/>
      <c r="O994" s="21"/>
      <c r="P994" s="2"/>
    </row>
    <row r="995" spans="1:16" ht="15" customHeight="1">
      <c r="A995" s="2">
        <v>992</v>
      </c>
      <c r="B995" s="22" t="s">
        <v>297</v>
      </c>
      <c r="C995" s="22" t="s">
        <v>298</v>
      </c>
      <c r="D995" s="3">
        <v>43920</v>
      </c>
      <c r="E995" s="22" t="s">
        <v>65</v>
      </c>
      <c r="F995" s="22" t="s">
        <v>19</v>
      </c>
      <c r="G995" s="26"/>
      <c r="H995" s="22"/>
      <c r="I995" s="22"/>
      <c r="J995" s="2">
        <v>120</v>
      </c>
      <c r="K995" s="6">
        <v>10</v>
      </c>
      <c r="L995" s="150">
        <f t="shared" si="0"/>
        <v>161.29032258064515</v>
      </c>
      <c r="M995" s="2"/>
      <c r="N995" s="22"/>
      <c r="O995" s="21"/>
      <c r="P995" s="2"/>
    </row>
    <row r="996" spans="1:16" ht="15" customHeight="1">
      <c r="A996" s="2">
        <v>993</v>
      </c>
      <c r="B996" s="22" t="s">
        <v>297</v>
      </c>
      <c r="C996" s="22" t="s">
        <v>298</v>
      </c>
      <c r="D996" s="3">
        <v>43920</v>
      </c>
      <c r="E996" s="22" t="s">
        <v>50</v>
      </c>
      <c r="F996" s="22" t="s">
        <v>19</v>
      </c>
      <c r="G996" s="26"/>
      <c r="H996" s="22"/>
      <c r="I996" s="22"/>
      <c r="J996" s="2">
        <v>230</v>
      </c>
      <c r="K996" s="6">
        <v>8</v>
      </c>
      <c r="L996" s="150">
        <f t="shared" si="0"/>
        <v>292.6208651399491</v>
      </c>
      <c r="M996" s="2"/>
      <c r="N996" s="22"/>
      <c r="O996" s="21"/>
      <c r="P996" s="2"/>
    </row>
    <row r="997" spans="1:16" ht="15" customHeight="1">
      <c r="A997" s="2">
        <v>994</v>
      </c>
      <c r="B997" s="22" t="s">
        <v>297</v>
      </c>
      <c r="C997" s="22" t="s">
        <v>298</v>
      </c>
      <c r="D997" s="3">
        <v>43923</v>
      </c>
      <c r="E997" s="22" t="s">
        <v>43</v>
      </c>
      <c r="F997" s="22" t="s">
        <v>19</v>
      </c>
      <c r="G997" s="26"/>
      <c r="H997" s="22"/>
      <c r="I997" s="22"/>
      <c r="J997" s="2">
        <v>170</v>
      </c>
      <c r="K997" s="6">
        <v>8</v>
      </c>
      <c r="L997" s="150">
        <f t="shared" si="0"/>
        <v>216.28498727735371</v>
      </c>
      <c r="M997" s="2"/>
      <c r="N997" s="22" t="s">
        <v>128</v>
      </c>
      <c r="O997" s="21"/>
      <c r="P997" s="2"/>
    </row>
    <row r="998" spans="1:16" ht="15" customHeight="1">
      <c r="A998" s="2">
        <v>995</v>
      </c>
      <c r="B998" s="22" t="s">
        <v>297</v>
      </c>
      <c r="C998" s="22" t="s">
        <v>298</v>
      </c>
      <c r="D998" s="3">
        <v>43923</v>
      </c>
      <c r="E998" s="22" t="s">
        <v>78</v>
      </c>
      <c r="F998" s="22" t="s">
        <v>19</v>
      </c>
      <c r="G998" s="26"/>
      <c r="H998" s="22"/>
      <c r="I998" s="22"/>
      <c r="J998" s="2">
        <v>40</v>
      </c>
      <c r="K998" s="6">
        <v>10</v>
      </c>
      <c r="L998" s="150">
        <f t="shared" si="0"/>
        <v>53.763440860215049</v>
      </c>
      <c r="M998" s="2"/>
      <c r="N998" s="22"/>
      <c r="O998" s="21"/>
      <c r="P998" s="2"/>
    </row>
    <row r="999" spans="1:16" ht="15" customHeight="1">
      <c r="A999" s="2">
        <v>996</v>
      </c>
      <c r="B999" s="22" t="s">
        <v>297</v>
      </c>
      <c r="C999" s="22" t="s">
        <v>298</v>
      </c>
      <c r="D999" s="3">
        <v>43923</v>
      </c>
      <c r="E999" s="22" t="s">
        <v>317</v>
      </c>
      <c r="F999" s="22" t="s">
        <v>19</v>
      </c>
      <c r="G999" s="26"/>
      <c r="H999" s="22"/>
      <c r="I999" s="22"/>
      <c r="J999" s="2">
        <v>82</v>
      </c>
      <c r="K999" s="6">
        <v>6</v>
      </c>
      <c r="L999" s="150">
        <f t="shared" si="0"/>
        <v>98.676293622141998</v>
      </c>
      <c r="M999" s="2"/>
      <c r="N999" s="22"/>
      <c r="O999" s="21"/>
      <c r="P999" s="2"/>
    </row>
    <row r="1000" spans="1:16" ht="15" customHeight="1">
      <c r="A1000" s="2">
        <v>997</v>
      </c>
      <c r="B1000" s="22" t="s">
        <v>297</v>
      </c>
      <c r="C1000" s="22" t="s">
        <v>298</v>
      </c>
      <c r="D1000" s="3">
        <v>43923</v>
      </c>
      <c r="E1000" s="22" t="s">
        <v>318</v>
      </c>
      <c r="F1000" s="22" t="s">
        <v>19</v>
      </c>
      <c r="G1000" s="26"/>
      <c r="H1000" s="22"/>
      <c r="I1000" s="22"/>
      <c r="J1000" s="2">
        <v>90</v>
      </c>
      <c r="K1000" s="6">
        <v>10</v>
      </c>
      <c r="L1000" s="150">
        <f t="shared" si="0"/>
        <v>120.96774193548386</v>
      </c>
      <c r="M1000" s="2"/>
      <c r="N1000" s="22"/>
      <c r="O1000" s="21"/>
      <c r="P1000" s="2"/>
    </row>
    <row r="1001" spans="1:16" ht="15" customHeight="1">
      <c r="A1001" s="2">
        <v>998</v>
      </c>
      <c r="B1001" s="22" t="s">
        <v>297</v>
      </c>
      <c r="C1001" s="22" t="s">
        <v>298</v>
      </c>
      <c r="D1001" s="3">
        <v>43925</v>
      </c>
      <c r="E1001" s="22" t="s">
        <v>317</v>
      </c>
      <c r="F1001" s="22" t="s">
        <v>19</v>
      </c>
      <c r="G1001" s="26"/>
      <c r="H1001" s="22"/>
      <c r="I1001" s="22"/>
      <c r="J1001" s="2">
        <v>96</v>
      </c>
      <c r="K1001" s="6">
        <v>6</v>
      </c>
      <c r="L1001" s="150">
        <f t="shared" si="0"/>
        <v>115.52346570397113</v>
      </c>
      <c r="M1001" s="2"/>
      <c r="N1001" s="22"/>
      <c r="O1001" s="21"/>
      <c r="P1001" s="2"/>
    </row>
    <row r="1002" spans="1:16" ht="15" customHeight="1">
      <c r="A1002" s="2">
        <v>999</v>
      </c>
      <c r="B1002" s="22" t="s">
        <v>297</v>
      </c>
      <c r="C1002" s="22" t="s">
        <v>298</v>
      </c>
      <c r="D1002" s="3">
        <v>43925</v>
      </c>
      <c r="E1002" s="22" t="s">
        <v>65</v>
      </c>
      <c r="F1002" s="22" t="s">
        <v>19</v>
      </c>
      <c r="G1002" s="26"/>
      <c r="H1002" s="22"/>
      <c r="I1002" s="22"/>
      <c r="J1002" s="2">
        <v>120</v>
      </c>
      <c r="K1002" s="6">
        <v>6</v>
      </c>
      <c r="L1002" s="150">
        <f t="shared" si="0"/>
        <v>144.4043321299639</v>
      </c>
      <c r="M1002" s="2"/>
      <c r="N1002" s="22"/>
      <c r="O1002" s="21"/>
      <c r="P1002" s="2"/>
    </row>
    <row r="1003" spans="1:16" ht="15" customHeight="1">
      <c r="A1003" s="2">
        <v>1000</v>
      </c>
      <c r="B1003" s="22" t="s">
        <v>297</v>
      </c>
      <c r="C1003" s="22" t="s">
        <v>298</v>
      </c>
      <c r="D1003" s="3">
        <v>43925</v>
      </c>
      <c r="E1003" s="22" t="s">
        <v>50</v>
      </c>
      <c r="F1003" s="22" t="s">
        <v>19</v>
      </c>
      <c r="G1003" s="26"/>
      <c r="H1003" s="22"/>
      <c r="I1003" s="22"/>
      <c r="J1003" s="2">
        <v>250</v>
      </c>
      <c r="K1003" s="6">
        <v>8</v>
      </c>
      <c r="L1003" s="150">
        <f t="shared" si="0"/>
        <v>318.06615776081424</v>
      </c>
      <c r="M1003" s="2"/>
      <c r="N1003" s="22"/>
      <c r="O1003" s="21"/>
      <c r="P1003" s="2"/>
    </row>
    <row r="1004" spans="1:16" ht="15" customHeight="1">
      <c r="A1004" s="2">
        <v>1001</v>
      </c>
      <c r="B1004" s="22" t="s">
        <v>297</v>
      </c>
      <c r="C1004" s="22" t="s">
        <v>298</v>
      </c>
      <c r="D1004" s="3">
        <v>43927</v>
      </c>
      <c r="E1004" s="22" t="s">
        <v>316</v>
      </c>
      <c r="F1004" s="22" t="s">
        <v>19</v>
      </c>
      <c r="G1004" s="26"/>
      <c r="H1004" s="22"/>
      <c r="I1004" s="22"/>
      <c r="J1004" s="2">
        <v>70</v>
      </c>
      <c r="K1004" s="6">
        <v>10</v>
      </c>
      <c r="L1004" s="150">
        <f t="shared" si="0"/>
        <v>94.086021505376337</v>
      </c>
      <c r="M1004" s="2"/>
      <c r="N1004" s="22"/>
      <c r="O1004" s="21"/>
      <c r="P1004" s="2"/>
    </row>
    <row r="1005" spans="1:16" ht="15" customHeight="1">
      <c r="A1005" s="2">
        <v>1002</v>
      </c>
      <c r="B1005" s="22" t="s">
        <v>297</v>
      </c>
      <c r="C1005" s="22" t="s">
        <v>298</v>
      </c>
      <c r="D1005" s="3">
        <v>43927</v>
      </c>
      <c r="E1005" s="22" t="s">
        <v>320</v>
      </c>
      <c r="F1005" s="22" t="s">
        <v>19</v>
      </c>
      <c r="G1005" s="26"/>
      <c r="H1005" s="22"/>
      <c r="I1005" s="22"/>
      <c r="J1005" s="2">
        <v>75</v>
      </c>
      <c r="K1005" s="6">
        <v>10</v>
      </c>
      <c r="L1005" s="150">
        <f t="shared" si="0"/>
        <v>100.80645161290322</v>
      </c>
      <c r="M1005" s="2"/>
      <c r="N1005" s="22"/>
      <c r="O1005" s="21"/>
      <c r="P1005" s="2"/>
    </row>
    <row r="1006" spans="1:16" ht="15" customHeight="1">
      <c r="A1006" s="2">
        <v>1003</v>
      </c>
      <c r="B1006" s="22" t="s">
        <v>297</v>
      </c>
      <c r="C1006" s="22" t="s">
        <v>298</v>
      </c>
      <c r="D1006" s="3">
        <v>43927</v>
      </c>
      <c r="E1006" s="22" t="s">
        <v>317</v>
      </c>
      <c r="F1006" s="22" t="s">
        <v>19</v>
      </c>
      <c r="G1006" s="26"/>
      <c r="H1006" s="22"/>
      <c r="I1006" s="22"/>
      <c r="J1006" s="2">
        <v>96</v>
      </c>
      <c r="K1006" s="6">
        <v>6</v>
      </c>
      <c r="L1006" s="150">
        <f t="shared" si="0"/>
        <v>115.52346570397113</v>
      </c>
      <c r="M1006" s="2"/>
      <c r="N1006" s="22"/>
      <c r="O1006" s="21"/>
      <c r="P1006" s="2"/>
    </row>
    <row r="1007" spans="1:16" ht="15" customHeight="1">
      <c r="A1007" s="2">
        <v>1004</v>
      </c>
      <c r="B1007" s="22" t="s">
        <v>297</v>
      </c>
      <c r="C1007" s="22" t="s">
        <v>298</v>
      </c>
      <c r="D1007" s="3">
        <v>43927</v>
      </c>
      <c r="E1007" s="22" t="s">
        <v>65</v>
      </c>
      <c r="F1007" s="22" t="s">
        <v>19</v>
      </c>
      <c r="G1007" s="26"/>
      <c r="H1007" s="22"/>
      <c r="I1007" s="22"/>
      <c r="J1007" s="2">
        <v>120</v>
      </c>
      <c r="K1007" s="6">
        <v>10</v>
      </c>
      <c r="L1007" s="150">
        <f t="shared" si="0"/>
        <v>161.29032258064515</v>
      </c>
      <c r="M1007" s="2"/>
      <c r="N1007" s="22"/>
      <c r="O1007" s="21"/>
      <c r="P1007" s="2"/>
    </row>
    <row r="1008" spans="1:16" ht="15" customHeight="1">
      <c r="A1008" s="2">
        <v>1005</v>
      </c>
      <c r="B1008" s="22" t="s">
        <v>297</v>
      </c>
      <c r="C1008" s="22" t="s">
        <v>298</v>
      </c>
      <c r="D1008" s="3">
        <v>43927</v>
      </c>
      <c r="E1008" s="22" t="s">
        <v>50</v>
      </c>
      <c r="F1008" s="22" t="s">
        <v>19</v>
      </c>
      <c r="G1008" s="26"/>
      <c r="H1008" s="22"/>
      <c r="I1008" s="22"/>
      <c r="J1008" s="2">
        <v>220</v>
      </c>
      <c r="K1008" s="6">
        <v>8</v>
      </c>
      <c r="L1008" s="150">
        <f t="shared" si="0"/>
        <v>279.89821882951657</v>
      </c>
      <c r="M1008" s="2"/>
      <c r="N1008" s="22"/>
      <c r="O1008" s="21"/>
      <c r="P1008" s="2"/>
    </row>
    <row r="1009" spans="1:16" ht="15" customHeight="1">
      <c r="A1009" s="2">
        <v>1006</v>
      </c>
      <c r="B1009" s="22" t="s">
        <v>297</v>
      </c>
      <c r="C1009" s="22" t="s">
        <v>298</v>
      </c>
      <c r="D1009" s="3">
        <v>43929</v>
      </c>
      <c r="E1009" s="22" t="s">
        <v>43</v>
      </c>
      <c r="F1009" s="22" t="s">
        <v>19</v>
      </c>
      <c r="G1009" s="26"/>
      <c r="H1009" s="22"/>
      <c r="I1009" s="22"/>
      <c r="J1009" s="2">
        <v>170</v>
      </c>
      <c r="K1009" s="6">
        <v>8</v>
      </c>
      <c r="L1009" s="150">
        <f t="shared" si="0"/>
        <v>216.28498727735371</v>
      </c>
      <c r="M1009" s="2"/>
      <c r="N1009" s="22" t="s">
        <v>128</v>
      </c>
      <c r="O1009" s="21"/>
      <c r="P1009" s="2"/>
    </row>
    <row r="1010" spans="1:16" ht="15" customHeight="1">
      <c r="A1010" s="2">
        <v>1007</v>
      </c>
      <c r="B1010" s="22" t="s">
        <v>297</v>
      </c>
      <c r="C1010" s="22" t="s">
        <v>298</v>
      </c>
      <c r="D1010" s="3">
        <v>43929</v>
      </c>
      <c r="E1010" s="22" t="s">
        <v>78</v>
      </c>
      <c r="F1010" s="22" t="s">
        <v>19</v>
      </c>
      <c r="G1010" s="26"/>
      <c r="H1010" s="22"/>
      <c r="I1010" s="22"/>
      <c r="J1010" s="2">
        <v>40</v>
      </c>
      <c r="K1010" s="6">
        <v>10</v>
      </c>
      <c r="L1010" s="150">
        <f t="shared" si="0"/>
        <v>53.763440860215049</v>
      </c>
      <c r="M1010" s="2"/>
      <c r="N1010" s="22"/>
      <c r="O1010" s="21"/>
      <c r="P1010" s="2"/>
    </row>
    <row r="1011" spans="1:16" ht="15" customHeight="1">
      <c r="A1011" s="2">
        <v>1008</v>
      </c>
      <c r="B1011" s="22" t="s">
        <v>297</v>
      </c>
      <c r="C1011" s="22" t="s">
        <v>298</v>
      </c>
      <c r="D1011" s="3">
        <v>43929</v>
      </c>
      <c r="E1011" s="22" t="s">
        <v>317</v>
      </c>
      <c r="F1011" s="22" t="s">
        <v>19</v>
      </c>
      <c r="G1011" s="26"/>
      <c r="H1011" s="22"/>
      <c r="I1011" s="22"/>
      <c r="J1011" s="2">
        <v>89</v>
      </c>
      <c r="K1011" s="6">
        <v>6</v>
      </c>
      <c r="L1011" s="150">
        <f t="shared" si="0"/>
        <v>107.09987966305657</v>
      </c>
      <c r="M1011" s="2"/>
      <c r="N1011" s="22"/>
      <c r="O1011" s="21"/>
      <c r="P1011" s="2"/>
    </row>
    <row r="1012" spans="1:16" ht="15" customHeight="1">
      <c r="A1012" s="2">
        <v>1009</v>
      </c>
      <c r="B1012" s="22" t="s">
        <v>297</v>
      </c>
      <c r="C1012" s="22" t="s">
        <v>298</v>
      </c>
      <c r="D1012" s="3">
        <v>43929</v>
      </c>
      <c r="E1012" s="22" t="s">
        <v>318</v>
      </c>
      <c r="F1012" s="22" t="s">
        <v>19</v>
      </c>
      <c r="G1012" s="26"/>
      <c r="H1012" s="22"/>
      <c r="I1012" s="22"/>
      <c r="J1012" s="2">
        <v>90</v>
      </c>
      <c r="K1012" s="6">
        <v>10</v>
      </c>
      <c r="L1012" s="150">
        <f t="shared" si="0"/>
        <v>120.96774193548386</v>
      </c>
      <c r="M1012" s="2"/>
      <c r="N1012" s="22"/>
      <c r="O1012" s="21"/>
      <c r="P1012" s="2"/>
    </row>
    <row r="1013" spans="1:16" ht="15" customHeight="1">
      <c r="A1013" s="2">
        <v>1010</v>
      </c>
      <c r="B1013" s="22" t="s">
        <v>297</v>
      </c>
      <c r="C1013" s="22" t="s">
        <v>298</v>
      </c>
      <c r="D1013" s="3">
        <v>43931</v>
      </c>
      <c r="E1013" s="22" t="s">
        <v>317</v>
      </c>
      <c r="F1013" s="22" t="s">
        <v>19</v>
      </c>
      <c r="G1013" s="26"/>
      <c r="H1013" s="22"/>
      <c r="I1013" s="22"/>
      <c r="J1013" s="2">
        <v>96</v>
      </c>
      <c r="K1013" s="6">
        <v>6</v>
      </c>
      <c r="L1013" s="150">
        <f t="shared" si="0"/>
        <v>115.52346570397113</v>
      </c>
      <c r="M1013" s="2"/>
      <c r="N1013" s="22"/>
      <c r="O1013" s="21"/>
      <c r="P1013" s="2"/>
    </row>
    <row r="1014" spans="1:16" ht="15" customHeight="1">
      <c r="A1014" s="2">
        <v>1011</v>
      </c>
      <c r="B1014" s="22" t="s">
        <v>297</v>
      </c>
      <c r="C1014" s="22" t="s">
        <v>298</v>
      </c>
      <c r="D1014" s="3">
        <v>43931</v>
      </c>
      <c r="E1014" s="22" t="s">
        <v>65</v>
      </c>
      <c r="F1014" s="22" t="s">
        <v>19</v>
      </c>
      <c r="G1014" s="26"/>
      <c r="H1014" s="22"/>
      <c r="I1014" s="22"/>
      <c r="J1014" s="2">
        <v>120</v>
      </c>
      <c r="K1014" s="6">
        <v>6</v>
      </c>
      <c r="L1014" s="150">
        <f t="shared" si="0"/>
        <v>144.4043321299639</v>
      </c>
      <c r="M1014" s="2"/>
      <c r="N1014" s="22"/>
      <c r="O1014" s="21"/>
      <c r="P1014" s="2"/>
    </row>
    <row r="1015" spans="1:16" ht="15" customHeight="1">
      <c r="A1015" s="2">
        <v>1012</v>
      </c>
      <c r="B1015" s="22" t="s">
        <v>297</v>
      </c>
      <c r="C1015" s="22" t="s">
        <v>298</v>
      </c>
      <c r="D1015" s="3">
        <v>43931</v>
      </c>
      <c r="E1015" s="22" t="s">
        <v>50</v>
      </c>
      <c r="F1015" s="22" t="s">
        <v>19</v>
      </c>
      <c r="G1015" s="26"/>
      <c r="H1015" s="22"/>
      <c r="I1015" s="22"/>
      <c r="J1015" s="2">
        <v>220</v>
      </c>
      <c r="K1015" s="6">
        <v>8</v>
      </c>
      <c r="L1015" s="150">
        <f t="shared" si="0"/>
        <v>279.89821882951657</v>
      </c>
      <c r="M1015" s="2"/>
      <c r="N1015" s="22"/>
      <c r="O1015" s="21"/>
      <c r="P1015" s="2"/>
    </row>
    <row r="1016" spans="1:16" ht="15" customHeight="1">
      <c r="A1016" s="2">
        <v>1013</v>
      </c>
      <c r="B1016" s="22" t="s">
        <v>297</v>
      </c>
      <c r="C1016" s="22" t="s">
        <v>298</v>
      </c>
      <c r="D1016" s="3">
        <v>43934</v>
      </c>
      <c r="E1016" s="22" t="s">
        <v>317</v>
      </c>
      <c r="F1016" s="22" t="s">
        <v>19</v>
      </c>
      <c r="G1016" s="26"/>
      <c r="H1016" s="22"/>
      <c r="I1016" s="22"/>
      <c r="J1016" s="2">
        <v>82</v>
      </c>
      <c r="K1016" s="6">
        <v>6</v>
      </c>
      <c r="L1016" s="150">
        <f t="shared" si="0"/>
        <v>98.676293622141998</v>
      </c>
      <c r="M1016" s="2"/>
      <c r="N1016" s="22"/>
      <c r="O1016" s="21"/>
      <c r="P1016" s="2"/>
    </row>
    <row r="1017" spans="1:16" ht="15" customHeight="1">
      <c r="A1017" s="2">
        <v>1014</v>
      </c>
      <c r="B1017" s="22" t="s">
        <v>297</v>
      </c>
      <c r="C1017" s="22" t="s">
        <v>298</v>
      </c>
      <c r="D1017" s="3">
        <v>43934</v>
      </c>
      <c r="E1017" s="22" t="s">
        <v>65</v>
      </c>
      <c r="F1017" s="22" t="s">
        <v>19</v>
      </c>
      <c r="G1017" s="26"/>
      <c r="H1017" s="22"/>
      <c r="I1017" s="22"/>
      <c r="J1017" s="2">
        <v>120</v>
      </c>
      <c r="K1017" s="6">
        <v>10</v>
      </c>
      <c r="L1017" s="150">
        <f t="shared" si="0"/>
        <v>161.29032258064515</v>
      </c>
      <c r="M1017" s="2"/>
      <c r="N1017" s="22"/>
      <c r="O1017" s="21"/>
      <c r="P1017" s="2"/>
    </row>
    <row r="1018" spans="1:16" ht="15" customHeight="1">
      <c r="A1018" s="2">
        <v>1015</v>
      </c>
      <c r="B1018" s="22" t="s">
        <v>297</v>
      </c>
      <c r="C1018" s="22" t="s">
        <v>298</v>
      </c>
      <c r="D1018" s="3">
        <v>43936</v>
      </c>
      <c r="E1018" s="22" t="s">
        <v>320</v>
      </c>
      <c r="F1018" s="22" t="s">
        <v>19</v>
      </c>
      <c r="G1018" s="26"/>
      <c r="H1018" s="22"/>
      <c r="I1018" s="22"/>
      <c r="J1018" s="2">
        <v>50</v>
      </c>
      <c r="K1018" s="6">
        <v>10</v>
      </c>
      <c r="L1018" s="150">
        <f t="shared" si="0"/>
        <v>67.204301075268816</v>
      </c>
      <c r="M1018" s="2"/>
      <c r="N1018" s="22"/>
      <c r="O1018" s="21"/>
      <c r="P1018" s="2"/>
    </row>
    <row r="1019" spans="1:16" ht="15" customHeight="1">
      <c r="A1019" s="2">
        <v>1016</v>
      </c>
      <c r="B1019" s="22" t="s">
        <v>297</v>
      </c>
      <c r="C1019" s="22" t="s">
        <v>298</v>
      </c>
      <c r="D1019" s="3">
        <v>43936</v>
      </c>
      <c r="E1019" s="22" t="s">
        <v>43</v>
      </c>
      <c r="F1019" s="22" t="s">
        <v>19</v>
      </c>
      <c r="G1019" s="26"/>
      <c r="H1019" s="22"/>
      <c r="I1019" s="22"/>
      <c r="J1019" s="2">
        <v>170</v>
      </c>
      <c r="K1019" s="6">
        <v>8</v>
      </c>
      <c r="L1019" s="150">
        <f t="shared" si="0"/>
        <v>216.28498727735371</v>
      </c>
      <c r="M1019" s="2"/>
      <c r="N1019" s="22" t="s">
        <v>128</v>
      </c>
      <c r="O1019" s="21"/>
      <c r="P1019" s="2"/>
    </row>
    <row r="1020" spans="1:16" ht="15" customHeight="1">
      <c r="A1020" s="2">
        <v>1017</v>
      </c>
      <c r="B1020" s="22" t="s">
        <v>297</v>
      </c>
      <c r="C1020" s="22" t="s">
        <v>298</v>
      </c>
      <c r="D1020" s="3">
        <v>43936</v>
      </c>
      <c r="E1020" s="22" t="s">
        <v>317</v>
      </c>
      <c r="F1020" s="22" t="s">
        <v>19</v>
      </c>
      <c r="G1020" s="26"/>
      <c r="H1020" s="22"/>
      <c r="I1020" s="22"/>
      <c r="J1020" s="2">
        <v>82</v>
      </c>
      <c r="K1020" s="6">
        <v>6</v>
      </c>
      <c r="L1020" s="150">
        <f t="shared" si="0"/>
        <v>98.676293622141998</v>
      </c>
      <c r="M1020" s="2"/>
      <c r="N1020" s="22"/>
      <c r="O1020" s="21"/>
      <c r="P1020" s="2"/>
    </row>
    <row r="1021" spans="1:16" ht="15" customHeight="1">
      <c r="A1021" s="2">
        <v>1018</v>
      </c>
      <c r="B1021" s="22" t="s">
        <v>297</v>
      </c>
      <c r="C1021" s="22" t="s">
        <v>298</v>
      </c>
      <c r="D1021" s="3">
        <v>43936</v>
      </c>
      <c r="E1021" s="22" t="s">
        <v>318</v>
      </c>
      <c r="F1021" s="22" t="s">
        <v>19</v>
      </c>
      <c r="G1021" s="26"/>
      <c r="H1021" s="22"/>
      <c r="I1021" s="22"/>
      <c r="J1021" s="2">
        <v>70</v>
      </c>
      <c r="K1021" s="6">
        <v>10</v>
      </c>
      <c r="L1021" s="150">
        <f t="shared" si="0"/>
        <v>94.086021505376337</v>
      </c>
      <c r="M1021" s="2"/>
      <c r="N1021" s="22"/>
      <c r="O1021" s="21"/>
      <c r="P1021" s="2"/>
    </row>
    <row r="1022" spans="1:16" ht="15" customHeight="1">
      <c r="A1022" s="2">
        <v>1019</v>
      </c>
      <c r="B1022" s="22" t="s">
        <v>297</v>
      </c>
      <c r="C1022" s="22" t="s">
        <v>298</v>
      </c>
      <c r="D1022" s="3">
        <v>43941</v>
      </c>
      <c r="E1022" s="22" t="s">
        <v>65</v>
      </c>
      <c r="F1022" s="22" t="s">
        <v>19</v>
      </c>
      <c r="G1022" s="26"/>
      <c r="H1022" s="22"/>
      <c r="I1022" s="22"/>
      <c r="J1022" s="2">
        <v>120</v>
      </c>
      <c r="K1022" s="6">
        <v>10</v>
      </c>
      <c r="L1022" s="150">
        <f t="shared" si="0"/>
        <v>161.29032258064515</v>
      </c>
      <c r="M1022" s="2">
        <v>93.7</v>
      </c>
      <c r="N1022" s="22"/>
      <c r="O1022" s="21"/>
      <c r="P1022" s="2"/>
    </row>
    <row r="1023" spans="1:16" ht="15" customHeight="1">
      <c r="A1023" s="2">
        <v>1020</v>
      </c>
      <c r="B1023" s="22" t="s">
        <v>297</v>
      </c>
      <c r="C1023" s="22" t="s">
        <v>298</v>
      </c>
      <c r="D1023" s="3">
        <v>43941</v>
      </c>
      <c r="E1023" s="22" t="s">
        <v>316</v>
      </c>
      <c r="F1023" s="22" t="s">
        <v>19</v>
      </c>
      <c r="G1023" s="26"/>
      <c r="H1023" s="22"/>
      <c r="I1023" s="22"/>
      <c r="J1023" s="2">
        <v>75</v>
      </c>
      <c r="K1023" s="6">
        <v>10</v>
      </c>
      <c r="L1023" s="150">
        <f t="shared" si="0"/>
        <v>100.80645161290322</v>
      </c>
      <c r="M1023" s="2">
        <v>93.7</v>
      </c>
      <c r="N1023" s="22"/>
      <c r="O1023" s="21"/>
      <c r="P1023" s="2"/>
    </row>
    <row r="1024" spans="1:16" ht="15" customHeight="1">
      <c r="A1024" s="2">
        <v>1021</v>
      </c>
      <c r="B1024" s="22" t="s">
        <v>297</v>
      </c>
      <c r="C1024" s="22" t="s">
        <v>298</v>
      </c>
      <c r="D1024" s="3">
        <v>43941</v>
      </c>
      <c r="E1024" s="22" t="s">
        <v>50</v>
      </c>
      <c r="F1024" s="22" t="s">
        <v>19</v>
      </c>
      <c r="G1024" s="26"/>
      <c r="H1024" s="22"/>
      <c r="I1024" s="22"/>
      <c r="J1024" s="2">
        <v>220</v>
      </c>
      <c r="K1024" s="6">
        <v>8</v>
      </c>
      <c r="L1024" s="150">
        <f t="shared" si="0"/>
        <v>279.89821882951657</v>
      </c>
      <c r="M1024" s="2">
        <v>93.7</v>
      </c>
      <c r="N1024" s="22"/>
      <c r="O1024" s="21"/>
      <c r="P1024" s="2"/>
    </row>
    <row r="1025" spans="1:16" ht="15" customHeight="1">
      <c r="A1025" s="2">
        <v>1022</v>
      </c>
      <c r="B1025" s="22" t="s">
        <v>297</v>
      </c>
      <c r="C1025" s="22" t="s">
        <v>298</v>
      </c>
      <c r="D1025" s="3">
        <v>43941</v>
      </c>
      <c r="E1025" s="22" t="s">
        <v>321</v>
      </c>
      <c r="F1025" s="22" t="s">
        <v>19</v>
      </c>
      <c r="G1025" s="26"/>
      <c r="H1025" s="22"/>
      <c r="I1025" s="22"/>
      <c r="J1025" s="2">
        <v>75</v>
      </c>
      <c r="K1025" s="6">
        <v>10</v>
      </c>
      <c r="L1025" s="150">
        <f t="shared" si="0"/>
        <v>100.80645161290322</v>
      </c>
      <c r="M1025" s="2">
        <v>93.7</v>
      </c>
      <c r="N1025" s="22"/>
      <c r="O1025" s="21"/>
      <c r="P1025" s="2"/>
    </row>
    <row r="1026" spans="1:16" ht="15" customHeight="1">
      <c r="A1026" s="2">
        <v>1023</v>
      </c>
      <c r="B1026" s="22" t="s">
        <v>297</v>
      </c>
      <c r="C1026" s="22" t="s">
        <v>298</v>
      </c>
      <c r="D1026" s="3">
        <v>43941</v>
      </c>
      <c r="E1026" s="22" t="s">
        <v>317</v>
      </c>
      <c r="F1026" s="22" t="s">
        <v>19</v>
      </c>
      <c r="G1026" s="26"/>
      <c r="H1026" s="22"/>
      <c r="I1026" s="22"/>
      <c r="J1026" s="2">
        <v>82</v>
      </c>
      <c r="K1026" s="6">
        <v>6</v>
      </c>
      <c r="L1026" s="150">
        <f t="shared" si="0"/>
        <v>98.676293622141998</v>
      </c>
      <c r="M1026" s="2">
        <v>93.7</v>
      </c>
      <c r="N1026" s="22"/>
      <c r="O1026" s="21"/>
      <c r="P1026" s="2"/>
    </row>
    <row r="1027" spans="1:16" ht="15" customHeight="1">
      <c r="A1027" s="2">
        <v>1024</v>
      </c>
      <c r="B1027" s="22" t="s">
        <v>297</v>
      </c>
      <c r="C1027" s="22" t="s">
        <v>298</v>
      </c>
      <c r="D1027" s="3">
        <v>43941</v>
      </c>
      <c r="E1027" s="22" t="s">
        <v>317</v>
      </c>
      <c r="F1027" s="22" t="s">
        <v>19</v>
      </c>
      <c r="G1027" s="26"/>
      <c r="H1027" s="22"/>
      <c r="I1027" s="22"/>
      <c r="J1027" s="2">
        <v>89</v>
      </c>
      <c r="K1027" s="6">
        <v>6</v>
      </c>
      <c r="L1027" s="150">
        <f t="shared" si="0"/>
        <v>107.09987966305657</v>
      </c>
      <c r="M1027" s="2">
        <v>93.7</v>
      </c>
      <c r="N1027" s="22"/>
      <c r="O1027" s="21"/>
      <c r="P1027" s="2"/>
    </row>
    <row r="1028" spans="1:16" ht="15" customHeight="1">
      <c r="A1028" s="2">
        <v>1025</v>
      </c>
      <c r="B1028" s="22" t="s">
        <v>297</v>
      </c>
      <c r="C1028" s="22" t="s">
        <v>298</v>
      </c>
      <c r="D1028" s="3">
        <v>43941</v>
      </c>
      <c r="E1028" s="22" t="s">
        <v>317</v>
      </c>
      <c r="F1028" s="22" t="s">
        <v>19</v>
      </c>
      <c r="G1028" s="26"/>
      <c r="H1028" s="22"/>
      <c r="I1028" s="22"/>
      <c r="J1028" s="2">
        <v>96</v>
      </c>
      <c r="K1028" s="6">
        <v>6</v>
      </c>
      <c r="L1028" s="150">
        <f t="shared" si="0"/>
        <v>115.52346570397113</v>
      </c>
      <c r="M1028" s="2">
        <v>93.7</v>
      </c>
      <c r="N1028" s="22"/>
      <c r="O1028" s="21"/>
      <c r="P1028" s="2"/>
    </row>
    <row r="1029" spans="1:16" ht="15" customHeight="1">
      <c r="A1029" s="2">
        <v>1026</v>
      </c>
      <c r="B1029" s="22" t="s">
        <v>297</v>
      </c>
      <c r="C1029" s="22" t="s">
        <v>298</v>
      </c>
      <c r="D1029" s="3">
        <v>43943</v>
      </c>
      <c r="E1029" s="22" t="s">
        <v>78</v>
      </c>
      <c r="F1029" s="22" t="s">
        <v>19</v>
      </c>
      <c r="G1029" s="26"/>
      <c r="H1029" s="22"/>
      <c r="I1029" s="22"/>
      <c r="J1029" s="2">
        <v>40</v>
      </c>
      <c r="K1029" s="6">
        <v>10</v>
      </c>
      <c r="L1029" s="150">
        <f t="shared" si="0"/>
        <v>53.763440860215049</v>
      </c>
      <c r="M1029" s="2">
        <v>93.8</v>
      </c>
      <c r="N1029" s="22"/>
      <c r="O1029" s="21"/>
      <c r="P1029" s="2"/>
    </row>
    <row r="1030" spans="1:16" ht="15" customHeight="1">
      <c r="A1030" s="2">
        <v>1027</v>
      </c>
      <c r="B1030" s="22" t="s">
        <v>297</v>
      </c>
      <c r="C1030" s="22" t="s">
        <v>298</v>
      </c>
      <c r="D1030" s="3">
        <v>43943</v>
      </c>
      <c r="E1030" s="22" t="s">
        <v>65</v>
      </c>
      <c r="F1030" s="22" t="s">
        <v>19</v>
      </c>
      <c r="G1030" s="26"/>
      <c r="H1030" s="22"/>
      <c r="I1030" s="22"/>
      <c r="J1030" s="2">
        <v>200</v>
      </c>
      <c r="K1030" s="6">
        <v>15</v>
      </c>
      <c r="L1030" s="150">
        <f t="shared" si="0"/>
        <v>302.11480362537759</v>
      </c>
      <c r="M1030" s="2">
        <v>93.8</v>
      </c>
      <c r="N1030" s="22"/>
      <c r="O1030" s="21"/>
      <c r="P1030" s="2"/>
    </row>
    <row r="1031" spans="1:16" ht="15" customHeight="1">
      <c r="A1031" s="2">
        <v>1028</v>
      </c>
      <c r="B1031" s="22" t="s">
        <v>297</v>
      </c>
      <c r="C1031" s="22" t="s">
        <v>298</v>
      </c>
      <c r="D1031" s="3">
        <v>43943</v>
      </c>
      <c r="E1031" s="22" t="s">
        <v>317</v>
      </c>
      <c r="F1031" s="22" t="s">
        <v>19</v>
      </c>
      <c r="G1031" s="26"/>
      <c r="H1031" s="22"/>
      <c r="I1031" s="22"/>
      <c r="J1031" s="2">
        <v>75</v>
      </c>
      <c r="K1031" s="6">
        <v>15</v>
      </c>
      <c r="L1031" s="150">
        <f t="shared" si="0"/>
        <v>113.29305135951661</v>
      </c>
      <c r="M1031" s="2">
        <v>93.8</v>
      </c>
      <c r="N1031" s="22"/>
      <c r="O1031" s="21"/>
      <c r="P1031" s="2"/>
    </row>
    <row r="1032" spans="1:16" ht="15" customHeight="1">
      <c r="A1032" s="2">
        <v>1029</v>
      </c>
      <c r="B1032" s="22" t="s">
        <v>297</v>
      </c>
      <c r="C1032" s="22" t="s">
        <v>298</v>
      </c>
      <c r="D1032" s="3">
        <v>43943</v>
      </c>
      <c r="E1032" s="22" t="s">
        <v>317</v>
      </c>
      <c r="F1032" s="22" t="s">
        <v>19</v>
      </c>
      <c r="G1032" s="26"/>
      <c r="H1032" s="22"/>
      <c r="I1032" s="22"/>
      <c r="J1032" s="2">
        <v>82</v>
      </c>
      <c r="K1032" s="6">
        <v>10</v>
      </c>
      <c r="L1032" s="150">
        <f t="shared" si="0"/>
        <v>110.21505376344085</v>
      </c>
      <c r="M1032" s="2">
        <v>93.8</v>
      </c>
      <c r="N1032" s="22"/>
      <c r="O1032" s="21"/>
      <c r="P1032" s="2"/>
    </row>
    <row r="1033" spans="1:16" ht="15" customHeight="1">
      <c r="A1033" s="2">
        <v>1030</v>
      </c>
      <c r="B1033" s="22" t="s">
        <v>297</v>
      </c>
      <c r="C1033" s="22" t="s">
        <v>298</v>
      </c>
      <c r="D1033" s="3">
        <v>43943</v>
      </c>
      <c r="E1033" s="22" t="s">
        <v>50</v>
      </c>
      <c r="F1033" s="22" t="s">
        <v>19</v>
      </c>
      <c r="G1033" s="26"/>
      <c r="H1033" s="22"/>
      <c r="I1033" s="22"/>
      <c r="J1033" s="2">
        <v>68</v>
      </c>
      <c r="K1033" s="6">
        <v>20</v>
      </c>
      <c r="L1033" s="150">
        <f t="shared" si="0"/>
        <v>112.21122112211221</v>
      </c>
      <c r="M1033" s="2">
        <v>93.8</v>
      </c>
      <c r="N1033" s="22"/>
      <c r="O1033" s="21"/>
      <c r="P1033" s="2"/>
    </row>
    <row r="1034" spans="1:16" ht="15" customHeight="1">
      <c r="A1034" s="2">
        <v>1031</v>
      </c>
      <c r="B1034" s="22" t="s">
        <v>297</v>
      </c>
      <c r="C1034" s="22" t="s">
        <v>298</v>
      </c>
      <c r="D1034" s="3">
        <v>43943</v>
      </c>
      <c r="E1034" s="22" t="s">
        <v>50</v>
      </c>
      <c r="F1034" s="22" t="s">
        <v>19</v>
      </c>
      <c r="G1034" s="26"/>
      <c r="H1034" s="22"/>
      <c r="I1034" s="22"/>
      <c r="J1034" s="2">
        <v>200</v>
      </c>
      <c r="K1034" s="6">
        <v>15</v>
      </c>
      <c r="L1034" s="150">
        <f t="shared" si="0"/>
        <v>302.11480362537759</v>
      </c>
      <c r="M1034" s="2">
        <v>93.8</v>
      </c>
      <c r="N1034" s="22"/>
      <c r="O1034" s="21"/>
      <c r="P1034" s="2"/>
    </row>
    <row r="1035" spans="1:16" ht="15" customHeight="1">
      <c r="A1035" s="2">
        <v>1032</v>
      </c>
      <c r="B1035" s="22" t="s">
        <v>297</v>
      </c>
      <c r="C1035" s="22" t="s">
        <v>298</v>
      </c>
      <c r="D1035" s="3">
        <v>43943</v>
      </c>
      <c r="E1035" s="22" t="s">
        <v>50</v>
      </c>
      <c r="F1035" s="22" t="s">
        <v>19</v>
      </c>
      <c r="G1035" s="26"/>
      <c r="H1035" s="22"/>
      <c r="I1035" s="22"/>
      <c r="J1035" s="2">
        <v>220</v>
      </c>
      <c r="K1035" s="6">
        <v>12</v>
      </c>
      <c r="L1035" s="150">
        <f t="shared" si="0"/>
        <v>312.94452347083927</v>
      </c>
      <c r="M1035" s="2">
        <v>93.8</v>
      </c>
      <c r="N1035" s="22"/>
      <c r="O1035" s="21"/>
      <c r="P1035" s="2"/>
    </row>
    <row r="1036" spans="1:16" ht="15" customHeight="1">
      <c r="A1036" s="2">
        <v>1033</v>
      </c>
      <c r="B1036" s="22" t="s">
        <v>297</v>
      </c>
      <c r="C1036" s="22" t="s">
        <v>298</v>
      </c>
      <c r="D1036" s="3">
        <v>43945</v>
      </c>
      <c r="E1036" s="22" t="s">
        <v>318</v>
      </c>
      <c r="F1036" s="22" t="s">
        <v>19</v>
      </c>
      <c r="G1036" s="26"/>
      <c r="H1036" s="22"/>
      <c r="I1036" s="22"/>
      <c r="J1036" s="2">
        <v>80</v>
      </c>
      <c r="K1036" s="6">
        <v>12</v>
      </c>
      <c r="L1036" s="150">
        <f t="shared" si="0"/>
        <v>113.79800853485065</v>
      </c>
      <c r="M1036" s="2">
        <v>93.2</v>
      </c>
      <c r="N1036" s="22"/>
      <c r="O1036" s="21"/>
      <c r="P1036" s="2"/>
    </row>
    <row r="1037" spans="1:16" ht="15" customHeight="1">
      <c r="A1037" s="2">
        <v>1034</v>
      </c>
      <c r="B1037" s="22" t="s">
        <v>297</v>
      </c>
      <c r="C1037" s="22" t="s">
        <v>298</v>
      </c>
      <c r="D1037" s="3">
        <v>43945</v>
      </c>
      <c r="E1037" s="22" t="s">
        <v>317</v>
      </c>
      <c r="F1037" s="22" t="s">
        <v>19</v>
      </c>
      <c r="G1037" s="26"/>
      <c r="H1037" s="22"/>
      <c r="I1037" s="22"/>
      <c r="J1037" s="2">
        <v>89</v>
      </c>
      <c r="K1037" s="6">
        <v>15</v>
      </c>
      <c r="L1037" s="150">
        <f t="shared" si="0"/>
        <v>134.44108761329304</v>
      </c>
      <c r="M1037" s="2">
        <v>93.2</v>
      </c>
      <c r="N1037" s="22"/>
      <c r="O1037" s="21"/>
      <c r="P1037" s="2"/>
    </row>
    <row r="1038" spans="1:16" ht="15" customHeight="1">
      <c r="A1038" s="2">
        <v>1035</v>
      </c>
      <c r="B1038" s="22" t="s">
        <v>297</v>
      </c>
      <c r="C1038" s="22" t="s">
        <v>298</v>
      </c>
      <c r="D1038" s="3">
        <v>43945</v>
      </c>
      <c r="E1038" s="22" t="s">
        <v>43</v>
      </c>
      <c r="F1038" s="22" t="s">
        <v>19</v>
      </c>
      <c r="G1038" s="26"/>
      <c r="H1038" s="22"/>
      <c r="I1038" s="22"/>
      <c r="J1038" s="2">
        <v>80</v>
      </c>
      <c r="K1038" s="6">
        <v>12</v>
      </c>
      <c r="L1038" s="150">
        <f t="shared" si="0"/>
        <v>113.79800853485065</v>
      </c>
      <c r="M1038" s="2">
        <v>93.2</v>
      </c>
      <c r="N1038" s="22" t="s">
        <v>128</v>
      </c>
      <c r="O1038" s="21"/>
      <c r="P1038" s="2"/>
    </row>
    <row r="1039" spans="1:16" ht="15" customHeight="1">
      <c r="A1039" s="2">
        <v>1036</v>
      </c>
      <c r="B1039" s="22" t="s">
        <v>297</v>
      </c>
      <c r="C1039" s="22" t="s">
        <v>298</v>
      </c>
      <c r="D1039" s="3">
        <v>43945</v>
      </c>
      <c r="E1039" s="22" t="s">
        <v>43</v>
      </c>
      <c r="F1039" s="22" t="s">
        <v>19</v>
      </c>
      <c r="G1039" s="26"/>
      <c r="H1039" s="22"/>
      <c r="I1039" s="22"/>
      <c r="J1039" s="2">
        <v>170</v>
      </c>
      <c r="K1039" s="6">
        <v>8</v>
      </c>
      <c r="L1039" s="150">
        <f t="shared" si="0"/>
        <v>216.28498727735371</v>
      </c>
      <c r="M1039" s="2">
        <v>93.2</v>
      </c>
      <c r="N1039" s="22" t="s">
        <v>128</v>
      </c>
      <c r="O1039" s="21"/>
      <c r="P1039" s="2"/>
    </row>
    <row r="1040" spans="1:16" ht="15" customHeight="1">
      <c r="A1040" s="2">
        <v>1037</v>
      </c>
      <c r="B1040" s="22" t="s">
        <v>297</v>
      </c>
      <c r="C1040" s="22" t="s">
        <v>298</v>
      </c>
      <c r="D1040" s="3">
        <v>43948</v>
      </c>
      <c r="E1040" s="22" t="s">
        <v>43</v>
      </c>
      <c r="F1040" s="22" t="s">
        <v>19</v>
      </c>
      <c r="G1040" s="26"/>
      <c r="H1040" s="22"/>
      <c r="I1040" s="22"/>
      <c r="J1040" s="2">
        <v>170</v>
      </c>
      <c r="K1040" s="6">
        <v>10</v>
      </c>
      <c r="L1040" s="150">
        <f t="shared" si="0"/>
        <v>228.49462365591395</v>
      </c>
      <c r="M1040" s="2">
        <v>93.9</v>
      </c>
      <c r="N1040" s="22" t="s">
        <v>128</v>
      </c>
      <c r="O1040" s="21"/>
      <c r="P1040" s="2"/>
    </row>
    <row r="1041" spans="1:16" ht="15" customHeight="1">
      <c r="A1041" s="2">
        <v>1038</v>
      </c>
      <c r="B1041" s="22" t="s">
        <v>297</v>
      </c>
      <c r="C1041" s="22" t="s">
        <v>298</v>
      </c>
      <c r="D1041" s="3">
        <v>43948</v>
      </c>
      <c r="E1041" s="22" t="s">
        <v>43</v>
      </c>
      <c r="F1041" s="22" t="s">
        <v>19</v>
      </c>
      <c r="G1041" s="26"/>
      <c r="H1041" s="22"/>
      <c r="I1041" s="22"/>
      <c r="J1041" s="2">
        <v>180</v>
      </c>
      <c r="K1041" s="6">
        <v>10</v>
      </c>
      <c r="L1041" s="150">
        <f t="shared" si="0"/>
        <v>241.93548387096772</v>
      </c>
      <c r="M1041" s="2">
        <v>93.9</v>
      </c>
      <c r="N1041" s="22" t="s">
        <v>128</v>
      </c>
      <c r="O1041" s="21"/>
      <c r="P1041" s="2"/>
    </row>
    <row r="1042" spans="1:16" ht="15" customHeight="1">
      <c r="A1042" s="2">
        <v>1039</v>
      </c>
      <c r="B1042" s="22" t="s">
        <v>297</v>
      </c>
      <c r="C1042" s="22" t="s">
        <v>298</v>
      </c>
      <c r="D1042" s="3">
        <v>43951</v>
      </c>
      <c r="E1042" s="22" t="s">
        <v>78</v>
      </c>
      <c r="F1042" s="22" t="s">
        <v>19</v>
      </c>
      <c r="G1042" s="26"/>
      <c r="H1042" s="22"/>
      <c r="I1042" s="22"/>
      <c r="J1042" s="2">
        <v>40</v>
      </c>
      <c r="K1042" s="6">
        <v>10</v>
      </c>
      <c r="L1042" s="150">
        <f t="shared" si="0"/>
        <v>53.763440860215049</v>
      </c>
      <c r="M1042" s="2">
        <v>93.2</v>
      </c>
      <c r="N1042" s="22"/>
      <c r="O1042" s="21"/>
      <c r="P1042" s="2"/>
    </row>
    <row r="1043" spans="1:16" ht="15" customHeight="1">
      <c r="A1043" s="2">
        <v>1040</v>
      </c>
      <c r="B1043" s="22" t="s">
        <v>297</v>
      </c>
      <c r="C1043" s="22" t="s">
        <v>298</v>
      </c>
      <c r="D1043" s="3">
        <v>43951</v>
      </c>
      <c r="E1043" s="22" t="s">
        <v>65</v>
      </c>
      <c r="F1043" s="22" t="s">
        <v>19</v>
      </c>
      <c r="G1043" s="26"/>
      <c r="H1043" s="22"/>
      <c r="I1043" s="22"/>
      <c r="J1043" s="2">
        <v>120</v>
      </c>
      <c r="K1043" s="6">
        <v>10</v>
      </c>
      <c r="L1043" s="150">
        <f t="shared" si="0"/>
        <v>161.29032258064515</v>
      </c>
      <c r="M1043" s="2">
        <v>93.2</v>
      </c>
      <c r="N1043" s="22"/>
      <c r="O1043" s="21"/>
      <c r="P1043" s="2"/>
    </row>
    <row r="1044" spans="1:16" ht="15" customHeight="1">
      <c r="A1044" s="2">
        <v>1041</v>
      </c>
      <c r="B1044" s="22" t="s">
        <v>297</v>
      </c>
      <c r="C1044" s="22" t="s">
        <v>298</v>
      </c>
      <c r="D1044" s="3">
        <v>43951</v>
      </c>
      <c r="E1044" s="22" t="s">
        <v>23</v>
      </c>
      <c r="F1044" s="22" t="s">
        <v>19</v>
      </c>
      <c r="G1044" s="26"/>
      <c r="H1044" s="22"/>
      <c r="I1044" s="22"/>
      <c r="J1044" s="2">
        <v>160</v>
      </c>
      <c r="K1044" s="6">
        <v>15</v>
      </c>
      <c r="L1044" s="150">
        <f t="shared" si="0"/>
        <v>241.69184290030211</v>
      </c>
      <c r="M1044" s="2">
        <v>93.2</v>
      </c>
      <c r="N1044" s="22"/>
      <c r="O1044" s="21"/>
      <c r="P1044" s="2"/>
    </row>
    <row r="1045" spans="1:16" ht="15" customHeight="1">
      <c r="A1045" s="2">
        <v>1042</v>
      </c>
      <c r="B1045" s="22" t="s">
        <v>297</v>
      </c>
      <c r="C1045" s="22" t="s">
        <v>298</v>
      </c>
      <c r="D1045" s="3">
        <v>43951</v>
      </c>
      <c r="E1045" s="22" t="s">
        <v>50</v>
      </c>
      <c r="F1045" s="22" t="s">
        <v>19</v>
      </c>
      <c r="G1045" s="26"/>
      <c r="H1045" s="22"/>
      <c r="I1045" s="22"/>
      <c r="J1045" s="2">
        <v>220</v>
      </c>
      <c r="K1045" s="6">
        <v>15</v>
      </c>
      <c r="L1045" s="150">
        <f t="shared" si="0"/>
        <v>332.32628398791536</v>
      </c>
      <c r="M1045" s="2">
        <v>93.2</v>
      </c>
      <c r="N1045" s="22"/>
      <c r="O1045" s="21"/>
      <c r="P1045" s="2"/>
    </row>
    <row r="1046" spans="1:16" ht="15" customHeight="1">
      <c r="A1046" s="2">
        <v>1043</v>
      </c>
      <c r="B1046" s="22" t="s">
        <v>297</v>
      </c>
      <c r="C1046" s="22" t="s">
        <v>298</v>
      </c>
      <c r="D1046" s="3">
        <v>43956</v>
      </c>
      <c r="E1046" s="22" t="s">
        <v>50</v>
      </c>
      <c r="F1046" s="22" t="s">
        <v>19</v>
      </c>
      <c r="G1046" s="26"/>
      <c r="H1046" s="22"/>
      <c r="I1046" s="22"/>
      <c r="J1046" s="2">
        <v>200</v>
      </c>
      <c r="K1046" s="6">
        <v>10</v>
      </c>
      <c r="L1046" s="150">
        <f t="shared" ref="L1046:L1109" si="1">IF(K1046=0,"",IF(K1046=1,J1046*(100/100),IF(K1046=2,J1046*(100/94.3),IF(K1046=3,J1046*(100/90.6),IF(K1046=4,J1046*(100/88.1),IF(K1046=5,J1046*(100/85.6),IF(K1046=6,J1046*(100/83.1),IF(K1046=7,J1046*(100/80.7),IF(K1046=8,J1046*(100/78.6),IF(K1046=9,J1046*(100/76.5),IF(K1046=10,J1046*(100/74.4),IF(K1046=11,J1046*(100/72.3),IF(K1046=12,J1046*(100/70.3),IF(K1046=13,J1046*(100/68.8),IF(K1046=14,J1046*(100/67.5),IF(K1046=15,J1046*(100/66.2),IF(K1046=16,J1046*(100/65),IF(K1046=17,J1046*(100/63.8),IF(K1046=18,J1046*(100/62.7),IF(K1046=19,J1046*(100/61.6),IF(K1046=20,J1046*(100/60.6),"&gt;20 reps")))))))))))))))))))))</f>
        <v>268.81720430107526</v>
      </c>
      <c r="M1046" s="2"/>
      <c r="N1046" s="22"/>
      <c r="O1046" s="21"/>
      <c r="P1046" s="2"/>
    </row>
    <row r="1047" spans="1:16" ht="15" customHeight="1">
      <c r="A1047" s="2">
        <v>1044</v>
      </c>
      <c r="B1047" s="22" t="s">
        <v>297</v>
      </c>
      <c r="C1047" s="22" t="s">
        <v>298</v>
      </c>
      <c r="D1047" s="3">
        <v>43956</v>
      </c>
      <c r="E1047" s="22" t="s">
        <v>65</v>
      </c>
      <c r="F1047" s="22" t="s">
        <v>19</v>
      </c>
      <c r="G1047" s="26"/>
      <c r="H1047" s="22"/>
      <c r="I1047" s="22"/>
      <c r="J1047" s="2">
        <v>105</v>
      </c>
      <c r="K1047" s="6">
        <v>10</v>
      </c>
      <c r="L1047" s="150">
        <f t="shared" si="1"/>
        <v>141.12903225806451</v>
      </c>
      <c r="M1047" s="2"/>
      <c r="N1047" s="22"/>
      <c r="O1047" s="21"/>
      <c r="P1047" s="2"/>
    </row>
    <row r="1048" spans="1:16" ht="15" customHeight="1">
      <c r="A1048" s="2">
        <v>1045</v>
      </c>
      <c r="B1048" s="22" t="s">
        <v>297</v>
      </c>
      <c r="C1048" s="22" t="s">
        <v>298</v>
      </c>
      <c r="D1048" s="3">
        <v>43956</v>
      </c>
      <c r="E1048" s="22" t="s">
        <v>317</v>
      </c>
      <c r="F1048" s="22" t="s">
        <v>19</v>
      </c>
      <c r="G1048" s="26"/>
      <c r="H1048" s="22"/>
      <c r="I1048" s="22"/>
      <c r="J1048" s="2">
        <v>82</v>
      </c>
      <c r="K1048" s="6">
        <v>10</v>
      </c>
      <c r="L1048" s="150">
        <f t="shared" si="1"/>
        <v>110.21505376344085</v>
      </c>
      <c r="M1048" s="2"/>
      <c r="N1048" s="22"/>
      <c r="O1048" s="21"/>
      <c r="P1048" s="2"/>
    </row>
    <row r="1049" spans="1:16" ht="15" customHeight="1">
      <c r="A1049" s="2">
        <v>1046</v>
      </c>
      <c r="B1049" s="22" t="s">
        <v>297</v>
      </c>
      <c r="C1049" s="22" t="s">
        <v>298</v>
      </c>
      <c r="D1049" s="3">
        <v>43958</v>
      </c>
      <c r="E1049" s="22" t="s">
        <v>23</v>
      </c>
      <c r="F1049" s="22" t="s">
        <v>19</v>
      </c>
      <c r="G1049" s="26"/>
      <c r="H1049" s="22"/>
      <c r="I1049" s="22"/>
      <c r="J1049" s="2">
        <v>180</v>
      </c>
      <c r="K1049" s="6">
        <v>8</v>
      </c>
      <c r="L1049" s="150">
        <f t="shared" si="1"/>
        <v>229.00763358778627</v>
      </c>
      <c r="M1049" s="2"/>
      <c r="N1049" s="22"/>
      <c r="O1049" s="21"/>
      <c r="P1049" s="2"/>
    </row>
    <row r="1050" spans="1:16" ht="15" customHeight="1">
      <c r="A1050" s="2">
        <v>1047</v>
      </c>
      <c r="B1050" s="22" t="s">
        <v>297</v>
      </c>
      <c r="C1050" s="22" t="s">
        <v>298</v>
      </c>
      <c r="D1050" s="3">
        <v>43958</v>
      </c>
      <c r="E1050" s="22" t="s">
        <v>50</v>
      </c>
      <c r="F1050" s="22" t="s">
        <v>19</v>
      </c>
      <c r="G1050" s="26"/>
      <c r="H1050" s="22"/>
      <c r="I1050" s="22"/>
      <c r="J1050" s="2">
        <v>250</v>
      </c>
      <c r="K1050" s="6">
        <v>8</v>
      </c>
      <c r="L1050" s="150">
        <f t="shared" si="1"/>
        <v>318.06615776081424</v>
      </c>
      <c r="M1050" s="2"/>
      <c r="N1050" s="22"/>
      <c r="O1050" s="21"/>
      <c r="P1050" s="2"/>
    </row>
    <row r="1051" spans="1:16" ht="15" customHeight="1">
      <c r="A1051" s="2">
        <v>1048</v>
      </c>
      <c r="B1051" s="22" t="s">
        <v>297</v>
      </c>
      <c r="C1051" s="22" t="s">
        <v>298</v>
      </c>
      <c r="D1051" s="3">
        <v>43958</v>
      </c>
      <c r="E1051" s="22" t="s">
        <v>43</v>
      </c>
      <c r="F1051" s="22" t="s">
        <v>19</v>
      </c>
      <c r="G1051" s="26"/>
      <c r="H1051" s="22"/>
      <c r="I1051" s="22"/>
      <c r="J1051" s="2">
        <v>190</v>
      </c>
      <c r="K1051" s="6">
        <v>8</v>
      </c>
      <c r="L1051" s="150">
        <f t="shared" si="1"/>
        <v>241.73027989821884</v>
      </c>
      <c r="M1051" s="2"/>
      <c r="N1051" s="22" t="s">
        <v>128</v>
      </c>
      <c r="O1051" s="21"/>
      <c r="P1051" s="2"/>
    </row>
    <row r="1052" spans="1:16" ht="15" customHeight="1">
      <c r="A1052" s="2">
        <v>1049</v>
      </c>
      <c r="B1052" s="22" t="s">
        <v>297</v>
      </c>
      <c r="C1052" s="22" t="s">
        <v>298</v>
      </c>
      <c r="D1052" s="3">
        <v>43962</v>
      </c>
      <c r="E1052" s="22" t="s">
        <v>316</v>
      </c>
      <c r="F1052" s="22" t="s">
        <v>19</v>
      </c>
      <c r="G1052" s="26"/>
      <c r="H1052" s="22"/>
      <c r="I1052" s="22"/>
      <c r="J1052" s="2">
        <v>70</v>
      </c>
      <c r="K1052" s="6">
        <v>10</v>
      </c>
      <c r="L1052" s="150">
        <f t="shared" si="1"/>
        <v>94.086021505376337</v>
      </c>
      <c r="M1052" s="2">
        <v>92.9</v>
      </c>
      <c r="N1052" s="22"/>
      <c r="O1052" s="21"/>
      <c r="P1052" s="2"/>
    </row>
    <row r="1053" spans="1:16" ht="15" customHeight="1">
      <c r="A1053" s="2">
        <v>1050</v>
      </c>
      <c r="B1053" s="22" t="s">
        <v>297</v>
      </c>
      <c r="C1053" s="22" t="s">
        <v>298</v>
      </c>
      <c r="D1053" s="3">
        <v>43962</v>
      </c>
      <c r="E1053" s="22" t="s">
        <v>50</v>
      </c>
      <c r="F1053" s="22" t="s">
        <v>19</v>
      </c>
      <c r="G1053" s="26"/>
      <c r="H1053" s="22"/>
      <c r="I1053" s="22"/>
      <c r="J1053" s="2">
        <v>200</v>
      </c>
      <c r="K1053" s="6">
        <v>12</v>
      </c>
      <c r="L1053" s="150">
        <f t="shared" si="1"/>
        <v>284.49502133712662</v>
      </c>
      <c r="M1053" s="2">
        <v>92.9</v>
      </c>
      <c r="N1053" s="22"/>
      <c r="O1053" s="21"/>
      <c r="P1053" s="2"/>
    </row>
    <row r="1054" spans="1:16" ht="15" customHeight="1">
      <c r="A1054" s="2">
        <v>1051</v>
      </c>
      <c r="B1054" s="22" t="s">
        <v>297</v>
      </c>
      <c r="C1054" s="22" t="s">
        <v>298</v>
      </c>
      <c r="D1054" s="3">
        <v>43962</v>
      </c>
      <c r="E1054" s="22" t="s">
        <v>50</v>
      </c>
      <c r="F1054" s="22" t="s">
        <v>19</v>
      </c>
      <c r="G1054" s="26"/>
      <c r="H1054" s="22" t="s">
        <v>130</v>
      </c>
      <c r="I1054" s="22"/>
      <c r="J1054" s="2">
        <v>220</v>
      </c>
      <c r="K1054" s="6">
        <v>12</v>
      </c>
      <c r="L1054" s="150">
        <f t="shared" si="1"/>
        <v>312.94452347083927</v>
      </c>
      <c r="M1054" s="2">
        <v>92.9</v>
      </c>
      <c r="N1054" s="22"/>
      <c r="O1054" s="21"/>
      <c r="P1054" s="2"/>
    </row>
    <row r="1055" spans="1:16" ht="15" customHeight="1">
      <c r="A1055" s="2">
        <v>1052</v>
      </c>
      <c r="B1055" s="22" t="s">
        <v>297</v>
      </c>
      <c r="C1055" s="22" t="s">
        <v>298</v>
      </c>
      <c r="D1055" s="3">
        <v>43962</v>
      </c>
      <c r="E1055" s="22" t="s">
        <v>321</v>
      </c>
      <c r="F1055" s="22" t="s">
        <v>19</v>
      </c>
      <c r="G1055" s="26"/>
      <c r="H1055" s="22"/>
      <c r="I1055" s="22"/>
      <c r="J1055" s="2">
        <v>75</v>
      </c>
      <c r="K1055" s="6">
        <v>15</v>
      </c>
      <c r="L1055" s="150">
        <f t="shared" si="1"/>
        <v>113.29305135951661</v>
      </c>
      <c r="M1055" s="2">
        <v>92.9</v>
      </c>
      <c r="N1055" s="22"/>
      <c r="O1055" s="21"/>
      <c r="P1055" s="2"/>
    </row>
    <row r="1056" spans="1:16" ht="15" customHeight="1">
      <c r="A1056" s="2">
        <v>1053</v>
      </c>
      <c r="B1056" s="22" t="s">
        <v>297</v>
      </c>
      <c r="C1056" s="22" t="s">
        <v>298</v>
      </c>
      <c r="D1056" s="3">
        <v>43962</v>
      </c>
      <c r="E1056" s="22" t="s">
        <v>23</v>
      </c>
      <c r="F1056" s="22" t="s">
        <v>19</v>
      </c>
      <c r="G1056" s="26"/>
      <c r="H1056" s="22"/>
      <c r="I1056" s="22"/>
      <c r="J1056" s="2">
        <v>82</v>
      </c>
      <c r="K1056" s="6">
        <v>10</v>
      </c>
      <c r="L1056" s="150">
        <f t="shared" si="1"/>
        <v>110.21505376344085</v>
      </c>
      <c r="M1056" s="2">
        <v>92.9</v>
      </c>
      <c r="N1056" s="22"/>
      <c r="O1056" s="21"/>
      <c r="P1056" s="2"/>
    </row>
    <row r="1057" spans="1:16" ht="15" customHeight="1">
      <c r="A1057" s="2">
        <v>1054</v>
      </c>
      <c r="B1057" s="22" t="s">
        <v>297</v>
      </c>
      <c r="C1057" s="22" t="s">
        <v>298</v>
      </c>
      <c r="D1057" s="3">
        <v>43962</v>
      </c>
      <c r="E1057" s="22" t="s">
        <v>43</v>
      </c>
      <c r="F1057" s="22" t="s">
        <v>19</v>
      </c>
      <c r="G1057" s="26"/>
      <c r="H1057" s="22"/>
      <c r="I1057" s="22"/>
      <c r="J1057" s="2">
        <v>170</v>
      </c>
      <c r="K1057" s="6">
        <v>12</v>
      </c>
      <c r="L1057" s="150">
        <f t="shared" si="1"/>
        <v>241.82076813655763</v>
      </c>
      <c r="M1057" s="2">
        <v>92.9</v>
      </c>
      <c r="N1057" s="22" t="s">
        <v>128</v>
      </c>
      <c r="O1057" s="21"/>
      <c r="P1057" s="2"/>
    </row>
    <row r="1058" spans="1:16" ht="15" customHeight="1">
      <c r="A1058" s="2">
        <v>1055</v>
      </c>
      <c r="B1058" s="22" t="s">
        <v>297</v>
      </c>
      <c r="C1058" s="22" t="s">
        <v>298</v>
      </c>
      <c r="D1058" s="3">
        <v>43964</v>
      </c>
      <c r="E1058" s="22" t="s">
        <v>318</v>
      </c>
      <c r="F1058" s="22" t="s">
        <v>19</v>
      </c>
      <c r="G1058" s="26"/>
      <c r="H1058" s="22"/>
      <c r="I1058" s="22"/>
      <c r="J1058" s="2">
        <v>90</v>
      </c>
      <c r="K1058" s="6">
        <v>10</v>
      </c>
      <c r="L1058" s="150">
        <f t="shared" si="1"/>
        <v>120.96774193548386</v>
      </c>
      <c r="M1058" s="2"/>
      <c r="N1058" s="22"/>
      <c r="O1058" s="21"/>
      <c r="P1058" s="2"/>
    </row>
    <row r="1059" spans="1:16" ht="15" customHeight="1">
      <c r="A1059" s="2">
        <v>1056</v>
      </c>
      <c r="B1059" s="22" t="s">
        <v>297</v>
      </c>
      <c r="C1059" s="22" t="s">
        <v>298</v>
      </c>
      <c r="D1059" s="3">
        <v>43964</v>
      </c>
      <c r="E1059" s="22" t="s">
        <v>67</v>
      </c>
      <c r="F1059" s="22" t="s">
        <v>19</v>
      </c>
      <c r="G1059" s="26"/>
      <c r="H1059" s="22"/>
      <c r="I1059" s="22"/>
      <c r="J1059" s="2">
        <v>180</v>
      </c>
      <c r="K1059" s="6">
        <v>12</v>
      </c>
      <c r="L1059" s="150">
        <f t="shared" si="1"/>
        <v>256.04551920341396</v>
      </c>
      <c r="M1059" s="2"/>
      <c r="N1059" s="22"/>
      <c r="O1059" s="21"/>
      <c r="P1059" s="2"/>
    </row>
    <row r="1060" spans="1:16" ht="15" customHeight="1">
      <c r="A1060" s="2">
        <v>1057</v>
      </c>
      <c r="B1060" s="22" t="s">
        <v>297</v>
      </c>
      <c r="C1060" s="22" t="s">
        <v>298</v>
      </c>
      <c r="D1060" s="3">
        <v>43964</v>
      </c>
      <c r="E1060" s="22" t="s">
        <v>65</v>
      </c>
      <c r="F1060" s="22" t="s">
        <v>19</v>
      </c>
      <c r="G1060" s="26"/>
      <c r="H1060" s="22"/>
      <c r="I1060" s="22"/>
      <c r="J1060" s="2">
        <v>135</v>
      </c>
      <c r="K1060" s="6">
        <v>10</v>
      </c>
      <c r="L1060" s="150">
        <f t="shared" si="1"/>
        <v>181.45161290322579</v>
      </c>
      <c r="M1060" s="2"/>
      <c r="N1060" s="22"/>
      <c r="O1060" s="21"/>
      <c r="P1060" s="2"/>
    </row>
    <row r="1061" spans="1:16" ht="15" customHeight="1">
      <c r="A1061" s="2">
        <v>1058</v>
      </c>
      <c r="B1061" s="22" t="s">
        <v>297</v>
      </c>
      <c r="C1061" s="22" t="s">
        <v>298</v>
      </c>
      <c r="D1061" s="3">
        <v>43966</v>
      </c>
      <c r="E1061" s="22" t="s">
        <v>43</v>
      </c>
      <c r="F1061" s="22" t="s">
        <v>19</v>
      </c>
      <c r="G1061" s="26"/>
      <c r="H1061" s="22"/>
      <c r="I1061" s="22"/>
      <c r="J1061" s="2">
        <v>170</v>
      </c>
      <c r="K1061" s="6">
        <v>12</v>
      </c>
      <c r="L1061" s="150">
        <f t="shared" si="1"/>
        <v>241.82076813655763</v>
      </c>
      <c r="M1061" s="2"/>
      <c r="N1061" s="22" t="s">
        <v>128</v>
      </c>
      <c r="O1061" s="21"/>
      <c r="P1061" s="2"/>
    </row>
    <row r="1062" spans="1:16" ht="15" customHeight="1">
      <c r="A1062" s="2">
        <v>1059</v>
      </c>
      <c r="B1062" s="138" t="s">
        <v>31</v>
      </c>
      <c r="C1062" s="138" t="s">
        <v>32</v>
      </c>
      <c r="D1062" s="139">
        <v>43724</v>
      </c>
      <c r="E1062" s="138" t="s">
        <v>18</v>
      </c>
      <c r="F1062" s="138"/>
      <c r="G1062" s="140"/>
      <c r="H1062" s="138"/>
      <c r="I1062" s="138"/>
      <c r="J1062" s="141">
        <v>150</v>
      </c>
      <c r="K1062" s="141">
        <v>3</v>
      </c>
      <c r="L1062" s="150">
        <f t="shared" si="1"/>
        <v>165.56291390728478</v>
      </c>
      <c r="M1062" s="142">
        <v>85.7</v>
      </c>
      <c r="N1062" s="138" t="s">
        <v>301</v>
      </c>
      <c r="O1062" s="143"/>
      <c r="P1062" s="2"/>
    </row>
    <row r="1063" spans="1:16" ht="15" customHeight="1">
      <c r="A1063" s="2">
        <v>1060</v>
      </c>
      <c r="B1063" s="22" t="s">
        <v>31</v>
      </c>
      <c r="C1063" s="22" t="s">
        <v>32</v>
      </c>
      <c r="D1063" s="3">
        <v>43727</v>
      </c>
      <c r="E1063" s="22" t="s">
        <v>67</v>
      </c>
      <c r="F1063" s="22" t="s">
        <v>19</v>
      </c>
      <c r="G1063" s="26"/>
      <c r="H1063" s="22"/>
      <c r="I1063" s="22"/>
      <c r="J1063" s="6">
        <v>660</v>
      </c>
      <c r="K1063" s="6">
        <v>3</v>
      </c>
      <c r="L1063" s="150">
        <f t="shared" si="1"/>
        <v>728.47682119205308</v>
      </c>
      <c r="M1063" s="2">
        <v>86.3</v>
      </c>
      <c r="N1063" s="22"/>
      <c r="O1063" s="21"/>
      <c r="P1063" s="2"/>
    </row>
    <row r="1064" spans="1:16" ht="15" customHeight="1">
      <c r="A1064" s="2">
        <v>1061</v>
      </c>
      <c r="B1064" s="138" t="s">
        <v>31</v>
      </c>
      <c r="C1064" s="138" t="s">
        <v>32</v>
      </c>
      <c r="D1064" s="139">
        <v>43731</v>
      </c>
      <c r="E1064" s="138" t="s">
        <v>18</v>
      </c>
      <c r="F1064" s="138"/>
      <c r="G1064" s="140"/>
      <c r="H1064" s="138"/>
      <c r="I1064" s="138"/>
      <c r="J1064" s="141">
        <v>150</v>
      </c>
      <c r="K1064" s="141">
        <v>1</v>
      </c>
      <c r="L1064" s="150">
        <f t="shared" si="1"/>
        <v>150</v>
      </c>
      <c r="M1064" s="142">
        <v>85.8</v>
      </c>
      <c r="N1064" s="138" t="s">
        <v>301</v>
      </c>
      <c r="O1064" s="143"/>
      <c r="P1064" s="2"/>
    </row>
    <row r="1065" spans="1:16" ht="15" customHeight="1">
      <c r="A1065" s="2">
        <v>1062</v>
      </c>
      <c r="B1065" s="22" t="s">
        <v>31</v>
      </c>
      <c r="C1065" s="22" t="s">
        <v>32</v>
      </c>
      <c r="D1065" s="3">
        <v>43731</v>
      </c>
      <c r="E1065" s="22" t="s">
        <v>18</v>
      </c>
      <c r="F1065" s="22" t="s">
        <v>19</v>
      </c>
      <c r="G1065" s="26"/>
      <c r="H1065" s="22"/>
      <c r="I1065" s="22"/>
      <c r="J1065" s="6">
        <v>145</v>
      </c>
      <c r="K1065" s="6">
        <v>3</v>
      </c>
      <c r="L1065" s="150">
        <f t="shared" si="1"/>
        <v>160.04415011037528</v>
      </c>
      <c r="M1065" s="2">
        <v>85.8</v>
      </c>
      <c r="N1065" s="22" t="s">
        <v>301</v>
      </c>
      <c r="O1065" s="21"/>
      <c r="P1065" s="2"/>
    </row>
    <row r="1066" spans="1:16" ht="15" customHeight="1">
      <c r="A1066" s="2">
        <v>1063</v>
      </c>
      <c r="B1066" s="138" t="s">
        <v>31</v>
      </c>
      <c r="C1066" s="138" t="s">
        <v>32</v>
      </c>
      <c r="D1066" s="139">
        <v>43734</v>
      </c>
      <c r="E1066" s="138" t="s">
        <v>67</v>
      </c>
      <c r="F1066" s="138" t="s">
        <v>19</v>
      </c>
      <c r="G1066" s="140"/>
      <c r="H1066" s="138"/>
      <c r="I1066" s="138"/>
      <c r="J1066" s="141">
        <v>635</v>
      </c>
      <c r="K1066" s="141">
        <v>3</v>
      </c>
      <c r="L1066" s="150">
        <f t="shared" si="1"/>
        <v>700.88300220750557</v>
      </c>
      <c r="M1066" s="142">
        <v>85.9</v>
      </c>
      <c r="N1066" s="138"/>
      <c r="O1066" s="143"/>
      <c r="P1066" s="2"/>
    </row>
    <row r="1067" spans="1:16" ht="15" customHeight="1">
      <c r="A1067" s="2">
        <v>1064</v>
      </c>
      <c r="B1067" s="22" t="s">
        <v>31</v>
      </c>
      <c r="C1067" s="22" t="s">
        <v>32</v>
      </c>
      <c r="D1067" s="3">
        <v>43734</v>
      </c>
      <c r="E1067" s="22" t="s">
        <v>67</v>
      </c>
      <c r="F1067" s="22" t="s">
        <v>19</v>
      </c>
      <c r="G1067" s="26"/>
      <c r="H1067" s="22"/>
      <c r="I1067" s="22"/>
      <c r="J1067" s="6">
        <v>660</v>
      </c>
      <c r="K1067" s="6">
        <v>2</v>
      </c>
      <c r="L1067" s="150">
        <f t="shared" si="1"/>
        <v>699.89395546129379</v>
      </c>
      <c r="M1067" s="2">
        <v>85.9</v>
      </c>
      <c r="N1067" s="22"/>
      <c r="O1067" s="21"/>
      <c r="P1067" s="2"/>
    </row>
    <row r="1068" spans="1:16" ht="15" customHeight="1">
      <c r="A1068" s="2">
        <v>1065</v>
      </c>
      <c r="B1068" s="138" t="s">
        <v>31</v>
      </c>
      <c r="C1068" s="138" t="s">
        <v>32</v>
      </c>
      <c r="D1068" s="139">
        <v>43748</v>
      </c>
      <c r="E1068" s="138" t="s">
        <v>67</v>
      </c>
      <c r="F1068" s="138" t="s">
        <v>19</v>
      </c>
      <c r="G1068" s="140"/>
      <c r="H1068" s="138"/>
      <c r="I1068" s="138"/>
      <c r="J1068" s="141">
        <v>660</v>
      </c>
      <c r="K1068" s="141">
        <v>3</v>
      </c>
      <c r="L1068" s="150">
        <f t="shared" si="1"/>
        <v>728.47682119205308</v>
      </c>
      <c r="M1068" s="142">
        <v>85.7</v>
      </c>
      <c r="N1068" s="138"/>
      <c r="O1068" s="143"/>
      <c r="P1068" s="2"/>
    </row>
    <row r="1069" spans="1:16" ht="15" customHeight="1">
      <c r="A1069" s="2">
        <v>1066</v>
      </c>
      <c r="B1069" s="22" t="s">
        <v>31</v>
      </c>
      <c r="C1069" s="22" t="s">
        <v>32</v>
      </c>
      <c r="D1069" s="3">
        <v>43769</v>
      </c>
      <c r="E1069" s="22" t="s">
        <v>322</v>
      </c>
      <c r="F1069" s="22" t="s">
        <v>19</v>
      </c>
      <c r="G1069" s="26"/>
      <c r="H1069" s="22"/>
      <c r="I1069" s="22"/>
      <c r="J1069" s="6">
        <v>160</v>
      </c>
      <c r="K1069" s="6">
        <v>3</v>
      </c>
      <c r="L1069" s="150">
        <f t="shared" si="1"/>
        <v>176.60044150110377</v>
      </c>
      <c r="M1069" s="2">
        <v>86.4</v>
      </c>
      <c r="N1069" s="22"/>
      <c r="O1069" s="21"/>
      <c r="P1069" s="2"/>
    </row>
    <row r="1070" spans="1:16" ht="15" customHeight="1">
      <c r="A1070" s="2">
        <v>1067</v>
      </c>
      <c r="B1070" s="138" t="s">
        <v>31</v>
      </c>
      <c r="C1070" s="138" t="s">
        <v>32</v>
      </c>
      <c r="D1070" s="139">
        <v>43773</v>
      </c>
      <c r="E1070" s="138" t="s">
        <v>18</v>
      </c>
      <c r="F1070" s="138" t="s">
        <v>19</v>
      </c>
      <c r="G1070" s="140"/>
      <c r="H1070" s="138"/>
      <c r="I1070" s="138"/>
      <c r="J1070" s="141">
        <v>150</v>
      </c>
      <c r="K1070" s="141">
        <v>3</v>
      </c>
      <c r="L1070" s="150">
        <f t="shared" si="1"/>
        <v>165.56291390728478</v>
      </c>
      <c r="M1070" s="142">
        <v>85.7</v>
      </c>
      <c r="N1070" s="138" t="s">
        <v>301</v>
      </c>
      <c r="O1070" s="143"/>
      <c r="P1070" s="2"/>
    </row>
    <row r="1071" spans="1:16" ht="15" customHeight="1">
      <c r="A1071" s="2">
        <v>1068</v>
      </c>
      <c r="B1071" s="22" t="s">
        <v>31</v>
      </c>
      <c r="C1071" s="22" t="s">
        <v>32</v>
      </c>
      <c r="D1071" s="3">
        <v>43776</v>
      </c>
      <c r="E1071" s="22" t="s">
        <v>322</v>
      </c>
      <c r="F1071" s="22" t="s">
        <v>19</v>
      </c>
      <c r="G1071" s="26"/>
      <c r="H1071" s="22"/>
      <c r="I1071" s="22"/>
      <c r="J1071" s="6">
        <v>140</v>
      </c>
      <c r="K1071" s="6">
        <v>3</v>
      </c>
      <c r="L1071" s="150">
        <f t="shared" si="1"/>
        <v>154.52538631346579</v>
      </c>
      <c r="M1071" s="2"/>
      <c r="N1071" s="22"/>
      <c r="O1071" s="21"/>
      <c r="P1071" s="2"/>
    </row>
    <row r="1072" spans="1:16" ht="15" customHeight="1">
      <c r="A1072" s="2">
        <v>1069</v>
      </c>
      <c r="B1072" s="138" t="s">
        <v>31</v>
      </c>
      <c r="C1072" s="138" t="s">
        <v>32</v>
      </c>
      <c r="D1072" s="139">
        <v>43776</v>
      </c>
      <c r="E1072" s="138" t="s">
        <v>70</v>
      </c>
      <c r="F1072" s="138" t="s">
        <v>19</v>
      </c>
      <c r="G1072" s="140"/>
      <c r="H1072" s="138"/>
      <c r="I1072" s="138"/>
      <c r="J1072" s="141">
        <v>115</v>
      </c>
      <c r="K1072" s="141">
        <v>6</v>
      </c>
      <c r="L1072" s="150">
        <f t="shared" si="1"/>
        <v>138.38748495788207</v>
      </c>
      <c r="M1072" s="142"/>
      <c r="N1072" s="138"/>
      <c r="O1072" s="143"/>
      <c r="P1072" s="2"/>
    </row>
    <row r="1073" spans="1:16" ht="15" customHeight="1">
      <c r="A1073" s="2">
        <v>1070</v>
      </c>
      <c r="B1073" s="22" t="s">
        <v>31</v>
      </c>
      <c r="C1073" s="22" t="s">
        <v>32</v>
      </c>
      <c r="D1073" s="3">
        <v>43776</v>
      </c>
      <c r="E1073" s="22" t="s">
        <v>67</v>
      </c>
      <c r="F1073" s="22" t="s">
        <v>19</v>
      </c>
      <c r="G1073" s="26"/>
      <c r="H1073" s="22"/>
      <c r="I1073" s="22"/>
      <c r="J1073" s="6">
        <v>660</v>
      </c>
      <c r="K1073" s="6">
        <v>2</v>
      </c>
      <c r="L1073" s="150">
        <f t="shared" si="1"/>
        <v>699.89395546129379</v>
      </c>
      <c r="M1073" s="2"/>
      <c r="N1073" s="22"/>
      <c r="O1073" s="21"/>
      <c r="P1073" s="2"/>
    </row>
    <row r="1074" spans="1:16" ht="15" customHeight="1">
      <c r="A1074" s="2">
        <v>1071</v>
      </c>
      <c r="B1074" s="22" t="s">
        <v>31</v>
      </c>
      <c r="C1074" s="22" t="s">
        <v>32</v>
      </c>
      <c r="D1074" s="3">
        <v>43780</v>
      </c>
      <c r="E1074" s="22" t="s">
        <v>18</v>
      </c>
      <c r="F1074" s="22" t="s">
        <v>19</v>
      </c>
      <c r="G1074" s="26"/>
      <c r="H1074" s="22"/>
      <c r="I1074" s="22"/>
      <c r="J1074" s="6">
        <v>145</v>
      </c>
      <c r="K1074" s="6">
        <v>3</v>
      </c>
      <c r="L1074" s="150">
        <f t="shared" si="1"/>
        <v>160.04415011037528</v>
      </c>
      <c r="M1074" s="2">
        <v>86.4</v>
      </c>
      <c r="N1074" s="22" t="s">
        <v>301</v>
      </c>
      <c r="O1074" s="21"/>
      <c r="P1074" s="2"/>
    </row>
    <row r="1075" spans="1:16" ht="15" customHeight="1">
      <c r="A1075" s="2">
        <v>1072</v>
      </c>
      <c r="B1075" s="22" t="s">
        <v>31</v>
      </c>
      <c r="C1075" s="22" t="s">
        <v>32</v>
      </c>
      <c r="D1075" s="3">
        <v>43783</v>
      </c>
      <c r="E1075" s="22" t="s">
        <v>70</v>
      </c>
      <c r="F1075" s="22" t="s">
        <v>19</v>
      </c>
      <c r="G1075" s="26"/>
      <c r="H1075" s="22"/>
      <c r="I1075" s="22"/>
      <c r="J1075" s="6">
        <v>115</v>
      </c>
      <c r="K1075" s="6">
        <v>6</v>
      </c>
      <c r="L1075" s="150">
        <f t="shared" si="1"/>
        <v>138.38748495788207</v>
      </c>
      <c r="M1075" s="2">
        <v>86.4</v>
      </c>
      <c r="N1075" s="22"/>
      <c r="O1075" s="21"/>
      <c r="P1075" s="2"/>
    </row>
    <row r="1076" spans="1:16" ht="15" customHeight="1">
      <c r="A1076" s="2">
        <v>1073</v>
      </c>
      <c r="B1076" s="22" t="s">
        <v>31</v>
      </c>
      <c r="C1076" s="22" t="s">
        <v>32</v>
      </c>
      <c r="D1076" s="3">
        <v>43783</v>
      </c>
      <c r="E1076" s="22" t="s">
        <v>67</v>
      </c>
      <c r="F1076" s="22" t="s">
        <v>19</v>
      </c>
      <c r="G1076" s="26"/>
      <c r="H1076" s="22"/>
      <c r="I1076" s="22"/>
      <c r="J1076" s="6">
        <v>630</v>
      </c>
      <c r="K1076" s="6">
        <v>3</v>
      </c>
      <c r="L1076" s="150">
        <f t="shared" si="1"/>
        <v>695.36423841059604</v>
      </c>
      <c r="M1076" s="2">
        <v>86.4</v>
      </c>
      <c r="N1076" s="22"/>
      <c r="O1076" s="21"/>
      <c r="P1076" s="2"/>
    </row>
    <row r="1077" spans="1:16" ht="15" customHeight="1">
      <c r="A1077" s="2">
        <v>1074</v>
      </c>
      <c r="B1077" s="22" t="s">
        <v>31</v>
      </c>
      <c r="C1077" s="22" t="s">
        <v>32</v>
      </c>
      <c r="D1077" s="3">
        <v>43829</v>
      </c>
      <c r="E1077" s="22" t="s">
        <v>323</v>
      </c>
      <c r="F1077" s="22" t="s">
        <v>19</v>
      </c>
      <c r="G1077" s="26"/>
      <c r="H1077" s="22"/>
      <c r="I1077" s="22"/>
      <c r="J1077" s="6">
        <v>60</v>
      </c>
      <c r="K1077" s="6">
        <v>5</v>
      </c>
      <c r="L1077" s="150">
        <f t="shared" si="1"/>
        <v>70.09345794392523</v>
      </c>
      <c r="M1077" s="2"/>
      <c r="N1077" s="22"/>
      <c r="O1077" s="21"/>
      <c r="P1077" s="2"/>
    </row>
    <row r="1078" spans="1:16" ht="15" customHeight="1">
      <c r="A1078" s="2">
        <v>1075</v>
      </c>
      <c r="B1078" s="22" t="s">
        <v>31</v>
      </c>
      <c r="C1078" s="22" t="s">
        <v>32</v>
      </c>
      <c r="D1078" s="3">
        <v>43833</v>
      </c>
      <c r="E1078" s="22" t="s">
        <v>324</v>
      </c>
      <c r="F1078" s="22" t="s">
        <v>19</v>
      </c>
      <c r="G1078" s="26"/>
      <c r="H1078" s="22"/>
      <c r="I1078" s="22"/>
      <c r="J1078" s="6">
        <v>150</v>
      </c>
      <c r="K1078" s="6">
        <v>2</v>
      </c>
      <c r="L1078" s="150">
        <f t="shared" si="1"/>
        <v>159.06680805938495</v>
      </c>
      <c r="M1078" s="2"/>
      <c r="N1078" s="22" t="s">
        <v>301</v>
      </c>
      <c r="O1078" s="21"/>
      <c r="P1078" s="2"/>
    </row>
    <row r="1079" spans="1:16" ht="15" customHeight="1">
      <c r="A1079" s="2">
        <v>1076</v>
      </c>
      <c r="B1079" s="22" t="s">
        <v>31</v>
      </c>
      <c r="C1079" s="22" t="s">
        <v>32</v>
      </c>
      <c r="D1079" s="3">
        <v>43836</v>
      </c>
      <c r="E1079" s="22" t="s">
        <v>323</v>
      </c>
      <c r="F1079" s="22" t="s">
        <v>19</v>
      </c>
      <c r="G1079" s="26"/>
      <c r="H1079" s="22"/>
      <c r="I1079" s="22"/>
      <c r="J1079" s="6">
        <v>60</v>
      </c>
      <c r="K1079" s="6">
        <v>5</v>
      </c>
      <c r="L1079" s="150">
        <f t="shared" si="1"/>
        <v>70.09345794392523</v>
      </c>
      <c r="M1079" s="2">
        <v>85.8</v>
      </c>
      <c r="N1079" s="22"/>
      <c r="O1079" s="21"/>
      <c r="P1079" s="2"/>
    </row>
    <row r="1080" spans="1:16" ht="15" customHeight="1">
      <c r="A1080" s="2">
        <v>1077</v>
      </c>
      <c r="B1080" s="22" t="s">
        <v>31</v>
      </c>
      <c r="C1080" s="22" t="s">
        <v>32</v>
      </c>
      <c r="D1080" s="3">
        <v>43840</v>
      </c>
      <c r="E1080" s="22" t="s">
        <v>18</v>
      </c>
      <c r="F1080" s="22" t="s">
        <v>19</v>
      </c>
      <c r="G1080" s="26"/>
      <c r="H1080" s="22"/>
      <c r="I1080" s="22"/>
      <c r="J1080" s="6">
        <v>140</v>
      </c>
      <c r="K1080" s="6">
        <v>4</v>
      </c>
      <c r="L1080" s="150">
        <f t="shared" si="1"/>
        <v>158.91032917139614</v>
      </c>
      <c r="M1080" s="2"/>
      <c r="N1080" s="22" t="s">
        <v>301</v>
      </c>
      <c r="O1080" s="21"/>
      <c r="P1080" s="2"/>
    </row>
    <row r="1081" spans="1:16" ht="15" customHeight="1">
      <c r="A1081" s="2">
        <v>1078</v>
      </c>
      <c r="B1081" s="22" t="s">
        <v>31</v>
      </c>
      <c r="C1081" s="22" t="s">
        <v>32</v>
      </c>
      <c r="D1081" s="3">
        <v>43871</v>
      </c>
      <c r="E1081" s="22" t="s">
        <v>325</v>
      </c>
      <c r="F1081" s="22" t="s">
        <v>19</v>
      </c>
      <c r="G1081" s="26"/>
      <c r="H1081" s="22"/>
      <c r="I1081" s="22"/>
      <c r="J1081" s="6">
        <v>160</v>
      </c>
      <c r="K1081" s="6">
        <v>3</v>
      </c>
      <c r="L1081" s="150">
        <f t="shared" si="1"/>
        <v>176.60044150110377</v>
      </c>
      <c r="M1081" s="2">
        <v>84.7</v>
      </c>
      <c r="N1081" s="22"/>
      <c r="O1081" s="21"/>
      <c r="P1081" s="2"/>
    </row>
    <row r="1082" spans="1:16" ht="15" customHeight="1">
      <c r="A1082" s="2">
        <v>1079</v>
      </c>
      <c r="B1082" s="22" t="s">
        <v>31</v>
      </c>
      <c r="C1082" s="22" t="s">
        <v>32</v>
      </c>
      <c r="D1082" s="3">
        <v>43899</v>
      </c>
      <c r="E1082" s="22" t="s">
        <v>18</v>
      </c>
      <c r="F1082" s="22" t="s">
        <v>19</v>
      </c>
      <c r="G1082" s="26"/>
      <c r="H1082" s="22"/>
      <c r="I1082" s="22"/>
      <c r="J1082" s="6">
        <v>110</v>
      </c>
      <c r="K1082" s="6">
        <v>10</v>
      </c>
      <c r="L1082" s="150">
        <f t="shared" si="1"/>
        <v>147.84946236559139</v>
      </c>
      <c r="M1082" s="2">
        <v>84.2</v>
      </c>
      <c r="N1082" s="22" t="s">
        <v>301</v>
      </c>
      <c r="O1082" s="21"/>
      <c r="P1082" s="2"/>
    </row>
    <row r="1083" spans="1:16" ht="15" customHeight="1">
      <c r="A1083" s="2">
        <v>1080</v>
      </c>
      <c r="B1083" s="22" t="s">
        <v>31</v>
      </c>
      <c r="C1083" s="22" t="s">
        <v>32</v>
      </c>
      <c r="D1083" s="3">
        <v>43902</v>
      </c>
      <c r="E1083" s="22" t="s">
        <v>68</v>
      </c>
      <c r="F1083" s="22" t="s">
        <v>19</v>
      </c>
      <c r="G1083" s="26"/>
      <c r="H1083" s="22"/>
      <c r="I1083" s="22"/>
      <c r="J1083" s="6">
        <v>100</v>
      </c>
      <c r="K1083" s="6">
        <v>10</v>
      </c>
      <c r="L1083" s="150">
        <f t="shared" si="1"/>
        <v>134.40860215053763</v>
      </c>
      <c r="M1083" s="2">
        <v>84</v>
      </c>
      <c r="N1083" s="22" t="s">
        <v>69</v>
      </c>
      <c r="O1083" s="21"/>
      <c r="P1083" s="2"/>
    </row>
    <row r="1084" spans="1:16" ht="15" customHeight="1">
      <c r="A1084" s="2">
        <v>1081</v>
      </c>
      <c r="B1084" s="22" t="s">
        <v>31</v>
      </c>
      <c r="C1084" s="22" t="s">
        <v>32</v>
      </c>
      <c r="D1084" s="3">
        <v>43906</v>
      </c>
      <c r="E1084" s="22" t="s">
        <v>18</v>
      </c>
      <c r="F1084" s="22" t="s">
        <v>19</v>
      </c>
      <c r="G1084" s="26"/>
      <c r="H1084" s="22"/>
      <c r="I1084" s="22"/>
      <c r="J1084" s="6">
        <v>110</v>
      </c>
      <c r="K1084" s="6">
        <v>10</v>
      </c>
      <c r="L1084" s="150">
        <f t="shared" si="1"/>
        <v>147.84946236559139</v>
      </c>
      <c r="M1084" s="2">
        <v>84.8</v>
      </c>
      <c r="N1084" s="22" t="s">
        <v>301</v>
      </c>
      <c r="O1084" s="21"/>
      <c r="P1084" s="2"/>
    </row>
    <row r="1085" spans="1:16" ht="15" customHeight="1">
      <c r="A1085" s="2">
        <v>1082</v>
      </c>
      <c r="B1085" s="22" t="s">
        <v>31</v>
      </c>
      <c r="C1085" s="22" t="s">
        <v>32</v>
      </c>
      <c r="D1085" s="3">
        <v>43906</v>
      </c>
      <c r="E1085" s="22" t="s">
        <v>71</v>
      </c>
      <c r="F1085" s="22" t="s">
        <v>19</v>
      </c>
      <c r="G1085" s="26"/>
      <c r="H1085" s="22"/>
      <c r="I1085" s="22"/>
      <c r="J1085" s="6">
        <v>103</v>
      </c>
      <c r="K1085" s="6">
        <v>10</v>
      </c>
      <c r="L1085" s="150">
        <f t="shared" si="1"/>
        <v>138.44086021505376</v>
      </c>
      <c r="M1085" s="2">
        <v>84.8</v>
      </c>
      <c r="N1085" s="22"/>
      <c r="O1085" s="21"/>
      <c r="P1085" s="2"/>
    </row>
    <row r="1086" spans="1:16" ht="15" customHeight="1">
      <c r="A1086" s="2">
        <v>1083</v>
      </c>
      <c r="B1086" s="22" t="s">
        <v>31</v>
      </c>
      <c r="C1086" s="22" t="s">
        <v>32</v>
      </c>
      <c r="D1086" s="3">
        <v>43910</v>
      </c>
      <c r="E1086" s="22" t="s">
        <v>18</v>
      </c>
      <c r="F1086" s="22" t="s">
        <v>19</v>
      </c>
      <c r="G1086" s="26"/>
      <c r="H1086" s="22"/>
      <c r="I1086" s="22"/>
      <c r="J1086" s="6">
        <v>120</v>
      </c>
      <c r="K1086" s="6">
        <v>10</v>
      </c>
      <c r="L1086" s="150">
        <f t="shared" si="1"/>
        <v>161.29032258064515</v>
      </c>
      <c r="M1086" s="2"/>
      <c r="N1086" s="22" t="s">
        <v>301</v>
      </c>
      <c r="O1086" s="21"/>
      <c r="P1086" s="2"/>
    </row>
    <row r="1087" spans="1:16" ht="15" customHeight="1">
      <c r="A1087" s="2">
        <v>1084</v>
      </c>
      <c r="B1087" s="22" t="s">
        <v>31</v>
      </c>
      <c r="C1087" s="22" t="s">
        <v>32</v>
      </c>
      <c r="D1087" s="3">
        <v>43914</v>
      </c>
      <c r="E1087" s="22" t="s">
        <v>316</v>
      </c>
      <c r="F1087" s="22" t="s">
        <v>19</v>
      </c>
      <c r="G1087" s="26"/>
      <c r="H1087" s="22"/>
      <c r="I1087" s="22"/>
      <c r="J1087" s="2">
        <v>60</v>
      </c>
      <c r="K1087" s="6">
        <v>10</v>
      </c>
      <c r="L1087" s="150">
        <f t="shared" si="1"/>
        <v>80.645161290322577</v>
      </c>
      <c r="M1087" s="2"/>
      <c r="N1087" s="22"/>
      <c r="O1087" s="21"/>
      <c r="P1087" s="2"/>
    </row>
    <row r="1088" spans="1:16" ht="15" customHeight="1">
      <c r="A1088" s="2">
        <v>1085</v>
      </c>
      <c r="B1088" s="22" t="s">
        <v>31</v>
      </c>
      <c r="C1088" s="22" t="s">
        <v>32</v>
      </c>
      <c r="D1088" s="3">
        <v>43914</v>
      </c>
      <c r="E1088" s="22" t="s">
        <v>18</v>
      </c>
      <c r="F1088" s="22" t="s">
        <v>19</v>
      </c>
      <c r="G1088" s="26"/>
      <c r="H1088" s="22" t="s">
        <v>326</v>
      </c>
      <c r="I1088" s="22"/>
      <c r="J1088" s="2">
        <v>120</v>
      </c>
      <c r="K1088" s="6">
        <v>8</v>
      </c>
      <c r="L1088" s="150">
        <f t="shared" si="1"/>
        <v>152.67175572519085</v>
      </c>
      <c r="M1088" s="2" t="s">
        <v>327</v>
      </c>
      <c r="N1088" s="22"/>
      <c r="O1088" s="21"/>
      <c r="P1088" s="2"/>
    </row>
    <row r="1089" spans="1:16" ht="15" customHeight="1">
      <c r="A1089" s="2">
        <v>1086</v>
      </c>
      <c r="B1089" s="22" t="s">
        <v>31</v>
      </c>
      <c r="C1089" s="22" t="s">
        <v>32</v>
      </c>
      <c r="D1089" s="3">
        <v>43914</v>
      </c>
      <c r="E1089" s="22" t="s">
        <v>318</v>
      </c>
      <c r="F1089" s="22" t="s">
        <v>19</v>
      </c>
      <c r="G1089" s="26"/>
      <c r="H1089" s="22"/>
      <c r="I1089" s="22"/>
      <c r="J1089" s="2">
        <v>80</v>
      </c>
      <c r="K1089" s="6">
        <v>8</v>
      </c>
      <c r="L1089" s="150">
        <f t="shared" si="1"/>
        <v>101.78117048346056</v>
      </c>
      <c r="M1089" s="2"/>
      <c r="N1089" s="22"/>
      <c r="O1089" s="21"/>
      <c r="P1089" s="2"/>
    </row>
    <row r="1090" spans="1:16" ht="15" customHeight="1">
      <c r="A1090" s="2">
        <v>1087</v>
      </c>
      <c r="B1090" s="22" t="s">
        <v>31</v>
      </c>
      <c r="C1090" s="22" t="s">
        <v>32</v>
      </c>
      <c r="D1090" s="3">
        <v>43914</v>
      </c>
      <c r="E1090" s="22" t="s">
        <v>43</v>
      </c>
      <c r="F1090" s="22" t="s">
        <v>19</v>
      </c>
      <c r="G1090" s="26"/>
      <c r="H1090" s="22" t="s">
        <v>326</v>
      </c>
      <c r="I1090" s="22"/>
      <c r="J1090" s="2">
        <v>150</v>
      </c>
      <c r="K1090" s="6">
        <v>8</v>
      </c>
      <c r="L1090" s="150">
        <f t="shared" si="1"/>
        <v>190.83969465648855</v>
      </c>
      <c r="M1090" s="2"/>
      <c r="N1090" s="2" t="s">
        <v>328</v>
      </c>
      <c r="O1090" s="21"/>
      <c r="P1090" s="2"/>
    </row>
    <row r="1091" spans="1:16" ht="15" customHeight="1">
      <c r="A1091" s="2">
        <v>1088</v>
      </c>
      <c r="B1091" s="22" t="s">
        <v>31</v>
      </c>
      <c r="C1091" s="22" t="s">
        <v>32</v>
      </c>
      <c r="D1091" s="3">
        <v>43916</v>
      </c>
      <c r="E1091" s="22" t="s">
        <v>131</v>
      </c>
      <c r="F1091" s="22" t="s">
        <v>19</v>
      </c>
      <c r="G1091" s="26"/>
      <c r="H1091" s="22"/>
      <c r="I1091" s="22"/>
      <c r="J1091" s="2">
        <v>90</v>
      </c>
      <c r="K1091" s="6">
        <v>8</v>
      </c>
      <c r="L1091" s="150">
        <f t="shared" si="1"/>
        <v>114.50381679389314</v>
      </c>
      <c r="M1091" s="2"/>
      <c r="N1091" s="22"/>
      <c r="O1091" s="21"/>
      <c r="P1091" s="2"/>
    </row>
    <row r="1092" spans="1:16" ht="15" customHeight="1">
      <c r="A1092" s="2">
        <v>1089</v>
      </c>
      <c r="B1092" s="22" t="s">
        <v>31</v>
      </c>
      <c r="C1092" s="22" t="s">
        <v>32</v>
      </c>
      <c r="D1092" s="3">
        <v>43916</v>
      </c>
      <c r="E1092" s="22" t="s">
        <v>78</v>
      </c>
      <c r="F1092" s="22" t="s">
        <v>19</v>
      </c>
      <c r="G1092" s="26"/>
      <c r="H1092" s="22"/>
      <c r="I1092" s="22"/>
      <c r="J1092" s="2">
        <v>50</v>
      </c>
      <c r="K1092" s="6">
        <v>10</v>
      </c>
      <c r="L1092" s="150">
        <f t="shared" si="1"/>
        <v>67.204301075268816</v>
      </c>
      <c r="M1092" s="2"/>
      <c r="N1092" s="22"/>
      <c r="O1092" s="21"/>
      <c r="P1092" s="2"/>
    </row>
    <row r="1093" spans="1:16" ht="15" customHeight="1">
      <c r="A1093" s="2">
        <v>1090</v>
      </c>
      <c r="B1093" s="22" t="s">
        <v>31</v>
      </c>
      <c r="C1093" s="22" t="s">
        <v>32</v>
      </c>
      <c r="D1093" s="3">
        <v>43916</v>
      </c>
      <c r="E1093" s="22" t="s">
        <v>65</v>
      </c>
      <c r="F1093" s="22" t="s">
        <v>19</v>
      </c>
      <c r="G1093" s="26"/>
      <c r="H1093" s="22"/>
      <c r="I1093" s="22"/>
      <c r="J1093" s="2">
        <v>110</v>
      </c>
      <c r="K1093" s="6">
        <v>8</v>
      </c>
      <c r="L1093" s="150">
        <f t="shared" si="1"/>
        <v>139.94910941475828</v>
      </c>
      <c r="M1093" s="2"/>
      <c r="N1093" s="22"/>
      <c r="O1093" s="21"/>
      <c r="P1093" s="2"/>
    </row>
    <row r="1094" spans="1:16" ht="15" customHeight="1">
      <c r="A1094" s="2">
        <v>1091</v>
      </c>
      <c r="B1094" s="22" t="s">
        <v>31</v>
      </c>
      <c r="C1094" s="22" t="s">
        <v>32</v>
      </c>
      <c r="D1094" s="3">
        <v>43918</v>
      </c>
      <c r="E1094" s="22" t="s">
        <v>18</v>
      </c>
      <c r="F1094" s="22" t="s">
        <v>19</v>
      </c>
      <c r="G1094" s="26"/>
      <c r="H1094" s="22" t="s">
        <v>326</v>
      </c>
      <c r="I1094" s="22"/>
      <c r="J1094" s="2">
        <v>120</v>
      </c>
      <c r="K1094" s="6">
        <v>8</v>
      </c>
      <c r="L1094" s="150">
        <f t="shared" si="1"/>
        <v>152.67175572519085</v>
      </c>
      <c r="M1094" s="2" t="s">
        <v>327</v>
      </c>
      <c r="N1094" s="22"/>
      <c r="O1094" s="21"/>
      <c r="P1094" s="2"/>
    </row>
    <row r="1095" spans="1:16" ht="15" customHeight="1">
      <c r="A1095" s="2">
        <v>1092</v>
      </c>
      <c r="B1095" s="22" t="s">
        <v>31</v>
      </c>
      <c r="C1095" s="22" t="s">
        <v>32</v>
      </c>
      <c r="D1095" s="3">
        <v>43918</v>
      </c>
      <c r="E1095" s="22" t="s">
        <v>50</v>
      </c>
      <c r="F1095" s="22" t="s">
        <v>19</v>
      </c>
      <c r="G1095" s="26"/>
      <c r="H1095" s="22"/>
      <c r="I1095" s="22"/>
      <c r="J1095" s="2">
        <v>185</v>
      </c>
      <c r="K1095" s="6">
        <v>8</v>
      </c>
      <c r="L1095" s="150">
        <f t="shared" si="1"/>
        <v>235.36895674300254</v>
      </c>
      <c r="M1095" s="2"/>
      <c r="N1095" s="22"/>
      <c r="O1095" s="21"/>
      <c r="P1095" s="2"/>
    </row>
    <row r="1096" spans="1:16" ht="15" customHeight="1">
      <c r="A1096" s="2">
        <v>1093</v>
      </c>
      <c r="B1096" s="22" t="s">
        <v>31</v>
      </c>
      <c r="C1096" s="22" t="s">
        <v>32</v>
      </c>
      <c r="D1096" s="3">
        <v>43918</v>
      </c>
      <c r="E1096" s="22" t="s">
        <v>43</v>
      </c>
      <c r="F1096" s="22" t="s">
        <v>19</v>
      </c>
      <c r="G1096" s="26"/>
      <c r="H1096" s="22" t="s">
        <v>326</v>
      </c>
      <c r="I1096" s="22"/>
      <c r="J1096" s="2">
        <v>150</v>
      </c>
      <c r="K1096" s="6">
        <v>8</v>
      </c>
      <c r="L1096" s="150">
        <f t="shared" si="1"/>
        <v>190.83969465648855</v>
      </c>
      <c r="M1096" s="2"/>
      <c r="N1096" s="2" t="s">
        <v>328</v>
      </c>
      <c r="O1096" s="21"/>
      <c r="P1096" s="2"/>
    </row>
    <row r="1097" spans="1:16" ht="15" customHeight="1">
      <c r="A1097" s="2">
        <v>1094</v>
      </c>
      <c r="B1097" s="22" t="s">
        <v>31</v>
      </c>
      <c r="C1097" s="22" t="s">
        <v>32</v>
      </c>
      <c r="D1097" s="3">
        <v>43922</v>
      </c>
      <c r="E1097" s="22" t="s">
        <v>78</v>
      </c>
      <c r="F1097" s="22" t="s">
        <v>19</v>
      </c>
      <c r="G1097" s="26"/>
      <c r="H1097" s="22"/>
      <c r="I1097" s="22"/>
      <c r="J1097" s="2">
        <v>50</v>
      </c>
      <c r="K1097" s="6">
        <v>10</v>
      </c>
      <c r="L1097" s="150">
        <f t="shared" si="1"/>
        <v>67.204301075268816</v>
      </c>
      <c r="M1097" s="2"/>
      <c r="N1097" s="22"/>
      <c r="O1097" s="21"/>
      <c r="P1097" s="2"/>
    </row>
    <row r="1098" spans="1:16" ht="15" customHeight="1">
      <c r="A1098" s="2">
        <v>1095</v>
      </c>
      <c r="B1098" s="22" t="s">
        <v>31</v>
      </c>
      <c r="C1098" s="22" t="s">
        <v>32</v>
      </c>
      <c r="D1098" s="3">
        <v>43922</v>
      </c>
      <c r="E1098" s="22" t="s">
        <v>65</v>
      </c>
      <c r="F1098" s="22" t="s">
        <v>19</v>
      </c>
      <c r="G1098" s="26"/>
      <c r="H1098" s="22"/>
      <c r="I1098" s="22"/>
      <c r="J1098" s="2">
        <v>120</v>
      </c>
      <c r="K1098" s="6">
        <v>8</v>
      </c>
      <c r="L1098" s="150">
        <f t="shared" si="1"/>
        <v>152.67175572519085</v>
      </c>
      <c r="M1098" s="2"/>
      <c r="N1098" s="22"/>
      <c r="O1098" s="21"/>
      <c r="P1098" s="2"/>
    </row>
    <row r="1099" spans="1:16" ht="15" customHeight="1">
      <c r="A1099" s="2">
        <v>1096</v>
      </c>
      <c r="B1099" s="22" t="s">
        <v>31</v>
      </c>
      <c r="C1099" s="22" t="s">
        <v>32</v>
      </c>
      <c r="D1099" s="3">
        <v>43922</v>
      </c>
      <c r="E1099" s="22" t="s">
        <v>329</v>
      </c>
      <c r="F1099" s="22" t="s">
        <v>19</v>
      </c>
      <c r="G1099" s="26"/>
      <c r="H1099" s="22"/>
      <c r="I1099" s="22"/>
      <c r="J1099" s="2">
        <v>100</v>
      </c>
      <c r="K1099" s="6">
        <v>8</v>
      </c>
      <c r="L1099" s="150">
        <f t="shared" si="1"/>
        <v>127.2264631043257</v>
      </c>
      <c r="M1099" s="2"/>
      <c r="N1099" s="22"/>
      <c r="O1099" s="21"/>
      <c r="P1099" s="2"/>
    </row>
    <row r="1100" spans="1:16" ht="15" customHeight="1">
      <c r="A1100" s="2">
        <v>1097</v>
      </c>
      <c r="B1100" s="22" t="s">
        <v>31</v>
      </c>
      <c r="C1100" s="22" t="s">
        <v>32</v>
      </c>
      <c r="D1100" s="3">
        <v>43924</v>
      </c>
      <c r="E1100" s="22" t="s">
        <v>18</v>
      </c>
      <c r="F1100" s="22" t="s">
        <v>19</v>
      </c>
      <c r="G1100" s="26"/>
      <c r="H1100" s="22"/>
      <c r="I1100" s="22"/>
      <c r="J1100" s="2">
        <v>120</v>
      </c>
      <c r="K1100" s="6">
        <v>8</v>
      </c>
      <c r="L1100" s="150">
        <f t="shared" si="1"/>
        <v>152.67175572519085</v>
      </c>
      <c r="M1100" s="2" t="s">
        <v>327</v>
      </c>
      <c r="N1100" s="22"/>
      <c r="O1100" s="21"/>
      <c r="P1100" s="2"/>
    </row>
    <row r="1101" spans="1:16" ht="15" customHeight="1">
      <c r="A1101" s="2">
        <v>1098</v>
      </c>
      <c r="B1101" s="22" t="s">
        <v>31</v>
      </c>
      <c r="C1101" s="22" t="s">
        <v>32</v>
      </c>
      <c r="D1101" s="3">
        <v>43924</v>
      </c>
      <c r="E1101" s="22" t="s">
        <v>50</v>
      </c>
      <c r="F1101" s="22" t="s">
        <v>19</v>
      </c>
      <c r="G1101" s="26"/>
      <c r="H1101" s="22"/>
      <c r="I1101" s="22"/>
      <c r="J1101" s="2">
        <v>185</v>
      </c>
      <c r="K1101" s="6">
        <v>8</v>
      </c>
      <c r="L1101" s="150">
        <f t="shared" si="1"/>
        <v>235.36895674300254</v>
      </c>
      <c r="M1101" s="2"/>
      <c r="N1101" s="22"/>
      <c r="O1101" s="21"/>
      <c r="P1101" s="2"/>
    </row>
    <row r="1102" spans="1:16" ht="15" customHeight="1">
      <c r="A1102" s="2">
        <v>1099</v>
      </c>
      <c r="B1102" s="22" t="s">
        <v>31</v>
      </c>
      <c r="C1102" s="22" t="s">
        <v>32</v>
      </c>
      <c r="D1102" s="3">
        <v>43924</v>
      </c>
      <c r="E1102" s="22" t="s">
        <v>43</v>
      </c>
      <c r="F1102" s="22" t="s">
        <v>19</v>
      </c>
      <c r="G1102" s="26"/>
      <c r="H1102" s="22"/>
      <c r="I1102" s="22"/>
      <c r="J1102" s="2">
        <v>140</v>
      </c>
      <c r="K1102" s="6">
        <v>8</v>
      </c>
      <c r="L1102" s="150">
        <f t="shared" si="1"/>
        <v>178.11704834605598</v>
      </c>
      <c r="M1102" s="2"/>
      <c r="N1102" s="2" t="s">
        <v>328</v>
      </c>
      <c r="O1102" s="21"/>
      <c r="P1102" s="2"/>
    </row>
    <row r="1103" spans="1:16" ht="15" customHeight="1">
      <c r="A1103" s="2">
        <v>1100</v>
      </c>
      <c r="B1103" s="22" t="s">
        <v>31</v>
      </c>
      <c r="C1103" s="22" t="s">
        <v>32</v>
      </c>
      <c r="D1103" s="3">
        <v>43927</v>
      </c>
      <c r="E1103" s="22" t="s">
        <v>68</v>
      </c>
      <c r="F1103" s="22" t="s">
        <v>19</v>
      </c>
      <c r="G1103" s="26"/>
      <c r="H1103" s="22"/>
      <c r="I1103" s="22"/>
      <c r="J1103" s="2">
        <v>95</v>
      </c>
      <c r="K1103" s="6">
        <v>8</v>
      </c>
      <c r="L1103" s="150">
        <f t="shared" si="1"/>
        <v>120.86513994910942</v>
      </c>
      <c r="M1103" s="2"/>
      <c r="N1103" s="22" t="s">
        <v>69</v>
      </c>
      <c r="O1103" s="21"/>
      <c r="P1103" s="2"/>
    </row>
    <row r="1104" spans="1:16" ht="15" customHeight="1">
      <c r="A1104" s="2">
        <v>1101</v>
      </c>
      <c r="B1104" s="22" t="s">
        <v>31</v>
      </c>
      <c r="C1104" s="22" t="s">
        <v>32</v>
      </c>
      <c r="D1104" s="3">
        <v>43927</v>
      </c>
      <c r="E1104" s="22" t="s">
        <v>318</v>
      </c>
      <c r="F1104" s="22" t="s">
        <v>19</v>
      </c>
      <c r="G1104" s="26"/>
      <c r="H1104" s="22"/>
      <c r="I1104" s="22"/>
      <c r="J1104" s="2">
        <v>80</v>
      </c>
      <c r="K1104" s="6">
        <v>10</v>
      </c>
      <c r="L1104" s="150">
        <f t="shared" si="1"/>
        <v>107.5268817204301</v>
      </c>
      <c r="M1104" s="2"/>
      <c r="N1104" s="22"/>
      <c r="O1104" s="21"/>
      <c r="P1104" s="2"/>
    </row>
    <row r="1105" spans="1:16" ht="15" customHeight="1">
      <c r="A1105" s="2">
        <v>1102</v>
      </c>
      <c r="B1105" s="22" t="s">
        <v>31</v>
      </c>
      <c r="C1105" s="22" t="s">
        <v>32</v>
      </c>
      <c r="D1105" s="3">
        <v>43927</v>
      </c>
      <c r="E1105" s="22" t="s">
        <v>316</v>
      </c>
      <c r="F1105" s="22" t="s">
        <v>19</v>
      </c>
      <c r="G1105" s="26"/>
      <c r="H1105" s="22"/>
      <c r="I1105" s="22"/>
      <c r="J1105" s="2">
        <v>80</v>
      </c>
      <c r="K1105" s="6">
        <v>10</v>
      </c>
      <c r="L1105" s="150">
        <f t="shared" si="1"/>
        <v>107.5268817204301</v>
      </c>
      <c r="M1105" s="2"/>
      <c r="N1105" s="22"/>
      <c r="O1105" s="21"/>
      <c r="P1105" s="2"/>
    </row>
    <row r="1106" spans="1:16" ht="15" customHeight="1">
      <c r="A1106" s="2">
        <v>1103</v>
      </c>
      <c r="B1106" s="22" t="s">
        <v>31</v>
      </c>
      <c r="C1106" s="22" t="s">
        <v>32</v>
      </c>
      <c r="D1106" s="3">
        <v>43927</v>
      </c>
      <c r="E1106" s="22" t="s">
        <v>43</v>
      </c>
      <c r="F1106" s="22" t="s">
        <v>19</v>
      </c>
      <c r="G1106" s="26"/>
      <c r="H1106" s="22"/>
      <c r="I1106" s="22"/>
      <c r="J1106" s="2">
        <v>140</v>
      </c>
      <c r="K1106" s="6">
        <v>8</v>
      </c>
      <c r="L1106" s="150">
        <f t="shared" si="1"/>
        <v>178.11704834605598</v>
      </c>
      <c r="M1106" s="2"/>
      <c r="N1106" s="2" t="s">
        <v>328</v>
      </c>
      <c r="O1106" s="21"/>
      <c r="P1106" s="2"/>
    </row>
    <row r="1107" spans="1:16" ht="15" customHeight="1">
      <c r="A1107" s="2">
        <v>1104</v>
      </c>
      <c r="B1107" s="22" t="s">
        <v>31</v>
      </c>
      <c r="C1107" s="22" t="s">
        <v>32</v>
      </c>
      <c r="D1107" s="3">
        <v>43929</v>
      </c>
      <c r="E1107" s="22" t="s">
        <v>78</v>
      </c>
      <c r="F1107" s="22" t="s">
        <v>19</v>
      </c>
      <c r="G1107" s="26"/>
      <c r="H1107" s="22"/>
      <c r="I1107" s="22"/>
      <c r="J1107" s="2">
        <v>50</v>
      </c>
      <c r="K1107" s="6">
        <v>10</v>
      </c>
      <c r="L1107" s="150">
        <f t="shared" si="1"/>
        <v>67.204301075268816</v>
      </c>
      <c r="M1107" s="2"/>
      <c r="N1107" s="22"/>
      <c r="O1107" s="21"/>
      <c r="P1107" s="2"/>
    </row>
    <row r="1108" spans="1:16" ht="15" customHeight="1">
      <c r="A1108" s="2">
        <v>1105</v>
      </c>
      <c r="B1108" s="22" t="s">
        <v>31</v>
      </c>
      <c r="C1108" s="22" t="s">
        <v>32</v>
      </c>
      <c r="D1108" s="3">
        <v>43929</v>
      </c>
      <c r="E1108" s="22" t="s">
        <v>65</v>
      </c>
      <c r="F1108" s="22" t="s">
        <v>19</v>
      </c>
      <c r="G1108" s="26"/>
      <c r="H1108" s="22"/>
      <c r="I1108" s="22"/>
      <c r="J1108" s="2">
        <v>120</v>
      </c>
      <c r="K1108" s="6">
        <v>8</v>
      </c>
      <c r="L1108" s="150">
        <f t="shared" si="1"/>
        <v>152.67175572519085</v>
      </c>
      <c r="M1108" s="2"/>
      <c r="N1108" s="22"/>
      <c r="O1108" s="21"/>
      <c r="P1108" s="2"/>
    </row>
    <row r="1109" spans="1:16" ht="15" customHeight="1">
      <c r="A1109" s="2">
        <v>1106</v>
      </c>
      <c r="B1109" s="22" t="s">
        <v>31</v>
      </c>
      <c r="C1109" s="22" t="s">
        <v>32</v>
      </c>
      <c r="D1109" s="3">
        <v>43929</v>
      </c>
      <c r="E1109" s="22" t="s">
        <v>329</v>
      </c>
      <c r="F1109" s="22" t="s">
        <v>19</v>
      </c>
      <c r="G1109" s="26"/>
      <c r="H1109" s="22"/>
      <c r="I1109" s="22"/>
      <c r="J1109" s="2">
        <v>100</v>
      </c>
      <c r="K1109" s="6">
        <v>8</v>
      </c>
      <c r="L1109" s="150">
        <f t="shared" si="1"/>
        <v>127.2264631043257</v>
      </c>
      <c r="M1109" s="2"/>
      <c r="N1109" s="22"/>
      <c r="O1109" s="21"/>
      <c r="P1109" s="2"/>
    </row>
    <row r="1110" spans="1:16" ht="15" customHeight="1">
      <c r="A1110" s="2">
        <v>1107</v>
      </c>
      <c r="B1110" s="22" t="s">
        <v>31</v>
      </c>
      <c r="C1110" s="22" t="s">
        <v>32</v>
      </c>
      <c r="D1110" s="3">
        <v>43931</v>
      </c>
      <c r="E1110" s="22" t="s">
        <v>18</v>
      </c>
      <c r="F1110" s="22" t="s">
        <v>19</v>
      </c>
      <c r="G1110" s="26"/>
      <c r="H1110" s="22"/>
      <c r="I1110" s="22"/>
      <c r="J1110" s="2">
        <v>120</v>
      </c>
      <c r="K1110" s="6">
        <v>8</v>
      </c>
      <c r="L1110" s="150">
        <f t="shared" ref="L1110:L1168" si="2">IF(K1110=0,"",IF(K1110=1,J1110*(100/100),IF(K1110=2,J1110*(100/94.3),IF(K1110=3,J1110*(100/90.6),IF(K1110=4,J1110*(100/88.1),IF(K1110=5,J1110*(100/85.6),IF(K1110=6,J1110*(100/83.1),IF(K1110=7,J1110*(100/80.7),IF(K1110=8,J1110*(100/78.6),IF(K1110=9,J1110*(100/76.5),IF(K1110=10,J1110*(100/74.4),IF(K1110=11,J1110*(100/72.3),IF(K1110=12,J1110*(100/70.3),IF(K1110=13,J1110*(100/68.8),IF(K1110=14,J1110*(100/67.5),IF(K1110=15,J1110*(100/66.2),IF(K1110=16,J1110*(100/65),IF(K1110=17,J1110*(100/63.8),IF(K1110=18,J1110*(100/62.7),IF(K1110=19,J1110*(100/61.6),IF(K1110=20,J1110*(100/60.6),"&gt;20 reps")))))))))))))))))))))</f>
        <v>152.67175572519085</v>
      </c>
      <c r="M1110" s="2"/>
      <c r="N1110" s="22" t="s">
        <v>69</v>
      </c>
      <c r="O1110" s="21"/>
      <c r="P1110" s="2"/>
    </row>
    <row r="1111" spans="1:16" ht="15" customHeight="1">
      <c r="A1111" s="2">
        <v>1108</v>
      </c>
      <c r="B1111" s="22" t="s">
        <v>31</v>
      </c>
      <c r="C1111" s="22" t="s">
        <v>32</v>
      </c>
      <c r="D1111" s="3">
        <v>43931</v>
      </c>
      <c r="E1111" s="22" t="s">
        <v>50</v>
      </c>
      <c r="F1111" s="22" t="s">
        <v>19</v>
      </c>
      <c r="G1111" s="26"/>
      <c r="H1111" s="22"/>
      <c r="I1111" s="22"/>
      <c r="J1111" s="2">
        <v>185</v>
      </c>
      <c r="K1111" s="6">
        <v>8</v>
      </c>
      <c r="L1111" s="150">
        <f t="shared" si="2"/>
        <v>235.36895674300254</v>
      </c>
      <c r="M1111" s="2"/>
      <c r="N1111" s="22"/>
      <c r="O1111" s="21"/>
      <c r="P1111" s="2"/>
    </row>
    <row r="1112" spans="1:16" ht="15" customHeight="1">
      <c r="A1112" s="2">
        <v>1109</v>
      </c>
      <c r="B1112" s="22" t="s">
        <v>31</v>
      </c>
      <c r="C1112" s="22" t="s">
        <v>32</v>
      </c>
      <c r="D1112" s="3">
        <v>43931</v>
      </c>
      <c r="E1112" s="22" t="s">
        <v>43</v>
      </c>
      <c r="F1112" s="22" t="s">
        <v>19</v>
      </c>
      <c r="G1112" s="26"/>
      <c r="H1112" s="22"/>
      <c r="I1112" s="22"/>
      <c r="J1112" s="2">
        <v>140</v>
      </c>
      <c r="K1112" s="6">
        <v>8</v>
      </c>
      <c r="L1112" s="150">
        <f t="shared" si="2"/>
        <v>178.11704834605598</v>
      </c>
      <c r="M1112" s="2"/>
      <c r="N1112" s="2" t="s">
        <v>328</v>
      </c>
      <c r="O1112" s="21"/>
      <c r="P1112" s="2"/>
    </row>
    <row r="1113" spans="1:16" ht="15" customHeight="1">
      <c r="A1113" s="2">
        <v>1110</v>
      </c>
      <c r="B1113" s="22" t="s">
        <v>31</v>
      </c>
      <c r="C1113" s="22" t="s">
        <v>32</v>
      </c>
      <c r="D1113" s="3">
        <v>43934</v>
      </c>
      <c r="E1113" s="22" t="s">
        <v>68</v>
      </c>
      <c r="F1113" s="22" t="s">
        <v>19</v>
      </c>
      <c r="G1113" s="26"/>
      <c r="H1113" s="22"/>
      <c r="I1113" s="22"/>
      <c r="J1113" s="2">
        <v>80</v>
      </c>
      <c r="K1113" s="6">
        <v>8</v>
      </c>
      <c r="L1113" s="150">
        <f t="shared" si="2"/>
        <v>101.78117048346056</v>
      </c>
      <c r="M1113" s="2"/>
      <c r="N1113" s="22" t="s">
        <v>69</v>
      </c>
      <c r="O1113" s="21"/>
      <c r="P1113" s="2"/>
    </row>
    <row r="1114" spans="1:16" ht="15" customHeight="1">
      <c r="A1114" s="2">
        <v>1111</v>
      </c>
      <c r="B1114" s="22" t="s">
        <v>31</v>
      </c>
      <c r="C1114" s="22" t="s">
        <v>32</v>
      </c>
      <c r="D1114" s="3">
        <v>43934</v>
      </c>
      <c r="E1114" s="22" t="s">
        <v>43</v>
      </c>
      <c r="F1114" s="22" t="s">
        <v>19</v>
      </c>
      <c r="G1114" s="26"/>
      <c r="H1114" s="22"/>
      <c r="I1114" s="22"/>
      <c r="J1114" s="2">
        <v>140</v>
      </c>
      <c r="K1114" s="6">
        <v>8</v>
      </c>
      <c r="L1114" s="150">
        <f t="shared" si="2"/>
        <v>178.11704834605598</v>
      </c>
      <c r="M1114" s="2"/>
      <c r="N1114" s="2" t="s">
        <v>328</v>
      </c>
      <c r="O1114" s="21"/>
      <c r="P1114" s="2"/>
    </row>
    <row r="1115" spans="1:16" ht="15" customHeight="1">
      <c r="A1115" s="2">
        <v>1112</v>
      </c>
      <c r="B1115" s="22" t="s">
        <v>31</v>
      </c>
      <c r="C1115" s="22" t="s">
        <v>32</v>
      </c>
      <c r="D1115" s="3">
        <v>43937</v>
      </c>
      <c r="E1115" s="22" t="s">
        <v>18</v>
      </c>
      <c r="F1115" s="22" t="s">
        <v>19</v>
      </c>
      <c r="G1115" s="26"/>
      <c r="H1115" s="22"/>
      <c r="I1115" s="22"/>
      <c r="J1115" s="2">
        <v>135</v>
      </c>
      <c r="K1115" s="6">
        <v>3</v>
      </c>
      <c r="L1115" s="150">
        <f t="shared" si="2"/>
        <v>149.00662251655629</v>
      </c>
      <c r="M1115" s="2"/>
      <c r="N1115" s="22" t="s">
        <v>69</v>
      </c>
      <c r="O1115" s="21"/>
      <c r="P1115" s="2"/>
    </row>
    <row r="1116" spans="1:16" ht="15" customHeight="1">
      <c r="A1116" s="2">
        <v>1113</v>
      </c>
      <c r="B1116" s="22" t="s">
        <v>31</v>
      </c>
      <c r="C1116" s="22" t="s">
        <v>32</v>
      </c>
      <c r="D1116" s="3">
        <v>43937</v>
      </c>
      <c r="E1116" s="22" t="s">
        <v>18</v>
      </c>
      <c r="F1116" s="22" t="s">
        <v>19</v>
      </c>
      <c r="G1116" s="26"/>
      <c r="H1116" s="22"/>
      <c r="I1116" s="22"/>
      <c r="J1116" s="2">
        <v>140</v>
      </c>
      <c r="K1116" s="6">
        <v>3</v>
      </c>
      <c r="L1116" s="150">
        <f t="shared" si="2"/>
        <v>154.52538631346579</v>
      </c>
      <c r="M1116" s="2"/>
      <c r="N1116" s="22" t="s">
        <v>69</v>
      </c>
      <c r="O1116" s="21"/>
      <c r="P1116" s="2"/>
    </row>
    <row r="1117" spans="1:16" ht="15" customHeight="1">
      <c r="A1117" s="2">
        <v>1114</v>
      </c>
      <c r="B1117" s="22" t="s">
        <v>31</v>
      </c>
      <c r="C1117" s="22" t="s">
        <v>32</v>
      </c>
      <c r="D1117" s="3">
        <v>43937</v>
      </c>
      <c r="E1117" s="22" t="s">
        <v>18</v>
      </c>
      <c r="F1117" s="22" t="s">
        <v>19</v>
      </c>
      <c r="G1117" s="26"/>
      <c r="H1117" s="22"/>
      <c r="I1117" s="22"/>
      <c r="J1117" s="2">
        <v>130</v>
      </c>
      <c r="K1117" s="6">
        <v>5</v>
      </c>
      <c r="L1117" s="150">
        <f t="shared" si="2"/>
        <v>151.86915887850466</v>
      </c>
      <c r="M1117" s="2"/>
      <c r="N1117" s="22" t="s">
        <v>69</v>
      </c>
      <c r="O1117" s="21"/>
      <c r="P1117" s="2"/>
    </row>
    <row r="1118" spans="1:16" ht="15" customHeight="1">
      <c r="A1118" s="2">
        <v>1115</v>
      </c>
      <c r="B1118" s="22" t="s">
        <v>31</v>
      </c>
      <c r="C1118" s="22" t="s">
        <v>32</v>
      </c>
      <c r="D1118" s="3">
        <v>43937</v>
      </c>
      <c r="E1118" s="22" t="s">
        <v>65</v>
      </c>
      <c r="F1118" s="22" t="s">
        <v>19</v>
      </c>
      <c r="G1118" s="26"/>
      <c r="H1118" s="22"/>
      <c r="I1118" s="22"/>
      <c r="J1118" s="2">
        <v>120</v>
      </c>
      <c r="K1118" s="6">
        <v>8</v>
      </c>
      <c r="L1118" s="150">
        <f t="shared" si="2"/>
        <v>152.67175572519085</v>
      </c>
      <c r="M1118" s="2"/>
      <c r="N1118" s="22"/>
      <c r="O1118" s="21"/>
      <c r="P1118" s="2"/>
    </row>
    <row r="1119" spans="1:16" ht="15" customHeight="1">
      <c r="A1119" s="2">
        <v>1116</v>
      </c>
      <c r="B1119" s="22" t="s">
        <v>31</v>
      </c>
      <c r="C1119" s="22" t="s">
        <v>32</v>
      </c>
      <c r="D1119" s="3">
        <v>43937</v>
      </c>
      <c r="E1119" s="22" t="s">
        <v>50</v>
      </c>
      <c r="F1119" s="22" t="s">
        <v>19</v>
      </c>
      <c r="G1119" s="26"/>
      <c r="H1119" s="22"/>
      <c r="I1119" s="22"/>
      <c r="J1119" s="2">
        <v>185</v>
      </c>
      <c r="K1119" s="6">
        <v>8</v>
      </c>
      <c r="L1119" s="150">
        <f t="shared" si="2"/>
        <v>235.36895674300254</v>
      </c>
      <c r="M1119" s="2"/>
      <c r="N1119" s="22"/>
      <c r="O1119" s="21"/>
      <c r="P1119" s="2"/>
    </row>
    <row r="1120" spans="1:16" ht="15" customHeight="1">
      <c r="A1120" s="2">
        <v>1117</v>
      </c>
      <c r="B1120" s="22" t="s">
        <v>31</v>
      </c>
      <c r="C1120" s="22" t="s">
        <v>32</v>
      </c>
      <c r="D1120" s="3">
        <v>43941</v>
      </c>
      <c r="E1120" s="22" t="s">
        <v>316</v>
      </c>
      <c r="F1120" s="22" t="s">
        <v>19</v>
      </c>
      <c r="G1120" s="26"/>
      <c r="H1120" s="22"/>
      <c r="I1120" s="22"/>
      <c r="J1120" s="2">
        <v>80</v>
      </c>
      <c r="K1120" s="6">
        <v>10</v>
      </c>
      <c r="L1120" s="150">
        <f t="shared" si="2"/>
        <v>107.5268817204301</v>
      </c>
      <c r="M1120" s="2"/>
      <c r="N1120" s="22"/>
      <c r="O1120" s="21"/>
      <c r="P1120" s="2"/>
    </row>
    <row r="1121" spans="1:16" ht="15" customHeight="1">
      <c r="A1121" s="2">
        <v>1118</v>
      </c>
      <c r="B1121" s="22" t="s">
        <v>31</v>
      </c>
      <c r="C1121" s="22" t="s">
        <v>32</v>
      </c>
      <c r="D1121" s="3">
        <v>43941</v>
      </c>
      <c r="E1121" s="22" t="s">
        <v>68</v>
      </c>
      <c r="F1121" s="22" t="s">
        <v>19</v>
      </c>
      <c r="G1121" s="26"/>
      <c r="H1121" s="22"/>
      <c r="I1121" s="22"/>
      <c r="J1121" s="2">
        <v>100</v>
      </c>
      <c r="K1121" s="6">
        <v>8</v>
      </c>
      <c r="L1121" s="150">
        <f t="shared" si="2"/>
        <v>127.2264631043257</v>
      </c>
      <c r="M1121" s="2"/>
      <c r="N1121" s="22" t="s">
        <v>69</v>
      </c>
      <c r="O1121" s="21"/>
      <c r="P1121" s="2"/>
    </row>
    <row r="1122" spans="1:16" ht="15" customHeight="1">
      <c r="A1122" s="2">
        <v>1119</v>
      </c>
      <c r="B1122" s="144" t="s">
        <v>31</v>
      </c>
      <c r="C1122" s="22" t="s">
        <v>32</v>
      </c>
      <c r="D1122" s="145">
        <v>43941</v>
      </c>
      <c r="E1122" s="144" t="s">
        <v>50</v>
      </c>
      <c r="F1122" s="22" t="s">
        <v>19</v>
      </c>
      <c r="G1122" s="146"/>
      <c r="H1122" s="144"/>
      <c r="I1122" s="144"/>
      <c r="J1122" s="147">
        <v>185</v>
      </c>
      <c r="K1122" s="148">
        <v>10</v>
      </c>
      <c r="L1122" s="150">
        <f t="shared" si="2"/>
        <v>248.6559139784946</v>
      </c>
      <c r="M1122" s="147"/>
      <c r="N1122" s="144"/>
      <c r="O1122" s="149"/>
      <c r="P1122" s="28"/>
    </row>
    <row r="1123" spans="1:16" ht="15" customHeight="1">
      <c r="A1123" s="2">
        <v>1120</v>
      </c>
      <c r="B1123" s="22" t="s">
        <v>31</v>
      </c>
      <c r="C1123" s="22" t="s">
        <v>32</v>
      </c>
      <c r="D1123" s="3">
        <v>43941</v>
      </c>
      <c r="E1123" s="22" t="s">
        <v>43</v>
      </c>
      <c r="F1123" s="22" t="s">
        <v>19</v>
      </c>
      <c r="G1123" s="26"/>
      <c r="H1123" s="22"/>
      <c r="I1123" s="22"/>
      <c r="J1123" s="2">
        <v>160</v>
      </c>
      <c r="K1123" s="6">
        <v>10</v>
      </c>
      <c r="L1123" s="150">
        <f t="shared" si="2"/>
        <v>215.05376344086019</v>
      </c>
      <c r="M1123" s="2"/>
      <c r="N1123" s="2" t="s">
        <v>328</v>
      </c>
      <c r="O1123" s="21"/>
      <c r="P1123" s="2"/>
    </row>
    <row r="1124" spans="1:16" ht="15" customHeight="1">
      <c r="A1124" s="2">
        <v>1121</v>
      </c>
      <c r="B1124" s="22" t="s">
        <v>31</v>
      </c>
      <c r="C1124" s="22" t="s">
        <v>32</v>
      </c>
      <c r="D1124" s="3">
        <v>43943</v>
      </c>
      <c r="E1124" s="22" t="s">
        <v>131</v>
      </c>
      <c r="F1124" s="22" t="s">
        <v>19</v>
      </c>
      <c r="G1124" s="26"/>
      <c r="H1124" s="22"/>
      <c r="I1124" s="22"/>
      <c r="J1124" s="2">
        <v>110</v>
      </c>
      <c r="K1124" s="6">
        <v>10</v>
      </c>
      <c r="L1124" s="150">
        <f t="shared" si="2"/>
        <v>147.84946236559139</v>
      </c>
      <c r="M1124" s="2"/>
      <c r="N1124" s="22"/>
      <c r="O1124" s="21"/>
      <c r="P1124" s="2"/>
    </row>
    <row r="1125" spans="1:16" ht="15" customHeight="1">
      <c r="A1125" s="2">
        <v>1122</v>
      </c>
      <c r="B1125" s="22" t="s">
        <v>31</v>
      </c>
      <c r="C1125" s="22" t="s">
        <v>32</v>
      </c>
      <c r="D1125" s="3">
        <v>43943</v>
      </c>
      <c r="E1125" s="22" t="s">
        <v>131</v>
      </c>
      <c r="F1125" s="22" t="s">
        <v>19</v>
      </c>
      <c r="G1125" s="26"/>
      <c r="H1125" s="22"/>
      <c r="I1125" s="22"/>
      <c r="J1125" s="2">
        <v>90</v>
      </c>
      <c r="K1125" s="6">
        <v>12</v>
      </c>
      <c r="L1125" s="150">
        <f t="shared" si="2"/>
        <v>128.02275960170698</v>
      </c>
      <c r="M1125" s="2"/>
      <c r="N1125" s="22"/>
      <c r="O1125" s="21"/>
      <c r="P1125" s="2"/>
    </row>
    <row r="1126" spans="1:16" ht="15" customHeight="1">
      <c r="A1126" s="2">
        <v>1123</v>
      </c>
      <c r="B1126" s="22" t="s">
        <v>31</v>
      </c>
      <c r="C1126" s="22" t="s">
        <v>32</v>
      </c>
      <c r="D1126" s="3">
        <v>43943</v>
      </c>
      <c r="E1126" s="22" t="s">
        <v>131</v>
      </c>
      <c r="F1126" s="22" t="s">
        <v>19</v>
      </c>
      <c r="G1126" s="26"/>
      <c r="H1126" s="22"/>
      <c r="I1126" s="22"/>
      <c r="J1126" s="2">
        <v>70</v>
      </c>
      <c r="K1126" s="6">
        <v>15</v>
      </c>
      <c r="L1126" s="150">
        <f t="shared" si="2"/>
        <v>105.74018126888217</v>
      </c>
      <c r="M1126" s="2"/>
      <c r="N1126" s="22"/>
      <c r="O1126" s="21"/>
      <c r="P1126" s="2"/>
    </row>
    <row r="1127" spans="1:16" ht="15" customHeight="1">
      <c r="A1127" s="2">
        <v>1124</v>
      </c>
      <c r="B1127" s="22" t="s">
        <v>31</v>
      </c>
      <c r="C1127" s="22" t="s">
        <v>32</v>
      </c>
      <c r="D1127" s="3">
        <v>43943</v>
      </c>
      <c r="E1127" s="22" t="s">
        <v>131</v>
      </c>
      <c r="F1127" s="22" t="s">
        <v>19</v>
      </c>
      <c r="G1127" s="26"/>
      <c r="H1127" s="22"/>
      <c r="I1127" s="22"/>
      <c r="J1127" s="2">
        <v>100</v>
      </c>
      <c r="K1127" s="6">
        <v>15</v>
      </c>
      <c r="L1127" s="150">
        <f t="shared" si="2"/>
        <v>151.05740181268879</v>
      </c>
      <c r="M1127" s="2"/>
      <c r="N1127" s="22"/>
      <c r="O1127" s="21"/>
      <c r="P1127" s="2"/>
    </row>
    <row r="1128" spans="1:16" ht="15" customHeight="1">
      <c r="A1128" s="2">
        <v>1125</v>
      </c>
      <c r="B1128" s="22" t="s">
        <v>31</v>
      </c>
      <c r="C1128" s="22" t="s">
        <v>32</v>
      </c>
      <c r="D1128" s="3">
        <v>43943</v>
      </c>
      <c r="E1128" s="22" t="s">
        <v>78</v>
      </c>
      <c r="F1128" s="22" t="s">
        <v>19</v>
      </c>
      <c r="G1128" s="26"/>
      <c r="H1128" s="22"/>
      <c r="I1128" s="22"/>
      <c r="J1128" s="2">
        <v>50</v>
      </c>
      <c r="K1128" s="6">
        <v>12</v>
      </c>
      <c r="L1128" s="150">
        <f t="shared" si="2"/>
        <v>71.123755334281654</v>
      </c>
      <c r="M1128" s="2"/>
      <c r="N1128" s="22"/>
      <c r="O1128" s="21"/>
      <c r="P1128" s="2"/>
    </row>
    <row r="1129" spans="1:16" ht="15" customHeight="1">
      <c r="A1129" s="2">
        <v>1126</v>
      </c>
      <c r="B1129" s="22" t="s">
        <v>31</v>
      </c>
      <c r="C1129" s="22" t="s">
        <v>32</v>
      </c>
      <c r="D1129" s="3">
        <v>43943</v>
      </c>
      <c r="E1129" s="22" t="s">
        <v>65</v>
      </c>
      <c r="F1129" s="22" t="s">
        <v>19</v>
      </c>
      <c r="G1129" s="26"/>
      <c r="H1129" s="22"/>
      <c r="I1129" s="22"/>
      <c r="J1129" s="2">
        <v>150</v>
      </c>
      <c r="K1129" s="6">
        <v>8</v>
      </c>
      <c r="L1129" s="150">
        <f t="shared" si="2"/>
        <v>190.83969465648855</v>
      </c>
      <c r="M1129" s="2"/>
      <c r="N1129" s="22"/>
      <c r="O1129" s="21"/>
      <c r="P1129" s="2"/>
    </row>
    <row r="1130" spans="1:16" ht="15" customHeight="1">
      <c r="A1130" s="2">
        <v>1127</v>
      </c>
      <c r="B1130" s="22" t="s">
        <v>31</v>
      </c>
      <c r="C1130" s="22" t="s">
        <v>32</v>
      </c>
      <c r="D1130" s="3">
        <v>43943</v>
      </c>
      <c r="E1130" s="22" t="s">
        <v>65</v>
      </c>
      <c r="F1130" s="22" t="s">
        <v>19</v>
      </c>
      <c r="G1130" s="26"/>
      <c r="H1130" s="22"/>
      <c r="I1130" s="22"/>
      <c r="J1130" s="2">
        <v>100</v>
      </c>
      <c r="K1130" s="6">
        <v>12</v>
      </c>
      <c r="L1130" s="150">
        <f t="shared" si="2"/>
        <v>142.24751066856331</v>
      </c>
      <c r="M1130" s="2"/>
      <c r="N1130" s="22"/>
      <c r="O1130" s="21"/>
      <c r="P1130" s="2"/>
    </row>
    <row r="1131" spans="1:16" ht="15" customHeight="1">
      <c r="A1131" s="2">
        <v>1128</v>
      </c>
      <c r="B1131" s="22" t="s">
        <v>31</v>
      </c>
      <c r="C1131" s="22" t="s">
        <v>32</v>
      </c>
      <c r="D1131" s="3">
        <v>43943</v>
      </c>
      <c r="E1131" s="22" t="s">
        <v>50</v>
      </c>
      <c r="F1131" s="22" t="s">
        <v>19</v>
      </c>
      <c r="G1131" s="26"/>
      <c r="H1131" s="22"/>
      <c r="I1131" s="22"/>
      <c r="J1131" s="2">
        <v>185</v>
      </c>
      <c r="K1131" s="6">
        <v>10</v>
      </c>
      <c r="L1131" s="150">
        <f t="shared" si="2"/>
        <v>248.6559139784946</v>
      </c>
      <c r="M1131" s="2"/>
      <c r="N1131" s="22"/>
      <c r="O1131" s="21"/>
      <c r="P1131" s="2"/>
    </row>
    <row r="1132" spans="1:16" ht="15" customHeight="1">
      <c r="A1132" s="2">
        <v>1129</v>
      </c>
      <c r="B1132" s="22" t="s">
        <v>31</v>
      </c>
      <c r="C1132" s="22" t="s">
        <v>32</v>
      </c>
      <c r="D1132" s="3">
        <v>43943</v>
      </c>
      <c r="E1132" s="22" t="s">
        <v>50</v>
      </c>
      <c r="F1132" s="22" t="s">
        <v>19</v>
      </c>
      <c r="G1132" s="26"/>
      <c r="H1132" s="22"/>
      <c r="I1132" s="22"/>
      <c r="J1132" s="2">
        <v>185</v>
      </c>
      <c r="K1132" s="6">
        <v>12</v>
      </c>
      <c r="L1132" s="150">
        <f t="shared" si="2"/>
        <v>263.15789473684214</v>
      </c>
      <c r="M1132" s="2"/>
      <c r="N1132" s="22"/>
      <c r="O1132" s="21"/>
      <c r="P1132" s="2"/>
    </row>
    <row r="1133" spans="1:16" ht="15" customHeight="1">
      <c r="A1133" s="2">
        <v>1130</v>
      </c>
      <c r="B1133" s="22" t="s">
        <v>31</v>
      </c>
      <c r="C1133" s="22" t="s">
        <v>32</v>
      </c>
      <c r="D1133" s="3">
        <v>43943</v>
      </c>
      <c r="E1133" s="22" t="s">
        <v>50</v>
      </c>
      <c r="F1133" s="22" t="s">
        <v>19</v>
      </c>
      <c r="G1133" s="26"/>
      <c r="H1133" s="22"/>
      <c r="I1133" s="22"/>
      <c r="J1133" s="2">
        <v>185</v>
      </c>
      <c r="K1133" s="6">
        <v>15</v>
      </c>
      <c r="L1133" s="150">
        <f t="shared" si="2"/>
        <v>279.4561933534743</v>
      </c>
      <c r="M1133" s="2"/>
      <c r="N1133" s="22"/>
      <c r="O1133" s="21"/>
      <c r="P1133" s="2"/>
    </row>
    <row r="1134" spans="1:16" ht="15" customHeight="1">
      <c r="A1134" s="2">
        <v>1131</v>
      </c>
      <c r="B1134" s="22" t="s">
        <v>31</v>
      </c>
      <c r="C1134" s="22" t="s">
        <v>32</v>
      </c>
      <c r="D1134" s="3">
        <v>43945</v>
      </c>
      <c r="E1134" s="22" t="s">
        <v>18</v>
      </c>
      <c r="F1134" s="22" t="s">
        <v>19</v>
      </c>
      <c r="G1134" s="26"/>
      <c r="H1134" s="22"/>
      <c r="I1134" s="22"/>
      <c r="J1134" s="2">
        <v>120</v>
      </c>
      <c r="K1134" s="6">
        <v>10</v>
      </c>
      <c r="L1134" s="150">
        <f t="shared" si="2"/>
        <v>161.29032258064515</v>
      </c>
      <c r="M1134" s="2"/>
      <c r="N1134" s="22" t="s">
        <v>69</v>
      </c>
      <c r="O1134" s="21"/>
      <c r="P1134" s="2"/>
    </row>
    <row r="1135" spans="1:16" ht="15" customHeight="1">
      <c r="A1135" s="2">
        <v>1132</v>
      </c>
      <c r="B1135" s="22" t="s">
        <v>31</v>
      </c>
      <c r="C1135" s="22" t="s">
        <v>32</v>
      </c>
      <c r="D1135" s="3">
        <v>43945</v>
      </c>
      <c r="E1135" s="22" t="s">
        <v>18</v>
      </c>
      <c r="F1135" s="22" t="s">
        <v>19</v>
      </c>
      <c r="G1135" s="26"/>
      <c r="H1135" s="22"/>
      <c r="I1135" s="22"/>
      <c r="J1135" s="2">
        <v>110</v>
      </c>
      <c r="K1135" s="6">
        <v>12</v>
      </c>
      <c r="L1135" s="150">
        <f t="shared" si="2"/>
        <v>156.47226173541964</v>
      </c>
      <c r="M1135" s="2"/>
      <c r="N1135" s="22" t="s">
        <v>69</v>
      </c>
      <c r="O1135" s="21"/>
      <c r="P1135" s="2"/>
    </row>
    <row r="1136" spans="1:16" ht="15" customHeight="1">
      <c r="A1136" s="2">
        <v>1133</v>
      </c>
      <c r="B1136" s="22" t="s">
        <v>31</v>
      </c>
      <c r="C1136" s="22" t="s">
        <v>32</v>
      </c>
      <c r="D1136" s="3">
        <v>43945</v>
      </c>
      <c r="E1136" s="22" t="s">
        <v>43</v>
      </c>
      <c r="F1136" s="22" t="s">
        <v>19</v>
      </c>
      <c r="G1136" s="26"/>
      <c r="H1136" s="22"/>
      <c r="I1136" s="22"/>
      <c r="J1136" s="2">
        <v>150</v>
      </c>
      <c r="K1136" s="6">
        <v>10</v>
      </c>
      <c r="L1136" s="150">
        <f t="shared" si="2"/>
        <v>201.61290322580643</v>
      </c>
      <c r="M1136" s="2"/>
      <c r="N1136" s="2" t="s">
        <v>328</v>
      </c>
      <c r="O1136" s="21"/>
      <c r="P1136" s="2"/>
    </row>
    <row r="1137" spans="1:16" ht="15" customHeight="1">
      <c r="A1137" s="2">
        <v>1134</v>
      </c>
      <c r="B1137" s="22" t="s">
        <v>31</v>
      </c>
      <c r="C1137" s="22" t="s">
        <v>32</v>
      </c>
      <c r="D1137" s="3">
        <v>43948</v>
      </c>
      <c r="E1137" s="22" t="s">
        <v>68</v>
      </c>
      <c r="F1137" s="22" t="s">
        <v>19</v>
      </c>
      <c r="G1137" s="26"/>
      <c r="H1137" s="22"/>
      <c r="I1137" s="22"/>
      <c r="J1137" s="2">
        <v>80</v>
      </c>
      <c r="K1137" s="6">
        <v>10</v>
      </c>
      <c r="L1137" s="150">
        <f t="shared" si="2"/>
        <v>107.5268817204301</v>
      </c>
      <c r="M1137" s="2"/>
      <c r="N1137" s="22" t="s">
        <v>69</v>
      </c>
      <c r="O1137" s="21"/>
      <c r="P1137" s="2"/>
    </row>
    <row r="1138" spans="1:16" ht="15" customHeight="1">
      <c r="A1138" s="2">
        <v>1135</v>
      </c>
      <c r="B1138" s="22" t="s">
        <v>31</v>
      </c>
      <c r="C1138" s="22" t="s">
        <v>32</v>
      </c>
      <c r="D1138" s="3">
        <v>43948</v>
      </c>
      <c r="E1138" s="22" t="s">
        <v>50</v>
      </c>
      <c r="F1138" s="22" t="s">
        <v>19</v>
      </c>
      <c r="G1138" s="26"/>
      <c r="H1138" s="22"/>
      <c r="I1138" s="22"/>
      <c r="J1138" s="2">
        <v>185</v>
      </c>
      <c r="K1138" s="6">
        <v>8</v>
      </c>
      <c r="L1138" s="150">
        <f t="shared" si="2"/>
        <v>235.36895674300254</v>
      </c>
      <c r="M1138" s="2"/>
      <c r="N1138" s="22"/>
      <c r="O1138" s="21"/>
      <c r="P1138" s="2"/>
    </row>
    <row r="1139" spans="1:16" ht="15" customHeight="1">
      <c r="A1139" s="2">
        <v>1136</v>
      </c>
      <c r="B1139" s="22" t="s">
        <v>31</v>
      </c>
      <c r="C1139" s="22" t="s">
        <v>32</v>
      </c>
      <c r="D1139" s="3">
        <v>43948</v>
      </c>
      <c r="E1139" s="22" t="s">
        <v>43</v>
      </c>
      <c r="F1139" s="22" t="s">
        <v>19</v>
      </c>
      <c r="G1139" s="26"/>
      <c r="H1139" s="22"/>
      <c r="I1139" s="22"/>
      <c r="J1139" s="2">
        <v>150</v>
      </c>
      <c r="K1139" s="6">
        <v>8</v>
      </c>
      <c r="L1139" s="150">
        <f t="shared" si="2"/>
        <v>190.83969465648855</v>
      </c>
      <c r="M1139" s="2"/>
      <c r="N1139" s="2" t="s">
        <v>328</v>
      </c>
      <c r="O1139" s="21"/>
      <c r="P1139" s="2"/>
    </row>
    <row r="1140" spans="1:16" ht="15" customHeight="1">
      <c r="A1140" s="2">
        <v>1137</v>
      </c>
      <c r="B1140" s="22" t="s">
        <v>31</v>
      </c>
      <c r="C1140" s="22" t="s">
        <v>32</v>
      </c>
      <c r="D1140" s="3">
        <v>43951</v>
      </c>
      <c r="E1140" s="22" t="s">
        <v>18</v>
      </c>
      <c r="F1140" s="22" t="s">
        <v>19</v>
      </c>
      <c r="G1140" s="26"/>
      <c r="H1140" s="22"/>
      <c r="I1140" s="22"/>
      <c r="J1140" s="2">
        <v>120</v>
      </c>
      <c r="K1140" s="6">
        <v>10</v>
      </c>
      <c r="L1140" s="150">
        <f t="shared" si="2"/>
        <v>161.29032258064515</v>
      </c>
      <c r="M1140" s="2"/>
      <c r="N1140" s="22"/>
      <c r="O1140" s="21"/>
      <c r="P1140" s="2"/>
    </row>
    <row r="1141" spans="1:16" ht="15" customHeight="1">
      <c r="A1141" s="2">
        <v>1138</v>
      </c>
      <c r="B1141" s="22" t="s">
        <v>31</v>
      </c>
      <c r="C1141" s="22" t="s">
        <v>32</v>
      </c>
      <c r="D1141" s="3">
        <v>43951</v>
      </c>
      <c r="E1141" s="22" t="s">
        <v>18</v>
      </c>
      <c r="F1141" s="22" t="s">
        <v>19</v>
      </c>
      <c r="G1141" s="26"/>
      <c r="H1141" s="22"/>
      <c r="I1141" s="22"/>
      <c r="J1141" s="2">
        <v>110</v>
      </c>
      <c r="K1141" s="6">
        <v>12</v>
      </c>
      <c r="L1141" s="150">
        <f t="shared" si="2"/>
        <v>156.47226173541964</v>
      </c>
      <c r="M1141" s="2"/>
      <c r="N1141" s="22"/>
      <c r="O1141" s="21"/>
      <c r="P1141" s="2"/>
    </row>
    <row r="1142" spans="1:16" ht="15" customHeight="1">
      <c r="A1142" s="2">
        <v>1139</v>
      </c>
      <c r="B1142" s="22" t="s">
        <v>31</v>
      </c>
      <c r="C1142" s="22" t="s">
        <v>32</v>
      </c>
      <c r="D1142" s="3">
        <v>43951</v>
      </c>
      <c r="E1142" s="22" t="s">
        <v>18</v>
      </c>
      <c r="F1142" s="22" t="s">
        <v>19</v>
      </c>
      <c r="G1142" s="26"/>
      <c r="H1142" s="22"/>
      <c r="I1142" s="22"/>
      <c r="J1142" s="2">
        <v>110</v>
      </c>
      <c r="K1142" s="6">
        <v>10</v>
      </c>
      <c r="L1142" s="150">
        <f t="shared" si="2"/>
        <v>147.84946236559139</v>
      </c>
      <c r="M1142" s="2"/>
      <c r="N1142" s="22" t="s">
        <v>69</v>
      </c>
      <c r="O1142" s="21"/>
      <c r="P1142" s="2"/>
    </row>
    <row r="1143" spans="1:16" ht="15" customHeight="1">
      <c r="A1143" s="2">
        <v>1140</v>
      </c>
      <c r="B1143" s="22" t="s">
        <v>31</v>
      </c>
      <c r="C1143" s="22" t="s">
        <v>32</v>
      </c>
      <c r="D1143" s="3">
        <v>43951</v>
      </c>
      <c r="E1143" s="22" t="s">
        <v>316</v>
      </c>
      <c r="F1143" s="22" t="s">
        <v>19</v>
      </c>
      <c r="G1143" s="26"/>
      <c r="H1143" s="22"/>
      <c r="I1143" s="22"/>
      <c r="J1143" s="2">
        <v>60</v>
      </c>
      <c r="K1143" s="6">
        <v>10</v>
      </c>
      <c r="L1143" s="150">
        <f t="shared" si="2"/>
        <v>80.645161290322577</v>
      </c>
      <c r="M1143" s="2"/>
      <c r="N1143" s="22"/>
      <c r="O1143" s="21"/>
      <c r="P1143" s="2"/>
    </row>
    <row r="1144" spans="1:16" ht="15" customHeight="1">
      <c r="A1144" s="2">
        <v>1141</v>
      </c>
      <c r="B1144" s="22" t="s">
        <v>31</v>
      </c>
      <c r="C1144" s="22" t="s">
        <v>32</v>
      </c>
      <c r="D1144" s="3">
        <v>43951</v>
      </c>
      <c r="E1144" s="22" t="s">
        <v>65</v>
      </c>
      <c r="F1144" s="22" t="s">
        <v>19</v>
      </c>
      <c r="G1144" s="26"/>
      <c r="H1144" s="22"/>
      <c r="I1144" s="22"/>
      <c r="J1144" s="2">
        <v>140</v>
      </c>
      <c r="K1144" s="6">
        <v>10</v>
      </c>
      <c r="L1144" s="150">
        <f t="shared" si="2"/>
        <v>188.17204301075267</v>
      </c>
      <c r="M1144" s="2"/>
      <c r="N1144" s="22"/>
      <c r="O1144" s="21"/>
      <c r="P1144" s="2"/>
    </row>
    <row r="1145" spans="1:16" ht="15" customHeight="1">
      <c r="A1145" s="2">
        <v>1142</v>
      </c>
      <c r="B1145" s="22" t="s">
        <v>31</v>
      </c>
      <c r="C1145" s="22" t="s">
        <v>32</v>
      </c>
      <c r="D1145" s="3">
        <v>43951</v>
      </c>
      <c r="E1145" s="22" t="s">
        <v>23</v>
      </c>
      <c r="F1145" s="22" t="s">
        <v>19</v>
      </c>
      <c r="G1145" s="26"/>
      <c r="H1145" s="22"/>
      <c r="I1145" s="22"/>
      <c r="J1145" s="2">
        <v>200</v>
      </c>
      <c r="K1145" s="6">
        <v>15</v>
      </c>
      <c r="L1145" s="150">
        <f t="shared" si="2"/>
        <v>302.11480362537759</v>
      </c>
      <c r="M1145" s="2"/>
      <c r="N1145" s="22"/>
      <c r="O1145" s="21"/>
      <c r="P1145" s="2"/>
    </row>
    <row r="1146" spans="1:16" ht="15" customHeight="1">
      <c r="A1146" s="2">
        <v>1143</v>
      </c>
      <c r="B1146" s="22" t="s">
        <v>31</v>
      </c>
      <c r="C1146" s="22" t="s">
        <v>32</v>
      </c>
      <c r="D1146" s="3">
        <v>43951</v>
      </c>
      <c r="E1146" s="22" t="s">
        <v>43</v>
      </c>
      <c r="F1146" s="22" t="s">
        <v>19</v>
      </c>
      <c r="G1146" s="26"/>
      <c r="H1146" s="22"/>
      <c r="I1146" s="22"/>
      <c r="J1146" s="2">
        <v>120</v>
      </c>
      <c r="K1146" s="6">
        <v>8</v>
      </c>
      <c r="L1146" s="150">
        <f t="shared" si="2"/>
        <v>152.67175572519085</v>
      </c>
      <c r="M1146" s="2"/>
      <c r="N1146" s="2" t="s">
        <v>328</v>
      </c>
      <c r="O1146" s="21"/>
      <c r="P1146" s="2"/>
    </row>
    <row r="1147" spans="1:16" ht="15" customHeight="1">
      <c r="A1147" s="2">
        <v>1144</v>
      </c>
      <c r="B1147" s="22" t="s">
        <v>31</v>
      </c>
      <c r="C1147" s="22" t="s">
        <v>32</v>
      </c>
      <c r="D1147" s="3">
        <v>43983</v>
      </c>
      <c r="E1147" s="22" t="s">
        <v>68</v>
      </c>
      <c r="F1147" s="22" t="s">
        <v>19</v>
      </c>
      <c r="G1147" s="26"/>
      <c r="H1147" s="22"/>
      <c r="I1147" s="22"/>
      <c r="J1147" s="6">
        <v>125</v>
      </c>
      <c r="K1147" s="6">
        <v>5</v>
      </c>
      <c r="L1147" s="150">
        <f t="shared" si="2"/>
        <v>146.02803738317758</v>
      </c>
      <c r="M1147" s="2">
        <v>83.2</v>
      </c>
      <c r="N1147" s="22" t="s">
        <v>69</v>
      </c>
      <c r="O1147" s="21"/>
      <c r="P1147" s="2"/>
    </row>
    <row r="1148" spans="1:16" ht="15" customHeight="1">
      <c r="A1148" s="2">
        <v>1145</v>
      </c>
      <c r="B1148" s="22" t="s">
        <v>31</v>
      </c>
      <c r="C1148" s="22" t="s">
        <v>32</v>
      </c>
      <c r="D1148" s="3">
        <v>43983</v>
      </c>
      <c r="E1148" s="22" t="s">
        <v>68</v>
      </c>
      <c r="F1148" s="22" t="s">
        <v>19</v>
      </c>
      <c r="G1148" s="26"/>
      <c r="H1148" s="22"/>
      <c r="I1148" s="22"/>
      <c r="J1148" s="6">
        <v>135</v>
      </c>
      <c r="K1148" s="6">
        <v>2</v>
      </c>
      <c r="L1148" s="150">
        <f t="shared" si="2"/>
        <v>143.16012725344646</v>
      </c>
      <c r="M1148" s="2">
        <v>83.2</v>
      </c>
      <c r="N1148" s="22" t="s">
        <v>69</v>
      </c>
      <c r="O1148" s="21"/>
      <c r="P1148" s="2"/>
    </row>
    <row r="1149" spans="1:16" ht="15" customHeight="1">
      <c r="A1149" s="2">
        <v>1146</v>
      </c>
      <c r="B1149" s="22" t="s">
        <v>31</v>
      </c>
      <c r="C1149" s="22" t="s">
        <v>32</v>
      </c>
      <c r="D1149" s="3">
        <v>43985</v>
      </c>
      <c r="E1149" s="22" t="s">
        <v>26</v>
      </c>
      <c r="F1149" s="22" t="s">
        <v>19</v>
      </c>
      <c r="G1149" s="26"/>
      <c r="H1149" s="22"/>
      <c r="I1149" s="22"/>
      <c r="J1149" s="6">
        <v>100</v>
      </c>
      <c r="K1149" s="6">
        <v>4</v>
      </c>
      <c r="L1149" s="150">
        <f t="shared" si="2"/>
        <v>113.50737797956867</v>
      </c>
      <c r="M1149" s="2">
        <v>83.9</v>
      </c>
      <c r="N1149" s="22"/>
      <c r="O1149" s="21"/>
      <c r="P1149" s="2"/>
    </row>
    <row r="1150" spans="1:16" ht="15" customHeight="1">
      <c r="A1150" s="2">
        <v>1147</v>
      </c>
      <c r="B1150" s="22" t="s">
        <v>31</v>
      </c>
      <c r="C1150" s="22" t="s">
        <v>32</v>
      </c>
      <c r="D1150" s="3">
        <v>43985</v>
      </c>
      <c r="E1150" s="22" t="s">
        <v>317</v>
      </c>
      <c r="F1150" s="22" t="s">
        <v>19</v>
      </c>
      <c r="G1150" s="26"/>
      <c r="H1150" s="22"/>
      <c r="I1150" s="22"/>
      <c r="J1150" s="6">
        <v>82</v>
      </c>
      <c r="K1150" s="2">
        <v>15</v>
      </c>
      <c r="L1150" s="150">
        <f t="shared" si="2"/>
        <v>123.86706948640482</v>
      </c>
      <c r="M1150" s="2">
        <v>83.9</v>
      </c>
      <c r="N1150" s="22"/>
      <c r="O1150" s="21"/>
      <c r="P1150" s="2"/>
    </row>
    <row r="1151" spans="1:16" ht="15" customHeight="1">
      <c r="A1151" s="2">
        <v>1148</v>
      </c>
      <c r="B1151" s="22" t="s">
        <v>31</v>
      </c>
      <c r="C1151" s="22" t="s">
        <v>32</v>
      </c>
      <c r="D1151" s="3">
        <v>43987</v>
      </c>
      <c r="E1151" s="22" t="s">
        <v>18</v>
      </c>
      <c r="F1151" s="22" t="s">
        <v>19</v>
      </c>
      <c r="G1151" s="26"/>
      <c r="H1151" s="22"/>
      <c r="I1151" s="22"/>
      <c r="J1151" s="6">
        <v>160</v>
      </c>
      <c r="K1151" s="6">
        <v>2</v>
      </c>
      <c r="L1151" s="150">
        <f t="shared" si="2"/>
        <v>169.67126193001062</v>
      </c>
      <c r="M1151" s="2">
        <v>84.2</v>
      </c>
      <c r="N1151" s="22" t="s">
        <v>69</v>
      </c>
      <c r="O1151" s="21"/>
      <c r="P1151" s="2"/>
    </row>
    <row r="1152" spans="1:16" ht="15" customHeight="1">
      <c r="A1152" s="2">
        <v>1149</v>
      </c>
      <c r="B1152" s="22" t="s">
        <v>31</v>
      </c>
      <c r="C1152" s="22" t="s">
        <v>32</v>
      </c>
      <c r="D1152" s="3">
        <v>43987</v>
      </c>
      <c r="E1152" s="22" t="s">
        <v>65</v>
      </c>
      <c r="F1152" s="22" t="s">
        <v>19</v>
      </c>
      <c r="G1152" s="26"/>
      <c r="H1152" s="22"/>
      <c r="I1152" s="22"/>
      <c r="J1152" s="6">
        <v>140</v>
      </c>
      <c r="K1152" s="2">
        <v>6</v>
      </c>
      <c r="L1152" s="150">
        <f t="shared" si="2"/>
        <v>168.47172081829123</v>
      </c>
      <c r="M1152" s="2">
        <v>84.2</v>
      </c>
      <c r="N1152" s="22"/>
      <c r="O1152" s="21"/>
      <c r="P1152" s="2"/>
    </row>
    <row r="1153" spans="1:16" ht="15" customHeight="1">
      <c r="A1153" s="2">
        <v>1150</v>
      </c>
      <c r="B1153" s="22" t="s">
        <v>31</v>
      </c>
      <c r="C1153" s="22" t="s">
        <v>32</v>
      </c>
      <c r="D1153" s="3">
        <v>43990</v>
      </c>
      <c r="E1153" s="22" t="s">
        <v>68</v>
      </c>
      <c r="F1153" s="22" t="s">
        <v>19</v>
      </c>
      <c r="G1153" s="26"/>
      <c r="H1153" s="22"/>
      <c r="I1153" s="22"/>
      <c r="J1153" s="6">
        <v>135</v>
      </c>
      <c r="K1153" s="6">
        <v>4</v>
      </c>
      <c r="L1153" s="150">
        <f t="shared" si="2"/>
        <v>153.23496027241771</v>
      </c>
      <c r="M1153" s="2">
        <v>84.5</v>
      </c>
      <c r="N1153" s="22" t="s">
        <v>69</v>
      </c>
      <c r="O1153" s="21"/>
      <c r="P1153" s="2"/>
    </row>
    <row r="1154" spans="1:16" ht="15" customHeight="1">
      <c r="A1154" s="2">
        <v>1151</v>
      </c>
      <c r="B1154" s="22" t="s">
        <v>31</v>
      </c>
      <c r="C1154" s="22" t="s">
        <v>32</v>
      </c>
      <c r="D1154" s="3">
        <v>43992</v>
      </c>
      <c r="E1154" s="22" t="s">
        <v>26</v>
      </c>
      <c r="F1154" s="22" t="s">
        <v>19</v>
      </c>
      <c r="G1154" s="26"/>
      <c r="H1154" s="22"/>
      <c r="I1154" s="22"/>
      <c r="J1154" s="6">
        <v>100</v>
      </c>
      <c r="K1154" s="6">
        <v>4</v>
      </c>
      <c r="L1154" s="150">
        <f t="shared" si="2"/>
        <v>113.50737797956867</v>
      </c>
      <c r="M1154" s="2">
        <v>83.2</v>
      </c>
      <c r="N1154" s="22"/>
      <c r="O1154" s="21"/>
      <c r="P1154" s="2"/>
    </row>
    <row r="1155" spans="1:16" ht="15" customHeight="1">
      <c r="A1155" s="2">
        <v>1152</v>
      </c>
      <c r="B1155" s="22" t="s">
        <v>31</v>
      </c>
      <c r="C1155" s="22" t="s">
        <v>32</v>
      </c>
      <c r="D1155" s="3">
        <v>43994</v>
      </c>
      <c r="E1155" s="22" t="s">
        <v>18</v>
      </c>
      <c r="F1155" s="22" t="s">
        <v>19</v>
      </c>
      <c r="G1155" s="26"/>
      <c r="H1155" s="21" t="s">
        <v>330</v>
      </c>
      <c r="I1155" s="22"/>
      <c r="J1155" s="6">
        <v>160</v>
      </c>
      <c r="K1155" s="6">
        <v>2</v>
      </c>
      <c r="L1155" s="150">
        <f t="shared" si="2"/>
        <v>169.67126193001062</v>
      </c>
      <c r="M1155" s="2">
        <v>83.8</v>
      </c>
      <c r="N1155" s="22" t="s">
        <v>69</v>
      </c>
      <c r="O1155" s="21"/>
      <c r="P1155" s="2"/>
    </row>
    <row r="1156" spans="1:16" ht="15" customHeight="1">
      <c r="A1156" s="2">
        <v>1153</v>
      </c>
      <c r="B1156" s="22" t="s">
        <v>31</v>
      </c>
      <c r="C1156" s="22" t="s">
        <v>32</v>
      </c>
      <c r="D1156" s="3">
        <v>43997</v>
      </c>
      <c r="E1156" s="22" t="s">
        <v>65</v>
      </c>
      <c r="F1156" s="22" t="s">
        <v>19</v>
      </c>
      <c r="G1156" s="26"/>
      <c r="H1156" s="22"/>
      <c r="I1156" s="22"/>
      <c r="J1156" s="6">
        <v>140</v>
      </c>
      <c r="K1156" s="6">
        <v>6</v>
      </c>
      <c r="L1156" s="150">
        <f t="shared" si="2"/>
        <v>168.47172081829123</v>
      </c>
      <c r="M1156" s="2">
        <v>82.9</v>
      </c>
      <c r="N1156" s="22"/>
      <c r="O1156" s="21"/>
      <c r="P1156" s="2"/>
    </row>
    <row r="1157" spans="1:16" ht="15" customHeight="1">
      <c r="A1157" s="2">
        <v>1154</v>
      </c>
      <c r="B1157" s="22" t="s">
        <v>31</v>
      </c>
      <c r="C1157" s="22" t="s">
        <v>32</v>
      </c>
      <c r="D1157" s="3">
        <v>43999</v>
      </c>
      <c r="E1157" s="22" t="s">
        <v>68</v>
      </c>
      <c r="F1157" s="22" t="s">
        <v>19</v>
      </c>
      <c r="G1157" s="26"/>
      <c r="H1157" s="22"/>
      <c r="I1157" s="22"/>
      <c r="J1157" s="6">
        <v>120</v>
      </c>
      <c r="K1157" s="6">
        <v>6</v>
      </c>
      <c r="L1157" s="150">
        <f t="shared" si="2"/>
        <v>144.4043321299639</v>
      </c>
      <c r="M1157" s="2">
        <v>83.6</v>
      </c>
      <c r="N1157" s="22" t="s">
        <v>69</v>
      </c>
      <c r="O1157" s="21"/>
      <c r="P1157" s="2"/>
    </row>
    <row r="1158" spans="1:16" ht="15" customHeight="1">
      <c r="A1158" s="2">
        <v>1155</v>
      </c>
      <c r="B1158" s="22" t="s">
        <v>31</v>
      </c>
      <c r="C1158" s="22" t="s">
        <v>32</v>
      </c>
      <c r="D1158" s="3">
        <v>44001</v>
      </c>
      <c r="E1158" s="22" t="s">
        <v>18</v>
      </c>
      <c r="F1158" s="22" t="s">
        <v>19</v>
      </c>
      <c r="G1158" s="26"/>
      <c r="H1158" s="22"/>
      <c r="I1158" s="22"/>
      <c r="J1158" s="6">
        <v>140</v>
      </c>
      <c r="K1158" s="6">
        <v>7</v>
      </c>
      <c r="L1158" s="150">
        <f t="shared" si="2"/>
        <v>173.48203221809169</v>
      </c>
      <c r="M1158" s="2"/>
      <c r="N1158" s="22" t="s">
        <v>69</v>
      </c>
      <c r="O1158" s="21"/>
      <c r="P1158" s="2"/>
    </row>
    <row r="1159" spans="1:16" ht="15" customHeight="1">
      <c r="A1159" s="2">
        <v>1156</v>
      </c>
      <c r="B1159" s="22" t="s">
        <v>31</v>
      </c>
      <c r="C1159" s="22" t="s">
        <v>32</v>
      </c>
      <c r="D1159" s="3">
        <v>44001</v>
      </c>
      <c r="E1159" s="22" t="s">
        <v>26</v>
      </c>
      <c r="F1159" s="22" t="s">
        <v>19</v>
      </c>
      <c r="G1159" s="26"/>
      <c r="H1159" s="22"/>
      <c r="I1159" s="22"/>
      <c r="J1159" s="6">
        <v>90</v>
      </c>
      <c r="K1159" s="6">
        <v>4</v>
      </c>
      <c r="L1159" s="150">
        <f t="shared" si="2"/>
        <v>102.15664018161181</v>
      </c>
      <c r="M1159" s="2">
        <v>83.2</v>
      </c>
      <c r="N1159" s="22"/>
      <c r="O1159" s="21"/>
      <c r="P1159" s="2"/>
    </row>
    <row r="1160" spans="1:16" ht="15" customHeight="1">
      <c r="A1160" s="2">
        <v>1157</v>
      </c>
      <c r="B1160" s="22" t="s">
        <v>31</v>
      </c>
      <c r="C1160" s="22" t="s">
        <v>32</v>
      </c>
      <c r="D1160" s="3">
        <v>44004</v>
      </c>
      <c r="E1160" s="22" t="s">
        <v>68</v>
      </c>
      <c r="F1160" s="22" t="s">
        <v>19</v>
      </c>
      <c r="G1160" s="26"/>
      <c r="H1160" s="21" t="s">
        <v>330</v>
      </c>
      <c r="I1160" s="22"/>
      <c r="J1160" s="6">
        <v>130</v>
      </c>
      <c r="K1160" s="2">
        <v>2</v>
      </c>
      <c r="L1160" s="150">
        <f t="shared" si="2"/>
        <v>137.85790031813363</v>
      </c>
      <c r="M1160" s="2">
        <v>83.7</v>
      </c>
      <c r="N1160" s="22" t="s">
        <v>69</v>
      </c>
      <c r="O1160" s="21"/>
      <c r="P1160" s="2"/>
    </row>
    <row r="1161" spans="1:16" ht="15" customHeight="1">
      <c r="A1161" s="2">
        <v>1158</v>
      </c>
      <c r="B1161" s="22" t="s">
        <v>31</v>
      </c>
      <c r="C1161" s="22" t="s">
        <v>32</v>
      </c>
      <c r="D1161" s="3">
        <v>44006</v>
      </c>
      <c r="E1161" s="22" t="s">
        <v>26</v>
      </c>
      <c r="F1161" s="22" t="s">
        <v>19</v>
      </c>
      <c r="G1161" s="26"/>
      <c r="H1161" s="22"/>
      <c r="I1161" s="22"/>
      <c r="J1161" s="6">
        <v>110</v>
      </c>
      <c r="K1161" s="2">
        <v>1</v>
      </c>
      <c r="L1161" s="150">
        <f t="shared" si="2"/>
        <v>110</v>
      </c>
      <c r="M1161" s="2">
        <v>83.4</v>
      </c>
      <c r="N1161" s="22"/>
      <c r="O1161" s="21"/>
      <c r="P1161" s="2"/>
    </row>
    <row r="1162" spans="1:16" ht="15" customHeight="1">
      <c r="A1162" s="2">
        <v>1159</v>
      </c>
      <c r="B1162" s="22" t="s">
        <v>31</v>
      </c>
      <c r="C1162" s="22" t="s">
        <v>32</v>
      </c>
      <c r="D1162" s="3">
        <v>44008</v>
      </c>
      <c r="E1162" s="22" t="s">
        <v>18</v>
      </c>
      <c r="F1162" s="22" t="s">
        <v>19</v>
      </c>
      <c r="G1162" s="26"/>
      <c r="H1162" s="22"/>
      <c r="I1162" s="22"/>
      <c r="J1162" s="6">
        <v>155</v>
      </c>
      <c r="K1162" s="2">
        <v>2</v>
      </c>
      <c r="L1162" s="150">
        <f t="shared" si="2"/>
        <v>164.36903499469778</v>
      </c>
      <c r="M1162" s="2">
        <v>83.7</v>
      </c>
      <c r="N1162" s="22" t="s">
        <v>69</v>
      </c>
      <c r="O1162" s="21"/>
      <c r="P1162" s="2"/>
    </row>
    <row r="1163" spans="1:16" ht="15" customHeight="1">
      <c r="A1163" s="2">
        <v>1160</v>
      </c>
      <c r="B1163" s="22" t="s">
        <v>31</v>
      </c>
      <c r="C1163" s="22" t="s">
        <v>32</v>
      </c>
      <c r="D1163" s="3">
        <v>44008</v>
      </c>
      <c r="E1163" s="22" t="s">
        <v>18</v>
      </c>
      <c r="F1163" s="22" t="s">
        <v>19</v>
      </c>
      <c r="G1163" s="26"/>
      <c r="H1163" s="22"/>
      <c r="I1163" s="22"/>
      <c r="J1163" s="6">
        <v>160</v>
      </c>
      <c r="K1163" s="2">
        <v>1</v>
      </c>
      <c r="L1163" s="150">
        <f t="shared" si="2"/>
        <v>160</v>
      </c>
      <c r="M1163" s="2">
        <v>83.7</v>
      </c>
      <c r="N1163" s="22" t="s">
        <v>69</v>
      </c>
      <c r="O1163" s="21"/>
      <c r="P1163" s="2"/>
    </row>
    <row r="1164" spans="1:16" ht="15" customHeight="1">
      <c r="A1164" s="2">
        <v>1161</v>
      </c>
      <c r="B1164" s="22" t="s">
        <v>31</v>
      </c>
      <c r="C1164" s="22" t="s">
        <v>32</v>
      </c>
      <c r="D1164" s="3">
        <v>44008</v>
      </c>
      <c r="E1164" s="22" t="s">
        <v>65</v>
      </c>
      <c r="F1164" s="22" t="s">
        <v>19</v>
      </c>
      <c r="G1164" s="26"/>
      <c r="H1164" s="22"/>
      <c r="I1164" s="22"/>
      <c r="J1164" s="6">
        <v>160</v>
      </c>
      <c r="K1164" s="2">
        <v>4</v>
      </c>
      <c r="L1164" s="150">
        <f t="shared" si="2"/>
        <v>181.61180476730988</v>
      </c>
      <c r="M1164" s="2">
        <v>83.7</v>
      </c>
      <c r="N1164" s="22"/>
      <c r="O1164" s="21"/>
      <c r="P1164" s="2"/>
    </row>
    <row r="1165" spans="1:16" ht="15" customHeight="1">
      <c r="A1165" s="2">
        <v>1162</v>
      </c>
      <c r="B1165" s="22" t="s">
        <v>31</v>
      </c>
      <c r="C1165" s="22" t="s">
        <v>32</v>
      </c>
      <c r="D1165" s="3">
        <v>44011</v>
      </c>
      <c r="E1165" s="22" t="s">
        <v>68</v>
      </c>
      <c r="F1165" s="22" t="s">
        <v>19</v>
      </c>
      <c r="G1165" s="26"/>
      <c r="H1165" s="22"/>
      <c r="I1165" s="22"/>
      <c r="J1165" s="6">
        <v>140</v>
      </c>
      <c r="K1165" s="2">
        <v>2</v>
      </c>
      <c r="L1165" s="150">
        <f t="shared" si="2"/>
        <v>148.46235418875929</v>
      </c>
      <c r="M1165" s="2">
        <v>84.1</v>
      </c>
      <c r="N1165" s="22" t="s">
        <v>69</v>
      </c>
      <c r="O1165" s="21"/>
      <c r="P1165" s="2"/>
    </row>
    <row r="1166" spans="1:16" ht="15" customHeight="1">
      <c r="A1166" s="2">
        <v>1163</v>
      </c>
      <c r="B1166" s="22" t="s">
        <v>31</v>
      </c>
      <c r="C1166" s="22" t="s">
        <v>32</v>
      </c>
      <c r="D1166" s="3">
        <v>44013</v>
      </c>
      <c r="E1166" s="22" t="s">
        <v>26</v>
      </c>
      <c r="F1166" s="22" t="s">
        <v>19</v>
      </c>
      <c r="G1166" s="26"/>
      <c r="H1166" s="22"/>
      <c r="I1166" s="22"/>
      <c r="J1166" s="6">
        <v>100</v>
      </c>
      <c r="K1166" s="2">
        <v>3</v>
      </c>
      <c r="L1166" s="150">
        <f t="shared" si="2"/>
        <v>110.37527593818986</v>
      </c>
      <c r="M1166" s="2">
        <v>82.9</v>
      </c>
      <c r="N1166" s="22"/>
      <c r="O1166" s="21"/>
      <c r="P1166" s="2"/>
    </row>
    <row r="1167" spans="1:16" ht="15" customHeight="1">
      <c r="A1167" s="2">
        <v>1164</v>
      </c>
      <c r="B1167" s="22" t="s">
        <v>31</v>
      </c>
      <c r="C1167" s="22" t="s">
        <v>32</v>
      </c>
      <c r="D1167" s="3">
        <v>44013</v>
      </c>
      <c r="E1167" s="22" t="s">
        <v>331</v>
      </c>
      <c r="F1167" s="22" t="s">
        <v>19</v>
      </c>
      <c r="G1167" s="26"/>
      <c r="H1167" s="22"/>
      <c r="I1167" s="22"/>
      <c r="J1167" s="6">
        <v>250</v>
      </c>
      <c r="K1167" s="2">
        <v>5</v>
      </c>
      <c r="L1167" s="150">
        <f t="shared" si="2"/>
        <v>292.05607476635515</v>
      </c>
      <c r="M1167" s="2">
        <v>82.9</v>
      </c>
      <c r="N1167" s="22"/>
      <c r="O1167" s="21"/>
      <c r="P1167" s="2"/>
    </row>
    <row r="1168" spans="1:16" ht="15" customHeight="1">
      <c r="A1168" s="2">
        <v>1165</v>
      </c>
      <c r="B1168" s="22" t="s">
        <v>31</v>
      </c>
      <c r="C1168" s="22" t="s">
        <v>32</v>
      </c>
      <c r="D1168" s="3">
        <v>44015</v>
      </c>
      <c r="E1168" s="22" t="s">
        <v>18</v>
      </c>
      <c r="F1168" s="22" t="s">
        <v>19</v>
      </c>
      <c r="G1168" s="26"/>
      <c r="H1168" s="22"/>
      <c r="I1168" s="22"/>
      <c r="J1168" s="6">
        <v>145</v>
      </c>
      <c r="K1168" s="2">
        <v>5</v>
      </c>
      <c r="L1168" s="150">
        <f t="shared" si="2"/>
        <v>169.39252336448598</v>
      </c>
      <c r="M1168" s="2">
        <v>83</v>
      </c>
      <c r="N1168" s="22" t="s">
        <v>69</v>
      </c>
      <c r="O1168" s="21"/>
      <c r="P1168" s="2"/>
    </row>
    <row r="1169" spans="1:16" ht="15" customHeight="1">
      <c r="A1169" s="2">
        <v>1166</v>
      </c>
      <c r="B1169" s="22" t="s">
        <v>31</v>
      </c>
      <c r="C1169" s="22" t="s">
        <v>32</v>
      </c>
      <c r="D1169" s="3">
        <v>44015</v>
      </c>
      <c r="E1169" s="22" t="s">
        <v>18</v>
      </c>
      <c r="F1169" s="22" t="s">
        <v>19</v>
      </c>
      <c r="G1169" s="26"/>
      <c r="H1169" s="22"/>
      <c r="I1169" s="22"/>
      <c r="J1169" s="6">
        <v>155</v>
      </c>
      <c r="K1169" s="2">
        <v>1</v>
      </c>
      <c r="L1169" s="150">
        <f t="shared" ref="L1169" si="3">IF(K1169=0,"",IF(K1169=1,J1169*(100/100),IF(K1169=2,J1169*(100/94.3),IF(K1169=3,J1169*(100/90.6),IF(K1169=4,J1169*(100/88.1),IF(K1169=5,J1169*(100/85.6),IF(K1169=6,J1169*(100/83.1),IF(K1169=7,J1169*(100/80.7),IF(K1169=8,J1169*(100/78.6),IF(K1169=9,J1169*(100/76.5),IF(K1169=10,J1169*(100/74.4),IF(K1169=11,J1169*(100/72.3),IF(K1169=12,J1169*(100/70.3),IF(K1169=13,J1169*(100/68.8),IF(K1169=14,J1169*(100/67.5),IF(K1169=15,J1169*(100/66.2),IF(K1169=16,J1169*(100/65),IF(K1169=17,J1169*(100/63.8),IF(K1169=18,J1169*(100/62.7),IF(K1169=19,J1169*(100/61.6),IF(K1169=20,J1169*(100/60.6),"&gt;20 reps")))))))))))))))))))))</f>
        <v>155</v>
      </c>
      <c r="M1169" s="2">
        <v>83</v>
      </c>
      <c r="N1169" s="22" t="s">
        <v>69</v>
      </c>
      <c r="O1169" s="21"/>
      <c r="P1169" s="28"/>
    </row>
    <row r="1170" spans="1:16" ht="15" customHeight="1">
      <c r="A1170" s="2">
        <v>1167</v>
      </c>
      <c r="B1170" s="29" t="s">
        <v>31</v>
      </c>
      <c r="C1170" s="29" t="s">
        <v>32</v>
      </c>
      <c r="D1170" s="126">
        <v>44018</v>
      </c>
      <c r="E1170" s="29" t="s">
        <v>45</v>
      </c>
      <c r="F1170" s="22" t="s">
        <v>19</v>
      </c>
      <c r="G1170" s="32"/>
      <c r="H1170" s="29"/>
      <c r="I1170" s="29"/>
      <c r="J1170" s="30"/>
      <c r="K1170" s="28"/>
      <c r="L1170" s="30">
        <v>346</v>
      </c>
      <c r="M1170" s="28">
        <v>84.1</v>
      </c>
      <c r="N1170" s="29"/>
      <c r="O1170" s="31"/>
      <c r="P1170" s="28"/>
    </row>
    <row r="1171" spans="1:16" ht="15" customHeight="1">
      <c r="A1171" s="2">
        <v>1168</v>
      </c>
      <c r="B1171" s="29" t="s">
        <v>31</v>
      </c>
      <c r="C1171" s="29" t="s">
        <v>32</v>
      </c>
      <c r="D1171" s="126">
        <v>44022</v>
      </c>
      <c r="E1171" s="29" t="s">
        <v>45</v>
      </c>
      <c r="F1171" s="22" t="s">
        <v>19</v>
      </c>
      <c r="G1171" s="32"/>
      <c r="H1171" s="29"/>
      <c r="I1171" s="29"/>
      <c r="J1171" s="30"/>
      <c r="K1171" s="28"/>
      <c r="L1171" s="30">
        <v>353</v>
      </c>
      <c r="M1171" s="28">
        <v>83.5</v>
      </c>
      <c r="N1171" s="29"/>
      <c r="O1171" s="31"/>
      <c r="P1171" s="28"/>
    </row>
    <row r="1172" spans="1:16" ht="15" customHeight="1">
      <c r="A1172" s="2">
        <v>1169</v>
      </c>
      <c r="B1172" s="29" t="s">
        <v>31</v>
      </c>
      <c r="C1172" s="29" t="s">
        <v>32</v>
      </c>
      <c r="D1172" s="126">
        <v>44026</v>
      </c>
      <c r="E1172" s="29" t="s">
        <v>45</v>
      </c>
      <c r="F1172" s="29" t="s">
        <v>19</v>
      </c>
      <c r="G1172" s="32"/>
      <c r="H1172" s="29"/>
      <c r="I1172" s="29"/>
      <c r="J1172" s="30"/>
      <c r="K1172" s="28"/>
      <c r="L1172" s="30">
        <v>380</v>
      </c>
      <c r="M1172" s="28">
        <v>84.1</v>
      </c>
      <c r="N1172" s="29"/>
      <c r="O1172" s="31"/>
      <c r="P1172" s="28"/>
    </row>
  </sheetData>
  <sortState xmlns:xlrd2="http://schemas.microsoft.com/office/spreadsheetml/2017/richdata2" ref="A2:P255">
    <sortCondition ref="B2:B255"/>
  </sortState>
  <conditionalFormatting sqref="M23:N23 M25:N30 M32:N35 B2:C2 B8 B10 B13:C13 B20:B28 B149:B153 B165:B167 B155 B161:C161 B175 B3:B6 M19:N20 B37:B45 C31:C45 C83:C97 B103:B113 C99:C115 B124:B127 C117:C133 L31:N31 L2:N13 P2:P14 P97 L102 P102 L109:N109 P109 L114:N114 P114 L119 P119 L124 P124 P128 L133:N133 P133 L138:N138 P138 L143:N143 P143 L18:L30 L32:L37 P24:P37 D92 L92 P92 P40 P45 L50:M50 P50 L55:M55 P55 L60:M60 P60 L65:N65 P65 L70:N70 P70 L75:N75 P75 L80:N80 P80 L85 P85 L148:L155 M149:N155 P148:P155 L160:N161 P160:P161 L164:L167 P164 L135 P135 B15:B17 L14:L16 D2:D23 C14:C29 H92 L174:L175 F3:G255 D148:D175 C162:C176 I92:K93 H2:K43 H127:K128 H95:K96 H49:K52 H45:K47 H146:K175 H40:M40 H45:M45 H128:N128 I98:K98 I103:K103 I110:K110 I115:K115 I120:K120 I125:K125 I129:K129 I134:K134 I139:K139 I144:K144 E2:K2 H74:K77 H89:K89 H84:K87 H79:K82 H69:K72 H64:K67 H59:K62 H54:K57 H141:K143 H136:K138 H131:K133 H122:K124 H117:K119 H112:K114 H107:K109 H105:K105 H100:K102 H97:L97 I176:K176">
    <cfRule type="cellIs" dxfId="122" priority="143" operator="equal">
      <formula>"NA"</formula>
    </cfRule>
  </conditionalFormatting>
  <conditionalFormatting sqref="B7">
    <cfRule type="cellIs" dxfId="121" priority="141" operator="equal">
      <formula>"NA"</formula>
    </cfRule>
  </conditionalFormatting>
  <conditionalFormatting sqref="B9">
    <cfRule type="cellIs" dxfId="120" priority="140" operator="equal">
      <formula>"NA"</formula>
    </cfRule>
  </conditionalFormatting>
  <conditionalFormatting sqref="B12">
    <cfRule type="cellIs" dxfId="119" priority="142" operator="equal">
      <formula>"NA"</formula>
    </cfRule>
  </conditionalFormatting>
  <conditionalFormatting sqref="B11">
    <cfRule type="cellIs" dxfId="118" priority="139" operator="equal">
      <formula>"NA"</formula>
    </cfRule>
  </conditionalFormatting>
  <conditionalFormatting sqref="B14">
    <cfRule type="cellIs" dxfId="117" priority="138" operator="equal">
      <formula>"NA"</formula>
    </cfRule>
  </conditionalFormatting>
  <conditionalFormatting sqref="L14:N14">
    <cfRule type="cellIs" dxfId="116" priority="137" operator="equal">
      <formula>"NA"</formula>
    </cfRule>
  </conditionalFormatting>
  <conditionalFormatting sqref="M15:N15">
    <cfRule type="cellIs" dxfId="115" priority="132" operator="equal">
      <formula>"NA"</formula>
    </cfRule>
  </conditionalFormatting>
  <conditionalFormatting sqref="M21:N21">
    <cfRule type="cellIs" dxfId="114" priority="131" operator="equal">
      <formula>"NA"</formula>
    </cfRule>
  </conditionalFormatting>
  <conditionalFormatting sqref="B19">
    <cfRule type="cellIs" dxfId="113" priority="134" operator="equal">
      <formula>"NA"</formula>
    </cfRule>
  </conditionalFormatting>
  <conditionalFormatting sqref="B18">
    <cfRule type="cellIs" dxfId="112" priority="133" operator="equal">
      <formula>"NA"</formula>
    </cfRule>
  </conditionalFormatting>
  <conditionalFormatting sqref="M16:N16">
    <cfRule type="cellIs" dxfId="111" priority="130" operator="equal">
      <formula>"NA"</formula>
    </cfRule>
  </conditionalFormatting>
  <conditionalFormatting sqref="M22:N22">
    <cfRule type="cellIs" dxfId="110" priority="129" operator="equal">
      <formula>"NA"</formula>
    </cfRule>
  </conditionalFormatting>
  <conditionalFormatting sqref="L48 L53 L68 L73 L78 L83 L88">
    <cfRule type="cellIs" dxfId="109" priority="103" operator="equal">
      <formula>"NA"</formula>
    </cfRule>
  </conditionalFormatting>
  <conditionalFormatting sqref="D24">
    <cfRule type="cellIs" dxfId="108" priority="128" operator="equal">
      <formula>"NA"</formula>
    </cfRule>
  </conditionalFormatting>
  <conditionalFormatting sqref="B33">
    <cfRule type="cellIs" dxfId="107" priority="126" operator="equal">
      <formula>"NA"</formula>
    </cfRule>
  </conditionalFormatting>
  <conditionalFormatting sqref="B36">
    <cfRule type="cellIs" dxfId="106" priority="124" operator="equal">
      <formula>"NA"</formula>
    </cfRule>
  </conditionalFormatting>
  <conditionalFormatting sqref="B35">
    <cfRule type="cellIs" dxfId="105" priority="125" operator="equal">
      <formula>"NA"</formula>
    </cfRule>
  </conditionalFormatting>
  <conditionalFormatting sqref="B32">
    <cfRule type="cellIs" dxfId="104" priority="123" operator="equal">
      <formula>"NA"</formula>
    </cfRule>
  </conditionalFormatting>
  <conditionalFormatting sqref="B34">
    <cfRule type="cellIs" dxfId="103" priority="127" operator="equal">
      <formula>"NA"</formula>
    </cfRule>
  </conditionalFormatting>
  <conditionalFormatting sqref="L24:N24">
    <cfRule type="cellIs" dxfId="102" priority="122" operator="equal">
      <formula>"NA"</formula>
    </cfRule>
  </conditionalFormatting>
  <conditionalFormatting sqref="B134:C134 B148 B98:C98 B92:B97 B99:B100 B133 B135:B137">
    <cfRule type="cellIs" dxfId="101" priority="120" operator="equal">
      <formula>"NA"</formula>
    </cfRule>
  </conditionalFormatting>
  <conditionalFormatting sqref="L25 M36:N36">
    <cfRule type="cellIs" dxfId="100" priority="121" operator="equal">
      <formula>"NA"</formula>
    </cfRule>
  </conditionalFormatting>
  <conditionalFormatting sqref="M148:N148 L97 L102 L109 L124 L128">
    <cfRule type="cellIs" dxfId="99" priority="112" operator="equal">
      <formula>"NA"</formula>
    </cfRule>
  </conditionalFormatting>
  <conditionalFormatting sqref="B59:C59">
    <cfRule type="cellIs" dxfId="98" priority="105" operator="equal">
      <formula>"NA"</formula>
    </cfRule>
  </conditionalFormatting>
  <conditionalFormatting sqref="L112 L117 L131 L136 L141 L146">
    <cfRule type="cellIs" dxfId="97" priority="111" operator="equal">
      <formula>"NA"</formula>
    </cfRule>
  </conditionalFormatting>
  <conditionalFormatting sqref="B70:B74 B85:B89 B46:C46">
    <cfRule type="cellIs" dxfId="96" priority="110" operator="equal">
      <formula>"NA"</formula>
    </cfRule>
  </conditionalFormatting>
  <conditionalFormatting sqref="B101:B102">
    <cfRule type="cellIs" dxfId="95" priority="119" operator="equal">
      <formula>"NA"</formula>
    </cfRule>
  </conditionalFormatting>
  <conditionalFormatting sqref="B128:B132">
    <cfRule type="cellIs" dxfId="94" priority="118" operator="equal">
      <formula>"NA"</formula>
    </cfRule>
  </conditionalFormatting>
  <conditionalFormatting sqref="B146:C146 B143:B145 B147">
    <cfRule type="cellIs" dxfId="93" priority="116" operator="equal">
      <formula>"NA"</formula>
    </cfRule>
  </conditionalFormatting>
  <conditionalFormatting sqref="B138:B142">
    <cfRule type="cellIs" dxfId="92" priority="117" operator="equal">
      <formula>"NA"</formula>
    </cfRule>
  </conditionalFormatting>
  <conditionalFormatting sqref="B116:C116 B114:B115 B117:B118">
    <cfRule type="cellIs" dxfId="91" priority="115" operator="equal">
      <formula>"NA"</formula>
    </cfRule>
  </conditionalFormatting>
  <conditionalFormatting sqref="B119:B123">
    <cfRule type="cellIs" dxfId="90" priority="114" operator="equal">
      <formula>"NA"</formula>
    </cfRule>
  </conditionalFormatting>
  <conditionalFormatting sqref="L92">
    <cfRule type="cellIs" dxfId="89" priority="113" operator="equal">
      <formula>"NA"</formula>
    </cfRule>
  </conditionalFormatting>
  <conditionalFormatting sqref="B76:C76 B77:B79">
    <cfRule type="cellIs" dxfId="88" priority="108" operator="equal">
      <formula>"NA"</formula>
    </cfRule>
  </conditionalFormatting>
  <conditionalFormatting sqref="B69:C69 B65:B68">
    <cfRule type="cellIs" dxfId="87" priority="109" operator="equal">
      <formula>"NA"</formula>
    </cfRule>
  </conditionalFormatting>
  <conditionalFormatting sqref="B81:C82 B80 B83:B84">
    <cfRule type="cellIs" dxfId="86" priority="107" operator="equal">
      <formula>"NA"</formula>
    </cfRule>
  </conditionalFormatting>
  <conditionalFormatting sqref="B60:B64">
    <cfRule type="cellIs" dxfId="85" priority="106" operator="equal">
      <formula>"NA"</formula>
    </cfRule>
  </conditionalFormatting>
  <conditionalFormatting sqref="L37:N37">
    <cfRule type="cellIs" dxfId="84" priority="101" operator="equal">
      <formula>"NA"</formula>
    </cfRule>
  </conditionalFormatting>
  <conditionalFormatting sqref="M85:N85">
    <cfRule type="cellIs" dxfId="83" priority="104" operator="equal">
      <formula>"NA"</formula>
    </cfRule>
  </conditionalFormatting>
  <conditionalFormatting sqref="D37">
    <cfRule type="cellIs" dxfId="82" priority="102" operator="equal">
      <formula>"NA"</formula>
    </cfRule>
  </conditionalFormatting>
  <conditionalFormatting sqref="M97:N97">
    <cfRule type="cellIs" dxfId="81" priority="100" operator="equal">
      <formula>"NA"</formula>
    </cfRule>
  </conditionalFormatting>
  <conditionalFormatting sqref="L100">
    <cfRule type="cellIs" dxfId="80" priority="99" operator="equal">
      <formula>"NA"</formula>
    </cfRule>
  </conditionalFormatting>
  <conditionalFormatting sqref="M92:N92">
    <cfRule type="cellIs" dxfId="79" priority="98" operator="equal">
      <formula>"NA"</formula>
    </cfRule>
  </conditionalFormatting>
  <conditionalFormatting sqref="L95">
    <cfRule type="cellIs" dxfId="78" priority="97" operator="equal">
      <formula>"NA"</formula>
    </cfRule>
  </conditionalFormatting>
  <conditionalFormatting sqref="L39">
    <cfRule type="cellIs" dxfId="77" priority="96" operator="equal">
      <formula>"NA"</formula>
    </cfRule>
  </conditionalFormatting>
  <conditionalFormatting sqref="L43">
    <cfRule type="cellIs" dxfId="76" priority="95" operator="equal">
      <formula>"NA"</formula>
    </cfRule>
  </conditionalFormatting>
  <conditionalFormatting sqref="L107">
    <cfRule type="cellIs" dxfId="75" priority="94" operator="equal">
      <formula>"NA"</formula>
    </cfRule>
  </conditionalFormatting>
  <conditionalFormatting sqref="M102:N102">
    <cfRule type="cellIs" dxfId="74" priority="93" operator="equal">
      <formula>"NA"</formula>
    </cfRule>
  </conditionalFormatting>
  <conditionalFormatting sqref="L105">
    <cfRule type="cellIs" dxfId="73" priority="92" operator="equal">
      <formula>"NA"</formula>
    </cfRule>
  </conditionalFormatting>
  <conditionalFormatting sqref="L63">
    <cfRule type="cellIs" dxfId="72" priority="91" operator="equal">
      <formula>"NA"</formula>
    </cfRule>
  </conditionalFormatting>
  <conditionalFormatting sqref="M124:N124">
    <cfRule type="cellIs" dxfId="71" priority="90" operator="equal">
      <formula>"NA"</formula>
    </cfRule>
  </conditionalFormatting>
  <conditionalFormatting sqref="M119:N119">
    <cfRule type="cellIs" dxfId="70" priority="89" operator="equal">
      <formula>"NA"</formula>
    </cfRule>
  </conditionalFormatting>
  <conditionalFormatting sqref="L122">
    <cfRule type="cellIs" dxfId="69" priority="88" operator="equal">
      <formula>"NA"</formula>
    </cfRule>
  </conditionalFormatting>
  <conditionalFormatting sqref="L58">
    <cfRule type="cellIs" dxfId="68" priority="87" operator="equal">
      <formula>"NA"</formula>
    </cfRule>
  </conditionalFormatting>
  <conditionalFormatting sqref="B29">
    <cfRule type="cellIs" dxfId="67" priority="84" operator="equal">
      <formula>"NA"</formula>
    </cfRule>
  </conditionalFormatting>
  <conditionalFormatting sqref="B30:C30">
    <cfRule type="cellIs" dxfId="66" priority="83" operator="equal">
      <formula>"NA"</formula>
    </cfRule>
  </conditionalFormatting>
  <conditionalFormatting sqref="B31">
    <cfRule type="cellIs" dxfId="65" priority="82" operator="equal">
      <formula>"NA"</formula>
    </cfRule>
  </conditionalFormatting>
  <conditionalFormatting sqref="D25:D36">
    <cfRule type="cellIs" dxfId="64" priority="81" operator="equal">
      <formula>"NA"</formula>
    </cfRule>
  </conditionalFormatting>
  <conditionalFormatting sqref="D40 D45 D50 D55 D60 D65 D70 D75 D80 D85">
    <cfRule type="cellIs" dxfId="63" priority="78" operator="equal">
      <formula>"NA"</formula>
    </cfRule>
  </conditionalFormatting>
  <conditionalFormatting sqref="D97 D102 D109 D114 D119 D124 D128 D133 D138 D143">
    <cfRule type="cellIs" dxfId="62" priority="77" operator="equal">
      <formula>"NA"</formula>
    </cfRule>
  </conditionalFormatting>
  <conditionalFormatting sqref="B154">
    <cfRule type="cellIs" dxfId="61" priority="69" operator="equal">
      <formula>"NA"</formula>
    </cfRule>
  </conditionalFormatting>
  <conditionalFormatting sqref="B162">
    <cfRule type="cellIs" dxfId="60" priority="61" operator="equal">
      <formula>"NA"</formula>
    </cfRule>
  </conditionalFormatting>
  <conditionalFormatting sqref="L156:L160 B168 L169:L173">
    <cfRule type="cellIs" dxfId="59" priority="66" operator="equal">
      <formula>"NA"</formula>
    </cfRule>
  </conditionalFormatting>
  <conditionalFormatting sqref="B157">
    <cfRule type="cellIs" dxfId="58" priority="65" operator="equal">
      <formula>"NA"</formula>
    </cfRule>
  </conditionalFormatting>
  <conditionalFormatting sqref="B159">
    <cfRule type="cellIs" dxfId="57" priority="64" operator="equal">
      <formula>"NA"</formula>
    </cfRule>
  </conditionalFormatting>
  <conditionalFormatting sqref="B156">
    <cfRule type="cellIs" dxfId="56" priority="63" operator="equal">
      <formula>"NA"</formula>
    </cfRule>
  </conditionalFormatting>
  <conditionalFormatting sqref="B158">
    <cfRule type="cellIs" dxfId="55" priority="62" operator="equal">
      <formula>"NA"</formula>
    </cfRule>
  </conditionalFormatting>
  <conditionalFormatting sqref="B163">
    <cfRule type="cellIs" dxfId="54" priority="60" operator="equal">
      <formula>"NA"</formula>
    </cfRule>
  </conditionalFormatting>
  <conditionalFormatting sqref="L163">
    <cfRule type="cellIs" dxfId="53" priority="59" operator="equal">
      <formula>"NA"</formula>
    </cfRule>
  </conditionalFormatting>
  <conditionalFormatting sqref="L162">
    <cfRule type="cellIs" dxfId="52" priority="58" operator="equal">
      <formula>"NA"</formula>
    </cfRule>
  </conditionalFormatting>
  <conditionalFormatting sqref="B164">
    <cfRule type="cellIs" dxfId="51" priority="57" operator="equal">
      <formula>"NA"</formula>
    </cfRule>
  </conditionalFormatting>
  <conditionalFormatting sqref="L164:N164">
    <cfRule type="cellIs" dxfId="50" priority="56" operator="equal">
      <formula>"NA"</formula>
    </cfRule>
  </conditionalFormatting>
  <conditionalFormatting sqref="L168">
    <cfRule type="cellIs" dxfId="49" priority="55" operator="equal">
      <formula>"NA"</formula>
    </cfRule>
  </conditionalFormatting>
  <conditionalFormatting sqref="B169">
    <cfRule type="cellIs" dxfId="48" priority="51" operator="equal">
      <formula>"NA"</formula>
    </cfRule>
  </conditionalFormatting>
  <conditionalFormatting sqref="H176">
    <cfRule type="cellIs" dxfId="47" priority="44" operator="equal">
      <formula>"NA"</formula>
    </cfRule>
  </conditionalFormatting>
  <conditionalFormatting sqref="B176">
    <cfRule type="cellIs" dxfId="46" priority="40" operator="equal">
      <formula>"NA"</formula>
    </cfRule>
  </conditionalFormatting>
  <conditionalFormatting sqref="D144:D147">
    <cfRule type="cellIs" dxfId="45" priority="43" operator="equal">
      <formula>"NA"</formula>
    </cfRule>
  </conditionalFormatting>
  <conditionalFormatting sqref="P175">
    <cfRule type="cellIs" dxfId="44" priority="42" operator="equal">
      <formula>"NA"</formula>
    </cfRule>
  </conditionalFormatting>
  <conditionalFormatting sqref="P176">
    <cfRule type="cellIs" dxfId="43" priority="41" operator="equal">
      <formula>"NA"</formula>
    </cfRule>
  </conditionalFormatting>
  <conditionalFormatting sqref="B160">
    <cfRule type="cellIs" dxfId="42" priority="37" operator="equal">
      <formula>"NA"</formula>
    </cfRule>
  </conditionalFormatting>
  <conditionalFormatting sqref="B75">
    <cfRule type="cellIs" dxfId="41" priority="36" operator="equal">
      <formula>"NA"</formula>
    </cfRule>
  </conditionalFormatting>
  <conditionalFormatting sqref="C3:C12">
    <cfRule type="cellIs" dxfId="40" priority="35" operator="equal">
      <formula>"NA"</formula>
    </cfRule>
  </conditionalFormatting>
  <conditionalFormatting sqref="C147:C160">
    <cfRule type="cellIs" dxfId="39" priority="29" operator="equal">
      <formula>"NA"</formula>
    </cfRule>
  </conditionalFormatting>
  <conditionalFormatting sqref="B47:C58">
    <cfRule type="cellIs" dxfId="38" priority="34" operator="equal">
      <formula>"NA"</formula>
    </cfRule>
  </conditionalFormatting>
  <conditionalFormatting sqref="C60:C68">
    <cfRule type="cellIs" dxfId="37" priority="33" operator="equal">
      <formula>"NA"</formula>
    </cfRule>
  </conditionalFormatting>
  <conditionalFormatting sqref="C70:C75">
    <cfRule type="cellIs" dxfId="36" priority="32" operator="equal">
      <formula>"NA"</formula>
    </cfRule>
  </conditionalFormatting>
  <conditionalFormatting sqref="C77:C80">
    <cfRule type="cellIs" dxfId="35" priority="31" operator="equal">
      <formula>"NA"</formula>
    </cfRule>
  </conditionalFormatting>
  <conditionalFormatting sqref="C135:C145">
    <cfRule type="cellIs" dxfId="34" priority="30" operator="equal">
      <formula>"NA"</formula>
    </cfRule>
  </conditionalFormatting>
  <conditionalFormatting sqref="D78">
    <cfRule type="cellIs" dxfId="33" priority="21" operator="equal">
      <formula>"NA"</formula>
    </cfRule>
  </conditionalFormatting>
  <conditionalFormatting sqref="D48">
    <cfRule type="cellIs" dxfId="32" priority="22" operator="equal">
      <formula>"NA"</formula>
    </cfRule>
  </conditionalFormatting>
  <conditionalFormatting sqref="D110">
    <cfRule type="cellIs" dxfId="31" priority="20" operator="equal">
      <formula>"NA"</formula>
    </cfRule>
  </conditionalFormatting>
  <conditionalFormatting sqref="D199">
    <cfRule type="cellIs" dxfId="30" priority="19" operator="equal">
      <formula>"NA"</formula>
    </cfRule>
  </conditionalFormatting>
  <conditionalFormatting sqref="D255">
    <cfRule type="cellIs" dxfId="29" priority="18" operator="equal">
      <formula>"NA"</formula>
    </cfRule>
  </conditionalFormatting>
  <conditionalFormatting sqref="B170">
    <cfRule type="cellIs" dxfId="28" priority="17" operator="equal">
      <formula>"NA"</formula>
    </cfRule>
  </conditionalFormatting>
  <conditionalFormatting sqref="B171">
    <cfRule type="cellIs" dxfId="27" priority="16" operator="equal">
      <formula>"NA"</formula>
    </cfRule>
  </conditionalFormatting>
  <conditionalFormatting sqref="B172">
    <cfRule type="cellIs" dxfId="26" priority="15" operator="equal">
      <formula>"NA"</formula>
    </cfRule>
  </conditionalFormatting>
  <conditionalFormatting sqref="B173">
    <cfRule type="cellIs" dxfId="25" priority="14" operator="equal">
      <formula>"NA"</formula>
    </cfRule>
  </conditionalFormatting>
  <conditionalFormatting sqref="B174">
    <cfRule type="cellIs" dxfId="24" priority="12" operator="equal">
      <formula>"NA"</formula>
    </cfRule>
  </conditionalFormatting>
  <conditionalFormatting sqref="E251:E388">
    <cfRule type="cellIs" dxfId="23" priority="8" operator="equal">
      <formula>"NA"</formula>
    </cfRule>
  </conditionalFormatting>
  <conditionalFormatting sqref="E211">
    <cfRule type="cellIs" dxfId="22" priority="5" operator="equal">
      <formula>"NA"</formula>
    </cfRule>
  </conditionalFormatting>
  <conditionalFormatting sqref="E3:E31">
    <cfRule type="cellIs" dxfId="21" priority="4" operator="equal">
      <formula>"NA"</formula>
    </cfRule>
  </conditionalFormatting>
  <conditionalFormatting sqref="E32:E210">
    <cfRule type="cellIs" dxfId="20" priority="3" operator="equal">
      <formula>"NA"</formula>
    </cfRule>
  </conditionalFormatting>
  <conditionalFormatting sqref="E212:E250">
    <cfRule type="cellIs" dxfId="19" priority="2" operator="equal">
      <formula>"NA"</formula>
    </cfRule>
  </conditionalFormatting>
  <conditionalFormatting sqref="E398">
    <cfRule type="cellIs" dxfId="18" priority="1" operator="equal">
      <formula>"NA"</formula>
    </cfRule>
  </conditionalFormatting>
  <pageMargins left="0.19685039370078741" right="0.19685039370078741" top="0.19685039370078741" bottom="0.19685039370078741" header="0.31496062992125984" footer="0.31496062992125984"/>
  <pageSetup paperSize="9" scale="10"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C6C90-A797-44F6-A98D-2D086FB6E0C7}">
  <dimension ref="A1:H41"/>
  <sheetViews>
    <sheetView showGridLines="0" workbookViewId="0">
      <selection activeCell="A6" sqref="A6"/>
    </sheetView>
  </sheetViews>
  <sheetFormatPr defaultRowHeight="14.25"/>
  <cols>
    <col min="1" max="1" width="12.42578125" bestFit="1" customWidth="1"/>
    <col min="2" max="2" width="15" bestFit="1" customWidth="1"/>
    <col min="3" max="3" width="4.28515625" bestFit="1" customWidth="1"/>
    <col min="4" max="4" width="5.140625" bestFit="1" customWidth="1"/>
    <col min="5" max="5" width="7" bestFit="1" customWidth="1"/>
    <col min="6" max="6" width="6.42578125" bestFit="1" customWidth="1"/>
    <col min="7" max="7" width="10.5703125" bestFit="1" customWidth="1"/>
    <col min="8" max="8" width="11.7109375" bestFit="1" customWidth="1"/>
    <col min="9" max="9" width="7.28515625" bestFit="1" customWidth="1"/>
    <col min="10" max="10" width="13" bestFit="1" customWidth="1"/>
    <col min="11" max="11" width="7.28515625" bestFit="1" customWidth="1"/>
    <col min="12" max="12" width="16.140625" bestFit="1" customWidth="1"/>
    <col min="13" max="13" width="11.28515625" bestFit="1" customWidth="1"/>
    <col min="14" max="14" width="21.85546875" bestFit="1" customWidth="1"/>
    <col min="15" max="15" width="13.42578125" bestFit="1" customWidth="1"/>
    <col min="16" max="16" width="16.5703125" bestFit="1" customWidth="1"/>
    <col min="17" max="17" width="11.5703125" bestFit="1" customWidth="1"/>
    <col min="18" max="18" width="5.5703125" bestFit="1" customWidth="1"/>
    <col min="19" max="19" width="14.7109375" bestFit="1" customWidth="1"/>
    <col min="20" max="20" width="12.5703125" bestFit="1" customWidth="1"/>
    <col min="21" max="21" width="15.7109375" bestFit="1" customWidth="1"/>
    <col min="22" max="22" width="15" bestFit="1" customWidth="1"/>
    <col min="23" max="23" width="14" bestFit="1" customWidth="1"/>
    <col min="24" max="24" width="13" bestFit="1" customWidth="1"/>
    <col min="25" max="25" width="7.28515625" bestFit="1" customWidth="1"/>
    <col min="26" max="26" width="16.140625" bestFit="1" customWidth="1"/>
    <col min="27" max="27" width="15.85546875" bestFit="1" customWidth="1"/>
    <col min="28" max="28" width="19" bestFit="1" customWidth="1"/>
    <col min="29" max="29" width="12.7109375" bestFit="1" customWidth="1"/>
    <col min="30" max="30" width="15.85546875" bestFit="1" customWidth="1"/>
    <col min="31" max="31" width="21.5703125" bestFit="1" customWidth="1"/>
    <col min="32" max="32" width="24.7109375" bestFit="1" customWidth="1"/>
    <col min="33" max="33" width="15.140625" bestFit="1" customWidth="1"/>
    <col min="34" max="34" width="18.28515625" bestFit="1" customWidth="1"/>
    <col min="35" max="35" width="22.140625" bestFit="1" customWidth="1"/>
    <col min="36" max="36" width="7.28515625" bestFit="1" customWidth="1"/>
    <col min="37" max="37" width="25.28515625" bestFit="1" customWidth="1"/>
    <col min="38" max="38" width="11" bestFit="1" customWidth="1"/>
    <col min="39" max="39" width="14.140625" bestFit="1" customWidth="1"/>
    <col min="40" max="40" width="24.28515625" bestFit="1" customWidth="1"/>
    <col min="41" max="41" width="7.28515625" bestFit="1" customWidth="1"/>
    <col min="42" max="42" width="27.42578125" bestFit="1" customWidth="1"/>
    <col min="43" max="43" width="25.140625" bestFit="1" customWidth="1"/>
    <col min="44" max="44" width="7.28515625" bestFit="1" customWidth="1"/>
    <col min="45" max="45" width="28.28515625" bestFit="1" customWidth="1"/>
    <col min="46" max="46" width="7.28515625" bestFit="1" customWidth="1"/>
    <col min="47" max="47" width="9.85546875" bestFit="1" customWidth="1"/>
    <col min="48" max="48" width="15.140625" bestFit="1" customWidth="1"/>
    <col min="49" max="49" width="18.28515625" bestFit="1" customWidth="1"/>
    <col min="50" max="50" width="14" bestFit="1" customWidth="1"/>
    <col min="51" max="51" width="17.28515625" bestFit="1" customWidth="1"/>
    <col min="52" max="52" width="7.28515625" bestFit="1" customWidth="1"/>
    <col min="53" max="53" width="9.140625" bestFit="1" customWidth="1"/>
    <col min="54" max="54" width="23.7109375" bestFit="1" customWidth="1"/>
    <col min="55" max="55" width="26.85546875" bestFit="1" customWidth="1"/>
    <col min="56" max="56" width="37.85546875" bestFit="1" customWidth="1"/>
    <col min="57" max="57" width="41" bestFit="1" customWidth="1"/>
    <col min="58" max="58" width="10.28515625" bestFit="1" customWidth="1"/>
    <col min="59" max="59" width="13.42578125" bestFit="1" customWidth="1"/>
    <col min="60" max="60" width="25.85546875" bestFit="1" customWidth="1"/>
    <col min="61" max="61" width="29" bestFit="1" customWidth="1"/>
    <col min="62" max="62" width="17.7109375" bestFit="1" customWidth="1"/>
    <col min="63" max="63" width="15" bestFit="1" customWidth="1"/>
    <col min="64" max="64" width="6.140625" bestFit="1" customWidth="1"/>
    <col min="65" max="65" width="20.85546875" bestFit="1" customWidth="1"/>
    <col min="66" max="66" width="11.28515625" bestFit="1" customWidth="1"/>
    <col min="67" max="67" width="7.28515625" bestFit="1" customWidth="1"/>
    <col min="68" max="68" width="25.28515625" bestFit="1" customWidth="1"/>
    <col min="69" max="69" width="11" bestFit="1" customWidth="1"/>
    <col min="70" max="70" width="14.140625" bestFit="1" customWidth="1"/>
    <col min="71" max="71" width="24.28515625" bestFit="1" customWidth="1"/>
    <col min="72" max="72" width="16" bestFit="1" customWidth="1"/>
    <col min="73" max="73" width="18.28515625" bestFit="1" customWidth="1"/>
    <col min="74" max="74" width="7.28515625" bestFit="1" customWidth="1"/>
    <col min="75" max="75" width="27.42578125" bestFit="1" customWidth="1"/>
    <col min="76" max="76" width="25.140625" bestFit="1" customWidth="1"/>
    <col min="77" max="77" width="7.28515625" bestFit="1" customWidth="1"/>
    <col min="78" max="78" width="28.28515625" bestFit="1" customWidth="1"/>
    <col min="79" max="79" width="33.140625" bestFit="1" customWidth="1"/>
    <col min="80" max="80" width="36.28515625" bestFit="1" customWidth="1"/>
    <col min="81" max="81" width="7.28515625" bestFit="1" customWidth="1"/>
    <col min="82" max="82" width="9.85546875" bestFit="1" customWidth="1"/>
    <col min="83" max="83" width="19.7109375" bestFit="1" customWidth="1"/>
    <col min="84" max="84" width="22.85546875" bestFit="1" customWidth="1"/>
    <col min="85" max="85" width="15.140625" bestFit="1" customWidth="1"/>
    <col min="86" max="86" width="18.28515625" bestFit="1" customWidth="1"/>
    <col min="87" max="87" width="14" bestFit="1" customWidth="1"/>
    <col min="88" max="88" width="17.28515625" bestFit="1" customWidth="1"/>
    <col min="89" max="89" width="30.140625" bestFit="1" customWidth="1"/>
    <col min="90" max="90" width="33.28515625" bestFit="1" customWidth="1"/>
    <col min="91" max="91" width="7.28515625" bestFit="1" customWidth="1"/>
    <col min="93" max="93" width="19.140625" bestFit="1" customWidth="1"/>
    <col min="94" max="94" width="22.28515625" bestFit="1" customWidth="1"/>
    <col min="95" max="95" width="23.7109375" bestFit="1" customWidth="1"/>
    <col min="96" max="96" width="26.85546875" bestFit="1" customWidth="1"/>
    <col min="97" max="97" width="37.85546875" bestFit="1" customWidth="1"/>
    <col min="98" max="98" width="41" bestFit="1" customWidth="1"/>
    <col min="99" max="99" width="10.85546875" bestFit="1" customWidth="1"/>
    <col min="100" max="100" width="14" bestFit="1" customWidth="1"/>
    <col min="101" max="101" width="22.5703125" bestFit="1" customWidth="1"/>
    <col min="102" max="102" width="25.85546875" bestFit="1" customWidth="1"/>
    <col min="103" max="103" width="10.28515625" bestFit="1" customWidth="1"/>
    <col min="104" max="104" width="13.42578125" bestFit="1" customWidth="1"/>
    <col min="105" max="105" width="25.85546875" bestFit="1" customWidth="1"/>
    <col min="106" max="106" width="29" bestFit="1" customWidth="1"/>
    <col min="107" max="107" width="17.7109375" bestFit="1" customWidth="1"/>
    <col min="108" max="108" width="15" bestFit="1" customWidth="1"/>
    <col min="109" max="109" width="6.140625" bestFit="1" customWidth="1"/>
    <col min="110" max="110" width="20.85546875" bestFit="1" customWidth="1"/>
    <col min="111" max="111" width="14.5703125" bestFit="1" customWidth="1"/>
    <col min="112" max="112" width="17.85546875" bestFit="1" customWidth="1"/>
    <col min="113" max="113" width="11.28515625" bestFit="1" customWidth="1"/>
  </cols>
  <sheetData>
    <row r="1" spans="1:8">
      <c r="A1" s="151" t="s">
        <v>332</v>
      </c>
      <c r="B1" s="151"/>
      <c r="C1" s="151"/>
      <c r="D1" s="151"/>
      <c r="E1" s="151"/>
      <c r="F1" s="151"/>
      <c r="G1" s="151"/>
      <c r="H1" s="151"/>
    </row>
    <row r="2" spans="1:8">
      <c r="A2" s="151"/>
      <c r="B2" s="151"/>
      <c r="C2" s="151"/>
      <c r="D2" s="151"/>
      <c r="E2" s="151"/>
      <c r="F2" s="151"/>
      <c r="G2" s="151"/>
      <c r="H2" s="151"/>
    </row>
    <row r="3" spans="1:8">
      <c r="A3" s="136" t="s">
        <v>333</v>
      </c>
      <c r="B3" s="136" t="s">
        <v>334</v>
      </c>
      <c r="C3" s="136"/>
      <c r="D3" s="136"/>
      <c r="E3" s="136"/>
      <c r="F3" s="136"/>
      <c r="G3" s="136"/>
      <c r="H3" s="136"/>
    </row>
    <row r="4" spans="1:8">
      <c r="A4" s="136"/>
      <c r="B4" s="137" t="s">
        <v>18</v>
      </c>
      <c r="C4" s="137"/>
      <c r="D4" s="137"/>
      <c r="E4" s="137"/>
      <c r="F4" s="137"/>
      <c r="G4" s="137" t="s">
        <v>29</v>
      </c>
      <c r="H4" s="137" t="s">
        <v>68</v>
      </c>
    </row>
    <row r="5" spans="1:8">
      <c r="A5" s="136" t="s">
        <v>335</v>
      </c>
      <c r="B5" s="137" t="s">
        <v>21</v>
      </c>
      <c r="C5" s="137" t="s">
        <v>69</v>
      </c>
      <c r="D5" s="137" t="s">
        <v>74</v>
      </c>
      <c r="E5" t="s">
        <v>301</v>
      </c>
      <c r="F5" s="137" t="s">
        <v>336</v>
      </c>
      <c r="G5" s="137" t="s">
        <v>30</v>
      </c>
      <c r="H5" s="137" t="s">
        <v>69</v>
      </c>
    </row>
    <row r="6" spans="1:8">
      <c r="A6" s="18" t="s">
        <v>31</v>
      </c>
      <c r="B6" s="135"/>
      <c r="C6" s="135"/>
      <c r="D6" s="135"/>
      <c r="E6" s="135"/>
      <c r="F6" s="135"/>
      <c r="G6" s="135"/>
      <c r="H6" s="135"/>
    </row>
    <row r="7" spans="1:8">
      <c r="A7" s="19" t="s">
        <v>337</v>
      </c>
      <c r="B7" s="135"/>
      <c r="C7" s="135"/>
      <c r="D7" s="135"/>
      <c r="E7" s="135"/>
      <c r="F7" s="135"/>
      <c r="G7" s="135"/>
      <c r="H7" s="135"/>
    </row>
    <row r="8" spans="1:8">
      <c r="A8" s="20" t="s">
        <v>338</v>
      </c>
      <c r="B8" s="135">
        <v>147.5</v>
      </c>
      <c r="C8" s="135"/>
      <c r="D8" s="135"/>
      <c r="E8" s="135"/>
      <c r="F8" s="135"/>
      <c r="G8" s="135"/>
      <c r="H8" s="135"/>
    </row>
    <row r="9" spans="1:8">
      <c r="A9" s="20" t="s">
        <v>339</v>
      </c>
      <c r="B9" s="135">
        <v>152.5</v>
      </c>
      <c r="C9" s="135"/>
      <c r="D9" s="135"/>
      <c r="E9" s="135"/>
      <c r="F9" s="135"/>
      <c r="G9" s="135"/>
      <c r="H9" s="135"/>
    </row>
    <row r="10" spans="1:8">
      <c r="A10" s="20" t="s">
        <v>340</v>
      </c>
      <c r="B10" s="135"/>
      <c r="C10" s="135"/>
      <c r="D10" s="135"/>
      <c r="E10" s="135"/>
      <c r="F10" s="135">
        <v>200</v>
      </c>
      <c r="G10" s="135"/>
      <c r="H10" s="135"/>
    </row>
    <row r="11" spans="1:8">
      <c r="A11" s="19" t="s">
        <v>341</v>
      </c>
      <c r="B11" s="135"/>
      <c r="C11" s="135"/>
      <c r="D11" s="135"/>
      <c r="E11" s="135"/>
      <c r="F11" s="135"/>
      <c r="G11" s="135"/>
      <c r="H11" s="135"/>
    </row>
    <row r="12" spans="1:8">
      <c r="A12" s="20" t="s">
        <v>338</v>
      </c>
      <c r="B12" s="135"/>
      <c r="C12" s="135"/>
      <c r="D12" s="135"/>
      <c r="E12" s="135"/>
      <c r="F12" s="135"/>
      <c r="G12" s="135">
        <v>167.5</v>
      </c>
      <c r="H12" s="135"/>
    </row>
    <row r="13" spans="1:8">
      <c r="A13" s="20" t="s">
        <v>342</v>
      </c>
      <c r="B13" s="135"/>
      <c r="C13" s="135"/>
      <c r="D13" s="135"/>
      <c r="E13" s="135"/>
      <c r="F13" s="135"/>
      <c r="G13" s="135">
        <v>170</v>
      </c>
      <c r="H13" s="135"/>
    </row>
    <row r="14" spans="1:8">
      <c r="A14" s="20" t="s">
        <v>343</v>
      </c>
      <c r="B14" s="135"/>
      <c r="C14" s="135"/>
      <c r="D14" s="135"/>
      <c r="E14" s="135"/>
      <c r="F14" s="135"/>
      <c r="G14" s="135">
        <v>153.84615384615384</v>
      </c>
      <c r="H14" s="135"/>
    </row>
    <row r="15" spans="1:8">
      <c r="A15" s="20" t="s">
        <v>344</v>
      </c>
      <c r="B15" s="135"/>
      <c r="C15" s="135"/>
      <c r="D15" s="135"/>
      <c r="E15" s="135"/>
      <c r="F15" s="135"/>
      <c r="G15" s="135">
        <v>139.53488372093022</v>
      </c>
      <c r="H15" s="135"/>
    </row>
    <row r="16" spans="1:8">
      <c r="A16" s="19" t="s">
        <v>345</v>
      </c>
      <c r="B16" s="135"/>
      <c r="C16" s="135"/>
      <c r="D16" s="135"/>
      <c r="E16" s="135"/>
      <c r="F16" s="135"/>
      <c r="G16" s="135"/>
      <c r="H16" s="135"/>
    </row>
    <row r="17" spans="1:8">
      <c r="A17" s="20" t="s">
        <v>346</v>
      </c>
      <c r="B17" s="135"/>
      <c r="C17" s="135"/>
      <c r="D17" s="135"/>
      <c r="E17" s="135"/>
      <c r="F17" s="135"/>
      <c r="G17" s="135">
        <v>164.83516483516482</v>
      </c>
      <c r="H17" s="135"/>
    </row>
    <row r="18" spans="1:8">
      <c r="A18" s="20" t="s">
        <v>338</v>
      </c>
      <c r="B18" s="135"/>
      <c r="C18" s="135"/>
      <c r="D18" s="135">
        <v>127.90697674418605</v>
      </c>
      <c r="E18" s="135"/>
      <c r="F18" s="135"/>
      <c r="G18" s="135">
        <v>175.82417582417582</v>
      </c>
      <c r="H18" s="135">
        <v>116.27906976744187</v>
      </c>
    </row>
    <row r="19" spans="1:8">
      <c r="A19" s="20" t="s">
        <v>339</v>
      </c>
      <c r="B19" s="135"/>
      <c r="C19" s="135"/>
      <c r="D19" s="135"/>
      <c r="E19" s="135"/>
      <c r="F19" s="135"/>
      <c r="G19" s="135">
        <v>171.12299465240642</v>
      </c>
      <c r="H19" s="135">
        <v>112.99435028248587</v>
      </c>
    </row>
    <row r="20" spans="1:8">
      <c r="A20" s="20" t="s">
        <v>342</v>
      </c>
      <c r="B20" s="135"/>
      <c r="C20" s="135"/>
      <c r="D20" s="135"/>
      <c r="E20" s="135"/>
      <c r="F20" s="135"/>
      <c r="G20" s="135"/>
      <c r="H20" s="135">
        <v>101.9108280254777</v>
      </c>
    </row>
    <row r="21" spans="1:8">
      <c r="A21" s="20" t="s">
        <v>347</v>
      </c>
      <c r="B21" s="135"/>
      <c r="C21" s="135"/>
      <c r="D21" s="135"/>
      <c r="E21" s="135"/>
      <c r="F21" s="135"/>
      <c r="G21" s="135">
        <v>178.34394904458597</v>
      </c>
      <c r="H21" s="135">
        <v>108.28025477707006</v>
      </c>
    </row>
    <row r="22" spans="1:8">
      <c r="A22" s="20" t="s">
        <v>348</v>
      </c>
      <c r="B22" s="135"/>
      <c r="C22" s="135"/>
      <c r="D22" s="135"/>
      <c r="E22" s="135"/>
      <c r="F22" s="135"/>
      <c r="G22" s="135">
        <v>162.7906976744186</v>
      </c>
      <c r="H22" s="135"/>
    </row>
    <row r="23" spans="1:8">
      <c r="A23" s="19" t="s">
        <v>349</v>
      </c>
      <c r="B23" s="135"/>
      <c r="C23" s="135"/>
      <c r="D23" s="135"/>
      <c r="E23" s="135"/>
      <c r="F23" s="135"/>
      <c r="G23" s="135"/>
      <c r="H23" s="135"/>
    </row>
    <row r="24" spans="1:8">
      <c r="A24" s="20" t="s">
        <v>346</v>
      </c>
      <c r="B24" s="135"/>
      <c r="C24" s="135"/>
      <c r="D24" s="135"/>
      <c r="E24" s="135"/>
      <c r="F24" s="135"/>
      <c r="G24" s="135">
        <v>186.04651162790697</v>
      </c>
      <c r="H24" s="135"/>
    </row>
    <row r="25" spans="1:8">
      <c r="A25" s="20" t="s">
        <v>350</v>
      </c>
      <c r="B25" s="135"/>
      <c r="C25" s="135"/>
      <c r="D25" s="135"/>
      <c r="E25" s="135"/>
      <c r="F25" s="135"/>
      <c r="G25" s="135">
        <v>186.8131868131868</v>
      </c>
      <c r="H25" s="135"/>
    </row>
    <row r="26" spans="1:8">
      <c r="A26" s="20" t="s">
        <v>339</v>
      </c>
      <c r="B26" s="135"/>
      <c r="C26" s="135"/>
      <c r="D26" s="135"/>
      <c r="E26" s="135"/>
      <c r="F26" s="135"/>
      <c r="G26" s="135">
        <v>180</v>
      </c>
      <c r="H26" s="135"/>
    </row>
    <row r="27" spans="1:8">
      <c r="A27" s="19" t="s">
        <v>351</v>
      </c>
      <c r="B27" s="135"/>
      <c r="C27" s="135"/>
      <c r="D27" s="135"/>
      <c r="E27" s="135"/>
      <c r="F27" s="135"/>
      <c r="G27" s="135"/>
      <c r="H27" s="135"/>
    </row>
    <row r="28" spans="1:8">
      <c r="A28" s="20" t="s">
        <v>346</v>
      </c>
      <c r="B28" s="135"/>
      <c r="C28" s="135"/>
      <c r="D28" s="135"/>
      <c r="E28" s="135"/>
      <c r="F28" s="135"/>
      <c r="G28" s="135">
        <v>180</v>
      </c>
      <c r="H28" s="135"/>
    </row>
    <row r="29" spans="1:8">
      <c r="A29" s="20" t="s">
        <v>338</v>
      </c>
      <c r="B29" s="135"/>
      <c r="C29" s="135"/>
      <c r="D29" s="135"/>
      <c r="E29" s="135"/>
      <c r="F29" s="135"/>
      <c r="G29" s="135">
        <v>170</v>
      </c>
      <c r="H29" s="135"/>
    </row>
    <row r="30" spans="1:8">
      <c r="A30" s="19" t="s">
        <v>352</v>
      </c>
      <c r="B30" s="135"/>
      <c r="C30" s="135"/>
      <c r="D30" s="135"/>
      <c r="E30" s="135"/>
      <c r="F30" s="135"/>
      <c r="G30" s="135"/>
      <c r="H30" s="135"/>
    </row>
    <row r="31" spans="1:8">
      <c r="A31" s="20" t="s">
        <v>342</v>
      </c>
      <c r="B31" s="135"/>
      <c r="C31" s="135"/>
      <c r="D31" s="135"/>
      <c r="E31" s="135"/>
      <c r="F31" s="135"/>
      <c r="G31" s="135">
        <v>160</v>
      </c>
      <c r="H31" s="135"/>
    </row>
    <row r="32" spans="1:8">
      <c r="A32" s="20" t="s">
        <v>344</v>
      </c>
      <c r="B32" s="135"/>
      <c r="C32" s="135"/>
      <c r="D32" s="135"/>
      <c r="E32" s="135"/>
      <c r="F32" s="135"/>
      <c r="G32" s="135">
        <v>175</v>
      </c>
      <c r="H32" s="135"/>
    </row>
    <row r="33" spans="1:8">
      <c r="A33" s="19" t="s">
        <v>353</v>
      </c>
      <c r="B33" s="135"/>
      <c r="C33" s="135"/>
      <c r="D33" s="135"/>
      <c r="E33" s="135"/>
      <c r="F33" s="135"/>
      <c r="G33" s="135"/>
      <c r="H33" s="135"/>
    </row>
    <row r="34" spans="1:8">
      <c r="A34" s="20" t="s">
        <v>347</v>
      </c>
      <c r="B34" s="135"/>
      <c r="C34" s="135"/>
      <c r="D34" s="135"/>
      <c r="E34" s="135">
        <v>165.56291390728478</v>
      </c>
      <c r="F34" s="135"/>
      <c r="G34" s="135"/>
      <c r="H34" s="135"/>
    </row>
    <row r="35" spans="1:8">
      <c r="A35" s="20" t="s">
        <v>343</v>
      </c>
      <c r="B35" s="135"/>
      <c r="C35" s="135"/>
      <c r="D35" s="135"/>
      <c r="E35" s="135">
        <v>165.56291390728478</v>
      </c>
      <c r="F35" s="135"/>
      <c r="G35" s="135"/>
      <c r="H35" s="135"/>
    </row>
    <row r="36" spans="1:8">
      <c r="A36" s="19" t="s">
        <v>354</v>
      </c>
      <c r="B36" s="135"/>
      <c r="C36" s="135"/>
      <c r="D36" s="135"/>
      <c r="E36" s="135"/>
      <c r="F36" s="135"/>
      <c r="G36" s="135"/>
      <c r="H36" s="135"/>
    </row>
    <row r="37" spans="1:8">
      <c r="A37" s="20" t="s">
        <v>346</v>
      </c>
      <c r="B37" s="135"/>
      <c r="C37" s="135"/>
      <c r="D37" s="135"/>
      <c r="E37" s="135">
        <v>158.91032917139614</v>
      </c>
      <c r="F37" s="135"/>
      <c r="G37" s="135"/>
      <c r="H37" s="135"/>
    </row>
    <row r="38" spans="1:8">
      <c r="A38" s="20" t="s">
        <v>350</v>
      </c>
      <c r="B38" s="135"/>
      <c r="C38" s="135"/>
      <c r="D38" s="135"/>
      <c r="E38" s="135">
        <v>161.29032258064515</v>
      </c>
      <c r="F38" s="135">
        <v>152.67175572519085</v>
      </c>
      <c r="G38" s="135"/>
      <c r="H38" s="135">
        <v>134.40860215053763</v>
      </c>
    </row>
    <row r="39" spans="1:8">
      <c r="A39" s="20" t="s">
        <v>338</v>
      </c>
      <c r="B39" s="135"/>
      <c r="C39" s="135">
        <v>161.29032258064515</v>
      </c>
      <c r="D39" s="135"/>
      <c r="E39" s="135"/>
      <c r="F39" s="135">
        <v>161.29032258064515</v>
      </c>
      <c r="G39" s="135"/>
      <c r="H39" s="135">
        <v>127.2264631043257</v>
      </c>
    </row>
    <row r="40" spans="1:8">
      <c r="A40" s="20" t="s">
        <v>340</v>
      </c>
      <c r="B40" s="135"/>
      <c r="C40" s="135">
        <v>173.48203221809169</v>
      </c>
      <c r="D40" s="135"/>
      <c r="E40" s="135"/>
      <c r="F40" s="135"/>
      <c r="G40" s="135"/>
      <c r="H40" s="135">
        <v>153.23496027241771</v>
      </c>
    </row>
    <row r="41" spans="1:8">
      <c r="A41" s="20" t="s">
        <v>355</v>
      </c>
      <c r="B41" s="135"/>
      <c r="C41" s="135">
        <v>169.39252336448598</v>
      </c>
      <c r="D41" s="135"/>
      <c r="E41" s="135"/>
      <c r="F41" s="135"/>
      <c r="G41" s="135"/>
      <c r="H41" s="135"/>
    </row>
  </sheetData>
  <mergeCells count="1">
    <mergeCell ref="A1:H2"/>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C4B1F-D4D9-4948-81F1-D3F093368B78}">
  <sheetPr codeName="Sheet12">
    <pageSetUpPr fitToPage="1"/>
  </sheetPr>
  <dimension ref="A1:DT595"/>
  <sheetViews>
    <sheetView showGridLines="0" tabSelected="1" zoomScale="70" zoomScaleNormal="70" zoomScaleSheetLayoutView="100" workbookViewId="0">
      <pane xSplit="4" ySplit="6" topLeftCell="E344" activePane="bottomRight" state="frozenSplit"/>
      <selection pane="bottomRight" activeCell="T145" sqref="T145"/>
      <selection pane="bottomLeft" activeCell="A9" sqref="A9"/>
      <selection pane="topRight" activeCell="D1" sqref="D1"/>
    </sheetView>
  </sheetViews>
  <sheetFormatPr defaultColWidth="7.28515625" defaultRowHeight="21.75" customHeight="1"/>
  <cols>
    <col min="5" max="15" width="7.28515625" customWidth="1"/>
    <col min="16" max="16" width="8.28515625" customWidth="1"/>
    <col min="17" max="41" width="7.28515625" customWidth="1"/>
    <col min="45" max="67" width="7.28515625" customWidth="1"/>
    <col min="68" max="68" width="10" customWidth="1"/>
  </cols>
  <sheetData>
    <row r="1" spans="1:124" ht="21.75" customHeight="1">
      <c r="B1" s="33">
        <v>1</v>
      </c>
      <c r="C1" s="34">
        <v>2</v>
      </c>
      <c r="D1" s="34">
        <v>3</v>
      </c>
      <c r="E1" s="34">
        <v>4</v>
      </c>
      <c r="F1" s="34">
        <v>5</v>
      </c>
      <c r="G1" s="34">
        <v>6</v>
      </c>
      <c r="H1" s="34">
        <v>7</v>
      </c>
      <c r="I1" s="34">
        <v>8</v>
      </c>
      <c r="J1" s="34">
        <v>9</v>
      </c>
      <c r="K1" s="35">
        <v>10</v>
      </c>
      <c r="BM1" s="33">
        <v>1</v>
      </c>
      <c r="BN1" s="34">
        <v>2</v>
      </c>
      <c r="BO1" s="34">
        <v>3</v>
      </c>
      <c r="BP1" s="34">
        <v>4</v>
      </c>
      <c r="BQ1" s="34">
        <v>5</v>
      </c>
      <c r="BR1" s="34">
        <v>6</v>
      </c>
      <c r="BS1" s="34">
        <v>7</v>
      </c>
      <c r="BT1" s="34">
        <v>8</v>
      </c>
      <c r="BU1" s="34">
        <v>9</v>
      </c>
      <c r="BV1" s="35">
        <v>10</v>
      </c>
      <c r="BW1" s="36" t="s">
        <v>356</v>
      </c>
      <c r="BX1" s="37" t="s">
        <v>10</v>
      </c>
      <c r="BY1" s="38" t="s">
        <v>357</v>
      </c>
      <c r="BZ1" s="38" t="s">
        <v>358</v>
      </c>
      <c r="CA1" s="38" t="s">
        <v>359</v>
      </c>
      <c r="CB1" s="38" t="s">
        <v>360</v>
      </c>
      <c r="CC1" s="38" t="s">
        <v>361</v>
      </c>
      <c r="CD1" s="39" t="s">
        <v>362</v>
      </c>
      <c r="CE1" s="40" t="s">
        <v>363</v>
      </c>
    </row>
    <row r="2" spans="1:124" ht="21.75" customHeight="1" thickBot="1">
      <c r="B2" s="41">
        <v>100</v>
      </c>
      <c r="C2" s="42">
        <v>93.5</v>
      </c>
      <c r="D2" s="42">
        <v>91</v>
      </c>
      <c r="E2" s="42">
        <v>88.5</v>
      </c>
      <c r="F2" s="42">
        <v>86</v>
      </c>
      <c r="G2" s="42">
        <v>83.5</v>
      </c>
      <c r="H2" s="42">
        <v>81</v>
      </c>
      <c r="I2" s="42">
        <v>78.5</v>
      </c>
      <c r="J2" s="42">
        <v>76</v>
      </c>
      <c r="K2" s="43">
        <v>73.5</v>
      </c>
      <c r="BM2" s="41">
        <v>100</v>
      </c>
      <c r="BN2" s="42">
        <v>93.5</v>
      </c>
      <c r="BO2" s="42">
        <v>91</v>
      </c>
      <c r="BP2" s="42">
        <v>88.5</v>
      </c>
      <c r="BQ2" s="42">
        <v>86</v>
      </c>
      <c r="BR2" s="42">
        <v>83.5</v>
      </c>
      <c r="BS2" s="42">
        <v>81</v>
      </c>
      <c r="BT2" s="42">
        <v>78.5</v>
      </c>
      <c r="BU2" s="42">
        <v>76</v>
      </c>
      <c r="BV2" s="43">
        <v>73.5</v>
      </c>
      <c r="BW2" s="44">
        <v>400</v>
      </c>
      <c r="BX2" s="45">
        <v>15</v>
      </c>
      <c r="BY2" s="46">
        <f>IF(BX2=0,"",IF(BX2=1,BW2*(100/100),IF(BX2=2,BW2*(100/94.3),IF(BX2=3,BW2*(100/90.6),IF(BX2=4,BW2*(100/88.1),IF(BX2=5,BW2*(100/85.6),IF(BX2=6,BW2*(100/83.1),IF(BX2=7,BW2*(100/80.7),IF(BX2=8,BW2*(100/78.6),IF(BX2=9,BW2*(100/76.5),IF(BX2=10,BW2*(100/74.4),IF(BX2=11,BW2*(100/72.3),IF(BX2=12,BW2*(100/70.3),IF(BX2=13,BW2*(100/68.8),IF(BX2=14,BW2*(100/67.5),IF(BX2=15,BW2*(100/66.2),IF(BX2=16,BW2*(100/65),IF(BX2=17,BW2*(100/63.8),IF(BX2=18,BW2*(100/62.7),IF(BX2=19,BW2*(100/61.6),IF(BX2=20,BW2*(100/60.6),"&gt;20 reps")))))))))))))))))))))</f>
        <v>604.22960725075518</v>
      </c>
      <c r="BZ2" s="46" t="str">
        <f>IF(BX2=1,BW2*(100/100),IF(BX2=2,BW2*(100/93.5),IF(BX2=3,BW2*(100/91),IF(BX2=4,BW2*(100/88.5),IF(BX2=5,BW2*(100/86),IF(BX2=6,BW2*(100/83.5),IF(BX2=7,BW2*(100/81),IF(BX2=8,BW2*(100/78.5),"&gt;8 reps"))))))))</f>
        <v>&gt;8 reps</v>
      </c>
      <c r="CA2" s="47">
        <f>BW2/  (((    (EXP(-0.055*BX2))   * 41.9) + 52.2) /100)</f>
        <v>566.87698505135654</v>
      </c>
      <c r="CB2" s="47">
        <f>100*BW2/(101.3-(2.67123*BX2))</f>
        <v>653.25800179809266</v>
      </c>
      <c r="CC2" s="48">
        <f>BW2/(1.0278-(0.0278*BX2))</f>
        <v>654.87884741322853</v>
      </c>
      <c r="CD2" s="49">
        <v>5</v>
      </c>
      <c r="CE2" s="50">
        <f>BY2*((HLOOKUP(CD2,BM1:BV2,2,TRUE))/100)</f>
        <v>519.63746223564942</v>
      </c>
    </row>
    <row r="3" spans="1:124" s="51" customFormat="1" ht="21.75" customHeight="1">
      <c r="B3" s="152" t="s">
        <v>364</v>
      </c>
      <c r="C3" s="153"/>
      <c r="D3" s="154"/>
      <c r="E3" s="158"/>
      <c r="F3" s="161"/>
      <c r="G3" s="161"/>
      <c r="H3" s="161"/>
      <c r="I3" s="161"/>
      <c r="J3" s="161"/>
      <c r="K3" s="158">
        <v>41519</v>
      </c>
      <c r="L3" s="164">
        <v>41944</v>
      </c>
      <c r="M3" s="161"/>
      <c r="N3" s="161"/>
      <c r="O3" s="161"/>
      <c r="P3" s="161"/>
      <c r="Q3" s="161"/>
      <c r="R3" s="161"/>
      <c r="S3" s="161"/>
      <c r="T3" s="161"/>
      <c r="U3" s="161"/>
      <c r="V3" s="161"/>
      <c r="W3" s="161"/>
      <c r="X3" s="158">
        <v>41743</v>
      </c>
      <c r="Y3" s="161">
        <v>41747</v>
      </c>
      <c r="Z3" s="161">
        <v>41748</v>
      </c>
      <c r="AA3" s="161">
        <v>41750</v>
      </c>
      <c r="AB3" s="161">
        <v>41752</v>
      </c>
      <c r="AC3" s="161">
        <v>41754</v>
      </c>
      <c r="AD3" s="158">
        <v>41757</v>
      </c>
      <c r="AE3" s="161">
        <v>41761</v>
      </c>
      <c r="AF3" s="161">
        <v>41764</v>
      </c>
      <c r="AG3" s="161">
        <v>41766</v>
      </c>
      <c r="AH3" s="161">
        <v>41768</v>
      </c>
      <c r="AI3" s="161">
        <v>41771</v>
      </c>
      <c r="AJ3" s="161">
        <v>41773</v>
      </c>
      <c r="AK3" s="161">
        <v>41775</v>
      </c>
      <c r="AL3" s="161">
        <v>41778</v>
      </c>
      <c r="AM3" s="161">
        <v>41780</v>
      </c>
      <c r="AN3" s="167">
        <v>41782</v>
      </c>
      <c r="AO3" s="161">
        <v>41785</v>
      </c>
      <c r="AP3" s="162">
        <v>41789</v>
      </c>
      <c r="AQ3" s="162">
        <v>41793</v>
      </c>
      <c r="AR3" s="162">
        <v>41795</v>
      </c>
      <c r="AS3" s="158">
        <v>41876</v>
      </c>
      <c r="AT3" s="158">
        <v>41878</v>
      </c>
      <c r="AU3" s="158">
        <v>41880</v>
      </c>
      <c r="AV3" s="158">
        <v>41883</v>
      </c>
      <c r="AW3" s="158">
        <v>41885</v>
      </c>
      <c r="AX3" s="158">
        <v>41887</v>
      </c>
      <c r="AY3" s="170">
        <v>41890</v>
      </c>
      <c r="AZ3" s="161">
        <v>41892</v>
      </c>
      <c r="BA3" s="161">
        <v>41894</v>
      </c>
      <c r="BB3" s="162">
        <v>41897</v>
      </c>
      <c r="BC3" s="162">
        <v>41899</v>
      </c>
      <c r="BD3" s="162">
        <v>41901</v>
      </c>
      <c r="BE3" s="162">
        <v>41904</v>
      </c>
      <c r="BF3" s="162">
        <v>41906</v>
      </c>
      <c r="BG3" s="162">
        <v>41908</v>
      </c>
      <c r="BH3" s="162">
        <v>41911</v>
      </c>
      <c r="BI3" s="162">
        <v>41913</v>
      </c>
      <c r="BJ3" s="162">
        <v>41915</v>
      </c>
      <c r="BK3" s="162">
        <v>41918</v>
      </c>
      <c r="BL3" s="162">
        <v>41920</v>
      </c>
      <c r="BM3" s="162">
        <v>41922</v>
      </c>
      <c r="BN3" s="162">
        <v>41925</v>
      </c>
      <c r="BO3" s="162">
        <v>41927</v>
      </c>
      <c r="BP3" s="162">
        <v>41929</v>
      </c>
      <c r="BQ3" s="162">
        <v>41932</v>
      </c>
      <c r="BR3" s="162">
        <v>41934</v>
      </c>
      <c r="BS3" s="162">
        <v>41936</v>
      </c>
      <c r="BT3" s="162">
        <v>41939</v>
      </c>
      <c r="BU3" s="162">
        <v>41941</v>
      </c>
      <c r="BV3" s="162">
        <v>41943</v>
      </c>
      <c r="BW3" s="162">
        <v>41946</v>
      </c>
      <c r="BX3" s="162">
        <v>41948</v>
      </c>
      <c r="BY3" s="162">
        <v>41950</v>
      </c>
      <c r="BZ3" s="162">
        <v>41953</v>
      </c>
      <c r="CA3" s="162">
        <v>41955</v>
      </c>
      <c r="CB3" s="162">
        <v>41957</v>
      </c>
      <c r="CC3" s="162">
        <v>41960</v>
      </c>
      <c r="CD3" s="162">
        <v>41962</v>
      </c>
      <c r="CE3" s="162">
        <v>41964</v>
      </c>
      <c r="CF3" s="162">
        <v>41967</v>
      </c>
      <c r="CG3" s="162">
        <v>41969</v>
      </c>
      <c r="CH3" s="162">
        <v>41971</v>
      </c>
      <c r="CI3" s="162">
        <v>41974</v>
      </c>
      <c r="CJ3" s="162">
        <v>41976</v>
      </c>
      <c r="CK3" s="162">
        <v>41978</v>
      </c>
      <c r="CL3" s="162">
        <v>41981</v>
      </c>
      <c r="CM3" s="162">
        <v>41983</v>
      </c>
      <c r="CN3" s="162">
        <v>41985</v>
      </c>
      <c r="CO3" s="162">
        <v>41988</v>
      </c>
      <c r="CP3" s="162">
        <v>41990</v>
      </c>
      <c r="CQ3" s="162">
        <v>41992</v>
      </c>
      <c r="CR3" s="162">
        <v>41988</v>
      </c>
      <c r="CS3" s="162">
        <v>41990</v>
      </c>
      <c r="CT3" s="162">
        <v>41992</v>
      </c>
      <c r="CU3" s="162">
        <v>41995</v>
      </c>
      <c r="CV3" s="162">
        <v>41997</v>
      </c>
      <c r="CW3" s="162">
        <v>41999</v>
      </c>
      <c r="CX3" s="162">
        <v>42002</v>
      </c>
      <c r="CY3" s="162">
        <v>42004</v>
      </c>
      <c r="CZ3" s="162">
        <v>42006</v>
      </c>
      <c r="DA3" s="162">
        <v>42009</v>
      </c>
      <c r="DB3" s="162">
        <v>42011</v>
      </c>
      <c r="DC3" s="162">
        <v>42013</v>
      </c>
      <c r="DD3" s="162">
        <v>42016</v>
      </c>
      <c r="DE3" s="162">
        <v>42018</v>
      </c>
      <c r="DF3" s="162">
        <v>42020</v>
      </c>
      <c r="DG3" s="162">
        <v>42023</v>
      </c>
      <c r="DH3" s="162">
        <v>42025</v>
      </c>
      <c r="DI3" s="162">
        <v>42027</v>
      </c>
      <c r="DJ3" s="162">
        <v>42030</v>
      </c>
      <c r="DK3" s="162">
        <v>42032</v>
      </c>
      <c r="DL3" s="162">
        <v>42034</v>
      </c>
      <c r="DM3" s="162">
        <v>42037</v>
      </c>
      <c r="DN3" s="162">
        <v>42039</v>
      </c>
      <c r="DO3" s="162">
        <v>42041</v>
      </c>
      <c r="DP3" s="162">
        <v>42044</v>
      </c>
      <c r="DQ3" s="162">
        <v>42046</v>
      </c>
      <c r="DR3" s="162">
        <v>42048</v>
      </c>
      <c r="DS3" s="162">
        <v>42051</v>
      </c>
      <c r="DT3" s="162">
        <v>42053</v>
      </c>
    </row>
    <row r="4" spans="1:124" s="51" customFormat="1" ht="21.75" customHeight="1">
      <c r="B4" s="155"/>
      <c r="C4" s="156"/>
      <c r="D4" s="157"/>
      <c r="E4" s="159"/>
      <c r="F4" s="162"/>
      <c r="G4" s="162"/>
      <c r="H4" s="162"/>
      <c r="I4" s="162"/>
      <c r="J4" s="162"/>
      <c r="K4" s="159"/>
      <c r="L4" s="165"/>
      <c r="M4" s="162"/>
      <c r="N4" s="162"/>
      <c r="O4" s="162"/>
      <c r="P4" s="162"/>
      <c r="Q4" s="162"/>
      <c r="R4" s="162"/>
      <c r="S4" s="162"/>
      <c r="T4" s="162"/>
      <c r="U4" s="162"/>
      <c r="V4" s="162"/>
      <c r="W4" s="162"/>
      <c r="X4" s="159"/>
      <c r="Y4" s="162"/>
      <c r="Z4" s="162"/>
      <c r="AA4" s="162"/>
      <c r="AB4" s="162"/>
      <c r="AC4" s="162"/>
      <c r="AD4" s="159"/>
      <c r="AE4" s="162"/>
      <c r="AF4" s="162"/>
      <c r="AG4" s="162"/>
      <c r="AH4" s="162"/>
      <c r="AI4" s="162"/>
      <c r="AJ4" s="162"/>
      <c r="AK4" s="162"/>
      <c r="AL4" s="162"/>
      <c r="AM4" s="162"/>
      <c r="AN4" s="168"/>
      <c r="AO4" s="162"/>
      <c r="AP4" s="162"/>
      <c r="AQ4" s="162"/>
      <c r="AR4" s="162"/>
      <c r="AS4" s="159"/>
      <c r="AT4" s="159"/>
      <c r="AU4" s="159"/>
      <c r="AV4" s="159"/>
      <c r="AW4" s="159"/>
      <c r="AX4" s="159"/>
      <c r="AY4" s="171"/>
      <c r="AZ4" s="162"/>
      <c r="BA4" s="162"/>
      <c r="BB4" s="162"/>
      <c r="BC4" s="162"/>
      <c r="BD4" s="162"/>
      <c r="BE4" s="162"/>
      <c r="BF4" s="162"/>
      <c r="BG4" s="162"/>
      <c r="BH4" s="162"/>
      <c r="BI4" s="162"/>
      <c r="BJ4" s="162"/>
      <c r="BK4" s="162"/>
      <c r="BL4" s="162"/>
      <c r="BM4" s="162"/>
      <c r="BN4" s="162"/>
      <c r="BO4" s="162"/>
      <c r="BP4" s="162"/>
      <c r="BQ4" s="162"/>
      <c r="BR4" s="162"/>
      <c r="BS4" s="162"/>
      <c r="BT4" s="162"/>
      <c r="BU4" s="162"/>
      <c r="BV4" s="162"/>
      <c r="BW4" s="162"/>
      <c r="BX4" s="162"/>
      <c r="BY4" s="162"/>
      <c r="BZ4" s="162"/>
      <c r="CA4" s="162"/>
      <c r="CB4" s="162"/>
      <c r="CC4" s="162"/>
      <c r="CD4" s="162"/>
      <c r="CE4" s="162"/>
      <c r="CF4" s="162"/>
      <c r="CG4" s="162"/>
      <c r="CH4" s="162"/>
      <c r="CI4" s="162"/>
      <c r="CJ4" s="162"/>
      <c r="CK4" s="162"/>
      <c r="CL4" s="162"/>
      <c r="CM4" s="162"/>
      <c r="CN4" s="162"/>
      <c r="CO4" s="162"/>
      <c r="CP4" s="162"/>
      <c r="CQ4" s="162"/>
      <c r="CR4" s="162"/>
      <c r="CS4" s="162"/>
      <c r="CT4" s="162"/>
      <c r="CU4" s="162"/>
      <c r="CV4" s="162"/>
      <c r="CW4" s="162"/>
      <c r="CX4" s="162"/>
      <c r="CY4" s="162"/>
      <c r="CZ4" s="162"/>
      <c r="DA4" s="162"/>
      <c r="DB4" s="162"/>
      <c r="DC4" s="162"/>
      <c r="DD4" s="162"/>
      <c r="DE4" s="162"/>
      <c r="DF4" s="162"/>
      <c r="DG4" s="162"/>
      <c r="DH4" s="162"/>
      <c r="DI4" s="162"/>
      <c r="DJ4" s="162"/>
      <c r="DK4" s="162"/>
      <c r="DL4" s="162"/>
      <c r="DM4" s="162"/>
      <c r="DN4" s="162"/>
      <c r="DO4" s="162"/>
      <c r="DP4" s="162"/>
      <c r="DQ4" s="162"/>
      <c r="DR4" s="162"/>
      <c r="DS4" s="162"/>
      <c r="DT4" s="162"/>
    </row>
    <row r="5" spans="1:124" s="51" customFormat="1" ht="21.75" customHeight="1">
      <c r="B5" s="52"/>
      <c r="C5" s="53"/>
      <c r="D5" s="54"/>
      <c r="E5" s="160"/>
      <c r="F5" s="163"/>
      <c r="G5" s="163"/>
      <c r="H5" s="163"/>
      <c r="I5" s="163"/>
      <c r="J5" s="163"/>
      <c r="K5" s="160"/>
      <c r="L5" s="166"/>
      <c r="M5" s="163"/>
      <c r="N5" s="163"/>
      <c r="O5" s="163"/>
      <c r="P5" s="163"/>
      <c r="Q5" s="163"/>
      <c r="R5" s="163"/>
      <c r="S5" s="163"/>
      <c r="T5" s="163"/>
      <c r="U5" s="163"/>
      <c r="V5" s="163"/>
      <c r="W5" s="163"/>
      <c r="X5" s="160"/>
      <c r="Y5" s="163"/>
      <c r="Z5" s="163"/>
      <c r="AA5" s="163"/>
      <c r="AB5" s="163"/>
      <c r="AC5" s="163"/>
      <c r="AD5" s="160"/>
      <c r="AE5" s="163"/>
      <c r="AF5" s="163"/>
      <c r="AG5" s="163"/>
      <c r="AH5" s="163"/>
      <c r="AI5" s="163"/>
      <c r="AJ5" s="163"/>
      <c r="AK5" s="163"/>
      <c r="AL5" s="163"/>
      <c r="AM5" s="163"/>
      <c r="AN5" s="169"/>
      <c r="AO5" s="163"/>
      <c r="AP5" s="162"/>
      <c r="AQ5" s="162"/>
      <c r="AR5" s="162"/>
      <c r="AS5" s="160"/>
      <c r="AT5" s="160"/>
      <c r="AU5" s="160"/>
      <c r="AV5" s="160"/>
      <c r="AW5" s="160"/>
      <c r="AX5" s="160"/>
      <c r="AY5" s="172"/>
      <c r="AZ5" s="163"/>
      <c r="BA5" s="163"/>
      <c r="BB5" s="162"/>
      <c r="BC5" s="162"/>
      <c r="BD5" s="162"/>
      <c r="BE5" s="162"/>
      <c r="BF5" s="162"/>
      <c r="BG5" s="162"/>
      <c r="BH5" s="162"/>
      <c r="BI5" s="162"/>
      <c r="BJ5" s="162"/>
      <c r="BK5" s="162"/>
      <c r="BL5" s="162"/>
      <c r="BM5" s="162"/>
      <c r="BN5" s="162"/>
      <c r="BO5" s="162"/>
      <c r="BP5" s="162"/>
      <c r="BQ5" s="162"/>
      <c r="BR5" s="162"/>
      <c r="BS5" s="162"/>
      <c r="BT5" s="162"/>
      <c r="BU5" s="162"/>
      <c r="BV5" s="162"/>
      <c r="BW5" s="162"/>
      <c r="BX5" s="162"/>
      <c r="BY5" s="162"/>
      <c r="BZ5" s="162"/>
      <c r="CA5" s="162"/>
      <c r="CB5" s="162"/>
      <c r="CC5" s="162"/>
      <c r="CD5" s="162"/>
      <c r="CE5" s="162"/>
      <c r="CF5" s="162"/>
      <c r="CG5" s="162"/>
      <c r="CH5" s="162"/>
      <c r="CI5" s="162"/>
      <c r="CJ5" s="162"/>
      <c r="CK5" s="162"/>
      <c r="CL5" s="162"/>
      <c r="CM5" s="162"/>
      <c r="CN5" s="162"/>
      <c r="CO5" s="162"/>
      <c r="CP5" s="162"/>
      <c r="CQ5" s="162"/>
      <c r="CR5" s="162"/>
      <c r="CS5" s="162"/>
      <c r="CT5" s="162"/>
      <c r="CU5" s="162"/>
      <c r="CV5" s="162"/>
      <c r="CW5" s="162"/>
      <c r="CX5" s="162"/>
      <c r="CY5" s="162"/>
      <c r="CZ5" s="162"/>
      <c r="DA5" s="162"/>
      <c r="DB5" s="162"/>
      <c r="DC5" s="162"/>
      <c r="DD5" s="162"/>
      <c r="DE5" s="162"/>
      <c r="DF5" s="162"/>
      <c r="DG5" s="162"/>
      <c r="DH5" s="162"/>
      <c r="DI5" s="162"/>
      <c r="DJ5" s="162"/>
      <c r="DK5" s="162"/>
      <c r="DL5" s="162"/>
      <c r="DM5" s="162"/>
      <c r="DN5" s="162"/>
      <c r="DO5" s="162"/>
      <c r="DP5" s="162"/>
      <c r="DQ5" s="162"/>
      <c r="DR5" s="162"/>
      <c r="DS5" s="162"/>
      <c r="DT5" s="162"/>
    </row>
    <row r="6" spans="1:124" s="51" customFormat="1" ht="21.75" customHeight="1" thickBot="1">
      <c r="B6" s="173"/>
      <c r="C6" s="174"/>
      <c r="D6" s="175"/>
      <c r="E6" s="160"/>
      <c r="F6" s="163"/>
      <c r="G6" s="163"/>
      <c r="H6" s="163"/>
      <c r="I6" s="163"/>
      <c r="J6" s="163"/>
      <c r="K6" s="160"/>
      <c r="L6" s="166"/>
      <c r="M6" s="163"/>
      <c r="N6" s="163"/>
      <c r="O6" s="163"/>
      <c r="P6" s="163"/>
      <c r="Q6" s="163"/>
      <c r="R6" s="163"/>
      <c r="S6" s="163"/>
      <c r="T6" s="163"/>
      <c r="U6" s="163"/>
      <c r="V6" s="163"/>
      <c r="W6" s="163"/>
      <c r="X6" s="160"/>
      <c r="Y6" s="163"/>
      <c r="Z6" s="163"/>
      <c r="AA6" s="163"/>
      <c r="AB6" s="163"/>
      <c r="AC6" s="163"/>
      <c r="AD6" s="160"/>
      <c r="AE6" s="163"/>
      <c r="AF6" s="163"/>
      <c r="AG6" s="163"/>
      <c r="AH6" s="163"/>
      <c r="AI6" s="163"/>
      <c r="AJ6" s="163"/>
      <c r="AK6" s="163"/>
      <c r="AL6" s="163"/>
      <c r="AM6" s="163"/>
      <c r="AN6" s="169"/>
      <c r="AO6" s="163"/>
      <c r="AP6" s="162"/>
      <c r="AQ6" s="162"/>
      <c r="AR6" s="162"/>
      <c r="AS6" s="160"/>
      <c r="AT6" s="160"/>
      <c r="AU6" s="160"/>
      <c r="AV6" s="160"/>
      <c r="AW6" s="160"/>
      <c r="AX6" s="160"/>
      <c r="AY6" s="172"/>
      <c r="AZ6" s="163"/>
      <c r="BA6" s="163"/>
      <c r="BB6" s="162"/>
      <c r="BC6" s="162"/>
      <c r="BD6" s="162"/>
      <c r="BE6" s="162"/>
      <c r="BF6" s="162"/>
      <c r="BG6" s="162"/>
      <c r="BH6" s="162"/>
      <c r="BI6" s="162"/>
      <c r="BJ6" s="162"/>
      <c r="BK6" s="162"/>
      <c r="BL6" s="162"/>
      <c r="BM6" s="162"/>
      <c r="BN6" s="162"/>
      <c r="BO6" s="162"/>
      <c r="BP6" s="162"/>
      <c r="BQ6" s="162"/>
      <c r="BR6" s="162"/>
      <c r="BS6" s="162"/>
      <c r="BT6" s="162"/>
      <c r="BU6" s="162"/>
      <c r="BV6" s="162"/>
      <c r="BW6" s="162"/>
      <c r="BX6" s="162"/>
      <c r="BY6" s="162"/>
      <c r="BZ6" s="162"/>
      <c r="CA6" s="162"/>
      <c r="CB6" s="162"/>
      <c r="CC6" s="162"/>
      <c r="CD6" s="162"/>
      <c r="CE6" s="162"/>
      <c r="CF6" s="162"/>
      <c r="CG6" s="162"/>
      <c r="CH6" s="162"/>
      <c r="CI6" s="162"/>
      <c r="CJ6" s="162"/>
      <c r="CK6" s="162"/>
      <c r="CL6" s="162"/>
      <c r="CM6" s="162"/>
      <c r="CN6" s="162"/>
      <c r="CO6" s="162"/>
      <c r="CP6" s="162"/>
      <c r="CQ6" s="162"/>
      <c r="CR6" s="162"/>
      <c r="CS6" s="162"/>
      <c r="CT6" s="162"/>
      <c r="CU6" s="162"/>
      <c r="CV6" s="162"/>
      <c r="CW6" s="162"/>
      <c r="CX6" s="162"/>
      <c r="CY6" s="162"/>
      <c r="CZ6" s="162"/>
      <c r="DA6" s="162"/>
      <c r="DB6" s="162"/>
      <c r="DC6" s="162"/>
      <c r="DD6" s="162"/>
      <c r="DE6" s="162"/>
      <c r="DF6" s="162"/>
      <c r="DG6" s="162"/>
      <c r="DH6" s="162"/>
      <c r="DI6" s="162"/>
      <c r="DJ6" s="162"/>
      <c r="DK6" s="162"/>
      <c r="DL6" s="162"/>
      <c r="DM6" s="162"/>
      <c r="DN6" s="162"/>
      <c r="DO6" s="162"/>
      <c r="DP6" s="162"/>
      <c r="DQ6" s="162"/>
      <c r="DR6" s="162"/>
      <c r="DS6" s="162"/>
      <c r="DT6" s="162"/>
    </row>
    <row r="7" spans="1:124" ht="21.75" customHeight="1">
      <c r="A7" s="311"/>
      <c r="B7" s="176" t="s">
        <v>47</v>
      </c>
      <c r="C7" s="177"/>
      <c r="D7" s="178"/>
      <c r="E7" s="182"/>
      <c r="F7" s="185"/>
      <c r="G7" s="185"/>
      <c r="H7" s="185"/>
      <c r="I7" s="185"/>
      <c r="J7" s="185"/>
      <c r="K7" s="182">
        <v>41519</v>
      </c>
      <c r="L7" s="188">
        <v>41944</v>
      </c>
      <c r="M7" s="185"/>
      <c r="N7" s="185"/>
      <c r="O7" s="185"/>
      <c r="P7" s="185"/>
      <c r="Q7" s="185"/>
      <c r="R7" s="185"/>
      <c r="S7" s="185"/>
      <c r="T7" s="185"/>
      <c r="U7" s="185"/>
      <c r="V7" s="185"/>
      <c r="W7" s="185"/>
      <c r="X7" s="182">
        <v>41743</v>
      </c>
      <c r="Y7" s="185">
        <v>41747</v>
      </c>
      <c r="Z7" s="185">
        <v>41748</v>
      </c>
      <c r="AA7" s="185">
        <v>41750</v>
      </c>
      <c r="AB7" s="185">
        <v>41752</v>
      </c>
      <c r="AC7" s="185">
        <v>41754</v>
      </c>
      <c r="AD7" s="182">
        <v>41757</v>
      </c>
      <c r="AE7" s="185">
        <v>41761</v>
      </c>
      <c r="AF7" s="185">
        <v>41764</v>
      </c>
      <c r="AG7" s="185">
        <v>41766</v>
      </c>
      <c r="AH7" s="185">
        <v>41768</v>
      </c>
      <c r="AI7" s="185">
        <v>41771</v>
      </c>
      <c r="AJ7" s="185">
        <v>41773</v>
      </c>
      <c r="AK7" s="185">
        <v>41775</v>
      </c>
      <c r="AL7" s="185">
        <v>41778</v>
      </c>
      <c r="AM7" s="185">
        <v>41780</v>
      </c>
      <c r="AN7" s="191">
        <v>41782</v>
      </c>
      <c r="AO7" s="185">
        <v>41785</v>
      </c>
      <c r="AP7" s="186">
        <v>41789</v>
      </c>
      <c r="AQ7" s="186">
        <v>41793</v>
      </c>
      <c r="AR7" s="186">
        <v>41795</v>
      </c>
      <c r="AS7" s="182">
        <v>41876</v>
      </c>
      <c r="AT7" s="182">
        <v>41878</v>
      </c>
      <c r="AU7" s="182">
        <v>41880</v>
      </c>
      <c r="AV7" s="182">
        <v>41883</v>
      </c>
      <c r="AW7" s="182">
        <v>41885</v>
      </c>
      <c r="AX7" s="182">
        <v>41887</v>
      </c>
      <c r="AY7" s="194">
        <v>41890</v>
      </c>
      <c r="AZ7" s="185">
        <v>41892</v>
      </c>
      <c r="BA7" s="185">
        <v>41894</v>
      </c>
      <c r="BB7" s="186">
        <v>41897</v>
      </c>
      <c r="BC7" s="186">
        <v>41899</v>
      </c>
      <c r="BD7" s="186">
        <v>41901</v>
      </c>
      <c r="BE7" s="186">
        <v>41904</v>
      </c>
      <c r="BF7" s="186">
        <v>41906</v>
      </c>
      <c r="BG7" s="186">
        <v>41908</v>
      </c>
      <c r="BH7" s="186">
        <v>41911</v>
      </c>
      <c r="BI7" s="186">
        <v>41913</v>
      </c>
      <c r="BJ7" s="186">
        <v>41915</v>
      </c>
      <c r="BK7" s="186">
        <v>41918</v>
      </c>
      <c r="BL7" s="186">
        <v>41920</v>
      </c>
      <c r="BM7" s="186">
        <v>41922</v>
      </c>
      <c r="BN7" s="186">
        <v>41925</v>
      </c>
      <c r="BO7" s="186">
        <v>41927</v>
      </c>
      <c r="BP7" s="186">
        <v>41929</v>
      </c>
      <c r="BQ7" s="186">
        <v>41932</v>
      </c>
      <c r="BR7" s="186">
        <v>41934</v>
      </c>
      <c r="BS7" s="186">
        <v>41936</v>
      </c>
      <c r="BT7" s="186">
        <v>41939</v>
      </c>
      <c r="BU7" s="186">
        <v>41941</v>
      </c>
      <c r="BV7" s="186">
        <v>41943</v>
      </c>
      <c r="BW7" s="186">
        <v>41946</v>
      </c>
      <c r="BX7" s="186">
        <v>41948</v>
      </c>
      <c r="BY7" s="186">
        <v>41950</v>
      </c>
      <c r="BZ7" s="186">
        <v>41953</v>
      </c>
      <c r="CA7" s="186">
        <v>41955</v>
      </c>
      <c r="CB7" s="186">
        <v>41957</v>
      </c>
      <c r="CC7" s="186">
        <v>41960</v>
      </c>
      <c r="CD7" s="186">
        <v>41962</v>
      </c>
      <c r="CE7" s="186">
        <v>41964</v>
      </c>
      <c r="CF7" s="186">
        <v>41967</v>
      </c>
      <c r="CG7" s="186">
        <v>41969</v>
      </c>
      <c r="CH7" s="186">
        <v>41971</v>
      </c>
      <c r="CI7" s="186">
        <v>41974</v>
      </c>
      <c r="CJ7" s="186">
        <v>41976</v>
      </c>
      <c r="CK7" s="186">
        <v>41978</v>
      </c>
      <c r="CL7" s="186">
        <v>41981</v>
      </c>
      <c r="CM7" s="186">
        <v>41983</v>
      </c>
      <c r="CN7" s="186">
        <v>41985</v>
      </c>
      <c r="CO7" s="186">
        <v>41988</v>
      </c>
      <c r="CP7" s="186">
        <v>41990</v>
      </c>
      <c r="CQ7" s="186">
        <v>41992</v>
      </c>
      <c r="CR7" s="186">
        <v>41988</v>
      </c>
      <c r="CS7" s="186">
        <v>41990</v>
      </c>
      <c r="CT7" s="186">
        <v>41992</v>
      </c>
      <c r="CU7" s="186">
        <v>41995</v>
      </c>
      <c r="CV7" s="186">
        <v>41997</v>
      </c>
      <c r="CW7" s="186">
        <v>41999</v>
      </c>
      <c r="CX7" s="186">
        <v>42002</v>
      </c>
      <c r="CY7" s="186">
        <v>42004</v>
      </c>
      <c r="CZ7" s="186">
        <v>42006</v>
      </c>
      <c r="DA7" s="186">
        <v>42009</v>
      </c>
      <c r="DB7" s="186">
        <v>42011</v>
      </c>
      <c r="DC7" s="186">
        <v>42013</v>
      </c>
      <c r="DD7" s="186">
        <v>42016</v>
      </c>
      <c r="DE7" s="186">
        <v>42018</v>
      </c>
      <c r="DF7" s="186">
        <v>42020</v>
      </c>
      <c r="DG7" s="186">
        <v>42023</v>
      </c>
      <c r="DH7" s="186">
        <v>42025</v>
      </c>
      <c r="DI7" s="186">
        <v>42027</v>
      </c>
      <c r="DJ7" s="186">
        <v>42030</v>
      </c>
      <c r="DK7" s="186">
        <v>42032</v>
      </c>
      <c r="DL7" s="186">
        <v>42034</v>
      </c>
      <c r="DM7" s="186">
        <v>42037</v>
      </c>
      <c r="DN7" s="186">
        <v>42039</v>
      </c>
      <c r="DO7" s="186">
        <v>42041</v>
      </c>
      <c r="DP7" s="186">
        <v>42044</v>
      </c>
      <c r="DQ7" s="186">
        <v>42046</v>
      </c>
      <c r="DR7" s="186">
        <v>42048</v>
      </c>
      <c r="DS7" s="186">
        <v>42051</v>
      </c>
      <c r="DT7" s="186">
        <v>42053</v>
      </c>
    </row>
    <row r="8" spans="1:124" ht="21.75" customHeight="1">
      <c r="A8" s="311"/>
      <c r="B8" s="179"/>
      <c r="C8" s="180"/>
      <c r="D8" s="181"/>
      <c r="E8" s="183"/>
      <c r="F8" s="186"/>
      <c r="G8" s="186"/>
      <c r="H8" s="186"/>
      <c r="I8" s="186"/>
      <c r="J8" s="186"/>
      <c r="K8" s="183"/>
      <c r="L8" s="189"/>
      <c r="M8" s="186"/>
      <c r="N8" s="186"/>
      <c r="O8" s="186"/>
      <c r="P8" s="186"/>
      <c r="Q8" s="186"/>
      <c r="R8" s="186"/>
      <c r="S8" s="186"/>
      <c r="T8" s="186"/>
      <c r="U8" s="186"/>
      <c r="V8" s="186"/>
      <c r="W8" s="186"/>
      <c r="X8" s="183"/>
      <c r="Y8" s="186"/>
      <c r="Z8" s="186"/>
      <c r="AA8" s="186"/>
      <c r="AB8" s="186"/>
      <c r="AC8" s="186"/>
      <c r="AD8" s="183"/>
      <c r="AE8" s="186"/>
      <c r="AF8" s="186"/>
      <c r="AG8" s="186"/>
      <c r="AH8" s="186"/>
      <c r="AI8" s="186"/>
      <c r="AJ8" s="186"/>
      <c r="AK8" s="186"/>
      <c r="AL8" s="186"/>
      <c r="AM8" s="186"/>
      <c r="AN8" s="192"/>
      <c r="AO8" s="186"/>
      <c r="AP8" s="186"/>
      <c r="AQ8" s="186"/>
      <c r="AR8" s="186"/>
      <c r="AS8" s="183"/>
      <c r="AT8" s="183"/>
      <c r="AU8" s="183"/>
      <c r="AV8" s="183"/>
      <c r="AW8" s="183"/>
      <c r="AX8" s="183"/>
      <c r="AY8" s="195"/>
      <c r="AZ8" s="186"/>
      <c r="BA8" s="186"/>
      <c r="BB8" s="186"/>
      <c r="BC8" s="186"/>
      <c r="BD8" s="186"/>
      <c r="BE8" s="186"/>
      <c r="BF8" s="186"/>
      <c r="BG8" s="186"/>
      <c r="BH8" s="186"/>
      <c r="BI8" s="186"/>
      <c r="BJ8" s="186"/>
      <c r="BK8" s="186"/>
      <c r="BL8" s="186"/>
      <c r="BM8" s="186"/>
      <c r="BN8" s="186"/>
      <c r="BO8" s="186"/>
      <c r="BP8" s="186"/>
      <c r="BQ8" s="186"/>
      <c r="BR8" s="186"/>
      <c r="BS8" s="186"/>
      <c r="BT8" s="186"/>
      <c r="BU8" s="186"/>
      <c r="BV8" s="186"/>
      <c r="BW8" s="186"/>
      <c r="BX8" s="186"/>
      <c r="BY8" s="186"/>
      <c r="BZ8" s="186"/>
      <c r="CA8" s="186"/>
      <c r="CB8" s="186"/>
      <c r="CC8" s="186"/>
      <c r="CD8" s="186"/>
      <c r="CE8" s="186"/>
      <c r="CF8" s="186"/>
      <c r="CG8" s="186"/>
      <c r="CH8" s="186"/>
      <c r="CI8" s="186"/>
      <c r="CJ8" s="186"/>
      <c r="CK8" s="186"/>
      <c r="CL8" s="186"/>
      <c r="CM8" s="186"/>
      <c r="CN8" s="186"/>
      <c r="CO8" s="186"/>
      <c r="CP8" s="186"/>
      <c r="CQ8" s="186"/>
      <c r="CR8" s="186"/>
      <c r="CS8" s="186"/>
      <c r="CT8" s="186"/>
      <c r="CU8" s="186"/>
      <c r="CV8" s="186"/>
      <c r="CW8" s="186"/>
      <c r="CX8" s="186"/>
      <c r="CY8" s="186"/>
      <c r="CZ8" s="186"/>
      <c r="DA8" s="186"/>
      <c r="DB8" s="186"/>
      <c r="DC8" s="186"/>
      <c r="DD8" s="186"/>
      <c r="DE8" s="186"/>
      <c r="DF8" s="186"/>
      <c r="DG8" s="186"/>
      <c r="DH8" s="186"/>
      <c r="DI8" s="186"/>
      <c r="DJ8" s="186"/>
      <c r="DK8" s="186"/>
      <c r="DL8" s="186"/>
      <c r="DM8" s="186"/>
      <c r="DN8" s="186"/>
      <c r="DO8" s="186"/>
      <c r="DP8" s="186"/>
      <c r="DQ8" s="186"/>
      <c r="DR8" s="186"/>
      <c r="DS8" s="186"/>
      <c r="DT8" s="186"/>
    </row>
    <row r="9" spans="1:124" ht="21.75" customHeight="1">
      <c r="A9" s="311"/>
      <c r="B9" s="179"/>
      <c r="C9" s="180"/>
      <c r="D9" s="181"/>
      <c r="E9" s="183"/>
      <c r="F9" s="186"/>
      <c r="G9" s="186"/>
      <c r="H9" s="186"/>
      <c r="I9" s="186"/>
      <c r="J9" s="186"/>
      <c r="K9" s="183"/>
      <c r="L9" s="189"/>
      <c r="M9" s="186"/>
      <c r="N9" s="186"/>
      <c r="O9" s="186"/>
      <c r="P9" s="186"/>
      <c r="Q9" s="186"/>
      <c r="R9" s="186"/>
      <c r="S9" s="186"/>
      <c r="T9" s="186"/>
      <c r="U9" s="186"/>
      <c r="V9" s="186"/>
      <c r="W9" s="186"/>
      <c r="X9" s="183"/>
      <c r="Y9" s="186"/>
      <c r="Z9" s="186"/>
      <c r="AA9" s="186"/>
      <c r="AB9" s="186"/>
      <c r="AC9" s="186"/>
      <c r="AD9" s="183"/>
      <c r="AE9" s="186"/>
      <c r="AF9" s="186"/>
      <c r="AG9" s="186"/>
      <c r="AH9" s="186"/>
      <c r="AI9" s="186"/>
      <c r="AJ9" s="186"/>
      <c r="AK9" s="186"/>
      <c r="AL9" s="186"/>
      <c r="AM9" s="186"/>
      <c r="AN9" s="192"/>
      <c r="AO9" s="186"/>
      <c r="AP9" s="186"/>
      <c r="AQ9" s="186"/>
      <c r="AR9" s="186"/>
      <c r="AS9" s="183"/>
      <c r="AT9" s="183"/>
      <c r="AU9" s="183"/>
      <c r="AV9" s="183"/>
      <c r="AW9" s="183"/>
      <c r="AX9" s="183"/>
      <c r="AY9" s="195"/>
      <c r="AZ9" s="186"/>
      <c r="BA9" s="186"/>
      <c r="BB9" s="186"/>
      <c r="BC9" s="186"/>
      <c r="BD9" s="186"/>
      <c r="BE9" s="186"/>
      <c r="BF9" s="186"/>
      <c r="BG9" s="186"/>
      <c r="BH9" s="186"/>
      <c r="BI9" s="186"/>
      <c r="BJ9" s="186"/>
      <c r="BK9" s="186"/>
      <c r="BL9" s="186"/>
      <c r="BM9" s="186"/>
      <c r="BN9" s="186"/>
      <c r="BO9" s="186"/>
      <c r="BP9" s="186"/>
      <c r="BQ9" s="186"/>
      <c r="BR9" s="186"/>
      <c r="BS9" s="186"/>
      <c r="BT9" s="186"/>
      <c r="BU9" s="186"/>
      <c r="BV9" s="186"/>
      <c r="BW9" s="186"/>
      <c r="BX9" s="186"/>
      <c r="BY9" s="186"/>
      <c r="BZ9" s="186"/>
      <c r="CA9" s="186"/>
      <c r="CB9" s="186"/>
      <c r="CC9" s="186"/>
      <c r="CD9" s="186"/>
      <c r="CE9" s="186"/>
      <c r="CF9" s="186"/>
      <c r="CG9" s="186"/>
      <c r="CH9" s="186"/>
      <c r="CI9" s="186"/>
      <c r="CJ9" s="186"/>
      <c r="CK9" s="186"/>
      <c r="CL9" s="186"/>
      <c r="CM9" s="186"/>
      <c r="CN9" s="186"/>
      <c r="CO9" s="186"/>
      <c r="CP9" s="186"/>
      <c r="CQ9" s="186"/>
      <c r="CR9" s="186"/>
      <c r="CS9" s="186"/>
      <c r="CT9" s="186"/>
      <c r="CU9" s="186"/>
      <c r="CV9" s="186"/>
      <c r="CW9" s="186"/>
      <c r="CX9" s="186"/>
      <c r="CY9" s="186"/>
      <c r="CZ9" s="186"/>
      <c r="DA9" s="186"/>
      <c r="DB9" s="186"/>
      <c r="DC9" s="186"/>
      <c r="DD9" s="186"/>
      <c r="DE9" s="186"/>
      <c r="DF9" s="186"/>
      <c r="DG9" s="186"/>
      <c r="DH9" s="186"/>
      <c r="DI9" s="186"/>
      <c r="DJ9" s="186"/>
      <c r="DK9" s="186"/>
      <c r="DL9" s="186"/>
      <c r="DM9" s="186"/>
      <c r="DN9" s="186"/>
      <c r="DO9" s="186"/>
      <c r="DP9" s="186"/>
      <c r="DQ9" s="186"/>
      <c r="DR9" s="186"/>
      <c r="DS9" s="186"/>
      <c r="DT9" s="186"/>
    </row>
    <row r="10" spans="1:124" ht="21.75" customHeight="1">
      <c r="A10" s="311"/>
      <c r="B10" s="179"/>
      <c r="C10" s="180"/>
      <c r="D10" s="181"/>
      <c r="E10" s="183"/>
      <c r="F10" s="186"/>
      <c r="G10" s="186"/>
      <c r="H10" s="186"/>
      <c r="I10" s="186"/>
      <c r="J10" s="186"/>
      <c r="K10" s="183"/>
      <c r="L10" s="189"/>
      <c r="M10" s="186"/>
      <c r="N10" s="186"/>
      <c r="O10" s="186"/>
      <c r="P10" s="186"/>
      <c r="Q10" s="186"/>
      <c r="R10" s="186"/>
      <c r="S10" s="186"/>
      <c r="T10" s="186"/>
      <c r="U10" s="186"/>
      <c r="V10" s="186"/>
      <c r="W10" s="186"/>
      <c r="X10" s="183"/>
      <c r="Y10" s="186"/>
      <c r="Z10" s="186"/>
      <c r="AA10" s="186"/>
      <c r="AB10" s="186"/>
      <c r="AC10" s="186"/>
      <c r="AD10" s="183"/>
      <c r="AE10" s="186"/>
      <c r="AF10" s="186"/>
      <c r="AG10" s="186"/>
      <c r="AH10" s="186"/>
      <c r="AI10" s="186"/>
      <c r="AJ10" s="186"/>
      <c r="AK10" s="186"/>
      <c r="AL10" s="186"/>
      <c r="AM10" s="186"/>
      <c r="AN10" s="192"/>
      <c r="AO10" s="186"/>
      <c r="AP10" s="186"/>
      <c r="AQ10" s="186"/>
      <c r="AR10" s="186"/>
      <c r="AS10" s="183"/>
      <c r="AT10" s="183"/>
      <c r="AU10" s="183"/>
      <c r="AV10" s="183"/>
      <c r="AW10" s="183"/>
      <c r="AX10" s="183"/>
      <c r="AY10" s="195"/>
      <c r="AZ10" s="186"/>
      <c r="BA10" s="186"/>
      <c r="BB10" s="186"/>
      <c r="BC10" s="186"/>
      <c r="BD10" s="186"/>
      <c r="BE10" s="186"/>
      <c r="BF10" s="186"/>
      <c r="BG10" s="186"/>
      <c r="BH10" s="186"/>
      <c r="BI10" s="186"/>
      <c r="BJ10" s="186"/>
      <c r="BK10" s="186"/>
      <c r="BL10" s="186"/>
      <c r="BM10" s="186"/>
      <c r="BN10" s="186"/>
      <c r="BO10" s="186"/>
      <c r="BP10" s="186"/>
      <c r="BQ10" s="186"/>
      <c r="BR10" s="186"/>
      <c r="BS10" s="186"/>
      <c r="BT10" s="186"/>
      <c r="BU10" s="186"/>
      <c r="BV10" s="186"/>
      <c r="BW10" s="186"/>
      <c r="BX10" s="186"/>
      <c r="BY10" s="186"/>
      <c r="BZ10" s="186"/>
      <c r="CA10" s="186"/>
      <c r="CB10" s="186"/>
      <c r="CC10" s="186"/>
      <c r="CD10" s="186"/>
      <c r="CE10" s="186"/>
      <c r="CF10" s="186"/>
      <c r="CG10" s="186"/>
      <c r="CH10" s="186"/>
      <c r="CI10" s="186"/>
      <c r="CJ10" s="186"/>
      <c r="CK10" s="186"/>
      <c r="CL10" s="186"/>
      <c r="CM10" s="186"/>
      <c r="CN10" s="186"/>
      <c r="CO10" s="186"/>
      <c r="CP10" s="186"/>
      <c r="CQ10" s="186"/>
      <c r="CR10" s="186"/>
      <c r="CS10" s="186"/>
      <c r="CT10" s="186"/>
      <c r="CU10" s="186"/>
      <c r="CV10" s="186"/>
      <c r="CW10" s="186"/>
      <c r="CX10" s="186"/>
      <c r="CY10" s="186"/>
      <c r="CZ10" s="186"/>
      <c r="DA10" s="186"/>
      <c r="DB10" s="186"/>
      <c r="DC10" s="186"/>
      <c r="DD10" s="186"/>
      <c r="DE10" s="186"/>
      <c r="DF10" s="186"/>
      <c r="DG10" s="186"/>
      <c r="DH10" s="186"/>
      <c r="DI10" s="186"/>
      <c r="DJ10" s="186"/>
      <c r="DK10" s="186"/>
      <c r="DL10" s="186"/>
      <c r="DM10" s="186"/>
      <c r="DN10" s="186"/>
      <c r="DO10" s="186"/>
      <c r="DP10" s="186"/>
      <c r="DQ10" s="186"/>
      <c r="DR10" s="186"/>
      <c r="DS10" s="186"/>
      <c r="DT10" s="186"/>
    </row>
    <row r="11" spans="1:124" ht="21.75" customHeight="1">
      <c r="A11" s="311"/>
      <c r="B11" s="199" t="s">
        <v>365</v>
      </c>
      <c r="C11" s="200"/>
      <c r="D11" s="201"/>
      <c r="E11" s="183"/>
      <c r="F11" s="186"/>
      <c r="G11" s="186"/>
      <c r="H11" s="186"/>
      <c r="I11" s="186"/>
      <c r="J11" s="186"/>
      <c r="K11" s="183"/>
      <c r="L11" s="189"/>
      <c r="M11" s="186"/>
      <c r="N11" s="186"/>
      <c r="O11" s="186"/>
      <c r="P11" s="186"/>
      <c r="Q11" s="186"/>
      <c r="R11" s="186"/>
      <c r="S11" s="186"/>
      <c r="T11" s="186"/>
      <c r="U11" s="186"/>
      <c r="V11" s="186"/>
      <c r="W11" s="186"/>
      <c r="X11" s="183"/>
      <c r="Y11" s="186"/>
      <c r="Z11" s="186"/>
      <c r="AA11" s="186"/>
      <c r="AB11" s="186"/>
      <c r="AC11" s="186"/>
      <c r="AD11" s="183"/>
      <c r="AE11" s="186"/>
      <c r="AF11" s="186"/>
      <c r="AG11" s="186"/>
      <c r="AH11" s="186"/>
      <c r="AI11" s="186"/>
      <c r="AJ11" s="186"/>
      <c r="AK11" s="186"/>
      <c r="AL11" s="186"/>
      <c r="AM11" s="186"/>
      <c r="AN11" s="192"/>
      <c r="AO11" s="186"/>
      <c r="AP11" s="186"/>
      <c r="AQ11" s="186"/>
      <c r="AR11" s="186"/>
      <c r="AS11" s="183"/>
      <c r="AT11" s="183"/>
      <c r="AU11" s="183"/>
      <c r="AV11" s="183"/>
      <c r="AW11" s="183"/>
      <c r="AX11" s="183"/>
      <c r="AY11" s="195"/>
      <c r="AZ11" s="186"/>
      <c r="BA11" s="186"/>
      <c r="BB11" s="186"/>
      <c r="BC11" s="186"/>
      <c r="BD11" s="186"/>
      <c r="BE11" s="186"/>
      <c r="BF11" s="186"/>
      <c r="BG11" s="186"/>
      <c r="BH11" s="186"/>
      <c r="BI11" s="186"/>
      <c r="BJ11" s="186"/>
      <c r="BK11" s="186"/>
      <c r="BL11" s="186"/>
      <c r="BM11" s="186"/>
      <c r="BN11" s="186"/>
      <c r="BO11" s="186"/>
      <c r="BP11" s="186"/>
      <c r="BQ11" s="186"/>
      <c r="BR11" s="186"/>
      <c r="BS11" s="186"/>
      <c r="BT11" s="186"/>
      <c r="BU11" s="186"/>
      <c r="BV11" s="186"/>
      <c r="BW11" s="186"/>
      <c r="BX11" s="186"/>
      <c r="BY11" s="186"/>
      <c r="BZ11" s="186"/>
      <c r="CA11" s="186"/>
      <c r="CB11" s="186"/>
      <c r="CC11" s="186"/>
      <c r="CD11" s="186"/>
      <c r="CE11" s="186"/>
      <c r="CF11" s="186"/>
      <c r="CG11" s="186"/>
      <c r="CH11" s="186"/>
      <c r="CI11" s="186"/>
      <c r="CJ11" s="186"/>
      <c r="CK11" s="186"/>
      <c r="CL11" s="186"/>
      <c r="CM11" s="186"/>
      <c r="CN11" s="186"/>
      <c r="CO11" s="186"/>
      <c r="CP11" s="186"/>
      <c r="CQ11" s="186"/>
      <c r="CR11" s="186"/>
      <c r="CS11" s="186"/>
      <c r="CT11" s="186"/>
      <c r="CU11" s="186"/>
      <c r="CV11" s="186"/>
      <c r="CW11" s="186"/>
      <c r="CX11" s="186"/>
      <c r="CY11" s="186"/>
      <c r="CZ11" s="186"/>
      <c r="DA11" s="186"/>
      <c r="DB11" s="186"/>
      <c r="DC11" s="186"/>
      <c r="DD11" s="186"/>
      <c r="DE11" s="186"/>
      <c r="DF11" s="186"/>
      <c r="DG11" s="186"/>
      <c r="DH11" s="186"/>
      <c r="DI11" s="186"/>
      <c r="DJ11" s="186"/>
      <c r="DK11" s="186"/>
      <c r="DL11" s="186"/>
      <c r="DM11" s="186"/>
      <c r="DN11" s="186"/>
      <c r="DO11" s="186"/>
      <c r="DP11" s="186"/>
      <c r="DQ11" s="186"/>
      <c r="DR11" s="186"/>
      <c r="DS11" s="186"/>
      <c r="DT11" s="186"/>
    </row>
    <row r="12" spans="1:124" ht="21.75" customHeight="1" thickBot="1">
      <c r="A12" s="311"/>
      <c r="B12" s="202"/>
      <c r="C12" s="203"/>
      <c r="D12" s="204"/>
      <c r="E12" s="184"/>
      <c r="F12" s="187"/>
      <c r="G12" s="187"/>
      <c r="H12" s="187"/>
      <c r="I12" s="187"/>
      <c r="J12" s="187"/>
      <c r="K12" s="184"/>
      <c r="L12" s="190"/>
      <c r="M12" s="187"/>
      <c r="N12" s="187"/>
      <c r="O12" s="187"/>
      <c r="P12" s="187"/>
      <c r="Q12" s="187"/>
      <c r="R12" s="187"/>
      <c r="S12" s="187"/>
      <c r="T12" s="187"/>
      <c r="U12" s="187"/>
      <c r="V12" s="187"/>
      <c r="W12" s="187"/>
      <c r="X12" s="184"/>
      <c r="Y12" s="187"/>
      <c r="Z12" s="187"/>
      <c r="AA12" s="187"/>
      <c r="AB12" s="187"/>
      <c r="AC12" s="187"/>
      <c r="AD12" s="184"/>
      <c r="AE12" s="187"/>
      <c r="AF12" s="187"/>
      <c r="AG12" s="187"/>
      <c r="AH12" s="187"/>
      <c r="AI12" s="187"/>
      <c r="AJ12" s="187"/>
      <c r="AK12" s="187"/>
      <c r="AL12" s="187"/>
      <c r="AM12" s="187"/>
      <c r="AN12" s="193"/>
      <c r="AO12" s="187"/>
      <c r="AP12" s="186"/>
      <c r="AQ12" s="186"/>
      <c r="AR12" s="186"/>
      <c r="AS12" s="184"/>
      <c r="AT12" s="184"/>
      <c r="AU12" s="184"/>
      <c r="AV12" s="184"/>
      <c r="AW12" s="184"/>
      <c r="AX12" s="184"/>
      <c r="AY12" s="196"/>
      <c r="AZ12" s="187"/>
      <c r="BA12" s="187"/>
      <c r="BB12" s="186"/>
      <c r="BC12" s="186"/>
      <c r="BD12" s="186"/>
      <c r="BE12" s="186"/>
      <c r="BF12" s="186"/>
      <c r="BG12" s="186"/>
      <c r="BH12" s="186"/>
      <c r="BI12" s="186"/>
      <c r="BJ12" s="186"/>
      <c r="BK12" s="186"/>
      <c r="BL12" s="186"/>
      <c r="BM12" s="186"/>
      <c r="BN12" s="186"/>
      <c r="BO12" s="186"/>
      <c r="BP12" s="186"/>
      <c r="BQ12" s="186"/>
      <c r="BR12" s="186"/>
      <c r="BS12" s="186"/>
      <c r="BT12" s="186"/>
      <c r="BU12" s="186"/>
      <c r="BV12" s="186"/>
      <c r="BW12" s="186"/>
      <c r="BX12" s="186"/>
      <c r="BY12" s="186"/>
      <c r="BZ12" s="186"/>
      <c r="CA12" s="186"/>
      <c r="CB12" s="186"/>
      <c r="CC12" s="186"/>
      <c r="CD12" s="186"/>
      <c r="CE12" s="186"/>
      <c r="CF12" s="186"/>
      <c r="CG12" s="186"/>
      <c r="CH12" s="186"/>
      <c r="CI12" s="186"/>
      <c r="CJ12" s="186"/>
      <c r="CK12" s="186"/>
      <c r="CL12" s="186"/>
      <c r="CM12" s="186"/>
      <c r="CN12" s="186"/>
      <c r="CO12" s="186"/>
      <c r="CP12" s="186"/>
      <c r="CQ12" s="186"/>
      <c r="CR12" s="186"/>
      <c r="CS12" s="186"/>
      <c r="CT12" s="186"/>
      <c r="CU12" s="186"/>
      <c r="CV12" s="186"/>
      <c r="CW12" s="186"/>
      <c r="CX12" s="186"/>
      <c r="CY12" s="186"/>
      <c r="CZ12" s="186"/>
      <c r="DA12" s="186"/>
      <c r="DB12" s="186"/>
      <c r="DC12" s="186"/>
      <c r="DD12" s="186"/>
      <c r="DE12" s="186"/>
      <c r="DF12" s="186"/>
      <c r="DG12" s="186"/>
      <c r="DH12" s="186"/>
      <c r="DI12" s="186"/>
      <c r="DJ12" s="186"/>
      <c r="DK12" s="186"/>
      <c r="DL12" s="186"/>
      <c r="DM12" s="186"/>
      <c r="DN12" s="186"/>
      <c r="DO12" s="186"/>
      <c r="DP12" s="186"/>
      <c r="DQ12" s="186"/>
      <c r="DR12" s="186"/>
      <c r="DS12" s="186"/>
      <c r="DT12" s="186"/>
    </row>
    <row r="13" spans="1:124" s="55" customFormat="1" ht="21.75" customHeight="1">
      <c r="A13" s="311"/>
      <c r="B13" s="205" t="s">
        <v>366</v>
      </c>
      <c r="C13" s="206"/>
      <c r="D13" s="206"/>
      <c r="E13" s="197"/>
      <c r="F13" s="197"/>
      <c r="G13" s="197"/>
      <c r="H13" s="197"/>
      <c r="I13" s="197"/>
      <c r="J13" s="197"/>
      <c r="K13" s="197" t="s">
        <v>37</v>
      </c>
      <c r="L13" s="198" t="s">
        <v>199</v>
      </c>
      <c r="M13" s="197"/>
      <c r="N13" s="197"/>
      <c r="O13" s="197"/>
      <c r="P13" s="197"/>
      <c r="Q13" s="197"/>
      <c r="R13" s="197"/>
      <c r="S13" s="197"/>
      <c r="T13" s="197"/>
      <c r="U13" s="197"/>
      <c r="V13" s="197"/>
      <c r="W13" s="197"/>
      <c r="X13" s="197"/>
      <c r="Y13" s="197"/>
      <c r="Z13" s="197"/>
      <c r="AA13" s="197"/>
      <c r="AB13" s="197"/>
      <c r="AC13" s="197"/>
      <c r="AD13" s="209" t="s">
        <v>367</v>
      </c>
      <c r="AE13" s="211"/>
      <c r="AF13" s="211"/>
      <c r="AG13" s="197"/>
      <c r="AH13" s="197" t="s">
        <v>104</v>
      </c>
      <c r="AI13" s="211"/>
      <c r="AJ13" s="213" t="s">
        <v>368</v>
      </c>
      <c r="AK13" s="213" t="s">
        <v>368</v>
      </c>
      <c r="AL13" s="211"/>
      <c r="AM13" s="211"/>
      <c r="AN13" s="197"/>
      <c r="AO13" s="209" t="s">
        <v>269</v>
      </c>
      <c r="AP13" s="197"/>
      <c r="AQ13" s="197"/>
      <c r="AR13" s="197"/>
      <c r="AS13" s="197"/>
      <c r="AT13" s="197"/>
      <c r="AU13" s="197"/>
      <c r="AV13" s="197"/>
      <c r="AW13" s="197"/>
      <c r="AX13" s="197"/>
      <c r="AY13" s="217"/>
      <c r="AZ13" s="197"/>
      <c r="BA13" s="197"/>
      <c r="BB13" s="215" t="s">
        <v>160</v>
      </c>
      <c r="BC13" s="215" t="s">
        <v>160</v>
      </c>
      <c r="BD13" s="215" t="s">
        <v>160</v>
      </c>
      <c r="BE13" s="197" t="s">
        <v>161</v>
      </c>
      <c r="BF13" s="197"/>
      <c r="BG13" s="197"/>
      <c r="BH13" s="197"/>
      <c r="BI13" s="197"/>
      <c r="BJ13" s="197"/>
      <c r="BK13" s="215" t="s">
        <v>369</v>
      </c>
      <c r="BL13" s="215" t="s">
        <v>369</v>
      </c>
      <c r="BM13" s="215" t="s">
        <v>369</v>
      </c>
      <c r="BN13" s="197"/>
      <c r="BO13" s="197"/>
      <c r="BP13" s="197"/>
      <c r="BQ13" s="197"/>
      <c r="BR13" s="197"/>
      <c r="BS13" s="197"/>
      <c r="BT13" s="197"/>
      <c r="BU13" s="197"/>
      <c r="BV13" s="215" t="s">
        <v>370</v>
      </c>
      <c r="BW13" s="215" t="s">
        <v>370</v>
      </c>
      <c r="BX13" s="215" t="s">
        <v>370</v>
      </c>
      <c r="BY13" s="215" t="s">
        <v>370</v>
      </c>
      <c r="BZ13" s="215" t="s">
        <v>370</v>
      </c>
      <c r="CA13" s="215" t="s">
        <v>370</v>
      </c>
      <c r="CB13" s="197"/>
      <c r="CC13" s="197"/>
      <c r="CD13" s="197"/>
      <c r="CE13" s="197"/>
      <c r="CF13" s="197"/>
      <c r="CG13" s="197"/>
      <c r="CH13" s="197"/>
      <c r="CI13" s="197"/>
      <c r="CJ13" s="197"/>
      <c r="CK13" s="215" t="s">
        <v>371</v>
      </c>
      <c r="CL13" s="215" t="s">
        <v>371</v>
      </c>
      <c r="CM13" s="215" t="s">
        <v>371</v>
      </c>
      <c r="CN13" s="215" t="s">
        <v>371</v>
      </c>
      <c r="CO13" s="215" t="s">
        <v>371</v>
      </c>
      <c r="CP13" s="215" t="s">
        <v>371</v>
      </c>
      <c r="CQ13" s="215" t="s">
        <v>371</v>
      </c>
      <c r="CR13" s="197"/>
      <c r="CS13" s="197"/>
      <c r="CT13" s="197"/>
      <c r="CU13" s="197"/>
      <c r="CV13" s="197"/>
      <c r="CW13" s="197"/>
      <c r="CX13" s="197"/>
      <c r="CY13" s="197"/>
      <c r="CZ13" s="197"/>
      <c r="DA13" s="197"/>
      <c r="DB13" s="197"/>
      <c r="DC13" s="197"/>
      <c r="DD13" s="197"/>
      <c r="DE13" s="197"/>
      <c r="DF13" s="215" t="s">
        <v>372</v>
      </c>
      <c r="DG13" s="215" t="s">
        <v>372</v>
      </c>
      <c r="DH13" s="215" t="s">
        <v>372</v>
      </c>
      <c r="DI13" s="215" t="s">
        <v>372</v>
      </c>
      <c r="DJ13" s="215" t="s">
        <v>372</v>
      </c>
      <c r="DK13" s="215" t="s">
        <v>372</v>
      </c>
      <c r="DL13" s="197"/>
      <c r="DM13" s="197"/>
      <c r="DN13" s="197"/>
      <c r="DO13" s="197"/>
      <c r="DP13" s="197"/>
      <c r="DQ13" s="197"/>
      <c r="DR13" s="197"/>
      <c r="DS13" s="197"/>
      <c r="DT13" s="197"/>
    </row>
    <row r="14" spans="1:124" s="55" customFormat="1" ht="21.75" customHeight="1">
      <c r="A14" s="311"/>
      <c r="B14" s="207"/>
      <c r="C14" s="208"/>
      <c r="D14" s="208"/>
      <c r="E14" s="198"/>
      <c r="F14" s="198"/>
      <c r="G14" s="198"/>
      <c r="H14" s="198"/>
      <c r="I14" s="198"/>
      <c r="J14" s="198"/>
      <c r="K14" s="198"/>
      <c r="L14" s="198"/>
      <c r="M14" s="198"/>
      <c r="N14" s="198"/>
      <c r="O14" s="198"/>
      <c r="P14" s="198"/>
      <c r="Q14" s="198"/>
      <c r="R14" s="198"/>
      <c r="S14" s="198"/>
      <c r="T14" s="198"/>
      <c r="U14" s="198"/>
      <c r="V14" s="198"/>
      <c r="W14" s="198"/>
      <c r="X14" s="198"/>
      <c r="Y14" s="198"/>
      <c r="Z14" s="198"/>
      <c r="AA14" s="198"/>
      <c r="AB14" s="198"/>
      <c r="AC14" s="198"/>
      <c r="AD14" s="210"/>
      <c r="AE14" s="212"/>
      <c r="AF14" s="212"/>
      <c r="AG14" s="198"/>
      <c r="AH14" s="198"/>
      <c r="AI14" s="212"/>
      <c r="AJ14" s="214"/>
      <c r="AK14" s="214"/>
      <c r="AL14" s="212"/>
      <c r="AM14" s="212"/>
      <c r="AN14" s="198"/>
      <c r="AO14" s="210"/>
      <c r="AP14" s="198"/>
      <c r="AQ14" s="198"/>
      <c r="AR14" s="198"/>
      <c r="AS14" s="198"/>
      <c r="AT14" s="198"/>
      <c r="AU14" s="198"/>
      <c r="AV14" s="198"/>
      <c r="AW14" s="198"/>
      <c r="AX14" s="198"/>
      <c r="AY14" s="218"/>
      <c r="AZ14" s="198"/>
      <c r="BA14" s="198"/>
      <c r="BB14" s="216"/>
      <c r="BC14" s="216"/>
      <c r="BD14" s="216"/>
      <c r="BE14" s="198"/>
      <c r="BF14" s="198"/>
      <c r="BG14" s="198"/>
      <c r="BH14" s="198"/>
      <c r="BI14" s="198"/>
      <c r="BJ14" s="198"/>
      <c r="BK14" s="216"/>
      <c r="BL14" s="216"/>
      <c r="BM14" s="216"/>
      <c r="BN14" s="198"/>
      <c r="BO14" s="198"/>
      <c r="BP14" s="198"/>
      <c r="BQ14" s="198"/>
      <c r="BR14" s="198"/>
      <c r="BS14" s="198"/>
      <c r="BT14" s="198"/>
      <c r="BU14" s="198"/>
      <c r="BV14" s="216"/>
      <c r="BW14" s="216"/>
      <c r="BX14" s="216"/>
      <c r="BY14" s="216"/>
      <c r="BZ14" s="216"/>
      <c r="CA14" s="216"/>
      <c r="CB14" s="198"/>
      <c r="CC14" s="198"/>
      <c r="CD14" s="198"/>
      <c r="CE14" s="198"/>
      <c r="CF14" s="198"/>
      <c r="CG14" s="198"/>
      <c r="CH14" s="198"/>
      <c r="CI14" s="198"/>
      <c r="CJ14" s="198"/>
      <c r="CK14" s="216"/>
      <c r="CL14" s="216"/>
      <c r="CM14" s="216"/>
      <c r="CN14" s="216"/>
      <c r="CO14" s="216"/>
      <c r="CP14" s="216"/>
      <c r="CQ14" s="216"/>
      <c r="CR14" s="198"/>
      <c r="CS14" s="198"/>
      <c r="CT14" s="198"/>
      <c r="CU14" s="198"/>
      <c r="CV14" s="198"/>
      <c r="CW14" s="198"/>
      <c r="CX14" s="198"/>
      <c r="CY14" s="198"/>
      <c r="CZ14" s="198"/>
      <c r="DA14" s="198"/>
      <c r="DB14" s="198"/>
      <c r="DC14" s="198"/>
      <c r="DD14" s="198"/>
      <c r="DE14" s="198"/>
      <c r="DF14" s="216"/>
      <c r="DG14" s="216"/>
      <c r="DH14" s="216"/>
      <c r="DI14" s="216"/>
      <c r="DJ14" s="216"/>
      <c r="DK14" s="216"/>
      <c r="DL14" s="198"/>
      <c r="DM14" s="198"/>
      <c r="DN14" s="198"/>
      <c r="DO14" s="198"/>
      <c r="DP14" s="198"/>
      <c r="DQ14" s="198"/>
      <c r="DR14" s="198"/>
      <c r="DS14" s="198"/>
      <c r="DT14" s="198"/>
    </row>
    <row r="15" spans="1:124" ht="21.75" customHeight="1">
      <c r="A15" s="311"/>
      <c r="B15" s="221" t="s">
        <v>12</v>
      </c>
      <c r="C15" s="222"/>
      <c r="D15" s="222"/>
      <c r="E15" s="56"/>
      <c r="F15" s="56"/>
      <c r="G15" s="56"/>
      <c r="H15" s="56"/>
      <c r="I15" s="56"/>
      <c r="J15" s="56"/>
      <c r="K15" s="56"/>
      <c r="L15" s="56"/>
      <c r="M15" s="56"/>
      <c r="N15" s="56"/>
      <c r="O15" s="56"/>
      <c r="P15" s="56"/>
      <c r="Q15" s="56"/>
      <c r="R15" s="56"/>
      <c r="S15" s="56"/>
      <c r="T15" s="56"/>
      <c r="U15" s="56"/>
      <c r="V15" s="56"/>
      <c r="W15" s="56"/>
      <c r="X15" s="56">
        <v>101.8</v>
      </c>
      <c r="Y15" s="56">
        <v>101.9</v>
      </c>
      <c r="Z15" s="56">
        <v>102.1</v>
      </c>
      <c r="AA15" s="56">
        <v>102.2</v>
      </c>
      <c r="AB15" s="56">
        <v>102.3</v>
      </c>
      <c r="AC15" s="57">
        <v>102.1</v>
      </c>
      <c r="AD15" s="56">
        <v>101.7</v>
      </c>
      <c r="AE15" s="58">
        <v>102.4</v>
      </c>
      <c r="AF15" s="56">
        <v>101.9</v>
      </c>
      <c r="AG15" s="56"/>
      <c r="AH15" s="56">
        <v>101.6</v>
      </c>
      <c r="AI15" s="56"/>
      <c r="AJ15" s="56"/>
      <c r="AK15" s="56">
        <v>101.3</v>
      </c>
      <c r="AL15" s="56">
        <v>101.2</v>
      </c>
      <c r="AM15" s="56">
        <v>100.4</v>
      </c>
      <c r="AN15" s="56"/>
      <c r="AO15" s="56"/>
      <c r="AP15" s="56"/>
      <c r="AQ15" s="56"/>
      <c r="AR15" s="56"/>
      <c r="AS15" s="56">
        <v>102.5</v>
      </c>
      <c r="AT15" s="56">
        <v>102.7</v>
      </c>
      <c r="AU15" s="56">
        <v>103</v>
      </c>
      <c r="AV15" s="56">
        <v>103</v>
      </c>
      <c r="AW15" s="56"/>
      <c r="AX15" s="56"/>
      <c r="AY15" s="59"/>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c r="CD15" s="56"/>
      <c r="CE15" s="56"/>
      <c r="CF15" s="56"/>
      <c r="CG15" s="56"/>
      <c r="CH15" s="56"/>
      <c r="CI15" s="56"/>
      <c r="CJ15" s="56"/>
      <c r="CK15" s="56"/>
      <c r="CL15" s="56"/>
      <c r="CM15" s="56"/>
      <c r="CN15" s="56"/>
      <c r="CO15" s="56"/>
      <c r="CP15" s="56"/>
      <c r="CQ15" s="56"/>
      <c r="CR15" s="56"/>
      <c r="CS15" s="56"/>
      <c r="CT15" s="56"/>
      <c r="CU15" s="56"/>
      <c r="CV15" s="56"/>
      <c r="CW15" s="56"/>
      <c r="CX15" s="56"/>
      <c r="CY15" s="56"/>
      <c r="CZ15" s="56"/>
      <c r="DA15" s="56"/>
      <c r="DB15" s="56"/>
      <c r="DC15" s="56"/>
      <c r="DD15" s="56"/>
      <c r="DE15" s="56"/>
      <c r="DF15" s="56"/>
      <c r="DG15" s="56"/>
      <c r="DH15" s="56"/>
      <c r="DI15" s="56"/>
      <c r="DJ15" s="56"/>
      <c r="DK15" s="56"/>
      <c r="DL15" s="56"/>
      <c r="DM15" s="56"/>
      <c r="DN15" s="56"/>
      <c r="DO15" s="56"/>
      <c r="DP15" s="56"/>
      <c r="DQ15" s="56"/>
      <c r="DR15" s="56"/>
      <c r="DS15" s="56"/>
      <c r="DT15" s="56"/>
    </row>
    <row r="16" spans="1:124" ht="21.75" customHeight="1">
      <c r="A16" s="311"/>
      <c r="B16" s="223" t="s">
        <v>373</v>
      </c>
      <c r="C16" s="224"/>
      <c r="D16" s="224"/>
      <c r="E16" s="219" t="str">
        <f t="shared" ref="E16:BP16" si="0">IF((OR(E15=0,MAX(E19,E21,E23)=0))=TRUE,"",IFERROR((((MAX(E19,E21,E23)+E15)*0.7)-E15),""))</f>
        <v/>
      </c>
      <c r="F16" s="219" t="str">
        <f t="shared" si="0"/>
        <v/>
      </c>
      <c r="G16" s="219" t="str">
        <f t="shared" si="0"/>
        <v/>
      </c>
      <c r="H16" s="219" t="str">
        <f t="shared" si="0"/>
        <v/>
      </c>
      <c r="I16" s="219" t="str">
        <f t="shared" si="0"/>
        <v/>
      </c>
      <c r="J16" s="219" t="str">
        <f t="shared" si="0"/>
        <v/>
      </c>
      <c r="K16" s="219" t="str">
        <f t="shared" si="0"/>
        <v/>
      </c>
      <c r="L16" s="219" t="str">
        <f t="shared" si="0"/>
        <v/>
      </c>
      <c r="M16" s="219" t="str">
        <f t="shared" si="0"/>
        <v/>
      </c>
      <c r="N16" s="219" t="str">
        <f t="shared" si="0"/>
        <v/>
      </c>
      <c r="O16" s="219" t="str">
        <f t="shared" si="0"/>
        <v/>
      </c>
      <c r="P16" s="219" t="str">
        <f t="shared" si="0"/>
        <v/>
      </c>
      <c r="Q16" s="219" t="str">
        <f t="shared" si="0"/>
        <v/>
      </c>
      <c r="R16" s="219" t="str">
        <f t="shared" si="0"/>
        <v/>
      </c>
      <c r="S16" s="219" t="str">
        <f t="shared" si="0"/>
        <v/>
      </c>
      <c r="T16" s="219" t="str">
        <f t="shared" si="0"/>
        <v/>
      </c>
      <c r="U16" s="219" t="str">
        <f t="shared" si="0"/>
        <v/>
      </c>
      <c r="V16" s="219" t="str">
        <f t="shared" si="0"/>
        <v/>
      </c>
      <c r="W16" s="219" t="str">
        <f t="shared" si="0"/>
        <v/>
      </c>
      <c r="X16" s="219" t="str">
        <f t="shared" si="0"/>
        <v/>
      </c>
      <c r="Y16" s="219" t="str">
        <f t="shared" si="0"/>
        <v/>
      </c>
      <c r="Z16" s="219" t="str">
        <f t="shared" si="0"/>
        <v/>
      </c>
      <c r="AA16" s="219" t="str">
        <f t="shared" si="0"/>
        <v/>
      </c>
      <c r="AB16" s="219" t="str">
        <f t="shared" si="0"/>
        <v/>
      </c>
      <c r="AC16" s="219" t="str">
        <f t="shared" si="0"/>
        <v/>
      </c>
      <c r="AD16" s="219">
        <f t="shared" si="0"/>
        <v>146.41307692307686</v>
      </c>
      <c r="AE16" s="219" t="str">
        <f t="shared" si="0"/>
        <v/>
      </c>
      <c r="AF16" s="219">
        <f t="shared" si="0"/>
        <v>107.80209302325582</v>
      </c>
      <c r="AG16" s="219" t="str">
        <f t="shared" si="0"/>
        <v/>
      </c>
      <c r="AH16" s="219" t="str">
        <f t="shared" si="0"/>
        <v/>
      </c>
      <c r="AI16" s="219" t="str">
        <f t="shared" si="0"/>
        <v/>
      </c>
      <c r="AJ16" s="219" t="str">
        <f t="shared" si="0"/>
        <v/>
      </c>
      <c r="AK16" s="219" t="str">
        <f t="shared" si="0"/>
        <v/>
      </c>
      <c r="AL16" s="219">
        <f t="shared" si="0"/>
        <v>119.37262032085557</v>
      </c>
      <c r="AM16" s="219" t="str">
        <f t="shared" si="0"/>
        <v/>
      </c>
      <c r="AN16" s="219" t="str">
        <f t="shared" si="0"/>
        <v/>
      </c>
      <c r="AO16" s="219" t="str">
        <f t="shared" si="0"/>
        <v/>
      </c>
      <c r="AP16" s="219" t="str">
        <f t="shared" si="0"/>
        <v/>
      </c>
      <c r="AQ16" s="219" t="str">
        <f t="shared" si="0"/>
        <v/>
      </c>
      <c r="AR16" s="219" t="str">
        <f t="shared" si="0"/>
        <v/>
      </c>
      <c r="AS16" s="219" t="str">
        <f t="shared" si="0"/>
        <v/>
      </c>
      <c r="AT16" s="219" t="str">
        <f t="shared" si="0"/>
        <v/>
      </c>
      <c r="AU16" s="219">
        <f t="shared" si="0"/>
        <v>120.6923566878981</v>
      </c>
      <c r="AV16" s="219" t="str">
        <f t="shared" si="0"/>
        <v/>
      </c>
      <c r="AW16" s="219" t="str">
        <f t="shared" si="0"/>
        <v/>
      </c>
      <c r="AX16" s="219" t="str">
        <f t="shared" si="0"/>
        <v/>
      </c>
      <c r="AY16" s="227" t="str">
        <f t="shared" si="0"/>
        <v/>
      </c>
      <c r="AZ16" s="219" t="str">
        <f t="shared" si="0"/>
        <v/>
      </c>
      <c r="BA16" s="219" t="str">
        <f t="shared" si="0"/>
        <v/>
      </c>
      <c r="BB16" s="219" t="str">
        <f t="shared" si="0"/>
        <v/>
      </c>
      <c r="BC16" s="219" t="str">
        <f t="shared" si="0"/>
        <v/>
      </c>
      <c r="BD16" s="219" t="str">
        <f t="shared" si="0"/>
        <v/>
      </c>
      <c r="BE16" s="219" t="str">
        <f t="shared" si="0"/>
        <v/>
      </c>
      <c r="BF16" s="219" t="str">
        <f t="shared" si="0"/>
        <v/>
      </c>
      <c r="BG16" s="219" t="str">
        <f t="shared" si="0"/>
        <v/>
      </c>
      <c r="BH16" s="219" t="str">
        <f t="shared" si="0"/>
        <v/>
      </c>
      <c r="BI16" s="219" t="str">
        <f t="shared" si="0"/>
        <v/>
      </c>
      <c r="BJ16" s="219" t="str">
        <f t="shared" si="0"/>
        <v/>
      </c>
      <c r="BK16" s="219" t="str">
        <f t="shared" si="0"/>
        <v/>
      </c>
      <c r="BL16" s="219" t="str">
        <f t="shared" si="0"/>
        <v/>
      </c>
      <c r="BM16" s="219" t="str">
        <f t="shared" si="0"/>
        <v/>
      </c>
      <c r="BN16" s="219" t="str">
        <f t="shared" si="0"/>
        <v/>
      </c>
      <c r="BO16" s="219" t="str">
        <f t="shared" si="0"/>
        <v/>
      </c>
      <c r="BP16" s="219" t="str">
        <f t="shared" si="0"/>
        <v/>
      </c>
      <c r="BQ16" s="219" t="str">
        <f t="shared" ref="BQ16:DT16" si="1">IF((OR(BQ15=0,MAX(BQ19,BQ21,BQ23)=0))=TRUE,"",IFERROR((((MAX(BQ19,BQ21,BQ23)+BQ15)*0.7)-BQ15),""))</f>
        <v/>
      </c>
      <c r="BR16" s="219" t="str">
        <f t="shared" si="1"/>
        <v/>
      </c>
      <c r="BS16" s="219" t="str">
        <f t="shared" si="1"/>
        <v/>
      </c>
      <c r="BT16" s="219" t="str">
        <f t="shared" si="1"/>
        <v/>
      </c>
      <c r="BU16" s="219" t="str">
        <f t="shared" si="1"/>
        <v/>
      </c>
      <c r="BV16" s="219" t="str">
        <f t="shared" si="1"/>
        <v/>
      </c>
      <c r="BW16" s="219" t="str">
        <f t="shared" si="1"/>
        <v/>
      </c>
      <c r="BX16" s="219" t="str">
        <f t="shared" si="1"/>
        <v/>
      </c>
      <c r="BY16" s="219" t="str">
        <f t="shared" si="1"/>
        <v/>
      </c>
      <c r="BZ16" s="219" t="str">
        <f t="shared" si="1"/>
        <v/>
      </c>
      <c r="CA16" s="219" t="str">
        <f t="shared" si="1"/>
        <v/>
      </c>
      <c r="CB16" s="219" t="str">
        <f t="shared" si="1"/>
        <v/>
      </c>
      <c r="CC16" s="219" t="str">
        <f t="shared" si="1"/>
        <v/>
      </c>
      <c r="CD16" s="219" t="str">
        <f t="shared" si="1"/>
        <v/>
      </c>
      <c r="CE16" s="219" t="str">
        <f t="shared" si="1"/>
        <v/>
      </c>
      <c r="CF16" s="219" t="str">
        <f t="shared" si="1"/>
        <v/>
      </c>
      <c r="CG16" s="219" t="str">
        <f t="shared" si="1"/>
        <v/>
      </c>
      <c r="CH16" s="219" t="str">
        <f t="shared" si="1"/>
        <v/>
      </c>
      <c r="CI16" s="219" t="str">
        <f t="shared" si="1"/>
        <v/>
      </c>
      <c r="CJ16" s="219" t="str">
        <f t="shared" si="1"/>
        <v/>
      </c>
      <c r="CK16" s="219" t="str">
        <f t="shared" si="1"/>
        <v/>
      </c>
      <c r="CL16" s="219" t="str">
        <f t="shared" si="1"/>
        <v/>
      </c>
      <c r="CM16" s="219" t="str">
        <f t="shared" si="1"/>
        <v/>
      </c>
      <c r="CN16" s="219" t="str">
        <f t="shared" si="1"/>
        <v/>
      </c>
      <c r="CO16" s="219" t="str">
        <f t="shared" si="1"/>
        <v/>
      </c>
      <c r="CP16" s="219" t="str">
        <f t="shared" si="1"/>
        <v/>
      </c>
      <c r="CQ16" s="219" t="str">
        <f t="shared" si="1"/>
        <v/>
      </c>
      <c r="CR16" s="219" t="str">
        <f t="shared" si="1"/>
        <v/>
      </c>
      <c r="CS16" s="219" t="str">
        <f t="shared" si="1"/>
        <v/>
      </c>
      <c r="CT16" s="219" t="str">
        <f t="shared" si="1"/>
        <v/>
      </c>
      <c r="CU16" s="219" t="str">
        <f t="shared" si="1"/>
        <v/>
      </c>
      <c r="CV16" s="219" t="str">
        <f t="shared" si="1"/>
        <v/>
      </c>
      <c r="CW16" s="219" t="str">
        <f t="shared" si="1"/>
        <v/>
      </c>
      <c r="CX16" s="219" t="str">
        <f t="shared" si="1"/>
        <v/>
      </c>
      <c r="CY16" s="219" t="str">
        <f t="shared" si="1"/>
        <v/>
      </c>
      <c r="CZ16" s="219" t="str">
        <f t="shared" si="1"/>
        <v/>
      </c>
      <c r="DA16" s="219" t="str">
        <f t="shared" si="1"/>
        <v/>
      </c>
      <c r="DB16" s="219" t="str">
        <f t="shared" si="1"/>
        <v/>
      </c>
      <c r="DC16" s="219" t="str">
        <f t="shared" si="1"/>
        <v/>
      </c>
      <c r="DD16" s="219" t="str">
        <f t="shared" si="1"/>
        <v/>
      </c>
      <c r="DE16" s="219" t="str">
        <f t="shared" si="1"/>
        <v/>
      </c>
      <c r="DF16" s="219" t="str">
        <f t="shared" si="1"/>
        <v/>
      </c>
      <c r="DG16" s="219" t="str">
        <f t="shared" si="1"/>
        <v/>
      </c>
      <c r="DH16" s="219" t="str">
        <f t="shared" si="1"/>
        <v/>
      </c>
      <c r="DI16" s="219" t="str">
        <f t="shared" si="1"/>
        <v/>
      </c>
      <c r="DJ16" s="219" t="str">
        <f t="shared" si="1"/>
        <v/>
      </c>
      <c r="DK16" s="219" t="str">
        <f t="shared" si="1"/>
        <v/>
      </c>
      <c r="DL16" s="219" t="str">
        <f t="shared" si="1"/>
        <v/>
      </c>
      <c r="DM16" s="219" t="str">
        <f t="shared" si="1"/>
        <v/>
      </c>
      <c r="DN16" s="219" t="str">
        <f t="shared" si="1"/>
        <v/>
      </c>
      <c r="DO16" s="219" t="str">
        <f t="shared" si="1"/>
        <v/>
      </c>
      <c r="DP16" s="219" t="str">
        <f t="shared" si="1"/>
        <v/>
      </c>
      <c r="DQ16" s="219" t="str">
        <f t="shared" si="1"/>
        <v/>
      </c>
      <c r="DR16" s="219" t="str">
        <f t="shared" si="1"/>
        <v/>
      </c>
      <c r="DS16" s="219" t="str">
        <f t="shared" si="1"/>
        <v/>
      </c>
      <c r="DT16" s="219" t="str">
        <f t="shared" si="1"/>
        <v/>
      </c>
    </row>
    <row r="17" spans="1:124" ht="21.75" customHeight="1" thickBot="1">
      <c r="A17" s="311"/>
      <c r="B17" s="225"/>
      <c r="C17" s="226"/>
      <c r="D17" s="226"/>
      <c r="E17" s="220"/>
      <c r="F17" s="220"/>
      <c r="G17" s="220"/>
      <c r="H17" s="220"/>
      <c r="I17" s="220"/>
      <c r="J17" s="220"/>
      <c r="K17" s="220"/>
      <c r="L17" s="220"/>
      <c r="M17" s="220"/>
      <c r="N17" s="220"/>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20"/>
      <c r="AY17" s="228"/>
      <c r="AZ17" s="220"/>
      <c r="BA17" s="220"/>
      <c r="BB17" s="220"/>
      <c r="BC17" s="220"/>
      <c r="BD17" s="220"/>
      <c r="BE17" s="220"/>
      <c r="BF17" s="220"/>
      <c r="BG17" s="220"/>
      <c r="BH17" s="220"/>
      <c r="BI17" s="220"/>
      <c r="BJ17" s="220"/>
      <c r="BK17" s="220"/>
      <c r="BL17" s="220"/>
      <c r="BM17" s="220"/>
      <c r="BN17" s="220"/>
      <c r="BO17" s="220"/>
      <c r="BP17" s="220"/>
      <c r="BQ17" s="220"/>
      <c r="BR17" s="220"/>
      <c r="BS17" s="220"/>
      <c r="BT17" s="220"/>
      <c r="BU17" s="220"/>
      <c r="BV17" s="220"/>
      <c r="BW17" s="220"/>
      <c r="BX17" s="220"/>
      <c r="BY17" s="220"/>
      <c r="BZ17" s="220"/>
      <c r="CA17" s="220"/>
      <c r="CB17" s="220"/>
      <c r="CC17" s="220"/>
      <c r="CD17" s="220"/>
      <c r="CE17" s="220"/>
      <c r="CF17" s="220"/>
      <c r="CG17" s="220"/>
      <c r="CH17" s="220"/>
      <c r="CI17" s="220"/>
      <c r="CJ17" s="220"/>
      <c r="CK17" s="220"/>
      <c r="CL17" s="220"/>
      <c r="CM17" s="220"/>
      <c r="CN17" s="220"/>
      <c r="CO17" s="220"/>
      <c r="CP17" s="220"/>
      <c r="CQ17" s="220"/>
      <c r="CR17" s="220"/>
      <c r="CS17" s="220"/>
      <c r="CT17" s="220"/>
      <c r="CU17" s="220"/>
      <c r="CV17" s="220"/>
      <c r="CW17" s="220"/>
      <c r="CX17" s="220"/>
      <c r="CY17" s="220"/>
      <c r="CZ17" s="220"/>
      <c r="DA17" s="220"/>
      <c r="DB17" s="220"/>
      <c r="DC17" s="220"/>
      <c r="DD17" s="220"/>
      <c r="DE17" s="220"/>
      <c r="DF17" s="220"/>
      <c r="DG17" s="220"/>
      <c r="DH17" s="220"/>
      <c r="DI17" s="220"/>
      <c r="DJ17" s="220"/>
      <c r="DK17" s="220"/>
      <c r="DL17" s="220"/>
      <c r="DM17" s="220"/>
      <c r="DN17" s="220"/>
      <c r="DO17" s="220"/>
      <c r="DP17" s="220"/>
      <c r="DQ17" s="220"/>
      <c r="DR17" s="220"/>
      <c r="DS17" s="220"/>
      <c r="DT17" s="220"/>
    </row>
    <row r="18" spans="1:124" ht="21.75" customHeight="1">
      <c r="A18" s="311"/>
      <c r="B18" s="235" t="s">
        <v>374</v>
      </c>
      <c r="C18" s="236"/>
      <c r="D18" s="237"/>
      <c r="E18" s="60"/>
      <c r="F18" s="60"/>
      <c r="G18" s="60"/>
      <c r="H18" s="60"/>
      <c r="I18" s="60"/>
      <c r="J18" s="60"/>
      <c r="K18" s="60"/>
      <c r="L18" s="60"/>
      <c r="M18" s="60"/>
      <c r="N18" s="60"/>
      <c r="O18" s="60"/>
      <c r="P18" s="60"/>
      <c r="Q18" s="60"/>
      <c r="R18" s="60"/>
      <c r="S18" s="60"/>
      <c r="T18" s="60"/>
      <c r="U18" s="60"/>
      <c r="V18" s="60"/>
      <c r="W18" s="60"/>
      <c r="X18" s="60"/>
      <c r="Y18" s="60"/>
      <c r="Z18" s="60"/>
      <c r="AA18" s="60"/>
      <c r="AB18" s="60"/>
      <c r="AC18" s="60"/>
      <c r="AD18" s="61" t="s">
        <v>375</v>
      </c>
      <c r="AE18" s="60"/>
      <c r="AF18" s="60"/>
      <c r="AG18" s="60"/>
      <c r="AH18" s="60"/>
      <c r="AI18" s="60" t="s">
        <v>376</v>
      </c>
      <c r="AJ18" s="60"/>
      <c r="AK18" s="60"/>
      <c r="AL18" s="60" t="s">
        <v>377</v>
      </c>
      <c r="AM18" s="60"/>
      <c r="AN18" s="60"/>
      <c r="AO18" s="60"/>
      <c r="AP18" s="60"/>
      <c r="AQ18" s="60"/>
      <c r="AR18" s="60"/>
      <c r="AS18" s="60"/>
      <c r="AT18" s="60"/>
      <c r="AU18" s="60"/>
      <c r="AV18" s="60"/>
      <c r="AW18" s="60"/>
      <c r="AX18" s="60" t="s">
        <v>378</v>
      </c>
      <c r="AY18" s="62" t="s">
        <v>379</v>
      </c>
      <c r="AZ18" s="60"/>
      <c r="BA18" s="60"/>
      <c r="BB18" s="60"/>
      <c r="BC18" s="60"/>
      <c r="BD18" s="60"/>
      <c r="BE18" s="60"/>
      <c r="BF18" s="60"/>
      <c r="BG18" s="60"/>
      <c r="BH18" s="60" t="s">
        <v>378</v>
      </c>
      <c r="BI18" s="60"/>
      <c r="BJ18" s="60"/>
      <c r="BK18" s="60"/>
      <c r="BL18" s="60"/>
      <c r="BM18" s="60"/>
      <c r="BN18" s="60"/>
      <c r="BO18" s="60"/>
      <c r="BP18" s="62" t="s">
        <v>379</v>
      </c>
      <c r="BQ18" s="60"/>
      <c r="BR18" s="60"/>
      <c r="BS18" s="60" t="s">
        <v>380</v>
      </c>
      <c r="BT18" s="60"/>
      <c r="BU18" s="60"/>
      <c r="BV18" s="60"/>
      <c r="BW18" s="60"/>
      <c r="BX18" s="60"/>
      <c r="BY18" s="60"/>
      <c r="BZ18" s="60"/>
      <c r="CA18" s="60"/>
      <c r="CB18" s="60"/>
      <c r="CC18" s="60"/>
      <c r="CD18" s="60"/>
      <c r="CE18" s="60"/>
      <c r="CF18" s="60"/>
      <c r="CG18" s="60"/>
      <c r="CH18" s="60"/>
      <c r="CI18" s="60"/>
      <c r="CJ18" s="60"/>
      <c r="CK18" s="60"/>
      <c r="CL18" s="60"/>
      <c r="CM18" s="60"/>
      <c r="CN18" s="60"/>
      <c r="CO18" s="60"/>
      <c r="CP18" s="60"/>
      <c r="CQ18" s="60"/>
      <c r="CR18" s="60"/>
      <c r="CS18" s="60"/>
      <c r="CT18" s="60"/>
      <c r="CU18" s="60"/>
      <c r="CV18" s="60"/>
      <c r="CW18" s="60"/>
      <c r="CX18" s="60"/>
      <c r="CY18" s="60"/>
      <c r="CZ18" s="60"/>
      <c r="DA18" s="60"/>
      <c r="DB18" s="60"/>
      <c r="DC18" s="60"/>
      <c r="DD18" s="60"/>
      <c r="DE18" s="60"/>
      <c r="DF18" s="60"/>
      <c r="DG18" s="60"/>
      <c r="DH18" s="60"/>
      <c r="DI18" s="60"/>
      <c r="DJ18" s="60"/>
      <c r="DK18" s="60"/>
      <c r="DL18" s="60"/>
      <c r="DM18" s="60"/>
      <c r="DN18" s="60"/>
      <c r="DO18" s="60"/>
      <c r="DP18" s="60"/>
      <c r="DQ18" s="60"/>
      <c r="DR18" s="60"/>
      <c r="DS18" s="60"/>
      <c r="DT18" s="60"/>
    </row>
    <row r="19" spans="1:124" ht="21.75" customHeight="1">
      <c r="A19" s="311"/>
      <c r="B19" s="232"/>
      <c r="C19" s="233"/>
      <c r="D19" s="234"/>
      <c r="E19" s="63"/>
      <c r="F19" s="63"/>
      <c r="G19" s="63"/>
      <c r="H19" s="63"/>
      <c r="I19" s="63"/>
      <c r="J19" s="63"/>
      <c r="K19" s="63"/>
      <c r="L19" s="63">
        <v>260</v>
      </c>
      <c r="M19" s="63"/>
      <c r="N19" s="63"/>
      <c r="O19" s="63"/>
      <c r="P19" s="63"/>
      <c r="Q19" s="63"/>
      <c r="R19" s="63"/>
      <c r="S19" s="63"/>
      <c r="T19" s="63"/>
      <c r="U19" s="63"/>
      <c r="V19" s="63"/>
      <c r="W19" s="63"/>
      <c r="X19" s="63"/>
      <c r="Y19" s="63"/>
      <c r="Z19" s="63"/>
      <c r="AA19" s="63"/>
      <c r="AB19" s="63"/>
      <c r="AC19" s="63"/>
      <c r="AD19" s="64">
        <f>230/0.91</f>
        <v>252.74725274725273</v>
      </c>
      <c r="AE19" s="65"/>
      <c r="AF19" s="65"/>
      <c r="AG19" s="63"/>
      <c r="AH19" s="65"/>
      <c r="AI19" s="65">
        <f>225/0.91</f>
        <v>247.25274725274724</v>
      </c>
      <c r="AJ19" s="65"/>
      <c r="AK19" s="65"/>
      <c r="AL19" s="65">
        <f>200/0.935</f>
        <v>213.903743315508</v>
      </c>
      <c r="AM19" s="65"/>
      <c r="AN19" s="65"/>
      <c r="AO19" s="63"/>
      <c r="AP19" s="63"/>
      <c r="AQ19" s="63"/>
      <c r="AR19" s="63"/>
      <c r="AS19" s="63"/>
      <c r="AT19" s="63"/>
      <c r="AU19" s="63"/>
      <c r="AV19" s="63"/>
      <c r="AW19" s="63"/>
      <c r="AX19" s="66">
        <f>200/0.86</f>
        <v>232.55813953488374</v>
      </c>
      <c r="AY19" s="67">
        <f>220/0.86</f>
        <v>255.81395348837211</v>
      </c>
      <c r="AZ19" s="63"/>
      <c r="BA19" s="63"/>
      <c r="BB19" s="63"/>
      <c r="BC19" s="63"/>
      <c r="BD19" s="63"/>
      <c r="BE19" s="63"/>
      <c r="BF19" s="63"/>
      <c r="BG19" s="63"/>
      <c r="BH19" s="63">
        <f>200/0.86</f>
        <v>232.55813953488374</v>
      </c>
      <c r="BI19" s="63"/>
      <c r="BJ19" s="63"/>
      <c r="BK19" s="63"/>
      <c r="BL19" s="63"/>
      <c r="BM19" s="63"/>
      <c r="BN19" s="63"/>
      <c r="BO19" s="63"/>
      <c r="BP19" s="67">
        <f>220/0.91</f>
        <v>241.75824175824175</v>
      </c>
      <c r="BQ19" s="63"/>
      <c r="BR19" s="63"/>
      <c r="BS19" s="63">
        <f>190/0.86</f>
        <v>220.93023255813955</v>
      </c>
      <c r="BT19" s="63"/>
      <c r="BU19" s="63"/>
      <c r="BV19" s="63"/>
      <c r="BW19" s="63"/>
      <c r="BX19" s="63"/>
      <c r="BY19" s="63"/>
      <c r="BZ19" s="63"/>
      <c r="CA19" s="63"/>
      <c r="CB19" s="63"/>
      <c r="CC19" s="63"/>
      <c r="CD19" s="63"/>
      <c r="CE19" s="63"/>
      <c r="CF19" s="63"/>
      <c r="CG19" s="63"/>
      <c r="CH19" s="63"/>
      <c r="CI19" s="63"/>
      <c r="CJ19" s="63"/>
      <c r="CK19" s="63"/>
      <c r="CL19" s="63"/>
      <c r="CM19" s="63"/>
      <c r="CN19" s="63"/>
      <c r="CO19" s="63"/>
      <c r="CP19" s="63"/>
      <c r="CQ19" s="63"/>
      <c r="CR19" s="63"/>
      <c r="CS19" s="63"/>
      <c r="CT19" s="63"/>
      <c r="CU19" s="63"/>
      <c r="CV19" s="63"/>
      <c r="CW19" s="63"/>
      <c r="CX19" s="63"/>
      <c r="CY19" s="63"/>
      <c r="CZ19" s="63"/>
      <c r="DA19" s="63"/>
      <c r="DB19" s="63"/>
      <c r="DC19" s="63"/>
      <c r="DD19" s="63"/>
      <c r="DE19" s="63"/>
      <c r="DF19" s="63"/>
      <c r="DG19" s="63"/>
      <c r="DH19" s="63"/>
      <c r="DI19" s="63"/>
      <c r="DJ19" s="63"/>
      <c r="DK19" s="63"/>
      <c r="DL19" s="63"/>
      <c r="DM19" s="63"/>
      <c r="DN19" s="63"/>
      <c r="DO19" s="63"/>
      <c r="DP19" s="63"/>
      <c r="DQ19" s="63"/>
      <c r="DR19" s="63"/>
      <c r="DS19" s="63"/>
      <c r="DT19" s="63"/>
    </row>
    <row r="20" spans="1:124" ht="21.75" customHeight="1">
      <c r="A20" s="311"/>
      <c r="B20" s="229" t="s">
        <v>381</v>
      </c>
      <c r="C20" s="230"/>
      <c r="D20" s="231"/>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9"/>
      <c r="AE20" s="68"/>
      <c r="AF20" s="68" t="s">
        <v>380</v>
      </c>
      <c r="AG20" s="68"/>
      <c r="AH20" s="68"/>
      <c r="AI20" s="68"/>
      <c r="AJ20" s="68"/>
      <c r="AK20" s="68"/>
      <c r="AL20" s="68"/>
      <c r="AM20" s="68"/>
      <c r="AN20" s="68" t="s">
        <v>382</v>
      </c>
      <c r="AO20" s="68"/>
      <c r="AP20" s="68"/>
      <c r="AQ20" s="68"/>
      <c r="AR20" s="68"/>
      <c r="AS20" s="68"/>
      <c r="AT20" s="68"/>
      <c r="AU20" s="68" t="s">
        <v>383</v>
      </c>
      <c r="AV20" s="68"/>
      <c r="AW20" s="68"/>
      <c r="AX20" s="68"/>
      <c r="AY20" s="68"/>
      <c r="AZ20" s="68"/>
      <c r="BA20" s="68"/>
      <c r="BB20" s="68"/>
      <c r="BC20" s="68"/>
      <c r="BD20" s="68"/>
      <c r="BE20" s="68"/>
      <c r="BF20" s="68"/>
      <c r="BG20" s="68" t="s">
        <v>384</v>
      </c>
      <c r="BH20" s="68"/>
      <c r="BI20" s="68"/>
      <c r="BJ20" s="68"/>
      <c r="BK20" s="68"/>
      <c r="BL20" s="68"/>
      <c r="BM20" s="68"/>
      <c r="BN20" s="68"/>
      <c r="BO20" s="68"/>
      <c r="BP20" s="68"/>
      <c r="BQ20" s="68"/>
      <c r="BR20" s="68"/>
      <c r="BS20" s="68"/>
      <c r="BT20" s="68"/>
      <c r="BU20" s="68"/>
      <c r="BV20" s="68"/>
      <c r="BW20" s="68"/>
      <c r="BX20" s="68"/>
      <c r="BY20" s="68"/>
      <c r="BZ20" s="68"/>
      <c r="CA20" s="68"/>
      <c r="CB20" s="68"/>
      <c r="CC20" s="68"/>
      <c r="CD20" s="68"/>
      <c r="CE20" s="68"/>
      <c r="CF20" s="68"/>
      <c r="CG20" s="68"/>
      <c r="CH20" s="68"/>
      <c r="CI20" s="68"/>
      <c r="CJ20" s="68"/>
      <c r="CK20" s="68"/>
      <c r="CL20" s="68"/>
      <c r="CM20" s="68"/>
      <c r="CN20" s="68"/>
      <c r="CO20" s="68"/>
      <c r="CP20" s="68"/>
      <c r="CQ20" s="68"/>
      <c r="CR20" s="68"/>
      <c r="CS20" s="68"/>
      <c r="CT20" s="68"/>
      <c r="CU20" s="68"/>
      <c r="CV20" s="68"/>
      <c r="CW20" s="68"/>
      <c r="CX20" s="68"/>
      <c r="CY20" s="68"/>
      <c r="CZ20" s="68"/>
      <c r="DA20" s="68"/>
      <c r="DB20" s="68"/>
      <c r="DC20" s="68"/>
      <c r="DD20" s="68"/>
      <c r="DE20" s="68"/>
      <c r="DF20" s="68"/>
      <c r="DG20" s="68"/>
      <c r="DH20" s="68"/>
      <c r="DI20" s="68"/>
      <c r="DJ20" s="68"/>
      <c r="DK20" s="68"/>
      <c r="DL20" s="68"/>
      <c r="DM20" s="68"/>
      <c r="DN20" s="68"/>
      <c r="DO20" s="68"/>
      <c r="DP20" s="68"/>
      <c r="DQ20" s="68"/>
      <c r="DR20" s="68"/>
      <c r="DS20" s="68"/>
      <c r="DT20" s="68"/>
    </row>
    <row r="21" spans="1:124" ht="21.75" customHeight="1">
      <c r="A21" s="311"/>
      <c r="B21" s="232"/>
      <c r="C21" s="233"/>
      <c r="D21" s="234"/>
      <c r="E21" s="65"/>
      <c r="F21" s="65"/>
      <c r="G21" s="65"/>
      <c r="H21" s="65"/>
      <c r="I21" s="65"/>
      <c r="J21" s="65"/>
      <c r="K21" s="65"/>
      <c r="L21" s="65"/>
      <c r="M21" s="65"/>
      <c r="N21" s="65"/>
      <c r="O21" s="65"/>
      <c r="P21" s="65"/>
      <c r="Q21" s="65"/>
      <c r="R21" s="65"/>
      <c r="S21" s="65"/>
      <c r="T21" s="65"/>
      <c r="U21" s="65"/>
      <c r="V21" s="65"/>
      <c r="W21" s="65"/>
      <c r="X21" s="65"/>
      <c r="Y21" s="65"/>
      <c r="Z21" s="65"/>
      <c r="AA21" s="65"/>
      <c r="AB21" s="65"/>
      <c r="AC21" s="65"/>
      <c r="AD21" s="70"/>
      <c r="AE21" s="65"/>
      <c r="AF21" s="71">
        <v>197.67441860465118</v>
      </c>
      <c r="AG21" s="65"/>
      <c r="AH21" s="65"/>
      <c r="AI21" s="65"/>
      <c r="AJ21" s="65"/>
      <c r="AK21" s="65"/>
      <c r="AL21" s="65"/>
      <c r="AM21" s="65"/>
      <c r="AN21" s="65">
        <f>180/0.885</f>
        <v>203.38983050847457</v>
      </c>
      <c r="AO21" s="65"/>
      <c r="AP21" s="65"/>
      <c r="AQ21" s="65"/>
      <c r="AR21" s="65"/>
      <c r="AS21" s="65"/>
      <c r="AT21" s="65"/>
      <c r="AU21" s="65">
        <f>170/0.785</f>
        <v>216.56050955414011</v>
      </c>
      <c r="AV21" s="65"/>
      <c r="AW21" s="65"/>
      <c r="AX21" s="65"/>
      <c r="AY21" s="65"/>
      <c r="AZ21" s="65"/>
      <c r="BA21" s="65"/>
      <c r="BB21" s="65"/>
      <c r="BC21" s="65"/>
      <c r="BD21" s="65"/>
      <c r="BE21" s="65"/>
      <c r="BF21" s="65"/>
      <c r="BG21" s="65">
        <f>200/0.91</f>
        <v>219.78021978021977</v>
      </c>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c r="CT21" s="65"/>
      <c r="CU21" s="65"/>
      <c r="CV21" s="65"/>
      <c r="CW21" s="65"/>
      <c r="CX21" s="65"/>
      <c r="CY21" s="65"/>
      <c r="CZ21" s="65"/>
      <c r="DA21" s="65"/>
      <c r="DB21" s="65"/>
      <c r="DC21" s="65"/>
      <c r="DD21" s="65"/>
      <c r="DE21" s="65"/>
      <c r="DF21" s="65"/>
      <c r="DG21" s="65"/>
      <c r="DH21" s="65"/>
      <c r="DI21" s="65"/>
      <c r="DJ21" s="65"/>
      <c r="DK21" s="65"/>
      <c r="DL21" s="65"/>
      <c r="DM21" s="65"/>
      <c r="DN21" s="65"/>
      <c r="DO21" s="65"/>
      <c r="DP21" s="65"/>
      <c r="DQ21" s="65"/>
      <c r="DR21" s="65"/>
      <c r="DS21" s="65"/>
      <c r="DT21" s="65"/>
    </row>
    <row r="22" spans="1:124" ht="21.75" customHeight="1">
      <c r="A22" s="311"/>
      <c r="B22" s="229" t="s">
        <v>385</v>
      </c>
      <c r="C22" s="230"/>
      <c r="D22" s="231"/>
      <c r="E22" s="60"/>
      <c r="F22" s="60"/>
      <c r="G22" s="60"/>
      <c r="H22" s="60"/>
      <c r="I22" s="60"/>
      <c r="J22" s="60"/>
      <c r="K22" s="60"/>
      <c r="L22" s="60"/>
      <c r="M22" s="60"/>
      <c r="N22" s="60"/>
      <c r="O22" s="60"/>
      <c r="P22" s="60"/>
      <c r="Q22" s="60"/>
      <c r="R22" s="60"/>
      <c r="S22" s="60"/>
      <c r="T22" s="60"/>
      <c r="U22" s="60"/>
      <c r="V22" s="60"/>
      <c r="W22" s="60"/>
      <c r="X22" s="60" t="s">
        <v>386</v>
      </c>
      <c r="Y22" s="60"/>
      <c r="Z22" s="60"/>
      <c r="AA22" s="60" t="s">
        <v>387</v>
      </c>
      <c r="AB22" s="60"/>
      <c r="AC22" s="60"/>
      <c r="AD22" s="60"/>
      <c r="AE22" s="60"/>
      <c r="AF22" s="60"/>
      <c r="AG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c r="BK22" s="60"/>
      <c r="BL22" s="60"/>
      <c r="BM22" s="60"/>
      <c r="BN22" s="60"/>
      <c r="BO22" s="60"/>
      <c r="BP22" s="60"/>
      <c r="BQ22" s="60"/>
      <c r="BR22" s="60"/>
      <c r="BS22" s="60"/>
      <c r="BT22" s="60"/>
      <c r="BU22" s="60"/>
      <c r="BV22" s="60"/>
      <c r="BW22" s="60"/>
      <c r="BX22" s="60"/>
      <c r="BY22" s="60"/>
      <c r="BZ22" s="60"/>
      <c r="CA22" s="60"/>
      <c r="CB22" s="60"/>
      <c r="CC22" s="60"/>
      <c r="CD22" s="60"/>
      <c r="CE22" s="60"/>
      <c r="CF22" s="60"/>
      <c r="CG22" s="60"/>
      <c r="CH22" s="60"/>
      <c r="CI22" s="60"/>
      <c r="CJ22" s="60"/>
      <c r="CK22" s="60"/>
      <c r="CL22" s="60"/>
      <c r="CM22" s="60"/>
      <c r="CN22" s="60"/>
      <c r="CO22" s="60"/>
      <c r="CP22" s="60"/>
      <c r="CQ22" s="60"/>
      <c r="CR22" s="60"/>
      <c r="CS22" s="60"/>
      <c r="CT22" s="60"/>
      <c r="CU22" s="60"/>
      <c r="CV22" s="60"/>
      <c r="CW22" s="60"/>
      <c r="CX22" s="60"/>
      <c r="CY22" s="60"/>
      <c r="CZ22" s="60"/>
      <c r="DA22" s="60"/>
      <c r="DB22" s="60"/>
      <c r="DC22" s="60"/>
      <c r="DD22" s="60"/>
      <c r="DE22" s="60"/>
      <c r="DF22" s="60"/>
      <c r="DG22" s="60"/>
      <c r="DH22" s="60"/>
      <c r="DI22" s="60"/>
      <c r="DJ22" s="60"/>
      <c r="DK22" s="60"/>
      <c r="DL22" s="60"/>
      <c r="DM22" s="60"/>
      <c r="DN22" s="60"/>
      <c r="DO22" s="60"/>
      <c r="DP22" s="60"/>
      <c r="DQ22" s="60"/>
      <c r="DR22" s="60"/>
      <c r="DS22" s="60"/>
      <c r="DT22" s="60"/>
    </row>
    <row r="23" spans="1:124" ht="21.75" customHeight="1">
      <c r="A23" s="311"/>
      <c r="B23" s="232"/>
      <c r="C23" s="233"/>
      <c r="D23" s="234"/>
      <c r="E23" s="65"/>
      <c r="F23" s="65"/>
      <c r="G23" s="65"/>
      <c r="H23" s="65"/>
      <c r="I23" s="65"/>
      <c r="J23" s="65"/>
      <c r="K23" s="65"/>
      <c r="L23" s="65"/>
      <c r="M23" s="65"/>
      <c r="N23" s="65"/>
      <c r="O23" s="65"/>
      <c r="P23" s="65"/>
      <c r="Q23" s="65"/>
      <c r="R23" s="65"/>
      <c r="S23" s="65"/>
      <c r="T23" s="65"/>
      <c r="U23" s="65"/>
      <c r="V23" s="65"/>
      <c r="W23" s="65"/>
      <c r="X23" s="65">
        <v>0</v>
      </c>
      <c r="Y23" s="65"/>
      <c r="Z23" s="65"/>
      <c r="AA23" s="65">
        <v>0</v>
      </c>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c r="CT23" s="65"/>
      <c r="CU23" s="65"/>
      <c r="CV23" s="65"/>
      <c r="CW23" s="65"/>
      <c r="CX23" s="65"/>
      <c r="CY23" s="65"/>
      <c r="CZ23" s="65"/>
      <c r="DA23" s="65"/>
      <c r="DB23" s="65"/>
      <c r="DC23" s="65"/>
      <c r="DD23" s="65"/>
      <c r="DE23" s="65"/>
      <c r="DF23" s="65"/>
      <c r="DG23" s="65"/>
      <c r="DH23" s="65"/>
      <c r="DI23" s="65"/>
      <c r="DJ23" s="65"/>
      <c r="DK23" s="65"/>
      <c r="DL23" s="65"/>
      <c r="DM23" s="65"/>
      <c r="DN23" s="65"/>
      <c r="DO23" s="65"/>
      <c r="DP23" s="65"/>
      <c r="DQ23" s="65"/>
      <c r="DR23" s="65"/>
      <c r="DS23" s="65"/>
      <c r="DT23" s="65"/>
    </row>
    <row r="24" spans="1:124" ht="21.75" customHeight="1">
      <c r="A24" s="311"/>
      <c r="B24" s="229" t="s">
        <v>388</v>
      </c>
      <c r="C24" s="230"/>
      <c r="D24" s="231"/>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69"/>
      <c r="AL24" s="69"/>
      <c r="AM24" s="69"/>
      <c r="AN24" s="69"/>
      <c r="AO24" s="69"/>
      <c r="AP24" s="68"/>
      <c r="AQ24" s="68"/>
      <c r="AR24" s="68"/>
      <c r="AS24" s="69"/>
      <c r="AT24" s="69"/>
      <c r="AU24" s="69"/>
      <c r="AV24" s="69"/>
      <c r="AW24" s="69"/>
      <c r="AX24" s="69" t="s">
        <v>389</v>
      </c>
      <c r="AY24" s="69"/>
      <c r="AZ24" s="69"/>
      <c r="BA24" s="69" t="s">
        <v>389</v>
      </c>
      <c r="BB24" s="69"/>
      <c r="BC24" s="69"/>
      <c r="BD24" s="69"/>
      <c r="BE24" s="69"/>
      <c r="BF24" s="69"/>
      <c r="BG24" s="68"/>
      <c r="BH24" s="69" t="s">
        <v>390</v>
      </c>
      <c r="BI24" s="68"/>
      <c r="BJ24" s="68"/>
      <c r="BK24" s="68"/>
      <c r="BL24" s="68"/>
      <c r="BM24" s="68"/>
      <c r="BN24" s="68"/>
      <c r="BO24" s="68"/>
      <c r="BP24" s="68"/>
      <c r="BQ24" s="68"/>
      <c r="BR24" s="68"/>
      <c r="BS24" s="68"/>
      <c r="BT24" s="68"/>
      <c r="BU24" s="68"/>
      <c r="BV24" s="68"/>
      <c r="BW24" s="68"/>
      <c r="BX24" s="68"/>
      <c r="BY24" s="68"/>
      <c r="BZ24" s="68"/>
      <c r="CA24" s="68"/>
      <c r="CB24" s="68"/>
      <c r="CC24" s="68"/>
      <c r="CD24" s="68"/>
      <c r="CE24" s="68"/>
      <c r="CF24" s="68"/>
      <c r="CG24" s="68"/>
      <c r="CH24" s="68"/>
      <c r="CI24" s="68"/>
      <c r="CJ24" s="68"/>
      <c r="CK24" s="68"/>
      <c r="CL24" s="68"/>
      <c r="CM24" s="68"/>
      <c r="CN24" s="68"/>
      <c r="CO24" s="68"/>
      <c r="CP24" s="68"/>
      <c r="CQ24" s="68"/>
      <c r="CR24" s="68"/>
      <c r="CS24" s="68"/>
      <c r="CT24" s="68"/>
      <c r="CU24" s="68"/>
      <c r="CV24" s="68"/>
      <c r="CW24" s="68"/>
      <c r="CX24" s="68"/>
      <c r="CY24" s="68"/>
      <c r="CZ24" s="68"/>
      <c r="DA24" s="68"/>
      <c r="DB24" s="68"/>
      <c r="DC24" s="68"/>
      <c r="DD24" s="68"/>
      <c r="DE24" s="68"/>
      <c r="DF24" s="68"/>
      <c r="DG24" s="68"/>
      <c r="DH24" s="68"/>
      <c r="DI24" s="68"/>
      <c r="DJ24" s="68"/>
      <c r="DK24" s="68"/>
      <c r="DL24" s="68"/>
      <c r="DM24" s="68"/>
      <c r="DN24" s="68"/>
      <c r="DO24" s="68"/>
      <c r="DP24" s="68"/>
      <c r="DQ24" s="68"/>
      <c r="DR24" s="68"/>
      <c r="DS24" s="68"/>
      <c r="DT24" s="68"/>
    </row>
    <row r="25" spans="1:124" ht="21.75" customHeight="1">
      <c r="A25" s="311"/>
      <c r="B25" s="232"/>
      <c r="C25" s="233"/>
      <c r="D25" s="234"/>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0"/>
      <c r="AF25" s="70"/>
      <c r="AG25" s="70"/>
      <c r="AH25" s="70"/>
      <c r="AI25" s="70"/>
      <c r="AJ25" s="70"/>
      <c r="AK25" s="70"/>
      <c r="AL25" s="70"/>
      <c r="AM25" s="70"/>
      <c r="AN25" s="70"/>
      <c r="AO25" s="70"/>
      <c r="AP25" s="65"/>
      <c r="AQ25" s="65"/>
      <c r="AR25" s="65"/>
      <c r="AS25" s="70"/>
      <c r="AT25" s="70"/>
      <c r="AU25" s="70"/>
      <c r="AV25" s="70"/>
      <c r="AW25" s="70"/>
      <c r="AX25" s="70">
        <v>190</v>
      </c>
      <c r="AY25" s="70"/>
      <c r="AZ25" s="70"/>
      <c r="BA25" s="70">
        <v>200</v>
      </c>
      <c r="BB25" s="70"/>
      <c r="BC25" s="70"/>
      <c r="BD25" s="70"/>
      <c r="BE25" s="70"/>
      <c r="BF25" s="70"/>
      <c r="BG25" s="65"/>
      <c r="BH25" s="70">
        <v>200</v>
      </c>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c r="CT25" s="65"/>
      <c r="CU25" s="65"/>
      <c r="CV25" s="65"/>
      <c r="CW25" s="65"/>
      <c r="CX25" s="65"/>
      <c r="CY25" s="65"/>
      <c r="CZ25" s="65"/>
      <c r="DA25" s="65"/>
      <c r="DB25" s="65"/>
      <c r="DC25" s="65"/>
      <c r="DD25" s="65"/>
      <c r="DE25" s="65"/>
      <c r="DF25" s="65"/>
      <c r="DG25" s="65"/>
      <c r="DH25" s="65"/>
      <c r="DI25" s="65"/>
      <c r="DJ25" s="65"/>
      <c r="DK25" s="65"/>
      <c r="DL25" s="65"/>
      <c r="DM25" s="65"/>
      <c r="DN25" s="65"/>
      <c r="DO25" s="65"/>
      <c r="DP25" s="65"/>
      <c r="DQ25" s="65"/>
      <c r="DR25" s="65"/>
      <c r="DS25" s="65"/>
      <c r="DT25" s="65"/>
    </row>
    <row r="26" spans="1:124" ht="21.75" customHeight="1">
      <c r="A26" s="311"/>
      <c r="B26" s="229" t="s">
        <v>391</v>
      </c>
      <c r="C26" s="230"/>
      <c r="D26" s="231"/>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8"/>
      <c r="AQ26" s="68"/>
      <c r="AR26" s="68"/>
      <c r="AS26" s="69"/>
      <c r="AT26" s="60" t="s">
        <v>392</v>
      </c>
      <c r="AU26" s="69"/>
      <c r="AV26" s="69"/>
      <c r="AW26" s="69"/>
      <c r="AX26" s="69"/>
      <c r="AY26" s="69"/>
      <c r="AZ26" s="69"/>
      <c r="BA26" s="69"/>
      <c r="BB26" s="69"/>
      <c r="BC26" s="69"/>
      <c r="BD26" s="69"/>
      <c r="BE26" s="69"/>
      <c r="BF26" s="69"/>
      <c r="BG26" s="68"/>
      <c r="BH26" s="68"/>
      <c r="BI26" s="68"/>
      <c r="BJ26" s="68"/>
      <c r="BK26" s="68"/>
      <c r="BL26" s="68"/>
      <c r="BM26" s="68"/>
      <c r="BN26" s="68"/>
      <c r="BO26" s="68"/>
      <c r="BP26" s="68"/>
      <c r="BQ26" s="68"/>
      <c r="BR26" s="68"/>
      <c r="BS26" s="68"/>
      <c r="BT26" s="68"/>
      <c r="BU26" s="68"/>
      <c r="BV26" s="68"/>
      <c r="BW26" s="68"/>
      <c r="BX26" s="68"/>
      <c r="BY26" s="68"/>
      <c r="BZ26" s="68"/>
      <c r="CA26" s="68"/>
      <c r="CB26" s="68"/>
      <c r="CC26" s="68"/>
      <c r="CD26" s="68"/>
      <c r="CE26" s="68"/>
      <c r="CF26" s="68"/>
      <c r="CG26" s="68"/>
      <c r="CH26" s="68"/>
      <c r="CI26" s="68"/>
      <c r="CJ26" s="68"/>
      <c r="CK26" s="68"/>
      <c r="CL26" s="68"/>
      <c r="CM26" s="68"/>
      <c r="CN26" s="68"/>
      <c r="CO26" s="68"/>
      <c r="CP26" s="68"/>
      <c r="CQ26" s="68"/>
      <c r="CR26" s="68"/>
      <c r="CS26" s="68"/>
      <c r="CT26" s="68"/>
      <c r="CU26" s="68"/>
      <c r="CV26" s="68"/>
      <c r="CW26" s="68"/>
      <c r="CX26" s="68"/>
      <c r="CY26" s="68"/>
      <c r="CZ26" s="68"/>
      <c r="DA26" s="68"/>
      <c r="DB26" s="68"/>
      <c r="DC26" s="68"/>
      <c r="DD26" s="68"/>
      <c r="DE26" s="68"/>
      <c r="DF26" s="68"/>
      <c r="DG26" s="68"/>
      <c r="DH26" s="68"/>
      <c r="DI26" s="68"/>
      <c r="DJ26" s="68"/>
      <c r="DK26" s="68"/>
      <c r="DL26" s="68"/>
      <c r="DM26" s="68"/>
      <c r="DN26" s="68"/>
      <c r="DO26" s="68"/>
      <c r="DP26" s="68"/>
      <c r="DQ26" s="68"/>
      <c r="DR26" s="68"/>
      <c r="DS26" s="68"/>
      <c r="DT26" s="68"/>
    </row>
    <row r="27" spans="1:124" ht="21.75" customHeight="1">
      <c r="A27" s="311"/>
      <c r="B27" s="232"/>
      <c r="C27" s="233"/>
      <c r="D27" s="234"/>
      <c r="E27" s="70"/>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65"/>
      <c r="AQ27" s="65"/>
      <c r="AR27" s="65"/>
      <c r="AS27" s="70"/>
      <c r="AT27" s="65">
        <v>100</v>
      </c>
      <c r="AU27" s="70"/>
      <c r="AV27" s="70"/>
      <c r="AW27" s="70"/>
      <c r="AX27" s="70"/>
      <c r="AY27" s="70"/>
      <c r="AZ27" s="70"/>
      <c r="BA27" s="70"/>
      <c r="BB27" s="70"/>
      <c r="BC27" s="70"/>
      <c r="BD27" s="70"/>
      <c r="BE27" s="70"/>
      <c r="BF27" s="70"/>
      <c r="BG27" s="65"/>
      <c r="BH27" s="65"/>
      <c r="BI27" s="65"/>
      <c r="BJ27" s="65"/>
      <c r="BK27" s="65"/>
      <c r="BL27" s="65"/>
      <c r="BM27" s="65"/>
      <c r="BN27" s="65"/>
      <c r="BO27" s="65"/>
      <c r="BP27" s="65"/>
      <c r="BQ27" s="65"/>
      <c r="BR27" s="65"/>
      <c r="BS27" s="65"/>
      <c r="BT27" s="65"/>
      <c r="BU27" s="65"/>
      <c r="BV27" s="65"/>
      <c r="BW27" s="65"/>
      <c r="BX27" s="65"/>
      <c r="BY27" s="65"/>
      <c r="BZ27" s="65"/>
      <c r="CA27" s="65"/>
      <c r="CB27" s="65"/>
      <c r="CC27" s="65"/>
      <c r="CD27" s="65"/>
      <c r="CE27" s="65"/>
      <c r="CF27" s="65"/>
      <c r="CG27" s="65"/>
      <c r="CH27" s="65"/>
      <c r="CI27" s="65"/>
      <c r="CJ27" s="65"/>
      <c r="CK27" s="65"/>
      <c r="CL27" s="65"/>
      <c r="CM27" s="65"/>
      <c r="CN27" s="65"/>
      <c r="CO27" s="65"/>
      <c r="CP27" s="65"/>
      <c r="CQ27" s="65"/>
      <c r="CR27" s="65"/>
      <c r="CS27" s="65"/>
      <c r="CT27" s="65"/>
      <c r="CU27" s="65"/>
      <c r="CV27" s="65"/>
      <c r="CW27" s="65"/>
      <c r="CX27" s="65"/>
      <c r="CY27" s="65"/>
      <c r="CZ27" s="65"/>
      <c r="DA27" s="65"/>
      <c r="DB27" s="65"/>
      <c r="DC27" s="65"/>
      <c r="DD27" s="65"/>
      <c r="DE27" s="65"/>
      <c r="DF27" s="65"/>
      <c r="DG27" s="65"/>
      <c r="DH27" s="65"/>
      <c r="DI27" s="65"/>
      <c r="DJ27" s="65"/>
      <c r="DK27" s="65"/>
      <c r="DL27" s="65"/>
      <c r="DM27" s="65"/>
      <c r="DN27" s="65"/>
      <c r="DO27" s="65"/>
      <c r="DP27" s="65"/>
      <c r="DQ27" s="65"/>
      <c r="DR27" s="65"/>
      <c r="DS27" s="65"/>
      <c r="DT27" s="65"/>
    </row>
    <row r="28" spans="1:124" ht="21.75" customHeight="1">
      <c r="A28" s="311"/>
      <c r="B28" s="229" t="s">
        <v>393</v>
      </c>
      <c r="C28" s="230"/>
      <c r="D28" s="231"/>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c r="AL28" s="69"/>
      <c r="AM28" s="69"/>
      <c r="AN28" s="69"/>
      <c r="AO28" s="69"/>
      <c r="AP28" s="68"/>
      <c r="AQ28" s="68"/>
      <c r="AR28" s="68"/>
      <c r="AS28" s="69" t="s">
        <v>383</v>
      </c>
      <c r="AT28" s="69"/>
      <c r="AU28" s="69"/>
      <c r="AV28" s="69" t="s">
        <v>394</v>
      </c>
      <c r="AW28" s="69"/>
      <c r="AX28" s="69"/>
      <c r="AY28" s="69"/>
      <c r="AZ28" s="69"/>
      <c r="BA28" s="69"/>
      <c r="BB28" s="69" t="s">
        <v>395</v>
      </c>
      <c r="BC28" s="69"/>
      <c r="BD28" s="69"/>
      <c r="BE28" s="69"/>
      <c r="BF28" s="69"/>
      <c r="BG28" s="68"/>
      <c r="BH28" s="68"/>
      <c r="BI28" s="68"/>
      <c r="BJ28" s="68"/>
      <c r="BK28" s="68"/>
      <c r="BL28" s="68"/>
      <c r="BM28" s="68"/>
      <c r="BN28" s="68"/>
      <c r="BO28" s="68"/>
      <c r="BP28" s="68"/>
      <c r="BQ28" s="68"/>
      <c r="BR28" s="68"/>
      <c r="BS28" s="68"/>
      <c r="BT28" s="68"/>
      <c r="BU28" s="68"/>
      <c r="BV28" s="68"/>
      <c r="BW28" s="68"/>
      <c r="BX28" s="68"/>
      <c r="BY28" s="68"/>
      <c r="BZ28" s="68"/>
      <c r="CA28" s="68"/>
      <c r="CB28" s="68"/>
      <c r="CC28" s="68"/>
      <c r="CD28" s="68"/>
      <c r="CE28" s="68"/>
      <c r="CF28" s="68"/>
      <c r="CG28" s="68"/>
      <c r="CH28" s="68"/>
      <c r="CI28" s="68"/>
      <c r="CJ28" s="68"/>
      <c r="CK28" s="68"/>
      <c r="CL28" s="68"/>
      <c r="CM28" s="68"/>
      <c r="CN28" s="68"/>
      <c r="CO28" s="68"/>
      <c r="CP28" s="68"/>
      <c r="CQ28" s="68"/>
      <c r="CR28" s="68"/>
      <c r="CS28" s="68"/>
      <c r="CT28" s="68"/>
      <c r="CU28" s="68"/>
      <c r="CV28" s="68"/>
      <c r="CW28" s="68"/>
      <c r="CX28" s="68"/>
      <c r="CY28" s="68"/>
      <c r="CZ28" s="68"/>
      <c r="DA28" s="68"/>
      <c r="DB28" s="68"/>
      <c r="DC28" s="68"/>
      <c r="DD28" s="68"/>
      <c r="DE28" s="68"/>
      <c r="DF28" s="68"/>
      <c r="DG28" s="68"/>
      <c r="DH28" s="68"/>
      <c r="DI28" s="68"/>
      <c r="DJ28" s="68"/>
      <c r="DK28" s="68"/>
      <c r="DL28" s="68"/>
      <c r="DM28" s="68"/>
      <c r="DN28" s="68"/>
      <c r="DO28" s="68"/>
      <c r="DP28" s="68"/>
      <c r="DQ28" s="68"/>
      <c r="DR28" s="68"/>
      <c r="DS28" s="68"/>
      <c r="DT28" s="68"/>
    </row>
    <row r="29" spans="1:124" ht="21.75" customHeight="1">
      <c r="A29" s="311"/>
      <c r="B29" s="232"/>
      <c r="C29" s="233"/>
      <c r="D29" s="234"/>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0"/>
      <c r="AF29" s="70"/>
      <c r="AG29" s="70"/>
      <c r="AH29" s="70"/>
      <c r="AI29" s="70"/>
      <c r="AJ29" s="70"/>
      <c r="AK29" s="70"/>
      <c r="AL29" s="70"/>
      <c r="AM29" s="70"/>
      <c r="AN29" s="70"/>
      <c r="AO29" s="70"/>
      <c r="AP29" s="65"/>
      <c r="AQ29" s="65"/>
      <c r="AR29" s="65"/>
      <c r="AS29" s="70">
        <f>80/0.785</f>
        <v>101.9108280254777</v>
      </c>
      <c r="AT29" s="70"/>
      <c r="AU29" s="70"/>
      <c r="AV29" s="70">
        <f>130*0.86</f>
        <v>111.8</v>
      </c>
      <c r="AW29" s="70"/>
      <c r="AX29" s="70"/>
      <c r="AY29" s="70"/>
      <c r="AZ29" s="70"/>
      <c r="BA29" s="70"/>
      <c r="BB29" s="70">
        <f>130/0.785</f>
        <v>165.60509554140125</v>
      </c>
      <c r="BC29" s="70"/>
      <c r="BD29" s="70"/>
      <c r="BE29" s="70"/>
      <c r="BF29" s="70"/>
      <c r="BG29" s="65"/>
      <c r="BH29" s="65"/>
      <c r="BI29" s="65"/>
      <c r="BJ29" s="65"/>
      <c r="BK29" s="65"/>
      <c r="BL29" s="65"/>
      <c r="BM29" s="65"/>
      <c r="BN29" s="65"/>
      <c r="BO29" s="65"/>
      <c r="BP29" s="65"/>
      <c r="BQ29" s="65"/>
      <c r="BR29" s="65"/>
      <c r="BS29" s="65"/>
      <c r="BT29" s="65"/>
      <c r="BU29" s="65"/>
      <c r="BV29" s="65"/>
      <c r="BW29" s="65"/>
      <c r="BX29" s="65"/>
      <c r="BY29" s="65"/>
      <c r="BZ29" s="65"/>
      <c r="CA29" s="65"/>
      <c r="CB29" s="65"/>
      <c r="CC29" s="65"/>
      <c r="CD29" s="65"/>
      <c r="CE29" s="65"/>
      <c r="CF29" s="65"/>
      <c r="CG29" s="65"/>
      <c r="CH29" s="65"/>
      <c r="CI29" s="65"/>
      <c r="CJ29" s="65"/>
      <c r="CK29" s="65"/>
      <c r="CL29" s="65"/>
      <c r="CM29" s="65"/>
      <c r="CN29" s="65"/>
      <c r="CO29" s="65"/>
      <c r="CP29" s="65"/>
      <c r="CQ29" s="65"/>
      <c r="CR29" s="65"/>
      <c r="CS29" s="65"/>
      <c r="CT29" s="65"/>
      <c r="CU29" s="65"/>
      <c r="CV29" s="65"/>
      <c r="CW29" s="65"/>
      <c r="CX29" s="65"/>
      <c r="CY29" s="65"/>
      <c r="CZ29" s="65"/>
      <c r="DA29" s="65"/>
      <c r="DB29" s="65"/>
      <c r="DC29" s="65"/>
      <c r="DD29" s="65"/>
      <c r="DE29" s="65"/>
      <c r="DF29" s="65"/>
      <c r="DG29" s="65"/>
      <c r="DH29" s="65"/>
      <c r="DI29" s="65"/>
      <c r="DJ29" s="65"/>
      <c r="DK29" s="65"/>
      <c r="DL29" s="65"/>
      <c r="DM29" s="65"/>
      <c r="DN29" s="65"/>
      <c r="DO29" s="65"/>
      <c r="DP29" s="65"/>
      <c r="DQ29" s="65"/>
      <c r="DR29" s="65"/>
      <c r="DS29" s="65"/>
      <c r="DT29" s="65"/>
    </row>
    <row r="30" spans="1:124" ht="21.75" customHeight="1">
      <c r="A30" s="311"/>
      <c r="B30" s="229" t="s">
        <v>195</v>
      </c>
      <c r="C30" s="230"/>
      <c r="D30" s="231"/>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8"/>
      <c r="AH30" s="69"/>
      <c r="AI30" s="69"/>
      <c r="AJ30" s="69"/>
      <c r="AK30" s="69"/>
      <c r="AL30" s="69"/>
      <c r="AM30" s="69"/>
      <c r="AN30" s="68"/>
      <c r="AO30" s="68"/>
      <c r="AP30" s="68"/>
      <c r="AQ30" s="68"/>
      <c r="AR30" s="68"/>
      <c r="AS30" s="68"/>
      <c r="AT30" s="68"/>
      <c r="AU30" s="68"/>
      <c r="AV30" s="68"/>
      <c r="AW30" s="68"/>
      <c r="AX30" s="68"/>
      <c r="AY30" s="68"/>
      <c r="AZ30" s="68"/>
      <c r="BA30" s="68"/>
      <c r="BB30" s="68"/>
      <c r="BC30" s="68"/>
      <c r="BD30" s="68"/>
      <c r="BE30" s="68"/>
      <c r="BF30" s="68"/>
      <c r="BG30" s="68"/>
      <c r="BH30" s="68"/>
      <c r="BI30" s="68"/>
      <c r="BJ30" s="68"/>
      <c r="BK30" s="68"/>
      <c r="BL30" s="68"/>
      <c r="BM30" s="68"/>
      <c r="BN30" s="68"/>
      <c r="BO30" s="68"/>
      <c r="BP30" s="68"/>
      <c r="BQ30" s="68"/>
      <c r="BR30" s="68"/>
      <c r="BS30" s="68" t="s">
        <v>396</v>
      </c>
      <c r="BT30" s="68"/>
      <c r="BU30" s="68"/>
      <c r="BV30" s="68"/>
      <c r="BW30" s="68"/>
      <c r="BX30" s="68"/>
      <c r="BY30" s="68"/>
      <c r="BZ30" s="68"/>
      <c r="CA30" s="68"/>
      <c r="CB30" s="68"/>
      <c r="CC30" s="68"/>
      <c r="CD30" s="68"/>
      <c r="CE30" s="68"/>
      <c r="CF30" s="68"/>
      <c r="CG30" s="68"/>
      <c r="CH30" s="68"/>
      <c r="CI30" s="68"/>
      <c r="CJ30" s="68"/>
      <c r="CK30" s="68"/>
      <c r="CL30" s="68"/>
      <c r="CM30" s="68"/>
      <c r="CN30" s="68"/>
      <c r="CO30" s="68"/>
      <c r="CP30" s="68"/>
      <c r="CQ30" s="68"/>
      <c r="CR30" s="68"/>
      <c r="CS30" s="68"/>
      <c r="CT30" s="68"/>
      <c r="CU30" s="68"/>
      <c r="CV30" s="68"/>
      <c r="CW30" s="68"/>
      <c r="CX30" s="68"/>
      <c r="CY30" s="68"/>
      <c r="CZ30" s="68"/>
      <c r="DA30" s="68"/>
      <c r="DB30" s="68"/>
      <c r="DC30" s="68"/>
      <c r="DD30" s="68"/>
      <c r="DE30" s="68"/>
      <c r="DF30" s="68"/>
      <c r="DG30" s="68"/>
      <c r="DH30" s="68"/>
      <c r="DI30" s="68"/>
      <c r="DJ30" s="68"/>
      <c r="DK30" s="68"/>
      <c r="DL30" s="68"/>
      <c r="DM30" s="68"/>
      <c r="DN30" s="68"/>
      <c r="DO30" s="68"/>
      <c r="DP30" s="68"/>
      <c r="DQ30" s="68"/>
      <c r="DR30" s="68"/>
      <c r="DS30" s="68"/>
      <c r="DT30" s="68"/>
    </row>
    <row r="31" spans="1:124" ht="21.75" customHeight="1">
      <c r="A31" s="311"/>
      <c r="B31" s="232"/>
      <c r="C31" s="233"/>
      <c r="D31" s="234"/>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70"/>
      <c r="AF31" s="70"/>
      <c r="AG31" s="65"/>
      <c r="AH31" s="70"/>
      <c r="AI31" s="70"/>
      <c r="AJ31" s="70"/>
      <c r="AK31" s="70"/>
      <c r="AL31" s="70"/>
      <c r="AM31" s="70"/>
      <c r="AN31" s="65"/>
      <c r="AO31" s="65"/>
      <c r="AP31" s="65"/>
      <c r="AQ31" s="65"/>
      <c r="AR31" s="65"/>
      <c r="AS31" s="65"/>
      <c r="AT31" s="65"/>
      <c r="AU31" s="65"/>
      <c r="AV31" s="65"/>
      <c r="AW31" s="65"/>
      <c r="AX31" s="65"/>
      <c r="AY31" s="65"/>
      <c r="AZ31" s="65"/>
      <c r="BA31" s="65"/>
      <c r="BB31" s="65"/>
      <c r="BC31" s="65"/>
      <c r="BD31" s="65"/>
      <c r="BE31" s="65"/>
      <c r="BF31" s="65"/>
      <c r="BG31" s="65"/>
      <c r="BH31" s="65"/>
      <c r="BI31" s="65"/>
      <c r="BJ31" s="65"/>
      <c r="BK31" s="65"/>
      <c r="BL31" s="65"/>
      <c r="BM31" s="65"/>
      <c r="BN31" s="65"/>
      <c r="BO31" s="65"/>
      <c r="BP31" s="65"/>
      <c r="BQ31" s="65"/>
      <c r="BR31" s="65"/>
      <c r="BS31" s="65">
        <f>24/0.86</f>
        <v>27.906976744186046</v>
      </c>
      <c r="BT31" s="65"/>
      <c r="BU31" s="65"/>
      <c r="BV31" s="65"/>
      <c r="BW31" s="65"/>
      <c r="BX31" s="65"/>
      <c r="BY31" s="65"/>
      <c r="BZ31" s="65"/>
      <c r="CA31" s="65"/>
      <c r="CB31" s="65"/>
      <c r="CC31" s="65"/>
      <c r="CD31" s="65"/>
      <c r="CE31" s="65"/>
      <c r="CF31" s="65"/>
      <c r="CG31" s="65"/>
      <c r="CH31" s="65"/>
      <c r="CI31" s="65"/>
      <c r="CJ31" s="65"/>
      <c r="CK31" s="65"/>
      <c r="CL31" s="65"/>
      <c r="CM31" s="65"/>
      <c r="CN31" s="65"/>
      <c r="CO31" s="65"/>
      <c r="CP31" s="65"/>
      <c r="CQ31" s="65"/>
      <c r="CR31" s="65"/>
      <c r="CS31" s="65"/>
      <c r="CT31" s="65"/>
      <c r="CU31" s="65"/>
      <c r="CV31" s="65"/>
      <c r="CW31" s="65"/>
      <c r="CX31" s="65"/>
      <c r="CY31" s="65"/>
      <c r="CZ31" s="65"/>
      <c r="DA31" s="65"/>
      <c r="DB31" s="65"/>
      <c r="DC31" s="65"/>
      <c r="DD31" s="65"/>
      <c r="DE31" s="65"/>
      <c r="DF31" s="65"/>
      <c r="DG31" s="65"/>
      <c r="DH31" s="65"/>
      <c r="DI31" s="65"/>
      <c r="DJ31" s="65"/>
      <c r="DK31" s="65"/>
      <c r="DL31" s="65"/>
      <c r="DM31" s="65"/>
      <c r="DN31" s="65"/>
      <c r="DO31" s="65"/>
      <c r="DP31" s="65"/>
      <c r="DQ31" s="65"/>
      <c r="DR31" s="65"/>
      <c r="DS31" s="65"/>
      <c r="DT31" s="65"/>
    </row>
    <row r="32" spans="1:124" ht="21.75" customHeight="1">
      <c r="A32" s="311"/>
      <c r="B32" s="229" t="s">
        <v>49</v>
      </c>
      <c r="C32" s="230"/>
      <c r="D32" s="231"/>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c r="BK32" s="60"/>
      <c r="BL32" s="60"/>
      <c r="BM32" s="60"/>
      <c r="BN32" s="60"/>
      <c r="BO32" s="60"/>
      <c r="BP32" s="60"/>
      <c r="BQ32" s="60"/>
      <c r="BR32" s="60"/>
      <c r="BS32" s="60"/>
      <c r="BT32" s="60"/>
      <c r="BU32" s="60"/>
      <c r="BV32" s="60"/>
      <c r="BW32" s="60"/>
      <c r="BX32" s="60"/>
      <c r="BY32" s="60"/>
      <c r="BZ32" s="60"/>
      <c r="CA32" s="60"/>
      <c r="CB32" s="60"/>
      <c r="CC32" s="60"/>
      <c r="CD32" s="60"/>
      <c r="CE32" s="60"/>
      <c r="CF32" s="60"/>
      <c r="CG32" s="60"/>
      <c r="CH32" s="60"/>
      <c r="CI32" s="60"/>
      <c r="CJ32" s="60"/>
      <c r="CK32" s="60"/>
      <c r="CL32" s="60"/>
      <c r="CM32" s="60"/>
      <c r="CN32" s="60"/>
      <c r="CO32" s="60"/>
      <c r="CP32" s="60"/>
      <c r="CQ32" s="60"/>
      <c r="CR32" s="60"/>
      <c r="CS32" s="60"/>
      <c r="CT32" s="60"/>
      <c r="CU32" s="60"/>
      <c r="CV32" s="60"/>
      <c r="CW32" s="60"/>
      <c r="CX32" s="60"/>
      <c r="CY32" s="60"/>
      <c r="CZ32" s="60"/>
      <c r="DA32" s="60"/>
      <c r="DB32" s="60"/>
      <c r="DC32" s="60"/>
      <c r="DD32" s="60"/>
      <c r="DE32" s="60"/>
      <c r="DF32" s="60"/>
      <c r="DG32" s="60"/>
      <c r="DH32" s="60"/>
      <c r="DI32" s="60"/>
      <c r="DJ32" s="60"/>
      <c r="DK32" s="60"/>
      <c r="DL32" s="60"/>
      <c r="DM32" s="60"/>
      <c r="DN32" s="60"/>
      <c r="DO32" s="60"/>
      <c r="DP32" s="60"/>
      <c r="DQ32" s="60"/>
      <c r="DR32" s="60"/>
      <c r="DS32" s="60"/>
      <c r="DT32" s="60"/>
    </row>
    <row r="33" spans="1:124" ht="21.75" customHeight="1">
      <c r="A33" s="311"/>
      <c r="B33" s="232"/>
      <c r="C33" s="233"/>
      <c r="D33" s="234"/>
      <c r="E33" s="65"/>
      <c r="F33" s="65"/>
      <c r="G33" s="65"/>
      <c r="H33" s="65"/>
      <c r="I33" s="65"/>
      <c r="J33" s="65"/>
      <c r="K33" s="65">
        <v>260</v>
      </c>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5"/>
      <c r="BD33" s="65"/>
      <c r="BE33" s="65"/>
      <c r="BF33" s="65"/>
      <c r="BG33" s="65"/>
      <c r="BH33" s="65"/>
      <c r="BI33" s="65"/>
      <c r="BJ33" s="65"/>
      <c r="BK33" s="65"/>
      <c r="BL33" s="65"/>
      <c r="BM33" s="65"/>
      <c r="BN33" s="65"/>
      <c r="BO33" s="65"/>
      <c r="BP33" s="65"/>
      <c r="BQ33" s="65"/>
      <c r="BR33" s="65"/>
      <c r="BS33" s="65"/>
      <c r="BT33" s="65"/>
      <c r="BU33" s="65"/>
      <c r="BV33" s="65"/>
      <c r="BW33" s="65"/>
      <c r="BX33" s="65"/>
      <c r="BY33" s="65"/>
      <c r="BZ33" s="65"/>
      <c r="CA33" s="65"/>
      <c r="CB33" s="65"/>
      <c r="CC33" s="65"/>
      <c r="CD33" s="65"/>
      <c r="CE33" s="65"/>
      <c r="CF33" s="65"/>
      <c r="CG33" s="65"/>
      <c r="CH33" s="65"/>
      <c r="CI33" s="65"/>
      <c r="CJ33" s="65"/>
      <c r="CK33" s="65"/>
      <c r="CL33" s="65"/>
      <c r="CM33" s="65"/>
      <c r="CN33" s="65"/>
      <c r="CO33" s="65"/>
      <c r="CP33" s="65"/>
      <c r="CQ33" s="65"/>
      <c r="CR33" s="65"/>
      <c r="CS33" s="65"/>
      <c r="CT33" s="65"/>
      <c r="CU33" s="65"/>
      <c r="CV33" s="65"/>
      <c r="CW33" s="65"/>
      <c r="CX33" s="65"/>
      <c r="CY33" s="65"/>
      <c r="CZ33" s="65"/>
      <c r="DA33" s="65"/>
      <c r="DB33" s="65"/>
      <c r="DC33" s="65"/>
      <c r="DD33" s="65"/>
      <c r="DE33" s="65"/>
      <c r="DF33" s="65"/>
      <c r="DG33" s="65"/>
      <c r="DH33" s="65"/>
      <c r="DI33" s="65"/>
      <c r="DJ33" s="65"/>
      <c r="DK33" s="65"/>
      <c r="DL33" s="65"/>
      <c r="DM33" s="65"/>
      <c r="DN33" s="65"/>
      <c r="DO33" s="65"/>
      <c r="DP33" s="65"/>
      <c r="DQ33" s="65"/>
      <c r="DR33" s="65"/>
      <c r="DS33" s="65"/>
      <c r="DT33" s="65"/>
    </row>
    <row r="34" spans="1:124" ht="21.75" customHeight="1">
      <c r="A34" s="311"/>
      <c r="B34" s="229" t="s">
        <v>397</v>
      </c>
      <c r="C34" s="230"/>
      <c r="D34" s="231"/>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c r="AF34" s="69"/>
      <c r="AG34" s="69"/>
      <c r="AH34" s="69"/>
      <c r="AI34" s="69"/>
      <c r="AJ34" s="69"/>
      <c r="AK34" s="69"/>
      <c r="AL34" s="69"/>
      <c r="AM34" s="69"/>
      <c r="AN34" s="69"/>
      <c r="AO34" s="69"/>
      <c r="AP34" s="68"/>
      <c r="AQ34" s="68"/>
      <c r="AR34" s="68"/>
      <c r="AS34" s="69"/>
      <c r="AT34" s="69" t="s">
        <v>380</v>
      </c>
      <c r="AU34" s="69"/>
      <c r="AV34" s="69"/>
      <c r="AW34" s="69" t="s">
        <v>380</v>
      </c>
      <c r="AX34" s="69"/>
      <c r="AY34" s="69"/>
      <c r="AZ34" s="69" t="s">
        <v>398</v>
      </c>
      <c r="BA34" s="69"/>
      <c r="BB34" s="69"/>
      <c r="BC34" s="69"/>
      <c r="BD34" s="69"/>
      <c r="BE34" s="69"/>
      <c r="BF34" s="69"/>
      <c r="BG34" s="68"/>
      <c r="BH34" s="68"/>
      <c r="BI34" s="68"/>
      <c r="BJ34" s="68"/>
      <c r="BK34" s="68"/>
      <c r="BL34" s="68"/>
      <c r="BM34" s="68"/>
      <c r="BN34" s="68"/>
      <c r="BO34" s="68"/>
      <c r="BP34" s="68"/>
      <c r="BQ34" s="68"/>
      <c r="BR34" s="68"/>
      <c r="BS34" s="68"/>
      <c r="BT34" s="68"/>
      <c r="BU34" s="68"/>
      <c r="BV34" s="68"/>
      <c r="BW34" s="68"/>
      <c r="BX34" s="68"/>
      <c r="BY34" s="68"/>
      <c r="BZ34" s="68"/>
      <c r="CA34" s="68"/>
      <c r="CB34" s="68"/>
      <c r="CC34" s="68"/>
      <c r="CD34" s="68"/>
      <c r="CE34" s="68"/>
      <c r="CF34" s="68"/>
      <c r="CG34" s="68"/>
      <c r="CH34" s="68"/>
      <c r="CI34" s="68"/>
      <c r="CJ34" s="68"/>
      <c r="CK34" s="68"/>
      <c r="CL34" s="68"/>
      <c r="CM34" s="68"/>
      <c r="CN34" s="68"/>
      <c r="CO34" s="68"/>
      <c r="CP34" s="68"/>
      <c r="CQ34" s="68"/>
      <c r="CR34" s="68"/>
      <c r="CS34" s="68"/>
      <c r="CT34" s="68"/>
      <c r="CU34" s="68"/>
      <c r="CV34" s="68"/>
      <c r="CW34" s="68"/>
      <c r="CX34" s="68"/>
      <c r="CY34" s="68"/>
      <c r="CZ34" s="68"/>
      <c r="DA34" s="68"/>
      <c r="DB34" s="68"/>
      <c r="DC34" s="68"/>
      <c r="DD34" s="68"/>
      <c r="DE34" s="68"/>
      <c r="DF34" s="68"/>
      <c r="DG34" s="68"/>
      <c r="DH34" s="68"/>
      <c r="DI34" s="68"/>
      <c r="DJ34" s="68"/>
      <c r="DK34" s="68"/>
      <c r="DL34" s="68"/>
      <c r="DM34" s="68"/>
      <c r="DN34" s="68"/>
      <c r="DO34" s="68"/>
      <c r="DP34" s="68"/>
      <c r="DQ34" s="68"/>
      <c r="DR34" s="68"/>
      <c r="DS34" s="68"/>
      <c r="DT34" s="68"/>
    </row>
    <row r="35" spans="1:124" ht="21.75" customHeight="1">
      <c r="A35" s="311"/>
      <c r="B35" s="232"/>
      <c r="C35" s="233"/>
      <c r="D35" s="234"/>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70"/>
      <c r="AF35" s="70"/>
      <c r="AG35" s="70"/>
      <c r="AH35" s="70"/>
      <c r="AI35" s="70"/>
      <c r="AJ35" s="70"/>
      <c r="AK35" s="70"/>
      <c r="AL35" s="70"/>
      <c r="AM35" s="70"/>
      <c r="AN35" s="70"/>
      <c r="AO35" s="70"/>
      <c r="AP35" s="65"/>
      <c r="AQ35" s="65"/>
      <c r="AR35" s="65"/>
      <c r="AS35" s="70"/>
      <c r="AT35" s="70">
        <f>180/0.86</f>
        <v>209.30232558139537</v>
      </c>
      <c r="AU35" s="70"/>
      <c r="AV35" s="70"/>
      <c r="AW35" s="70">
        <f>170/0.86</f>
        <v>197.67441860465118</v>
      </c>
      <c r="AX35" s="70"/>
      <c r="AY35" s="70"/>
      <c r="AZ35" s="70">
        <f>150/0.91</f>
        <v>164.83516483516482</v>
      </c>
      <c r="BA35" s="70"/>
      <c r="BB35" s="70"/>
      <c r="BC35" s="70"/>
      <c r="BD35" s="70"/>
      <c r="BE35" s="70"/>
      <c r="BF35" s="70"/>
      <c r="BG35" s="65"/>
      <c r="BH35" s="65"/>
      <c r="BI35" s="65"/>
      <c r="BJ35" s="65"/>
      <c r="BK35" s="65"/>
      <c r="BL35" s="65"/>
      <c r="BM35" s="65"/>
      <c r="BN35" s="65"/>
      <c r="BO35" s="65"/>
      <c r="BP35" s="65"/>
      <c r="BQ35" s="65"/>
      <c r="BR35" s="65"/>
      <c r="BS35" s="65"/>
      <c r="BT35" s="65"/>
      <c r="BU35" s="65"/>
      <c r="BV35" s="65"/>
      <c r="BW35" s="65"/>
      <c r="BX35" s="65"/>
      <c r="BY35" s="65"/>
      <c r="BZ35" s="65"/>
      <c r="CA35" s="65"/>
      <c r="CB35" s="65"/>
      <c r="CC35" s="65"/>
      <c r="CD35" s="65"/>
      <c r="CE35" s="65"/>
      <c r="CF35" s="65"/>
      <c r="CG35" s="65"/>
      <c r="CH35" s="65"/>
      <c r="CI35" s="65"/>
      <c r="CJ35" s="65"/>
      <c r="CK35" s="65"/>
      <c r="CL35" s="65"/>
      <c r="CM35" s="65"/>
      <c r="CN35" s="65"/>
      <c r="CO35" s="65"/>
      <c r="CP35" s="65"/>
      <c r="CQ35" s="65"/>
      <c r="CR35" s="65"/>
      <c r="CS35" s="65"/>
      <c r="CT35" s="65"/>
      <c r="CU35" s="65"/>
      <c r="CV35" s="65"/>
      <c r="CW35" s="65"/>
      <c r="CX35" s="65"/>
      <c r="CY35" s="65"/>
      <c r="CZ35" s="65"/>
      <c r="DA35" s="65"/>
      <c r="DB35" s="65"/>
      <c r="DC35" s="65"/>
      <c r="DD35" s="65"/>
      <c r="DE35" s="65"/>
      <c r="DF35" s="65"/>
      <c r="DG35" s="65"/>
      <c r="DH35" s="65"/>
      <c r="DI35" s="65"/>
      <c r="DJ35" s="65"/>
      <c r="DK35" s="65"/>
      <c r="DL35" s="65"/>
      <c r="DM35" s="65"/>
      <c r="DN35" s="65"/>
      <c r="DO35" s="65"/>
      <c r="DP35" s="65"/>
      <c r="DQ35" s="65"/>
      <c r="DR35" s="65"/>
      <c r="DS35" s="65"/>
      <c r="DT35" s="65"/>
    </row>
    <row r="36" spans="1:124" ht="21.75" customHeight="1">
      <c r="A36" s="311"/>
      <c r="B36" s="229" t="s">
        <v>26</v>
      </c>
      <c r="C36" s="230"/>
      <c r="D36" s="231"/>
      <c r="E36" s="60"/>
      <c r="F36" s="60"/>
      <c r="G36" s="60"/>
      <c r="H36" s="60"/>
      <c r="I36" s="60"/>
      <c r="J36" s="60"/>
      <c r="K36" s="60"/>
      <c r="L36" s="60"/>
      <c r="M36" s="60"/>
      <c r="N36" s="60"/>
      <c r="O36" s="60"/>
      <c r="P36" s="60"/>
      <c r="Q36" s="60"/>
      <c r="R36" s="60"/>
      <c r="S36" s="60"/>
      <c r="T36" s="60"/>
      <c r="U36" s="60"/>
      <c r="V36" s="60"/>
      <c r="W36" s="60"/>
      <c r="X36" s="60"/>
      <c r="Y36" s="60"/>
      <c r="Z36" s="60"/>
      <c r="AA36" s="60"/>
      <c r="AB36" s="60" t="s">
        <v>399</v>
      </c>
      <c r="AC36" s="60"/>
      <c r="AD36" s="61" t="s">
        <v>58</v>
      </c>
      <c r="AE36" s="60"/>
      <c r="AF36" s="60"/>
      <c r="AG36" s="60"/>
      <c r="AH36" s="60"/>
      <c r="AI36" s="60"/>
      <c r="AJ36" s="60"/>
      <c r="AK36" s="60"/>
      <c r="AL36" s="60"/>
      <c r="AM36" s="60"/>
      <c r="AN36" s="68" t="s">
        <v>400</v>
      </c>
      <c r="AO36" s="60"/>
      <c r="AP36" s="60"/>
      <c r="AQ36" s="60"/>
      <c r="AR36" s="60"/>
      <c r="AS36" s="60"/>
      <c r="AT36" s="60"/>
      <c r="AU36" s="60"/>
      <c r="AV36" s="60"/>
      <c r="AW36" s="60"/>
      <c r="AX36" s="60" t="s">
        <v>384</v>
      </c>
      <c r="AY36" s="60"/>
      <c r="AZ36" s="60"/>
      <c r="BA36" s="60" t="s">
        <v>384</v>
      </c>
      <c r="BB36" s="60"/>
      <c r="BC36" s="60"/>
      <c r="BD36" s="60"/>
      <c r="BE36" s="60"/>
      <c r="BF36" s="60"/>
      <c r="BG36" s="60" t="s">
        <v>384</v>
      </c>
      <c r="BH36" s="60"/>
      <c r="BI36" s="60"/>
      <c r="BJ36" s="60"/>
      <c r="BK36" s="60"/>
      <c r="BL36" s="60"/>
      <c r="BM36" s="60"/>
      <c r="BN36" s="60"/>
      <c r="BO36" s="60"/>
      <c r="BP36" s="60"/>
      <c r="BQ36" s="60" t="s">
        <v>398</v>
      </c>
      <c r="BR36" s="60"/>
      <c r="BS36" s="60"/>
      <c r="BT36" s="60"/>
      <c r="BU36" s="60"/>
      <c r="BV36" s="60"/>
      <c r="BW36" s="60"/>
      <c r="BX36" s="60"/>
      <c r="BY36" s="60"/>
      <c r="BZ36" s="60"/>
      <c r="CA36" s="60"/>
      <c r="CB36" s="60"/>
      <c r="CC36" s="60"/>
      <c r="CD36" s="60"/>
      <c r="CE36" s="60"/>
      <c r="CF36" s="60"/>
      <c r="CG36" s="60"/>
      <c r="CH36" s="60"/>
      <c r="CI36" s="60"/>
      <c r="CJ36" s="60"/>
      <c r="CK36" s="60"/>
      <c r="CL36" s="60"/>
      <c r="CM36" s="60"/>
      <c r="CN36" s="60"/>
      <c r="CO36" s="60"/>
      <c r="CP36" s="60"/>
      <c r="CQ36" s="60"/>
      <c r="CR36" s="60"/>
      <c r="CS36" s="60"/>
      <c r="CT36" s="60"/>
      <c r="CU36" s="60"/>
      <c r="CV36" s="60"/>
      <c r="CW36" s="60"/>
      <c r="CX36" s="60"/>
      <c r="CY36" s="60"/>
      <c r="CZ36" s="60"/>
      <c r="DA36" s="60"/>
      <c r="DB36" s="60"/>
      <c r="DC36" s="60"/>
      <c r="DD36" s="60"/>
      <c r="DE36" s="60"/>
      <c r="DF36" s="60"/>
      <c r="DG36" s="60"/>
      <c r="DH36" s="60"/>
      <c r="DI36" s="60"/>
      <c r="DJ36" s="60"/>
      <c r="DK36" s="60"/>
      <c r="DL36" s="60"/>
      <c r="DM36" s="60"/>
      <c r="DN36" s="60"/>
      <c r="DO36" s="60"/>
      <c r="DP36" s="60"/>
      <c r="DQ36" s="60"/>
      <c r="DR36" s="60"/>
      <c r="DS36" s="60"/>
      <c r="DT36" s="60"/>
    </row>
    <row r="37" spans="1:124" ht="21.75" customHeight="1">
      <c r="A37" s="311"/>
      <c r="B37" s="232"/>
      <c r="C37" s="233"/>
      <c r="D37" s="234"/>
      <c r="E37" s="65"/>
      <c r="F37" s="65"/>
      <c r="G37" s="65"/>
      <c r="H37" s="65"/>
      <c r="I37" s="65"/>
      <c r="J37" s="65"/>
      <c r="K37" s="65">
        <v>135</v>
      </c>
      <c r="L37" s="65"/>
      <c r="M37" s="65"/>
      <c r="N37" s="65"/>
      <c r="O37" s="65"/>
      <c r="P37" s="65"/>
      <c r="Q37" s="65"/>
      <c r="R37" s="65"/>
      <c r="S37" s="65"/>
      <c r="T37" s="65"/>
      <c r="U37" s="65"/>
      <c r="V37" s="65"/>
      <c r="W37" s="65"/>
      <c r="X37" s="65"/>
      <c r="Y37" s="65"/>
      <c r="Z37" s="65"/>
      <c r="AA37" s="65"/>
      <c r="AB37" s="65">
        <f>120/0.885</f>
        <v>135.59322033898306</v>
      </c>
      <c r="AC37" s="65"/>
      <c r="AD37" s="72">
        <v>130</v>
      </c>
      <c r="AE37" s="65"/>
      <c r="AF37" s="65"/>
      <c r="AG37" s="65"/>
      <c r="AH37" s="65"/>
      <c r="AI37" s="65"/>
      <c r="AJ37" s="65"/>
      <c r="AK37" s="65"/>
      <c r="AL37" s="65"/>
      <c r="AM37" s="65"/>
      <c r="AN37" s="65">
        <f>110/0.885</f>
        <v>124.29378531073446</v>
      </c>
      <c r="AO37" s="65"/>
      <c r="AP37" s="65"/>
      <c r="AQ37" s="65"/>
      <c r="AR37" s="65"/>
      <c r="AS37" s="65"/>
      <c r="AT37" s="65"/>
      <c r="AU37" s="65"/>
      <c r="AV37" s="65"/>
      <c r="AW37" s="65"/>
      <c r="AX37" s="65">
        <f>100/0.91</f>
        <v>109.89010989010988</v>
      </c>
      <c r="AY37" s="65"/>
      <c r="AZ37" s="65"/>
      <c r="BA37" s="65">
        <f>120/0.91</f>
        <v>131.86813186813185</v>
      </c>
      <c r="BB37" s="65"/>
      <c r="BC37" s="65"/>
      <c r="BD37" s="65"/>
      <c r="BE37" s="65"/>
      <c r="BF37" s="65"/>
      <c r="BG37" s="65">
        <f>120/0.91</f>
        <v>131.86813186813185</v>
      </c>
      <c r="BH37" s="65"/>
      <c r="BI37" s="65"/>
      <c r="BJ37" s="65"/>
      <c r="BK37" s="65"/>
      <c r="BL37" s="65"/>
      <c r="BM37" s="65"/>
      <c r="BN37" s="65"/>
      <c r="BO37" s="65"/>
      <c r="BP37" s="65"/>
      <c r="BQ37" s="65">
        <f>95/0.91</f>
        <v>104.39560439560439</v>
      </c>
      <c r="BR37" s="65"/>
      <c r="BS37" s="65"/>
      <c r="BT37" s="65"/>
      <c r="BU37" s="65"/>
      <c r="BV37" s="65"/>
      <c r="BW37" s="65"/>
      <c r="BX37" s="65"/>
      <c r="BY37" s="65"/>
      <c r="BZ37" s="65"/>
      <c r="CA37" s="65"/>
      <c r="CB37" s="65"/>
      <c r="CC37" s="65"/>
      <c r="CD37" s="65"/>
      <c r="CE37" s="65"/>
      <c r="CF37" s="65"/>
      <c r="CG37" s="65"/>
      <c r="CH37" s="65"/>
      <c r="CI37" s="65"/>
      <c r="CJ37" s="65"/>
      <c r="CK37" s="65"/>
      <c r="CL37" s="65"/>
      <c r="CM37" s="65"/>
      <c r="CN37" s="65"/>
      <c r="CO37" s="65"/>
      <c r="CP37" s="65"/>
      <c r="CQ37" s="65"/>
      <c r="CR37" s="65"/>
      <c r="CS37" s="65"/>
      <c r="CT37" s="65"/>
      <c r="CU37" s="65"/>
      <c r="CV37" s="65"/>
      <c r="CW37" s="65"/>
      <c r="CX37" s="65"/>
      <c r="CY37" s="65"/>
      <c r="CZ37" s="65"/>
      <c r="DA37" s="65"/>
      <c r="DB37" s="65"/>
      <c r="DC37" s="65"/>
      <c r="DD37" s="65"/>
      <c r="DE37" s="65"/>
      <c r="DF37" s="65"/>
      <c r="DG37" s="65"/>
      <c r="DH37" s="65"/>
      <c r="DI37" s="65"/>
      <c r="DJ37" s="65"/>
      <c r="DK37" s="65"/>
      <c r="DL37" s="65"/>
      <c r="DM37" s="65"/>
      <c r="DN37" s="65"/>
      <c r="DO37" s="65"/>
      <c r="DP37" s="65"/>
      <c r="DQ37" s="65"/>
      <c r="DR37" s="65"/>
      <c r="DS37" s="65"/>
      <c r="DT37" s="65"/>
    </row>
    <row r="38" spans="1:124" ht="21.75" customHeight="1">
      <c r="A38" s="311"/>
      <c r="B38" s="229" t="s">
        <v>53</v>
      </c>
      <c r="C38" s="230"/>
      <c r="D38" s="231"/>
      <c r="E38" s="60"/>
      <c r="F38" s="60"/>
      <c r="G38" s="60"/>
      <c r="H38" s="60"/>
      <c r="I38" s="60"/>
      <c r="J38" s="60"/>
      <c r="K38" s="60"/>
      <c r="L38" s="60"/>
      <c r="M38" s="60"/>
      <c r="N38" s="60"/>
      <c r="O38" s="60"/>
      <c r="P38" s="60"/>
      <c r="Q38" s="60"/>
      <c r="R38" s="60"/>
      <c r="S38" s="60"/>
      <c r="T38" s="60"/>
      <c r="U38" s="60"/>
      <c r="V38" s="60"/>
      <c r="W38" s="60"/>
      <c r="X38" s="60"/>
      <c r="Y38" s="73"/>
      <c r="Z38" s="68" t="s">
        <v>401</v>
      </c>
      <c r="AA38" s="60"/>
      <c r="AB38" s="60"/>
      <c r="AC38" s="60"/>
      <c r="AD38" s="60"/>
      <c r="AE38" s="60"/>
      <c r="AF38" s="60"/>
      <c r="AG38" s="60"/>
      <c r="AH38" s="60"/>
      <c r="AI38" s="60"/>
      <c r="AJ38" s="60"/>
      <c r="AK38" s="60"/>
      <c r="AL38" s="60"/>
      <c r="AM38" s="60"/>
      <c r="AN38" s="60"/>
      <c r="AO38" s="60"/>
      <c r="AP38" s="60"/>
      <c r="AQ38" s="60"/>
      <c r="AR38" s="60"/>
      <c r="AS38" s="60"/>
      <c r="AT38" s="60"/>
      <c r="AU38" s="73" t="s">
        <v>396</v>
      </c>
      <c r="AV38" s="60"/>
      <c r="AW38" s="60"/>
      <c r="AX38" s="60" t="s">
        <v>396</v>
      </c>
      <c r="AY38" s="60"/>
      <c r="AZ38" s="60"/>
      <c r="BA38" s="60"/>
      <c r="BB38" s="60"/>
      <c r="BC38" s="60"/>
      <c r="BD38" s="60"/>
      <c r="BE38" s="60"/>
      <c r="BF38" s="60"/>
      <c r="BG38" s="60" t="s">
        <v>382</v>
      </c>
      <c r="BH38" s="60"/>
      <c r="BI38" s="60"/>
      <c r="BJ38" s="60"/>
      <c r="BK38" s="60"/>
      <c r="BL38" s="60"/>
      <c r="BM38" s="60"/>
      <c r="BN38" s="60"/>
      <c r="BO38" s="60"/>
      <c r="BP38" s="60"/>
      <c r="BQ38" s="60"/>
      <c r="BR38" s="60"/>
      <c r="BS38" s="60"/>
      <c r="BT38" s="60"/>
      <c r="BU38" s="60"/>
      <c r="BV38" s="60"/>
      <c r="BW38" s="60"/>
      <c r="BX38" s="60"/>
      <c r="BY38" s="60"/>
      <c r="BZ38" s="60"/>
      <c r="CA38" s="60"/>
      <c r="CB38" s="60"/>
      <c r="CC38" s="60"/>
      <c r="CD38" s="60"/>
      <c r="CE38" s="60"/>
      <c r="CF38" s="60"/>
      <c r="CG38" s="60"/>
      <c r="CH38" s="60"/>
      <c r="CI38" s="60"/>
      <c r="CJ38" s="60"/>
      <c r="CK38" s="60"/>
      <c r="CL38" s="60"/>
      <c r="CM38" s="60"/>
      <c r="CN38" s="60"/>
      <c r="CO38" s="60"/>
      <c r="CP38" s="60"/>
      <c r="CQ38" s="60"/>
      <c r="CR38" s="60"/>
      <c r="CS38" s="60"/>
      <c r="CT38" s="60"/>
      <c r="CU38" s="60"/>
      <c r="CV38" s="60"/>
      <c r="CW38" s="60"/>
      <c r="CX38" s="60"/>
      <c r="CY38" s="60"/>
      <c r="CZ38" s="60"/>
      <c r="DA38" s="60"/>
      <c r="DB38" s="60"/>
      <c r="DC38" s="60"/>
      <c r="DD38" s="60"/>
      <c r="DE38" s="60"/>
      <c r="DF38" s="60"/>
      <c r="DG38" s="60"/>
      <c r="DH38" s="60"/>
      <c r="DI38" s="60"/>
      <c r="DJ38" s="60"/>
      <c r="DK38" s="60"/>
      <c r="DL38" s="60"/>
      <c r="DM38" s="60"/>
      <c r="DN38" s="60"/>
      <c r="DO38" s="60"/>
      <c r="DP38" s="60"/>
      <c r="DQ38" s="60"/>
      <c r="DR38" s="60"/>
      <c r="DS38" s="60"/>
      <c r="DT38" s="60"/>
    </row>
    <row r="39" spans="1:124" ht="21.75" customHeight="1">
      <c r="A39" s="311"/>
      <c r="B39" s="232"/>
      <c r="C39" s="233"/>
      <c r="D39" s="234"/>
      <c r="E39" s="65"/>
      <c r="F39" s="65"/>
      <c r="G39" s="65"/>
      <c r="H39" s="65"/>
      <c r="I39" s="65"/>
      <c r="J39" s="65"/>
      <c r="K39" s="65"/>
      <c r="L39" s="65"/>
      <c r="M39" s="65"/>
      <c r="N39" s="65"/>
      <c r="O39" s="65"/>
      <c r="P39" s="65"/>
      <c r="Q39" s="65"/>
      <c r="R39" s="65"/>
      <c r="S39" s="65"/>
      <c r="T39" s="65"/>
      <c r="U39" s="65"/>
      <c r="V39" s="65"/>
      <c r="W39" s="65"/>
      <c r="X39" s="65"/>
      <c r="Y39" s="74"/>
      <c r="Z39" s="65">
        <f>115/0.835</f>
        <v>137.7245508982036</v>
      </c>
      <c r="AA39" s="65"/>
      <c r="AB39" s="65"/>
      <c r="AC39" s="65"/>
      <c r="AD39" s="65"/>
      <c r="AE39" s="65"/>
      <c r="AF39" s="65"/>
      <c r="AG39" s="65"/>
      <c r="AH39" s="65"/>
      <c r="AI39" s="65"/>
      <c r="AJ39" s="65"/>
      <c r="AK39" s="65"/>
      <c r="AL39" s="65"/>
      <c r="AM39" s="65"/>
      <c r="AN39" s="65"/>
      <c r="AO39" s="65"/>
      <c r="AP39" s="65"/>
      <c r="AQ39" s="65"/>
      <c r="AR39" s="65"/>
      <c r="AS39" s="65"/>
      <c r="AT39" s="65"/>
      <c r="AU39" s="74">
        <f>110/0.86</f>
        <v>127.90697674418605</v>
      </c>
      <c r="AV39" s="65"/>
      <c r="AW39" s="65"/>
      <c r="AX39" s="65">
        <f>100/0.86</f>
        <v>116.27906976744187</v>
      </c>
      <c r="AY39" s="65"/>
      <c r="AZ39" s="65"/>
      <c r="BA39" s="65"/>
      <c r="BB39" s="65"/>
      <c r="BC39" s="65"/>
      <c r="BD39" s="65"/>
      <c r="BE39" s="65"/>
      <c r="BF39" s="65"/>
      <c r="BG39" s="65">
        <f>160/0.885</f>
        <v>180.79096045197741</v>
      </c>
      <c r="BH39" s="65"/>
      <c r="BI39" s="65"/>
      <c r="BJ39" s="65"/>
      <c r="BK39" s="65"/>
      <c r="BL39" s="65"/>
      <c r="BM39" s="65"/>
      <c r="BN39" s="65"/>
      <c r="BO39" s="65"/>
      <c r="BP39" s="65"/>
      <c r="BQ39" s="65"/>
      <c r="BR39" s="65"/>
      <c r="BS39" s="65"/>
      <c r="BT39" s="65"/>
      <c r="BU39" s="65"/>
      <c r="BV39" s="65"/>
      <c r="BW39" s="65"/>
      <c r="BX39" s="65"/>
      <c r="BY39" s="65"/>
      <c r="BZ39" s="65"/>
      <c r="CA39" s="65"/>
      <c r="CB39" s="65"/>
      <c r="CC39" s="65"/>
      <c r="CD39" s="65"/>
      <c r="CE39" s="65"/>
      <c r="CF39" s="65"/>
      <c r="CG39" s="65"/>
      <c r="CH39" s="65"/>
      <c r="CI39" s="65"/>
      <c r="CJ39" s="65"/>
      <c r="CK39" s="65"/>
      <c r="CL39" s="65"/>
      <c r="CM39" s="65"/>
      <c r="CN39" s="65"/>
      <c r="CO39" s="65"/>
      <c r="CP39" s="65"/>
      <c r="CQ39" s="65"/>
      <c r="CR39" s="65"/>
      <c r="CS39" s="65"/>
      <c r="CT39" s="65"/>
      <c r="CU39" s="65"/>
      <c r="CV39" s="65"/>
      <c r="CW39" s="65"/>
      <c r="CX39" s="65"/>
      <c r="CY39" s="65"/>
      <c r="CZ39" s="65"/>
      <c r="DA39" s="65"/>
      <c r="DB39" s="65"/>
      <c r="DC39" s="65"/>
      <c r="DD39" s="65"/>
      <c r="DE39" s="65"/>
      <c r="DF39" s="65"/>
      <c r="DG39" s="65"/>
      <c r="DH39" s="65"/>
      <c r="DI39" s="65"/>
      <c r="DJ39" s="65"/>
      <c r="DK39" s="65"/>
      <c r="DL39" s="65"/>
      <c r="DM39" s="65"/>
      <c r="DN39" s="65"/>
      <c r="DO39" s="65"/>
      <c r="DP39" s="65"/>
      <c r="DQ39" s="65"/>
      <c r="DR39" s="65"/>
      <c r="DS39" s="65"/>
      <c r="DT39" s="65"/>
    </row>
    <row r="40" spans="1:124" ht="21.75" customHeight="1">
      <c r="A40" s="311"/>
      <c r="B40" s="229" t="s">
        <v>46</v>
      </c>
      <c r="C40" s="230"/>
      <c r="D40" s="231"/>
      <c r="E40" s="69"/>
      <c r="F40" s="69"/>
      <c r="G40" s="69"/>
      <c r="H40" s="69"/>
      <c r="I40" s="69"/>
      <c r="J40" s="69"/>
      <c r="K40" s="69"/>
      <c r="L40" s="69"/>
      <c r="M40" s="69"/>
      <c r="N40" s="69"/>
      <c r="O40" s="69"/>
      <c r="P40" s="69"/>
      <c r="Q40" s="69"/>
      <c r="R40" s="69"/>
      <c r="S40" s="69"/>
      <c r="T40" s="69"/>
      <c r="U40" s="69"/>
      <c r="V40" s="69"/>
      <c r="W40" s="69"/>
      <c r="X40" s="60"/>
      <c r="Y40" s="69"/>
      <c r="Z40" s="69"/>
      <c r="AA40" s="69"/>
      <c r="AB40" s="69"/>
      <c r="AC40" s="69"/>
      <c r="AD40" s="69"/>
      <c r="AE40" s="68"/>
      <c r="AF40" s="68"/>
      <c r="AG40" s="69"/>
      <c r="AH40" s="68" t="s">
        <v>400</v>
      </c>
      <c r="AI40" s="60"/>
      <c r="AJ40" s="68"/>
      <c r="AK40" s="68"/>
      <c r="AL40" s="68" t="s">
        <v>402</v>
      </c>
      <c r="AM40" s="68"/>
      <c r="AN40" s="68"/>
      <c r="AO40" s="69"/>
      <c r="AP40" s="69"/>
      <c r="AQ40" s="69"/>
      <c r="AR40" s="69"/>
      <c r="AS40" s="69"/>
      <c r="AT40" s="69"/>
      <c r="AU40" s="69"/>
      <c r="AV40" s="69"/>
      <c r="AW40" s="69"/>
      <c r="AX40" s="69"/>
      <c r="AY40" s="69"/>
      <c r="AZ40" s="69"/>
      <c r="BA40" s="69"/>
      <c r="BB40" s="69"/>
      <c r="BC40" s="69"/>
      <c r="BD40" s="69"/>
      <c r="BE40" s="69"/>
      <c r="BF40" s="69"/>
      <c r="BG40" s="69"/>
      <c r="BH40" s="69"/>
      <c r="BI40" s="69"/>
      <c r="BJ40" s="69"/>
      <c r="BK40" s="69"/>
      <c r="BL40" s="69"/>
      <c r="BM40" s="69"/>
      <c r="BN40" s="69"/>
      <c r="BO40" s="69"/>
      <c r="BP40" s="69" t="s">
        <v>398</v>
      </c>
      <c r="BQ40" s="69"/>
      <c r="BR40" s="69"/>
      <c r="BS40" s="69"/>
      <c r="BT40" s="69"/>
      <c r="BU40" s="69"/>
      <c r="BV40" s="69"/>
      <c r="BW40" s="69"/>
      <c r="BX40" s="69"/>
      <c r="BY40" s="69"/>
      <c r="BZ40" s="69"/>
      <c r="CA40" s="69"/>
      <c r="CB40" s="69"/>
      <c r="CC40" s="69"/>
      <c r="CD40" s="69"/>
      <c r="CE40" s="69"/>
      <c r="CF40" s="69"/>
      <c r="CG40" s="69"/>
      <c r="CH40" s="69"/>
      <c r="CI40" s="69"/>
      <c r="CJ40" s="69"/>
      <c r="CK40" s="69"/>
      <c r="CL40" s="69"/>
      <c r="CM40" s="69"/>
      <c r="CN40" s="69"/>
      <c r="CO40" s="69"/>
      <c r="CP40" s="69"/>
      <c r="CQ40" s="69"/>
      <c r="CR40" s="69"/>
      <c r="CS40" s="69"/>
      <c r="CT40" s="69"/>
      <c r="CU40" s="69"/>
      <c r="CV40" s="69"/>
      <c r="CW40" s="69"/>
      <c r="CX40" s="69"/>
      <c r="CY40" s="69"/>
      <c r="CZ40" s="69"/>
      <c r="DA40" s="69"/>
      <c r="DB40" s="69"/>
      <c r="DC40" s="69"/>
      <c r="DD40" s="69"/>
      <c r="DE40" s="69"/>
      <c r="DF40" s="69"/>
      <c r="DG40" s="69"/>
      <c r="DH40" s="69"/>
      <c r="DI40" s="69"/>
      <c r="DJ40" s="69"/>
      <c r="DK40" s="69"/>
      <c r="DL40" s="69"/>
      <c r="DM40" s="69"/>
      <c r="DN40" s="69"/>
      <c r="DO40" s="69"/>
      <c r="DP40" s="69"/>
      <c r="DQ40" s="69"/>
      <c r="DR40" s="69"/>
      <c r="DS40" s="69"/>
      <c r="DT40" s="69"/>
    </row>
    <row r="41" spans="1:124" ht="21.75" customHeight="1">
      <c r="A41" s="311"/>
      <c r="B41" s="232"/>
      <c r="C41" s="233"/>
      <c r="D41" s="234"/>
      <c r="E41" s="70"/>
      <c r="F41" s="70"/>
      <c r="G41" s="70"/>
      <c r="H41" s="70"/>
      <c r="I41" s="70"/>
      <c r="J41" s="70"/>
      <c r="K41" s="70"/>
      <c r="L41" s="70"/>
      <c r="M41" s="70"/>
      <c r="N41" s="70"/>
      <c r="O41" s="70"/>
      <c r="P41" s="70"/>
      <c r="Q41" s="70"/>
      <c r="R41" s="70"/>
      <c r="S41" s="70"/>
      <c r="T41" s="70"/>
      <c r="U41" s="70"/>
      <c r="V41" s="70"/>
      <c r="W41" s="70"/>
      <c r="X41" s="65"/>
      <c r="Y41" s="70"/>
      <c r="Z41" s="70"/>
      <c r="AA41" s="70"/>
      <c r="AB41" s="70"/>
      <c r="AC41" s="70"/>
      <c r="AD41" s="70"/>
      <c r="AE41" s="65"/>
      <c r="AF41" s="65"/>
      <c r="AG41" s="70"/>
      <c r="AH41" s="65">
        <f>110/0.885</f>
        <v>124.29378531073446</v>
      </c>
      <c r="AI41" s="65"/>
      <c r="AJ41" s="65"/>
      <c r="AK41" s="65"/>
      <c r="AL41" s="65">
        <f>100/0.935</f>
        <v>106.951871657754</v>
      </c>
      <c r="AM41" s="65"/>
      <c r="AN41" s="65"/>
      <c r="AO41" s="70"/>
      <c r="AP41" s="70"/>
      <c r="AQ41" s="70"/>
      <c r="AR41" s="70"/>
      <c r="AS41" s="70"/>
      <c r="AT41" s="70"/>
      <c r="AU41" s="70"/>
      <c r="AV41" s="70"/>
      <c r="AW41" s="70"/>
      <c r="AX41" s="70"/>
      <c r="AY41" s="70"/>
      <c r="AZ41" s="70"/>
      <c r="BA41" s="70"/>
      <c r="BB41" s="70"/>
      <c r="BC41" s="70"/>
      <c r="BD41" s="70"/>
      <c r="BE41" s="70"/>
      <c r="BF41" s="70"/>
      <c r="BG41" s="70"/>
      <c r="BH41" s="70"/>
      <c r="BI41" s="70"/>
      <c r="BJ41" s="70"/>
      <c r="BK41" s="70"/>
      <c r="BL41" s="70"/>
      <c r="BM41" s="70"/>
      <c r="BN41" s="70"/>
      <c r="BO41" s="70"/>
      <c r="BP41" s="70">
        <f>90/0.91</f>
        <v>98.901098901098891</v>
      </c>
      <c r="BQ41" s="70"/>
      <c r="BR41" s="70"/>
      <c r="BS41" s="70"/>
      <c r="BT41" s="70"/>
      <c r="BU41" s="70"/>
      <c r="BV41" s="70"/>
      <c r="BW41" s="70"/>
      <c r="BX41" s="70"/>
      <c r="BY41" s="70"/>
      <c r="BZ41" s="70"/>
      <c r="CA41" s="70"/>
      <c r="CB41" s="70"/>
      <c r="CC41" s="70"/>
      <c r="CD41" s="70"/>
      <c r="CE41" s="70"/>
      <c r="CF41" s="70"/>
      <c r="CG41" s="70"/>
      <c r="CH41" s="70"/>
      <c r="CI41" s="70"/>
      <c r="CJ41" s="70"/>
      <c r="CK41" s="70"/>
      <c r="CL41" s="70"/>
      <c r="CM41" s="70"/>
      <c r="CN41" s="70"/>
      <c r="CO41" s="70"/>
      <c r="CP41" s="70"/>
      <c r="CQ41" s="70"/>
      <c r="CR41" s="70"/>
      <c r="CS41" s="70"/>
      <c r="CT41" s="70"/>
      <c r="CU41" s="70"/>
      <c r="CV41" s="70"/>
      <c r="CW41" s="70"/>
      <c r="CX41" s="70"/>
      <c r="CY41" s="70"/>
      <c r="CZ41" s="70"/>
      <c r="DA41" s="70"/>
      <c r="DB41" s="70"/>
      <c r="DC41" s="70"/>
      <c r="DD41" s="70"/>
      <c r="DE41" s="70"/>
      <c r="DF41" s="70"/>
      <c r="DG41" s="70"/>
      <c r="DH41" s="70"/>
      <c r="DI41" s="70"/>
      <c r="DJ41" s="70"/>
      <c r="DK41" s="70"/>
      <c r="DL41" s="70"/>
      <c r="DM41" s="70"/>
      <c r="DN41" s="70"/>
      <c r="DO41" s="70"/>
      <c r="DP41" s="70"/>
      <c r="DQ41" s="70"/>
      <c r="DR41" s="70"/>
      <c r="DS41" s="70"/>
      <c r="DT41" s="70"/>
    </row>
    <row r="42" spans="1:124" ht="21.75" customHeight="1">
      <c r="A42" s="311"/>
      <c r="B42" s="229" t="s">
        <v>75</v>
      </c>
      <c r="C42" s="230"/>
      <c r="D42" s="231"/>
      <c r="E42" s="60"/>
      <c r="F42" s="60"/>
      <c r="G42" s="60"/>
      <c r="H42" s="60"/>
      <c r="I42" s="60"/>
      <c r="J42" s="60"/>
      <c r="K42" s="60"/>
      <c r="L42" s="60"/>
      <c r="M42" s="60"/>
      <c r="N42" s="60"/>
      <c r="O42" s="60"/>
      <c r="P42" s="60"/>
      <c r="Q42" s="60"/>
      <c r="R42" s="60"/>
      <c r="S42" s="60"/>
      <c r="T42" s="60"/>
      <c r="U42" s="60"/>
      <c r="V42" s="60"/>
      <c r="W42" s="60"/>
      <c r="X42" s="60"/>
      <c r="Y42" s="60"/>
      <c r="Z42" s="60"/>
      <c r="AA42" s="60"/>
      <c r="AB42" s="60" t="s">
        <v>403</v>
      </c>
      <c r="AC42" s="60"/>
      <c r="AD42" s="60"/>
      <c r="AE42" s="60"/>
      <c r="AF42" s="60"/>
      <c r="AG42" s="60"/>
      <c r="AH42" s="60"/>
      <c r="AI42" s="60"/>
      <c r="AJ42" s="60"/>
      <c r="AK42" s="60"/>
      <c r="AL42" s="75"/>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c r="BK42" s="60"/>
      <c r="BL42" s="60"/>
      <c r="BM42" s="60"/>
      <c r="BN42" s="60"/>
      <c r="BO42" s="60"/>
      <c r="BP42" s="60"/>
      <c r="BQ42" s="60"/>
      <c r="BR42" s="60"/>
      <c r="BS42" s="60"/>
      <c r="BT42" s="60"/>
      <c r="BU42" s="60"/>
      <c r="BV42" s="60"/>
      <c r="BW42" s="60"/>
      <c r="BX42" s="60"/>
      <c r="BY42" s="60"/>
      <c r="BZ42" s="60"/>
      <c r="CA42" s="60"/>
      <c r="CB42" s="60"/>
      <c r="CC42" s="60"/>
      <c r="CD42" s="60"/>
      <c r="CE42" s="60"/>
      <c r="CF42" s="60"/>
      <c r="CG42" s="60"/>
      <c r="CH42" s="60"/>
      <c r="CI42" s="60"/>
      <c r="CJ42" s="60"/>
      <c r="CK42" s="60"/>
      <c r="CL42" s="60"/>
      <c r="CM42" s="60"/>
      <c r="CN42" s="60"/>
      <c r="CO42" s="60"/>
      <c r="CP42" s="60"/>
      <c r="CQ42" s="60"/>
      <c r="CR42" s="60"/>
      <c r="CS42" s="60"/>
      <c r="CT42" s="60"/>
      <c r="CU42" s="60"/>
      <c r="CV42" s="60"/>
      <c r="CW42" s="60"/>
      <c r="CX42" s="60"/>
      <c r="CY42" s="60"/>
      <c r="CZ42" s="60"/>
      <c r="DA42" s="60"/>
      <c r="DB42" s="60"/>
      <c r="DC42" s="60"/>
      <c r="DD42" s="60"/>
      <c r="DE42" s="60"/>
      <c r="DF42" s="60"/>
      <c r="DG42" s="60"/>
      <c r="DH42" s="60"/>
      <c r="DI42" s="60"/>
      <c r="DJ42" s="60"/>
      <c r="DK42" s="60"/>
      <c r="DL42" s="60"/>
      <c r="DM42" s="60"/>
      <c r="DN42" s="60"/>
      <c r="DO42" s="60"/>
      <c r="DP42" s="60"/>
      <c r="DQ42" s="60"/>
      <c r="DR42" s="60"/>
      <c r="DS42" s="60"/>
      <c r="DT42" s="60"/>
    </row>
    <row r="43" spans="1:124" ht="21.75" customHeight="1">
      <c r="A43" s="311"/>
      <c r="B43" s="232"/>
      <c r="C43" s="233"/>
      <c r="D43" s="234"/>
      <c r="E43" s="65"/>
      <c r="F43" s="65"/>
      <c r="G43" s="65"/>
      <c r="H43" s="65"/>
      <c r="I43" s="65"/>
      <c r="J43" s="65"/>
      <c r="K43" s="65"/>
      <c r="L43" s="65"/>
      <c r="M43" s="65"/>
      <c r="N43" s="65"/>
      <c r="O43" s="65"/>
      <c r="P43" s="65"/>
      <c r="Q43" s="65"/>
      <c r="R43" s="65"/>
      <c r="S43" s="65"/>
      <c r="T43" s="65"/>
      <c r="U43" s="65"/>
      <c r="V43" s="65"/>
      <c r="W43" s="65"/>
      <c r="X43" s="65"/>
      <c r="Y43" s="65"/>
      <c r="Z43" s="65"/>
      <c r="AA43" s="65"/>
      <c r="AB43" s="65">
        <f>120/0.883</f>
        <v>135.90033975084938</v>
      </c>
      <c r="AC43" s="65"/>
      <c r="AD43" s="65"/>
      <c r="AE43" s="65"/>
      <c r="AF43" s="65"/>
      <c r="AG43" s="65"/>
      <c r="AH43" s="65"/>
      <c r="AI43" s="65"/>
      <c r="AJ43" s="65"/>
      <c r="AK43" s="65"/>
      <c r="AL43" s="65"/>
      <c r="AM43" s="65"/>
      <c r="AN43" s="65"/>
      <c r="AO43" s="65"/>
      <c r="AP43" s="65"/>
      <c r="AQ43" s="65"/>
      <c r="AR43" s="65"/>
      <c r="AS43" s="65"/>
      <c r="AT43" s="65"/>
      <c r="AU43" s="65"/>
      <c r="AV43" s="65"/>
      <c r="AW43" s="65"/>
      <c r="AX43" s="65"/>
      <c r="AY43" s="65"/>
      <c r="AZ43" s="65"/>
      <c r="BA43" s="65"/>
      <c r="BB43" s="65"/>
      <c r="BC43" s="65"/>
      <c r="BD43" s="65"/>
      <c r="BE43" s="65"/>
      <c r="BF43" s="65"/>
      <c r="BG43" s="65"/>
      <c r="BH43" s="65"/>
      <c r="BI43" s="65"/>
      <c r="BJ43" s="65"/>
      <c r="BK43" s="65"/>
      <c r="BL43" s="65"/>
      <c r="BM43" s="65"/>
      <c r="BN43" s="65"/>
      <c r="BO43" s="65"/>
      <c r="BP43" s="65"/>
      <c r="BQ43" s="65"/>
      <c r="BR43" s="65"/>
      <c r="BS43" s="65"/>
      <c r="BT43" s="65"/>
      <c r="BU43" s="65"/>
      <c r="BV43" s="65"/>
      <c r="BW43" s="65"/>
      <c r="BX43" s="65"/>
      <c r="BY43" s="65"/>
      <c r="BZ43" s="65"/>
      <c r="CA43" s="65"/>
      <c r="CB43" s="65"/>
      <c r="CC43" s="65"/>
      <c r="CD43" s="65"/>
      <c r="CE43" s="65"/>
      <c r="CF43" s="65"/>
      <c r="CG43" s="65"/>
      <c r="CH43" s="65"/>
      <c r="CI43" s="65"/>
      <c r="CJ43" s="65"/>
      <c r="CK43" s="65"/>
      <c r="CL43" s="65"/>
      <c r="CM43" s="65"/>
      <c r="CN43" s="65"/>
      <c r="CO43" s="65"/>
      <c r="CP43" s="65"/>
      <c r="CQ43" s="65"/>
      <c r="CR43" s="65"/>
      <c r="CS43" s="65"/>
      <c r="CT43" s="65"/>
      <c r="CU43" s="65"/>
      <c r="CV43" s="65"/>
      <c r="CW43" s="65"/>
      <c r="CX43" s="65"/>
      <c r="CY43" s="65"/>
      <c r="CZ43" s="65"/>
      <c r="DA43" s="65"/>
      <c r="DB43" s="65"/>
      <c r="DC43" s="65"/>
      <c r="DD43" s="65"/>
      <c r="DE43" s="65"/>
      <c r="DF43" s="65"/>
      <c r="DG43" s="65"/>
      <c r="DH43" s="65"/>
      <c r="DI43" s="65"/>
      <c r="DJ43" s="65"/>
      <c r="DK43" s="65"/>
      <c r="DL43" s="65"/>
      <c r="DM43" s="65"/>
      <c r="DN43" s="65"/>
      <c r="DO43" s="65"/>
      <c r="DP43" s="65"/>
      <c r="DQ43" s="65"/>
      <c r="DR43" s="65"/>
      <c r="DS43" s="65"/>
      <c r="DT43" s="65"/>
    </row>
    <row r="44" spans="1:124" ht="21.75" customHeight="1">
      <c r="A44" s="311"/>
      <c r="B44" s="229" t="s">
        <v>404</v>
      </c>
      <c r="C44" s="230"/>
      <c r="D44" s="231"/>
      <c r="E44" s="60"/>
      <c r="F44" s="60"/>
      <c r="G44" s="60"/>
      <c r="H44" s="60"/>
      <c r="I44" s="60"/>
      <c r="J44" s="60"/>
      <c r="K44" s="60"/>
      <c r="L44" s="60"/>
      <c r="M44" s="60"/>
      <c r="N44" s="60"/>
      <c r="O44" s="60"/>
      <c r="P44" s="60"/>
      <c r="Q44" s="60"/>
      <c r="R44" s="60"/>
      <c r="S44" s="60"/>
      <c r="T44" s="60"/>
      <c r="U44" s="60"/>
      <c r="V44" s="60"/>
      <c r="W44" s="60"/>
      <c r="X44" s="60"/>
      <c r="Y44" s="60"/>
      <c r="Z44" s="60"/>
      <c r="AA44" s="60"/>
      <c r="AB44" s="60"/>
      <c r="AC44" s="60" t="s">
        <v>405</v>
      </c>
      <c r="AD44" s="69"/>
      <c r="AE44" s="68" t="s">
        <v>396</v>
      </c>
      <c r="AF44" s="68"/>
      <c r="AG44" s="60"/>
      <c r="AH44" s="68"/>
      <c r="AI44" s="68"/>
      <c r="AJ44" s="68"/>
      <c r="AK44" s="68"/>
      <c r="AL44" s="68"/>
      <c r="AM44" s="68"/>
      <c r="AN44" s="68"/>
      <c r="AO44" s="60"/>
      <c r="AP44" s="60"/>
      <c r="AQ44" s="60"/>
      <c r="AR44" s="60"/>
      <c r="AS44" s="60"/>
      <c r="AT44" s="60"/>
      <c r="AU44" s="60"/>
      <c r="AV44" s="60"/>
      <c r="AW44" s="60"/>
      <c r="AX44" s="60"/>
      <c r="AY44" s="60"/>
      <c r="AZ44" s="60"/>
      <c r="BA44" s="60"/>
      <c r="BB44" s="60"/>
      <c r="BC44" s="60"/>
      <c r="BD44" s="60"/>
      <c r="BE44" s="60"/>
      <c r="BF44" s="60"/>
      <c r="BG44" s="60"/>
      <c r="BH44" s="60"/>
      <c r="BI44" s="60"/>
      <c r="BJ44" s="60"/>
      <c r="BK44" s="60"/>
      <c r="BL44" s="60"/>
      <c r="BM44" s="60"/>
      <c r="BN44" s="60"/>
      <c r="BO44" s="60"/>
      <c r="BP44" s="60"/>
      <c r="BQ44" s="60"/>
      <c r="BR44" s="60"/>
      <c r="BS44" s="60"/>
      <c r="BT44" s="60"/>
      <c r="BU44" s="60"/>
      <c r="BV44" s="60"/>
      <c r="BW44" s="60"/>
      <c r="BX44" s="60"/>
      <c r="BY44" s="60"/>
      <c r="BZ44" s="60"/>
      <c r="CA44" s="60"/>
      <c r="CB44" s="60"/>
      <c r="CC44" s="60"/>
      <c r="CD44" s="60"/>
      <c r="CE44" s="60"/>
      <c r="CF44" s="60"/>
      <c r="CG44" s="60"/>
      <c r="CH44" s="60"/>
      <c r="CI44" s="60"/>
      <c r="CJ44" s="60"/>
      <c r="CK44" s="60"/>
      <c r="CL44" s="60"/>
      <c r="CM44" s="60"/>
      <c r="CN44" s="60"/>
      <c r="CO44" s="60"/>
      <c r="CP44" s="60"/>
      <c r="CQ44" s="60"/>
      <c r="CR44" s="60"/>
      <c r="CS44" s="60"/>
      <c r="CT44" s="60"/>
      <c r="CU44" s="60"/>
      <c r="CV44" s="60"/>
      <c r="CW44" s="60"/>
      <c r="CX44" s="60"/>
      <c r="CY44" s="60"/>
      <c r="CZ44" s="60"/>
      <c r="DA44" s="60"/>
      <c r="DB44" s="60"/>
      <c r="DC44" s="60"/>
      <c r="DD44" s="60"/>
      <c r="DE44" s="60"/>
      <c r="DF44" s="60"/>
      <c r="DG44" s="60"/>
      <c r="DH44" s="60"/>
      <c r="DI44" s="60"/>
      <c r="DJ44" s="60"/>
      <c r="DK44" s="60"/>
      <c r="DL44" s="60"/>
      <c r="DM44" s="60"/>
      <c r="DN44" s="60"/>
      <c r="DO44" s="60"/>
      <c r="DP44" s="60"/>
      <c r="DQ44" s="60"/>
      <c r="DR44" s="60"/>
      <c r="DS44" s="60"/>
      <c r="DT44" s="60"/>
    </row>
    <row r="45" spans="1:124" ht="21.75" customHeight="1">
      <c r="A45" s="311"/>
      <c r="B45" s="232"/>
      <c r="C45" s="233"/>
      <c r="D45" s="234"/>
      <c r="E45" s="65"/>
      <c r="F45" s="65"/>
      <c r="G45" s="65"/>
      <c r="H45" s="65"/>
      <c r="I45" s="65"/>
      <c r="J45" s="65"/>
      <c r="K45" s="65">
        <v>300</v>
      </c>
      <c r="L45" s="65"/>
      <c r="M45" s="65"/>
      <c r="N45" s="65"/>
      <c r="O45" s="65"/>
      <c r="P45" s="65"/>
      <c r="Q45" s="65"/>
      <c r="R45" s="65"/>
      <c r="S45" s="65"/>
      <c r="T45" s="65"/>
      <c r="U45" s="65"/>
      <c r="V45" s="65"/>
      <c r="W45" s="65"/>
      <c r="X45" s="65"/>
      <c r="Y45" s="65"/>
      <c r="Z45" s="65"/>
      <c r="AA45" s="65"/>
      <c r="AB45" s="65"/>
      <c r="AC45" s="71">
        <f>310</f>
        <v>310</v>
      </c>
      <c r="AD45" s="70"/>
      <c r="AE45" s="71">
        <f>320/0.86</f>
        <v>372.09302325581393</v>
      </c>
      <c r="AF45" s="65"/>
      <c r="AG45" s="65"/>
      <c r="AH45" s="65"/>
      <c r="AI45" s="65"/>
      <c r="AJ45" s="65"/>
      <c r="AK45" s="65"/>
      <c r="AL45" s="65"/>
      <c r="AM45" s="65"/>
      <c r="AN45" s="65"/>
      <c r="AO45" s="65"/>
      <c r="AP45" s="65"/>
      <c r="AQ45" s="65"/>
      <c r="AR45" s="65"/>
      <c r="AS45" s="65"/>
      <c r="AT45" s="65"/>
      <c r="AU45" s="65"/>
      <c r="AV45" s="65"/>
      <c r="AW45" s="65"/>
      <c r="AX45" s="65"/>
      <c r="AY45" s="65"/>
      <c r="AZ45" s="65"/>
      <c r="BA45" s="65"/>
      <c r="BB45" s="65"/>
      <c r="BC45" s="65"/>
      <c r="BD45" s="65"/>
      <c r="BE45" s="65"/>
      <c r="BF45" s="65"/>
      <c r="BG45" s="65"/>
      <c r="BH45" s="65"/>
      <c r="BI45" s="65"/>
      <c r="BJ45" s="65"/>
      <c r="BK45" s="65"/>
      <c r="BL45" s="65"/>
      <c r="BM45" s="65"/>
      <c r="BN45" s="65"/>
      <c r="BO45" s="65"/>
      <c r="BP45" s="65"/>
      <c r="BQ45" s="65"/>
      <c r="BR45" s="65"/>
      <c r="BS45" s="65"/>
      <c r="BT45" s="65"/>
      <c r="BU45" s="65"/>
      <c r="BV45" s="65"/>
      <c r="BW45" s="65"/>
      <c r="BX45" s="65"/>
      <c r="BY45" s="65"/>
      <c r="BZ45" s="65"/>
      <c r="CA45" s="65"/>
      <c r="CB45" s="65"/>
      <c r="CC45" s="65"/>
      <c r="CD45" s="65"/>
      <c r="CE45" s="65"/>
      <c r="CF45" s="65"/>
      <c r="CG45" s="65"/>
      <c r="CH45" s="65"/>
      <c r="CI45" s="65"/>
      <c r="CJ45" s="65"/>
      <c r="CK45" s="65"/>
      <c r="CL45" s="65"/>
      <c r="CM45" s="65"/>
      <c r="CN45" s="65"/>
      <c r="CO45" s="65"/>
      <c r="CP45" s="65"/>
      <c r="CQ45" s="65"/>
      <c r="CR45" s="65"/>
      <c r="CS45" s="65"/>
      <c r="CT45" s="65"/>
      <c r="CU45" s="65"/>
      <c r="CV45" s="65"/>
      <c r="CW45" s="65"/>
      <c r="CX45" s="65"/>
      <c r="CY45" s="65"/>
      <c r="CZ45" s="65"/>
      <c r="DA45" s="65"/>
      <c r="DB45" s="65"/>
      <c r="DC45" s="65"/>
      <c r="DD45" s="65"/>
      <c r="DE45" s="65"/>
      <c r="DF45" s="65"/>
      <c r="DG45" s="65"/>
      <c r="DH45" s="65"/>
      <c r="DI45" s="65"/>
      <c r="DJ45" s="65"/>
      <c r="DK45" s="65"/>
      <c r="DL45" s="65"/>
      <c r="DM45" s="65"/>
      <c r="DN45" s="65"/>
      <c r="DO45" s="65"/>
      <c r="DP45" s="65"/>
      <c r="DQ45" s="65"/>
      <c r="DR45" s="65"/>
      <c r="DS45" s="65"/>
      <c r="DT45" s="65"/>
    </row>
    <row r="46" spans="1:124" ht="21.75" customHeight="1">
      <c r="A46" s="311"/>
      <c r="B46" s="229" t="s">
        <v>406</v>
      </c>
      <c r="C46" s="230"/>
      <c r="D46" s="231"/>
      <c r="E46" s="60"/>
      <c r="F46" s="60"/>
      <c r="G46" s="60"/>
      <c r="H46" s="60"/>
      <c r="I46" s="60"/>
      <c r="J46" s="60"/>
      <c r="K46" s="60"/>
      <c r="L46" s="60"/>
      <c r="M46" s="60"/>
      <c r="N46" s="60"/>
      <c r="O46" s="60"/>
      <c r="P46" s="60"/>
      <c r="Q46" s="60"/>
      <c r="R46" s="60"/>
      <c r="S46" s="60"/>
      <c r="T46" s="60"/>
      <c r="U46" s="60"/>
      <c r="V46" s="60"/>
      <c r="W46" s="60"/>
      <c r="X46" s="60" t="s">
        <v>392</v>
      </c>
      <c r="Y46" s="60"/>
      <c r="Z46" s="60"/>
      <c r="AA46" s="60" t="s">
        <v>396</v>
      </c>
      <c r="AB46" s="60"/>
      <c r="AC46" s="60"/>
      <c r="AD46" s="69"/>
      <c r="AE46" s="68"/>
      <c r="AF46" s="68" t="s">
        <v>396</v>
      </c>
      <c r="AG46" s="60"/>
      <c r="AH46" s="68"/>
      <c r="AI46" s="68"/>
      <c r="AJ46" s="68"/>
      <c r="AK46" s="68"/>
      <c r="AL46" s="68"/>
      <c r="AM46" s="68"/>
      <c r="AN46" s="68"/>
      <c r="AO46" s="60"/>
      <c r="AP46" s="60"/>
      <c r="AQ46" s="60"/>
      <c r="AR46" s="60"/>
      <c r="AS46" s="60"/>
      <c r="AT46" s="60"/>
      <c r="AU46" s="60" t="s">
        <v>407</v>
      </c>
      <c r="AV46" s="60"/>
      <c r="AW46" s="60"/>
      <c r="AX46" s="60" t="s">
        <v>401</v>
      </c>
      <c r="AY46" s="62" t="s">
        <v>408</v>
      </c>
      <c r="AZ46" s="60"/>
      <c r="BA46" s="60"/>
      <c r="BB46" s="60"/>
      <c r="BC46" s="60"/>
      <c r="BD46" s="60"/>
      <c r="BE46" s="60"/>
      <c r="BF46" s="60"/>
      <c r="BG46" s="60" t="s">
        <v>401</v>
      </c>
      <c r="BH46" s="60"/>
      <c r="BI46" s="60"/>
      <c r="BJ46" s="60"/>
      <c r="BK46" s="60"/>
      <c r="BL46" s="60"/>
      <c r="BM46" s="60"/>
      <c r="BN46" s="60"/>
      <c r="BO46" s="60"/>
      <c r="BP46" s="60"/>
      <c r="BQ46" s="60"/>
      <c r="BR46" s="60"/>
      <c r="BS46" s="60"/>
      <c r="BT46" s="60"/>
      <c r="BU46" s="60"/>
      <c r="BV46" s="60"/>
      <c r="BW46" s="60"/>
      <c r="BX46" s="60"/>
      <c r="BY46" s="60"/>
      <c r="BZ46" s="60"/>
      <c r="CA46" s="60"/>
      <c r="CB46" s="60"/>
      <c r="CC46" s="60"/>
      <c r="CD46" s="60"/>
      <c r="CE46" s="60"/>
      <c r="CF46" s="60"/>
      <c r="CG46" s="60"/>
      <c r="CH46" s="60"/>
      <c r="CI46" s="60"/>
      <c r="CJ46" s="60"/>
      <c r="CK46" s="60"/>
      <c r="CL46" s="60"/>
      <c r="CM46" s="60"/>
      <c r="CN46" s="60"/>
      <c r="CO46" s="60"/>
      <c r="CP46" s="60"/>
      <c r="CQ46" s="60"/>
      <c r="CR46" s="60"/>
      <c r="CS46" s="60"/>
      <c r="CT46" s="60"/>
      <c r="CU46" s="60"/>
      <c r="CV46" s="60"/>
      <c r="CW46" s="60"/>
      <c r="CX46" s="60"/>
      <c r="CY46" s="60"/>
      <c r="CZ46" s="60"/>
      <c r="DA46" s="60"/>
      <c r="DB46" s="60"/>
      <c r="DC46" s="60"/>
      <c r="DD46" s="60"/>
      <c r="DE46" s="60"/>
      <c r="DF46" s="60"/>
      <c r="DG46" s="60"/>
      <c r="DH46" s="60"/>
      <c r="DI46" s="60"/>
      <c r="DJ46" s="60"/>
      <c r="DK46" s="60"/>
      <c r="DL46" s="60"/>
      <c r="DM46" s="60"/>
      <c r="DN46" s="60"/>
      <c r="DO46" s="60"/>
      <c r="DP46" s="60"/>
      <c r="DQ46" s="60"/>
      <c r="DR46" s="60"/>
      <c r="DS46" s="60"/>
      <c r="DT46" s="60"/>
    </row>
    <row r="47" spans="1:124" ht="21.75" customHeight="1">
      <c r="A47" s="311"/>
      <c r="B47" s="232"/>
      <c r="C47" s="233"/>
      <c r="D47" s="234"/>
      <c r="E47" s="65"/>
      <c r="F47" s="65"/>
      <c r="G47" s="65"/>
      <c r="H47" s="65"/>
      <c r="I47" s="65"/>
      <c r="J47" s="65"/>
      <c r="K47" s="65"/>
      <c r="L47" s="65"/>
      <c r="M47" s="65"/>
      <c r="N47" s="65"/>
      <c r="O47" s="65"/>
      <c r="P47" s="65"/>
      <c r="Q47" s="65"/>
      <c r="R47" s="65"/>
      <c r="S47" s="65"/>
      <c r="T47" s="65"/>
      <c r="U47" s="65"/>
      <c r="V47" s="65"/>
      <c r="W47" s="65"/>
      <c r="X47" s="65">
        <v>0</v>
      </c>
      <c r="Y47" s="65"/>
      <c r="Z47" s="65"/>
      <c r="AA47" s="65">
        <v>0</v>
      </c>
      <c r="AB47" s="65"/>
      <c r="AC47" s="65"/>
      <c r="AD47" s="70"/>
      <c r="AE47" s="65"/>
      <c r="AF47" s="65">
        <f>200/0.86</f>
        <v>232.55813953488374</v>
      </c>
      <c r="AG47" s="65"/>
      <c r="AH47" s="65"/>
      <c r="AI47" s="65"/>
      <c r="AJ47" s="65"/>
      <c r="AK47" s="65"/>
      <c r="AL47" s="65"/>
      <c r="AM47" s="65"/>
      <c r="AN47" s="65"/>
      <c r="AO47" s="65"/>
      <c r="AP47" s="65"/>
      <c r="AQ47" s="65"/>
      <c r="AR47" s="65"/>
      <c r="AS47" s="65"/>
      <c r="AT47" s="65"/>
      <c r="AU47" s="65">
        <f>160/0.735</f>
        <v>217.68707482993199</v>
      </c>
      <c r="AV47" s="65"/>
      <c r="AW47" s="65"/>
      <c r="AX47" s="65">
        <f>160/0.86</f>
        <v>186.04651162790697</v>
      </c>
      <c r="AY47" s="67">
        <f>250/0.785</f>
        <v>318.4713375796178</v>
      </c>
      <c r="AZ47" s="65"/>
      <c r="BA47" s="65"/>
      <c r="BB47" s="65"/>
      <c r="BC47" s="65"/>
      <c r="BD47" s="65"/>
      <c r="BE47" s="65"/>
      <c r="BF47" s="65"/>
      <c r="BG47" s="65">
        <f>220/0.835</f>
        <v>263.4730538922156</v>
      </c>
      <c r="BH47" s="65"/>
      <c r="BI47" s="65"/>
      <c r="BJ47" s="65"/>
      <c r="BK47" s="65"/>
      <c r="BL47" s="65"/>
      <c r="BM47" s="65"/>
      <c r="BN47" s="65"/>
      <c r="BO47" s="65"/>
      <c r="BP47" s="65"/>
      <c r="BQ47" s="65"/>
      <c r="BR47" s="65"/>
      <c r="BS47" s="65"/>
      <c r="BT47" s="65"/>
      <c r="BU47" s="65"/>
      <c r="BV47" s="65"/>
      <c r="BW47" s="65"/>
      <c r="BX47" s="65"/>
      <c r="BY47" s="65"/>
      <c r="BZ47" s="65"/>
      <c r="CA47" s="65"/>
      <c r="CB47" s="65"/>
      <c r="CC47" s="65"/>
      <c r="CD47" s="65"/>
      <c r="CE47" s="65"/>
      <c r="CF47" s="65"/>
      <c r="CG47" s="65"/>
      <c r="CH47" s="65"/>
      <c r="CI47" s="65"/>
      <c r="CJ47" s="65"/>
      <c r="CK47" s="65"/>
      <c r="CL47" s="65"/>
      <c r="CM47" s="65"/>
      <c r="CN47" s="65"/>
      <c r="CO47" s="65"/>
      <c r="CP47" s="65"/>
      <c r="CQ47" s="65"/>
      <c r="CR47" s="65"/>
      <c r="CS47" s="65"/>
      <c r="CT47" s="65"/>
      <c r="CU47" s="65"/>
      <c r="CV47" s="65"/>
      <c r="CW47" s="65"/>
      <c r="CX47" s="65"/>
      <c r="CY47" s="65"/>
      <c r="CZ47" s="65"/>
      <c r="DA47" s="65"/>
      <c r="DB47" s="65"/>
      <c r="DC47" s="65"/>
      <c r="DD47" s="65"/>
      <c r="DE47" s="65"/>
      <c r="DF47" s="65"/>
      <c r="DG47" s="65"/>
      <c r="DH47" s="65"/>
      <c r="DI47" s="65"/>
      <c r="DJ47" s="65"/>
      <c r="DK47" s="65"/>
      <c r="DL47" s="65"/>
      <c r="DM47" s="65"/>
      <c r="DN47" s="65"/>
      <c r="DO47" s="65"/>
      <c r="DP47" s="65"/>
      <c r="DQ47" s="65"/>
      <c r="DR47" s="65"/>
      <c r="DS47" s="65"/>
      <c r="DT47" s="65"/>
    </row>
    <row r="48" spans="1:124" ht="21.75" customHeight="1">
      <c r="A48" s="311"/>
      <c r="B48" s="229" t="s">
        <v>409</v>
      </c>
      <c r="C48" s="230"/>
      <c r="D48" s="231"/>
      <c r="E48" s="69"/>
      <c r="F48" s="69"/>
      <c r="G48" s="69"/>
      <c r="H48" s="69"/>
      <c r="I48" s="69"/>
      <c r="J48" s="69"/>
      <c r="K48" s="69"/>
      <c r="L48" s="69"/>
      <c r="M48" s="69"/>
      <c r="N48" s="69"/>
      <c r="O48" s="69"/>
      <c r="P48" s="69"/>
      <c r="Q48" s="69"/>
      <c r="R48" s="69"/>
      <c r="S48" s="69"/>
      <c r="T48" s="69"/>
      <c r="U48" s="69"/>
      <c r="V48" s="69"/>
      <c r="W48" s="69"/>
      <c r="X48" s="69"/>
      <c r="Y48" s="69"/>
      <c r="Z48" s="69"/>
      <c r="AA48" s="69"/>
      <c r="AB48" s="69"/>
      <c r="AC48" s="69"/>
      <c r="AD48" s="69"/>
      <c r="AE48" s="69"/>
      <c r="AF48" s="69"/>
      <c r="AG48" s="69"/>
      <c r="AH48" s="69"/>
      <c r="AI48" s="69"/>
      <c r="AJ48" s="69"/>
      <c r="AK48" s="69"/>
      <c r="AL48" s="69"/>
      <c r="AM48" s="69"/>
      <c r="AN48" s="69"/>
      <c r="AO48" s="69"/>
      <c r="AP48" s="68"/>
      <c r="AQ48" s="68"/>
      <c r="AR48" s="68"/>
      <c r="AS48" s="69"/>
      <c r="AT48" s="69"/>
      <c r="AU48" s="69"/>
      <c r="AV48" s="69"/>
      <c r="AW48" s="69"/>
      <c r="AX48" s="69"/>
      <c r="AY48" s="69"/>
      <c r="AZ48" s="69"/>
      <c r="BA48" s="69"/>
      <c r="BB48" s="69"/>
      <c r="BC48" s="69"/>
      <c r="BD48" s="69"/>
      <c r="BE48" s="69"/>
      <c r="BF48" s="69"/>
      <c r="BG48" s="68"/>
      <c r="BH48" s="68"/>
      <c r="BI48" s="68"/>
      <c r="BJ48" s="68"/>
      <c r="BK48" s="68"/>
      <c r="BL48" s="68"/>
      <c r="BM48" s="68"/>
      <c r="BN48" s="68"/>
      <c r="BO48" s="68"/>
      <c r="BP48" s="68" t="s">
        <v>410</v>
      </c>
      <c r="BQ48" s="68"/>
      <c r="BR48" s="68"/>
      <c r="BS48" s="68" t="s">
        <v>410</v>
      </c>
      <c r="BT48" s="68"/>
      <c r="BU48" s="68"/>
      <c r="BV48" s="68"/>
      <c r="BW48" s="68"/>
      <c r="BX48" s="68"/>
      <c r="BY48" s="68"/>
      <c r="BZ48" s="68"/>
      <c r="CA48" s="68"/>
      <c r="CB48" s="68"/>
      <c r="CC48" s="68"/>
      <c r="CD48" s="68"/>
      <c r="CE48" s="68"/>
      <c r="CF48" s="68"/>
      <c r="CG48" s="68"/>
      <c r="CH48" s="68"/>
      <c r="CI48" s="68"/>
      <c r="CJ48" s="68"/>
      <c r="CK48" s="68"/>
      <c r="CL48" s="68"/>
      <c r="CM48" s="68"/>
      <c r="CN48" s="68"/>
      <c r="CO48" s="68"/>
      <c r="CP48" s="68"/>
      <c r="CQ48" s="68"/>
      <c r="CR48" s="68"/>
      <c r="CS48" s="68"/>
      <c r="CT48" s="68"/>
      <c r="CU48" s="68"/>
      <c r="CV48" s="68"/>
      <c r="CW48" s="68"/>
      <c r="CX48" s="68"/>
      <c r="CY48" s="68"/>
      <c r="CZ48" s="68"/>
      <c r="DA48" s="68"/>
      <c r="DB48" s="68"/>
      <c r="DC48" s="68"/>
      <c r="DD48" s="68"/>
      <c r="DE48" s="68"/>
      <c r="DF48" s="68"/>
      <c r="DG48" s="68"/>
      <c r="DH48" s="68"/>
      <c r="DI48" s="68"/>
      <c r="DJ48" s="68"/>
      <c r="DK48" s="68"/>
      <c r="DL48" s="68"/>
      <c r="DM48" s="68"/>
      <c r="DN48" s="68"/>
      <c r="DO48" s="68"/>
      <c r="DP48" s="68"/>
      <c r="DQ48" s="68"/>
      <c r="DR48" s="68"/>
      <c r="DS48" s="68"/>
      <c r="DT48" s="68"/>
    </row>
    <row r="49" spans="1:124" ht="21.75" customHeight="1">
      <c r="A49" s="311"/>
      <c r="B49" s="232"/>
      <c r="C49" s="233"/>
      <c r="D49" s="234"/>
      <c r="E49" s="70"/>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c r="AE49" s="70"/>
      <c r="AF49" s="70"/>
      <c r="AG49" s="70"/>
      <c r="AH49" s="70"/>
      <c r="AI49" s="70"/>
      <c r="AJ49" s="70"/>
      <c r="AK49" s="70"/>
      <c r="AL49" s="70"/>
      <c r="AM49" s="70"/>
      <c r="AN49" s="70"/>
      <c r="AO49" s="70"/>
      <c r="AP49" s="65"/>
      <c r="AQ49" s="65"/>
      <c r="AR49" s="65"/>
      <c r="AS49" s="70"/>
      <c r="AT49" s="70"/>
      <c r="AU49" s="70"/>
      <c r="AV49" s="70"/>
      <c r="AW49" s="70"/>
      <c r="AX49" s="70"/>
      <c r="AY49" s="70"/>
      <c r="AZ49" s="70"/>
      <c r="BA49" s="70"/>
      <c r="BB49" s="70"/>
      <c r="BC49" s="70"/>
      <c r="BD49" s="70"/>
      <c r="BE49" s="70"/>
      <c r="BF49" s="70"/>
      <c r="BG49" s="65"/>
      <c r="BH49" s="65"/>
      <c r="BI49" s="65"/>
      <c r="BJ49" s="65"/>
      <c r="BK49" s="65"/>
      <c r="BL49" s="65"/>
      <c r="BM49" s="65"/>
      <c r="BN49" s="65"/>
      <c r="BO49" s="65"/>
      <c r="BP49" s="65">
        <f>180/0.835</f>
        <v>215.56886227544911</v>
      </c>
      <c r="BQ49" s="65"/>
      <c r="BR49" s="65"/>
      <c r="BS49" s="65">
        <f>160/0.835</f>
        <v>191.61676646706587</v>
      </c>
      <c r="BT49" s="65"/>
      <c r="BU49" s="65"/>
      <c r="BV49" s="65"/>
      <c r="BW49" s="65"/>
      <c r="BX49" s="65"/>
      <c r="BY49" s="65"/>
      <c r="BZ49" s="65"/>
      <c r="CA49" s="65"/>
      <c r="CB49" s="65"/>
      <c r="CC49" s="65"/>
      <c r="CD49" s="65"/>
      <c r="CE49" s="65"/>
      <c r="CF49" s="65"/>
      <c r="CG49" s="65"/>
      <c r="CH49" s="65"/>
      <c r="CI49" s="65"/>
      <c r="CJ49" s="65"/>
      <c r="CK49" s="65"/>
      <c r="CL49" s="65"/>
      <c r="CM49" s="65"/>
      <c r="CN49" s="65"/>
      <c r="CO49" s="65"/>
      <c r="CP49" s="65"/>
      <c r="CQ49" s="65"/>
      <c r="CR49" s="65"/>
      <c r="CS49" s="65"/>
      <c r="CT49" s="65"/>
      <c r="CU49" s="65"/>
      <c r="CV49" s="65"/>
      <c r="CW49" s="65"/>
      <c r="CX49" s="65"/>
      <c r="CY49" s="65"/>
      <c r="CZ49" s="65"/>
      <c r="DA49" s="65"/>
      <c r="DB49" s="65"/>
      <c r="DC49" s="65"/>
      <c r="DD49" s="65"/>
      <c r="DE49" s="65"/>
      <c r="DF49" s="65"/>
      <c r="DG49" s="65"/>
      <c r="DH49" s="65"/>
      <c r="DI49" s="65"/>
      <c r="DJ49" s="65"/>
      <c r="DK49" s="65"/>
      <c r="DL49" s="65"/>
      <c r="DM49" s="65"/>
      <c r="DN49" s="65"/>
      <c r="DO49" s="65"/>
      <c r="DP49" s="65"/>
      <c r="DQ49" s="65"/>
      <c r="DR49" s="65"/>
      <c r="DS49" s="65"/>
      <c r="DT49" s="65"/>
    </row>
    <row r="50" spans="1:124" ht="21.75" customHeight="1">
      <c r="A50" s="311"/>
      <c r="B50" s="229" t="s">
        <v>67</v>
      </c>
      <c r="C50" s="230"/>
      <c r="D50" s="231"/>
      <c r="E50" s="60"/>
      <c r="F50" s="60"/>
      <c r="G50" s="60"/>
      <c r="H50" s="60"/>
      <c r="I50" s="60"/>
      <c r="J50" s="60"/>
      <c r="K50" s="60"/>
      <c r="L50" s="60"/>
      <c r="M50" s="60"/>
      <c r="N50" s="60"/>
      <c r="O50" s="60"/>
      <c r="P50" s="60"/>
      <c r="Q50" s="60"/>
      <c r="R50" s="60"/>
      <c r="S50" s="60"/>
      <c r="T50" s="60"/>
      <c r="U50" s="60"/>
      <c r="V50" s="60"/>
      <c r="W50" s="60"/>
      <c r="X50" s="60"/>
      <c r="Y50" s="60" t="s">
        <v>401</v>
      </c>
      <c r="Z50" s="60"/>
      <c r="AA50" s="60"/>
      <c r="AB50" s="60"/>
      <c r="AC50" s="60" t="s">
        <v>394</v>
      </c>
      <c r="AD50" s="60"/>
      <c r="AE50" s="60"/>
      <c r="AF50" s="60"/>
      <c r="AG50" s="60"/>
      <c r="AH50" s="60"/>
      <c r="AI50" s="60"/>
      <c r="AJ50" s="60"/>
      <c r="AK50" s="60"/>
      <c r="AL50" s="60"/>
      <c r="AM50" s="60"/>
      <c r="AN50" s="60"/>
      <c r="AO50" s="60"/>
      <c r="AP50" s="60"/>
      <c r="AQ50" s="60"/>
      <c r="AR50" s="60"/>
      <c r="AS50" s="60" t="s">
        <v>407</v>
      </c>
      <c r="AT50" s="60"/>
      <c r="AU50" s="60"/>
      <c r="AV50" s="76" t="s">
        <v>411</v>
      </c>
      <c r="AW50" s="60"/>
      <c r="AX50" s="60"/>
      <c r="AY50" s="60"/>
      <c r="AZ50" s="60"/>
      <c r="BA50" s="60"/>
      <c r="BB50" s="60" t="s">
        <v>401</v>
      </c>
      <c r="BC50" s="60"/>
      <c r="BD50" s="60"/>
      <c r="BE50" s="60" t="s">
        <v>392</v>
      </c>
      <c r="BF50" s="60"/>
      <c r="BG50" s="60"/>
      <c r="BH50" s="60"/>
      <c r="BI50" s="60"/>
      <c r="BJ50" s="60"/>
      <c r="BK50" s="60"/>
      <c r="BL50" s="60"/>
      <c r="BM50" s="60"/>
      <c r="BN50" s="60"/>
      <c r="BO50" s="60"/>
      <c r="BP50" s="60"/>
      <c r="BQ50" s="60"/>
      <c r="BR50" s="60"/>
      <c r="BS50" s="60"/>
      <c r="BT50" s="60"/>
      <c r="BU50" s="60"/>
      <c r="BV50" s="60"/>
      <c r="BW50" s="60"/>
      <c r="BX50" s="60"/>
      <c r="BY50" s="60"/>
      <c r="BZ50" s="60"/>
      <c r="CA50" s="60"/>
      <c r="CB50" s="60"/>
      <c r="CC50" s="60"/>
      <c r="CD50" s="60"/>
      <c r="CE50" s="60"/>
      <c r="CF50" s="60"/>
      <c r="CG50" s="60"/>
      <c r="CH50" s="60"/>
      <c r="CI50" s="60"/>
      <c r="CJ50" s="60"/>
      <c r="CK50" s="60"/>
      <c r="CL50" s="60"/>
      <c r="CM50" s="60"/>
      <c r="CN50" s="60"/>
      <c r="CO50" s="60"/>
      <c r="CP50" s="60"/>
      <c r="CQ50" s="60"/>
      <c r="CR50" s="60"/>
      <c r="CS50" s="60"/>
      <c r="CT50" s="60"/>
      <c r="CU50" s="60"/>
      <c r="CV50" s="60"/>
      <c r="CW50" s="60"/>
      <c r="CX50" s="60"/>
      <c r="CY50" s="60"/>
      <c r="CZ50" s="60"/>
      <c r="DA50" s="60"/>
      <c r="DB50" s="60"/>
      <c r="DC50" s="60"/>
      <c r="DD50" s="60"/>
      <c r="DE50" s="60"/>
      <c r="DF50" s="60"/>
      <c r="DG50" s="60"/>
      <c r="DH50" s="60"/>
      <c r="DI50" s="60"/>
      <c r="DJ50" s="60"/>
      <c r="DK50" s="60"/>
      <c r="DL50" s="60"/>
      <c r="DM50" s="60"/>
      <c r="DN50" s="60"/>
      <c r="DO50" s="60"/>
      <c r="DP50" s="60"/>
      <c r="DQ50" s="60"/>
      <c r="DR50" s="60"/>
      <c r="DS50" s="60"/>
      <c r="DT50" s="60"/>
    </row>
    <row r="51" spans="1:124" ht="21.75" customHeight="1">
      <c r="A51" s="311"/>
      <c r="B51" s="232"/>
      <c r="C51" s="233"/>
      <c r="D51" s="234"/>
      <c r="E51" s="65"/>
      <c r="F51" s="65"/>
      <c r="G51" s="65"/>
      <c r="H51" s="65"/>
      <c r="I51" s="65"/>
      <c r="J51" s="65"/>
      <c r="K51" s="65"/>
      <c r="L51" s="65"/>
      <c r="M51" s="65"/>
      <c r="N51" s="65"/>
      <c r="O51" s="65"/>
      <c r="P51" s="65"/>
      <c r="Q51" s="65"/>
      <c r="R51" s="65"/>
      <c r="S51" s="65"/>
      <c r="T51" s="65"/>
      <c r="U51" s="65"/>
      <c r="V51" s="65"/>
      <c r="W51" s="65"/>
      <c r="X51" s="65"/>
      <c r="Y51" s="65">
        <f>600/0.835</f>
        <v>718.56287425149708</v>
      </c>
      <c r="Z51" s="65"/>
      <c r="AA51" s="65"/>
      <c r="AB51" s="65"/>
      <c r="AC51" s="65">
        <f>600/0.86</f>
        <v>697.67441860465112</v>
      </c>
      <c r="AD51" s="65"/>
      <c r="AE51" s="65"/>
      <c r="AF51" s="65"/>
      <c r="AG51" s="65"/>
      <c r="AH51" s="65"/>
      <c r="AI51" s="65"/>
      <c r="AJ51" s="65"/>
      <c r="AK51" s="65"/>
      <c r="AL51" s="65"/>
      <c r="AM51" s="65"/>
      <c r="AN51" s="65"/>
      <c r="AO51" s="65"/>
      <c r="AP51" s="65"/>
      <c r="AQ51" s="65"/>
      <c r="AR51" s="65"/>
      <c r="AS51" s="65">
        <f>400/0.735</f>
        <v>544.21768707483</v>
      </c>
      <c r="AT51" s="65"/>
      <c r="AU51" s="65"/>
      <c r="AV51" s="77" t="s">
        <v>412</v>
      </c>
      <c r="AW51" s="65">
        <v>610</v>
      </c>
      <c r="AX51" s="65"/>
      <c r="AY51" s="65"/>
      <c r="AZ51" s="65"/>
      <c r="BA51" s="65"/>
      <c r="BB51" s="65">
        <f>450/0.835</f>
        <v>538.92215568862275</v>
      </c>
      <c r="BC51" s="65"/>
      <c r="BD51" s="65"/>
      <c r="BE51" s="65">
        <f>450/0.835</f>
        <v>538.92215568862275</v>
      </c>
      <c r="BF51" s="65"/>
      <c r="BG51" s="65"/>
      <c r="BH51" s="65"/>
      <c r="BI51" s="65"/>
      <c r="BJ51" s="65"/>
      <c r="BK51" s="65"/>
      <c r="BL51" s="65"/>
      <c r="BM51" s="65"/>
      <c r="BN51" s="65"/>
      <c r="BO51" s="65"/>
      <c r="BP51" s="65"/>
      <c r="BQ51" s="65"/>
      <c r="BR51" s="65"/>
      <c r="BS51" s="65"/>
      <c r="BT51" s="65"/>
      <c r="BU51" s="65"/>
      <c r="BV51" s="65"/>
      <c r="BW51" s="65"/>
      <c r="BX51" s="65"/>
      <c r="BY51" s="65"/>
      <c r="BZ51" s="65"/>
      <c r="CA51" s="65"/>
      <c r="CB51" s="65"/>
      <c r="CC51" s="65"/>
      <c r="CD51" s="65"/>
      <c r="CE51" s="65"/>
      <c r="CF51" s="65"/>
      <c r="CG51" s="65"/>
      <c r="CH51" s="65"/>
      <c r="CI51" s="65"/>
      <c r="CJ51" s="65"/>
      <c r="CK51" s="65"/>
      <c r="CL51" s="65"/>
      <c r="CM51" s="65"/>
      <c r="CN51" s="65"/>
      <c r="CO51" s="65"/>
      <c r="CP51" s="65"/>
      <c r="CQ51" s="65"/>
      <c r="CR51" s="65"/>
      <c r="CS51" s="65"/>
      <c r="CT51" s="65"/>
      <c r="CU51" s="65"/>
      <c r="CV51" s="65"/>
      <c r="CW51" s="65"/>
      <c r="CX51" s="65"/>
      <c r="CY51" s="65"/>
      <c r="CZ51" s="65"/>
      <c r="DA51" s="65"/>
      <c r="DB51" s="65"/>
      <c r="DC51" s="65"/>
      <c r="DD51" s="65"/>
      <c r="DE51" s="65"/>
      <c r="DF51" s="65"/>
      <c r="DG51" s="65"/>
      <c r="DH51" s="65"/>
      <c r="DI51" s="65"/>
      <c r="DJ51" s="65"/>
      <c r="DK51" s="65"/>
      <c r="DL51" s="65"/>
      <c r="DM51" s="65"/>
      <c r="DN51" s="65"/>
      <c r="DO51" s="65"/>
      <c r="DP51" s="65"/>
      <c r="DQ51" s="65"/>
      <c r="DR51" s="65"/>
      <c r="DS51" s="65"/>
      <c r="DT51" s="65"/>
    </row>
    <row r="52" spans="1:124" ht="21.75" customHeight="1">
      <c r="A52" s="311"/>
      <c r="B52" s="229" t="s">
        <v>133</v>
      </c>
      <c r="C52" s="230"/>
      <c r="D52" s="231"/>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8"/>
      <c r="AQ52" s="68"/>
      <c r="AR52" s="68"/>
      <c r="AS52" s="69"/>
      <c r="AT52" s="69"/>
      <c r="AU52" s="69"/>
      <c r="AV52" s="69"/>
      <c r="AW52" s="69"/>
      <c r="AX52" s="69"/>
      <c r="AY52" s="69"/>
      <c r="AZ52" s="69"/>
      <c r="BA52" s="62" t="s">
        <v>413</v>
      </c>
      <c r="BB52" s="69" t="s">
        <v>392</v>
      </c>
      <c r="BC52" s="69"/>
      <c r="BD52" s="69"/>
      <c r="BE52" s="69" t="s">
        <v>392</v>
      </c>
      <c r="BF52" s="69"/>
      <c r="BG52" s="68"/>
      <c r="BH52" s="68"/>
      <c r="BI52" s="68"/>
      <c r="BJ52" s="68"/>
      <c r="BK52" s="68"/>
      <c r="BL52" s="68"/>
      <c r="BM52" s="68"/>
      <c r="BN52" s="68"/>
      <c r="BO52" s="68"/>
      <c r="BP52" s="68"/>
      <c r="BQ52" s="68"/>
      <c r="BR52" s="68"/>
      <c r="BS52" s="68" t="s">
        <v>392</v>
      </c>
      <c r="BT52" s="68"/>
      <c r="BU52" s="68"/>
      <c r="BV52" s="68"/>
      <c r="BW52" s="68"/>
      <c r="BX52" s="68"/>
      <c r="BY52" s="68"/>
      <c r="BZ52" s="68"/>
      <c r="CA52" s="68"/>
      <c r="CB52" s="68"/>
      <c r="CC52" s="68"/>
      <c r="CD52" s="68"/>
      <c r="CE52" s="68"/>
      <c r="CF52" s="68"/>
      <c r="CG52" s="68"/>
      <c r="CH52" s="68"/>
      <c r="CI52" s="68"/>
      <c r="CJ52" s="68"/>
      <c r="CK52" s="68"/>
      <c r="CL52" s="68"/>
      <c r="CM52" s="68"/>
      <c r="CN52" s="68"/>
      <c r="CO52" s="68"/>
      <c r="CP52" s="68"/>
      <c r="CQ52" s="68"/>
      <c r="CR52" s="68"/>
      <c r="CS52" s="68"/>
      <c r="CT52" s="68"/>
      <c r="CU52" s="68"/>
      <c r="CV52" s="68"/>
      <c r="CW52" s="68"/>
      <c r="CX52" s="68"/>
      <c r="CY52" s="68"/>
      <c r="CZ52" s="68"/>
      <c r="DA52" s="68"/>
      <c r="DB52" s="68"/>
      <c r="DC52" s="68"/>
      <c r="DD52" s="68"/>
      <c r="DE52" s="68"/>
      <c r="DF52" s="68"/>
      <c r="DG52" s="68"/>
      <c r="DH52" s="68"/>
      <c r="DI52" s="68"/>
      <c r="DJ52" s="68"/>
      <c r="DK52" s="68"/>
      <c r="DL52" s="68"/>
      <c r="DM52" s="68"/>
      <c r="DN52" s="68"/>
      <c r="DO52" s="68"/>
      <c r="DP52" s="68"/>
      <c r="DQ52" s="68"/>
      <c r="DR52" s="68"/>
      <c r="DS52" s="68"/>
      <c r="DT52" s="68"/>
    </row>
    <row r="53" spans="1:124" ht="21.75" customHeight="1">
      <c r="A53" s="311"/>
      <c r="B53" s="232"/>
      <c r="C53" s="233"/>
      <c r="D53" s="234"/>
      <c r="E53" s="70"/>
      <c r="F53" s="70"/>
      <c r="G53" s="70"/>
      <c r="H53" s="70"/>
      <c r="I53" s="70"/>
      <c r="J53" s="70"/>
      <c r="K53" s="70"/>
      <c r="L53" s="70"/>
      <c r="M53" s="70"/>
      <c r="N53" s="70"/>
      <c r="O53" s="70"/>
      <c r="P53" s="70"/>
      <c r="Q53" s="70"/>
      <c r="R53" s="70"/>
      <c r="S53" s="70"/>
      <c r="T53" s="70"/>
      <c r="U53" s="70"/>
      <c r="V53" s="70"/>
      <c r="W53" s="70"/>
      <c r="X53" s="70"/>
      <c r="Y53" s="70"/>
      <c r="Z53" s="70"/>
      <c r="AA53" s="70"/>
      <c r="AB53" s="70"/>
      <c r="AC53" s="70"/>
      <c r="AD53" s="70"/>
      <c r="AE53" s="70"/>
      <c r="AF53" s="70"/>
      <c r="AG53" s="70"/>
      <c r="AH53" s="70"/>
      <c r="AI53" s="70"/>
      <c r="AJ53" s="70"/>
      <c r="AK53" s="70"/>
      <c r="AL53" s="70"/>
      <c r="AM53" s="70"/>
      <c r="AN53" s="70"/>
      <c r="AO53" s="70"/>
      <c r="AP53" s="65"/>
      <c r="AQ53" s="65"/>
      <c r="AR53" s="65"/>
      <c r="AS53" s="70"/>
      <c r="AT53" s="70"/>
      <c r="AU53" s="70"/>
      <c r="AV53" s="70"/>
      <c r="AW53" s="70"/>
      <c r="AX53" s="70"/>
      <c r="AY53" s="70"/>
      <c r="AZ53" s="70"/>
      <c r="BA53" s="67">
        <f>138/0.81</f>
        <v>170.37037037037035</v>
      </c>
      <c r="BB53" s="70">
        <f>103/0.835</f>
        <v>123.35329341317366</v>
      </c>
      <c r="BC53" s="70"/>
      <c r="BD53" s="70"/>
      <c r="BE53" s="70">
        <f>103/0.835</f>
        <v>123.35329341317366</v>
      </c>
      <c r="BF53" s="70"/>
      <c r="BG53" s="65"/>
      <c r="BH53" s="65"/>
      <c r="BI53" s="65"/>
      <c r="BJ53" s="65"/>
      <c r="BK53" s="65"/>
      <c r="BL53" s="65"/>
      <c r="BM53" s="65"/>
      <c r="BN53" s="65"/>
      <c r="BO53" s="65"/>
      <c r="BP53" s="65"/>
      <c r="BQ53" s="65"/>
      <c r="BR53" s="65"/>
      <c r="BS53" s="65">
        <f>124/0.835</f>
        <v>148.50299401197606</v>
      </c>
      <c r="BT53" s="65"/>
      <c r="BU53" s="65"/>
      <c r="BV53" s="65"/>
      <c r="BW53" s="65"/>
      <c r="BX53" s="65"/>
      <c r="BY53" s="65"/>
      <c r="BZ53" s="65"/>
      <c r="CA53" s="65"/>
      <c r="CB53" s="65"/>
      <c r="CC53" s="65"/>
      <c r="CD53" s="65"/>
      <c r="CE53" s="65"/>
      <c r="CF53" s="65"/>
      <c r="CG53" s="65"/>
      <c r="CH53" s="65"/>
      <c r="CI53" s="65"/>
      <c r="CJ53" s="65"/>
      <c r="CK53" s="65"/>
      <c r="CL53" s="65"/>
      <c r="CM53" s="65"/>
      <c r="CN53" s="65"/>
      <c r="CO53" s="65"/>
      <c r="CP53" s="65"/>
      <c r="CQ53" s="65"/>
      <c r="CR53" s="65"/>
      <c r="CS53" s="65"/>
      <c r="CT53" s="65"/>
      <c r="CU53" s="65"/>
      <c r="CV53" s="65"/>
      <c r="CW53" s="65"/>
      <c r="CX53" s="65"/>
      <c r="CY53" s="65"/>
      <c r="CZ53" s="65"/>
      <c r="DA53" s="65"/>
      <c r="DB53" s="65"/>
      <c r="DC53" s="65"/>
      <c r="DD53" s="65"/>
      <c r="DE53" s="65"/>
      <c r="DF53" s="65"/>
      <c r="DG53" s="65"/>
      <c r="DH53" s="65"/>
      <c r="DI53" s="65"/>
      <c r="DJ53" s="65"/>
      <c r="DK53" s="65"/>
      <c r="DL53" s="65"/>
      <c r="DM53" s="65"/>
      <c r="DN53" s="65"/>
      <c r="DO53" s="65"/>
      <c r="DP53" s="65"/>
      <c r="DQ53" s="65"/>
      <c r="DR53" s="65"/>
      <c r="DS53" s="65"/>
      <c r="DT53" s="65"/>
    </row>
    <row r="54" spans="1:124" ht="21.75" customHeight="1">
      <c r="A54" s="311"/>
      <c r="B54" s="229" t="s">
        <v>414</v>
      </c>
      <c r="C54" s="230"/>
      <c r="D54" s="231"/>
      <c r="E54" s="60"/>
      <c r="F54" s="60"/>
      <c r="G54" s="60"/>
      <c r="H54" s="60"/>
      <c r="I54" s="60"/>
      <c r="J54" s="60"/>
      <c r="K54" s="60"/>
      <c r="L54" s="60"/>
      <c r="M54" s="60"/>
      <c r="N54" s="60"/>
      <c r="O54" s="60"/>
      <c r="P54" s="60"/>
      <c r="Q54" s="60"/>
      <c r="R54" s="60"/>
      <c r="S54" s="60"/>
      <c r="T54" s="60"/>
      <c r="U54" s="60"/>
      <c r="V54" s="60"/>
      <c r="W54" s="60"/>
      <c r="X54" s="60" t="s">
        <v>392</v>
      </c>
      <c r="Y54" s="60"/>
      <c r="Z54" s="60"/>
      <c r="AA54" s="60" t="s">
        <v>396</v>
      </c>
      <c r="AB54" s="60"/>
      <c r="AC54" s="60" t="s">
        <v>396</v>
      </c>
      <c r="AD54" s="69"/>
      <c r="AE54" s="68"/>
      <c r="AF54" s="68" t="s">
        <v>396</v>
      </c>
      <c r="AG54" s="60"/>
      <c r="AH54" s="68"/>
      <c r="AI54" s="68"/>
      <c r="AJ54" s="68"/>
      <c r="AK54" s="68"/>
      <c r="AL54" s="68"/>
      <c r="AM54" s="68"/>
      <c r="AN54" s="68"/>
      <c r="AO54" s="60"/>
      <c r="AP54" s="60"/>
      <c r="AQ54" s="60"/>
      <c r="AR54" s="60"/>
      <c r="AS54" s="68" t="s">
        <v>403</v>
      </c>
      <c r="AT54" s="60"/>
      <c r="AU54" s="60"/>
      <c r="AV54" s="68" t="s">
        <v>403</v>
      </c>
      <c r="AW54" s="60"/>
      <c r="AX54" s="60"/>
      <c r="AY54" s="69" t="s">
        <v>403</v>
      </c>
      <c r="AZ54" s="60"/>
      <c r="BA54" s="60"/>
      <c r="BB54" s="60"/>
      <c r="BC54" s="60"/>
      <c r="BD54" s="60"/>
      <c r="BE54" s="60"/>
      <c r="BF54" s="60"/>
      <c r="BG54" s="60"/>
      <c r="BH54" s="60" t="s">
        <v>401</v>
      </c>
      <c r="BI54" s="60"/>
      <c r="BJ54" s="60"/>
      <c r="BK54" s="60"/>
      <c r="BL54" s="60"/>
      <c r="BM54" s="60"/>
      <c r="BN54" s="60"/>
      <c r="BO54" s="60"/>
      <c r="BP54" s="60"/>
      <c r="BQ54" s="60"/>
      <c r="BR54" s="60"/>
      <c r="BS54" s="60"/>
      <c r="BT54" s="60"/>
      <c r="BU54" s="60"/>
      <c r="BV54" s="60"/>
      <c r="BW54" s="60"/>
      <c r="BX54" s="60"/>
      <c r="BY54" s="60"/>
      <c r="BZ54" s="60"/>
      <c r="CA54" s="60"/>
      <c r="CB54" s="60"/>
      <c r="CC54" s="60"/>
      <c r="CD54" s="60"/>
      <c r="CE54" s="60"/>
      <c r="CF54" s="60"/>
      <c r="CG54" s="60"/>
      <c r="CH54" s="60"/>
      <c r="CI54" s="60"/>
      <c r="CJ54" s="60"/>
      <c r="CK54" s="60"/>
      <c r="CL54" s="60"/>
      <c r="CM54" s="60"/>
      <c r="CN54" s="60"/>
      <c r="CO54" s="60"/>
      <c r="CP54" s="60"/>
      <c r="CQ54" s="60"/>
      <c r="CR54" s="60"/>
      <c r="CS54" s="60"/>
      <c r="CT54" s="60"/>
      <c r="CU54" s="60"/>
      <c r="CV54" s="60"/>
      <c r="CW54" s="60"/>
      <c r="CX54" s="60"/>
      <c r="CY54" s="60"/>
      <c r="CZ54" s="60"/>
      <c r="DA54" s="60"/>
      <c r="DB54" s="60"/>
      <c r="DC54" s="60"/>
      <c r="DD54" s="60"/>
      <c r="DE54" s="60"/>
      <c r="DF54" s="60"/>
      <c r="DG54" s="60"/>
      <c r="DH54" s="60"/>
      <c r="DI54" s="60"/>
      <c r="DJ54" s="60"/>
      <c r="DK54" s="60"/>
      <c r="DL54" s="60"/>
      <c r="DM54" s="60"/>
      <c r="DN54" s="60"/>
      <c r="DO54" s="60"/>
      <c r="DP54" s="60"/>
      <c r="DQ54" s="60"/>
      <c r="DR54" s="60"/>
      <c r="DS54" s="60"/>
      <c r="DT54" s="60"/>
    </row>
    <row r="55" spans="1:124" ht="21.75" customHeight="1">
      <c r="A55" s="311"/>
      <c r="B55" s="232"/>
      <c r="C55" s="233"/>
      <c r="D55" s="234"/>
      <c r="E55" s="65"/>
      <c r="F55" s="65"/>
      <c r="G55" s="65"/>
      <c r="H55" s="65"/>
      <c r="I55" s="65"/>
      <c r="J55" s="65"/>
      <c r="K55" s="65"/>
      <c r="L55" s="65"/>
      <c r="M55" s="65"/>
      <c r="N55" s="65"/>
      <c r="O55" s="65"/>
      <c r="P55" s="65"/>
      <c r="Q55" s="65"/>
      <c r="R55" s="65"/>
      <c r="S55" s="65"/>
      <c r="T55" s="65"/>
      <c r="U55" s="65"/>
      <c r="V55" s="65"/>
      <c r="W55" s="65"/>
      <c r="X55" s="65">
        <v>0</v>
      </c>
      <c r="Y55" s="65"/>
      <c r="Z55" s="65"/>
      <c r="AA55" s="65">
        <f>39/0.86</f>
        <v>45.348837209302324</v>
      </c>
      <c r="AB55" s="65"/>
      <c r="AC55" s="65">
        <v>0</v>
      </c>
      <c r="AD55" s="70"/>
      <c r="AE55" s="65"/>
      <c r="AF55" s="65">
        <f>47/0.86</f>
        <v>54.651162790697676</v>
      </c>
      <c r="AG55" s="65"/>
      <c r="AH55" s="65"/>
      <c r="AI55" s="65"/>
      <c r="AJ55" s="65"/>
      <c r="AK55" s="65"/>
      <c r="AL55" s="65"/>
      <c r="AM55" s="65"/>
      <c r="AN55" s="65"/>
      <c r="AO55" s="65"/>
      <c r="AP55" s="65"/>
      <c r="AQ55" s="65"/>
      <c r="AR55" s="65"/>
      <c r="AS55" s="65">
        <f>47/0.735</f>
        <v>63.945578231292515</v>
      </c>
      <c r="AT55" s="65"/>
      <c r="AU55" s="65"/>
      <c r="AV55" s="65">
        <f>47/0.735</f>
        <v>63.945578231292515</v>
      </c>
      <c r="AW55" s="65"/>
      <c r="AX55" s="65"/>
      <c r="AY55" s="70">
        <f>54/0.735</f>
        <v>73.469387755102048</v>
      </c>
      <c r="AZ55" s="65"/>
      <c r="BA55" s="65"/>
      <c r="BB55" s="65"/>
      <c r="BC55" s="65"/>
      <c r="BD55" s="65"/>
      <c r="BE55" s="65"/>
      <c r="BF55" s="65"/>
      <c r="BG55" s="65"/>
      <c r="BH55" s="65">
        <f>61/0.835</f>
        <v>73.053892215568865</v>
      </c>
      <c r="BI55" s="65"/>
      <c r="BJ55" s="65"/>
      <c r="BK55" s="65"/>
      <c r="BL55" s="65"/>
      <c r="BM55" s="65"/>
      <c r="BN55" s="65"/>
      <c r="BO55" s="65"/>
      <c r="BP55" s="65"/>
      <c r="BQ55" s="65"/>
      <c r="BR55" s="65"/>
      <c r="BS55" s="65"/>
      <c r="BT55" s="65"/>
      <c r="BU55" s="65"/>
      <c r="BV55" s="65"/>
      <c r="BW55" s="65"/>
      <c r="BX55" s="65"/>
      <c r="BY55" s="65"/>
      <c r="BZ55" s="65"/>
      <c r="CA55" s="65"/>
      <c r="CB55" s="65"/>
      <c r="CC55" s="65"/>
      <c r="CD55" s="65"/>
      <c r="CE55" s="65"/>
      <c r="CF55" s="65"/>
      <c r="CG55" s="65"/>
      <c r="CH55" s="65"/>
      <c r="CI55" s="65"/>
      <c r="CJ55" s="65"/>
      <c r="CK55" s="65"/>
      <c r="CL55" s="65"/>
      <c r="CM55" s="65"/>
      <c r="CN55" s="65"/>
      <c r="CO55" s="65"/>
      <c r="CP55" s="65"/>
      <c r="CQ55" s="65"/>
      <c r="CR55" s="65"/>
      <c r="CS55" s="65"/>
      <c r="CT55" s="65"/>
      <c r="CU55" s="65"/>
      <c r="CV55" s="65"/>
      <c r="CW55" s="65"/>
      <c r="CX55" s="65"/>
      <c r="CY55" s="65"/>
      <c r="CZ55" s="65"/>
      <c r="DA55" s="65"/>
      <c r="DB55" s="65"/>
      <c r="DC55" s="65"/>
      <c r="DD55" s="65"/>
      <c r="DE55" s="65"/>
      <c r="DF55" s="65"/>
      <c r="DG55" s="65"/>
      <c r="DH55" s="65"/>
      <c r="DI55" s="65"/>
      <c r="DJ55" s="65"/>
      <c r="DK55" s="65"/>
      <c r="DL55" s="65"/>
      <c r="DM55" s="65"/>
      <c r="DN55" s="65"/>
      <c r="DO55" s="65"/>
      <c r="DP55" s="65"/>
      <c r="DQ55" s="65"/>
      <c r="DR55" s="65"/>
      <c r="DS55" s="65"/>
      <c r="DT55" s="65"/>
    </row>
    <row r="56" spans="1:124" ht="21.75" customHeight="1">
      <c r="A56" s="311"/>
      <c r="B56" s="229" t="s">
        <v>103</v>
      </c>
      <c r="C56" s="230"/>
      <c r="D56" s="78" t="s">
        <v>415</v>
      </c>
      <c r="E56" s="65"/>
      <c r="F56" s="65"/>
      <c r="G56" s="65"/>
      <c r="H56" s="65"/>
      <c r="I56" s="65"/>
      <c r="J56" s="65"/>
      <c r="K56" s="65"/>
      <c r="L56" s="65"/>
      <c r="M56" s="65"/>
      <c r="N56" s="65"/>
      <c r="O56" s="65"/>
      <c r="P56" s="65"/>
      <c r="Q56" s="65"/>
      <c r="R56" s="65"/>
      <c r="S56" s="65"/>
      <c r="T56" s="65"/>
      <c r="U56" s="65"/>
      <c r="V56" s="65"/>
      <c r="W56" s="65"/>
      <c r="X56" s="65"/>
      <c r="Y56" s="65"/>
      <c r="Z56" s="65"/>
      <c r="AA56" s="65"/>
      <c r="AB56" s="65"/>
      <c r="AC56" s="65"/>
      <c r="AD56" s="65"/>
      <c r="AE56" s="65"/>
      <c r="AF56" s="65"/>
      <c r="AG56" s="65"/>
      <c r="AH56" s="65"/>
      <c r="AI56" s="65"/>
      <c r="AJ56" s="65"/>
      <c r="AK56" s="65"/>
      <c r="AL56" s="71"/>
      <c r="AM56" s="71" t="s">
        <v>416</v>
      </c>
      <c r="AN56" s="65"/>
      <c r="AO56" s="65"/>
      <c r="AP56" s="65"/>
      <c r="AQ56" s="65"/>
      <c r="AR56" s="65"/>
      <c r="AS56" s="65"/>
      <c r="AT56" s="65"/>
      <c r="AU56" s="65"/>
      <c r="AV56" s="65"/>
      <c r="AW56" s="65"/>
      <c r="AX56" s="65"/>
      <c r="AY56" s="65"/>
      <c r="AZ56" s="65"/>
      <c r="BA56" s="65"/>
      <c r="BB56" s="65"/>
      <c r="BC56" s="65"/>
      <c r="BD56" s="65"/>
      <c r="BE56" s="65"/>
      <c r="BF56" s="65"/>
      <c r="BG56" s="65"/>
      <c r="BH56" s="65"/>
      <c r="BI56" s="65"/>
      <c r="BJ56" s="65"/>
      <c r="BK56" s="65"/>
      <c r="BL56" s="65"/>
      <c r="BM56" s="65"/>
      <c r="BN56" s="65"/>
      <c r="BO56" s="65"/>
      <c r="BP56" s="71" t="s">
        <v>417</v>
      </c>
      <c r="BQ56" s="65"/>
      <c r="BR56" s="65"/>
      <c r="BS56" s="65"/>
      <c r="BT56" s="65"/>
      <c r="BU56" s="65"/>
      <c r="BV56" s="65"/>
      <c r="BW56" s="65"/>
      <c r="BX56" s="65"/>
      <c r="BY56" s="65"/>
      <c r="BZ56" s="65"/>
      <c r="CA56" s="65"/>
      <c r="CB56" s="65"/>
      <c r="CC56" s="65"/>
      <c r="CD56" s="65"/>
      <c r="CE56" s="65"/>
      <c r="CF56" s="65"/>
      <c r="CG56" s="65"/>
      <c r="CH56" s="65"/>
      <c r="CI56" s="65"/>
      <c r="CJ56" s="65"/>
      <c r="CK56" s="65"/>
      <c r="CL56" s="65"/>
      <c r="CM56" s="65"/>
      <c r="CN56" s="65"/>
      <c r="CO56" s="65"/>
      <c r="CP56" s="65"/>
      <c r="CQ56" s="65"/>
      <c r="CR56" s="65"/>
      <c r="CS56" s="65"/>
      <c r="CT56" s="65"/>
      <c r="CU56" s="65"/>
      <c r="CV56" s="65"/>
      <c r="CW56" s="65"/>
      <c r="CX56" s="65"/>
      <c r="CY56" s="65"/>
      <c r="CZ56" s="65"/>
      <c r="DA56" s="65"/>
      <c r="DB56" s="65"/>
      <c r="DC56" s="65"/>
      <c r="DD56" s="65"/>
      <c r="DE56" s="65"/>
      <c r="DF56" s="65"/>
      <c r="DG56" s="65"/>
      <c r="DH56" s="65"/>
      <c r="DI56" s="65"/>
      <c r="DJ56" s="65"/>
      <c r="DK56" s="65"/>
      <c r="DL56" s="65"/>
      <c r="DM56" s="65"/>
      <c r="DN56" s="65"/>
      <c r="DO56" s="65"/>
      <c r="DP56" s="65"/>
      <c r="DQ56" s="65"/>
      <c r="DR56" s="65"/>
      <c r="DS56" s="65"/>
      <c r="DT56" s="65"/>
    </row>
    <row r="57" spans="1:124" ht="21.75" customHeight="1">
      <c r="A57" s="311"/>
      <c r="B57" s="232"/>
      <c r="C57" s="233"/>
      <c r="D57" s="79" t="s">
        <v>418</v>
      </c>
      <c r="E57" s="65"/>
      <c r="F57" s="65"/>
      <c r="G57" s="65"/>
      <c r="H57" s="65"/>
      <c r="I57" s="65"/>
      <c r="J57" s="65"/>
      <c r="K57" s="65"/>
      <c r="L57" s="65"/>
      <c r="M57" s="65"/>
      <c r="N57" s="65"/>
      <c r="O57" s="65"/>
      <c r="P57" s="65"/>
      <c r="Q57" s="65"/>
      <c r="R57" s="65"/>
      <c r="S57" s="65"/>
      <c r="T57" s="65"/>
      <c r="U57" s="65"/>
      <c r="V57" s="65"/>
      <c r="W57" s="65"/>
      <c r="X57" s="70"/>
      <c r="Y57" s="65"/>
      <c r="Z57" s="65"/>
      <c r="AA57" s="65"/>
      <c r="AB57" s="65"/>
      <c r="AC57" s="65"/>
      <c r="AD57" s="65"/>
      <c r="AE57" s="65"/>
      <c r="AF57" s="65"/>
      <c r="AG57" s="65"/>
      <c r="AH57" s="65"/>
      <c r="AI57" s="65"/>
      <c r="AJ57" s="65"/>
      <c r="AK57" s="65"/>
      <c r="AL57" s="71"/>
      <c r="AM57" s="71" t="s">
        <v>419</v>
      </c>
      <c r="AN57" s="65"/>
      <c r="AO57" s="65"/>
      <c r="AP57" s="65"/>
      <c r="AQ57" s="65"/>
      <c r="AR57" s="65"/>
      <c r="AS57" s="65"/>
      <c r="AT57" s="65"/>
      <c r="AU57" s="65"/>
      <c r="AV57" s="65"/>
      <c r="AW57" s="65"/>
      <c r="AX57" s="65"/>
      <c r="AY57" s="65"/>
      <c r="AZ57" s="65"/>
      <c r="BA57" s="65"/>
      <c r="BB57" s="65"/>
      <c r="BC57" s="65"/>
      <c r="BD57" s="65"/>
      <c r="BE57" s="65"/>
      <c r="BF57" s="65"/>
      <c r="BG57" s="65"/>
      <c r="BH57" s="65"/>
      <c r="BI57" s="65"/>
      <c r="BJ57" s="65"/>
      <c r="BK57" s="65"/>
      <c r="BL57" s="65"/>
      <c r="BM57" s="65"/>
      <c r="BN57" s="65"/>
      <c r="BO57" s="65"/>
      <c r="BP57" s="71" t="s">
        <v>420</v>
      </c>
      <c r="BQ57" s="65"/>
      <c r="BR57" s="65"/>
      <c r="BS57" s="65"/>
      <c r="BT57" s="65"/>
      <c r="BU57" s="65"/>
      <c r="BV57" s="65"/>
      <c r="BW57" s="65"/>
      <c r="BX57" s="65"/>
      <c r="BY57" s="65"/>
      <c r="BZ57" s="65"/>
      <c r="CA57" s="65"/>
      <c r="CB57" s="65"/>
      <c r="CC57" s="65"/>
      <c r="CD57" s="65"/>
      <c r="CE57" s="65"/>
      <c r="CF57" s="65"/>
      <c r="CG57" s="65"/>
      <c r="CH57" s="65"/>
      <c r="CI57" s="65"/>
      <c r="CJ57" s="65"/>
      <c r="CK57" s="65"/>
      <c r="CL57" s="65"/>
      <c r="CM57" s="65"/>
      <c r="CN57" s="65"/>
      <c r="CO57" s="65"/>
      <c r="CP57" s="65"/>
      <c r="CQ57" s="65"/>
      <c r="CR57" s="65"/>
      <c r="CS57" s="65"/>
      <c r="CT57" s="65"/>
      <c r="CU57" s="65"/>
      <c r="CV57" s="65"/>
      <c r="CW57" s="65"/>
      <c r="CX57" s="65"/>
      <c r="CY57" s="65"/>
      <c r="CZ57" s="65"/>
      <c r="DA57" s="65"/>
      <c r="DB57" s="65"/>
      <c r="DC57" s="65"/>
      <c r="DD57" s="65"/>
      <c r="DE57" s="65"/>
      <c r="DF57" s="65"/>
      <c r="DG57" s="65"/>
      <c r="DH57" s="65"/>
      <c r="DI57" s="65"/>
      <c r="DJ57" s="65"/>
      <c r="DK57" s="65"/>
      <c r="DL57" s="65"/>
      <c r="DM57" s="65"/>
      <c r="DN57" s="65"/>
      <c r="DO57" s="65"/>
      <c r="DP57" s="65"/>
      <c r="DQ57" s="65"/>
      <c r="DR57" s="65"/>
      <c r="DS57" s="65"/>
      <c r="DT57" s="65"/>
    </row>
    <row r="58" spans="1:124" ht="21.75" customHeight="1">
      <c r="A58" s="311"/>
      <c r="B58" s="235" t="s">
        <v>25</v>
      </c>
      <c r="C58" s="236"/>
      <c r="D58" s="237"/>
      <c r="E58" s="80"/>
      <c r="F58" s="80"/>
      <c r="G58" s="80"/>
      <c r="H58" s="80"/>
      <c r="I58" s="80"/>
      <c r="J58" s="80"/>
      <c r="K58" s="80"/>
      <c r="L58" s="80"/>
      <c r="M58" s="80"/>
      <c r="N58" s="80"/>
      <c r="O58" s="80"/>
      <c r="P58" s="80"/>
      <c r="Q58" s="80"/>
      <c r="R58" s="80"/>
      <c r="S58" s="80"/>
      <c r="T58" s="80"/>
      <c r="U58" s="80"/>
      <c r="V58" s="80"/>
      <c r="W58" s="80"/>
      <c r="X58" s="80"/>
      <c r="Y58" s="80"/>
      <c r="Z58" s="80"/>
      <c r="AA58" s="80"/>
      <c r="AB58" s="80"/>
      <c r="AC58" s="80"/>
      <c r="AD58" s="80"/>
      <c r="AE58" s="80"/>
      <c r="AF58" s="80"/>
      <c r="AG58" s="80"/>
      <c r="AH58" s="80"/>
      <c r="AI58" s="80"/>
      <c r="AJ58" s="80"/>
      <c r="AK58" s="80"/>
      <c r="AL58" s="80"/>
      <c r="AM58" s="80"/>
      <c r="AN58" s="80"/>
      <c r="AO58" s="80"/>
      <c r="AP58" s="80"/>
      <c r="AQ58" s="80"/>
      <c r="AR58" s="80"/>
      <c r="AS58" s="80"/>
      <c r="AT58" s="80"/>
      <c r="AU58" s="80"/>
      <c r="AV58" s="80" t="s">
        <v>396</v>
      </c>
      <c r="AW58" s="80"/>
      <c r="AX58" s="80"/>
      <c r="AY58" s="80"/>
      <c r="AZ58" s="80"/>
      <c r="BA58" s="80"/>
      <c r="BB58" s="80"/>
      <c r="BC58" s="80"/>
      <c r="BD58" s="80"/>
      <c r="BE58" s="80"/>
      <c r="BF58" s="80"/>
      <c r="BG58" s="80"/>
      <c r="BH58" s="80"/>
      <c r="BI58" s="80"/>
      <c r="BJ58" s="80"/>
      <c r="BK58" s="80"/>
      <c r="BL58" s="80"/>
      <c r="BM58" s="80"/>
      <c r="BN58" s="80"/>
      <c r="BO58" s="80"/>
      <c r="BP58" s="80"/>
      <c r="BQ58" s="80"/>
      <c r="BR58" s="80"/>
      <c r="BS58" s="80"/>
      <c r="BT58" s="80"/>
      <c r="BU58" s="80"/>
      <c r="BV58" s="80"/>
      <c r="BW58" s="80"/>
      <c r="BX58" s="80"/>
      <c r="BY58" s="80"/>
      <c r="BZ58" s="80"/>
      <c r="CA58" s="80"/>
      <c r="CB58" s="80"/>
      <c r="CC58" s="80"/>
      <c r="CD58" s="80"/>
      <c r="CE58" s="80"/>
      <c r="CF58" s="80"/>
      <c r="CG58" s="80"/>
      <c r="CH58" s="80"/>
      <c r="CI58" s="80"/>
      <c r="CJ58" s="80"/>
      <c r="CK58" s="80"/>
      <c r="CL58" s="80"/>
      <c r="CM58" s="80"/>
      <c r="CN58" s="80"/>
      <c r="CO58" s="80"/>
      <c r="CP58" s="80"/>
      <c r="CQ58" s="80"/>
      <c r="CR58" s="80"/>
      <c r="CS58" s="80"/>
      <c r="CT58" s="80"/>
      <c r="CU58" s="80"/>
      <c r="CV58" s="80"/>
      <c r="CW58" s="80"/>
      <c r="CX58" s="80"/>
      <c r="CY58" s="80"/>
      <c r="CZ58" s="80"/>
      <c r="DA58" s="80"/>
      <c r="DB58" s="80"/>
      <c r="DC58" s="80"/>
      <c r="DD58" s="80"/>
      <c r="DE58" s="80"/>
      <c r="DF58" s="80"/>
      <c r="DG58" s="80"/>
      <c r="DH58" s="80"/>
      <c r="DI58" s="80"/>
      <c r="DJ58" s="80"/>
      <c r="DK58" s="80"/>
      <c r="DL58" s="80"/>
      <c r="DM58" s="80"/>
      <c r="DN58" s="80"/>
      <c r="DO58" s="80"/>
      <c r="DP58" s="80"/>
      <c r="DQ58" s="80"/>
      <c r="DR58" s="80"/>
      <c r="DS58" s="80"/>
      <c r="DT58" s="80"/>
    </row>
    <row r="59" spans="1:124" ht="21.75" customHeight="1">
      <c r="A59" s="311"/>
      <c r="B59" s="232"/>
      <c r="C59" s="233"/>
      <c r="D59" s="234"/>
      <c r="E59" s="70"/>
      <c r="F59" s="70"/>
      <c r="G59" s="70"/>
      <c r="H59" s="70"/>
      <c r="I59" s="70"/>
      <c r="J59" s="70"/>
      <c r="K59" s="70"/>
      <c r="L59" s="70"/>
      <c r="M59" s="70"/>
      <c r="N59" s="70"/>
      <c r="O59" s="70"/>
      <c r="P59" s="70"/>
      <c r="Q59" s="70"/>
      <c r="R59" s="70"/>
      <c r="S59" s="70"/>
      <c r="T59" s="70"/>
      <c r="U59" s="70"/>
      <c r="V59" s="70"/>
      <c r="W59" s="70"/>
      <c r="X59" s="70"/>
      <c r="Y59" s="70"/>
      <c r="Z59" s="70"/>
      <c r="AA59" s="70"/>
      <c r="AB59" s="70"/>
      <c r="AC59" s="70"/>
      <c r="AD59" s="70"/>
      <c r="AE59" s="70"/>
      <c r="AF59" s="70"/>
      <c r="AG59" s="70"/>
      <c r="AH59" s="70"/>
      <c r="AI59" s="70"/>
      <c r="AJ59" s="70"/>
      <c r="AK59" s="70"/>
      <c r="AL59" s="70"/>
      <c r="AM59" s="70"/>
      <c r="AN59" s="70"/>
      <c r="AO59" s="70"/>
      <c r="AP59" s="70"/>
      <c r="AQ59" s="70"/>
      <c r="AR59" s="70"/>
      <c r="AS59" s="70"/>
      <c r="AT59" s="70"/>
      <c r="AU59" s="70"/>
      <c r="AV59" s="70">
        <f>24/0.86</f>
        <v>27.906976744186046</v>
      </c>
      <c r="AW59" s="70"/>
      <c r="AX59" s="70"/>
      <c r="AY59" s="70"/>
      <c r="AZ59" s="70"/>
      <c r="BA59" s="70"/>
      <c r="BB59" s="70"/>
      <c r="BC59" s="70"/>
      <c r="BD59" s="70"/>
      <c r="BE59" s="70"/>
      <c r="BF59" s="70"/>
      <c r="BG59" s="70"/>
      <c r="BH59" s="70"/>
      <c r="BI59" s="70"/>
      <c r="BJ59" s="70"/>
      <c r="BK59" s="70"/>
      <c r="BL59" s="70"/>
      <c r="BM59" s="70"/>
      <c r="BN59" s="70"/>
      <c r="BO59" s="70"/>
      <c r="BP59" s="70"/>
      <c r="BQ59" s="70"/>
      <c r="BR59" s="70"/>
      <c r="BS59" s="70"/>
      <c r="BT59" s="70"/>
      <c r="BU59" s="70"/>
      <c r="BV59" s="70"/>
      <c r="BW59" s="70"/>
      <c r="BX59" s="70"/>
      <c r="BY59" s="70"/>
      <c r="BZ59" s="70"/>
      <c r="CA59" s="70"/>
      <c r="CB59" s="70"/>
      <c r="CC59" s="70"/>
      <c r="CD59" s="70"/>
      <c r="CE59" s="70"/>
      <c r="CF59" s="70"/>
      <c r="CG59" s="70"/>
      <c r="CH59" s="70"/>
      <c r="CI59" s="70"/>
      <c r="CJ59" s="70"/>
      <c r="CK59" s="70"/>
      <c r="CL59" s="70"/>
      <c r="CM59" s="70"/>
      <c r="CN59" s="70"/>
      <c r="CO59" s="70"/>
      <c r="CP59" s="70"/>
      <c r="CQ59" s="70"/>
      <c r="CR59" s="70"/>
      <c r="CS59" s="70"/>
      <c r="CT59" s="70"/>
      <c r="CU59" s="70"/>
      <c r="CV59" s="70"/>
      <c r="CW59" s="70"/>
      <c r="CX59" s="70"/>
      <c r="CY59" s="70"/>
      <c r="CZ59" s="70"/>
      <c r="DA59" s="70"/>
      <c r="DB59" s="70"/>
      <c r="DC59" s="70"/>
      <c r="DD59" s="70"/>
      <c r="DE59" s="70"/>
      <c r="DF59" s="70"/>
      <c r="DG59" s="70"/>
      <c r="DH59" s="70"/>
      <c r="DI59" s="70"/>
      <c r="DJ59" s="70"/>
      <c r="DK59" s="70"/>
      <c r="DL59" s="70"/>
      <c r="DM59" s="70"/>
      <c r="DN59" s="70"/>
      <c r="DO59" s="70"/>
      <c r="DP59" s="70"/>
      <c r="DQ59" s="70"/>
      <c r="DR59" s="70"/>
      <c r="DS59" s="70"/>
      <c r="DT59" s="70"/>
    </row>
    <row r="60" spans="1:124" ht="21.75" customHeight="1">
      <c r="A60" s="311"/>
      <c r="B60" s="229" t="s">
        <v>45</v>
      </c>
      <c r="C60" s="230"/>
      <c r="D60" s="231"/>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c r="CC60" s="69"/>
      <c r="CD60" s="69"/>
      <c r="CE60" s="69"/>
      <c r="CF60" s="69"/>
      <c r="CG60" s="69"/>
      <c r="CH60" s="69"/>
      <c r="CI60" s="69"/>
      <c r="CJ60" s="69"/>
      <c r="CK60" s="69"/>
      <c r="CL60" s="69"/>
      <c r="CM60" s="69"/>
      <c r="CN60" s="69"/>
      <c r="CO60" s="69"/>
      <c r="CP60" s="69"/>
      <c r="CQ60" s="69"/>
      <c r="CR60" s="69"/>
      <c r="CS60" s="69"/>
      <c r="CT60" s="69"/>
      <c r="CU60" s="69"/>
      <c r="CV60" s="69"/>
      <c r="CW60" s="69"/>
      <c r="CX60" s="69"/>
      <c r="CY60" s="69"/>
      <c r="CZ60" s="69"/>
      <c r="DA60" s="69"/>
      <c r="DB60" s="69"/>
      <c r="DC60" s="69"/>
      <c r="DD60" s="69"/>
      <c r="DE60" s="69"/>
      <c r="DF60" s="69"/>
      <c r="DG60" s="69"/>
      <c r="DH60" s="69"/>
      <c r="DI60" s="69"/>
      <c r="DJ60" s="69"/>
      <c r="DK60" s="69"/>
      <c r="DL60" s="69"/>
      <c r="DM60" s="69"/>
      <c r="DN60" s="69"/>
      <c r="DO60" s="69"/>
      <c r="DP60" s="69"/>
      <c r="DQ60" s="69"/>
      <c r="DR60" s="69"/>
      <c r="DS60" s="69"/>
      <c r="DT60" s="69"/>
    </row>
    <row r="61" spans="1:124" ht="21.75" customHeight="1">
      <c r="A61" s="311"/>
      <c r="B61" s="232"/>
      <c r="C61" s="233"/>
      <c r="D61" s="234"/>
      <c r="E61" s="70"/>
      <c r="F61" s="70"/>
      <c r="G61" s="70"/>
      <c r="H61" s="70"/>
      <c r="I61" s="70"/>
      <c r="J61" s="70"/>
      <c r="K61" s="70"/>
      <c r="L61" s="70"/>
      <c r="M61" s="70"/>
      <c r="N61" s="70"/>
      <c r="O61" s="70"/>
      <c r="P61" s="70"/>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c r="BA61" s="70"/>
      <c r="BB61" s="70"/>
      <c r="BC61" s="70"/>
      <c r="BD61" s="70"/>
      <c r="BE61" s="70"/>
      <c r="BF61" s="70"/>
      <c r="BG61" s="70"/>
      <c r="BH61" s="70"/>
      <c r="BI61" s="70"/>
      <c r="BJ61" s="70"/>
      <c r="BK61" s="70"/>
      <c r="BL61" s="70"/>
      <c r="BM61" s="70"/>
      <c r="BN61" s="70"/>
      <c r="BO61" s="70"/>
      <c r="BP61" s="70"/>
      <c r="BQ61" s="70"/>
      <c r="BR61" s="70"/>
      <c r="BS61" s="70"/>
      <c r="BT61" s="70"/>
      <c r="BU61" s="70"/>
      <c r="BV61" s="70"/>
      <c r="BW61" s="70"/>
      <c r="BX61" s="70"/>
      <c r="BY61" s="70"/>
      <c r="BZ61" s="70"/>
      <c r="CA61" s="70"/>
      <c r="CB61" s="70"/>
      <c r="CC61" s="70"/>
      <c r="CD61" s="70"/>
      <c r="CE61" s="70"/>
      <c r="CF61" s="70"/>
      <c r="CG61" s="70"/>
      <c r="CH61" s="70"/>
      <c r="CI61" s="70"/>
      <c r="CJ61" s="70"/>
      <c r="CK61" s="70"/>
      <c r="CL61" s="70"/>
      <c r="CM61" s="70"/>
      <c r="CN61" s="70"/>
      <c r="CO61" s="70"/>
      <c r="CP61" s="70"/>
      <c r="CQ61" s="70"/>
      <c r="CR61" s="70"/>
      <c r="CS61" s="70"/>
      <c r="CT61" s="70"/>
      <c r="CU61" s="70"/>
      <c r="CV61" s="70"/>
      <c r="CW61" s="70"/>
      <c r="CX61" s="70"/>
      <c r="CY61" s="70"/>
      <c r="CZ61" s="70"/>
      <c r="DA61" s="70"/>
      <c r="DB61" s="70"/>
      <c r="DC61" s="70"/>
      <c r="DD61" s="70"/>
      <c r="DE61" s="70"/>
      <c r="DF61" s="70"/>
      <c r="DG61" s="70"/>
      <c r="DH61" s="70"/>
      <c r="DI61" s="70"/>
      <c r="DJ61" s="70"/>
      <c r="DK61" s="70"/>
      <c r="DL61" s="70"/>
      <c r="DM61" s="70"/>
      <c r="DN61" s="70"/>
      <c r="DO61" s="70"/>
      <c r="DP61" s="70"/>
      <c r="DQ61" s="70"/>
      <c r="DR61" s="70"/>
      <c r="DS61" s="70"/>
      <c r="DT61" s="70"/>
    </row>
    <row r="62" spans="1:124" ht="21.75" customHeight="1">
      <c r="A62" s="311"/>
      <c r="B62" s="229" t="s">
        <v>127</v>
      </c>
      <c r="C62" s="230"/>
      <c r="D62" s="231"/>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8"/>
      <c r="AQ62" s="68"/>
      <c r="AR62" s="68"/>
      <c r="AS62" s="69" t="s">
        <v>407</v>
      </c>
      <c r="AT62" s="69"/>
      <c r="AU62" s="69"/>
      <c r="AV62" s="69" t="s">
        <v>407</v>
      </c>
      <c r="AW62" s="69"/>
      <c r="AX62" s="69"/>
      <c r="AY62" s="69"/>
      <c r="AZ62" s="69"/>
      <c r="BA62" s="69"/>
      <c r="BB62" s="69"/>
      <c r="BC62" s="69"/>
      <c r="BD62" s="69"/>
      <c r="BE62" s="69"/>
      <c r="BF62" s="69"/>
      <c r="BG62" s="68"/>
      <c r="BH62" s="68"/>
      <c r="BI62" s="68"/>
      <c r="BJ62" s="68"/>
      <c r="BK62" s="68"/>
      <c r="BL62" s="68"/>
      <c r="BM62" s="68"/>
      <c r="BN62" s="68"/>
      <c r="BO62" s="68"/>
      <c r="BP62" s="68"/>
      <c r="BQ62" s="68"/>
      <c r="BR62" s="68"/>
      <c r="BS62" s="68"/>
      <c r="BT62" s="68"/>
      <c r="BU62" s="68"/>
      <c r="BV62" s="68"/>
      <c r="BW62" s="68"/>
      <c r="BX62" s="68"/>
      <c r="BY62" s="68"/>
      <c r="BZ62" s="68"/>
      <c r="CA62" s="68"/>
      <c r="CB62" s="68"/>
      <c r="CC62" s="68"/>
      <c r="CD62" s="68"/>
      <c r="CE62" s="68"/>
      <c r="CF62" s="68"/>
      <c r="CG62" s="68"/>
      <c r="CH62" s="68"/>
      <c r="CI62" s="68"/>
      <c r="CJ62" s="68"/>
      <c r="CK62" s="68"/>
      <c r="CL62" s="68"/>
      <c r="CM62" s="68"/>
      <c r="CN62" s="68"/>
      <c r="CO62" s="68"/>
      <c r="CP62" s="68"/>
      <c r="CQ62" s="68"/>
      <c r="CR62" s="68"/>
      <c r="CS62" s="68"/>
      <c r="CT62" s="68"/>
      <c r="CU62" s="68"/>
      <c r="CV62" s="68"/>
      <c r="CW62" s="68"/>
      <c r="CX62" s="68"/>
      <c r="CY62" s="68"/>
      <c r="CZ62" s="68"/>
      <c r="DA62" s="68"/>
      <c r="DB62" s="68"/>
      <c r="DC62" s="68"/>
      <c r="DD62" s="68"/>
      <c r="DE62" s="68"/>
      <c r="DF62" s="68"/>
      <c r="DG62" s="68"/>
      <c r="DH62" s="68"/>
      <c r="DI62" s="68"/>
      <c r="DJ62" s="68"/>
      <c r="DK62" s="68"/>
      <c r="DL62" s="68"/>
      <c r="DM62" s="68"/>
      <c r="DN62" s="68"/>
      <c r="DO62" s="68"/>
      <c r="DP62" s="68"/>
      <c r="DQ62" s="68"/>
      <c r="DR62" s="68"/>
      <c r="DS62" s="68"/>
      <c r="DT62" s="68"/>
    </row>
    <row r="63" spans="1:124" ht="21.75" customHeight="1">
      <c r="A63" s="311"/>
      <c r="B63" s="232"/>
      <c r="C63" s="233"/>
      <c r="D63" s="234"/>
      <c r="E63" s="70"/>
      <c r="F63" s="70"/>
      <c r="G63" s="70"/>
      <c r="H63" s="70"/>
      <c r="I63" s="70"/>
      <c r="J63" s="70"/>
      <c r="K63" s="70"/>
      <c r="L63" s="70"/>
      <c r="M63" s="70"/>
      <c r="N63" s="70"/>
      <c r="O63" s="70"/>
      <c r="P63" s="70"/>
      <c r="Q63" s="70"/>
      <c r="R63" s="70"/>
      <c r="S63" s="70"/>
      <c r="T63" s="70"/>
      <c r="U63" s="70"/>
      <c r="V63" s="70"/>
      <c r="W63" s="70"/>
      <c r="X63" s="70"/>
      <c r="Y63" s="70"/>
      <c r="Z63" s="70"/>
      <c r="AA63" s="70"/>
      <c r="AB63" s="70"/>
      <c r="AC63" s="70"/>
      <c r="AD63" s="70"/>
      <c r="AE63" s="70"/>
      <c r="AF63" s="70"/>
      <c r="AG63" s="70"/>
      <c r="AH63" s="70"/>
      <c r="AI63" s="70"/>
      <c r="AJ63" s="70"/>
      <c r="AK63" s="70"/>
      <c r="AL63" s="70"/>
      <c r="AM63" s="70"/>
      <c r="AN63" s="70"/>
      <c r="AO63" s="70"/>
      <c r="AP63" s="65"/>
      <c r="AQ63" s="65"/>
      <c r="AR63" s="65"/>
      <c r="AS63" s="70">
        <f>10/0.735</f>
        <v>13.605442176870749</v>
      </c>
      <c r="AT63" s="70"/>
      <c r="AU63" s="70"/>
      <c r="AV63" s="70">
        <f>14/0.735</f>
        <v>19.047619047619047</v>
      </c>
      <c r="AW63" s="70"/>
      <c r="AX63" s="70"/>
      <c r="AY63" s="70"/>
      <c r="AZ63" s="70"/>
      <c r="BA63" s="70"/>
      <c r="BB63" s="70"/>
      <c r="BC63" s="70"/>
      <c r="BD63" s="70"/>
      <c r="BE63" s="70"/>
      <c r="BF63" s="70"/>
      <c r="BG63" s="65"/>
      <c r="BH63" s="65"/>
      <c r="BI63" s="65"/>
      <c r="BJ63" s="65"/>
      <c r="BK63" s="65"/>
      <c r="BL63" s="65"/>
      <c r="BM63" s="65"/>
      <c r="BN63" s="65"/>
      <c r="BO63" s="65"/>
      <c r="BP63" s="65"/>
      <c r="BQ63" s="65"/>
      <c r="BR63" s="65"/>
      <c r="BS63" s="65"/>
      <c r="BT63" s="65"/>
      <c r="BU63" s="65"/>
      <c r="BV63" s="65"/>
      <c r="BW63" s="65"/>
      <c r="BX63" s="65"/>
      <c r="BY63" s="65"/>
      <c r="BZ63" s="65"/>
      <c r="CA63" s="65"/>
      <c r="CB63" s="65"/>
      <c r="CC63" s="65"/>
      <c r="CD63" s="65"/>
      <c r="CE63" s="65"/>
      <c r="CF63" s="65"/>
      <c r="CG63" s="65"/>
      <c r="CH63" s="65"/>
      <c r="CI63" s="65"/>
      <c r="CJ63" s="65"/>
      <c r="CK63" s="65"/>
      <c r="CL63" s="65"/>
      <c r="CM63" s="65"/>
      <c r="CN63" s="65"/>
      <c r="CO63" s="65"/>
      <c r="CP63" s="65"/>
      <c r="CQ63" s="65"/>
      <c r="CR63" s="65"/>
      <c r="CS63" s="65"/>
      <c r="CT63" s="65"/>
      <c r="CU63" s="65"/>
      <c r="CV63" s="65"/>
      <c r="CW63" s="65"/>
      <c r="CX63" s="65"/>
      <c r="CY63" s="65"/>
      <c r="CZ63" s="65"/>
      <c r="DA63" s="65"/>
      <c r="DB63" s="65"/>
      <c r="DC63" s="65"/>
      <c r="DD63" s="65"/>
      <c r="DE63" s="65"/>
      <c r="DF63" s="65"/>
      <c r="DG63" s="65"/>
      <c r="DH63" s="65"/>
      <c r="DI63" s="65"/>
      <c r="DJ63" s="65"/>
      <c r="DK63" s="65"/>
      <c r="DL63" s="65"/>
      <c r="DM63" s="65"/>
      <c r="DN63" s="65"/>
      <c r="DO63" s="65"/>
      <c r="DP63" s="65"/>
      <c r="DQ63" s="65"/>
      <c r="DR63" s="65"/>
      <c r="DS63" s="65"/>
      <c r="DT63" s="65"/>
    </row>
    <row r="64" spans="1:124" ht="21.75" customHeight="1">
      <c r="A64" s="311"/>
      <c r="B64" s="229" t="s">
        <v>421</v>
      </c>
      <c r="C64" s="230"/>
      <c r="D64" s="231"/>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8"/>
      <c r="AQ64" s="68"/>
      <c r="AR64" s="68"/>
      <c r="AS64" s="69"/>
      <c r="AT64" s="69"/>
      <c r="AU64" s="69"/>
      <c r="AV64" s="69"/>
      <c r="AW64" s="69"/>
      <c r="AX64" s="69"/>
      <c r="AY64" s="69"/>
      <c r="AZ64" s="69"/>
      <c r="BA64" s="69"/>
      <c r="BB64" s="69"/>
      <c r="BC64" s="69"/>
      <c r="BD64" s="69"/>
      <c r="BE64" s="69"/>
      <c r="BF64" s="69"/>
      <c r="BG64" s="68"/>
      <c r="BH64" s="68"/>
      <c r="BI64" s="68"/>
      <c r="BJ64" s="68"/>
      <c r="BK64" s="68"/>
      <c r="BL64" s="68"/>
      <c r="BM64" s="68"/>
      <c r="BN64" s="68"/>
      <c r="BO64" s="68"/>
      <c r="BP64" s="68"/>
      <c r="BQ64" s="68"/>
      <c r="BR64" s="68"/>
      <c r="BS64" s="68"/>
      <c r="BT64" s="68"/>
      <c r="BU64" s="68"/>
      <c r="BV64" s="68"/>
      <c r="BW64" s="68"/>
      <c r="BX64" s="68"/>
      <c r="BY64" s="68"/>
      <c r="BZ64" s="68"/>
      <c r="CA64" s="68"/>
      <c r="CB64" s="68"/>
      <c r="CC64" s="68"/>
      <c r="CD64" s="68"/>
      <c r="CE64" s="68"/>
      <c r="CF64" s="68"/>
      <c r="CG64" s="68"/>
      <c r="CH64" s="68"/>
      <c r="CI64" s="68"/>
      <c r="CJ64" s="68"/>
      <c r="CK64" s="68"/>
      <c r="CL64" s="68"/>
      <c r="CM64" s="68"/>
      <c r="CN64" s="68"/>
      <c r="CO64" s="68"/>
      <c r="CP64" s="68"/>
      <c r="CQ64" s="68"/>
      <c r="CR64" s="68"/>
      <c r="CS64" s="68"/>
      <c r="CT64" s="68"/>
      <c r="CU64" s="68"/>
      <c r="CV64" s="68"/>
      <c r="CW64" s="68"/>
      <c r="CX64" s="68"/>
      <c r="CY64" s="68"/>
      <c r="CZ64" s="68"/>
      <c r="DA64" s="68"/>
      <c r="DB64" s="68"/>
      <c r="DC64" s="68"/>
      <c r="DD64" s="68"/>
      <c r="DE64" s="68"/>
      <c r="DF64" s="68"/>
      <c r="DG64" s="68"/>
      <c r="DH64" s="68"/>
      <c r="DI64" s="68"/>
      <c r="DJ64" s="68"/>
      <c r="DK64" s="68"/>
      <c r="DL64" s="68"/>
      <c r="DM64" s="68"/>
      <c r="DN64" s="68"/>
      <c r="DO64" s="68"/>
      <c r="DP64" s="68"/>
      <c r="DQ64" s="68"/>
      <c r="DR64" s="68"/>
      <c r="DS64" s="68"/>
      <c r="DT64" s="68"/>
    </row>
    <row r="65" spans="1:124" ht="21.75" customHeight="1">
      <c r="A65" s="311"/>
      <c r="B65" s="232"/>
      <c r="C65" s="233"/>
      <c r="D65" s="234"/>
      <c r="E65" s="70"/>
      <c r="F65" s="70"/>
      <c r="G65" s="70"/>
      <c r="H65" s="70"/>
      <c r="I65" s="70"/>
      <c r="J65" s="70"/>
      <c r="K65" s="70"/>
      <c r="L65" s="70"/>
      <c r="M65" s="70"/>
      <c r="N65" s="70"/>
      <c r="O65" s="70"/>
      <c r="P65" s="70"/>
      <c r="Q65" s="70"/>
      <c r="R65" s="70"/>
      <c r="S65" s="70"/>
      <c r="T65" s="70"/>
      <c r="U65" s="70"/>
      <c r="V65" s="70"/>
      <c r="W65" s="70"/>
      <c r="X65" s="70"/>
      <c r="Y65" s="70"/>
      <c r="Z65" s="70"/>
      <c r="AA65" s="70"/>
      <c r="AB65" s="70"/>
      <c r="AC65" s="70"/>
      <c r="AD65" s="70"/>
      <c r="AE65" s="70"/>
      <c r="AF65" s="70"/>
      <c r="AG65" s="70"/>
      <c r="AH65" s="70"/>
      <c r="AI65" s="70"/>
      <c r="AJ65" s="70"/>
      <c r="AK65" s="70"/>
      <c r="AL65" s="70"/>
      <c r="AM65" s="70"/>
      <c r="AN65" s="70"/>
      <c r="AO65" s="70"/>
      <c r="AP65" s="65"/>
      <c r="AQ65" s="65"/>
      <c r="AR65" s="65"/>
      <c r="AS65" s="70"/>
      <c r="AT65" s="70"/>
      <c r="AU65" s="70"/>
      <c r="AV65" s="70"/>
      <c r="AW65" s="70"/>
      <c r="AX65" s="70"/>
      <c r="AY65" s="70"/>
      <c r="AZ65" s="70"/>
      <c r="BA65" s="70"/>
      <c r="BB65" s="70"/>
      <c r="BC65" s="70"/>
      <c r="BD65" s="70"/>
      <c r="BE65" s="70"/>
      <c r="BF65" s="70"/>
      <c r="BG65" s="65"/>
      <c r="BH65" s="65"/>
      <c r="BI65" s="65"/>
      <c r="BJ65" s="65"/>
      <c r="BK65" s="65"/>
      <c r="BL65" s="65"/>
      <c r="BM65" s="65"/>
      <c r="BN65" s="65"/>
      <c r="BO65" s="65"/>
      <c r="BP65" s="65"/>
      <c r="BQ65" s="65"/>
      <c r="BR65" s="65"/>
      <c r="BS65" s="65"/>
      <c r="BT65" s="65"/>
      <c r="BU65" s="65"/>
      <c r="BV65" s="65"/>
      <c r="BW65" s="65"/>
      <c r="BX65" s="65"/>
      <c r="BY65" s="65"/>
      <c r="BZ65" s="65"/>
      <c r="CA65" s="65"/>
      <c r="CB65" s="65"/>
      <c r="CC65" s="65"/>
      <c r="CD65" s="65"/>
      <c r="CE65" s="65"/>
      <c r="CF65" s="65"/>
      <c r="CG65" s="65"/>
      <c r="CH65" s="65"/>
      <c r="CI65" s="65"/>
      <c r="CJ65" s="65"/>
      <c r="CK65" s="65"/>
      <c r="CL65" s="65"/>
      <c r="CM65" s="65"/>
      <c r="CN65" s="65"/>
      <c r="CO65" s="65"/>
      <c r="CP65" s="65"/>
      <c r="CQ65" s="65"/>
      <c r="CR65" s="65"/>
      <c r="CS65" s="65"/>
      <c r="CT65" s="65"/>
      <c r="CU65" s="65"/>
      <c r="CV65" s="65"/>
      <c r="CW65" s="65"/>
      <c r="CX65" s="65"/>
      <c r="CY65" s="65"/>
      <c r="CZ65" s="65"/>
      <c r="DA65" s="65"/>
      <c r="DB65" s="65"/>
      <c r="DC65" s="65"/>
      <c r="DD65" s="65"/>
      <c r="DE65" s="65"/>
      <c r="DF65" s="65"/>
      <c r="DG65" s="65"/>
      <c r="DH65" s="65"/>
      <c r="DI65" s="65"/>
      <c r="DJ65" s="65"/>
      <c r="DK65" s="65"/>
      <c r="DL65" s="65"/>
      <c r="DM65" s="65"/>
      <c r="DN65" s="65"/>
      <c r="DO65" s="65"/>
      <c r="DP65" s="65"/>
      <c r="DQ65" s="65"/>
      <c r="DR65" s="65"/>
      <c r="DS65" s="65"/>
      <c r="DT65" s="65"/>
    </row>
    <row r="66" spans="1:124" ht="21.75" customHeight="1" thickBot="1">
      <c r="A66" s="311"/>
    </row>
    <row r="67" spans="1:124" ht="21.75" customHeight="1">
      <c r="A67" s="312"/>
      <c r="B67" s="176" t="s">
        <v>16</v>
      </c>
      <c r="C67" s="177"/>
      <c r="D67" s="178"/>
      <c r="E67" s="188"/>
      <c r="F67" s="188">
        <v>41000</v>
      </c>
      <c r="G67" s="188">
        <v>41030</v>
      </c>
      <c r="H67" s="188">
        <v>41061</v>
      </c>
      <c r="I67" s="188">
        <v>41365</v>
      </c>
      <c r="J67" s="182">
        <v>41491</v>
      </c>
      <c r="K67" s="182">
        <v>41519</v>
      </c>
      <c r="L67" s="182">
        <v>41603</v>
      </c>
      <c r="M67" s="182">
        <v>41606</v>
      </c>
      <c r="N67" s="185">
        <v>41997</v>
      </c>
      <c r="O67" s="182">
        <v>42001</v>
      </c>
      <c r="P67" s="182">
        <v>41646</v>
      </c>
      <c r="Q67" s="182">
        <v>41648</v>
      </c>
      <c r="R67" s="182">
        <v>41650</v>
      </c>
      <c r="S67" s="182">
        <v>41653</v>
      </c>
      <c r="T67" s="182">
        <v>41655</v>
      </c>
      <c r="U67" s="182">
        <v>41657</v>
      </c>
      <c r="V67" s="182">
        <v>41660</v>
      </c>
      <c r="W67" s="182">
        <v>41662</v>
      </c>
      <c r="X67" s="182">
        <v>41743</v>
      </c>
      <c r="Y67" s="185">
        <v>41747</v>
      </c>
      <c r="Z67" s="185">
        <v>41748</v>
      </c>
      <c r="AA67" s="185">
        <v>41750</v>
      </c>
      <c r="AB67" s="185">
        <v>41752</v>
      </c>
      <c r="AC67" s="185">
        <v>41754</v>
      </c>
      <c r="AD67" s="182">
        <v>41757</v>
      </c>
      <c r="AE67" s="185">
        <v>41761</v>
      </c>
      <c r="AF67" s="185">
        <v>41764</v>
      </c>
      <c r="AG67" s="188"/>
      <c r="AH67" s="185">
        <v>41768</v>
      </c>
      <c r="AI67" s="185">
        <v>41771</v>
      </c>
      <c r="AJ67" s="185">
        <v>41773</v>
      </c>
      <c r="AK67" s="185">
        <v>41775</v>
      </c>
      <c r="AL67" s="185">
        <v>41778</v>
      </c>
      <c r="AM67" s="185">
        <v>41780</v>
      </c>
      <c r="AN67" s="185">
        <v>41782</v>
      </c>
      <c r="AO67" s="185">
        <v>41785</v>
      </c>
      <c r="AP67" s="186">
        <f>AP$3</f>
        <v>41789</v>
      </c>
      <c r="AQ67" s="186">
        <f>AQ$3</f>
        <v>41793</v>
      </c>
      <c r="AR67" s="186">
        <f>AR$3</f>
        <v>41795</v>
      </c>
      <c r="AS67" s="182">
        <v>41876</v>
      </c>
      <c r="AT67" s="182">
        <v>41878</v>
      </c>
      <c r="AU67" s="182">
        <v>41880</v>
      </c>
      <c r="AV67" s="182">
        <v>41883</v>
      </c>
      <c r="AW67" s="182">
        <v>41885</v>
      </c>
      <c r="AX67" s="182">
        <v>41887</v>
      </c>
      <c r="AY67" s="194">
        <v>41890</v>
      </c>
      <c r="AZ67" s="185">
        <v>41892</v>
      </c>
      <c r="BA67" s="185">
        <v>41894</v>
      </c>
      <c r="BB67" s="186">
        <v>41897</v>
      </c>
      <c r="BC67" s="186">
        <v>41899</v>
      </c>
      <c r="BD67" s="186">
        <v>41901</v>
      </c>
      <c r="BE67" s="186">
        <v>41904</v>
      </c>
      <c r="BF67" s="186">
        <v>41906</v>
      </c>
      <c r="BG67" s="186">
        <v>41908</v>
      </c>
      <c r="BH67" s="186">
        <v>41911</v>
      </c>
      <c r="BI67" s="186">
        <v>41913</v>
      </c>
      <c r="BJ67" s="186">
        <v>41915</v>
      </c>
      <c r="BK67" s="186">
        <v>41918</v>
      </c>
      <c r="BL67" s="186">
        <v>41920</v>
      </c>
      <c r="BM67" s="186">
        <v>41922</v>
      </c>
      <c r="BN67" s="186">
        <v>41925</v>
      </c>
      <c r="BO67" s="186">
        <v>41927</v>
      </c>
      <c r="BP67" s="186">
        <v>41929</v>
      </c>
      <c r="BQ67" s="186">
        <v>41932</v>
      </c>
      <c r="BR67" s="186">
        <v>41934</v>
      </c>
      <c r="BS67" s="186">
        <v>41936</v>
      </c>
      <c r="BT67" s="186">
        <v>41939</v>
      </c>
      <c r="BU67" s="186">
        <v>41941</v>
      </c>
      <c r="BV67" s="186">
        <v>41943</v>
      </c>
      <c r="BW67" s="186">
        <v>41946</v>
      </c>
      <c r="BX67" s="186">
        <v>41948</v>
      </c>
      <c r="BY67" s="186">
        <v>41950</v>
      </c>
      <c r="BZ67" s="186">
        <v>41953</v>
      </c>
      <c r="CA67" s="186">
        <v>41955</v>
      </c>
      <c r="CB67" s="186">
        <v>41957</v>
      </c>
      <c r="CC67" s="186">
        <v>41960</v>
      </c>
      <c r="CD67" s="186">
        <v>41962</v>
      </c>
      <c r="CE67" s="186">
        <v>41964</v>
      </c>
      <c r="CF67" s="186">
        <v>41967</v>
      </c>
      <c r="CG67" s="186">
        <v>41969</v>
      </c>
      <c r="CH67" s="186">
        <f t="shared" ref="CH67:DT67" si="2">CH$3</f>
        <v>41971</v>
      </c>
      <c r="CI67" s="186">
        <f t="shared" si="2"/>
        <v>41974</v>
      </c>
      <c r="CJ67" s="186">
        <f t="shared" si="2"/>
        <v>41976</v>
      </c>
      <c r="CK67" s="186">
        <f t="shared" si="2"/>
        <v>41978</v>
      </c>
      <c r="CL67" s="186">
        <f t="shared" si="2"/>
        <v>41981</v>
      </c>
      <c r="CM67" s="186">
        <f t="shared" si="2"/>
        <v>41983</v>
      </c>
      <c r="CN67" s="186">
        <f t="shared" si="2"/>
        <v>41985</v>
      </c>
      <c r="CO67" s="186">
        <f t="shared" si="2"/>
        <v>41988</v>
      </c>
      <c r="CP67" s="186">
        <f t="shared" si="2"/>
        <v>41990</v>
      </c>
      <c r="CQ67" s="186">
        <f t="shared" si="2"/>
        <v>41992</v>
      </c>
      <c r="CR67" s="186">
        <f t="shared" si="2"/>
        <v>41988</v>
      </c>
      <c r="CS67" s="186">
        <f t="shared" si="2"/>
        <v>41990</v>
      </c>
      <c r="CT67" s="186">
        <f t="shared" si="2"/>
        <v>41992</v>
      </c>
      <c r="CU67" s="186">
        <f t="shared" si="2"/>
        <v>41995</v>
      </c>
      <c r="CV67" s="186">
        <f t="shared" si="2"/>
        <v>41997</v>
      </c>
      <c r="CW67" s="186">
        <f t="shared" si="2"/>
        <v>41999</v>
      </c>
      <c r="CX67" s="186">
        <f t="shared" si="2"/>
        <v>42002</v>
      </c>
      <c r="CY67" s="186">
        <f t="shared" si="2"/>
        <v>42004</v>
      </c>
      <c r="CZ67" s="186">
        <f t="shared" si="2"/>
        <v>42006</v>
      </c>
      <c r="DA67" s="186">
        <f t="shared" si="2"/>
        <v>42009</v>
      </c>
      <c r="DB67" s="186">
        <f t="shared" si="2"/>
        <v>42011</v>
      </c>
      <c r="DC67" s="186">
        <f t="shared" si="2"/>
        <v>42013</v>
      </c>
      <c r="DD67" s="186">
        <f t="shared" si="2"/>
        <v>42016</v>
      </c>
      <c r="DE67" s="186">
        <f t="shared" si="2"/>
        <v>42018</v>
      </c>
      <c r="DF67" s="186">
        <f t="shared" si="2"/>
        <v>42020</v>
      </c>
      <c r="DG67" s="186">
        <f t="shared" si="2"/>
        <v>42023</v>
      </c>
      <c r="DH67" s="186">
        <f t="shared" si="2"/>
        <v>42025</v>
      </c>
      <c r="DI67" s="186">
        <f t="shared" si="2"/>
        <v>42027</v>
      </c>
      <c r="DJ67" s="186">
        <f t="shared" si="2"/>
        <v>42030</v>
      </c>
      <c r="DK67" s="186">
        <f t="shared" si="2"/>
        <v>42032</v>
      </c>
      <c r="DL67" s="186">
        <f t="shared" si="2"/>
        <v>42034</v>
      </c>
      <c r="DM67" s="186">
        <f t="shared" si="2"/>
        <v>42037</v>
      </c>
      <c r="DN67" s="186">
        <f t="shared" si="2"/>
        <v>42039</v>
      </c>
      <c r="DO67" s="186">
        <f t="shared" si="2"/>
        <v>42041</v>
      </c>
      <c r="DP67" s="186">
        <f t="shared" si="2"/>
        <v>42044</v>
      </c>
      <c r="DQ67" s="186">
        <f t="shared" si="2"/>
        <v>42046</v>
      </c>
      <c r="DR67" s="186">
        <f t="shared" si="2"/>
        <v>42048</v>
      </c>
      <c r="DS67" s="186">
        <f t="shared" si="2"/>
        <v>42051</v>
      </c>
      <c r="DT67" s="186">
        <f t="shared" si="2"/>
        <v>42053</v>
      </c>
    </row>
    <row r="68" spans="1:124" ht="21.75" customHeight="1">
      <c r="A68" s="312"/>
      <c r="B68" s="179"/>
      <c r="C68" s="180"/>
      <c r="D68" s="181"/>
      <c r="E68" s="189"/>
      <c r="F68" s="189"/>
      <c r="G68" s="189"/>
      <c r="H68" s="189"/>
      <c r="I68" s="189"/>
      <c r="J68" s="183"/>
      <c r="K68" s="183"/>
      <c r="L68" s="183"/>
      <c r="M68" s="183"/>
      <c r="N68" s="186"/>
      <c r="O68" s="183"/>
      <c r="P68" s="183"/>
      <c r="Q68" s="183"/>
      <c r="R68" s="183"/>
      <c r="S68" s="183"/>
      <c r="T68" s="183"/>
      <c r="U68" s="183"/>
      <c r="V68" s="183"/>
      <c r="W68" s="183"/>
      <c r="X68" s="183"/>
      <c r="Y68" s="186"/>
      <c r="Z68" s="186"/>
      <c r="AA68" s="186"/>
      <c r="AB68" s="186"/>
      <c r="AC68" s="186"/>
      <c r="AD68" s="183"/>
      <c r="AE68" s="186"/>
      <c r="AF68" s="186"/>
      <c r="AG68" s="189"/>
      <c r="AH68" s="186"/>
      <c r="AI68" s="186"/>
      <c r="AJ68" s="186"/>
      <c r="AK68" s="186"/>
      <c r="AL68" s="186"/>
      <c r="AM68" s="186"/>
      <c r="AN68" s="186"/>
      <c r="AO68" s="186"/>
      <c r="AP68" s="186"/>
      <c r="AQ68" s="186"/>
      <c r="AR68" s="186"/>
      <c r="AS68" s="183"/>
      <c r="AT68" s="183"/>
      <c r="AU68" s="183"/>
      <c r="AV68" s="183"/>
      <c r="AW68" s="183"/>
      <c r="AX68" s="183"/>
      <c r="AY68" s="195"/>
      <c r="AZ68" s="186"/>
      <c r="BA68" s="186"/>
      <c r="BB68" s="186"/>
      <c r="BC68" s="186"/>
      <c r="BD68" s="186"/>
      <c r="BE68" s="186"/>
      <c r="BF68" s="186"/>
      <c r="BG68" s="186"/>
      <c r="BH68" s="186"/>
      <c r="BI68" s="186"/>
      <c r="BJ68" s="186"/>
      <c r="BK68" s="186"/>
      <c r="BL68" s="186"/>
      <c r="BM68" s="186"/>
      <c r="BN68" s="186"/>
      <c r="BO68" s="186"/>
      <c r="BP68" s="186"/>
      <c r="BQ68" s="186"/>
      <c r="BR68" s="186"/>
      <c r="BS68" s="186"/>
      <c r="BT68" s="186"/>
      <c r="BU68" s="186"/>
      <c r="BV68" s="186"/>
      <c r="BW68" s="186"/>
      <c r="BX68" s="186"/>
      <c r="BY68" s="186"/>
      <c r="BZ68" s="186"/>
      <c r="CA68" s="186"/>
      <c r="CB68" s="186"/>
      <c r="CC68" s="186"/>
      <c r="CD68" s="186"/>
      <c r="CE68" s="186"/>
      <c r="CF68" s="186"/>
      <c r="CG68" s="186"/>
      <c r="CH68" s="186"/>
      <c r="CI68" s="186"/>
      <c r="CJ68" s="186"/>
      <c r="CK68" s="186"/>
      <c r="CL68" s="186"/>
      <c r="CM68" s="186"/>
      <c r="CN68" s="186"/>
      <c r="CO68" s="186"/>
      <c r="CP68" s="186"/>
      <c r="CQ68" s="186"/>
      <c r="CR68" s="186"/>
      <c r="CS68" s="186"/>
      <c r="CT68" s="186"/>
      <c r="CU68" s="186"/>
      <c r="CV68" s="186"/>
      <c r="CW68" s="186"/>
      <c r="CX68" s="186"/>
      <c r="CY68" s="186"/>
      <c r="CZ68" s="186"/>
      <c r="DA68" s="186"/>
      <c r="DB68" s="186"/>
      <c r="DC68" s="186"/>
      <c r="DD68" s="186"/>
      <c r="DE68" s="186"/>
      <c r="DF68" s="186"/>
      <c r="DG68" s="186"/>
      <c r="DH68" s="186"/>
      <c r="DI68" s="186"/>
      <c r="DJ68" s="186"/>
      <c r="DK68" s="186"/>
      <c r="DL68" s="186"/>
      <c r="DM68" s="186"/>
      <c r="DN68" s="186"/>
      <c r="DO68" s="186"/>
      <c r="DP68" s="186"/>
      <c r="DQ68" s="186"/>
      <c r="DR68" s="186"/>
      <c r="DS68" s="186"/>
      <c r="DT68" s="186"/>
    </row>
    <row r="69" spans="1:124" ht="21.75" customHeight="1">
      <c r="A69" s="312"/>
      <c r="B69" s="179"/>
      <c r="C69" s="180"/>
      <c r="D69" s="181"/>
      <c r="E69" s="189"/>
      <c r="F69" s="189"/>
      <c r="G69" s="189"/>
      <c r="H69" s="189"/>
      <c r="I69" s="189"/>
      <c r="J69" s="183"/>
      <c r="K69" s="183"/>
      <c r="L69" s="183"/>
      <c r="M69" s="183"/>
      <c r="N69" s="186"/>
      <c r="O69" s="183"/>
      <c r="P69" s="183"/>
      <c r="Q69" s="183"/>
      <c r="R69" s="183"/>
      <c r="S69" s="183"/>
      <c r="T69" s="183"/>
      <c r="U69" s="183"/>
      <c r="V69" s="183"/>
      <c r="W69" s="183"/>
      <c r="X69" s="183"/>
      <c r="Y69" s="186"/>
      <c r="Z69" s="186"/>
      <c r="AA69" s="186"/>
      <c r="AB69" s="186"/>
      <c r="AC69" s="186"/>
      <c r="AD69" s="183"/>
      <c r="AE69" s="186"/>
      <c r="AF69" s="186"/>
      <c r="AG69" s="189"/>
      <c r="AH69" s="186"/>
      <c r="AI69" s="186"/>
      <c r="AJ69" s="186"/>
      <c r="AK69" s="186"/>
      <c r="AL69" s="186"/>
      <c r="AM69" s="186"/>
      <c r="AN69" s="186"/>
      <c r="AO69" s="186"/>
      <c r="AP69" s="186"/>
      <c r="AQ69" s="186"/>
      <c r="AR69" s="186"/>
      <c r="AS69" s="183"/>
      <c r="AT69" s="183"/>
      <c r="AU69" s="183"/>
      <c r="AV69" s="183"/>
      <c r="AW69" s="183"/>
      <c r="AX69" s="183"/>
      <c r="AY69" s="195"/>
      <c r="AZ69" s="186"/>
      <c r="BA69" s="186"/>
      <c r="BB69" s="186"/>
      <c r="BC69" s="186"/>
      <c r="BD69" s="186"/>
      <c r="BE69" s="186"/>
      <c r="BF69" s="186"/>
      <c r="BG69" s="186"/>
      <c r="BH69" s="186"/>
      <c r="BI69" s="186"/>
      <c r="BJ69" s="186"/>
      <c r="BK69" s="186"/>
      <c r="BL69" s="186"/>
      <c r="BM69" s="186"/>
      <c r="BN69" s="186"/>
      <c r="BO69" s="186"/>
      <c r="BP69" s="186"/>
      <c r="BQ69" s="186"/>
      <c r="BR69" s="186"/>
      <c r="BS69" s="186"/>
      <c r="BT69" s="186"/>
      <c r="BU69" s="186"/>
      <c r="BV69" s="186"/>
      <c r="BW69" s="186"/>
      <c r="BX69" s="186"/>
      <c r="BY69" s="186"/>
      <c r="BZ69" s="186"/>
      <c r="CA69" s="186"/>
      <c r="CB69" s="186"/>
      <c r="CC69" s="186"/>
      <c r="CD69" s="186"/>
      <c r="CE69" s="186"/>
      <c r="CF69" s="186"/>
      <c r="CG69" s="186"/>
      <c r="CH69" s="186"/>
      <c r="CI69" s="186"/>
      <c r="CJ69" s="186"/>
      <c r="CK69" s="186"/>
      <c r="CL69" s="186"/>
      <c r="CM69" s="186"/>
      <c r="CN69" s="186"/>
      <c r="CO69" s="186"/>
      <c r="CP69" s="186"/>
      <c r="CQ69" s="186"/>
      <c r="CR69" s="186"/>
      <c r="CS69" s="186"/>
      <c r="CT69" s="186"/>
      <c r="CU69" s="186"/>
      <c r="CV69" s="186"/>
      <c r="CW69" s="186"/>
      <c r="CX69" s="186"/>
      <c r="CY69" s="186"/>
      <c r="CZ69" s="186"/>
      <c r="DA69" s="186"/>
      <c r="DB69" s="186"/>
      <c r="DC69" s="186"/>
      <c r="DD69" s="186"/>
      <c r="DE69" s="186"/>
      <c r="DF69" s="186"/>
      <c r="DG69" s="186"/>
      <c r="DH69" s="186"/>
      <c r="DI69" s="186"/>
      <c r="DJ69" s="186"/>
      <c r="DK69" s="186"/>
      <c r="DL69" s="186"/>
      <c r="DM69" s="186"/>
      <c r="DN69" s="186"/>
      <c r="DO69" s="186"/>
      <c r="DP69" s="186"/>
      <c r="DQ69" s="186"/>
      <c r="DR69" s="186"/>
      <c r="DS69" s="186"/>
      <c r="DT69" s="186"/>
    </row>
    <row r="70" spans="1:124" ht="21.75" customHeight="1">
      <c r="A70" s="312"/>
      <c r="B70" s="179"/>
      <c r="C70" s="180"/>
      <c r="D70" s="181"/>
      <c r="E70" s="189"/>
      <c r="F70" s="189"/>
      <c r="G70" s="189"/>
      <c r="H70" s="189"/>
      <c r="I70" s="189"/>
      <c r="J70" s="183"/>
      <c r="K70" s="183"/>
      <c r="L70" s="183"/>
      <c r="M70" s="183"/>
      <c r="N70" s="186"/>
      <c r="O70" s="183"/>
      <c r="P70" s="183"/>
      <c r="Q70" s="183"/>
      <c r="R70" s="183"/>
      <c r="S70" s="183"/>
      <c r="T70" s="183"/>
      <c r="U70" s="183"/>
      <c r="V70" s="183"/>
      <c r="W70" s="183"/>
      <c r="X70" s="183"/>
      <c r="Y70" s="186"/>
      <c r="Z70" s="186"/>
      <c r="AA70" s="186"/>
      <c r="AB70" s="186"/>
      <c r="AC70" s="186"/>
      <c r="AD70" s="183"/>
      <c r="AE70" s="186"/>
      <c r="AF70" s="186"/>
      <c r="AG70" s="189"/>
      <c r="AH70" s="186"/>
      <c r="AI70" s="186"/>
      <c r="AJ70" s="186"/>
      <c r="AK70" s="186"/>
      <c r="AL70" s="186"/>
      <c r="AM70" s="186"/>
      <c r="AN70" s="186"/>
      <c r="AO70" s="186"/>
      <c r="AP70" s="186"/>
      <c r="AQ70" s="186"/>
      <c r="AR70" s="186"/>
      <c r="AS70" s="183"/>
      <c r="AT70" s="183"/>
      <c r="AU70" s="183"/>
      <c r="AV70" s="183"/>
      <c r="AW70" s="183"/>
      <c r="AX70" s="183"/>
      <c r="AY70" s="195"/>
      <c r="AZ70" s="186"/>
      <c r="BA70" s="186"/>
      <c r="BB70" s="186"/>
      <c r="BC70" s="186"/>
      <c r="BD70" s="186"/>
      <c r="BE70" s="186"/>
      <c r="BF70" s="186"/>
      <c r="BG70" s="186"/>
      <c r="BH70" s="186"/>
      <c r="BI70" s="186"/>
      <c r="BJ70" s="186"/>
      <c r="BK70" s="186"/>
      <c r="BL70" s="186"/>
      <c r="BM70" s="186"/>
      <c r="BN70" s="186"/>
      <c r="BO70" s="186"/>
      <c r="BP70" s="186"/>
      <c r="BQ70" s="186"/>
      <c r="BR70" s="186"/>
      <c r="BS70" s="186"/>
      <c r="BT70" s="186"/>
      <c r="BU70" s="186"/>
      <c r="BV70" s="186"/>
      <c r="BW70" s="186"/>
      <c r="BX70" s="186"/>
      <c r="BY70" s="186"/>
      <c r="BZ70" s="186"/>
      <c r="CA70" s="186"/>
      <c r="CB70" s="186"/>
      <c r="CC70" s="186"/>
      <c r="CD70" s="186"/>
      <c r="CE70" s="186"/>
      <c r="CF70" s="186"/>
      <c r="CG70" s="186"/>
      <c r="CH70" s="186"/>
      <c r="CI70" s="186"/>
      <c r="CJ70" s="186"/>
      <c r="CK70" s="186"/>
      <c r="CL70" s="186"/>
      <c r="CM70" s="186"/>
      <c r="CN70" s="186"/>
      <c r="CO70" s="186"/>
      <c r="CP70" s="186"/>
      <c r="CQ70" s="186"/>
      <c r="CR70" s="186"/>
      <c r="CS70" s="186"/>
      <c r="CT70" s="186"/>
      <c r="CU70" s="186"/>
      <c r="CV70" s="186"/>
      <c r="CW70" s="186"/>
      <c r="CX70" s="186"/>
      <c r="CY70" s="186"/>
      <c r="CZ70" s="186"/>
      <c r="DA70" s="186"/>
      <c r="DB70" s="186"/>
      <c r="DC70" s="186"/>
      <c r="DD70" s="186"/>
      <c r="DE70" s="186"/>
      <c r="DF70" s="186"/>
      <c r="DG70" s="186"/>
      <c r="DH70" s="186"/>
      <c r="DI70" s="186"/>
      <c r="DJ70" s="186"/>
      <c r="DK70" s="186"/>
      <c r="DL70" s="186"/>
      <c r="DM70" s="186"/>
      <c r="DN70" s="186"/>
      <c r="DO70" s="186"/>
      <c r="DP70" s="186"/>
      <c r="DQ70" s="186"/>
      <c r="DR70" s="186"/>
      <c r="DS70" s="186"/>
      <c r="DT70" s="186"/>
    </row>
    <row r="71" spans="1:124" ht="21.75" customHeight="1">
      <c r="A71" s="312"/>
      <c r="B71" s="199" t="s">
        <v>365</v>
      </c>
      <c r="C71" s="200"/>
      <c r="D71" s="201"/>
      <c r="E71" s="189"/>
      <c r="F71" s="189"/>
      <c r="G71" s="189"/>
      <c r="H71" s="189"/>
      <c r="I71" s="189"/>
      <c r="J71" s="183"/>
      <c r="K71" s="183"/>
      <c r="L71" s="183"/>
      <c r="M71" s="183"/>
      <c r="N71" s="186"/>
      <c r="O71" s="183"/>
      <c r="P71" s="183"/>
      <c r="Q71" s="183"/>
      <c r="R71" s="183"/>
      <c r="S71" s="183"/>
      <c r="T71" s="183"/>
      <c r="U71" s="183"/>
      <c r="V71" s="183"/>
      <c r="W71" s="183"/>
      <c r="X71" s="183"/>
      <c r="Y71" s="186"/>
      <c r="Z71" s="186"/>
      <c r="AA71" s="186"/>
      <c r="AB71" s="186"/>
      <c r="AC71" s="186"/>
      <c r="AD71" s="183"/>
      <c r="AE71" s="186"/>
      <c r="AF71" s="186"/>
      <c r="AG71" s="189"/>
      <c r="AH71" s="186"/>
      <c r="AI71" s="186"/>
      <c r="AJ71" s="186"/>
      <c r="AK71" s="186"/>
      <c r="AL71" s="186"/>
      <c r="AM71" s="186"/>
      <c r="AN71" s="186"/>
      <c r="AO71" s="186"/>
      <c r="AP71" s="186"/>
      <c r="AQ71" s="186"/>
      <c r="AR71" s="186"/>
      <c r="AS71" s="183"/>
      <c r="AT71" s="183"/>
      <c r="AU71" s="183"/>
      <c r="AV71" s="183"/>
      <c r="AW71" s="183"/>
      <c r="AX71" s="183"/>
      <c r="AY71" s="195"/>
      <c r="AZ71" s="186"/>
      <c r="BA71" s="186"/>
      <c r="BB71" s="186"/>
      <c r="BC71" s="186"/>
      <c r="BD71" s="186"/>
      <c r="BE71" s="186"/>
      <c r="BF71" s="186"/>
      <c r="BG71" s="186"/>
      <c r="BH71" s="186"/>
      <c r="BI71" s="186"/>
      <c r="BJ71" s="186"/>
      <c r="BK71" s="186"/>
      <c r="BL71" s="186"/>
      <c r="BM71" s="186"/>
      <c r="BN71" s="186"/>
      <c r="BO71" s="186"/>
      <c r="BP71" s="186"/>
      <c r="BQ71" s="186"/>
      <c r="BR71" s="186"/>
      <c r="BS71" s="186"/>
      <c r="BT71" s="186"/>
      <c r="BU71" s="186"/>
      <c r="BV71" s="186"/>
      <c r="BW71" s="186"/>
      <c r="BX71" s="186"/>
      <c r="BY71" s="186"/>
      <c r="BZ71" s="186"/>
      <c r="CA71" s="186"/>
      <c r="CB71" s="186"/>
      <c r="CC71" s="186"/>
      <c r="CD71" s="186"/>
      <c r="CE71" s="186"/>
      <c r="CF71" s="186"/>
      <c r="CG71" s="186"/>
      <c r="CH71" s="186"/>
      <c r="CI71" s="186"/>
      <c r="CJ71" s="186"/>
      <c r="CK71" s="186"/>
      <c r="CL71" s="186"/>
      <c r="CM71" s="186"/>
      <c r="CN71" s="186"/>
      <c r="CO71" s="186"/>
      <c r="CP71" s="186"/>
      <c r="CQ71" s="186"/>
      <c r="CR71" s="186"/>
      <c r="CS71" s="186"/>
      <c r="CT71" s="186"/>
      <c r="CU71" s="186"/>
      <c r="CV71" s="186"/>
      <c r="CW71" s="186"/>
      <c r="CX71" s="186"/>
      <c r="CY71" s="186"/>
      <c r="CZ71" s="186"/>
      <c r="DA71" s="186"/>
      <c r="DB71" s="186"/>
      <c r="DC71" s="186"/>
      <c r="DD71" s="186"/>
      <c r="DE71" s="186"/>
      <c r="DF71" s="186"/>
      <c r="DG71" s="186"/>
      <c r="DH71" s="186"/>
      <c r="DI71" s="186"/>
      <c r="DJ71" s="186"/>
      <c r="DK71" s="186"/>
      <c r="DL71" s="186"/>
      <c r="DM71" s="186"/>
      <c r="DN71" s="186"/>
      <c r="DO71" s="186"/>
      <c r="DP71" s="186"/>
      <c r="DQ71" s="186"/>
      <c r="DR71" s="186"/>
      <c r="DS71" s="186"/>
      <c r="DT71" s="186"/>
    </row>
    <row r="72" spans="1:124" ht="21.75" customHeight="1" thickBot="1">
      <c r="A72" s="312"/>
      <c r="B72" s="202"/>
      <c r="C72" s="203"/>
      <c r="D72" s="204"/>
      <c r="E72" s="190"/>
      <c r="F72" s="190"/>
      <c r="G72" s="190"/>
      <c r="H72" s="190"/>
      <c r="I72" s="190"/>
      <c r="J72" s="184"/>
      <c r="K72" s="184"/>
      <c r="L72" s="184"/>
      <c r="M72" s="184"/>
      <c r="N72" s="187"/>
      <c r="O72" s="184"/>
      <c r="P72" s="184"/>
      <c r="Q72" s="184"/>
      <c r="R72" s="184"/>
      <c r="S72" s="184"/>
      <c r="T72" s="184"/>
      <c r="U72" s="184"/>
      <c r="V72" s="184"/>
      <c r="W72" s="184"/>
      <c r="X72" s="184"/>
      <c r="Y72" s="187"/>
      <c r="Z72" s="187"/>
      <c r="AA72" s="187"/>
      <c r="AB72" s="187"/>
      <c r="AC72" s="187"/>
      <c r="AD72" s="184"/>
      <c r="AE72" s="187"/>
      <c r="AF72" s="187"/>
      <c r="AG72" s="190"/>
      <c r="AH72" s="187"/>
      <c r="AI72" s="187"/>
      <c r="AJ72" s="187"/>
      <c r="AK72" s="187"/>
      <c r="AL72" s="187"/>
      <c r="AM72" s="187"/>
      <c r="AN72" s="187"/>
      <c r="AO72" s="187"/>
      <c r="AP72" s="186"/>
      <c r="AQ72" s="186"/>
      <c r="AR72" s="186"/>
      <c r="AS72" s="184"/>
      <c r="AT72" s="184"/>
      <c r="AU72" s="184"/>
      <c r="AV72" s="184"/>
      <c r="AW72" s="184"/>
      <c r="AX72" s="184"/>
      <c r="AY72" s="196"/>
      <c r="AZ72" s="187"/>
      <c r="BA72" s="187"/>
      <c r="BB72" s="186"/>
      <c r="BC72" s="186"/>
      <c r="BD72" s="186"/>
      <c r="BE72" s="186"/>
      <c r="BF72" s="186"/>
      <c r="BG72" s="186"/>
      <c r="BH72" s="186"/>
      <c r="BI72" s="186"/>
      <c r="BJ72" s="186"/>
      <c r="BK72" s="186"/>
      <c r="BL72" s="186"/>
      <c r="BM72" s="186"/>
      <c r="BN72" s="186"/>
      <c r="BO72" s="186"/>
      <c r="BP72" s="186"/>
      <c r="BQ72" s="186"/>
      <c r="BR72" s="186"/>
      <c r="BS72" s="186"/>
      <c r="BT72" s="186"/>
      <c r="BU72" s="186"/>
      <c r="BV72" s="186"/>
      <c r="BW72" s="186"/>
      <c r="BX72" s="186"/>
      <c r="BY72" s="186"/>
      <c r="BZ72" s="186"/>
      <c r="CA72" s="186"/>
      <c r="CB72" s="186"/>
      <c r="CC72" s="186"/>
      <c r="CD72" s="186"/>
      <c r="CE72" s="186"/>
      <c r="CF72" s="186"/>
      <c r="CG72" s="186"/>
      <c r="CH72" s="186"/>
      <c r="CI72" s="186"/>
      <c r="CJ72" s="186"/>
      <c r="CK72" s="186"/>
      <c r="CL72" s="186"/>
      <c r="CM72" s="186"/>
      <c r="CN72" s="186"/>
      <c r="CO72" s="186"/>
      <c r="CP72" s="186"/>
      <c r="CQ72" s="186"/>
      <c r="CR72" s="186"/>
      <c r="CS72" s="186"/>
      <c r="CT72" s="186"/>
      <c r="CU72" s="186"/>
      <c r="CV72" s="186"/>
      <c r="CW72" s="186"/>
      <c r="CX72" s="186"/>
      <c r="CY72" s="186"/>
      <c r="CZ72" s="186"/>
      <c r="DA72" s="186"/>
      <c r="DB72" s="186"/>
      <c r="DC72" s="186"/>
      <c r="DD72" s="186"/>
      <c r="DE72" s="186"/>
      <c r="DF72" s="186"/>
      <c r="DG72" s="186"/>
      <c r="DH72" s="186"/>
      <c r="DI72" s="186"/>
      <c r="DJ72" s="186"/>
      <c r="DK72" s="186"/>
      <c r="DL72" s="186"/>
      <c r="DM72" s="186"/>
      <c r="DN72" s="186"/>
      <c r="DO72" s="186"/>
      <c r="DP72" s="186"/>
      <c r="DQ72" s="186"/>
      <c r="DR72" s="186"/>
      <c r="DS72" s="186"/>
      <c r="DT72" s="186"/>
    </row>
    <row r="73" spans="1:124" s="55" customFormat="1" ht="21.75" customHeight="1">
      <c r="A73" s="312"/>
      <c r="B73" s="205" t="s">
        <v>366</v>
      </c>
      <c r="C73" s="206"/>
      <c r="D73" s="247"/>
      <c r="E73" s="243"/>
      <c r="F73" s="197" t="s">
        <v>22</v>
      </c>
      <c r="G73" s="197" t="s">
        <v>22</v>
      </c>
      <c r="H73" s="197" t="s">
        <v>36</v>
      </c>
      <c r="I73" s="197" t="s">
        <v>37</v>
      </c>
      <c r="J73" s="197" t="s">
        <v>37</v>
      </c>
      <c r="K73" s="197"/>
      <c r="L73" s="243"/>
      <c r="M73" s="243"/>
      <c r="N73" s="245" t="s">
        <v>202</v>
      </c>
      <c r="O73" s="243"/>
      <c r="P73" s="243"/>
      <c r="Q73" s="243"/>
      <c r="R73" s="243"/>
      <c r="S73" s="243"/>
      <c r="T73" s="243"/>
      <c r="U73" s="243"/>
      <c r="V73" s="249" t="s">
        <v>367</v>
      </c>
      <c r="W73" s="249" t="s">
        <v>367</v>
      </c>
      <c r="X73" s="197"/>
      <c r="Y73" s="197"/>
      <c r="Z73" s="197"/>
      <c r="AA73" s="197"/>
      <c r="AB73" s="197"/>
      <c r="AC73" s="197"/>
      <c r="AD73" s="249" t="s">
        <v>367</v>
      </c>
      <c r="AE73" s="197"/>
      <c r="AF73" s="197"/>
      <c r="AG73" s="243"/>
      <c r="AH73" s="197"/>
      <c r="AI73" s="197"/>
      <c r="AJ73" s="197"/>
      <c r="AK73" s="197"/>
      <c r="AL73" s="197"/>
      <c r="AM73" s="197"/>
      <c r="AN73" s="197"/>
      <c r="AO73" s="249" t="s">
        <v>367</v>
      </c>
      <c r="AP73" s="243"/>
      <c r="AQ73" s="243"/>
      <c r="AR73" s="243"/>
      <c r="AS73" s="197"/>
      <c r="AT73" s="243"/>
      <c r="AU73" s="243"/>
      <c r="AV73" s="243"/>
      <c r="AW73" s="243"/>
      <c r="AX73" s="243"/>
      <c r="AY73" s="243"/>
      <c r="AZ73" s="243"/>
      <c r="BA73" s="243"/>
      <c r="BB73" s="215" t="s">
        <v>160</v>
      </c>
      <c r="BC73" s="215" t="s">
        <v>160</v>
      </c>
      <c r="BD73" s="215" t="s">
        <v>160</v>
      </c>
      <c r="BE73" s="197" t="s">
        <v>161</v>
      </c>
      <c r="BF73" s="197"/>
      <c r="BG73" s="197"/>
      <c r="BH73" s="197"/>
      <c r="BI73" s="197"/>
      <c r="BJ73" s="197"/>
      <c r="BK73" s="215" t="s">
        <v>369</v>
      </c>
      <c r="BL73" s="215" t="s">
        <v>369</v>
      </c>
      <c r="BM73" s="215" t="s">
        <v>369</v>
      </c>
      <c r="BN73" s="197"/>
      <c r="BO73" s="197"/>
      <c r="BP73" s="197"/>
      <c r="BQ73" s="197"/>
      <c r="BR73" s="197"/>
      <c r="BS73" s="197"/>
      <c r="BT73" s="197"/>
      <c r="BU73" s="197"/>
      <c r="BV73" s="215" t="s">
        <v>370</v>
      </c>
      <c r="BW73" s="215" t="s">
        <v>370</v>
      </c>
      <c r="BX73" s="215" t="s">
        <v>370</v>
      </c>
      <c r="BY73" s="215" t="s">
        <v>370</v>
      </c>
      <c r="BZ73" s="215" t="s">
        <v>370</v>
      </c>
      <c r="CA73" s="215" t="s">
        <v>370</v>
      </c>
      <c r="CB73" s="197"/>
      <c r="CC73" s="197"/>
      <c r="CD73" s="197"/>
      <c r="CE73" s="197"/>
      <c r="CF73" s="197"/>
      <c r="CG73" s="197"/>
      <c r="CH73" s="197"/>
      <c r="CI73" s="197"/>
      <c r="CJ73" s="197"/>
      <c r="CK73" s="215" t="s">
        <v>371</v>
      </c>
      <c r="CL73" s="215" t="s">
        <v>371</v>
      </c>
      <c r="CM73" s="215" t="s">
        <v>371</v>
      </c>
      <c r="CN73" s="215" t="s">
        <v>371</v>
      </c>
      <c r="CO73" s="215" t="s">
        <v>371</v>
      </c>
      <c r="CP73" s="215" t="s">
        <v>371</v>
      </c>
      <c r="CQ73" s="215" t="s">
        <v>371</v>
      </c>
      <c r="CR73" s="243"/>
      <c r="CS73" s="243"/>
      <c r="CT73" s="243"/>
      <c r="CU73" s="243"/>
      <c r="CV73" s="243"/>
      <c r="CW73" s="243"/>
      <c r="CX73" s="243"/>
      <c r="CY73" s="243"/>
      <c r="CZ73" s="243"/>
      <c r="DA73" s="243"/>
      <c r="DB73" s="243"/>
      <c r="DC73" s="243"/>
      <c r="DD73" s="243"/>
      <c r="DE73" s="243"/>
      <c r="DF73" s="243"/>
      <c r="DG73" s="243"/>
      <c r="DH73" s="243"/>
      <c r="DI73" s="243"/>
      <c r="DJ73" s="243"/>
      <c r="DK73" s="243"/>
      <c r="DL73" s="243"/>
      <c r="DM73" s="243"/>
      <c r="DN73" s="243"/>
      <c r="DO73" s="243"/>
      <c r="DP73" s="243"/>
      <c r="DQ73" s="243"/>
      <c r="DR73" s="243"/>
      <c r="DS73" s="243"/>
      <c r="DT73" s="243"/>
    </row>
    <row r="74" spans="1:124" s="55" customFormat="1" ht="21.75" customHeight="1">
      <c r="A74" s="312"/>
      <c r="B74" s="207"/>
      <c r="C74" s="208"/>
      <c r="D74" s="248"/>
      <c r="E74" s="244"/>
      <c r="F74" s="198"/>
      <c r="G74" s="198"/>
      <c r="H74" s="198"/>
      <c r="I74" s="198"/>
      <c r="J74" s="198"/>
      <c r="K74" s="198"/>
      <c r="L74" s="244"/>
      <c r="M74" s="244"/>
      <c r="N74" s="246"/>
      <c r="O74" s="244"/>
      <c r="P74" s="244"/>
      <c r="Q74" s="244"/>
      <c r="R74" s="244"/>
      <c r="S74" s="244"/>
      <c r="T74" s="244"/>
      <c r="U74" s="244"/>
      <c r="V74" s="250"/>
      <c r="W74" s="250"/>
      <c r="X74" s="198"/>
      <c r="Y74" s="198"/>
      <c r="Z74" s="198"/>
      <c r="AA74" s="198"/>
      <c r="AB74" s="198"/>
      <c r="AC74" s="198"/>
      <c r="AD74" s="250"/>
      <c r="AE74" s="198"/>
      <c r="AF74" s="198"/>
      <c r="AG74" s="244"/>
      <c r="AH74" s="198"/>
      <c r="AI74" s="198"/>
      <c r="AJ74" s="198"/>
      <c r="AK74" s="198"/>
      <c r="AL74" s="198"/>
      <c r="AM74" s="198"/>
      <c r="AN74" s="198"/>
      <c r="AO74" s="250"/>
      <c r="AP74" s="244"/>
      <c r="AQ74" s="244"/>
      <c r="AR74" s="244"/>
      <c r="AS74" s="198"/>
      <c r="AT74" s="244"/>
      <c r="AU74" s="244"/>
      <c r="AV74" s="244"/>
      <c r="AW74" s="244"/>
      <c r="AX74" s="244"/>
      <c r="AY74" s="244"/>
      <c r="AZ74" s="244"/>
      <c r="BA74" s="244"/>
      <c r="BB74" s="216"/>
      <c r="BC74" s="216"/>
      <c r="BD74" s="216"/>
      <c r="BE74" s="198"/>
      <c r="BF74" s="198"/>
      <c r="BG74" s="198"/>
      <c r="BH74" s="198"/>
      <c r="BI74" s="198"/>
      <c r="BJ74" s="198"/>
      <c r="BK74" s="216"/>
      <c r="BL74" s="216"/>
      <c r="BM74" s="216"/>
      <c r="BN74" s="198"/>
      <c r="BO74" s="198"/>
      <c r="BP74" s="198"/>
      <c r="BQ74" s="198"/>
      <c r="BR74" s="198"/>
      <c r="BS74" s="198"/>
      <c r="BT74" s="198"/>
      <c r="BU74" s="198"/>
      <c r="BV74" s="216"/>
      <c r="BW74" s="216"/>
      <c r="BX74" s="216"/>
      <c r="BY74" s="216"/>
      <c r="BZ74" s="216"/>
      <c r="CA74" s="216"/>
      <c r="CB74" s="198"/>
      <c r="CC74" s="198"/>
      <c r="CD74" s="198"/>
      <c r="CE74" s="198"/>
      <c r="CF74" s="198"/>
      <c r="CG74" s="198"/>
      <c r="CH74" s="198"/>
      <c r="CI74" s="198"/>
      <c r="CJ74" s="198"/>
      <c r="CK74" s="216"/>
      <c r="CL74" s="216"/>
      <c r="CM74" s="216"/>
      <c r="CN74" s="216"/>
      <c r="CO74" s="216"/>
      <c r="CP74" s="216"/>
      <c r="CQ74" s="216"/>
      <c r="CR74" s="244"/>
      <c r="CS74" s="244"/>
      <c r="CT74" s="244"/>
      <c r="CU74" s="244"/>
      <c r="CV74" s="244"/>
      <c r="CW74" s="244"/>
      <c r="CX74" s="244"/>
      <c r="CY74" s="244"/>
      <c r="CZ74" s="244"/>
      <c r="DA74" s="244"/>
      <c r="DB74" s="244"/>
      <c r="DC74" s="244"/>
      <c r="DD74" s="244"/>
      <c r="DE74" s="244"/>
      <c r="DF74" s="244"/>
      <c r="DG74" s="244"/>
      <c r="DH74" s="244"/>
      <c r="DI74" s="244"/>
      <c r="DJ74" s="244"/>
      <c r="DK74" s="244"/>
      <c r="DL74" s="244"/>
      <c r="DM74" s="244"/>
      <c r="DN74" s="244"/>
      <c r="DO74" s="244"/>
      <c r="DP74" s="244"/>
      <c r="DQ74" s="244"/>
      <c r="DR74" s="244"/>
      <c r="DS74" s="244"/>
      <c r="DT74" s="244"/>
    </row>
    <row r="75" spans="1:124" ht="21.75" customHeight="1">
      <c r="A75" s="312"/>
      <c r="B75" s="221" t="s">
        <v>12</v>
      </c>
      <c r="C75" s="222"/>
      <c r="D75" s="238"/>
      <c r="E75" s="81"/>
      <c r="F75" s="56">
        <v>79</v>
      </c>
      <c r="G75" s="56"/>
      <c r="H75" s="56">
        <v>80</v>
      </c>
      <c r="I75" s="56">
        <v>85</v>
      </c>
      <c r="J75" s="56">
        <v>81</v>
      </c>
      <c r="K75" s="56"/>
      <c r="L75" s="81"/>
      <c r="M75" s="81"/>
      <c r="N75" s="56"/>
      <c r="O75" s="81"/>
      <c r="P75" s="81"/>
      <c r="Q75" s="81"/>
      <c r="R75" s="81"/>
      <c r="S75" s="81"/>
      <c r="T75" s="81"/>
      <c r="U75" s="81"/>
      <c r="V75" s="81"/>
      <c r="W75" s="81"/>
      <c r="X75" s="56">
        <v>82</v>
      </c>
      <c r="Y75" s="56">
        <v>82.5</v>
      </c>
      <c r="Z75" s="56">
        <v>82.8</v>
      </c>
      <c r="AA75" s="56">
        <v>83</v>
      </c>
      <c r="AB75" s="56">
        <v>82.6</v>
      </c>
      <c r="AC75" s="57">
        <v>82.8</v>
      </c>
      <c r="AD75" s="56">
        <v>83.1</v>
      </c>
      <c r="AE75" s="58">
        <v>82.6</v>
      </c>
      <c r="AF75" s="56">
        <v>83.6</v>
      </c>
      <c r="AG75" s="81"/>
      <c r="AH75" s="56">
        <v>82.8</v>
      </c>
      <c r="AI75" s="56">
        <v>83.3</v>
      </c>
      <c r="AJ75" s="56">
        <v>82.9</v>
      </c>
      <c r="AK75" s="56">
        <v>83.1</v>
      </c>
      <c r="AL75" s="56">
        <v>83.9</v>
      </c>
      <c r="AM75" s="56">
        <v>82.8</v>
      </c>
      <c r="AN75" s="56">
        <v>82.7</v>
      </c>
      <c r="AO75" s="56"/>
      <c r="AP75" s="81"/>
      <c r="AQ75" s="81"/>
      <c r="AR75" s="81"/>
      <c r="AS75" s="56">
        <v>82.5</v>
      </c>
      <c r="AT75" s="81">
        <v>83.1</v>
      </c>
      <c r="AU75" s="81">
        <v>82.5</v>
      </c>
      <c r="AV75" s="81">
        <v>83.2</v>
      </c>
      <c r="AW75" s="81"/>
      <c r="AX75" s="81"/>
      <c r="AY75" s="81"/>
      <c r="AZ75" s="81"/>
      <c r="BA75" s="81"/>
      <c r="BB75" s="81"/>
      <c r="BC75" s="81"/>
      <c r="BD75" s="81"/>
      <c r="BE75" s="81"/>
      <c r="BF75" s="81"/>
      <c r="BG75" s="81"/>
      <c r="BH75" s="81"/>
      <c r="BI75" s="81"/>
      <c r="BJ75" s="81"/>
      <c r="BK75" s="81"/>
      <c r="BL75" s="81"/>
      <c r="BM75" s="81"/>
      <c r="BN75" s="81"/>
      <c r="BO75" s="81"/>
      <c r="BP75" s="81"/>
      <c r="BQ75" s="81"/>
      <c r="BR75" s="81"/>
      <c r="BS75" s="81"/>
      <c r="BT75" s="81"/>
      <c r="BU75" s="81"/>
      <c r="BV75" s="81"/>
      <c r="BW75" s="81"/>
      <c r="BX75" s="81"/>
      <c r="BY75" s="81"/>
      <c r="BZ75" s="81"/>
      <c r="CA75" s="81"/>
      <c r="CB75" s="81"/>
      <c r="CC75" s="81"/>
      <c r="CD75" s="81"/>
      <c r="CE75" s="81"/>
      <c r="CF75" s="81"/>
      <c r="CG75" s="81"/>
      <c r="CH75" s="81"/>
      <c r="CI75" s="81"/>
      <c r="CJ75" s="81"/>
      <c r="CK75" s="81"/>
      <c r="CL75" s="81"/>
      <c r="CM75" s="81"/>
      <c r="CN75" s="81"/>
      <c r="CO75" s="81"/>
      <c r="CP75" s="81"/>
      <c r="CQ75" s="81"/>
      <c r="CR75" s="81"/>
      <c r="CS75" s="81"/>
      <c r="CT75" s="81"/>
      <c r="CU75" s="81"/>
      <c r="CV75" s="81"/>
      <c r="CW75" s="81"/>
      <c r="CX75" s="81"/>
      <c r="CY75" s="81"/>
      <c r="CZ75" s="81"/>
      <c r="DA75" s="81"/>
      <c r="DB75" s="81"/>
      <c r="DC75" s="81"/>
      <c r="DD75" s="81"/>
      <c r="DE75" s="81"/>
      <c r="DF75" s="81"/>
      <c r="DG75" s="81"/>
      <c r="DH75" s="81"/>
      <c r="DI75" s="81"/>
      <c r="DJ75" s="81"/>
      <c r="DK75" s="81"/>
      <c r="DL75" s="81"/>
      <c r="DM75" s="81"/>
      <c r="DN75" s="81"/>
      <c r="DO75" s="81"/>
      <c r="DP75" s="81"/>
      <c r="DQ75" s="81"/>
      <c r="DR75" s="81"/>
      <c r="DS75" s="81"/>
      <c r="DT75" s="81"/>
    </row>
    <row r="76" spans="1:124" ht="21.75" customHeight="1">
      <c r="A76" s="312"/>
      <c r="B76" s="223" t="s">
        <v>373</v>
      </c>
      <c r="C76" s="224"/>
      <c r="D76" s="239"/>
      <c r="E76" s="241" t="str">
        <f t="shared" ref="E76:BP76" si="3">IF((OR(E75=0,MAX(E79,E81,E83)=0))=TRUE,"",IFERROR((((MAX(E79,E81,E83)+E75)*0.7)-E75),""))</f>
        <v/>
      </c>
      <c r="F76" s="219">
        <f t="shared" si="3"/>
        <v>102.29999999999998</v>
      </c>
      <c r="G76" s="219" t="str">
        <f t="shared" si="3"/>
        <v/>
      </c>
      <c r="H76" s="219" t="str">
        <f t="shared" si="3"/>
        <v/>
      </c>
      <c r="I76" s="219">
        <f t="shared" si="3"/>
        <v>107.5</v>
      </c>
      <c r="J76" s="219">
        <f t="shared" si="3"/>
        <v>108.69999999999999</v>
      </c>
      <c r="K76" s="219" t="str">
        <f t="shared" si="3"/>
        <v/>
      </c>
      <c r="L76" s="241" t="str">
        <f t="shared" si="3"/>
        <v/>
      </c>
      <c r="M76" s="241" t="str">
        <f t="shared" si="3"/>
        <v/>
      </c>
      <c r="N76" s="219" t="str">
        <f t="shared" si="3"/>
        <v/>
      </c>
      <c r="O76" s="241" t="str">
        <f t="shared" si="3"/>
        <v/>
      </c>
      <c r="P76" s="241" t="str">
        <f t="shared" si="3"/>
        <v/>
      </c>
      <c r="Q76" s="241" t="str">
        <f t="shared" si="3"/>
        <v/>
      </c>
      <c r="R76" s="241" t="str">
        <f t="shared" si="3"/>
        <v/>
      </c>
      <c r="S76" s="241" t="str">
        <f t="shared" si="3"/>
        <v/>
      </c>
      <c r="T76" s="241" t="str">
        <f t="shared" si="3"/>
        <v/>
      </c>
      <c r="U76" s="241" t="str">
        <f t="shared" si="3"/>
        <v/>
      </c>
      <c r="V76" s="241" t="str">
        <f t="shared" si="3"/>
        <v/>
      </c>
      <c r="W76" s="241" t="str">
        <f t="shared" si="3"/>
        <v/>
      </c>
      <c r="X76" s="219">
        <f t="shared" si="3"/>
        <v>73.074418604651157</v>
      </c>
      <c r="Y76" s="219" t="str">
        <f t="shared" si="3"/>
        <v/>
      </c>
      <c r="Z76" s="219" t="str">
        <f t="shared" si="3"/>
        <v/>
      </c>
      <c r="AA76" s="219">
        <f t="shared" si="3"/>
        <v>76.844186046511624</v>
      </c>
      <c r="AB76" s="219" t="str">
        <f t="shared" si="3"/>
        <v/>
      </c>
      <c r="AC76" s="219">
        <f t="shared" si="3"/>
        <v>97.253023255813915</v>
      </c>
      <c r="AD76" s="219">
        <f t="shared" si="3"/>
        <v>117.37769230769231</v>
      </c>
      <c r="AE76" s="219" t="str">
        <f t="shared" si="3"/>
        <v/>
      </c>
      <c r="AF76" s="219">
        <f t="shared" si="3"/>
        <v>72.594418604651139</v>
      </c>
      <c r="AG76" s="241" t="str">
        <f t="shared" si="3"/>
        <v/>
      </c>
      <c r="AH76" s="219">
        <f t="shared" si="3"/>
        <v>97.253023255813915</v>
      </c>
      <c r="AI76" s="219">
        <f t="shared" si="3"/>
        <v>107.31769230769227</v>
      </c>
      <c r="AJ76" s="219" t="str">
        <f t="shared" si="3"/>
        <v/>
      </c>
      <c r="AK76" s="219" t="str">
        <f t="shared" si="3"/>
        <v/>
      </c>
      <c r="AL76" s="219">
        <f t="shared" si="3"/>
        <v>109.58935828877</v>
      </c>
      <c r="AM76" s="219" t="str">
        <f t="shared" si="3"/>
        <v/>
      </c>
      <c r="AN76" s="219" t="str">
        <f t="shared" si="3"/>
        <v/>
      </c>
      <c r="AO76" s="219" t="str">
        <f t="shared" si="3"/>
        <v/>
      </c>
      <c r="AP76" s="241" t="str">
        <f t="shared" si="3"/>
        <v/>
      </c>
      <c r="AQ76" s="241" t="str">
        <f t="shared" si="3"/>
        <v/>
      </c>
      <c r="AR76" s="241" t="str">
        <f t="shared" si="3"/>
        <v/>
      </c>
      <c r="AS76" s="219" t="str">
        <f t="shared" si="3"/>
        <v/>
      </c>
      <c r="AT76" s="241" t="str">
        <f t="shared" si="3"/>
        <v/>
      </c>
      <c r="AU76" s="241" t="str">
        <f t="shared" si="3"/>
        <v/>
      </c>
      <c r="AV76" s="241" t="str">
        <f t="shared" si="3"/>
        <v/>
      </c>
      <c r="AW76" s="241" t="str">
        <f t="shared" si="3"/>
        <v/>
      </c>
      <c r="AX76" s="241" t="str">
        <f t="shared" si="3"/>
        <v/>
      </c>
      <c r="AY76" s="241" t="str">
        <f t="shared" si="3"/>
        <v/>
      </c>
      <c r="AZ76" s="241" t="str">
        <f t="shared" si="3"/>
        <v/>
      </c>
      <c r="BA76" s="241" t="str">
        <f t="shared" si="3"/>
        <v/>
      </c>
      <c r="BB76" s="241" t="str">
        <f t="shared" si="3"/>
        <v/>
      </c>
      <c r="BC76" s="241" t="str">
        <f t="shared" si="3"/>
        <v/>
      </c>
      <c r="BD76" s="241" t="str">
        <f t="shared" si="3"/>
        <v/>
      </c>
      <c r="BE76" s="241" t="str">
        <f t="shared" si="3"/>
        <v/>
      </c>
      <c r="BF76" s="241" t="str">
        <f t="shared" si="3"/>
        <v/>
      </c>
      <c r="BG76" s="241" t="str">
        <f t="shared" si="3"/>
        <v/>
      </c>
      <c r="BH76" s="241" t="str">
        <f t="shared" si="3"/>
        <v/>
      </c>
      <c r="BI76" s="241" t="str">
        <f t="shared" si="3"/>
        <v/>
      </c>
      <c r="BJ76" s="241" t="str">
        <f t="shared" si="3"/>
        <v/>
      </c>
      <c r="BK76" s="241" t="str">
        <f t="shared" si="3"/>
        <v/>
      </c>
      <c r="BL76" s="241" t="str">
        <f t="shared" si="3"/>
        <v/>
      </c>
      <c r="BM76" s="241" t="str">
        <f t="shared" si="3"/>
        <v/>
      </c>
      <c r="BN76" s="241" t="str">
        <f t="shared" si="3"/>
        <v/>
      </c>
      <c r="BO76" s="241" t="str">
        <f t="shared" si="3"/>
        <v/>
      </c>
      <c r="BP76" s="241" t="str">
        <f t="shared" si="3"/>
        <v/>
      </c>
      <c r="BQ76" s="241" t="str">
        <f t="shared" ref="BQ76:DT76" si="4">IF((OR(BQ75=0,MAX(BQ79,BQ81,BQ83)=0))=TRUE,"",IFERROR((((MAX(BQ79,BQ81,BQ83)+BQ75)*0.7)-BQ75),""))</f>
        <v/>
      </c>
      <c r="BR76" s="241" t="str">
        <f t="shared" si="4"/>
        <v/>
      </c>
      <c r="BS76" s="241" t="str">
        <f t="shared" si="4"/>
        <v/>
      </c>
      <c r="BT76" s="241" t="str">
        <f t="shared" si="4"/>
        <v/>
      </c>
      <c r="BU76" s="241" t="str">
        <f t="shared" si="4"/>
        <v/>
      </c>
      <c r="BV76" s="241" t="str">
        <f t="shared" si="4"/>
        <v/>
      </c>
      <c r="BW76" s="241" t="str">
        <f t="shared" si="4"/>
        <v/>
      </c>
      <c r="BX76" s="241" t="str">
        <f t="shared" si="4"/>
        <v/>
      </c>
      <c r="BY76" s="241" t="str">
        <f t="shared" si="4"/>
        <v/>
      </c>
      <c r="BZ76" s="241" t="str">
        <f t="shared" si="4"/>
        <v/>
      </c>
      <c r="CA76" s="241" t="str">
        <f t="shared" si="4"/>
        <v/>
      </c>
      <c r="CB76" s="241" t="str">
        <f t="shared" si="4"/>
        <v/>
      </c>
      <c r="CC76" s="241" t="str">
        <f t="shared" si="4"/>
        <v/>
      </c>
      <c r="CD76" s="241" t="str">
        <f t="shared" si="4"/>
        <v/>
      </c>
      <c r="CE76" s="241" t="str">
        <f t="shared" si="4"/>
        <v/>
      </c>
      <c r="CF76" s="241" t="str">
        <f t="shared" si="4"/>
        <v/>
      </c>
      <c r="CG76" s="241" t="str">
        <f t="shared" si="4"/>
        <v/>
      </c>
      <c r="CH76" s="241" t="str">
        <f t="shared" si="4"/>
        <v/>
      </c>
      <c r="CI76" s="241" t="str">
        <f t="shared" si="4"/>
        <v/>
      </c>
      <c r="CJ76" s="241" t="str">
        <f t="shared" si="4"/>
        <v/>
      </c>
      <c r="CK76" s="241" t="str">
        <f t="shared" si="4"/>
        <v/>
      </c>
      <c r="CL76" s="241" t="str">
        <f t="shared" si="4"/>
        <v/>
      </c>
      <c r="CM76" s="241" t="str">
        <f t="shared" si="4"/>
        <v/>
      </c>
      <c r="CN76" s="241" t="str">
        <f t="shared" si="4"/>
        <v/>
      </c>
      <c r="CO76" s="241" t="str">
        <f t="shared" si="4"/>
        <v/>
      </c>
      <c r="CP76" s="241" t="str">
        <f t="shared" si="4"/>
        <v/>
      </c>
      <c r="CQ76" s="241" t="str">
        <f t="shared" si="4"/>
        <v/>
      </c>
      <c r="CR76" s="241" t="str">
        <f t="shared" si="4"/>
        <v/>
      </c>
      <c r="CS76" s="241" t="str">
        <f t="shared" si="4"/>
        <v/>
      </c>
      <c r="CT76" s="241" t="str">
        <f t="shared" si="4"/>
        <v/>
      </c>
      <c r="CU76" s="241" t="str">
        <f t="shared" si="4"/>
        <v/>
      </c>
      <c r="CV76" s="241" t="str">
        <f t="shared" si="4"/>
        <v/>
      </c>
      <c r="CW76" s="241" t="str">
        <f t="shared" si="4"/>
        <v/>
      </c>
      <c r="CX76" s="241" t="str">
        <f t="shared" si="4"/>
        <v/>
      </c>
      <c r="CY76" s="241" t="str">
        <f t="shared" si="4"/>
        <v/>
      </c>
      <c r="CZ76" s="241" t="str">
        <f t="shared" si="4"/>
        <v/>
      </c>
      <c r="DA76" s="241" t="str">
        <f t="shared" si="4"/>
        <v/>
      </c>
      <c r="DB76" s="241" t="str">
        <f t="shared" si="4"/>
        <v/>
      </c>
      <c r="DC76" s="241" t="str">
        <f t="shared" si="4"/>
        <v/>
      </c>
      <c r="DD76" s="241" t="str">
        <f t="shared" si="4"/>
        <v/>
      </c>
      <c r="DE76" s="241" t="str">
        <f t="shared" si="4"/>
        <v/>
      </c>
      <c r="DF76" s="241" t="str">
        <f t="shared" si="4"/>
        <v/>
      </c>
      <c r="DG76" s="241" t="str">
        <f t="shared" si="4"/>
        <v/>
      </c>
      <c r="DH76" s="241" t="str">
        <f t="shared" si="4"/>
        <v/>
      </c>
      <c r="DI76" s="241" t="str">
        <f t="shared" si="4"/>
        <v/>
      </c>
      <c r="DJ76" s="241" t="str">
        <f t="shared" si="4"/>
        <v/>
      </c>
      <c r="DK76" s="241" t="str">
        <f t="shared" si="4"/>
        <v/>
      </c>
      <c r="DL76" s="241" t="str">
        <f t="shared" si="4"/>
        <v/>
      </c>
      <c r="DM76" s="241" t="str">
        <f t="shared" si="4"/>
        <v/>
      </c>
      <c r="DN76" s="241" t="str">
        <f t="shared" si="4"/>
        <v/>
      </c>
      <c r="DO76" s="241" t="str">
        <f t="shared" si="4"/>
        <v/>
      </c>
      <c r="DP76" s="241" t="str">
        <f t="shared" si="4"/>
        <v/>
      </c>
      <c r="DQ76" s="241" t="str">
        <f t="shared" si="4"/>
        <v/>
      </c>
      <c r="DR76" s="241" t="str">
        <f t="shared" si="4"/>
        <v/>
      </c>
      <c r="DS76" s="241" t="str">
        <f t="shared" si="4"/>
        <v/>
      </c>
      <c r="DT76" s="241" t="str">
        <f t="shared" si="4"/>
        <v/>
      </c>
    </row>
    <row r="77" spans="1:124" ht="21.75" customHeight="1" thickBot="1">
      <c r="A77" s="312"/>
      <c r="B77" s="225"/>
      <c r="C77" s="226"/>
      <c r="D77" s="240"/>
      <c r="E77" s="242"/>
      <c r="F77" s="220"/>
      <c r="G77" s="220"/>
      <c r="H77" s="220"/>
      <c r="I77" s="220"/>
      <c r="J77" s="220"/>
      <c r="K77" s="220"/>
      <c r="L77" s="242"/>
      <c r="M77" s="242"/>
      <c r="N77" s="220"/>
      <c r="O77" s="242"/>
      <c r="P77" s="242"/>
      <c r="Q77" s="242"/>
      <c r="R77" s="242"/>
      <c r="S77" s="242"/>
      <c r="T77" s="242"/>
      <c r="U77" s="242"/>
      <c r="V77" s="242"/>
      <c r="W77" s="242"/>
      <c r="X77" s="220"/>
      <c r="Y77" s="220"/>
      <c r="Z77" s="220"/>
      <c r="AA77" s="220"/>
      <c r="AB77" s="220"/>
      <c r="AC77" s="220"/>
      <c r="AD77" s="220"/>
      <c r="AE77" s="220"/>
      <c r="AF77" s="220"/>
      <c r="AG77" s="242"/>
      <c r="AH77" s="220"/>
      <c r="AI77" s="220"/>
      <c r="AJ77" s="220"/>
      <c r="AK77" s="220"/>
      <c r="AL77" s="220"/>
      <c r="AM77" s="220"/>
      <c r="AN77" s="220"/>
      <c r="AO77" s="220"/>
      <c r="AP77" s="242"/>
      <c r="AQ77" s="242"/>
      <c r="AR77" s="242"/>
      <c r="AS77" s="220"/>
      <c r="AT77" s="242"/>
      <c r="AU77" s="242"/>
      <c r="AV77" s="242"/>
      <c r="AW77" s="242"/>
      <c r="AX77" s="242"/>
      <c r="AY77" s="242"/>
      <c r="AZ77" s="242"/>
      <c r="BA77" s="242"/>
      <c r="BB77" s="242"/>
      <c r="BC77" s="242"/>
      <c r="BD77" s="242"/>
      <c r="BE77" s="242"/>
      <c r="BF77" s="242"/>
      <c r="BG77" s="242"/>
      <c r="BH77" s="242"/>
      <c r="BI77" s="242"/>
      <c r="BJ77" s="242"/>
      <c r="BK77" s="242"/>
      <c r="BL77" s="242"/>
      <c r="BM77" s="242"/>
      <c r="BN77" s="242"/>
      <c r="BO77" s="242"/>
      <c r="BP77" s="242"/>
      <c r="BQ77" s="242"/>
      <c r="BR77" s="242"/>
      <c r="BS77" s="242"/>
      <c r="BT77" s="242"/>
      <c r="BU77" s="242"/>
      <c r="BV77" s="242"/>
      <c r="BW77" s="242"/>
      <c r="BX77" s="242"/>
      <c r="BY77" s="242"/>
      <c r="BZ77" s="242"/>
      <c r="CA77" s="242"/>
      <c r="CB77" s="242"/>
      <c r="CC77" s="242"/>
      <c r="CD77" s="242"/>
      <c r="CE77" s="242"/>
      <c r="CF77" s="242"/>
      <c r="CG77" s="242"/>
      <c r="CH77" s="242"/>
      <c r="CI77" s="242"/>
      <c r="CJ77" s="242"/>
      <c r="CK77" s="242"/>
      <c r="CL77" s="242"/>
      <c r="CM77" s="242"/>
      <c r="CN77" s="242"/>
      <c r="CO77" s="242"/>
      <c r="CP77" s="242"/>
      <c r="CQ77" s="242"/>
      <c r="CR77" s="242"/>
      <c r="CS77" s="242"/>
      <c r="CT77" s="242"/>
      <c r="CU77" s="242"/>
      <c r="CV77" s="242"/>
      <c r="CW77" s="242"/>
      <c r="CX77" s="242"/>
      <c r="CY77" s="242"/>
      <c r="CZ77" s="242"/>
      <c r="DA77" s="242"/>
      <c r="DB77" s="242"/>
      <c r="DC77" s="242"/>
      <c r="DD77" s="242"/>
      <c r="DE77" s="242"/>
      <c r="DF77" s="242"/>
      <c r="DG77" s="242"/>
      <c r="DH77" s="242"/>
      <c r="DI77" s="242"/>
      <c r="DJ77" s="242"/>
      <c r="DK77" s="242"/>
      <c r="DL77" s="242"/>
      <c r="DM77" s="242"/>
      <c r="DN77" s="242"/>
      <c r="DO77" s="242"/>
      <c r="DP77" s="242"/>
      <c r="DQ77" s="242"/>
      <c r="DR77" s="242"/>
      <c r="DS77" s="242"/>
      <c r="DT77" s="242"/>
    </row>
    <row r="78" spans="1:124" ht="21.75" customHeight="1">
      <c r="A78" s="312"/>
      <c r="B78" s="235" t="s">
        <v>374</v>
      </c>
      <c r="C78" s="236"/>
      <c r="D78" s="237"/>
      <c r="E78" s="80"/>
      <c r="F78" s="60"/>
      <c r="G78" s="60"/>
      <c r="H78" s="60"/>
      <c r="I78" s="62"/>
      <c r="J78" s="62"/>
      <c r="K78" s="60"/>
      <c r="L78" s="80" t="s">
        <v>422</v>
      </c>
      <c r="M78" s="80" t="s">
        <v>384</v>
      </c>
      <c r="N78" s="60" t="s">
        <v>396</v>
      </c>
      <c r="O78" s="80"/>
      <c r="P78" s="82" t="s">
        <v>382</v>
      </c>
      <c r="Q78" s="83"/>
      <c r="R78" s="80"/>
      <c r="S78" s="80" t="s">
        <v>384</v>
      </c>
      <c r="T78" s="80"/>
      <c r="U78" s="80"/>
      <c r="V78" s="61" t="s">
        <v>58</v>
      </c>
      <c r="W78" s="80"/>
      <c r="X78" s="60"/>
      <c r="Y78" s="60"/>
      <c r="Z78" s="60"/>
      <c r="AA78" s="60"/>
      <c r="AB78" s="60"/>
      <c r="AC78" s="60"/>
      <c r="AD78" s="61" t="s">
        <v>423</v>
      </c>
      <c r="AE78" s="60"/>
      <c r="AF78" s="60"/>
      <c r="AG78" s="80"/>
      <c r="AH78" s="60"/>
      <c r="AI78" s="60" t="s">
        <v>376</v>
      </c>
      <c r="AJ78" s="60"/>
      <c r="AK78" s="60"/>
      <c r="AL78" s="60" t="s">
        <v>402</v>
      </c>
      <c r="AM78" s="60"/>
      <c r="AN78" s="60"/>
      <c r="AO78" s="60" t="s">
        <v>58</v>
      </c>
      <c r="AP78" s="80"/>
      <c r="AQ78" s="80"/>
      <c r="AR78" s="80"/>
      <c r="AS78" s="60"/>
      <c r="AT78" s="80"/>
      <c r="AU78" s="80"/>
      <c r="AV78" s="80"/>
      <c r="AW78" s="80"/>
      <c r="AX78" s="80"/>
      <c r="AY78" s="62" t="s">
        <v>413</v>
      </c>
      <c r="AZ78" s="80"/>
      <c r="BA78" s="80"/>
      <c r="BB78" s="80"/>
      <c r="BC78" s="80"/>
      <c r="BD78" s="80"/>
      <c r="BE78" s="80"/>
      <c r="BF78" s="80"/>
      <c r="BG78" s="80"/>
      <c r="BH78" s="80" t="s">
        <v>378</v>
      </c>
      <c r="BI78" s="80"/>
      <c r="BJ78" s="80"/>
      <c r="BK78" s="80"/>
      <c r="BL78" s="80"/>
      <c r="BM78" s="80"/>
      <c r="BN78" s="80"/>
      <c r="BO78" s="80"/>
      <c r="BP78" s="62" t="s">
        <v>424</v>
      </c>
      <c r="BQ78" s="80"/>
      <c r="BR78" s="80"/>
      <c r="BS78" s="80" t="s">
        <v>380</v>
      </c>
      <c r="BT78" s="80"/>
      <c r="BU78" s="80"/>
      <c r="BV78" s="80"/>
      <c r="BW78" s="80"/>
      <c r="BX78" s="80"/>
      <c r="BY78" s="80"/>
      <c r="BZ78" s="80"/>
      <c r="CA78" s="80"/>
      <c r="CB78" s="80"/>
      <c r="CC78" s="80"/>
      <c r="CD78" s="80"/>
      <c r="CE78" s="80"/>
      <c r="CF78" s="80"/>
      <c r="CG78" s="80"/>
      <c r="CH78" s="80"/>
      <c r="CI78" s="80"/>
      <c r="CJ78" s="80"/>
      <c r="CK78" s="80"/>
      <c r="CL78" s="80"/>
      <c r="CM78" s="80"/>
      <c r="CN78" s="80"/>
      <c r="CO78" s="80"/>
      <c r="CP78" s="80"/>
      <c r="CQ78" s="80"/>
      <c r="CR78" s="80"/>
      <c r="CS78" s="80"/>
      <c r="CT78" s="80"/>
      <c r="CU78" s="80"/>
      <c r="CV78" s="80"/>
      <c r="CW78" s="80"/>
      <c r="CX78" s="80"/>
      <c r="CY78" s="80"/>
      <c r="CZ78" s="80"/>
      <c r="DA78" s="80"/>
      <c r="DB78" s="80"/>
      <c r="DC78" s="80"/>
      <c r="DD78" s="80"/>
      <c r="DE78" s="80"/>
      <c r="DF78" s="80"/>
      <c r="DG78" s="80"/>
      <c r="DH78" s="80"/>
      <c r="DI78" s="80"/>
      <c r="DJ78" s="80"/>
      <c r="DK78" s="80"/>
      <c r="DL78" s="80"/>
      <c r="DM78" s="80"/>
      <c r="DN78" s="80"/>
      <c r="DO78" s="80"/>
      <c r="DP78" s="80"/>
      <c r="DQ78" s="80"/>
      <c r="DR78" s="80"/>
      <c r="DS78" s="80"/>
      <c r="DT78" s="80"/>
    </row>
    <row r="79" spans="1:124" ht="21.75" customHeight="1">
      <c r="A79" s="312"/>
      <c r="B79" s="232"/>
      <c r="C79" s="233"/>
      <c r="D79" s="234"/>
      <c r="E79" s="84"/>
      <c r="F79" s="63"/>
      <c r="G79" s="63"/>
      <c r="H79" s="85"/>
      <c r="I79" s="86">
        <v>190</v>
      </c>
      <c r="J79" s="86">
        <v>190</v>
      </c>
      <c r="K79" s="85" t="s">
        <v>425</v>
      </c>
      <c r="L79" s="84">
        <f>140/0.86</f>
        <v>162.7906976744186</v>
      </c>
      <c r="M79" s="84">
        <f>170/0.91</f>
        <v>186.8131868131868</v>
      </c>
      <c r="N79" s="63">
        <f>120/0.86</f>
        <v>139.53488372093022</v>
      </c>
      <c r="O79" s="84"/>
      <c r="P79" s="87">
        <f>160/0.885</f>
        <v>180.79096045197741</v>
      </c>
      <c r="Q79" s="63"/>
      <c r="R79" s="84"/>
      <c r="S79" s="84">
        <f>170/0.91</f>
        <v>186.8131868131868</v>
      </c>
      <c r="T79" s="84"/>
      <c r="U79" s="84"/>
      <c r="V79" s="88">
        <v>195</v>
      </c>
      <c r="W79" s="84"/>
      <c r="X79" s="63"/>
      <c r="Y79" s="63"/>
      <c r="Z79" s="63"/>
      <c r="AA79" s="63"/>
      <c r="AB79" s="63"/>
      <c r="AC79" s="63"/>
      <c r="AD79" s="64">
        <f>185/0.91</f>
        <v>203.2967032967033</v>
      </c>
      <c r="AE79" s="65"/>
      <c r="AF79" s="65"/>
      <c r="AG79" s="84"/>
      <c r="AH79" s="65"/>
      <c r="AI79" s="65">
        <f>172/0.91</f>
        <v>189.01098901098899</v>
      </c>
      <c r="AJ79" s="65"/>
      <c r="AK79" s="65"/>
      <c r="AL79" s="65">
        <f>180/0.935</f>
        <v>192.51336898395721</v>
      </c>
      <c r="AM79" s="65"/>
      <c r="AN79" s="65"/>
      <c r="AO79" s="71" t="s">
        <v>426</v>
      </c>
      <c r="AP79" s="84"/>
      <c r="AQ79" s="84"/>
      <c r="AR79" s="84"/>
      <c r="AS79" s="65"/>
      <c r="AT79" s="84"/>
      <c r="AU79" s="84"/>
      <c r="AV79" s="84"/>
      <c r="AW79" s="84"/>
      <c r="AX79" s="84"/>
      <c r="AY79" s="67">
        <f>160/0.86</f>
        <v>186.04651162790697</v>
      </c>
      <c r="AZ79" s="84"/>
      <c r="BA79" s="84"/>
      <c r="BB79" s="84"/>
      <c r="BC79" s="84"/>
      <c r="BD79" s="84"/>
      <c r="BE79" s="84"/>
      <c r="BF79" s="84"/>
      <c r="BG79" s="84"/>
      <c r="BH79" s="84">
        <f>160/0.86</f>
        <v>186.04651162790697</v>
      </c>
      <c r="BI79" s="84"/>
      <c r="BJ79" s="84"/>
      <c r="BK79" s="84"/>
      <c r="BL79" s="84"/>
      <c r="BM79" s="84"/>
      <c r="BN79" s="84"/>
      <c r="BO79" s="84"/>
      <c r="BP79" s="67">
        <f>160/0.76</f>
        <v>210.52631578947367</v>
      </c>
      <c r="BQ79" s="84"/>
      <c r="BR79" s="84"/>
      <c r="BS79" s="84">
        <f>150/0.86</f>
        <v>174.41860465116278</v>
      </c>
      <c r="BT79" s="84"/>
      <c r="BU79" s="84"/>
      <c r="BV79" s="84"/>
      <c r="BW79" s="84"/>
      <c r="BX79" s="84"/>
      <c r="BY79" s="84"/>
      <c r="BZ79" s="84"/>
      <c r="CA79" s="84"/>
      <c r="CB79" s="84"/>
      <c r="CC79" s="84"/>
      <c r="CD79" s="84"/>
      <c r="CE79" s="84"/>
      <c r="CF79" s="84"/>
      <c r="CG79" s="84"/>
      <c r="CH79" s="84"/>
      <c r="CI79" s="84"/>
      <c r="CJ79" s="84"/>
      <c r="CK79" s="84"/>
      <c r="CL79" s="84"/>
      <c r="CM79" s="84"/>
      <c r="CN79" s="84"/>
      <c r="CO79" s="84"/>
      <c r="CP79" s="84"/>
      <c r="CQ79" s="84"/>
      <c r="CR79" s="84"/>
      <c r="CS79" s="84"/>
      <c r="CT79" s="84"/>
      <c r="CU79" s="84"/>
      <c r="CV79" s="84"/>
      <c r="CW79" s="84"/>
      <c r="CX79" s="84"/>
      <c r="CY79" s="84"/>
      <c r="CZ79" s="84"/>
      <c r="DA79" s="84"/>
      <c r="DB79" s="84"/>
      <c r="DC79" s="84"/>
      <c r="DD79" s="84"/>
      <c r="DE79" s="84"/>
      <c r="DF79" s="84"/>
      <c r="DG79" s="84"/>
      <c r="DH79" s="84"/>
      <c r="DI79" s="84"/>
      <c r="DJ79" s="84"/>
      <c r="DK79" s="84"/>
      <c r="DL79" s="84"/>
      <c r="DM79" s="84"/>
      <c r="DN79" s="84"/>
      <c r="DO79" s="84"/>
      <c r="DP79" s="84"/>
      <c r="DQ79" s="84"/>
      <c r="DR79" s="84"/>
      <c r="DS79" s="84"/>
      <c r="DT79" s="84"/>
    </row>
    <row r="80" spans="1:124" ht="21.75" customHeight="1">
      <c r="A80" s="312"/>
      <c r="B80" s="229" t="s">
        <v>381</v>
      </c>
      <c r="C80" s="230"/>
      <c r="D80" s="231"/>
      <c r="E80" s="69"/>
      <c r="F80" s="68"/>
      <c r="G80" s="68"/>
      <c r="H80" s="68"/>
      <c r="I80" s="68"/>
      <c r="J80" s="68"/>
      <c r="K80" s="68"/>
      <c r="L80" s="69"/>
      <c r="M80" s="69"/>
      <c r="N80" s="68"/>
      <c r="O80" s="69"/>
      <c r="P80" s="89"/>
      <c r="Q80" s="68"/>
      <c r="R80" s="69"/>
      <c r="S80" s="69"/>
      <c r="T80" s="69"/>
      <c r="U80" s="69"/>
      <c r="V80" s="69"/>
      <c r="W80" s="69"/>
      <c r="X80" s="68"/>
      <c r="Y80" s="68"/>
      <c r="Z80" s="68"/>
      <c r="AA80" s="68"/>
      <c r="AB80" s="68"/>
      <c r="AC80" s="68" t="s">
        <v>396</v>
      </c>
      <c r="AD80" s="69"/>
      <c r="AE80" s="68"/>
      <c r="AF80" s="68" t="s">
        <v>394</v>
      </c>
      <c r="AG80" s="69"/>
      <c r="AH80" s="68" t="s">
        <v>396</v>
      </c>
      <c r="AI80" s="68"/>
      <c r="AJ80" s="68"/>
      <c r="AK80" s="68"/>
      <c r="AL80" s="68"/>
      <c r="AM80" s="68"/>
      <c r="AN80" s="68"/>
      <c r="AO80" s="68"/>
      <c r="AP80" s="69"/>
      <c r="AQ80" s="69"/>
      <c r="AR80" s="69"/>
      <c r="AS80" s="68"/>
      <c r="AT80" s="69"/>
      <c r="AU80" s="69"/>
      <c r="AV80" s="69"/>
      <c r="AW80" s="69"/>
      <c r="AX80" s="69"/>
      <c r="AY80" s="69"/>
      <c r="AZ80" s="69"/>
      <c r="BA80" s="69"/>
      <c r="BB80" s="69"/>
      <c r="BC80" s="69"/>
      <c r="BD80" s="69"/>
      <c r="BE80" s="69"/>
      <c r="BF80" s="69"/>
      <c r="BG80" s="69" t="s">
        <v>380</v>
      </c>
      <c r="BH80" s="69"/>
      <c r="BI80" s="69"/>
      <c r="BJ80" s="69"/>
      <c r="BK80" s="69"/>
      <c r="BL80" s="69"/>
      <c r="BM80" s="69"/>
      <c r="BN80" s="69"/>
      <c r="BO80" s="69"/>
      <c r="BP80" s="69"/>
      <c r="BQ80" s="69"/>
      <c r="BR80" s="69"/>
      <c r="BS80" s="69"/>
      <c r="BT80" s="69"/>
      <c r="BU80" s="69"/>
      <c r="BV80" s="69"/>
      <c r="BW80" s="69"/>
      <c r="BX80" s="69"/>
      <c r="BY80" s="69"/>
      <c r="BZ80" s="69"/>
      <c r="CA80" s="69"/>
      <c r="CB80" s="69"/>
      <c r="CC80" s="69"/>
      <c r="CD80" s="69"/>
      <c r="CE80" s="69"/>
      <c r="CF80" s="69"/>
      <c r="CG80" s="69"/>
      <c r="CH80" s="69"/>
      <c r="CI80" s="69"/>
      <c r="CJ80" s="69"/>
      <c r="CK80" s="69"/>
      <c r="CL80" s="69"/>
      <c r="CM80" s="69"/>
      <c r="CN80" s="69"/>
      <c r="CO80" s="69"/>
      <c r="CP80" s="69"/>
      <c r="CQ80" s="69"/>
      <c r="CR80" s="69"/>
      <c r="CS80" s="69"/>
      <c r="CT80" s="69"/>
      <c r="CU80" s="69"/>
      <c r="CV80" s="69"/>
      <c r="CW80" s="69"/>
      <c r="CX80" s="69"/>
      <c r="CY80" s="69"/>
      <c r="CZ80" s="69"/>
      <c r="DA80" s="69"/>
      <c r="DB80" s="69"/>
      <c r="DC80" s="69"/>
      <c r="DD80" s="69"/>
      <c r="DE80" s="69"/>
      <c r="DF80" s="69"/>
      <c r="DG80" s="69"/>
      <c r="DH80" s="69"/>
      <c r="DI80" s="69"/>
      <c r="DJ80" s="69"/>
      <c r="DK80" s="69"/>
      <c r="DL80" s="69"/>
      <c r="DM80" s="69"/>
      <c r="DN80" s="69"/>
      <c r="DO80" s="69"/>
      <c r="DP80" s="69"/>
      <c r="DQ80" s="69"/>
      <c r="DR80" s="69"/>
      <c r="DS80" s="69"/>
      <c r="DT80" s="69"/>
    </row>
    <row r="81" spans="1:124" ht="21.75" customHeight="1">
      <c r="A81" s="312"/>
      <c r="B81" s="232"/>
      <c r="C81" s="233"/>
      <c r="D81" s="234"/>
      <c r="E81" s="70"/>
      <c r="F81" s="65"/>
      <c r="G81" s="65"/>
      <c r="H81" s="65"/>
      <c r="I81" s="65"/>
      <c r="J81" s="65"/>
      <c r="K81" s="65"/>
      <c r="L81" s="70"/>
      <c r="M81" s="70"/>
      <c r="N81" s="65"/>
      <c r="O81" s="70"/>
      <c r="P81" s="90"/>
      <c r="Q81" s="65"/>
      <c r="R81" s="70"/>
      <c r="S81" s="70"/>
      <c r="T81" s="70"/>
      <c r="U81" s="70"/>
      <c r="V81" s="70"/>
      <c r="W81" s="70"/>
      <c r="X81" s="65"/>
      <c r="Y81" s="65"/>
      <c r="Z81" s="65"/>
      <c r="AA81" s="65"/>
      <c r="AB81" s="65"/>
      <c r="AC81" s="65">
        <v>174.41860465116278</v>
      </c>
      <c r="AD81" s="70"/>
      <c r="AE81" s="65"/>
      <c r="AF81" s="71">
        <f>120/0.86</f>
        <v>139.53488372093022</v>
      </c>
      <c r="AG81" s="70"/>
      <c r="AH81" s="65">
        <v>174.41860465116278</v>
      </c>
      <c r="AI81" s="65"/>
      <c r="AJ81" s="65"/>
      <c r="AK81" s="65"/>
      <c r="AL81" s="65"/>
      <c r="AM81" s="65"/>
      <c r="AN81" s="65"/>
      <c r="AO81" s="65"/>
      <c r="AP81" s="70"/>
      <c r="AQ81" s="70"/>
      <c r="AR81" s="70"/>
      <c r="AS81" s="65"/>
      <c r="AT81" s="70"/>
      <c r="AU81" s="70"/>
      <c r="AV81" s="70"/>
      <c r="AW81" s="70"/>
      <c r="AX81" s="70"/>
      <c r="AY81" s="70"/>
      <c r="AZ81" s="70"/>
      <c r="BA81" s="70"/>
      <c r="BB81" s="70"/>
      <c r="BC81" s="70"/>
      <c r="BD81" s="70"/>
      <c r="BE81" s="70"/>
      <c r="BF81" s="70"/>
      <c r="BG81" s="70">
        <f>140/0.86</f>
        <v>162.7906976744186</v>
      </c>
      <c r="BH81" s="70"/>
      <c r="BI81" s="70"/>
      <c r="BJ81" s="70"/>
      <c r="BK81" s="70"/>
      <c r="BL81" s="70"/>
      <c r="BM81" s="70"/>
      <c r="BN81" s="70"/>
      <c r="BO81" s="70"/>
      <c r="BP81" s="70"/>
      <c r="BQ81" s="70"/>
      <c r="BR81" s="70"/>
      <c r="BS81" s="70"/>
      <c r="BT81" s="70"/>
      <c r="BU81" s="70"/>
      <c r="BV81" s="70"/>
      <c r="BW81" s="70"/>
      <c r="BX81" s="70"/>
      <c r="BY81" s="70"/>
      <c r="BZ81" s="70"/>
      <c r="CA81" s="70"/>
      <c r="CB81" s="70"/>
      <c r="CC81" s="70"/>
      <c r="CD81" s="70"/>
      <c r="CE81" s="70"/>
      <c r="CF81" s="70"/>
      <c r="CG81" s="70"/>
      <c r="CH81" s="70"/>
      <c r="CI81" s="70"/>
      <c r="CJ81" s="70"/>
      <c r="CK81" s="70"/>
      <c r="CL81" s="70"/>
      <c r="CM81" s="70"/>
      <c r="CN81" s="70"/>
      <c r="CO81" s="70"/>
      <c r="CP81" s="70"/>
      <c r="CQ81" s="70"/>
      <c r="CR81" s="70"/>
      <c r="CS81" s="70"/>
      <c r="CT81" s="70"/>
      <c r="CU81" s="70"/>
      <c r="CV81" s="70"/>
      <c r="CW81" s="70"/>
      <c r="CX81" s="70"/>
      <c r="CY81" s="70"/>
      <c r="CZ81" s="70"/>
      <c r="DA81" s="70"/>
      <c r="DB81" s="70"/>
      <c r="DC81" s="70"/>
      <c r="DD81" s="70"/>
      <c r="DE81" s="70"/>
      <c r="DF81" s="70"/>
      <c r="DG81" s="70"/>
      <c r="DH81" s="70"/>
      <c r="DI81" s="70"/>
      <c r="DJ81" s="70"/>
      <c r="DK81" s="70"/>
      <c r="DL81" s="70"/>
      <c r="DM81" s="70"/>
      <c r="DN81" s="70"/>
      <c r="DO81" s="70"/>
      <c r="DP81" s="70"/>
      <c r="DQ81" s="70"/>
      <c r="DR81" s="70"/>
      <c r="DS81" s="70"/>
      <c r="DT81" s="70"/>
    </row>
    <row r="82" spans="1:124" ht="21.75" customHeight="1">
      <c r="A82" s="312"/>
      <c r="B82" s="229" t="s">
        <v>385</v>
      </c>
      <c r="C82" s="230"/>
      <c r="D82" s="231"/>
      <c r="E82" s="80"/>
      <c r="F82" s="91" t="s">
        <v>427</v>
      </c>
      <c r="G82" s="60"/>
      <c r="H82" s="91" t="s">
        <v>427</v>
      </c>
      <c r="I82" s="60"/>
      <c r="J82" s="60"/>
      <c r="K82" s="60"/>
      <c r="L82" s="80"/>
      <c r="M82" s="80"/>
      <c r="N82" s="60"/>
      <c r="O82" s="80"/>
      <c r="P82" s="82"/>
      <c r="Q82" s="60"/>
      <c r="R82" s="80"/>
      <c r="S82" s="80"/>
      <c r="T82" s="80"/>
      <c r="U82" s="80"/>
      <c r="V82" s="80"/>
      <c r="W82" s="80"/>
      <c r="X82" s="60" t="s">
        <v>386</v>
      </c>
      <c r="Y82" s="60"/>
      <c r="Z82" s="60"/>
      <c r="AA82" s="60" t="s">
        <v>387</v>
      </c>
      <c r="AB82" s="60"/>
      <c r="AC82" s="60"/>
      <c r="AD82" s="60"/>
      <c r="AE82" s="60"/>
      <c r="AF82" s="60"/>
      <c r="AG82" s="80"/>
      <c r="AH82" s="60"/>
      <c r="AI82" s="60"/>
      <c r="AJ82" s="60"/>
      <c r="AK82" s="60"/>
      <c r="AL82" s="60"/>
      <c r="AM82" s="60"/>
      <c r="AN82" s="60"/>
      <c r="AO82" s="68"/>
      <c r="AP82" s="80"/>
      <c r="AQ82" s="80"/>
      <c r="AR82" s="80"/>
      <c r="AS82" s="68"/>
      <c r="AT82" s="80"/>
      <c r="AU82" s="80"/>
      <c r="AV82" s="80"/>
      <c r="AW82" s="80"/>
      <c r="AX82" s="80"/>
      <c r="AY82" s="80"/>
      <c r="AZ82" s="80"/>
      <c r="BA82" s="80"/>
      <c r="BB82" s="80"/>
      <c r="BC82" s="80"/>
      <c r="BD82" s="80"/>
      <c r="BE82" s="80"/>
      <c r="BF82" s="80"/>
      <c r="BG82" s="80"/>
      <c r="BH82" s="80"/>
      <c r="BI82" s="80"/>
      <c r="BJ82" s="80"/>
      <c r="BK82" s="80"/>
      <c r="BL82" s="80"/>
      <c r="BM82" s="80"/>
      <c r="BN82" s="80"/>
      <c r="BO82" s="80"/>
      <c r="BP82" s="80"/>
      <c r="BQ82" s="80"/>
      <c r="BR82" s="80"/>
      <c r="BS82" s="80"/>
      <c r="BT82" s="80"/>
      <c r="BU82" s="80"/>
      <c r="BV82" s="80"/>
      <c r="BW82" s="80"/>
      <c r="BX82" s="80"/>
      <c r="BY82" s="80"/>
      <c r="BZ82" s="80"/>
      <c r="CA82" s="80"/>
      <c r="CB82" s="80"/>
      <c r="CC82" s="80"/>
      <c r="CD82" s="80"/>
      <c r="CE82" s="80"/>
      <c r="CF82" s="80"/>
      <c r="CG82" s="80"/>
      <c r="CH82" s="80"/>
      <c r="CI82" s="80"/>
      <c r="CJ82" s="80"/>
      <c r="CK82" s="80"/>
      <c r="CL82" s="80"/>
      <c r="CM82" s="80"/>
      <c r="CN82" s="80"/>
      <c r="CO82" s="80"/>
      <c r="CP82" s="80"/>
      <c r="CQ82" s="80"/>
      <c r="CR82" s="80"/>
      <c r="CS82" s="80"/>
      <c r="CT82" s="80"/>
      <c r="CU82" s="80"/>
      <c r="CV82" s="80"/>
      <c r="CW82" s="80"/>
      <c r="CX82" s="80"/>
      <c r="CY82" s="80"/>
      <c r="CZ82" s="80"/>
      <c r="DA82" s="80"/>
      <c r="DB82" s="80"/>
      <c r="DC82" s="80"/>
      <c r="DD82" s="80"/>
      <c r="DE82" s="80"/>
      <c r="DF82" s="80"/>
      <c r="DG82" s="80"/>
      <c r="DH82" s="80"/>
      <c r="DI82" s="80"/>
      <c r="DJ82" s="80"/>
      <c r="DK82" s="80"/>
      <c r="DL82" s="80"/>
      <c r="DM82" s="80"/>
      <c r="DN82" s="80"/>
      <c r="DO82" s="80"/>
      <c r="DP82" s="80"/>
      <c r="DQ82" s="80"/>
      <c r="DR82" s="80"/>
      <c r="DS82" s="80"/>
      <c r="DT82" s="80"/>
    </row>
    <row r="83" spans="1:124" ht="21.75" customHeight="1">
      <c r="A83" s="312"/>
      <c r="B83" s="232"/>
      <c r="C83" s="233"/>
      <c r="D83" s="234"/>
      <c r="E83" s="70"/>
      <c r="F83" s="63">
        <v>180</v>
      </c>
      <c r="G83" s="65"/>
      <c r="H83" s="85" t="s">
        <v>428</v>
      </c>
      <c r="I83" s="65"/>
      <c r="J83" s="65"/>
      <c r="K83" s="65"/>
      <c r="L83" s="70"/>
      <c r="M83" s="70"/>
      <c r="N83" s="65"/>
      <c r="O83" s="70"/>
      <c r="P83" s="90"/>
      <c r="Q83" s="65"/>
      <c r="R83" s="70"/>
      <c r="S83" s="70"/>
      <c r="T83" s="70"/>
      <c r="U83" s="70"/>
      <c r="V83" s="70"/>
      <c r="W83" s="70"/>
      <c r="X83" s="65">
        <v>139.53488372093022</v>
      </c>
      <c r="Y83" s="65"/>
      <c r="Z83" s="65"/>
      <c r="AA83" s="65">
        <v>145.34883720930233</v>
      </c>
      <c r="AB83" s="65"/>
      <c r="AC83" s="65"/>
      <c r="AD83" s="65"/>
      <c r="AE83" s="65"/>
      <c r="AF83" s="65"/>
      <c r="AG83" s="70"/>
      <c r="AH83" s="65"/>
      <c r="AI83" s="65"/>
      <c r="AJ83" s="65"/>
      <c r="AK83" s="65"/>
      <c r="AL83" s="65"/>
      <c r="AM83" s="65"/>
      <c r="AN83" s="65"/>
      <c r="AO83" s="65"/>
      <c r="AP83" s="70"/>
      <c r="AQ83" s="70"/>
      <c r="AR83" s="70"/>
      <c r="AS83" s="65"/>
      <c r="AT83" s="70"/>
      <c r="AU83" s="70"/>
      <c r="AV83" s="70"/>
      <c r="AW83" s="70"/>
      <c r="AX83" s="70"/>
      <c r="AY83" s="70"/>
      <c r="AZ83" s="70"/>
      <c r="BA83" s="70"/>
      <c r="BB83" s="70"/>
      <c r="BC83" s="70"/>
      <c r="BD83" s="70"/>
      <c r="BE83" s="70"/>
      <c r="BF83" s="70"/>
      <c r="BG83" s="70"/>
      <c r="BH83" s="70"/>
      <c r="BI83" s="70"/>
      <c r="BJ83" s="70"/>
      <c r="BK83" s="70"/>
      <c r="BL83" s="70"/>
      <c r="BM83" s="70"/>
      <c r="BN83" s="70"/>
      <c r="BO83" s="70"/>
      <c r="BP83" s="70"/>
      <c r="BQ83" s="70"/>
      <c r="BR83" s="70"/>
      <c r="BS83" s="70"/>
      <c r="BT83" s="70"/>
      <c r="BU83" s="70"/>
      <c r="BV83" s="70"/>
      <c r="BW83" s="70"/>
      <c r="BX83" s="70"/>
      <c r="BY83" s="70"/>
      <c r="BZ83" s="70"/>
      <c r="CA83" s="70"/>
      <c r="CB83" s="70"/>
      <c r="CC83" s="70"/>
      <c r="CD83" s="70"/>
      <c r="CE83" s="70"/>
      <c r="CF83" s="70"/>
      <c r="CG83" s="70"/>
      <c r="CH83" s="70"/>
      <c r="CI83" s="70"/>
      <c r="CJ83" s="70"/>
      <c r="CK83" s="70"/>
      <c r="CL83" s="70"/>
      <c r="CM83" s="70"/>
      <c r="CN83" s="70"/>
      <c r="CO83" s="70"/>
      <c r="CP83" s="70"/>
      <c r="CQ83" s="70"/>
      <c r="CR83" s="70"/>
      <c r="CS83" s="70"/>
      <c r="CT83" s="70"/>
      <c r="CU83" s="70"/>
      <c r="CV83" s="70"/>
      <c r="CW83" s="70"/>
      <c r="CX83" s="70"/>
      <c r="CY83" s="70"/>
      <c r="CZ83" s="70"/>
      <c r="DA83" s="70"/>
      <c r="DB83" s="70"/>
      <c r="DC83" s="70"/>
      <c r="DD83" s="70"/>
      <c r="DE83" s="70"/>
      <c r="DF83" s="70"/>
      <c r="DG83" s="70"/>
      <c r="DH83" s="70"/>
      <c r="DI83" s="70"/>
      <c r="DJ83" s="70"/>
      <c r="DK83" s="70"/>
      <c r="DL83" s="70"/>
      <c r="DM83" s="70"/>
      <c r="DN83" s="70"/>
      <c r="DO83" s="70"/>
      <c r="DP83" s="70"/>
      <c r="DQ83" s="70"/>
      <c r="DR83" s="70"/>
      <c r="DS83" s="70"/>
      <c r="DT83" s="70"/>
    </row>
    <row r="84" spans="1:124" ht="21.75" customHeight="1">
      <c r="A84" s="312"/>
      <c r="B84" s="229" t="s">
        <v>429</v>
      </c>
      <c r="C84" s="230"/>
      <c r="D84" s="231"/>
      <c r="E84" s="69"/>
      <c r="F84" s="69"/>
      <c r="G84" s="69"/>
      <c r="H84" s="69"/>
      <c r="I84" s="69"/>
      <c r="J84" s="69"/>
      <c r="K84" s="69"/>
      <c r="L84" s="69"/>
      <c r="M84" s="69"/>
      <c r="N84" s="69"/>
      <c r="O84" s="69"/>
      <c r="P84" s="69"/>
      <c r="Q84" s="69"/>
      <c r="R84" s="92" t="s">
        <v>55</v>
      </c>
      <c r="S84" s="69"/>
      <c r="T84" s="69"/>
      <c r="U84" s="92" t="s">
        <v>55</v>
      </c>
      <c r="V84" s="69"/>
      <c r="W84" s="69"/>
      <c r="X84" s="69"/>
      <c r="Y84" s="69"/>
      <c r="Z84" s="69"/>
      <c r="AA84" s="69"/>
      <c r="AB84" s="69"/>
      <c r="AC84" s="69"/>
      <c r="AD84" s="69"/>
      <c r="AE84" s="69"/>
      <c r="AF84" s="69"/>
      <c r="AG84" s="68"/>
      <c r="AH84" s="69"/>
      <c r="AI84" s="69"/>
      <c r="AJ84" s="69"/>
      <c r="AK84" s="92" t="s">
        <v>55</v>
      </c>
      <c r="AL84" s="69"/>
      <c r="AM84" s="69"/>
      <c r="AN84" s="92" t="s">
        <v>55</v>
      </c>
      <c r="AO84" s="68"/>
      <c r="AP84" s="68"/>
      <c r="AQ84" s="68"/>
      <c r="AR84" s="68"/>
      <c r="AS84" s="68"/>
      <c r="AT84" s="68"/>
      <c r="AU84" s="93" t="s">
        <v>430</v>
      </c>
      <c r="AV84" s="68"/>
      <c r="AW84" s="68"/>
      <c r="AX84" s="68" t="s">
        <v>431</v>
      </c>
      <c r="AY84" s="68"/>
      <c r="AZ84" s="68"/>
      <c r="BA84" s="93" t="s">
        <v>432</v>
      </c>
      <c r="BB84" s="68"/>
      <c r="BC84" s="68"/>
      <c r="BD84" s="68"/>
      <c r="BE84" s="68"/>
      <c r="BF84" s="68"/>
      <c r="BG84" s="68"/>
      <c r="BH84" s="68" t="s">
        <v>431</v>
      </c>
      <c r="BI84" s="68"/>
      <c r="BJ84" s="68"/>
      <c r="BK84" s="68"/>
      <c r="BL84" s="68"/>
      <c r="BM84" s="68"/>
      <c r="BN84" s="68"/>
      <c r="BO84" s="68"/>
      <c r="BP84" s="68"/>
      <c r="BQ84" s="68"/>
      <c r="BR84" s="68"/>
      <c r="BS84" s="68"/>
      <c r="BT84" s="68"/>
      <c r="BU84" s="68"/>
      <c r="BV84" s="68"/>
      <c r="BW84" s="68"/>
      <c r="BX84" s="68"/>
      <c r="BY84" s="68"/>
      <c r="BZ84" s="68"/>
      <c r="CA84" s="68"/>
      <c r="CB84" s="68"/>
      <c r="CC84" s="68"/>
      <c r="CD84" s="68"/>
      <c r="CE84" s="68"/>
      <c r="CF84" s="68"/>
      <c r="CG84" s="68"/>
      <c r="CH84" s="68"/>
      <c r="CI84" s="68"/>
      <c r="CJ84" s="68"/>
      <c r="CK84" s="68"/>
      <c r="CL84" s="68"/>
      <c r="CM84" s="68"/>
      <c r="CN84" s="68"/>
      <c r="CO84" s="68"/>
      <c r="CP84" s="68"/>
      <c r="CQ84" s="68"/>
      <c r="CR84" s="68"/>
      <c r="CS84" s="68"/>
      <c r="CT84" s="68"/>
      <c r="CU84" s="68"/>
      <c r="CV84" s="68"/>
      <c r="CW84" s="68"/>
      <c r="CX84" s="68"/>
      <c r="CY84" s="68"/>
      <c r="CZ84" s="68"/>
      <c r="DA84" s="68"/>
      <c r="DB84" s="68"/>
      <c r="DC84" s="68"/>
      <c r="DD84" s="68"/>
      <c r="DE84" s="68"/>
      <c r="DF84" s="68"/>
      <c r="DG84" s="68"/>
      <c r="DH84" s="68"/>
      <c r="DI84" s="68"/>
      <c r="DJ84" s="68"/>
      <c r="DK84" s="68"/>
      <c r="DL84" s="68"/>
      <c r="DM84" s="68"/>
      <c r="DN84" s="68"/>
      <c r="DO84" s="68"/>
      <c r="DP84" s="68"/>
      <c r="DQ84" s="68"/>
      <c r="DR84" s="68"/>
      <c r="DS84" s="68"/>
      <c r="DT84" s="68"/>
    </row>
    <row r="85" spans="1:124" ht="21.75" customHeight="1">
      <c r="A85" s="312"/>
      <c r="B85" s="232"/>
      <c r="C85" s="233"/>
      <c r="D85" s="234"/>
      <c r="E85" s="70"/>
      <c r="F85" s="70"/>
      <c r="G85" s="70"/>
      <c r="H85" s="70"/>
      <c r="I85" s="70"/>
      <c r="J85" s="70"/>
      <c r="K85" s="70"/>
      <c r="L85" s="70"/>
      <c r="M85" s="70"/>
      <c r="N85" s="70"/>
      <c r="O85" s="70"/>
      <c r="P85" s="70"/>
      <c r="Q85" s="70"/>
      <c r="R85" s="70">
        <v>150</v>
      </c>
      <c r="S85" s="70"/>
      <c r="T85" s="70"/>
      <c r="U85" s="70">
        <v>165</v>
      </c>
      <c r="V85" s="70"/>
      <c r="W85" s="70"/>
      <c r="X85" s="70"/>
      <c r="Y85" s="70"/>
      <c r="Z85" s="70"/>
      <c r="AA85" s="70"/>
      <c r="AB85" s="70"/>
      <c r="AC85" s="70"/>
      <c r="AD85" s="70"/>
      <c r="AE85" s="70"/>
      <c r="AF85" s="70"/>
      <c r="AG85" s="65"/>
      <c r="AH85" s="70"/>
      <c r="AI85" s="70"/>
      <c r="AJ85" s="70"/>
      <c r="AK85" s="70">
        <v>160</v>
      </c>
      <c r="AL85" s="70"/>
      <c r="AM85" s="70"/>
      <c r="AN85" s="65">
        <v>160</v>
      </c>
      <c r="AO85" s="65"/>
      <c r="AP85" s="65"/>
      <c r="AQ85" s="65"/>
      <c r="AR85" s="65"/>
      <c r="AS85" s="65"/>
      <c r="AT85" s="65"/>
      <c r="AU85" s="65">
        <v>130</v>
      </c>
      <c r="AV85" s="65"/>
      <c r="AW85" s="65"/>
      <c r="AX85" s="65">
        <v>140</v>
      </c>
      <c r="AY85" s="65"/>
      <c r="AZ85" s="65"/>
      <c r="BA85" s="65">
        <v>150</v>
      </c>
      <c r="BB85" s="65"/>
      <c r="BC85" s="65"/>
      <c r="BD85" s="65"/>
      <c r="BE85" s="65"/>
      <c r="BF85" s="65"/>
      <c r="BG85" s="65"/>
      <c r="BH85" s="65">
        <v>145</v>
      </c>
      <c r="BI85" s="65"/>
      <c r="BJ85" s="65"/>
      <c r="BK85" s="65"/>
      <c r="BL85" s="65"/>
      <c r="BM85" s="65"/>
      <c r="BN85" s="65"/>
      <c r="BO85" s="65"/>
      <c r="BP85" s="65"/>
      <c r="BQ85" s="65"/>
      <c r="BR85" s="65"/>
      <c r="BS85" s="65"/>
      <c r="BT85" s="65"/>
      <c r="BU85" s="65"/>
      <c r="BV85" s="65"/>
      <c r="BW85" s="65"/>
      <c r="BX85" s="65"/>
      <c r="BY85" s="65"/>
      <c r="BZ85" s="65"/>
      <c r="CA85" s="65"/>
      <c r="CB85" s="65"/>
      <c r="CC85" s="65"/>
      <c r="CD85" s="65"/>
      <c r="CE85" s="65"/>
      <c r="CF85" s="65"/>
      <c r="CG85" s="65"/>
      <c r="CH85" s="65"/>
      <c r="CI85" s="65"/>
      <c r="CJ85" s="65"/>
      <c r="CK85" s="65"/>
      <c r="CL85" s="65"/>
      <c r="CM85" s="65"/>
      <c r="CN85" s="65"/>
      <c r="CO85" s="65"/>
      <c r="CP85" s="65"/>
      <c r="CQ85" s="65"/>
      <c r="CR85" s="65"/>
      <c r="CS85" s="65"/>
      <c r="CT85" s="65"/>
      <c r="CU85" s="65"/>
      <c r="CV85" s="65"/>
      <c r="CW85" s="65"/>
      <c r="CX85" s="65"/>
      <c r="CY85" s="65"/>
      <c r="CZ85" s="65"/>
      <c r="DA85" s="65"/>
      <c r="DB85" s="65"/>
      <c r="DC85" s="65"/>
      <c r="DD85" s="65"/>
      <c r="DE85" s="65"/>
      <c r="DF85" s="65"/>
      <c r="DG85" s="65"/>
      <c r="DH85" s="65"/>
      <c r="DI85" s="65"/>
      <c r="DJ85" s="65"/>
      <c r="DK85" s="65"/>
      <c r="DL85" s="65"/>
      <c r="DM85" s="65"/>
      <c r="DN85" s="65"/>
      <c r="DO85" s="65"/>
      <c r="DP85" s="65"/>
      <c r="DQ85" s="65"/>
      <c r="DR85" s="65"/>
      <c r="DS85" s="65"/>
      <c r="DT85" s="65"/>
    </row>
    <row r="86" spans="1:124" ht="21.75" customHeight="1">
      <c r="A86" s="312"/>
      <c r="B86" s="229" t="s">
        <v>391</v>
      </c>
      <c r="C86" s="230"/>
      <c r="D86" s="231"/>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8"/>
      <c r="AQ86" s="68"/>
      <c r="AR86" s="68"/>
      <c r="AS86" s="69"/>
      <c r="AT86" s="69"/>
      <c r="AU86" s="69"/>
      <c r="AV86" s="69"/>
      <c r="AW86" s="69"/>
      <c r="AX86" s="69"/>
      <c r="AY86" s="69"/>
      <c r="AZ86" s="69"/>
      <c r="BA86" s="69"/>
      <c r="BB86" s="69"/>
      <c r="BC86" s="69"/>
      <c r="BD86" s="69"/>
      <c r="BE86" s="69"/>
      <c r="BF86" s="69"/>
      <c r="BG86" s="68"/>
      <c r="BH86" s="68"/>
      <c r="BI86" s="68"/>
      <c r="BJ86" s="68"/>
      <c r="BK86" s="68"/>
      <c r="BL86" s="68"/>
      <c r="BM86" s="68"/>
      <c r="BN86" s="68"/>
      <c r="BO86" s="68"/>
      <c r="BP86" s="68"/>
      <c r="BQ86" s="68"/>
      <c r="BR86" s="68"/>
      <c r="BS86" s="68"/>
      <c r="BT86" s="68"/>
      <c r="BU86" s="68"/>
      <c r="BV86" s="68"/>
      <c r="BW86" s="68"/>
      <c r="BX86" s="68"/>
      <c r="BY86" s="68"/>
      <c r="BZ86" s="68"/>
      <c r="CA86" s="68"/>
      <c r="CB86" s="68"/>
      <c r="CC86" s="68"/>
      <c r="CD86" s="68"/>
      <c r="CE86" s="68"/>
      <c r="CF86" s="68"/>
      <c r="CG86" s="68"/>
      <c r="CH86" s="68"/>
      <c r="CI86" s="68"/>
      <c r="CJ86" s="68"/>
      <c r="CK86" s="68"/>
      <c r="CL86" s="68"/>
      <c r="CM86" s="68"/>
      <c r="CN86" s="68"/>
      <c r="CO86" s="68"/>
      <c r="CP86" s="68"/>
      <c r="CQ86" s="68"/>
      <c r="CR86" s="68"/>
      <c r="CS86" s="68"/>
      <c r="CT86" s="68"/>
      <c r="CU86" s="68"/>
      <c r="CV86" s="68"/>
      <c r="CW86" s="68"/>
      <c r="CX86" s="68"/>
      <c r="CY86" s="68"/>
      <c r="CZ86" s="68"/>
      <c r="DA86" s="68"/>
      <c r="DB86" s="68"/>
      <c r="DC86" s="68"/>
      <c r="DD86" s="68"/>
      <c r="DE86" s="68"/>
      <c r="DF86" s="68"/>
      <c r="DG86" s="68"/>
      <c r="DH86" s="68"/>
      <c r="DI86" s="68"/>
      <c r="DJ86" s="68"/>
      <c r="DK86" s="68"/>
      <c r="DL86" s="68"/>
      <c r="DM86" s="68"/>
      <c r="DN86" s="68"/>
      <c r="DO86" s="68"/>
      <c r="DP86" s="68"/>
      <c r="DQ86" s="68"/>
      <c r="DR86" s="68"/>
      <c r="DS86" s="68"/>
      <c r="DT86" s="68"/>
    </row>
    <row r="87" spans="1:124" ht="21.75" customHeight="1">
      <c r="A87" s="312"/>
      <c r="B87" s="232"/>
      <c r="C87" s="233"/>
      <c r="D87" s="234"/>
      <c r="E87" s="70"/>
      <c r="F87" s="70"/>
      <c r="G87" s="70"/>
      <c r="H87" s="70"/>
      <c r="I87" s="70"/>
      <c r="J87" s="70"/>
      <c r="K87" s="70"/>
      <c r="L87" s="70"/>
      <c r="M87" s="70"/>
      <c r="N87" s="70"/>
      <c r="O87" s="70"/>
      <c r="P87" s="70"/>
      <c r="Q87" s="70"/>
      <c r="R87" s="70"/>
      <c r="S87" s="70"/>
      <c r="T87" s="70"/>
      <c r="U87" s="70"/>
      <c r="V87" s="70"/>
      <c r="W87" s="70"/>
      <c r="X87" s="70"/>
      <c r="Y87" s="70"/>
      <c r="Z87" s="70"/>
      <c r="AA87" s="70"/>
      <c r="AB87" s="70"/>
      <c r="AC87" s="70"/>
      <c r="AD87" s="70"/>
      <c r="AE87" s="70"/>
      <c r="AF87" s="70"/>
      <c r="AG87" s="70"/>
      <c r="AH87" s="70"/>
      <c r="AI87" s="70"/>
      <c r="AJ87" s="70"/>
      <c r="AK87" s="70"/>
      <c r="AL87" s="70"/>
      <c r="AM87" s="70"/>
      <c r="AN87" s="70"/>
      <c r="AO87" s="70"/>
      <c r="AP87" s="65"/>
      <c r="AQ87" s="65"/>
      <c r="AR87" s="65"/>
      <c r="AS87" s="70"/>
      <c r="AT87" s="70"/>
      <c r="AU87" s="70"/>
      <c r="AV87" s="70"/>
      <c r="AW87" s="70"/>
      <c r="AX87" s="70"/>
      <c r="AY87" s="70"/>
      <c r="AZ87" s="70"/>
      <c r="BA87" s="70"/>
      <c r="BB87" s="70"/>
      <c r="BC87" s="70"/>
      <c r="BD87" s="70"/>
      <c r="BE87" s="70"/>
      <c r="BF87" s="70"/>
      <c r="BG87" s="65"/>
      <c r="BH87" s="65"/>
      <c r="BI87" s="65"/>
      <c r="BJ87" s="65"/>
      <c r="BK87" s="65"/>
      <c r="BL87" s="65"/>
      <c r="BM87" s="65"/>
      <c r="BN87" s="65"/>
      <c r="BO87" s="65"/>
      <c r="BP87" s="65"/>
      <c r="BQ87" s="65"/>
      <c r="BR87" s="65"/>
      <c r="BS87" s="65"/>
      <c r="BT87" s="65"/>
      <c r="BU87" s="65"/>
      <c r="BV87" s="65"/>
      <c r="BW87" s="65"/>
      <c r="BX87" s="65"/>
      <c r="BY87" s="65"/>
      <c r="BZ87" s="65"/>
      <c r="CA87" s="65"/>
      <c r="CB87" s="65"/>
      <c r="CC87" s="65"/>
      <c r="CD87" s="65"/>
      <c r="CE87" s="65"/>
      <c r="CF87" s="65"/>
      <c r="CG87" s="65"/>
      <c r="CH87" s="65"/>
      <c r="CI87" s="65"/>
      <c r="CJ87" s="65"/>
      <c r="CK87" s="65"/>
      <c r="CL87" s="65"/>
      <c r="CM87" s="65"/>
      <c r="CN87" s="65"/>
      <c r="CO87" s="65"/>
      <c r="CP87" s="65"/>
      <c r="CQ87" s="65"/>
      <c r="CR87" s="65"/>
      <c r="CS87" s="65"/>
      <c r="CT87" s="65"/>
      <c r="CU87" s="65"/>
      <c r="CV87" s="65"/>
      <c r="CW87" s="65"/>
      <c r="CX87" s="65"/>
      <c r="CY87" s="65"/>
      <c r="CZ87" s="65"/>
      <c r="DA87" s="65"/>
      <c r="DB87" s="65"/>
      <c r="DC87" s="65"/>
      <c r="DD87" s="65"/>
      <c r="DE87" s="65"/>
      <c r="DF87" s="65"/>
      <c r="DG87" s="65"/>
      <c r="DH87" s="65"/>
      <c r="DI87" s="65"/>
      <c r="DJ87" s="65"/>
      <c r="DK87" s="65"/>
      <c r="DL87" s="65"/>
      <c r="DM87" s="65"/>
      <c r="DN87" s="65"/>
      <c r="DO87" s="65"/>
      <c r="DP87" s="65"/>
      <c r="DQ87" s="65"/>
      <c r="DR87" s="65"/>
      <c r="DS87" s="65"/>
      <c r="DT87" s="65"/>
    </row>
    <row r="88" spans="1:124" ht="21.75" customHeight="1">
      <c r="A88" s="312"/>
      <c r="B88" s="229" t="s">
        <v>393</v>
      </c>
      <c r="C88" s="230"/>
      <c r="D88" s="231"/>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8"/>
      <c r="AH88" s="69"/>
      <c r="AI88" s="69"/>
      <c r="AJ88" s="69"/>
      <c r="AK88" s="69"/>
      <c r="AL88" s="69"/>
      <c r="AM88" s="69"/>
      <c r="AN88" s="68"/>
      <c r="AO88" s="68"/>
      <c r="AP88" s="68"/>
      <c r="AQ88" s="68"/>
      <c r="AR88" s="68"/>
      <c r="AS88" s="68" t="s">
        <v>383</v>
      </c>
      <c r="AT88" s="68"/>
      <c r="AU88" s="68" t="s">
        <v>394</v>
      </c>
      <c r="AV88" s="68"/>
      <c r="AW88" s="68"/>
      <c r="AX88" s="68"/>
      <c r="AY88" s="68"/>
      <c r="AZ88" s="68"/>
      <c r="BA88" s="68"/>
      <c r="BB88" s="68"/>
      <c r="BC88" s="68" t="s">
        <v>395</v>
      </c>
      <c r="BD88" s="68"/>
      <c r="BE88" s="68"/>
      <c r="BF88" s="68"/>
      <c r="BG88" s="68"/>
      <c r="BH88" s="68"/>
      <c r="BI88" s="68"/>
      <c r="BJ88" s="68"/>
      <c r="BK88" s="68"/>
      <c r="BL88" s="68"/>
      <c r="BM88" s="68"/>
      <c r="BN88" s="68"/>
      <c r="BO88" s="68"/>
      <c r="BP88" s="68"/>
      <c r="BQ88" s="68"/>
      <c r="BR88" s="68"/>
      <c r="BS88" s="68"/>
      <c r="BT88" s="68"/>
      <c r="BU88" s="68"/>
      <c r="BV88" s="68"/>
      <c r="BW88" s="68"/>
      <c r="BX88" s="68"/>
      <c r="BY88" s="68"/>
      <c r="BZ88" s="68"/>
      <c r="CA88" s="68"/>
      <c r="CB88" s="68"/>
      <c r="CC88" s="68"/>
      <c r="CD88" s="68"/>
      <c r="CE88" s="68"/>
      <c r="CF88" s="68"/>
      <c r="CG88" s="68"/>
      <c r="CH88" s="68"/>
      <c r="CI88" s="68"/>
      <c r="CJ88" s="68"/>
      <c r="CK88" s="68"/>
      <c r="CL88" s="68"/>
      <c r="CM88" s="68"/>
      <c r="CN88" s="68"/>
      <c r="CO88" s="68"/>
      <c r="CP88" s="68"/>
      <c r="CQ88" s="68"/>
      <c r="CR88" s="68"/>
      <c r="CS88" s="68"/>
      <c r="CT88" s="68"/>
      <c r="CU88" s="68"/>
      <c r="CV88" s="68"/>
      <c r="CW88" s="68"/>
      <c r="CX88" s="68"/>
      <c r="CY88" s="68"/>
      <c r="CZ88" s="68"/>
      <c r="DA88" s="68"/>
      <c r="DB88" s="68"/>
      <c r="DC88" s="68"/>
      <c r="DD88" s="68"/>
      <c r="DE88" s="68"/>
      <c r="DF88" s="68"/>
      <c r="DG88" s="68"/>
      <c r="DH88" s="68"/>
      <c r="DI88" s="68"/>
      <c r="DJ88" s="68"/>
      <c r="DK88" s="68"/>
      <c r="DL88" s="68"/>
      <c r="DM88" s="68"/>
      <c r="DN88" s="68"/>
      <c r="DO88" s="68"/>
      <c r="DP88" s="68"/>
      <c r="DQ88" s="68"/>
      <c r="DR88" s="68"/>
      <c r="DS88" s="68"/>
      <c r="DT88" s="68"/>
    </row>
    <row r="89" spans="1:124" ht="21.75" customHeight="1">
      <c r="A89" s="312"/>
      <c r="B89" s="232"/>
      <c r="C89" s="233"/>
      <c r="D89" s="234"/>
      <c r="E89" s="70"/>
      <c r="F89" s="70"/>
      <c r="G89" s="70"/>
      <c r="H89" s="70"/>
      <c r="I89" s="70"/>
      <c r="J89" s="70"/>
      <c r="K89" s="70"/>
      <c r="L89" s="70"/>
      <c r="M89" s="70"/>
      <c r="N89" s="70"/>
      <c r="O89" s="70"/>
      <c r="P89" s="70"/>
      <c r="Q89" s="70"/>
      <c r="R89" s="70"/>
      <c r="S89" s="70"/>
      <c r="T89" s="70"/>
      <c r="U89" s="70"/>
      <c r="V89" s="70"/>
      <c r="W89" s="70"/>
      <c r="X89" s="70"/>
      <c r="Y89" s="70"/>
      <c r="Z89" s="70"/>
      <c r="AA89" s="70"/>
      <c r="AB89" s="70"/>
      <c r="AC89" s="70"/>
      <c r="AD89" s="70"/>
      <c r="AE89" s="70"/>
      <c r="AF89" s="70"/>
      <c r="AG89" s="65"/>
      <c r="AH89" s="70"/>
      <c r="AI89" s="70"/>
      <c r="AJ89" s="70"/>
      <c r="AK89" s="70"/>
      <c r="AL89" s="70"/>
      <c r="AM89" s="70"/>
      <c r="AN89" s="65"/>
      <c r="AO89" s="65"/>
      <c r="AP89" s="65"/>
      <c r="AQ89" s="65"/>
      <c r="AR89" s="65"/>
      <c r="AS89" s="65">
        <f>80/0.785</f>
        <v>101.9108280254777</v>
      </c>
      <c r="AT89" s="65"/>
      <c r="AU89" s="65">
        <f>90/0.86</f>
        <v>104.65116279069768</v>
      </c>
      <c r="AV89" s="65"/>
      <c r="AW89" s="65"/>
      <c r="AX89" s="65"/>
      <c r="AY89" s="65"/>
      <c r="AZ89" s="65"/>
      <c r="BA89" s="65"/>
      <c r="BB89" s="65"/>
      <c r="BC89" s="65">
        <f>85/0.835</f>
        <v>101.79640718562875</v>
      </c>
      <c r="BD89" s="65"/>
      <c r="BE89" s="65"/>
      <c r="BF89" s="65"/>
      <c r="BG89" s="65"/>
      <c r="BH89" s="65"/>
      <c r="BI89" s="65"/>
      <c r="BJ89" s="65"/>
      <c r="BK89" s="65"/>
      <c r="BL89" s="65"/>
      <c r="BM89" s="65"/>
      <c r="BN89" s="65"/>
      <c r="BO89" s="65"/>
      <c r="BP89" s="65"/>
      <c r="BQ89" s="65"/>
      <c r="BR89" s="65"/>
      <c r="BS89" s="65"/>
      <c r="BT89" s="65"/>
      <c r="BU89" s="65"/>
      <c r="BV89" s="65"/>
      <c r="BW89" s="65"/>
      <c r="BX89" s="65"/>
      <c r="BY89" s="65"/>
      <c r="BZ89" s="65"/>
      <c r="CA89" s="65"/>
      <c r="CB89" s="65"/>
      <c r="CC89" s="65"/>
      <c r="CD89" s="65"/>
      <c r="CE89" s="65"/>
      <c r="CF89" s="65"/>
      <c r="CG89" s="65"/>
      <c r="CH89" s="65"/>
      <c r="CI89" s="65"/>
      <c r="CJ89" s="65"/>
      <c r="CK89" s="65"/>
      <c r="CL89" s="65"/>
      <c r="CM89" s="65"/>
      <c r="CN89" s="65"/>
      <c r="CO89" s="65"/>
      <c r="CP89" s="65"/>
      <c r="CQ89" s="65"/>
      <c r="CR89" s="65"/>
      <c r="CS89" s="65"/>
      <c r="CT89" s="65"/>
      <c r="CU89" s="65"/>
      <c r="CV89" s="65"/>
      <c r="CW89" s="65"/>
      <c r="CX89" s="65"/>
      <c r="CY89" s="65"/>
      <c r="CZ89" s="65"/>
      <c r="DA89" s="65"/>
      <c r="DB89" s="65"/>
      <c r="DC89" s="65"/>
      <c r="DD89" s="65"/>
      <c r="DE89" s="65"/>
      <c r="DF89" s="65"/>
      <c r="DG89" s="65"/>
      <c r="DH89" s="65"/>
      <c r="DI89" s="65"/>
      <c r="DJ89" s="65"/>
      <c r="DK89" s="65"/>
      <c r="DL89" s="65"/>
      <c r="DM89" s="65"/>
      <c r="DN89" s="65"/>
      <c r="DO89" s="65"/>
      <c r="DP89" s="65"/>
      <c r="DQ89" s="65"/>
      <c r="DR89" s="65"/>
      <c r="DS89" s="65"/>
      <c r="DT89" s="65"/>
    </row>
    <row r="90" spans="1:124" ht="21.75" customHeight="1">
      <c r="A90" s="312"/>
      <c r="B90" s="229" t="s">
        <v>26</v>
      </c>
      <c r="C90" s="230"/>
      <c r="D90" s="231"/>
      <c r="E90" s="80"/>
      <c r="F90" s="62"/>
      <c r="G90" s="60"/>
      <c r="H90" s="62"/>
      <c r="I90" s="60"/>
      <c r="J90" s="60"/>
      <c r="K90" s="62"/>
      <c r="L90" s="80"/>
      <c r="M90" s="80"/>
      <c r="N90" s="60"/>
      <c r="O90" s="80"/>
      <c r="P90" s="82"/>
      <c r="Q90" s="60" t="s">
        <v>384</v>
      </c>
      <c r="R90" s="80"/>
      <c r="S90" s="80"/>
      <c r="T90" s="80" t="s">
        <v>377</v>
      </c>
      <c r="U90" s="80"/>
      <c r="V90" s="80"/>
      <c r="W90" s="61" t="s">
        <v>58</v>
      </c>
      <c r="X90" s="60"/>
      <c r="Y90" s="60"/>
      <c r="Z90" s="60"/>
      <c r="AA90" s="60"/>
      <c r="AB90" s="60" t="s">
        <v>399</v>
      </c>
      <c r="AC90" s="60"/>
      <c r="AD90" s="94" t="s">
        <v>58</v>
      </c>
      <c r="AE90" s="68"/>
      <c r="AF90" s="68"/>
      <c r="AG90" s="80"/>
      <c r="AH90" s="68"/>
      <c r="AI90" s="68"/>
      <c r="AJ90" s="68"/>
      <c r="AK90" s="68" t="s">
        <v>376</v>
      </c>
      <c r="AL90" s="68"/>
      <c r="AM90" s="68"/>
      <c r="AN90" s="68" t="s">
        <v>402</v>
      </c>
      <c r="AO90" s="95" t="s">
        <v>58</v>
      </c>
      <c r="AP90" s="80"/>
      <c r="AQ90" s="80"/>
      <c r="AR90" s="80"/>
      <c r="AS90" s="68"/>
      <c r="AT90" s="80"/>
      <c r="AU90" s="80" t="s">
        <v>384</v>
      </c>
      <c r="AV90" s="80"/>
      <c r="AW90" s="80"/>
      <c r="AX90" s="80" t="s">
        <v>384</v>
      </c>
      <c r="AY90" s="80"/>
      <c r="AZ90" s="80"/>
      <c r="BA90" s="68" t="s">
        <v>433</v>
      </c>
      <c r="BB90" s="80"/>
      <c r="BC90" s="80"/>
      <c r="BD90" s="80"/>
      <c r="BE90" s="80"/>
      <c r="BF90" s="80"/>
      <c r="BG90" s="80" t="s">
        <v>384</v>
      </c>
      <c r="BH90" s="80"/>
      <c r="BI90" s="80"/>
      <c r="BJ90" s="80"/>
      <c r="BK90" s="80"/>
      <c r="BL90" s="80"/>
      <c r="BM90" s="80"/>
      <c r="BN90" s="80"/>
      <c r="BO90" s="80"/>
      <c r="BP90" s="80"/>
      <c r="BQ90" s="80"/>
      <c r="BR90" s="80"/>
      <c r="BS90" s="80"/>
      <c r="BT90" s="80"/>
      <c r="BU90" s="80"/>
      <c r="BV90" s="80"/>
      <c r="BW90" s="80"/>
      <c r="BX90" s="80"/>
      <c r="BY90" s="80"/>
      <c r="BZ90" s="80"/>
      <c r="CA90" s="80"/>
      <c r="CB90" s="80"/>
      <c r="CC90" s="80"/>
      <c r="CD90" s="80"/>
      <c r="CE90" s="80"/>
      <c r="CF90" s="80"/>
      <c r="CG90" s="80"/>
      <c r="CH90" s="80"/>
      <c r="CI90" s="80"/>
      <c r="CJ90" s="80"/>
      <c r="CK90" s="80"/>
      <c r="CL90" s="80"/>
      <c r="CM90" s="80"/>
      <c r="CN90" s="80"/>
      <c r="CO90" s="80"/>
      <c r="CP90" s="80"/>
      <c r="CQ90" s="80"/>
      <c r="CR90" s="80"/>
      <c r="CS90" s="80"/>
      <c r="CT90" s="80"/>
      <c r="CU90" s="80"/>
      <c r="CV90" s="80"/>
      <c r="CW90" s="80"/>
      <c r="CX90" s="80"/>
      <c r="CY90" s="80"/>
      <c r="CZ90" s="80"/>
      <c r="DA90" s="80"/>
      <c r="DB90" s="80"/>
      <c r="DC90" s="80"/>
      <c r="DD90" s="80"/>
      <c r="DE90" s="80"/>
      <c r="DF90" s="80"/>
      <c r="DG90" s="80"/>
      <c r="DH90" s="80"/>
      <c r="DI90" s="80"/>
      <c r="DJ90" s="80"/>
      <c r="DK90" s="80"/>
      <c r="DL90" s="80"/>
      <c r="DM90" s="80"/>
      <c r="DN90" s="80"/>
      <c r="DO90" s="80"/>
      <c r="DP90" s="80"/>
      <c r="DQ90" s="80"/>
      <c r="DR90" s="80"/>
      <c r="DS90" s="80"/>
      <c r="DT90" s="80"/>
    </row>
    <row r="91" spans="1:124" ht="21.75" customHeight="1">
      <c r="A91" s="312"/>
      <c r="B91" s="232"/>
      <c r="C91" s="233"/>
      <c r="D91" s="234"/>
      <c r="E91" s="70"/>
      <c r="F91" s="67">
        <v>105</v>
      </c>
      <c r="G91" s="65"/>
      <c r="H91" s="67">
        <v>107.5</v>
      </c>
      <c r="I91" s="65"/>
      <c r="J91" s="65"/>
      <c r="K91" s="67">
        <v>90</v>
      </c>
      <c r="L91" s="70"/>
      <c r="M91" s="70"/>
      <c r="N91" s="65"/>
      <c r="O91" s="70"/>
      <c r="P91" s="90"/>
      <c r="Q91" s="65">
        <f>90/0.91</f>
        <v>98.901098901098891</v>
      </c>
      <c r="R91" s="70"/>
      <c r="S91" s="70"/>
      <c r="T91" s="65">
        <f>90/0.935</f>
        <v>96.256684491978604</v>
      </c>
      <c r="U91" s="70"/>
      <c r="V91" s="70"/>
      <c r="W91" s="72">
        <v>100</v>
      </c>
      <c r="X91" s="65"/>
      <c r="Y91" s="65"/>
      <c r="Z91" s="65"/>
      <c r="AA91" s="65"/>
      <c r="AB91" s="65">
        <f>100/0.885</f>
        <v>112.99435028248587</v>
      </c>
      <c r="AC91" s="65"/>
      <c r="AD91" s="72">
        <v>110</v>
      </c>
      <c r="AE91" s="65"/>
      <c r="AF91" s="65"/>
      <c r="AG91" s="70"/>
      <c r="AH91" s="65"/>
      <c r="AI91" s="65"/>
      <c r="AJ91" s="65"/>
      <c r="AK91" s="65">
        <f>100/0.91</f>
        <v>109.89010989010988</v>
      </c>
      <c r="AL91" s="65"/>
      <c r="AM91" s="65"/>
      <c r="AN91" s="65">
        <f>110/0.935</f>
        <v>117.64705882352941</v>
      </c>
      <c r="AO91" s="67">
        <v>115</v>
      </c>
      <c r="AP91" s="70"/>
      <c r="AQ91" s="70"/>
      <c r="AR91" s="70"/>
      <c r="AS91" s="65"/>
      <c r="AT91" s="70"/>
      <c r="AU91" s="70">
        <f>80/0.91</f>
        <v>87.912087912087912</v>
      </c>
      <c r="AV91" s="70"/>
      <c r="AW91" s="70"/>
      <c r="AX91" s="70">
        <f>95/0.91</f>
        <v>104.39560439560439</v>
      </c>
      <c r="AY91" s="70"/>
      <c r="AZ91" s="70"/>
      <c r="BA91" s="65">
        <v>100</v>
      </c>
      <c r="BB91" s="70"/>
      <c r="BC91" s="70"/>
      <c r="BD91" s="70"/>
      <c r="BE91" s="70"/>
      <c r="BF91" s="70"/>
      <c r="BG91" s="70">
        <f>90/0.91</f>
        <v>98.901098901098891</v>
      </c>
      <c r="BH91" s="70"/>
      <c r="BI91" s="70"/>
      <c r="BJ91" s="70"/>
      <c r="BK91" s="70"/>
      <c r="BL91" s="70"/>
      <c r="BM91" s="70"/>
      <c r="BN91" s="70"/>
      <c r="BO91" s="70"/>
      <c r="BP91" s="70"/>
      <c r="BQ91" s="70"/>
      <c r="BR91" s="70"/>
      <c r="BS91" s="70"/>
      <c r="BT91" s="70"/>
      <c r="BU91" s="70"/>
      <c r="BV91" s="70"/>
      <c r="BW91" s="70"/>
      <c r="BX91" s="70"/>
      <c r="BY91" s="70"/>
      <c r="BZ91" s="70"/>
      <c r="CA91" s="70"/>
      <c r="CB91" s="70"/>
      <c r="CC91" s="70"/>
      <c r="CD91" s="70"/>
      <c r="CE91" s="70"/>
      <c r="CF91" s="70"/>
      <c r="CG91" s="70"/>
      <c r="CH91" s="70"/>
      <c r="CI91" s="70"/>
      <c r="CJ91" s="70"/>
      <c r="CK91" s="70"/>
      <c r="CL91" s="70"/>
      <c r="CM91" s="70"/>
      <c r="CN91" s="70"/>
      <c r="CO91" s="70"/>
      <c r="CP91" s="70"/>
      <c r="CQ91" s="70"/>
      <c r="CR91" s="70"/>
      <c r="CS91" s="70"/>
      <c r="CT91" s="70"/>
      <c r="CU91" s="70"/>
      <c r="CV91" s="70"/>
      <c r="CW91" s="70"/>
      <c r="CX91" s="70"/>
      <c r="CY91" s="70"/>
      <c r="CZ91" s="70"/>
      <c r="DA91" s="70"/>
      <c r="DB91" s="70"/>
      <c r="DC91" s="70"/>
      <c r="DD91" s="70"/>
      <c r="DE91" s="70"/>
      <c r="DF91" s="70"/>
      <c r="DG91" s="70"/>
      <c r="DH91" s="70"/>
      <c r="DI91" s="70"/>
      <c r="DJ91" s="70"/>
      <c r="DK91" s="70"/>
      <c r="DL91" s="70"/>
      <c r="DM91" s="70"/>
      <c r="DN91" s="70"/>
      <c r="DO91" s="70"/>
      <c r="DP91" s="70"/>
      <c r="DQ91" s="70"/>
      <c r="DR91" s="70"/>
      <c r="DS91" s="70"/>
      <c r="DT91" s="70"/>
    </row>
    <row r="92" spans="1:124" ht="21.75" customHeight="1">
      <c r="A92" s="312"/>
      <c r="B92" s="229" t="s">
        <v>53</v>
      </c>
      <c r="C92" s="230"/>
      <c r="D92" s="231"/>
      <c r="E92" s="82"/>
      <c r="F92" s="73"/>
      <c r="G92" s="73"/>
      <c r="H92" s="73"/>
      <c r="I92" s="73"/>
      <c r="J92" s="73"/>
      <c r="K92" s="73"/>
      <c r="L92" s="73"/>
      <c r="M92" s="73"/>
      <c r="N92" s="73"/>
      <c r="O92" s="60" t="s">
        <v>396</v>
      </c>
      <c r="P92" s="73"/>
      <c r="Q92" s="60"/>
      <c r="R92" s="73"/>
      <c r="S92" s="73"/>
      <c r="T92" s="73"/>
      <c r="U92" s="73"/>
      <c r="V92" s="73"/>
      <c r="W92" s="73"/>
      <c r="X92" s="60"/>
      <c r="Y92" s="73"/>
      <c r="Z92" s="68" t="s">
        <v>401</v>
      </c>
      <c r="AA92" s="60"/>
      <c r="AB92" s="60"/>
      <c r="AC92" s="60"/>
      <c r="AD92" s="60"/>
      <c r="AE92" s="60"/>
      <c r="AF92" s="60"/>
      <c r="AG92" s="73"/>
      <c r="AH92" s="60"/>
      <c r="AI92" s="60"/>
      <c r="AJ92" s="60"/>
      <c r="AK92" s="60"/>
      <c r="AL92" s="60"/>
      <c r="AM92" s="60"/>
      <c r="AN92" s="60"/>
      <c r="AO92" s="68"/>
      <c r="AP92" s="73"/>
      <c r="AQ92" s="73"/>
      <c r="AR92" s="73"/>
      <c r="AS92" s="68"/>
      <c r="AT92" s="73"/>
      <c r="AU92" s="73" t="s">
        <v>396</v>
      </c>
      <c r="AV92" s="73"/>
      <c r="AW92" s="73"/>
      <c r="AX92" s="73" t="s">
        <v>396</v>
      </c>
      <c r="AY92" s="73"/>
      <c r="AZ92" s="73"/>
      <c r="BA92" s="73"/>
      <c r="BB92" s="73"/>
      <c r="BC92" s="73"/>
      <c r="BD92" s="73"/>
      <c r="BE92" s="73"/>
      <c r="BF92" s="73"/>
      <c r="BG92" s="73" t="s">
        <v>400</v>
      </c>
      <c r="BH92" s="73"/>
      <c r="BI92" s="73"/>
      <c r="BJ92" s="73"/>
      <c r="BK92" s="73"/>
      <c r="BL92" s="73"/>
      <c r="BM92" s="73"/>
      <c r="BN92" s="73"/>
      <c r="BO92" s="73"/>
      <c r="BP92" s="73"/>
      <c r="BQ92" s="73"/>
      <c r="BR92" s="73"/>
      <c r="BS92" s="73"/>
      <c r="BT92" s="73"/>
      <c r="BU92" s="73"/>
      <c r="BV92" s="73"/>
      <c r="BW92" s="73"/>
      <c r="BX92" s="73"/>
      <c r="BY92" s="73"/>
      <c r="BZ92" s="73"/>
      <c r="CA92" s="73"/>
      <c r="CB92" s="73"/>
      <c r="CC92" s="73"/>
      <c r="CD92" s="73"/>
      <c r="CE92" s="73"/>
      <c r="CF92" s="73"/>
      <c r="CG92" s="73"/>
      <c r="CH92" s="73"/>
      <c r="CI92" s="73"/>
      <c r="CJ92" s="73"/>
      <c r="CK92" s="73"/>
      <c r="CL92" s="73"/>
      <c r="CM92" s="73"/>
      <c r="CN92" s="73"/>
      <c r="CO92" s="73"/>
      <c r="CP92" s="73"/>
      <c r="CQ92" s="73"/>
      <c r="CR92" s="73"/>
      <c r="CS92" s="73"/>
      <c r="CT92" s="73"/>
      <c r="CU92" s="73"/>
      <c r="CV92" s="73"/>
      <c r="CW92" s="73"/>
      <c r="CX92" s="73"/>
      <c r="CY92" s="73"/>
      <c r="CZ92" s="73"/>
      <c r="DA92" s="73"/>
      <c r="DB92" s="73"/>
      <c r="DC92" s="73"/>
      <c r="DD92" s="73"/>
      <c r="DE92" s="73"/>
      <c r="DF92" s="73"/>
      <c r="DG92" s="73"/>
      <c r="DH92" s="73"/>
      <c r="DI92" s="73"/>
      <c r="DJ92" s="73"/>
      <c r="DK92" s="73"/>
      <c r="DL92" s="73"/>
      <c r="DM92" s="73"/>
      <c r="DN92" s="73"/>
      <c r="DO92" s="73"/>
      <c r="DP92" s="73"/>
      <c r="DQ92" s="73"/>
      <c r="DR92" s="73"/>
      <c r="DS92" s="73"/>
      <c r="DT92" s="73"/>
    </row>
    <row r="93" spans="1:124" ht="21.75" customHeight="1">
      <c r="A93" s="312"/>
      <c r="B93" s="232"/>
      <c r="C93" s="233"/>
      <c r="D93" s="234"/>
      <c r="E93" s="90"/>
      <c r="F93" s="74"/>
      <c r="G93" s="74"/>
      <c r="H93" s="74"/>
      <c r="I93" s="74"/>
      <c r="J93" s="74"/>
      <c r="K93" s="74"/>
      <c r="L93" s="74"/>
      <c r="M93" s="74"/>
      <c r="N93" s="74"/>
      <c r="O93" s="65">
        <f>110/0.86</f>
        <v>127.90697674418605</v>
      </c>
      <c r="P93" s="74"/>
      <c r="Q93" s="65"/>
      <c r="R93" s="74"/>
      <c r="S93" s="74"/>
      <c r="T93" s="74"/>
      <c r="U93" s="74"/>
      <c r="V93" s="74"/>
      <c r="W93" s="74"/>
      <c r="X93" s="65"/>
      <c r="Y93" s="74"/>
      <c r="Z93" s="65">
        <f>89/0.835</f>
        <v>106.58682634730539</v>
      </c>
      <c r="AA93" s="65"/>
      <c r="AB93" s="65"/>
      <c r="AC93" s="65"/>
      <c r="AD93" s="65"/>
      <c r="AE93" s="65"/>
      <c r="AF93" s="65"/>
      <c r="AG93" s="74"/>
      <c r="AH93" s="65"/>
      <c r="AI93" s="65"/>
      <c r="AJ93" s="65"/>
      <c r="AK93" s="65"/>
      <c r="AL93" s="65"/>
      <c r="AM93" s="65"/>
      <c r="AN93" s="65"/>
      <c r="AO93" s="65"/>
      <c r="AP93" s="74"/>
      <c r="AQ93" s="74"/>
      <c r="AR93" s="74"/>
      <c r="AS93" s="65"/>
      <c r="AT93" s="74"/>
      <c r="AU93" s="74">
        <f>100/0.86</f>
        <v>116.27906976744187</v>
      </c>
      <c r="AV93" s="74"/>
      <c r="AW93" s="74"/>
      <c r="AX93" s="74">
        <f>100/0.86</f>
        <v>116.27906976744187</v>
      </c>
      <c r="AY93" s="74"/>
      <c r="AZ93" s="74"/>
      <c r="BA93" s="74"/>
      <c r="BB93" s="74"/>
      <c r="BC93" s="74"/>
      <c r="BD93" s="74"/>
      <c r="BE93" s="74"/>
      <c r="BF93" s="74"/>
      <c r="BG93" s="74">
        <f>100/0.885</f>
        <v>112.99435028248587</v>
      </c>
      <c r="BH93" s="74"/>
      <c r="BI93" s="74"/>
      <c r="BJ93" s="74"/>
      <c r="BK93" s="74"/>
      <c r="BL93" s="74"/>
      <c r="BM93" s="74"/>
      <c r="BN93" s="74"/>
      <c r="BO93" s="74"/>
      <c r="BP93" s="74"/>
      <c r="BQ93" s="74"/>
      <c r="BR93" s="74"/>
      <c r="BS93" s="74"/>
      <c r="BT93" s="74"/>
      <c r="BU93" s="74"/>
      <c r="BV93" s="74"/>
      <c r="BW93" s="74"/>
      <c r="BX93" s="74"/>
      <c r="BY93" s="74"/>
      <c r="BZ93" s="74"/>
      <c r="CA93" s="74"/>
      <c r="CB93" s="74"/>
      <c r="CC93" s="74"/>
      <c r="CD93" s="74"/>
      <c r="CE93" s="74"/>
      <c r="CF93" s="74"/>
      <c r="CG93" s="74"/>
      <c r="CH93" s="74"/>
      <c r="CI93" s="74"/>
      <c r="CJ93" s="74"/>
      <c r="CK93" s="74"/>
      <c r="CL93" s="74"/>
      <c r="CM93" s="74"/>
      <c r="CN93" s="74"/>
      <c r="CO93" s="74"/>
      <c r="CP93" s="74"/>
      <c r="CQ93" s="74"/>
      <c r="CR93" s="74"/>
      <c r="CS93" s="74"/>
      <c r="CT93" s="74"/>
      <c r="CU93" s="74"/>
      <c r="CV93" s="74"/>
      <c r="CW93" s="74"/>
      <c r="CX93" s="74"/>
      <c r="CY93" s="74"/>
      <c r="CZ93" s="74"/>
      <c r="DA93" s="74"/>
      <c r="DB93" s="74"/>
      <c r="DC93" s="74"/>
      <c r="DD93" s="74"/>
      <c r="DE93" s="74"/>
      <c r="DF93" s="74"/>
      <c r="DG93" s="74"/>
      <c r="DH93" s="74"/>
      <c r="DI93" s="74"/>
      <c r="DJ93" s="74"/>
      <c r="DK93" s="74"/>
      <c r="DL93" s="74"/>
      <c r="DM93" s="74"/>
      <c r="DN93" s="74"/>
      <c r="DO93" s="74"/>
      <c r="DP93" s="74"/>
      <c r="DQ93" s="74"/>
      <c r="DR93" s="74"/>
      <c r="DS93" s="74"/>
      <c r="DT93" s="74"/>
    </row>
    <row r="94" spans="1:124" ht="21.75" customHeight="1">
      <c r="A94" s="312"/>
      <c r="B94" s="229" t="s">
        <v>46</v>
      </c>
      <c r="C94" s="230"/>
      <c r="D94" s="231"/>
      <c r="E94" s="80"/>
      <c r="F94" s="60"/>
      <c r="G94" s="60"/>
      <c r="H94" s="60"/>
      <c r="I94" s="60"/>
      <c r="J94" s="60"/>
      <c r="K94" s="60"/>
      <c r="L94" s="80"/>
      <c r="M94" s="80" t="s">
        <v>377</v>
      </c>
      <c r="N94" s="60"/>
      <c r="O94" s="80"/>
      <c r="P94" s="82"/>
      <c r="Q94" s="60"/>
      <c r="R94" s="80"/>
      <c r="S94" s="80"/>
      <c r="T94" s="80"/>
      <c r="U94" s="80"/>
      <c r="V94" s="80"/>
      <c r="W94" s="80"/>
      <c r="X94" s="60"/>
      <c r="Y94" s="60"/>
      <c r="Z94" s="60"/>
      <c r="AA94" s="60"/>
      <c r="AB94" s="60"/>
      <c r="AC94" s="60"/>
      <c r="AD94" s="69"/>
      <c r="AE94" s="68"/>
      <c r="AF94" s="68"/>
      <c r="AG94" s="80"/>
      <c r="AH94" s="68"/>
      <c r="AI94" s="68" t="s">
        <v>376</v>
      </c>
      <c r="AJ94" s="68"/>
      <c r="AK94" s="68"/>
      <c r="AL94" s="68" t="s">
        <v>402</v>
      </c>
      <c r="AM94" s="68"/>
      <c r="AN94" s="68"/>
      <c r="AO94" s="68"/>
      <c r="AP94" s="80"/>
      <c r="AQ94" s="80"/>
      <c r="AR94" s="80"/>
      <c r="AS94" s="68"/>
      <c r="AT94" s="80"/>
      <c r="AU94" s="80"/>
      <c r="AV94" s="80"/>
      <c r="AW94" s="80"/>
      <c r="AX94" s="80"/>
      <c r="AY94" s="80"/>
      <c r="AZ94" s="80"/>
      <c r="BA94" s="80"/>
      <c r="BB94" s="80"/>
      <c r="BC94" s="80"/>
      <c r="BD94" s="80"/>
      <c r="BE94" s="80"/>
      <c r="BF94" s="80"/>
      <c r="BG94" s="80"/>
      <c r="BH94" s="80"/>
      <c r="BI94" s="80"/>
      <c r="BJ94" s="80"/>
      <c r="BK94" s="80"/>
      <c r="BL94" s="80"/>
      <c r="BM94" s="80"/>
      <c r="BN94" s="80"/>
      <c r="BO94" s="80"/>
      <c r="BP94" s="80" t="s">
        <v>398</v>
      </c>
      <c r="BQ94" s="80"/>
      <c r="BR94" s="80"/>
      <c r="BS94" s="80"/>
      <c r="BT94" s="80"/>
      <c r="BU94" s="80"/>
      <c r="BV94" s="80"/>
      <c r="BW94" s="80"/>
      <c r="BX94" s="80"/>
      <c r="BY94" s="80"/>
      <c r="BZ94" s="80"/>
      <c r="CA94" s="80"/>
      <c r="CB94" s="80"/>
      <c r="CC94" s="80"/>
      <c r="CD94" s="80"/>
      <c r="CE94" s="80"/>
      <c r="CF94" s="80"/>
      <c r="CG94" s="80"/>
      <c r="CH94" s="80"/>
      <c r="CI94" s="80"/>
      <c r="CJ94" s="80"/>
      <c r="CK94" s="80"/>
      <c r="CL94" s="80"/>
      <c r="CM94" s="80"/>
      <c r="CN94" s="80"/>
      <c r="CO94" s="80"/>
      <c r="CP94" s="80"/>
      <c r="CQ94" s="80"/>
      <c r="CR94" s="80"/>
      <c r="CS94" s="80"/>
      <c r="CT94" s="80"/>
      <c r="CU94" s="80"/>
      <c r="CV94" s="80"/>
      <c r="CW94" s="80"/>
      <c r="CX94" s="80"/>
      <c r="CY94" s="80"/>
      <c r="CZ94" s="80"/>
      <c r="DA94" s="80"/>
      <c r="DB94" s="80"/>
      <c r="DC94" s="80"/>
      <c r="DD94" s="80"/>
      <c r="DE94" s="80"/>
      <c r="DF94" s="80"/>
      <c r="DG94" s="80"/>
      <c r="DH94" s="80"/>
      <c r="DI94" s="80"/>
      <c r="DJ94" s="80"/>
      <c r="DK94" s="80"/>
      <c r="DL94" s="80"/>
      <c r="DM94" s="80"/>
      <c r="DN94" s="80"/>
      <c r="DO94" s="80"/>
      <c r="DP94" s="80"/>
      <c r="DQ94" s="80"/>
      <c r="DR94" s="80"/>
      <c r="DS94" s="80"/>
      <c r="DT94" s="80"/>
    </row>
    <row r="95" spans="1:124" ht="21.75" customHeight="1">
      <c r="A95" s="312"/>
      <c r="B95" s="232"/>
      <c r="C95" s="233"/>
      <c r="D95" s="234"/>
      <c r="E95" s="70"/>
      <c r="F95" s="65"/>
      <c r="G95" s="65"/>
      <c r="H95" s="65"/>
      <c r="I95" s="65"/>
      <c r="J95" s="65"/>
      <c r="K95" s="65"/>
      <c r="L95" s="70"/>
      <c r="M95" s="70">
        <f>85/0.935</f>
        <v>90.909090909090907</v>
      </c>
      <c r="N95" s="65"/>
      <c r="O95" s="70"/>
      <c r="P95" s="90"/>
      <c r="Q95" s="65"/>
      <c r="R95" s="70"/>
      <c r="S95" s="70"/>
      <c r="T95" s="70"/>
      <c r="U95" s="70"/>
      <c r="V95" s="70"/>
      <c r="W95" s="70"/>
      <c r="X95" s="65"/>
      <c r="Y95" s="65"/>
      <c r="Z95" s="65"/>
      <c r="AA95" s="65"/>
      <c r="AB95" s="65"/>
      <c r="AC95" s="65"/>
      <c r="AD95" s="70"/>
      <c r="AE95" s="65"/>
      <c r="AF95" s="65"/>
      <c r="AG95" s="70"/>
      <c r="AH95" s="65"/>
      <c r="AI95" s="65">
        <f>100/0.91</f>
        <v>109.89010989010988</v>
      </c>
      <c r="AJ95" s="65"/>
      <c r="AK95" s="65"/>
      <c r="AL95" s="65">
        <f>105/0.935</f>
        <v>112.29946524064171</v>
      </c>
      <c r="AM95" s="65"/>
      <c r="AN95" s="65"/>
      <c r="AO95" s="65"/>
      <c r="AP95" s="70"/>
      <c r="AQ95" s="70"/>
      <c r="AR95" s="70"/>
      <c r="AS95" s="65"/>
      <c r="AT95" s="70"/>
      <c r="AU95" s="70"/>
      <c r="AV95" s="70"/>
      <c r="AW95" s="70"/>
      <c r="AX95" s="70"/>
      <c r="AY95" s="70"/>
      <c r="AZ95" s="70"/>
      <c r="BA95" s="70"/>
      <c r="BB95" s="70"/>
      <c r="BC95" s="70"/>
      <c r="BD95" s="70"/>
      <c r="BE95" s="70"/>
      <c r="BF95" s="70"/>
      <c r="BG95" s="70"/>
      <c r="BH95" s="70"/>
      <c r="BI95" s="70"/>
      <c r="BJ95" s="70"/>
      <c r="BK95" s="70"/>
      <c r="BL95" s="70"/>
      <c r="BM95" s="70"/>
      <c r="BN95" s="70"/>
      <c r="BO95" s="70"/>
      <c r="BP95" s="70">
        <f>80/0.91</f>
        <v>87.912087912087912</v>
      </c>
      <c r="BQ95" s="70"/>
      <c r="BR95" s="70"/>
      <c r="BS95" s="70"/>
      <c r="BT95" s="70"/>
      <c r="BU95" s="70"/>
      <c r="BV95" s="70"/>
      <c r="BW95" s="70"/>
      <c r="BX95" s="70"/>
      <c r="BY95" s="70"/>
      <c r="BZ95" s="70"/>
      <c r="CA95" s="70"/>
      <c r="CB95" s="70"/>
      <c r="CC95" s="70"/>
      <c r="CD95" s="70"/>
      <c r="CE95" s="70"/>
      <c r="CF95" s="70"/>
      <c r="CG95" s="70"/>
      <c r="CH95" s="70"/>
      <c r="CI95" s="70"/>
      <c r="CJ95" s="70"/>
      <c r="CK95" s="70"/>
      <c r="CL95" s="70"/>
      <c r="CM95" s="70"/>
      <c r="CN95" s="70"/>
      <c r="CO95" s="70"/>
      <c r="CP95" s="70"/>
      <c r="CQ95" s="70"/>
      <c r="CR95" s="70"/>
      <c r="CS95" s="70"/>
      <c r="CT95" s="70"/>
      <c r="CU95" s="70"/>
      <c r="CV95" s="70"/>
      <c r="CW95" s="70"/>
      <c r="CX95" s="70"/>
      <c r="CY95" s="70"/>
      <c r="CZ95" s="70"/>
      <c r="DA95" s="70"/>
      <c r="DB95" s="70"/>
      <c r="DC95" s="70"/>
      <c r="DD95" s="70"/>
      <c r="DE95" s="70"/>
      <c r="DF95" s="70"/>
      <c r="DG95" s="70"/>
      <c r="DH95" s="70"/>
      <c r="DI95" s="70"/>
      <c r="DJ95" s="70"/>
      <c r="DK95" s="70"/>
      <c r="DL95" s="70"/>
      <c r="DM95" s="70"/>
      <c r="DN95" s="70"/>
      <c r="DO95" s="70"/>
      <c r="DP95" s="70"/>
      <c r="DQ95" s="70"/>
      <c r="DR95" s="70"/>
      <c r="DS95" s="70"/>
      <c r="DT95" s="70"/>
    </row>
    <row r="96" spans="1:124" ht="21.75" customHeight="1">
      <c r="A96" s="312"/>
      <c r="B96" s="229" t="s">
        <v>50</v>
      </c>
      <c r="C96" s="230"/>
      <c r="D96" s="231"/>
      <c r="E96" s="80"/>
      <c r="F96" s="60"/>
      <c r="G96" s="60"/>
      <c r="H96" s="60"/>
      <c r="I96" s="60"/>
      <c r="J96" s="60"/>
      <c r="K96" s="60"/>
      <c r="L96" s="80"/>
      <c r="M96" s="60" t="s">
        <v>384</v>
      </c>
      <c r="N96" s="60"/>
      <c r="O96" s="80"/>
      <c r="P96" s="82"/>
      <c r="Q96" s="60"/>
      <c r="R96" s="80"/>
      <c r="S96" s="80"/>
      <c r="T96" s="80"/>
      <c r="U96" s="80"/>
      <c r="V96" s="80"/>
      <c r="W96" s="80"/>
      <c r="X96" s="60"/>
      <c r="Y96" s="60" t="s">
        <v>434</v>
      </c>
      <c r="Z96" s="60"/>
      <c r="AA96" s="60"/>
      <c r="AB96" s="60"/>
      <c r="AC96" s="60"/>
      <c r="AD96" s="69"/>
      <c r="AE96" s="68" t="s">
        <v>396</v>
      </c>
      <c r="AF96" s="68"/>
      <c r="AG96" s="80"/>
      <c r="AH96" s="68" t="s">
        <v>396</v>
      </c>
      <c r="AI96" s="68"/>
      <c r="AJ96" s="68"/>
      <c r="AK96" s="68"/>
      <c r="AL96" s="68"/>
      <c r="AM96" s="68"/>
      <c r="AN96" s="68"/>
      <c r="AO96" s="68"/>
      <c r="AP96" s="80"/>
      <c r="AQ96" s="80"/>
      <c r="AR96" s="80"/>
      <c r="AS96" s="68"/>
      <c r="AT96" s="80"/>
      <c r="AU96" s="80"/>
      <c r="AV96" s="80"/>
      <c r="AW96" s="80"/>
      <c r="AX96" s="80"/>
      <c r="AY96" s="80"/>
      <c r="AZ96" s="80"/>
      <c r="BA96" s="80"/>
      <c r="BB96" s="80"/>
      <c r="BC96" s="80"/>
      <c r="BD96" s="80"/>
      <c r="BE96" s="80"/>
      <c r="BF96" s="80"/>
      <c r="BG96" s="80"/>
      <c r="BH96" s="80"/>
      <c r="BI96" s="80"/>
      <c r="BJ96" s="80"/>
      <c r="BK96" s="80"/>
      <c r="BL96" s="80"/>
      <c r="BM96" s="80"/>
      <c r="BN96" s="80"/>
      <c r="BO96" s="80"/>
      <c r="BP96" s="80"/>
      <c r="BQ96" s="80"/>
      <c r="BR96" s="80"/>
      <c r="BS96" s="80"/>
      <c r="BT96" s="80"/>
      <c r="BU96" s="80"/>
      <c r="BV96" s="80"/>
      <c r="BW96" s="80"/>
      <c r="BX96" s="80"/>
      <c r="BY96" s="80"/>
      <c r="BZ96" s="80"/>
      <c r="CA96" s="80"/>
      <c r="CB96" s="80"/>
      <c r="CC96" s="80"/>
      <c r="CD96" s="80"/>
      <c r="CE96" s="80"/>
      <c r="CF96" s="80"/>
      <c r="CG96" s="80"/>
      <c r="CH96" s="80"/>
      <c r="CI96" s="80"/>
      <c r="CJ96" s="80"/>
      <c r="CK96" s="80"/>
      <c r="CL96" s="80"/>
      <c r="CM96" s="80"/>
      <c r="CN96" s="80"/>
      <c r="CO96" s="80"/>
      <c r="CP96" s="80"/>
      <c r="CQ96" s="80"/>
      <c r="CR96" s="80"/>
      <c r="CS96" s="80"/>
      <c r="CT96" s="80"/>
      <c r="CU96" s="80"/>
      <c r="CV96" s="80"/>
      <c r="CW96" s="80"/>
      <c r="CX96" s="80"/>
      <c r="CY96" s="80"/>
      <c r="CZ96" s="80"/>
      <c r="DA96" s="80"/>
      <c r="DB96" s="80"/>
      <c r="DC96" s="80"/>
      <c r="DD96" s="80"/>
      <c r="DE96" s="80"/>
      <c r="DF96" s="80"/>
      <c r="DG96" s="80"/>
      <c r="DH96" s="80"/>
      <c r="DI96" s="80"/>
      <c r="DJ96" s="80"/>
      <c r="DK96" s="80"/>
      <c r="DL96" s="80"/>
      <c r="DM96" s="80"/>
      <c r="DN96" s="80"/>
      <c r="DO96" s="80"/>
      <c r="DP96" s="80"/>
      <c r="DQ96" s="80"/>
      <c r="DR96" s="80"/>
      <c r="DS96" s="80"/>
      <c r="DT96" s="80"/>
    </row>
    <row r="97" spans="1:124" ht="21.75" customHeight="1">
      <c r="A97" s="312"/>
      <c r="B97" s="232"/>
      <c r="C97" s="233"/>
      <c r="D97" s="234"/>
      <c r="E97" s="70"/>
      <c r="F97" s="65"/>
      <c r="G97" s="65"/>
      <c r="H97" s="65"/>
      <c r="I97" s="65"/>
      <c r="J97" s="65"/>
      <c r="K97" s="65"/>
      <c r="L97" s="70"/>
      <c r="M97" s="65">
        <f>220/0.91</f>
        <v>241.75824175824175</v>
      </c>
      <c r="N97" s="65"/>
      <c r="O97" s="70"/>
      <c r="P97" s="90"/>
      <c r="Q97" s="65"/>
      <c r="R97" s="70"/>
      <c r="S97" s="70"/>
      <c r="T97" s="70"/>
      <c r="U97" s="70"/>
      <c r="V97" s="70"/>
      <c r="W97" s="70"/>
      <c r="X97" s="65"/>
      <c r="Y97" s="65">
        <v>227.54491017964074</v>
      </c>
      <c r="Z97" s="65"/>
      <c r="AA97" s="65"/>
      <c r="AB97" s="65"/>
      <c r="AC97" s="65"/>
      <c r="AD97" s="70"/>
      <c r="AE97" s="71">
        <f>210/0.86</f>
        <v>244.18604651162792</v>
      </c>
      <c r="AF97" s="65"/>
      <c r="AG97" s="70"/>
      <c r="AH97" s="65">
        <f>220/0.86</f>
        <v>255.81395348837211</v>
      </c>
      <c r="AI97" s="65"/>
      <c r="AJ97" s="65"/>
      <c r="AK97" s="65"/>
      <c r="AL97" s="65"/>
      <c r="AM97" s="65"/>
      <c r="AN97" s="65"/>
      <c r="AO97" s="65"/>
      <c r="AP97" s="70"/>
      <c r="AQ97" s="70"/>
      <c r="AR97" s="70"/>
      <c r="AS97" s="65"/>
      <c r="AT97" s="70"/>
      <c r="AU97" s="70"/>
      <c r="AV97" s="70"/>
      <c r="AW97" s="70"/>
      <c r="AX97" s="70"/>
      <c r="AY97" s="70"/>
      <c r="AZ97" s="70"/>
      <c r="BA97" s="70"/>
      <c r="BB97" s="70"/>
      <c r="BC97" s="70"/>
      <c r="BD97" s="70"/>
      <c r="BE97" s="70"/>
      <c r="BF97" s="70"/>
      <c r="BG97" s="70"/>
      <c r="BH97" s="70"/>
      <c r="BI97" s="70"/>
      <c r="BJ97" s="70"/>
      <c r="BK97" s="70"/>
      <c r="BL97" s="70"/>
      <c r="BM97" s="70"/>
      <c r="BN97" s="70"/>
      <c r="BO97" s="70"/>
      <c r="BP97" s="70"/>
      <c r="BQ97" s="70"/>
      <c r="BR97" s="70"/>
      <c r="BS97" s="70"/>
      <c r="BT97" s="70"/>
      <c r="BU97" s="70"/>
      <c r="BV97" s="70"/>
      <c r="BW97" s="70"/>
      <c r="BX97" s="70"/>
      <c r="BY97" s="70"/>
      <c r="BZ97" s="70"/>
      <c r="CA97" s="70"/>
      <c r="CB97" s="70"/>
      <c r="CC97" s="70"/>
      <c r="CD97" s="70"/>
      <c r="CE97" s="70"/>
      <c r="CF97" s="70"/>
      <c r="CG97" s="70"/>
      <c r="CH97" s="70"/>
      <c r="CI97" s="70"/>
      <c r="CJ97" s="70"/>
      <c r="CK97" s="70"/>
      <c r="CL97" s="70"/>
      <c r="CM97" s="70"/>
      <c r="CN97" s="70"/>
      <c r="CO97" s="70"/>
      <c r="CP97" s="70"/>
      <c r="CQ97" s="70"/>
      <c r="CR97" s="70"/>
      <c r="CS97" s="70"/>
      <c r="CT97" s="70"/>
      <c r="CU97" s="70"/>
      <c r="CV97" s="70"/>
      <c r="CW97" s="70"/>
      <c r="CX97" s="70"/>
      <c r="CY97" s="70"/>
      <c r="CZ97" s="70"/>
      <c r="DA97" s="70"/>
      <c r="DB97" s="70"/>
      <c r="DC97" s="70"/>
      <c r="DD97" s="70"/>
      <c r="DE97" s="70"/>
      <c r="DF97" s="70"/>
      <c r="DG97" s="70"/>
      <c r="DH97" s="70"/>
      <c r="DI97" s="70"/>
      <c r="DJ97" s="70"/>
      <c r="DK97" s="70"/>
      <c r="DL97" s="70"/>
      <c r="DM97" s="70"/>
      <c r="DN97" s="70"/>
      <c r="DO97" s="70"/>
      <c r="DP97" s="70"/>
      <c r="DQ97" s="70"/>
      <c r="DR97" s="70"/>
      <c r="DS97" s="70"/>
      <c r="DT97" s="70"/>
    </row>
    <row r="98" spans="1:124" ht="21.75" customHeight="1">
      <c r="A98" s="312"/>
      <c r="B98" s="229" t="s">
        <v>67</v>
      </c>
      <c r="C98" s="230"/>
      <c r="D98" s="231"/>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8"/>
      <c r="AH98" s="69"/>
      <c r="AI98" s="69"/>
      <c r="AJ98" s="69"/>
      <c r="AK98" s="69"/>
      <c r="AL98" s="69"/>
      <c r="AM98" s="69"/>
      <c r="AN98" s="68"/>
      <c r="AO98" s="68"/>
      <c r="AP98" s="68"/>
      <c r="AQ98" s="68"/>
      <c r="AR98" s="68"/>
      <c r="AS98" s="68" t="s">
        <v>407</v>
      </c>
      <c r="AT98" s="68"/>
      <c r="AU98" s="68"/>
      <c r="AV98" s="76" t="s">
        <v>411</v>
      </c>
      <c r="AW98" s="68"/>
      <c r="AX98" s="68"/>
      <c r="AY98" s="68"/>
      <c r="AZ98" s="68"/>
      <c r="BA98" s="68"/>
      <c r="BB98" s="68"/>
      <c r="BC98" s="68" t="s">
        <v>401</v>
      </c>
      <c r="BD98" s="68"/>
      <c r="BE98" s="68"/>
      <c r="BF98" s="68"/>
      <c r="BG98" s="68"/>
      <c r="BH98" s="68"/>
      <c r="BI98" s="68"/>
      <c r="BJ98" s="68"/>
      <c r="BK98" s="68"/>
      <c r="BL98" s="68"/>
      <c r="BM98" s="68"/>
      <c r="BN98" s="68"/>
      <c r="BO98" s="68"/>
      <c r="BP98" s="68"/>
      <c r="BQ98" s="68"/>
      <c r="BR98" s="68"/>
      <c r="BS98" s="68"/>
      <c r="BT98" s="68"/>
      <c r="BU98" s="68"/>
      <c r="BV98" s="68"/>
      <c r="BW98" s="68"/>
      <c r="BX98" s="68"/>
      <c r="BY98" s="68"/>
      <c r="BZ98" s="68"/>
      <c r="CA98" s="68"/>
      <c r="CB98" s="68"/>
      <c r="CC98" s="68"/>
      <c r="CD98" s="68"/>
      <c r="CE98" s="68"/>
      <c r="CF98" s="68"/>
      <c r="CG98" s="68"/>
      <c r="CH98" s="68"/>
      <c r="CI98" s="68"/>
      <c r="CJ98" s="68"/>
      <c r="CK98" s="68"/>
      <c r="CL98" s="68"/>
      <c r="CM98" s="68"/>
      <c r="CN98" s="68"/>
      <c r="CO98" s="68"/>
      <c r="CP98" s="68"/>
      <c r="CQ98" s="68"/>
      <c r="CR98" s="68"/>
      <c r="CS98" s="68"/>
      <c r="CT98" s="68"/>
      <c r="CU98" s="68"/>
      <c r="CV98" s="68"/>
      <c r="CW98" s="68"/>
      <c r="CX98" s="68"/>
      <c r="CY98" s="68"/>
      <c r="CZ98" s="68"/>
      <c r="DA98" s="68"/>
      <c r="DB98" s="68"/>
      <c r="DC98" s="68"/>
      <c r="DD98" s="68"/>
      <c r="DE98" s="68"/>
      <c r="DF98" s="68"/>
      <c r="DG98" s="68"/>
      <c r="DH98" s="68"/>
      <c r="DI98" s="68"/>
      <c r="DJ98" s="68"/>
      <c r="DK98" s="68"/>
      <c r="DL98" s="68"/>
      <c r="DM98" s="68"/>
      <c r="DN98" s="68"/>
      <c r="DO98" s="68"/>
      <c r="DP98" s="68"/>
      <c r="DQ98" s="68"/>
      <c r="DR98" s="68"/>
      <c r="DS98" s="68"/>
      <c r="DT98" s="68"/>
    </row>
    <row r="99" spans="1:124" ht="21.75" customHeight="1">
      <c r="A99" s="312"/>
      <c r="B99" s="232"/>
      <c r="C99" s="233"/>
      <c r="D99" s="234"/>
      <c r="E99" s="70"/>
      <c r="F99" s="70"/>
      <c r="G99" s="70"/>
      <c r="H99" s="70"/>
      <c r="I99" s="70"/>
      <c r="J99" s="70"/>
      <c r="K99" s="70"/>
      <c r="L99" s="70"/>
      <c r="M99" s="70"/>
      <c r="N99" s="70"/>
      <c r="O99" s="70"/>
      <c r="P99" s="70"/>
      <c r="Q99" s="70"/>
      <c r="R99" s="70"/>
      <c r="S99" s="70"/>
      <c r="T99" s="70"/>
      <c r="U99" s="70"/>
      <c r="V99" s="70"/>
      <c r="W99" s="70"/>
      <c r="X99" s="70"/>
      <c r="Y99" s="70"/>
      <c r="Z99" s="70"/>
      <c r="AA99" s="70"/>
      <c r="AB99" s="70"/>
      <c r="AC99" s="70"/>
      <c r="AD99" s="70"/>
      <c r="AE99" s="70"/>
      <c r="AF99" s="70"/>
      <c r="AG99" s="65"/>
      <c r="AH99" s="70"/>
      <c r="AI99" s="70"/>
      <c r="AJ99" s="70"/>
      <c r="AK99" s="70"/>
      <c r="AL99" s="70"/>
      <c r="AM99" s="70"/>
      <c r="AN99" s="65"/>
      <c r="AO99" s="65"/>
      <c r="AP99" s="65"/>
      <c r="AQ99" s="65"/>
      <c r="AR99" s="65"/>
      <c r="AS99" s="65">
        <f>350/0.735</f>
        <v>476.1904761904762</v>
      </c>
      <c r="AT99" s="65"/>
      <c r="AU99" s="65"/>
      <c r="AV99" s="77" t="s">
        <v>435</v>
      </c>
      <c r="AW99" s="65">
        <v>465</v>
      </c>
      <c r="AX99" s="65"/>
      <c r="AY99" s="65"/>
      <c r="AZ99" s="65"/>
      <c r="BA99" s="65"/>
      <c r="BB99" s="65"/>
      <c r="BC99" s="65">
        <f>360/0.835</f>
        <v>431.13772455089821</v>
      </c>
      <c r="BD99" s="65"/>
      <c r="BE99" s="65"/>
      <c r="BF99" s="65"/>
      <c r="BG99" s="65"/>
      <c r="BH99" s="65"/>
      <c r="BI99" s="65"/>
      <c r="BJ99" s="65"/>
      <c r="BK99" s="65"/>
      <c r="BL99" s="65"/>
      <c r="BM99" s="65"/>
      <c r="BN99" s="65"/>
      <c r="BO99" s="65"/>
      <c r="BP99" s="65"/>
      <c r="BQ99" s="65"/>
      <c r="BR99" s="65"/>
      <c r="BS99" s="65"/>
      <c r="BT99" s="65"/>
      <c r="BU99" s="65"/>
      <c r="BV99" s="65"/>
      <c r="BW99" s="65"/>
      <c r="BX99" s="65"/>
      <c r="BY99" s="65"/>
      <c r="BZ99" s="65"/>
      <c r="CA99" s="65"/>
      <c r="CB99" s="65"/>
      <c r="CC99" s="65"/>
      <c r="CD99" s="65"/>
      <c r="CE99" s="65"/>
      <c r="CF99" s="65"/>
      <c r="CG99" s="65"/>
      <c r="CH99" s="65"/>
      <c r="CI99" s="65"/>
      <c r="CJ99" s="65"/>
      <c r="CK99" s="65"/>
      <c r="CL99" s="65"/>
      <c r="CM99" s="65"/>
      <c r="CN99" s="65"/>
      <c r="CO99" s="65"/>
      <c r="CP99" s="65"/>
      <c r="CQ99" s="65"/>
      <c r="CR99" s="65"/>
      <c r="CS99" s="65"/>
      <c r="CT99" s="65"/>
      <c r="CU99" s="65"/>
      <c r="CV99" s="65"/>
      <c r="CW99" s="65"/>
      <c r="CX99" s="65"/>
      <c r="CY99" s="65"/>
      <c r="CZ99" s="65"/>
      <c r="DA99" s="65"/>
      <c r="DB99" s="65"/>
      <c r="DC99" s="65"/>
      <c r="DD99" s="65"/>
      <c r="DE99" s="65"/>
      <c r="DF99" s="65"/>
      <c r="DG99" s="65"/>
      <c r="DH99" s="65"/>
      <c r="DI99" s="65"/>
      <c r="DJ99" s="65"/>
      <c r="DK99" s="65"/>
      <c r="DL99" s="65"/>
      <c r="DM99" s="65"/>
      <c r="DN99" s="65"/>
      <c r="DO99" s="65"/>
      <c r="DP99" s="65"/>
      <c r="DQ99" s="65"/>
      <c r="DR99" s="65"/>
      <c r="DS99" s="65"/>
      <c r="DT99" s="65"/>
    </row>
    <row r="100" spans="1:124" ht="21.75" customHeight="1">
      <c r="A100" s="312"/>
      <c r="B100" s="229" t="s">
        <v>406</v>
      </c>
      <c r="C100" s="230"/>
      <c r="D100" s="231"/>
      <c r="E100" s="80"/>
      <c r="F100" s="91" t="s">
        <v>436</v>
      </c>
      <c r="G100" s="60"/>
      <c r="H100" s="91" t="s">
        <v>436</v>
      </c>
      <c r="I100" s="60"/>
      <c r="J100" s="60"/>
      <c r="K100" s="60"/>
      <c r="L100" s="80"/>
      <c r="M100" s="80"/>
      <c r="N100" s="60"/>
      <c r="O100" s="80"/>
      <c r="P100" s="82"/>
      <c r="Q100" s="60" t="s">
        <v>380</v>
      </c>
      <c r="R100" s="80"/>
      <c r="S100" s="80"/>
      <c r="T100" s="80"/>
      <c r="U100" s="80" t="s">
        <v>378</v>
      </c>
      <c r="V100" s="80"/>
      <c r="W100" s="80" t="s">
        <v>396</v>
      </c>
      <c r="X100" s="60" t="s">
        <v>392</v>
      </c>
      <c r="Y100" s="60"/>
      <c r="Z100" s="60"/>
      <c r="AA100" s="60" t="s">
        <v>396</v>
      </c>
      <c r="AB100" s="60"/>
      <c r="AC100" s="60"/>
      <c r="AD100" s="69"/>
      <c r="AE100" s="68"/>
      <c r="AF100" s="68" t="s">
        <v>396</v>
      </c>
      <c r="AG100" s="80"/>
      <c r="AH100" s="68"/>
      <c r="AI100" s="68"/>
      <c r="AJ100" s="68"/>
      <c r="AK100" s="68"/>
      <c r="AL100" s="68"/>
      <c r="AM100" s="68"/>
      <c r="AN100" s="68"/>
      <c r="AO100" s="68"/>
      <c r="AP100" s="80"/>
      <c r="AQ100" s="80"/>
      <c r="AR100" s="80"/>
      <c r="AS100" s="68"/>
      <c r="AT100" s="80"/>
      <c r="AU100" s="80" t="s">
        <v>407</v>
      </c>
      <c r="AV100" s="80"/>
      <c r="AW100" s="80"/>
      <c r="AX100" s="80" t="s">
        <v>382</v>
      </c>
      <c r="AY100" s="76" t="s">
        <v>437</v>
      </c>
      <c r="AZ100" s="76" t="s">
        <v>438</v>
      </c>
      <c r="BA100" s="80"/>
      <c r="BB100" s="80"/>
      <c r="BC100" s="80"/>
      <c r="BD100" s="80"/>
      <c r="BE100" s="80"/>
      <c r="BF100" s="80"/>
      <c r="BG100" s="80" t="s">
        <v>392</v>
      </c>
      <c r="BH100" s="80"/>
      <c r="BI100" s="80"/>
      <c r="BJ100" s="80"/>
      <c r="BK100" s="80"/>
      <c r="BL100" s="80"/>
      <c r="BM100" s="80"/>
      <c r="BN100" s="80"/>
      <c r="BO100" s="80"/>
      <c r="BP100" s="80" t="s">
        <v>401</v>
      </c>
      <c r="BQ100" s="80"/>
      <c r="BR100" s="80"/>
      <c r="BS100" s="80" t="s">
        <v>401</v>
      </c>
      <c r="BT100" s="80"/>
      <c r="BU100" s="80"/>
      <c r="BV100" s="80"/>
      <c r="BW100" s="80"/>
      <c r="BX100" s="80"/>
      <c r="BY100" s="80"/>
      <c r="BZ100" s="80"/>
      <c r="CA100" s="80"/>
      <c r="CB100" s="80"/>
      <c r="CC100" s="80"/>
      <c r="CD100" s="80"/>
      <c r="CE100" s="80"/>
      <c r="CF100" s="80"/>
      <c r="CG100" s="80"/>
      <c r="CH100" s="80"/>
      <c r="CI100" s="80"/>
      <c r="CJ100" s="80"/>
      <c r="CK100" s="80"/>
      <c r="CL100" s="80"/>
      <c r="CM100" s="80"/>
      <c r="CN100" s="80"/>
      <c r="CO100" s="80"/>
      <c r="CP100" s="80"/>
      <c r="CQ100" s="80"/>
      <c r="CR100" s="80"/>
      <c r="CS100" s="80"/>
      <c r="CT100" s="80"/>
      <c r="CU100" s="80"/>
      <c r="CV100" s="80"/>
      <c r="CW100" s="80"/>
      <c r="CX100" s="80"/>
      <c r="CY100" s="80"/>
      <c r="CZ100" s="80"/>
      <c r="DA100" s="80"/>
      <c r="DB100" s="80"/>
      <c r="DC100" s="80"/>
      <c r="DD100" s="80"/>
      <c r="DE100" s="80"/>
      <c r="DF100" s="80"/>
      <c r="DG100" s="80"/>
      <c r="DH100" s="80"/>
      <c r="DI100" s="80"/>
      <c r="DJ100" s="80"/>
      <c r="DK100" s="80"/>
      <c r="DL100" s="80"/>
      <c r="DM100" s="80"/>
      <c r="DN100" s="80"/>
      <c r="DO100" s="80"/>
      <c r="DP100" s="80"/>
      <c r="DQ100" s="80"/>
      <c r="DR100" s="80"/>
      <c r="DS100" s="80"/>
      <c r="DT100" s="80"/>
    </row>
    <row r="101" spans="1:124" ht="21.75" customHeight="1">
      <c r="A101" s="312"/>
      <c r="B101" s="232"/>
      <c r="C101" s="233"/>
      <c r="D101" s="234"/>
      <c r="E101" s="70"/>
      <c r="F101" s="65">
        <f>220/0.935</f>
        <v>235.29411764705881</v>
      </c>
      <c r="G101" s="65"/>
      <c r="H101" s="65">
        <f>300/0.935</f>
        <v>320.85561497326199</v>
      </c>
      <c r="I101" s="65"/>
      <c r="J101" s="65"/>
      <c r="K101" s="65"/>
      <c r="L101" s="70"/>
      <c r="M101" s="70"/>
      <c r="N101" s="65"/>
      <c r="O101" s="70"/>
      <c r="P101" s="90"/>
      <c r="Q101" s="65">
        <f>200/0.86</f>
        <v>232.55813953488374</v>
      </c>
      <c r="R101" s="70"/>
      <c r="S101" s="70"/>
      <c r="T101" s="70"/>
      <c r="U101" s="70">
        <f>210/0.86</f>
        <v>244.18604651162792</v>
      </c>
      <c r="V101" s="70"/>
      <c r="W101" s="70">
        <f>220/0.86</f>
        <v>255.81395348837211</v>
      </c>
      <c r="X101" s="65">
        <v>203.5928143712575</v>
      </c>
      <c r="Y101" s="65"/>
      <c r="Z101" s="65"/>
      <c r="AA101" s="65">
        <v>232.55813953488374</v>
      </c>
      <c r="AB101" s="65"/>
      <c r="AC101" s="65"/>
      <c r="AD101" s="70"/>
      <c r="AE101" s="65"/>
      <c r="AF101" s="65">
        <f>200/0.86</f>
        <v>232.55813953488374</v>
      </c>
      <c r="AG101" s="70"/>
      <c r="AH101" s="65"/>
      <c r="AI101" s="65"/>
      <c r="AJ101" s="65"/>
      <c r="AK101" s="65"/>
      <c r="AL101" s="65"/>
      <c r="AM101" s="65"/>
      <c r="AN101" s="65"/>
      <c r="AO101" s="65"/>
      <c r="AP101" s="70"/>
      <c r="AQ101" s="70"/>
      <c r="AR101" s="70"/>
      <c r="AS101" s="65"/>
      <c r="AT101" s="70"/>
      <c r="AU101" s="70">
        <f>160/0.735</f>
        <v>217.68707482993199</v>
      </c>
      <c r="AV101" s="70"/>
      <c r="AW101" s="70"/>
      <c r="AX101" s="70">
        <f>200/0.885</f>
        <v>225.98870056497174</v>
      </c>
      <c r="AY101" s="67">
        <f>200/0.76</f>
        <v>263.15789473684208</v>
      </c>
      <c r="AZ101" s="72">
        <f>200/0.735</f>
        <v>272.108843537415</v>
      </c>
      <c r="BA101" s="70"/>
      <c r="BB101" s="70"/>
      <c r="BC101" s="70"/>
      <c r="BD101" s="70"/>
      <c r="BE101" s="70"/>
      <c r="BF101" s="70"/>
      <c r="BG101" s="70">
        <f>190/0.835</f>
        <v>227.54491017964074</v>
      </c>
      <c r="BH101" s="70"/>
      <c r="BI101" s="70"/>
      <c r="BJ101" s="70"/>
      <c r="BK101" s="70"/>
      <c r="BL101" s="70"/>
      <c r="BM101" s="70"/>
      <c r="BN101" s="70"/>
      <c r="BO101" s="70"/>
      <c r="BP101" s="70">
        <f>170/0.835</f>
        <v>203.5928143712575</v>
      </c>
      <c r="BQ101" s="70"/>
      <c r="BR101" s="70"/>
      <c r="BS101" s="70">
        <f>200/0.835</f>
        <v>239.52095808383234</v>
      </c>
      <c r="BT101" s="70"/>
      <c r="BU101" s="70"/>
      <c r="BV101" s="70"/>
      <c r="BW101" s="70"/>
      <c r="BX101" s="70"/>
      <c r="BY101" s="70"/>
      <c r="BZ101" s="70"/>
      <c r="CA101" s="70"/>
      <c r="CB101" s="70"/>
      <c r="CC101" s="70"/>
      <c r="CD101" s="70"/>
      <c r="CE101" s="70"/>
      <c r="CF101" s="70"/>
      <c r="CG101" s="70"/>
      <c r="CH101" s="70"/>
      <c r="CI101" s="70"/>
      <c r="CJ101" s="70"/>
      <c r="CK101" s="70"/>
      <c r="CL101" s="70"/>
      <c r="CM101" s="70"/>
      <c r="CN101" s="70"/>
      <c r="CO101" s="70"/>
      <c r="CP101" s="70"/>
      <c r="CQ101" s="70"/>
      <c r="CR101" s="70"/>
      <c r="CS101" s="70"/>
      <c r="CT101" s="70"/>
      <c r="CU101" s="70"/>
      <c r="CV101" s="70"/>
      <c r="CW101" s="70"/>
      <c r="CX101" s="70"/>
      <c r="CY101" s="70"/>
      <c r="CZ101" s="70"/>
      <c r="DA101" s="70"/>
      <c r="DB101" s="70"/>
      <c r="DC101" s="70"/>
      <c r="DD101" s="70"/>
      <c r="DE101" s="70"/>
      <c r="DF101" s="70"/>
      <c r="DG101" s="70"/>
      <c r="DH101" s="70"/>
      <c r="DI101" s="70"/>
      <c r="DJ101" s="70"/>
      <c r="DK101" s="70"/>
      <c r="DL101" s="70"/>
      <c r="DM101" s="70"/>
      <c r="DN101" s="70"/>
      <c r="DO101" s="70"/>
      <c r="DP101" s="70"/>
      <c r="DQ101" s="70"/>
      <c r="DR101" s="70"/>
      <c r="DS101" s="70"/>
      <c r="DT101" s="70"/>
    </row>
    <row r="102" spans="1:124" ht="21.75" customHeight="1">
      <c r="A102" s="312"/>
      <c r="B102" s="229" t="s">
        <v>195</v>
      </c>
      <c r="C102" s="230"/>
      <c r="D102" s="231"/>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8"/>
      <c r="AH102" s="69"/>
      <c r="AI102" s="69"/>
      <c r="AJ102" s="69"/>
      <c r="AK102" s="69"/>
      <c r="AL102" s="69"/>
      <c r="AM102" s="69"/>
      <c r="AN102" s="68"/>
      <c r="AO102" s="68"/>
      <c r="AP102" s="68"/>
      <c r="AQ102" s="68"/>
      <c r="AR102" s="68"/>
      <c r="AS102" s="68"/>
      <c r="AT102" s="68"/>
      <c r="AU102" s="68"/>
      <c r="AV102" s="68"/>
      <c r="AW102" s="68"/>
      <c r="AX102" s="68"/>
      <c r="AY102" s="68"/>
      <c r="AZ102" s="68"/>
      <c r="BA102" s="68"/>
      <c r="BB102" s="68"/>
      <c r="BC102" s="68"/>
      <c r="BD102" s="68"/>
      <c r="BE102" s="68"/>
      <c r="BF102" s="68"/>
      <c r="BG102" s="68"/>
      <c r="BH102" s="68"/>
      <c r="BI102" s="68"/>
      <c r="BJ102" s="68"/>
      <c r="BK102" s="68"/>
      <c r="BL102" s="68"/>
      <c r="BM102" s="68"/>
      <c r="BN102" s="68"/>
      <c r="BO102" s="68"/>
      <c r="BP102" s="68"/>
      <c r="BQ102" s="68"/>
      <c r="BR102" s="68"/>
      <c r="BS102" s="68" t="s">
        <v>396</v>
      </c>
      <c r="BT102" s="68"/>
      <c r="BU102" s="68"/>
      <c r="BV102" s="68"/>
      <c r="BW102" s="68"/>
      <c r="BX102" s="68"/>
      <c r="BY102" s="68"/>
      <c r="BZ102" s="68"/>
      <c r="CA102" s="68"/>
      <c r="CB102" s="68"/>
      <c r="CC102" s="68"/>
      <c r="CD102" s="68"/>
      <c r="CE102" s="68"/>
      <c r="CF102" s="68"/>
      <c r="CG102" s="68"/>
      <c r="CH102" s="68"/>
      <c r="CI102" s="68"/>
      <c r="CJ102" s="68"/>
      <c r="CK102" s="68"/>
      <c r="CL102" s="68"/>
      <c r="CM102" s="68"/>
      <c r="CN102" s="68"/>
      <c r="CO102" s="68"/>
      <c r="CP102" s="68"/>
      <c r="CQ102" s="68"/>
      <c r="CR102" s="68"/>
      <c r="CS102" s="68"/>
      <c r="CT102" s="68"/>
      <c r="CU102" s="68"/>
      <c r="CV102" s="68"/>
      <c r="CW102" s="68"/>
      <c r="CX102" s="68"/>
      <c r="CY102" s="68"/>
      <c r="CZ102" s="68"/>
      <c r="DA102" s="68"/>
      <c r="DB102" s="68"/>
      <c r="DC102" s="68"/>
      <c r="DD102" s="68"/>
      <c r="DE102" s="68"/>
      <c r="DF102" s="68"/>
      <c r="DG102" s="68"/>
      <c r="DH102" s="68"/>
      <c r="DI102" s="68"/>
      <c r="DJ102" s="68"/>
      <c r="DK102" s="68"/>
      <c r="DL102" s="68"/>
      <c r="DM102" s="68"/>
      <c r="DN102" s="68"/>
      <c r="DO102" s="68"/>
      <c r="DP102" s="68"/>
      <c r="DQ102" s="68"/>
      <c r="DR102" s="68"/>
      <c r="DS102" s="68"/>
      <c r="DT102" s="68"/>
    </row>
    <row r="103" spans="1:124" ht="21.75" customHeight="1">
      <c r="A103" s="312"/>
      <c r="B103" s="232"/>
      <c r="C103" s="233"/>
      <c r="D103" s="234"/>
      <c r="E103" s="70"/>
      <c r="F103" s="70"/>
      <c r="G103" s="70"/>
      <c r="H103" s="70"/>
      <c r="I103" s="70"/>
      <c r="J103" s="70"/>
      <c r="K103" s="70"/>
      <c r="L103" s="70"/>
      <c r="M103" s="70"/>
      <c r="N103" s="70"/>
      <c r="O103" s="70"/>
      <c r="P103" s="70"/>
      <c r="Q103" s="70"/>
      <c r="R103" s="70"/>
      <c r="S103" s="70"/>
      <c r="T103" s="70"/>
      <c r="U103" s="70"/>
      <c r="V103" s="70"/>
      <c r="W103" s="70"/>
      <c r="X103" s="70"/>
      <c r="Y103" s="70"/>
      <c r="Z103" s="70"/>
      <c r="AA103" s="70"/>
      <c r="AB103" s="70"/>
      <c r="AC103" s="70"/>
      <c r="AD103" s="70"/>
      <c r="AE103" s="70"/>
      <c r="AF103" s="70"/>
      <c r="AG103" s="65"/>
      <c r="AH103" s="70"/>
      <c r="AI103" s="70"/>
      <c r="AJ103" s="70"/>
      <c r="AK103" s="70"/>
      <c r="AL103" s="70"/>
      <c r="AM103" s="70"/>
      <c r="AN103" s="65"/>
      <c r="AO103" s="65"/>
      <c r="AP103" s="65"/>
      <c r="AQ103" s="65"/>
      <c r="AR103" s="65"/>
      <c r="AS103" s="65"/>
      <c r="AT103" s="65"/>
      <c r="AU103" s="65"/>
      <c r="AV103" s="65"/>
      <c r="AW103" s="65"/>
      <c r="AX103" s="65"/>
      <c r="AY103" s="65"/>
      <c r="AZ103" s="65"/>
      <c r="BA103" s="65"/>
      <c r="BB103" s="65"/>
      <c r="BC103" s="65"/>
      <c r="BD103" s="65"/>
      <c r="BE103" s="65"/>
      <c r="BF103" s="65"/>
      <c r="BG103" s="65"/>
      <c r="BH103" s="65"/>
      <c r="BI103" s="65"/>
      <c r="BJ103" s="65"/>
      <c r="BK103" s="65"/>
      <c r="BL103" s="65"/>
      <c r="BM103" s="65"/>
      <c r="BN103" s="65"/>
      <c r="BO103" s="65"/>
      <c r="BP103" s="65"/>
      <c r="BQ103" s="65"/>
      <c r="BR103" s="65"/>
      <c r="BS103" s="65">
        <f>24/0.86</f>
        <v>27.906976744186046</v>
      </c>
      <c r="BT103" s="65"/>
      <c r="BU103" s="65"/>
      <c r="BV103" s="65"/>
      <c r="BW103" s="65"/>
      <c r="BX103" s="65"/>
      <c r="BY103" s="65"/>
      <c r="BZ103" s="65"/>
      <c r="CA103" s="65"/>
      <c r="CB103" s="65"/>
      <c r="CC103" s="65"/>
      <c r="CD103" s="65"/>
      <c r="CE103" s="65"/>
      <c r="CF103" s="65"/>
      <c r="CG103" s="65"/>
      <c r="CH103" s="65"/>
      <c r="CI103" s="65"/>
      <c r="CJ103" s="65"/>
      <c r="CK103" s="65"/>
      <c r="CL103" s="65"/>
      <c r="CM103" s="65"/>
      <c r="CN103" s="65"/>
      <c r="CO103" s="65"/>
      <c r="CP103" s="65"/>
      <c r="CQ103" s="65"/>
      <c r="CR103" s="65"/>
      <c r="CS103" s="65"/>
      <c r="CT103" s="65"/>
      <c r="CU103" s="65"/>
      <c r="CV103" s="65"/>
      <c r="CW103" s="65"/>
      <c r="CX103" s="65"/>
      <c r="CY103" s="65"/>
      <c r="CZ103" s="65"/>
      <c r="DA103" s="65"/>
      <c r="DB103" s="65"/>
      <c r="DC103" s="65"/>
      <c r="DD103" s="65"/>
      <c r="DE103" s="65"/>
      <c r="DF103" s="65"/>
      <c r="DG103" s="65"/>
      <c r="DH103" s="65"/>
      <c r="DI103" s="65"/>
      <c r="DJ103" s="65"/>
      <c r="DK103" s="65"/>
      <c r="DL103" s="65"/>
      <c r="DM103" s="65"/>
      <c r="DN103" s="65"/>
      <c r="DO103" s="65"/>
      <c r="DP103" s="65"/>
      <c r="DQ103" s="65"/>
      <c r="DR103" s="65"/>
      <c r="DS103" s="65"/>
      <c r="DT103" s="65"/>
    </row>
    <row r="104" spans="1:124" ht="21.75" customHeight="1">
      <c r="A104" s="312"/>
      <c r="B104" s="229" t="s">
        <v>439</v>
      </c>
      <c r="C104" s="230"/>
      <c r="D104" s="231"/>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8"/>
      <c r="AH104" s="69"/>
      <c r="AI104" s="69"/>
      <c r="AJ104" s="69"/>
      <c r="AK104" s="69"/>
      <c r="AL104" s="69"/>
      <c r="AM104" s="69"/>
      <c r="AN104" s="68"/>
      <c r="AO104" s="68"/>
      <c r="AP104" s="68"/>
      <c r="AQ104" s="68"/>
      <c r="AR104" s="68"/>
      <c r="AS104" s="68"/>
      <c r="AT104" s="68"/>
      <c r="AU104" s="68"/>
      <c r="AV104" s="68"/>
      <c r="AW104" s="68" t="s">
        <v>380</v>
      </c>
      <c r="AX104" s="68"/>
      <c r="AY104" s="68"/>
      <c r="AZ104" s="68" t="s">
        <v>380</v>
      </c>
      <c r="BA104" s="68"/>
      <c r="BB104" s="68"/>
      <c r="BC104" s="68"/>
      <c r="BD104" s="68"/>
      <c r="BE104" s="68"/>
      <c r="BF104" s="68" t="s">
        <v>398</v>
      </c>
      <c r="BG104" s="68"/>
      <c r="BH104" s="68"/>
      <c r="BI104" s="68" t="s">
        <v>398</v>
      </c>
      <c r="BJ104" s="68"/>
      <c r="BK104" s="68"/>
      <c r="BL104" s="68"/>
      <c r="BM104" s="68"/>
      <c r="BN104" s="68"/>
      <c r="BO104" s="68"/>
      <c r="BP104" s="68"/>
      <c r="BQ104" s="68"/>
      <c r="BR104" s="68"/>
      <c r="BS104" s="68"/>
      <c r="BT104" s="68"/>
      <c r="BU104" s="68"/>
      <c r="BV104" s="68"/>
      <c r="BW104" s="68"/>
      <c r="BX104" s="68"/>
      <c r="BY104" s="68"/>
      <c r="BZ104" s="68"/>
      <c r="CA104" s="68"/>
      <c r="CB104" s="68"/>
      <c r="CC104" s="68"/>
      <c r="CD104" s="68"/>
      <c r="CE104" s="68"/>
      <c r="CF104" s="68"/>
      <c r="CG104" s="68"/>
      <c r="CH104" s="68"/>
      <c r="CI104" s="68"/>
      <c r="CJ104" s="68"/>
      <c r="CK104" s="68"/>
      <c r="CL104" s="68"/>
      <c r="CM104" s="68"/>
      <c r="CN104" s="68"/>
      <c r="CO104" s="68"/>
      <c r="CP104" s="68"/>
      <c r="CQ104" s="68"/>
      <c r="CR104" s="68"/>
      <c r="CS104" s="68"/>
      <c r="CT104" s="68"/>
      <c r="CU104" s="68"/>
      <c r="CV104" s="68"/>
      <c r="CW104" s="68"/>
      <c r="CX104" s="68"/>
      <c r="CY104" s="68"/>
      <c r="CZ104" s="68"/>
      <c r="DA104" s="68"/>
      <c r="DB104" s="68"/>
      <c r="DC104" s="68"/>
      <c r="DD104" s="68"/>
      <c r="DE104" s="68"/>
      <c r="DF104" s="68"/>
      <c r="DG104" s="68"/>
      <c r="DH104" s="68"/>
      <c r="DI104" s="68"/>
      <c r="DJ104" s="68"/>
      <c r="DK104" s="68"/>
      <c r="DL104" s="68"/>
      <c r="DM104" s="68"/>
      <c r="DN104" s="68"/>
      <c r="DO104" s="68"/>
      <c r="DP104" s="68"/>
      <c r="DQ104" s="68"/>
      <c r="DR104" s="68"/>
      <c r="DS104" s="68"/>
      <c r="DT104" s="68"/>
    </row>
    <row r="105" spans="1:124" ht="21.75" customHeight="1">
      <c r="A105" s="312"/>
      <c r="B105" s="232"/>
      <c r="C105" s="233"/>
      <c r="D105" s="234"/>
      <c r="E105" s="70"/>
      <c r="F105" s="70"/>
      <c r="G105" s="70"/>
      <c r="H105" s="70"/>
      <c r="I105" s="70"/>
      <c r="J105" s="70"/>
      <c r="K105" s="70"/>
      <c r="L105" s="70"/>
      <c r="M105" s="70"/>
      <c r="N105" s="70"/>
      <c r="O105" s="70"/>
      <c r="P105" s="70"/>
      <c r="Q105" s="70"/>
      <c r="R105" s="70"/>
      <c r="S105" s="70"/>
      <c r="T105" s="70"/>
      <c r="U105" s="70"/>
      <c r="V105" s="70"/>
      <c r="W105" s="70"/>
      <c r="X105" s="70"/>
      <c r="Y105" s="70"/>
      <c r="Z105" s="70"/>
      <c r="AA105" s="70"/>
      <c r="AB105" s="70"/>
      <c r="AC105" s="70"/>
      <c r="AD105" s="70"/>
      <c r="AE105" s="70"/>
      <c r="AF105" s="70"/>
      <c r="AG105" s="65"/>
      <c r="AH105" s="70"/>
      <c r="AI105" s="70"/>
      <c r="AJ105" s="70"/>
      <c r="AK105" s="70"/>
      <c r="AL105" s="70"/>
      <c r="AM105" s="70"/>
      <c r="AN105" s="65"/>
      <c r="AO105" s="65"/>
      <c r="AP105" s="65"/>
      <c r="AQ105" s="65"/>
      <c r="AR105" s="65"/>
      <c r="AS105" s="65"/>
      <c r="AT105" s="65"/>
      <c r="AU105" s="65"/>
      <c r="AV105" s="65"/>
      <c r="AW105" s="65">
        <f>150/0.86</f>
        <v>174.41860465116278</v>
      </c>
      <c r="AX105" s="65"/>
      <c r="AY105" s="65"/>
      <c r="AZ105" s="65">
        <f>150/0.86</f>
        <v>174.41860465116278</v>
      </c>
      <c r="BA105" s="65"/>
      <c r="BB105" s="65"/>
      <c r="BC105" s="65"/>
      <c r="BD105" s="65"/>
      <c r="BE105" s="65"/>
      <c r="BF105" s="65">
        <f>150/0.91</f>
        <v>164.83516483516482</v>
      </c>
      <c r="BG105" s="65"/>
      <c r="BH105" s="65"/>
      <c r="BI105" s="65">
        <f>150/0.91</f>
        <v>164.83516483516482</v>
      </c>
      <c r="BJ105" s="65"/>
      <c r="BK105" s="65"/>
      <c r="BL105" s="65"/>
      <c r="BM105" s="65"/>
      <c r="BN105" s="65"/>
      <c r="BO105" s="65"/>
      <c r="BP105" s="65"/>
      <c r="BQ105" s="65"/>
      <c r="BR105" s="65"/>
      <c r="BS105" s="65"/>
      <c r="BT105" s="65"/>
      <c r="BU105" s="65"/>
      <c r="BV105" s="65"/>
      <c r="BW105" s="65"/>
      <c r="BX105" s="65"/>
      <c r="BY105" s="65"/>
      <c r="BZ105" s="65"/>
      <c r="CA105" s="65"/>
      <c r="CB105" s="65"/>
      <c r="CC105" s="65"/>
      <c r="CD105" s="65"/>
      <c r="CE105" s="65"/>
      <c r="CF105" s="65"/>
      <c r="CG105" s="65"/>
      <c r="CH105" s="65"/>
      <c r="CI105" s="65"/>
      <c r="CJ105" s="65"/>
      <c r="CK105" s="65"/>
      <c r="CL105" s="65"/>
      <c r="CM105" s="65"/>
      <c r="CN105" s="65"/>
      <c r="CO105" s="65"/>
      <c r="CP105" s="65"/>
      <c r="CQ105" s="65"/>
      <c r="CR105" s="65"/>
      <c r="CS105" s="65"/>
      <c r="CT105" s="65"/>
      <c r="CU105" s="65"/>
      <c r="CV105" s="65"/>
      <c r="CW105" s="65"/>
      <c r="CX105" s="65"/>
      <c r="CY105" s="65"/>
      <c r="CZ105" s="65"/>
      <c r="DA105" s="65"/>
      <c r="DB105" s="65"/>
      <c r="DC105" s="65"/>
      <c r="DD105" s="65"/>
      <c r="DE105" s="65"/>
      <c r="DF105" s="65"/>
      <c r="DG105" s="65"/>
      <c r="DH105" s="65"/>
      <c r="DI105" s="65"/>
      <c r="DJ105" s="65"/>
      <c r="DK105" s="65"/>
      <c r="DL105" s="65"/>
      <c r="DM105" s="65"/>
      <c r="DN105" s="65"/>
      <c r="DO105" s="65"/>
      <c r="DP105" s="65"/>
      <c r="DQ105" s="65"/>
      <c r="DR105" s="65"/>
      <c r="DS105" s="65"/>
      <c r="DT105" s="65"/>
    </row>
    <row r="106" spans="1:124" ht="21.75" customHeight="1">
      <c r="A106" s="312"/>
      <c r="B106" s="229" t="s">
        <v>440</v>
      </c>
      <c r="C106" s="230"/>
      <c r="D106" s="231"/>
      <c r="E106" s="80"/>
      <c r="F106" s="60"/>
      <c r="G106" s="60"/>
      <c r="H106" s="60"/>
      <c r="I106" s="60"/>
      <c r="J106" s="60"/>
      <c r="K106" s="60"/>
      <c r="L106" s="80"/>
      <c r="M106" s="80"/>
      <c r="N106" s="60"/>
      <c r="O106" s="80"/>
      <c r="P106" s="82"/>
      <c r="Q106" s="60"/>
      <c r="R106" s="80"/>
      <c r="S106" s="80"/>
      <c r="T106" s="80"/>
      <c r="U106" s="80"/>
      <c r="V106" s="80"/>
      <c r="W106" s="80"/>
      <c r="X106" s="60"/>
      <c r="Y106" s="60" t="s">
        <v>396</v>
      </c>
      <c r="Z106" s="60"/>
      <c r="AA106" s="60"/>
      <c r="AB106" s="60"/>
      <c r="AC106" s="60"/>
      <c r="AD106" s="69"/>
      <c r="AE106" s="68"/>
      <c r="AF106" s="68" t="s">
        <v>396</v>
      </c>
      <c r="AG106" s="80"/>
      <c r="AH106" s="68"/>
      <c r="AI106" s="68"/>
      <c r="AJ106" s="68"/>
      <c r="AK106" s="68"/>
      <c r="AL106" s="68"/>
      <c r="AM106" s="68"/>
      <c r="AN106" s="68"/>
      <c r="AO106" s="68"/>
      <c r="AP106" s="80"/>
      <c r="AQ106" s="80"/>
      <c r="AR106" s="80"/>
      <c r="AS106" s="68"/>
      <c r="AT106" s="80" t="s">
        <v>380</v>
      </c>
      <c r="AU106" s="80"/>
      <c r="AV106" s="80"/>
      <c r="AW106" s="80"/>
      <c r="AX106" s="80"/>
      <c r="AY106" s="80"/>
      <c r="AZ106" s="80"/>
      <c r="BA106" s="80"/>
      <c r="BB106" s="80"/>
      <c r="BC106" s="80"/>
      <c r="BD106" s="80"/>
      <c r="BE106" s="80"/>
      <c r="BF106" s="80"/>
      <c r="BG106" s="80"/>
      <c r="BH106" s="80"/>
      <c r="BI106" s="80"/>
      <c r="BJ106" s="80"/>
      <c r="BK106" s="80"/>
      <c r="BL106" s="80"/>
      <c r="BM106" s="80"/>
      <c r="BN106" s="80"/>
      <c r="BO106" s="80"/>
      <c r="BP106" s="80"/>
      <c r="BQ106" s="80"/>
      <c r="BR106" s="80"/>
      <c r="BS106" s="80"/>
      <c r="BT106" s="80"/>
      <c r="BU106" s="80"/>
      <c r="BV106" s="80"/>
      <c r="BW106" s="80"/>
      <c r="BX106" s="80"/>
      <c r="BY106" s="80"/>
      <c r="BZ106" s="80"/>
      <c r="CA106" s="80"/>
      <c r="CB106" s="80"/>
      <c r="CC106" s="80"/>
      <c r="CD106" s="80"/>
      <c r="CE106" s="80"/>
      <c r="CF106" s="80"/>
      <c r="CG106" s="80"/>
      <c r="CH106" s="80"/>
      <c r="CI106" s="80"/>
      <c r="CJ106" s="80"/>
      <c r="CK106" s="80"/>
      <c r="CL106" s="80"/>
      <c r="CM106" s="80"/>
      <c r="CN106" s="80"/>
      <c r="CO106" s="80"/>
      <c r="CP106" s="80"/>
      <c r="CQ106" s="80"/>
      <c r="CR106" s="80"/>
      <c r="CS106" s="80"/>
      <c r="CT106" s="80"/>
      <c r="CU106" s="80"/>
      <c r="CV106" s="80"/>
      <c r="CW106" s="80"/>
      <c r="CX106" s="80"/>
      <c r="CY106" s="80"/>
      <c r="CZ106" s="80"/>
      <c r="DA106" s="80"/>
      <c r="DB106" s="80"/>
      <c r="DC106" s="80"/>
      <c r="DD106" s="80"/>
      <c r="DE106" s="80"/>
      <c r="DF106" s="80"/>
      <c r="DG106" s="80"/>
      <c r="DH106" s="80"/>
      <c r="DI106" s="80"/>
      <c r="DJ106" s="80"/>
      <c r="DK106" s="80"/>
      <c r="DL106" s="80"/>
      <c r="DM106" s="80"/>
      <c r="DN106" s="80"/>
      <c r="DO106" s="80"/>
      <c r="DP106" s="80"/>
      <c r="DQ106" s="80"/>
      <c r="DR106" s="80"/>
      <c r="DS106" s="80"/>
      <c r="DT106" s="80"/>
    </row>
    <row r="107" spans="1:124" ht="21.75" customHeight="1">
      <c r="A107" s="312"/>
      <c r="B107" s="232"/>
      <c r="C107" s="233"/>
      <c r="D107" s="234"/>
      <c r="E107" s="70"/>
      <c r="F107" s="65"/>
      <c r="G107" s="65"/>
      <c r="H107" s="65"/>
      <c r="I107" s="65"/>
      <c r="J107" s="65"/>
      <c r="K107" s="65"/>
      <c r="L107" s="70"/>
      <c r="M107" s="70"/>
      <c r="N107" s="65"/>
      <c r="O107" s="70"/>
      <c r="P107" s="90"/>
      <c r="Q107" s="65"/>
      <c r="R107" s="70"/>
      <c r="S107" s="70"/>
      <c r="T107" s="70"/>
      <c r="U107" s="70"/>
      <c r="V107" s="70"/>
      <c r="W107" s="70"/>
      <c r="X107" s="65"/>
      <c r="Y107" s="65">
        <v>151.16279069767441</v>
      </c>
      <c r="Z107" s="65"/>
      <c r="AA107" s="65"/>
      <c r="AB107" s="65"/>
      <c r="AC107" s="65"/>
      <c r="AD107" s="70"/>
      <c r="AE107" s="65"/>
      <c r="AF107" s="65">
        <f>110/0.86</f>
        <v>127.90697674418605</v>
      </c>
      <c r="AG107" s="70"/>
      <c r="AH107" s="65"/>
      <c r="AI107" s="65"/>
      <c r="AJ107" s="65"/>
      <c r="AK107" s="65"/>
      <c r="AL107" s="65"/>
      <c r="AM107" s="65"/>
      <c r="AN107" s="65"/>
      <c r="AO107" s="65"/>
      <c r="AP107" s="70"/>
      <c r="AQ107" s="70"/>
      <c r="AR107" s="70"/>
      <c r="AS107" s="65"/>
      <c r="AT107" s="70">
        <f>150/0.86</f>
        <v>174.41860465116278</v>
      </c>
      <c r="AU107" s="70"/>
      <c r="AV107" s="70"/>
      <c r="AW107" s="70"/>
      <c r="AX107" s="70"/>
      <c r="AY107" s="70"/>
      <c r="AZ107" s="70"/>
      <c r="BA107" s="70"/>
      <c r="BB107" s="70"/>
      <c r="BC107" s="70"/>
      <c r="BD107" s="70"/>
      <c r="BE107" s="70"/>
      <c r="BF107" s="70"/>
      <c r="BG107" s="70"/>
      <c r="BH107" s="70"/>
      <c r="BI107" s="70"/>
      <c r="BJ107" s="70"/>
      <c r="BK107" s="70"/>
      <c r="BL107" s="70"/>
      <c r="BM107" s="70"/>
      <c r="BN107" s="70"/>
      <c r="BO107" s="70"/>
      <c r="BP107" s="70"/>
      <c r="BQ107" s="70"/>
      <c r="BR107" s="70"/>
      <c r="BS107" s="70"/>
      <c r="BT107" s="70"/>
      <c r="BU107" s="70"/>
      <c r="BV107" s="70"/>
      <c r="BW107" s="70"/>
      <c r="BX107" s="70"/>
      <c r="BY107" s="70"/>
      <c r="BZ107" s="70"/>
      <c r="CA107" s="70"/>
      <c r="CB107" s="70"/>
      <c r="CC107" s="70"/>
      <c r="CD107" s="70"/>
      <c r="CE107" s="70"/>
      <c r="CF107" s="70"/>
      <c r="CG107" s="70"/>
      <c r="CH107" s="70"/>
      <c r="CI107" s="70"/>
      <c r="CJ107" s="70"/>
      <c r="CK107" s="70"/>
      <c r="CL107" s="70"/>
      <c r="CM107" s="70"/>
      <c r="CN107" s="70"/>
      <c r="CO107" s="70"/>
      <c r="CP107" s="70"/>
      <c r="CQ107" s="70"/>
      <c r="CR107" s="70"/>
      <c r="CS107" s="70"/>
      <c r="CT107" s="70"/>
      <c r="CU107" s="70"/>
      <c r="CV107" s="70"/>
      <c r="CW107" s="70"/>
      <c r="CX107" s="70"/>
      <c r="CY107" s="70"/>
      <c r="CZ107" s="70"/>
      <c r="DA107" s="70"/>
      <c r="DB107" s="70"/>
      <c r="DC107" s="70"/>
      <c r="DD107" s="70"/>
      <c r="DE107" s="70"/>
      <c r="DF107" s="70"/>
      <c r="DG107" s="70"/>
      <c r="DH107" s="70"/>
      <c r="DI107" s="70"/>
      <c r="DJ107" s="70"/>
      <c r="DK107" s="70"/>
      <c r="DL107" s="70"/>
      <c r="DM107" s="70"/>
      <c r="DN107" s="70"/>
      <c r="DO107" s="70"/>
      <c r="DP107" s="70"/>
      <c r="DQ107" s="70"/>
      <c r="DR107" s="70"/>
      <c r="DS107" s="70"/>
      <c r="DT107" s="70"/>
    </row>
    <row r="108" spans="1:124" ht="21.75" customHeight="1">
      <c r="A108" s="312"/>
      <c r="B108" s="229" t="s">
        <v>133</v>
      </c>
      <c r="C108" s="230"/>
      <c r="D108" s="231"/>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8"/>
      <c r="AH108" s="69"/>
      <c r="AI108" s="69"/>
      <c r="AJ108" s="69"/>
      <c r="AK108" s="69"/>
      <c r="AL108" s="69"/>
      <c r="AM108" s="69"/>
      <c r="AN108" s="68"/>
      <c r="AO108" s="68"/>
      <c r="AP108" s="68"/>
      <c r="AQ108" s="68"/>
      <c r="AR108" s="68"/>
      <c r="AS108" s="68"/>
      <c r="AT108" s="68"/>
      <c r="AU108" s="68"/>
      <c r="AV108" s="68"/>
      <c r="AW108" s="68"/>
      <c r="AX108" s="68"/>
      <c r="AY108" s="68"/>
      <c r="AZ108" s="68"/>
      <c r="BA108" s="62" t="s">
        <v>413</v>
      </c>
      <c r="BB108" s="68"/>
      <c r="BC108" s="68"/>
      <c r="BD108" s="68"/>
      <c r="BE108" s="68"/>
      <c r="BF108" s="68"/>
      <c r="BG108" s="68"/>
      <c r="BH108" s="68"/>
      <c r="BI108" s="68"/>
      <c r="BJ108" s="68"/>
      <c r="BK108" s="68"/>
      <c r="BL108" s="68"/>
      <c r="BM108" s="68"/>
      <c r="BN108" s="68"/>
      <c r="BO108" s="68"/>
      <c r="BP108" s="68"/>
      <c r="BQ108" s="68"/>
      <c r="BR108" s="68"/>
      <c r="BS108" s="68" t="s">
        <v>392</v>
      </c>
      <c r="BT108" s="68"/>
      <c r="BU108" s="68"/>
      <c r="BV108" s="68"/>
      <c r="BW108" s="68"/>
      <c r="BX108" s="68"/>
      <c r="BY108" s="68"/>
      <c r="BZ108" s="68"/>
      <c r="CA108" s="68"/>
      <c r="CB108" s="68"/>
      <c r="CC108" s="68"/>
      <c r="CD108" s="68"/>
      <c r="CE108" s="68"/>
      <c r="CF108" s="68"/>
      <c r="CG108" s="68"/>
      <c r="CH108" s="68"/>
      <c r="CI108" s="68"/>
      <c r="CJ108" s="68"/>
      <c r="CK108" s="68"/>
      <c r="CL108" s="68"/>
      <c r="CM108" s="68"/>
      <c r="CN108" s="68"/>
      <c r="CO108" s="68"/>
      <c r="CP108" s="68"/>
      <c r="CQ108" s="68"/>
      <c r="CR108" s="68"/>
      <c r="CS108" s="68"/>
      <c r="CT108" s="68"/>
      <c r="CU108" s="68"/>
      <c r="CV108" s="68"/>
      <c r="CW108" s="68"/>
      <c r="CX108" s="68"/>
      <c r="CY108" s="68"/>
      <c r="CZ108" s="68"/>
      <c r="DA108" s="68"/>
      <c r="DB108" s="68"/>
      <c r="DC108" s="68"/>
      <c r="DD108" s="68"/>
      <c r="DE108" s="68"/>
      <c r="DF108" s="68"/>
      <c r="DG108" s="68"/>
      <c r="DH108" s="68"/>
      <c r="DI108" s="68"/>
      <c r="DJ108" s="68"/>
      <c r="DK108" s="68"/>
      <c r="DL108" s="68"/>
      <c r="DM108" s="68"/>
      <c r="DN108" s="68"/>
      <c r="DO108" s="68"/>
      <c r="DP108" s="68"/>
      <c r="DQ108" s="68"/>
      <c r="DR108" s="68"/>
      <c r="DS108" s="68"/>
      <c r="DT108" s="68"/>
    </row>
    <row r="109" spans="1:124" ht="21.75" customHeight="1">
      <c r="A109" s="312"/>
      <c r="B109" s="232"/>
      <c r="C109" s="233"/>
      <c r="D109" s="234"/>
      <c r="E109" s="70"/>
      <c r="F109" s="70"/>
      <c r="G109" s="70"/>
      <c r="H109" s="70"/>
      <c r="I109" s="70"/>
      <c r="J109" s="70"/>
      <c r="K109" s="70"/>
      <c r="L109" s="70"/>
      <c r="M109" s="70"/>
      <c r="N109" s="70"/>
      <c r="O109" s="70"/>
      <c r="P109" s="70"/>
      <c r="Q109" s="70"/>
      <c r="R109" s="70"/>
      <c r="S109" s="70"/>
      <c r="T109" s="70"/>
      <c r="U109" s="70"/>
      <c r="V109" s="70"/>
      <c r="W109" s="70"/>
      <c r="X109" s="70"/>
      <c r="Y109" s="70"/>
      <c r="Z109" s="70"/>
      <c r="AA109" s="70"/>
      <c r="AB109" s="70"/>
      <c r="AC109" s="70"/>
      <c r="AD109" s="70"/>
      <c r="AE109" s="70"/>
      <c r="AF109" s="70"/>
      <c r="AG109" s="65"/>
      <c r="AH109" s="70"/>
      <c r="AI109" s="70"/>
      <c r="AJ109" s="70"/>
      <c r="AK109" s="70"/>
      <c r="AL109" s="70"/>
      <c r="AM109" s="70"/>
      <c r="AN109" s="65"/>
      <c r="AO109" s="65"/>
      <c r="AP109" s="65"/>
      <c r="AQ109" s="65"/>
      <c r="AR109" s="65"/>
      <c r="AS109" s="65"/>
      <c r="AT109" s="65"/>
      <c r="AU109" s="65"/>
      <c r="AV109" s="65"/>
      <c r="AW109" s="65"/>
      <c r="AX109" s="65"/>
      <c r="AY109" s="65"/>
      <c r="AZ109" s="65"/>
      <c r="BA109" s="67">
        <f>110/0.735</f>
        <v>149.65986394557822</v>
      </c>
      <c r="BB109" s="65"/>
      <c r="BC109" s="65"/>
      <c r="BD109" s="65"/>
      <c r="BE109" s="65"/>
      <c r="BF109" s="65"/>
      <c r="BG109" s="65"/>
      <c r="BH109" s="65"/>
      <c r="BI109" s="65"/>
      <c r="BJ109" s="65"/>
      <c r="BK109" s="65"/>
      <c r="BL109" s="65"/>
      <c r="BM109" s="65"/>
      <c r="BN109" s="65"/>
      <c r="BO109" s="65"/>
      <c r="BP109" s="65"/>
      <c r="BQ109" s="65"/>
      <c r="BR109" s="65"/>
      <c r="BS109" s="65">
        <f>103/0.835</f>
        <v>123.35329341317366</v>
      </c>
      <c r="BT109" s="65"/>
      <c r="BU109" s="65"/>
      <c r="BV109" s="65"/>
      <c r="BW109" s="65"/>
      <c r="BX109" s="65"/>
      <c r="BY109" s="65"/>
      <c r="BZ109" s="65"/>
      <c r="CA109" s="65"/>
      <c r="CB109" s="65"/>
      <c r="CC109" s="65"/>
      <c r="CD109" s="65"/>
      <c r="CE109" s="65"/>
      <c r="CF109" s="65"/>
      <c r="CG109" s="65"/>
      <c r="CH109" s="65"/>
      <c r="CI109" s="65"/>
      <c r="CJ109" s="65"/>
      <c r="CK109" s="65"/>
      <c r="CL109" s="65"/>
      <c r="CM109" s="65"/>
      <c r="CN109" s="65"/>
      <c r="CO109" s="65"/>
      <c r="CP109" s="65"/>
      <c r="CQ109" s="65"/>
      <c r="CR109" s="65"/>
      <c r="CS109" s="65"/>
      <c r="CT109" s="65"/>
      <c r="CU109" s="65"/>
      <c r="CV109" s="65"/>
      <c r="CW109" s="65"/>
      <c r="CX109" s="65"/>
      <c r="CY109" s="65"/>
      <c r="CZ109" s="65"/>
      <c r="DA109" s="65"/>
      <c r="DB109" s="65"/>
      <c r="DC109" s="65"/>
      <c r="DD109" s="65"/>
      <c r="DE109" s="65"/>
      <c r="DF109" s="65"/>
      <c r="DG109" s="65"/>
      <c r="DH109" s="65"/>
      <c r="DI109" s="65"/>
      <c r="DJ109" s="65"/>
      <c r="DK109" s="65"/>
      <c r="DL109" s="65"/>
      <c r="DM109" s="65"/>
      <c r="DN109" s="65"/>
      <c r="DO109" s="65"/>
      <c r="DP109" s="65"/>
      <c r="DQ109" s="65"/>
      <c r="DR109" s="65"/>
      <c r="DS109" s="65"/>
      <c r="DT109" s="65"/>
    </row>
    <row r="110" spans="1:124" ht="21.75" customHeight="1">
      <c r="A110" s="312"/>
      <c r="B110" s="229" t="s">
        <v>414</v>
      </c>
      <c r="C110" s="230"/>
      <c r="D110" s="231"/>
      <c r="E110" s="80"/>
      <c r="F110" s="60"/>
      <c r="G110" s="60"/>
      <c r="H110" s="60"/>
      <c r="I110" s="60"/>
      <c r="J110" s="60"/>
      <c r="K110" s="60"/>
      <c r="L110" s="80"/>
      <c r="M110" s="80"/>
      <c r="N110" s="60"/>
      <c r="O110" s="80"/>
      <c r="P110" s="82"/>
      <c r="Q110" s="60"/>
      <c r="R110" s="80"/>
      <c r="S110" s="80"/>
      <c r="T110" s="80"/>
      <c r="U110" s="80"/>
      <c r="V110" s="80"/>
      <c r="W110" s="80"/>
      <c r="X110" s="60" t="s">
        <v>392</v>
      </c>
      <c r="Y110" s="60"/>
      <c r="Z110" s="60"/>
      <c r="AA110" s="60"/>
      <c r="AB110" s="60"/>
      <c r="AC110" s="60" t="s">
        <v>396</v>
      </c>
      <c r="AD110" s="69"/>
      <c r="AE110" s="68"/>
      <c r="AF110" s="68"/>
      <c r="AG110" s="80"/>
      <c r="AH110" s="68" t="s">
        <v>396</v>
      </c>
      <c r="AI110" s="68"/>
      <c r="AJ110" s="68"/>
      <c r="AK110" s="68"/>
      <c r="AL110" s="68"/>
      <c r="AM110" s="68"/>
      <c r="AN110" s="68"/>
      <c r="AO110" s="68"/>
      <c r="AP110" s="80"/>
      <c r="AQ110" s="80"/>
      <c r="AR110" s="80"/>
      <c r="AS110" s="68" t="s">
        <v>403</v>
      </c>
      <c r="AT110" s="60"/>
      <c r="AU110" s="60"/>
      <c r="AV110" s="68" t="s">
        <v>403</v>
      </c>
      <c r="AW110" s="80"/>
      <c r="AX110" s="80"/>
      <c r="AY110" s="80" t="s">
        <v>403</v>
      </c>
      <c r="AZ110" s="80"/>
      <c r="BA110" s="80"/>
      <c r="BB110" s="80"/>
      <c r="BC110" s="80"/>
      <c r="BD110" s="80"/>
      <c r="BE110" s="80"/>
      <c r="BF110" s="80"/>
      <c r="BG110" s="80"/>
      <c r="BH110" s="80" t="s">
        <v>401</v>
      </c>
      <c r="BI110" s="80"/>
      <c r="BJ110" s="80"/>
      <c r="BK110" s="80"/>
      <c r="BL110" s="80"/>
      <c r="BM110" s="80"/>
      <c r="BN110" s="80"/>
      <c r="BO110" s="80"/>
      <c r="BP110" s="80"/>
      <c r="BQ110" s="80"/>
      <c r="BR110" s="80"/>
      <c r="BS110" s="80"/>
      <c r="BT110" s="80"/>
      <c r="BU110" s="80"/>
      <c r="BV110" s="80"/>
      <c r="BW110" s="80"/>
      <c r="BX110" s="80"/>
      <c r="BY110" s="80"/>
      <c r="BZ110" s="80"/>
      <c r="CA110" s="80"/>
      <c r="CB110" s="80"/>
      <c r="CC110" s="80"/>
      <c r="CD110" s="80"/>
      <c r="CE110" s="80"/>
      <c r="CF110" s="80"/>
      <c r="CG110" s="80"/>
      <c r="CH110" s="80"/>
      <c r="CI110" s="80"/>
      <c r="CJ110" s="80"/>
      <c r="CK110" s="80"/>
      <c r="CL110" s="80"/>
      <c r="CM110" s="80"/>
      <c r="CN110" s="80"/>
      <c r="CO110" s="80"/>
      <c r="CP110" s="80"/>
      <c r="CQ110" s="80"/>
      <c r="CR110" s="80"/>
      <c r="CS110" s="80"/>
      <c r="CT110" s="80"/>
      <c r="CU110" s="80"/>
      <c r="CV110" s="80"/>
      <c r="CW110" s="80"/>
      <c r="CX110" s="80"/>
      <c r="CY110" s="80"/>
      <c r="CZ110" s="80"/>
      <c r="DA110" s="80"/>
      <c r="DB110" s="80"/>
      <c r="DC110" s="80"/>
      <c r="DD110" s="80"/>
      <c r="DE110" s="80"/>
      <c r="DF110" s="80"/>
      <c r="DG110" s="80"/>
      <c r="DH110" s="80"/>
      <c r="DI110" s="80"/>
      <c r="DJ110" s="80"/>
      <c r="DK110" s="80"/>
      <c r="DL110" s="80"/>
      <c r="DM110" s="80"/>
      <c r="DN110" s="80"/>
      <c r="DO110" s="80"/>
      <c r="DP110" s="80"/>
      <c r="DQ110" s="80"/>
      <c r="DR110" s="80"/>
      <c r="DS110" s="80"/>
      <c r="DT110" s="80"/>
    </row>
    <row r="111" spans="1:124" ht="21.75" customHeight="1">
      <c r="A111" s="312"/>
      <c r="B111" s="232"/>
      <c r="C111" s="233"/>
      <c r="D111" s="234"/>
      <c r="E111" s="70"/>
      <c r="F111" s="65"/>
      <c r="G111" s="65"/>
      <c r="H111" s="65"/>
      <c r="I111" s="65"/>
      <c r="J111" s="65"/>
      <c r="K111" s="65"/>
      <c r="L111" s="70"/>
      <c r="M111" s="70"/>
      <c r="N111" s="65"/>
      <c r="O111" s="70"/>
      <c r="P111" s="90"/>
      <c r="Q111" s="65"/>
      <c r="R111" s="70"/>
      <c r="S111" s="70"/>
      <c r="T111" s="70"/>
      <c r="U111" s="70"/>
      <c r="V111" s="70"/>
      <c r="W111" s="70"/>
      <c r="X111" s="65">
        <v>56.287425149700603</v>
      </c>
      <c r="Y111" s="65"/>
      <c r="Z111" s="65"/>
      <c r="AA111" s="65"/>
      <c r="AB111" s="65"/>
      <c r="AC111" s="65">
        <v>70.930232558139537</v>
      </c>
      <c r="AD111" s="70"/>
      <c r="AE111" s="65"/>
      <c r="AF111" s="65"/>
      <c r="AG111" s="70"/>
      <c r="AH111" s="65">
        <f>61/0.86</f>
        <v>70.930232558139537</v>
      </c>
      <c r="AI111" s="65"/>
      <c r="AJ111" s="65"/>
      <c r="AK111" s="65"/>
      <c r="AL111" s="65"/>
      <c r="AM111" s="65"/>
      <c r="AN111" s="65"/>
      <c r="AO111" s="65"/>
      <c r="AP111" s="70"/>
      <c r="AQ111" s="70"/>
      <c r="AR111" s="70"/>
      <c r="AS111" s="65">
        <f>47/0.735</f>
        <v>63.945578231292515</v>
      </c>
      <c r="AT111" s="65"/>
      <c r="AU111" s="65"/>
      <c r="AV111" s="65">
        <f>47/0.735</f>
        <v>63.945578231292515</v>
      </c>
      <c r="AW111" s="70"/>
      <c r="AX111" s="70"/>
      <c r="AY111" s="70">
        <f>47/0.735</f>
        <v>63.945578231292515</v>
      </c>
      <c r="AZ111" s="70"/>
      <c r="BA111" s="70"/>
      <c r="BB111" s="70"/>
      <c r="BC111" s="70"/>
      <c r="BD111" s="70"/>
      <c r="BE111" s="70"/>
      <c r="BF111" s="70"/>
      <c r="BG111" s="70"/>
      <c r="BH111" s="70">
        <f>61/0.835</f>
        <v>73.053892215568865</v>
      </c>
      <c r="BI111" s="70"/>
      <c r="BJ111" s="70"/>
      <c r="BK111" s="70"/>
      <c r="BL111" s="70"/>
      <c r="BM111" s="70"/>
      <c r="BN111" s="70"/>
      <c r="BO111" s="70"/>
      <c r="BP111" s="70"/>
      <c r="BQ111" s="70"/>
      <c r="BR111" s="70"/>
      <c r="BS111" s="70"/>
      <c r="BT111" s="70"/>
      <c r="BU111" s="70"/>
      <c r="BV111" s="70"/>
      <c r="BW111" s="70"/>
      <c r="BX111" s="70"/>
      <c r="BY111" s="70"/>
      <c r="BZ111" s="70"/>
      <c r="CA111" s="70"/>
      <c r="CB111" s="70"/>
      <c r="CC111" s="70"/>
      <c r="CD111" s="70"/>
      <c r="CE111" s="70"/>
      <c r="CF111" s="70"/>
      <c r="CG111" s="70"/>
      <c r="CH111" s="70"/>
      <c r="CI111" s="70"/>
      <c r="CJ111" s="70"/>
      <c r="CK111" s="70"/>
      <c r="CL111" s="70"/>
      <c r="CM111" s="70"/>
      <c r="CN111" s="70"/>
      <c r="CO111" s="70"/>
      <c r="CP111" s="70"/>
      <c r="CQ111" s="70"/>
      <c r="CR111" s="70"/>
      <c r="CS111" s="70"/>
      <c r="CT111" s="70"/>
      <c r="CU111" s="70"/>
      <c r="CV111" s="70"/>
      <c r="CW111" s="70"/>
      <c r="CX111" s="70"/>
      <c r="CY111" s="70"/>
      <c r="CZ111" s="70"/>
      <c r="DA111" s="70"/>
      <c r="DB111" s="70"/>
      <c r="DC111" s="70"/>
      <c r="DD111" s="70"/>
      <c r="DE111" s="70"/>
      <c r="DF111" s="70"/>
      <c r="DG111" s="70"/>
      <c r="DH111" s="70"/>
      <c r="DI111" s="70"/>
      <c r="DJ111" s="70"/>
      <c r="DK111" s="70"/>
      <c r="DL111" s="70"/>
      <c r="DM111" s="70"/>
      <c r="DN111" s="70"/>
      <c r="DO111" s="70"/>
      <c r="DP111" s="70"/>
      <c r="DQ111" s="70"/>
      <c r="DR111" s="70"/>
      <c r="DS111" s="70"/>
      <c r="DT111" s="70"/>
    </row>
    <row r="112" spans="1:124" ht="21.75" customHeight="1">
      <c r="A112" s="312"/>
      <c r="B112" s="229" t="s">
        <v>103</v>
      </c>
      <c r="C112" s="230"/>
      <c r="D112" s="78" t="s">
        <v>415</v>
      </c>
      <c r="E112" s="70"/>
      <c r="F112" s="65"/>
      <c r="G112" s="65"/>
      <c r="H112" s="65"/>
      <c r="I112" s="65"/>
      <c r="J112" s="65"/>
      <c r="K112" s="65"/>
      <c r="L112" s="70"/>
      <c r="M112" s="70"/>
      <c r="N112" s="65"/>
      <c r="O112" s="70"/>
      <c r="P112" s="90"/>
      <c r="Q112" s="65"/>
      <c r="R112" s="70"/>
      <c r="S112" s="70"/>
      <c r="T112" s="70"/>
      <c r="U112" s="70"/>
      <c r="V112" s="70"/>
      <c r="W112" s="70"/>
      <c r="X112" s="65"/>
      <c r="Y112" s="65"/>
      <c r="Z112" s="65"/>
      <c r="AA112" s="65"/>
      <c r="AB112" s="65"/>
      <c r="AC112" s="65"/>
      <c r="AD112" s="70"/>
      <c r="AE112" s="65"/>
      <c r="AF112" s="65"/>
      <c r="AG112" s="70"/>
      <c r="AH112" s="65"/>
      <c r="AI112" s="65"/>
      <c r="AJ112" s="71" t="s">
        <v>441</v>
      </c>
      <c r="AK112" s="65"/>
      <c r="AL112" s="71" t="s">
        <v>442</v>
      </c>
      <c r="AM112" s="65"/>
      <c r="AN112" s="65"/>
      <c r="AO112" s="65"/>
      <c r="AP112" s="70"/>
      <c r="AQ112" s="70"/>
      <c r="AR112" s="70"/>
      <c r="AS112" s="65"/>
      <c r="AT112" s="70"/>
      <c r="AU112" s="70"/>
      <c r="AV112" s="70"/>
      <c r="AW112" s="70"/>
      <c r="AX112" s="70"/>
      <c r="AY112" s="70"/>
      <c r="AZ112" s="70"/>
      <c r="BA112" s="70"/>
      <c r="BB112" s="70"/>
      <c r="BC112" s="70"/>
      <c r="BD112" s="70"/>
      <c r="BE112" s="70"/>
      <c r="BF112" s="70"/>
      <c r="BG112" s="70"/>
      <c r="BH112" s="70"/>
      <c r="BI112" s="70"/>
      <c r="BJ112" s="70"/>
      <c r="BK112" s="70"/>
      <c r="BL112" s="70"/>
      <c r="BM112" s="70"/>
      <c r="BN112" s="70"/>
      <c r="BO112" s="70"/>
      <c r="BP112" s="96" t="s">
        <v>443</v>
      </c>
      <c r="BQ112" s="70"/>
      <c r="BR112" s="70"/>
      <c r="BS112" s="96" t="s">
        <v>444</v>
      </c>
      <c r="BT112" s="70"/>
      <c r="BU112" s="70"/>
      <c r="BV112" s="70"/>
      <c r="BW112" s="70"/>
      <c r="BX112" s="70"/>
      <c r="BY112" s="70"/>
      <c r="BZ112" s="70"/>
      <c r="CA112" s="70"/>
      <c r="CB112" s="70"/>
      <c r="CC112" s="70"/>
      <c r="CD112" s="70"/>
      <c r="CE112" s="70"/>
      <c r="CF112" s="70"/>
      <c r="CG112" s="70"/>
      <c r="CH112" s="70"/>
      <c r="CI112" s="70"/>
      <c r="CJ112" s="70"/>
      <c r="CK112" s="70"/>
      <c r="CL112" s="70"/>
      <c r="CM112" s="70"/>
      <c r="CN112" s="70"/>
      <c r="CO112" s="70"/>
      <c r="CP112" s="70"/>
      <c r="CQ112" s="70"/>
      <c r="CR112" s="70"/>
      <c r="CS112" s="70"/>
      <c r="CT112" s="70"/>
      <c r="CU112" s="70"/>
      <c r="CV112" s="70"/>
      <c r="CW112" s="70"/>
      <c r="CX112" s="70"/>
      <c r="CY112" s="70"/>
      <c r="CZ112" s="70"/>
      <c r="DA112" s="70"/>
      <c r="DB112" s="70"/>
      <c r="DC112" s="70"/>
      <c r="DD112" s="70"/>
      <c r="DE112" s="70"/>
      <c r="DF112" s="70"/>
      <c r="DG112" s="70"/>
      <c r="DH112" s="70"/>
      <c r="DI112" s="70"/>
      <c r="DJ112" s="70"/>
      <c r="DK112" s="70"/>
      <c r="DL112" s="70"/>
      <c r="DM112" s="70"/>
      <c r="DN112" s="70"/>
      <c r="DO112" s="70"/>
      <c r="DP112" s="70"/>
      <c r="DQ112" s="70"/>
      <c r="DR112" s="70"/>
      <c r="DS112" s="70"/>
      <c r="DT112" s="70"/>
    </row>
    <row r="113" spans="1:124" ht="21.75" customHeight="1">
      <c r="A113" s="312"/>
      <c r="B113" s="232"/>
      <c r="C113" s="233"/>
      <c r="D113" s="79" t="s">
        <v>418</v>
      </c>
      <c r="E113" s="70"/>
      <c r="F113" s="65"/>
      <c r="G113" s="65"/>
      <c r="H113" s="65"/>
      <c r="I113" s="65"/>
      <c r="J113" s="65"/>
      <c r="K113" s="65"/>
      <c r="L113" s="70"/>
      <c r="M113" s="70"/>
      <c r="N113" s="65"/>
      <c r="O113" s="70"/>
      <c r="P113" s="90"/>
      <c r="Q113" s="65"/>
      <c r="R113" s="70"/>
      <c r="S113" s="70"/>
      <c r="T113" s="70"/>
      <c r="U113" s="70"/>
      <c r="V113" s="70"/>
      <c r="W113" s="70"/>
      <c r="X113" s="65"/>
      <c r="Y113" s="65"/>
      <c r="Z113" s="65"/>
      <c r="AA113" s="65"/>
      <c r="AB113" s="65"/>
      <c r="AC113" s="65"/>
      <c r="AD113" s="70"/>
      <c r="AE113" s="65"/>
      <c r="AF113" s="65"/>
      <c r="AG113" s="70"/>
      <c r="AH113" s="65"/>
      <c r="AI113" s="65"/>
      <c r="AJ113" s="71" t="s">
        <v>445</v>
      </c>
      <c r="AK113" s="65"/>
      <c r="AL113" s="71" t="s">
        <v>446</v>
      </c>
      <c r="AM113" s="65"/>
      <c r="AN113" s="65"/>
      <c r="AO113" s="65"/>
      <c r="AP113" s="70"/>
      <c r="AQ113" s="70"/>
      <c r="AR113" s="70"/>
      <c r="AS113" s="65"/>
      <c r="AT113" s="70"/>
      <c r="AU113" s="70"/>
      <c r="AV113" s="70"/>
      <c r="AW113" s="70"/>
      <c r="AX113" s="70"/>
      <c r="AY113" s="70"/>
      <c r="AZ113" s="70"/>
      <c r="BA113" s="70"/>
      <c r="BB113" s="70"/>
      <c r="BC113" s="70"/>
      <c r="BD113" s="70"/>
      <c r="BE113" s="70"/>
      <c r="BF113" s="70"/>
      <c r="BG113" s="70"/>
      <c r="BH113" s="70"/>
      <c r="BI113" s="70"/>
      <c r="BJ113" s="70"/>
      <c r="BK113" s="70"/>
      <c r="BL113" s="70"/>
      <c r="BM113" s="70"/>
      <c r="BN113" s="70"/>
      <c r="BO113" s="70"/>
      <c r="BP113" s="96" t="s">
        <v>447</v>
      </c>
      <c r="BQ113" s="70"/>
      <c r="BR113" s="70"/>
      <c r="BS113" s="96" t="s">
        <v>448</v>
      </c>
      <c r="BT113" s="70"/>
      <c r="BU113" s="70"/>
      <c r="BV113" s="70"/>
      <c r="BW113" s="70"/>
      <c r="BX113" s="70"/>
      <c r="BY113" s="70"/>
      <c r="BZ113" s="70"/>
      <c r="CA113" s="70"/>
      <c r="CB113" s="70"/>
      <c r="CC113" s="70"/>
      <c r="CD113" s="70"/>
      <c r="CE113" s="70"/>
      <c r="CF113" s="70"/>
      <c r="CG113" s="70"/>
      <c r="CH113" s="70"/>
      <c r="CI113" s="70"/>
      <c r="CJ113" s="70"/>
      <c r="CK113" s="70"/>
      <c r="CL113" s="70"/>
      <c r="CM113" s="70"/>
      <c r="CN113" s="70"/>
      <c r="CO113" s="70"/>
      <c r="CP113" s="70"/>
      <c r="CQ113" s="70"/>
      <c r="CR113" s="70"/>
      <c r="CS113" s="70"/>
      <c r="CT113" s="70"/>
      <c r="CU113" s="70"/>
      <c r="CV113" s="70"/>
      <c r="CW113" s="70"/>
      <c r="CX113" s="70"/>
      <c r="CY113" s="70"/>
      <c r="CZ113" s="70"/>
      <c r="DA113" s="70"/>
      <c r="DB113" s="70"/>
      <c r="DC113" s="70"/>
      <c r="DD113" s="70"/>
      <c r="DE113" s="70"/>
      <c r="DF113" s="70"/>
      <c r="DG113" s="70"/>
      <c r="DH113" s="70"/>
      <c r="DI113" s="70"/>
      <c r="DJ113" s="70"/>
      <c r="DK113" s="70"/>
      <c r="DL113" s="70"/>
      <c r="DM113" s="70"/>
      <c r="DN113" s="70"/>
      <c r="DO113" s="70"/>
      <c r="DP113" s="70"/>
      <c r="DQ113" s="70"/>
      <c r="DR113" s="70"/>
      <c r="DS113" s="70"/>
      <c r="DT113" s="70"/>
    </row>
    <row r="114" spans="1:124" ht="21.75" customHeight="1">
      <c r="A114" s="312"/>
      <c r="B114" s="235" t="s">
        <v>25</v>
      </c>
      <c r="C114" s="236"/>
      <c r="D114" s="237"/>
      <c r="E114" s="80"/>
      <c r="F114" s="80"/>
      <c r="G114" s="80"/>
      <c r="H114" s="80"/>
      <c r="I114" s="80"/>
      <c r="J114" s="80"/>
      <c r="K114" s="80"/>
      <c r="L114" s="80"/>
      <c r="M114" s="80"/>
      <c r="N114" s="60"/>
      <c r="O114" s="80"/>
      <c r="P114" s="82"/>
      <c r="Q114" s="60"/>
      <c r="R114" s="80"/>
      <c r="S114" s="80"/>
      <c r="T114" s="80"/>
      <c r="U114" s="80"/>
      <c r="V114" s="80"/>
      <c r="W114" s="80"/>
      <c r="X114" s="80"/>
      <c r="Y114" s="80"/>
      <c r="Z114" s="80"/>
      <c r="AA114" s="80"/>
      <c r="AB114" s="80"/>
      <c r="AC114" s="80"/>
      <c r="AD114" s="80"/>
      <c r="AE114" s="80"/>
      <c r="AF114" s="80"/>
      <c r="AG114" s="80"/>
      <c r="AH114" s="80"/>
      <c r="AI114" s="80"/>
      <c r="AJ114" s="80"/>
      <c r="AK114" s="80"/>
      <c r="AL114" s="80"/>
      <c r="AM114" s="80"/>
      <c r="AN114" s="80"/>
      <c r="AO114" s="80"/>
      <c r="AP114" s="80"/>
      <c r="AQ114" s="80"/>
      <c r="AR114" s="80"/>
      <c r="AS114" s="80"/>
      <c r="AT114" s="80"/>
      <c r="AU114" s="80"/>
      <c r="AV114" s="80"/>
      <c r="AW114" s="80"/>
      <c r="AX114" s="80"/>
      <c r="AY114" s="80"/>
      <c r="AZ114" s="80"/>
      <c r="BA114" s="80"/>
      <c r="BB114" s="80"/>
      <c r="BC114" s="80"/>
      <c r="BD114" s="80"/>
      <c r="BE114" s="80"/>
      <c r="BF114" s="80"/>
      <c r="BG114" s="80"/>
      <c r="BH114" s="80"/>
      <c r="BI114" s="80"/>
      <c r="BJ114" s="80"/>
      <c r="BK114" s="80"/>
      <c r="BL114" s="80"/>
      <c r="BM114" s="80"/>
      <c r="BN114" s="80"/>
      <c r="BO114" s="80"/>
      <c r="BP114" s="80"/>
      <c r="BQ114" s="80"/>
      <c r="BR114" s="80"/>
      <c r="BS114" s="80"/>
      <c r="BT114" s="80"/>
      <c r="BU114" s="80"/>
      <c r="BV114" s="80"/>
      <c r="BW114" s="80"/>
      <c r="BX114" s="80"/>
      <c r="BY114" s="80"/>
      <c r="BZ114" s="80"/>
      <c r="CA114" s="80"/>
      <c r="CB114" s="80"/>
      <c r="CC114" s="80"/>
      <c r="CD114" s="80"/>
      <c r="CE114" s="80"/>
      <c r="CF114" s="80"/>
      <c r="CG114" s="80"/>
      <c r="CH114" s="80"/>
      <c r="CI114" s="80"/>
      <c r="CJ114" s="80"/>
      <c r="CK114" s="80"/>
      <c r="CL114" s="80"/>
      <c r="CM114" s="80"/>
      <c r="CN114" s="80"/>
      <c r="CO114" s="80"/>
      <c r="CP114" s="80"/>
      <c r="CQ114" s="80"/>
      <c r="CR114" s="80"/>
      <c r="CS114" s="80"/>
      <c r="CT114" s="80"/>
      <c r="CU114" s="80"/>
      <c r="CV114" s="80"/>
      <c r="CW114" s="80"/>
      <c r="CX114" s="80"/>
      <c r="CY114" s="80"/>
      <c r="CZ114" s="80"/>
      <c r="DA114" s="80"/>
      <c r="DB114" s="80"/>
      <c r="DC114" s="80"/>
      <c r="DD114" s="80"/>
      <c r="DE114" s="80"/>
      <c r="DF114" s="80"/>
      <c r="DG114" s="80"/>
      <c r="DH114" s="80"/>
      <c r="DI114" s="80"/>
      <c r="DJ114" s="80"/>
      <c r="DK114" s="80"/>
      <c r="DL114" s="80"/>
      <c r="DM114" s="80"/>
      <c r="DN114" s="80"/>
      <c r="DO114" s="80"/>
      <c r="DP114" s="80"/>
      <c r="DQ114" s="80"/>
      <c r="DR114" s="80"/>
      <c r="DS114" s="80"/>
      <c r="DT114" s="80"/>
    </row>
    <row r="115" spans="1:124" ht="21.75" customHeight="1">
      <c r="A115" s="312"/>
      <c r="B115" s="232"/>
      <c r="C115" s="233"/>
      <c r="D115" s="234"/>
      <c r="E115" s="70"/>
      <c r="F115" s="70">
        <v>95</v>
      </c>
      <c r="G115" s="70"/>
      <c r="H115" s="70">
        <v>97.5</v>
      </c>
      <c r="I115" s="70"/>
      <c r="J115" s="70"/>
      <c r="K115" s="70"/>
      <c r="L115" s="70"/>
      <c r="M115" s="70"/>
      <c r="N115" s="65"/>
      <c r="O115" s="70"/>
      <c r="P115" s="90"/>
      <c r="Q115" s="65"/>
      <c r="R115" s="70"/>
      <c r="S115" s="70"/>
      <c r="T115" s="70"/>
      <c r="U115" s="70"/>
      <c r="V115" s="70"/>
      <c r="W115" s="70"/>
      <c r="X115" s="70"/>
      <c r="Y115" s="70"/>
      <c r="Z115" s="70"/>
      <c r="AA115" s="70"/>
      <c r="AB115" s="70"/>
      <c r="AC115" s="70"/>
      <c r="AD115" s="70"/>
      <c r="AE115" s="70"/>
      <c r="AF115" s="70"/>
      <c r="AG115" s="70"/>
      <c r="AH115" s="70"/>
      <c r="AI115" s="70"/>
      <c r="AJ115" s="70"/>
      <c r="AK115" s="70"/>
      <c r="AL115" s="70"/>
      <c r="AM115" s="70"/>
      <c r="AN115" s="70"/>
      <c r="AO115" s="70"/>
      <c r="AP115" s="70"/>
      <c r="AQ115" s="70"/>
      <c r="AR115" s="70"/>
      <c r="AS115" s="70"/>
      <c r="AT115" s="70"/>
      <c r="AU115" s="70"/>
      <c r="AV115" s="70"/>
      <c r="AW115" s="70"/>
      <c r="AX115" s="70"/>
      <c r="AY115" s="70"/>
      <c r="AZ115" s="70"/>
      <c r="BA115" s="70"/>
      <c r="BB115" s="70"/>
      <c r="BC115" s="70"/>
      <c r="BD115" s="70"/>
      <c r="BE115" s="70"/>
      <c r="BF115" s="70"/>
      <c r="BG115" s="70"/>
      <c r="BH115" s="70"/>
      <c r="BI115" s="70"/>
      <c r="BJ115" s="70"/>
      <c r="BK115" s="70"/>
      <c r="BL115" s="70"/>
      <c r="BM115" s="70"/>
      <c r="BN115" s="70"/>
      <c r="BO115" s="70"/>
      <c r="BP115" s="70"/>
      <c r="BQ115" s="70"/>
      <c r="BR115" s="70"/>
      <c r="BS115" s="70"/>
      <c r="BT115" s="70"/>
      <c r="BU115" s="70"/>
      <c r="BV115" s="70"/>
      <c r="BW115" s="70"/>
      <c r="BX115" s="70"/>
      <c r="BY115" s="70"/>
      <c r="BZ115" s="70"/>
      <c r="CA115" s="70"/>
      <c r="CB115" s="70"/>
      <c r="CC115" s="70"/>
      <c r="CD115" s="70"/>
      <c r="CE115" s="70"/>
      <c r="CF115" s="70"/>
      <c r="CG115" s="70"/>
      <c r="CH115" s="70"/>
      <c r="CI115" s="70"/>
      <c r="CJ115" s="70"/>
      <c r="CK115" s="70"/>
      <c r="CL115" s="70"/>
      <c r="CM115" s="70"/>
      <c r="CN115" s="70"/>
      <c r="CO115" s="70"/>
      <c r="CP115" s="70"/>
      <c r="CQ115" s="70"/>
      <c r="CR115" s="70"/>
      <c r="CS115" s="70"/>
      <c r="CT115" s="70"/>
      <c r="CU115" s="70"/>
      <c r="CV115" s="70"/>
      <c r="CW115" s="70"/>
      <c r="CX115" s="70"/>
      <c r="CY115" s="70"/>
      <c r="CZ115" s="70"/>
      <c r="DA115" s="70"/>
      <c r="DB115" s="70"/>
      <c r="DC115" s="70"/>
      <c r="DD115" s="70"/>
      <c r="DE115" s="70"/>
      <c r="DF115" s="70"/>
      <c r="DG115" s="70"/>
      <c r="DH115" s="70"/>
      <c r="DI115" s="70"/>
      <c r="DJ115" s="70"/>
      <c r="DK115" s="70"/>
      <c r="DL115" s="70"/>
      <c r="DM115" s="70"/>
      <c r="DN115" s="70"/>
      <c r="DO115" s="70"/>
      <c r="DP115" s="70"/>
      <c r="DQ115" s="70"/>
      <c r="DR115" s="70"/>
      <c r="DS115" s="70"/>
      <c r="DT115" s="70"/>
    </row>
    <row r="116" spans="1:124" ht="21.75" customHeight="1">
      <c r="A116" s="312"/>
      <c r="B116" s="229" t="s">
        <v>45</v>
      </c>
      <c r="C116" s="230"/>
      <c r="D116" s="231"/>
      <c r="E116" s="69"/>
      <c r="F116" s="69"/>
      <c r="G116" s="69"/>
      <c r="H116" s="69"/>
      <c r="I116" s="69"/>
      <c r="J116" s="69"/>
      <c r="K116" s="69"/>
      <c r="L116" s="69"/>
      <c r="M116" s="69"/>
      <c r="N116" s="68"/>
      <c r="O116" s="69"/>
      <c r="P116" s="89"/>
      <c r="Q116" s="68"/>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c r="BI116" s="69"/>
      <c r="BJ116" s="69"/>
      <c r="BK116" s="69"/>
      <c r="BL116" s="69"/>
      <c r="BM116" s="69"/>
      <c r="BN116" s="69"/>
      <c r="BO116" s="69"/>
      <c r="BP116" s="69"/>
      <c r="BQ116" s="69"/>
      <c r="BR116" s="69"/>
      <c r="BS116" s="69"/>
      <c r="BT116" s="69"/>
      <c r="BU116" s="69"/>
      <c r="BV116" s="69"/>
      <c r="BW116" s="69"/>
      <c r="BX116" s="69"/>
      <c r="BY116" s="69"/>
      <c r="BZ116" s="69"/>
      <c r="CA116" s="69"/>
      <c r="CB116" s="69"/>
      <c r="CC116" s="69"/>
      <c r="CD116" s="69"/>
      <c r="CE116" s="69"/>
      <c r="CF116" s="69"/>
      <c r="CG116" s="69"/>
      <c r="CH116" s="69"/>
      <c r="CI116" s="69"/>
      <c r="CJ116" s="69"/>
      <c r="CK116" s="69"/>
      <c r="CL116" s="69"/>
      <c r="CM116" s="69"/>
      <c r="CN116" s="69"/>
      <c r="CO116" s="69"/>
      <c r="CP116" s="69"/>
      <c r="CQ116" s="69"/>
      <c r="CR116" s="69"/>
      <c r="CS116" s="69"/>
      <c r="CT116" s="69"/>
      <c r="CU116" s="69"/>
      <c r="CV116" s="69"/>
      <c r="CW116" s="69"/>
      <c r="CX116" s="69"/>
      <c r="CY116" s="69"/>
      <c r="CZ116" s="69"/>
      <c r="DA116" s="69"/>
      <c r="DB116" s="69"/>
      <c r="DC116" s="69"/>
      <c r="DD116" s="69"/>
      <c r="DE116" s="69"/>
      <c r="DF116" s="69"/>
      <c r="DG116" s="69"/>
      <c r="DH116" s="69"/>
      <c r="DI116" s="69"/>
      <c r="DJ116" s="69"/>
      <c r="DK116" s="69"/>
      <c r="DL116" s="69"/>
      <c r="DM116" s="69"/>
      <c r="DN116" s="69"/>
      <c r="DO116" s="69"/>
      <c r="DP116" s="69"/>
      <c r="DQ116" s="69"/>
      <c r="DR116" s="69"/>
      <c r="DS116" s="69"/>
      <c r="DT116" s="69"/>
    </row>
    <row r="117" spans="1:124" ht="21.75" customHeight="1">
      <c r="A117" s="312"/>
      <c r="B117" s="232"/>
      <c r="C117" s="233"/>
      <c r="D117" s="234"/>
      <c r="E117" s="70"/>
      <c r="F117" s="70"/>
      <c r="G117" s="70"/>
      <c r="H117" s="70"/>
      <c r="I117" s="70"/>
      <c r="J117" s="70">
        <v>2215.6</v>
      </c>
      <c r="K117" s="70"/>
      <c r="L117" s="70"/>
      <c r="M117" s="70"/>
      <c r="N117" s="65"/>
      <c r="O117" s="70"/>
      <c r="P117" s="90"/>
      <c r="Q117" s="65"/>
      <c r="R117" s="70"/>
      <c r="S117" s="70"/>
      <c r="T117" s="70"/>
      <c r="U117" s="70"/>
      <c r="V117" s="70"/>
      <c r="W117" s="70"/>
      <c r="X117" s="70"/>
      <c r="Y117" s="70"/>
      <c r="Z117" s="70"/>
      <c r="AA117" s="70"/>
      <c r="AB117" s="70"/>
      <c r="AC117" s="70"/>
      <c r="AD117" s="70"/>
      <c r="AE117" s="70"/>
      <c r="AF117" s="70"/>
      <c r="AG117" s="70"/>
      <c r="AH117" s="70"/>
      <c r="AI117" s="70"/>
      <c r="AJ117" s="70"/>
      <c r="AK117" s="70"/>
      <c r="AL117" s="70"/>
      <c r="AM117" s="70"/>
      <c r="AN117" s="70"/>
      <c r="AO117" s="70"/>
      <c r="AP117" s="70"/>
      <c r="AQ117" s="70"/>
      <c r="AR117" s="70"/>
      <c r="AS117" s="70"/>
      <c r="AT117" s="70"/>
      <c r="AU117" s="70"/>
      <c r="AV117" s="70"/>
      <c r="AW117" s="70"/>
      <c r="AX117" s="70"/>
      <c r="AY117" s="70"/>
      <c r="AZ117" s="70"/>
      <c r="BA117" s="70"/>
      <c r="BB117" s="70"/>
      <c r="BC117" s="70"/>
      <c r="BD117" s="70"/>
      <c r="BE117" s="70"/>
      <c r="BF117" s="70"/>
      <c r="BG117" s="70"/>
      <c r="BH117" s="70"/>
      <c r="BI117" s="70"/>
      <c r="BJ117" s="70"/>
      <c r="BK117" s="70"/>
      <c r="BL117" s="70"/>
      <c r="BM117" s="70"/>
      <c r="BN117" s="70"/>
      <c r="BO117" s="70"/>
      <c r="BP117" s="70"/>
      <c r="BQ117" s="70"/>
      <c r="BR117" s="70"/>
      <c r="BS117" s="70"/>
      <c r="BT117" s="70"/>
      <c r="BU117" s="70"/>
      <c r="BV117" s="70"/>
      <c r="BW117" s="70"/>
      <c r="BX117" s="70"/>
      <c r="BY117" s="70"/>
      <c r="BZ117" s="70"/>
      <c r="CA117" s="70"/>
      <c r="CB117" s="70"/>
      <c r="CC117" s="70"/>
      <c r="CD117" s="70"/>
      <c r="CE117" s="70"/>
      <c r="CF117" s="70"/>
      <c r="CG117" s="70"/>
      <c r="CH117" s="70"/>
      <c r="CI117" s="70"/>
      <c r="CJ117" s="70"/>
      <c r="CK117" s="70"/>
      <c r="CL117" s="70"/>
      <c r="CM117" s="70"/>
      <c r="CN117" s="70"/>
      <c r="CO117" s="70"/>
      <c r="CP117" s="70"/>
      <c r="CQ117" s="70"/>
      <c r="CR117" s="70"/>
      <c r="CS117" s="70"/>
      <c r="CT117" s="70"/>
      <c r="CU117" s="70"/>
      <c r="CV117" s="70"/>
      <c r="CW117" s="70"/>
      <c r="CX117" s="70"/>
      <c r="CY117" s="70"/>
      <c r="CZ117" s="70"/>
      <c r="DA117" s="70"/>
      <c r="DB117" s="70"/>
      <c r="DC117" s="70"/>
      <c r="DD117" s="70"/>
      <c r="DE117" s="70"/>
      <c r="DF117" s="70"/>
      <c r="DG117" s="70"/>
      <c r="DH117" s="70"/>
      <c r="DI117" s="70"/>
      <c r="DJ117" s="70"/>
      <c r="DK117" s="70"/>
      <c r="DL117" s="70"/>
      <c r="DM117" s="70"/>
      <c r="DN117" s="70"/>
      <c r="DO117" s="70"/>
      <c r="DP117" s="70"/>
      <c r="DQ117" s="70"/>
      <c r="DR117" s="70"/>
      <c r="DS117" s="70"/>
      <c r="DT117" s="70"/>
    </row>
    <row r="118" spans="1:124" ht="21.75" customHeight="1">
      <c r="A118" s="312"/>
      <c r="B118" s="229" t="s">
        <v>127</v>
      </c>
      <c r="C118" s="230"/>
      <c r="D118" s="231"/>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8"/>
      <c r="AQ118" s="68"/>
      <c r="AR118" s="68"/>
      <c r="AS118" s="69"/>
      <c r="AT118" s="69"/>
      <c r="AU118" s="69"/>
      <c r="AV118" s="69"/>
      <c r="AW118" s="69"/>
      <c r="AX118" s="69"/>
      <c r="AY118" s="69"/>
      <c r="AZ118" s="69"/>
      <c r="BA118" s="69"/>
      <c r="BB118" s="69"/>
      <c r="BC118" s="69"/>
      <c r="BD118" s="69"/>
      <c r="BE118" s="69"/>
      <c r="BF118" s="69"/>
      <c r="BG118" s="68"/>
      <c r="BH118" s="68"/>
      <c r="BI118" s="68"/>
      <c r="BJ118" s="68"/>
      <c r="BK118" s="68"/>
      <c r="BL118" s="68"/>
      <c r="BM118" s="68"/>
      <c r="BN118" s="68"/>
      <c r="BO118" s="68"/>
      <c r="BP118" s="68"/>
      <c r="BQ118" s="68"/>
      <c r="BR118" s="68"/>
      <c r="BS118" s="68"/>
      <c r="BT118" s="68"/>
      <c r="BU118" s="68"/>
      <c r="BV118" s="68"/>
      <c r="BW118" s="68"/>
      <c r="BX118" s="68"/>
      <c r="BY118" s="68"/>
      <c r="BZ118" s="68"/>
      <c r="CA118" s="68"/>
      <c r="CB118" s="68"/>
      <c r="CC118" s="68"/>
      <c r="CD118" s="68"/>
      <c r="CE118" s="68"/>
      <c r="CF118" s="68"/>
      <c r="CG118" s="68"/>
      <c r="CH118" s="68"/>
      <c r="CI118" s="68"/>
      <c r="CJ118" s="68"/>
      <c r="CK118" s="68"/>
      <c r="CL118" s="68"/>
      <c r="CM118" s="68"/>
      <c r="CN118" s="68"/>
      <c r="CO118" s="68"/>
      <c r="CP118" s="68"/>
      <c r="CQ118" s="68"/>
      <c r="CR118" s="68"/>
      <c r="CS118" s="68"/>
      <c r="CT118" s="68"/>
      <c r="CU118" s="68"/>
      <c r="CV118" s="68"/>
      <c r="CW118" s="68"/>
      <c r="CX118" s="68"/>
      <c r="CY118" s="68"/>
      <c r="CZ118" s="68"/>
      <c r="DA118" s="68"/>
      <c r="DB118" s="68"/>
      <c r="DC118" s="68"/>
      <c r="DD118" s="68"/>
      <c r="DE118" s="68"/>
      <c r="DF118" s="68"/>
      <c r="DG118" s="68"/>
      <c r="DH118" s="68"/>
      <c r="DI118" s="68"/>
      <c r="DJ118" s="68"/>
      <c r="DK118" s="68"/>
      <c r="DL118" s="68"/>
      <c r="DM118" s="68"/>
      <c r="DN118" s="68"/>
      <c r="DO118" s="68"/>
      <c r="DP118" s="68"/>
      <c r="DQ118" s="68"/>
      <c r="DR118" s="68"/>
      <c r="DS118" s="68"/>
      <c r="DT118" s="68"/>
    </row>
    <row r="119" spans="1:124" ht="21.75" customHeight="1">
      <c r="A119" s="312"/>
      <c r="B119" s="232"/>
      <c r="C119" s="233"/>
      <c r="D119" s="234"/>
      <c r="E119" s="70"/>
      <c r="F119" s="70"/>
      <c r="G119" s="70"/>
      <c r="H119" s="70"/>
      <c r="I119" s="70"/>
      <c r="J119" s="70"/>
      <c r="K119" s="70"/>
      <c r="L119" s="70"/>
      <c r="M119" s="70"/>
      <c r="N119" s="70"/>
      <c r="O119" s="70"/>
      <c r="P119" s="70"/>
      <c r="Q119" s="70"/>
      <c r="R119" s="70"/>
      <c r="S119" s="70"/>
      <c r="T119" s="70"/>
      <c r="U119" s="70"/>
      <c r="V119" s="70"/>
      <c r="W119" s="70"/>
      <c r="X119" s="70"/>
      <c r="Y119" s="70"/>
      <c r="Z119" s="70"/>
      <c r="AA119" s="70"/>
      <c r="AB119" s="70"/>
      <c r="AC119" s="70"/>
      <c r="AD119" s="70"/>
      <c r="AE119" s="70"/>
      <c r="AF119" s="70"/>
      <c r="AG119" s="70"/>
      <c r="AH119" s="70"/>
      <c r="AI119" s="70"/>
      <c r="AJ119" s="70"/>
      <c r="AK119" s="70"/>
      <c r="AL119" s="70"/>
      <c r="AM119" s="70"/>
      <c r="AN119" s="70"/>
      <c r="AO119" s="70"/>
      <c r="AP119" s="65"/>
      <c r="AQ119" s="65"/>
      <c r="AR119" s="65"/>
      <c r="AS119" s="70"/>
      <c r="AT119" s="70"/>
      <c r="AU119" s="70"/>
      <c r="AV119" s="70"/>
      <c r="AW119" s="70"/>
      <c r="AX119" s="70"/>
      <c r="AY119" s="70"/>
      <c r="AZ119" s="70"/>
      <c r="BA119" s="70"/>
      <c r="BB119" s="70"/>
      <c r="BC119" s="70"/>
      <c r="BD119" s="70"/>
      <c r="BE119" s="70"/>
      <c r="BF119" s="70"/>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c r="CD119" s="65"/>
      <c r="CE119" s="65"/>
      <c r="CF119" s="65"/>
      <c r="CG119" s="65"/>
      <c r="CH119" s="65"/>
      <c r="CI119" s="65"/>
      <c r="CJ119" s="65"/>
      <c r="CK119" s="65"/>
      <c r="CL119" s="65"/>
      <c r="CM119" s="65"/>
      <c r="CN119" s="65"/>
      <c r="CO119" s="65"/>
      <c r="CP119" s="65"/>
      <c r="CQ119" s="65"/>
      <c r="CR119" s="65"/>
      <c r="CS119" s="65"/>
      <c r="CT119" s="65"/>
      <c r="CU119" s="65"/>
      <c r="CV119" s="65"/>
      <c r="CW119" s="65"/>
      <c r="CX119" s="65"/>
      <c r="CY119" s="65"/>
      <c r="CZ119" s="65"/>
      <c r="DA119" s="65"/>
      <c r="DB119" s="65"/>
      <c r="DC119" s="65"/>
      <c r="DD119" s="65"/>
      <c r="DE119" s="65"/>
      <c r="DF119" s="65"/>
      <c r="DG119" s="65"/>
      <c r="DH119" s="65"/>
      <c r="DI119" s="65"/>
      <c r="DJ119" s="65"/>
      <c r="DK119" s="65"/>
      <c r="DL119" s="65"/>
      <c r="DM119" s="65"/>
      <c r="DN119" s="65"/>
      <c r="DO119" s="65"/>
      <c r="DP119" s="65"/>
      <c r="DQ119" s="65"/>
      <c r="DR119" s="65"/>
      <c r="DS119" s="65"/>
      <c r="DT119" s="65"/>
    </row>
    <row r="120" spans="1:124" ht="21.75" customHeight="1">
      <c r="A120" s="312"/>
      <c r="B120" s="229" t="s">
        <v>421</v>
      </c>
      <c r="C120" s="230"/>
      <c r="D120" s="231"/>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8"/>
      <c r="AH120" s="69"/>
      <c r="AI120" s="69"/>
      <c r="AJ120" s="69"/>
      <c r="AK120" s="69"/>
      <c r="AL120" s="69"/>
      <c r="AM120" s="69"/>
      <c r="AN120" s="68"/>
      <c r="AO120" s="68"/>
      <c r="AP120" s="68"/>
      <c r="AQ120" s="68"/>
      <c r="AR120" s="68"/>
      <c r="AS120" s="68"/>
      <c r="AT120" s="68"/>
      <c r="AU120" s="68"/>
      <c r="AV120" s="68"/>
      <c r="AW120" s="68"/>
      <c r="AX120" s="68"/>
      <c r="AY120" s="68"/>
      <c r="AZ120" s="68"/>
      <c r="BA120" s="68"/>
      <c r="BB120" s="68"/>
      <c r="BC120" s="68"/>
      <c r="BD120" s="68"/>
      <c r="BE120" s="68"/>
      <c r="BF120" s="68"/>
      <c r="BG120" s="68"/>
      <c r="BH120" s="68"/>
      <c r="BI120" s="68"/>
      <c r="BJ120" s="68"/>
      <c r="BK120" s="68"/>
      <c r="BL120" s="68"/>
      <c r="BM120" s="68"/>
      <c r="BN120" s="68"/>
      <c r="BO120" s="68"/>
      <c r="BP120" s="68"/>
      <c r="BQ120" s="68"/>
      <c r="BR120" s="68"/>
      <c r="BS120" s="68"/>
      <c r="BT120" s="68"/>
      <c r="BU120" s="68"/>
      <c r="BV120" s="68"/>
      <c r="BW120" s="68"/>
      <c r="BX120" s="68"/>
      <c r="BY120" s="68"/>
      <c r="BZ120" s="68"/>
      <c r="CA120" s="68"/>
      <c r="CB120" s="68"/>
      <c r="CC120" s="68"/>
      <c r="CD120" s="68"/>
      <c r="CE120" s="68"/>
      <c r="CF120" s="68"/>
      <c r="CG120" s="68"/>
      <c r="CH120" s="68"/>
      <c r="CI120" s="68"/>
      <c r="CJ120" s="68"/>
      <c r="CK120" s="68"/>
      <c r="CL120" s="68"/>
      <c r="CM120" s="68"/>
      <c r="CN120" s="68"/>
      <c r="CO120" s="68"/>
      <c r="CP120" s="68"/>
      <c r="CQ120" s="68"/>
      <c r="CR120" s="68"/>
      <c r="CS120" s="68"/>
      <c r="CT120" s="68"/>
      <c r="CU120" s="68"/>
      <c r="CV120" s="68"/>
      <c r="CW120" s="68"/>
      <c r="CX120" s="68"/>
      <c r="CY120" s="68"/>
      <c r="CZ120" s="68"/>
      <c r="DA120" s="68"/>
      <c r="DB120" s="68"/>
      <c r="DC120" s="68"/>
      <c r="DD120" s="68"/>
      <c r="DE120" s="68"/>
      <c r="DF120" s="68"/>
      <c r="DG120" s="68"/>
      <c r="DH120" s="68"/>
      <c r="DI120" s="68"/>
      <c r="DJ120" s="68"/>
      <c r="DK120" s="68"/>
      <c r="DL120" s="68"/>
      <c r="DM120" s="68"/>
      <c r="DN120" s="68"/>
      <c r="DO120" s="68"/>
      <c r="DP120" s="68"/>
      <c r="DQ120" s="68"/>
      <c r="DR120" s="68"/>
      <c r="DS120" s="68"/>
      <c r="DT120" s="68"/>
    </row>
    <row r="121" spans="1:124" ht="21.75" customHeight="1">
      <c r="A121" s="312"/>
      <c r="B121" s="232"/>
      <c r="C121" s="233"/>
      <c r="D121" s="234"/>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0"/>
      <c r="AC121" s="70"/>
      <c r="AD121" s="70"/>
      <c r="AE121" s="70"/>
      <c r="AF121" s="70"/>
      <c r="AG121" s="65"/>
      <c r="AH121" s="70"/>
      <c r="AI121" s="70"/>
      <c r="AJ121" s="70"/>
      <c r="AK121" s="70"/>
      <c r="AL121" s="70"/>
      <c r="AM121" s="70"/>
      <c r="AN121" s="65"/>
      <c r="AO121" s="65"/>
      <c r="AP121" s="65"/>
      <c r="AQ121" s="65"/>
      <c r="AR121" s="65"/>
      <c r="AS121" s="65"/>
      <c r="AT121" s="65"/>
      <c r="AU121" s="65"/>
      <c r="AV121" s="65"/>
      <c r="AW121" s="65"/>
      <c r="AX121" s="65"/>
      <c r="AY121" s="65"/>
      <c r="AZ121" s="65"/>
      <c r="BA121" s="65"/>
      <c r="BB121" s="65"/>
      <c r="BC121" s="65"/>
      <c r="BD121" s="65"/>
      <c r="BE121" s="65"/>
      <c r="BF121" s="65"/>
      <c r="BG121" s="65"/>
      <c r="BH121" s="65"/>
      <c r="BI121" s="65"/>
      <c r="BJ121" s="65"/>
      <c r="BK121" s="65"/>
      <c r="BL121" s="65"/>
      <c r="BM121" s="65"/>
      <c r="BN121" s="65"/>
      <c r="BO121" s="65"/>
      <c r="BP121" s="65"/>
      <c r="BQ121" s="65"/>
      <c r="BR121" s="65"/>
      <c r="BS121" s="65"/>
      <c r="BT121" s="65"/>
      <c r="BU121" s="65"/>
      <c r="BV121" s="65"/>
      <c r="BW121" s="65"/>
      <c r="BX121" s="65"/>
      <c r="BY121" s="65"/>
      <c r="BZ121" s="65"/>
      <c r="CA121" s="65"/>
      <c r="CB121" s="65"/>
      <c r="CC121" s="65"/>
      <c r="CD121" s="65"/>
      <c r="CE121" s="65"/>
      <c r="CF121" s="65"/>
      <c r="CG121" s="65"/>
      <c r="CH121" s="65"/>
      <c r="CI121" s="65"/>
      <c r="CJ121" s="65"/>
      <c r="CK121" s="65"/>
      <c r="CL121" s="65"/>
      <c r="CM121" s="65"/>
      <c r="CN121" s="65"/>
      <c r="CO121" s="65"/>
      <c r="CP121" s="65"/>
      <c r="CQ121" s="65"/>
      <c r="CR121" s="65"/>
      <c r="CS121" s="65"/>
      <c r="CT121" s="65"/>
      <c r="CU121" s="65"/>
      <c r="CV121" s="65"/>
      <c r="CW121" s="65"/>
      <c r="CX121" s="65"/>
      <c r="CY121" s="65"/>
      <c r="CZ121" s="65"/>
      <c r="DA121" s="65"/>
      <c r="DB121" s="65"/>
      <c r="DC121" s="65"/>
      <c r="DD121" s="65"/>
      <c r="DE121" s="65"/>
      <c r="DF121" s="65"/>
      <c r="DG121" s="65"/>
      <c r="DH121" s="65"/>
      <c r="DI121" s="65"/>
      <c r="DJ121" s="65"/>
      <c r="DK121" s="65"/>
      <c r="DL121" s="65"/>
      <c r="DM121" s="65"/>
      <c r="DN121" s="65"/>
      <c r="DO121" s="65"/>
      <c r="DP121" s="65"/>
      <c r="DQ121" s="65"/>
      <c r="DR121" s="65"/>
      <c r="DS121" s="65"/>
      <c r="DT121" s="65"/>
    </row>
    <row r="122" spans="1:124" ht="21.75" customHeight="1" thickBot="1">
      <c r="A122" s="312"/>
      <c r="B122" s="97"/>
      <c r="C122" s="98"/>
      <c r="D122" s="99"/>
      <c r="E122" s="98"/>
      <c r="F122" s="98"/>
      <c r="G122" s="98"/>
      <c r="H122" s="98"/>
      <c r="I122" s="98"/>
      <c r="J122" s="98"/>
      <c r="K122" s="98"/>
      <c r="L122" s="98"/>
      <c r="M122" s="98"/>
      <c r="N122" s="98"/>
      <c r="O122" s="98"/>
      <c r="P122" s="98"/>
      <c r="Q122" s="98"/>
      <c r="R122" s="98"/>
      <c r="S122" s="98"/>
      <c r="T122" s="98"/>
      <c r="U122" s="98"/>
      <c r="V122" s="98"/>
      <c r="W122" s="98"/>
      <c r="X122" s="98"/>
      <c r="AF122" s="98"/>
      <c r="AG122" s="98"/>
      <c r="AH122" s="98"/>
      <c r="AI122" s="98"/>
      <c r="AJ122" s="98"/>
      <c r="AK122" s="98"/>
      <c r="AL122" s="98"/>
      <c r="AM122" s="98"/>
      <c r="AN122" s="98"/>
      <c r="AO122" s="98"/>
      <c r="AP122" s="98"/>
      <c r="AQ122" s="98"/>
      <c r="AR122" s="98"/>
      <c r="AS122" s="98"/>
      <c r="AT122" s="98"/>
      <c r="AU122" s="98"/>
      <c r="AV122" s="98"/>
      <c r="AW122" s="98"/>
      <c r="AX122" s="98"/>
      <c r="AY122" s="98"/>
      <c r="AZ122" s="98"/>
      <c r="BA122" s="98"/>
      <c r="BB122" s="98"/>
      <c r="BC122" s="98"/>
      <c r="BD122" s="98"/>
      <c r="BE122" s="98"/>
      <c r="BF122" s="98"/>
      <c r="BG122" s="98"/>
      <c r="BH122" s="98"/>
      <c r="BI122" s="98"/>
      <c r="BJ122" s="98"/>
      <c r="BK122" s="98"/>
      <c r="BL122" s="98"/>
      <c r="BM122" s="98"/>
      <c r="BN122" s="98"/>
      <c r="BO122" s="98"/>
      <c r="BP122" s="98"/>
      <c r="BQ122" s="98"/>
      <c r="BR122" s="98"/>
      <c r="BS122" s="98"/>
      <c r="BT122" s="98"/>
      <c r="BU122" s="98"/>
      <c r="BV122" s="98"/>
      <c r="BW122" s="98"/>
      <c r="BX122" s="98"/>
      <c r="BY122" s="98"/>
      <c r="BZ122" s="98"/>
      <c r="CA122" s="98"/>
      <c r="CB122" s="98"/>
      <c r="CC122" s="98"/>
      <c r="CD122" s="98"/>
      <c r="CE122" s="98"/>
      <c r="CF122" s="98"/>
      <c r="CG122" s="98"/>
      <c r="CH122" s="98"/>
      <c r="CI122" s="98"/>
      <c r="CJ122" s="98"/>
      <c r="CK122" s="98"/>
      <c r="CL122" s="98"/>
      <c r="CM122" s="98"/>
      <c r="CN122" s="98"/>
      <c r="CO122" s="98"/>
      <c r="CP122" s="98"/>
      <c r="CQ122" s="98"/>
      <c r="CR122" s="98"/>
      <c r="CS122" s="98"/>
      <c r="CT122" s="98"/>
      <c r="CU122" s="98"/>
      <c r="CV122" s="98"/>
      <c r="CW122" s="98"/>
      <c r="CX122" s="98"/>
      <c r="CY122" s="98"/>
      <c r="CZ122" s="98"/>
      <c r="DA122" s="98"/>
      <c r="DB122" s="98"/>
      <c r="DC122" s="98"/>
      <c r="DD122" s="98"/>
      <c r="DE122" s="98"/>
      <c r="DF122" s="98"/>
      <c r="DG122" s="98"/>
      <c r="DH122" s="98"/>
      <c r="DI122" s="98"/>
      <c r="DJ122" s="98"/>
      <c r="DK122" s="98"/>
      <c r="DL122" s="98"/>
      <c r="DM122" s="98"/>
      <c r="DN122" s="98"/>
      <c r="DO122" s="98"/>
      <c r="DP122" s="98"/>
      <c r="DQ122" s="98"/>
      <c r="DR122" s="98"/>
      <c r="DS122" s="98"/>
      <c r="DT122" s="98"/>
    </row>
    <row r="123" spans="1:124" ht="21.75" customHeight="1">
      <c r="A123" s="311"/>
      <c r="B123" s="176" t="s">
        <v>449</v>
      </c>
      <c r="C123" s="177"/>
      <c r="D123" s="178"/>
      <c r="E123" s="182"/>
      <c r="F123" s="188">
        <v>41000</v>
      </c>
      <c r="G123" s="188">
        <v>41030</v>
      </c>
      <c r="H123" s="188">
        <v>41061</v>
      </c>
      <c r="I123" s="188">
        <v>41365</v>
      </c>
      <c r="J123" s="182">
        <v>41491</v>
      </c>
      <c r="K123" s="182">
        <v>41512</v>
      </c>
      <c r="L123" s="182">
        <v>41603</v>
      </c>
      <c r="M123" s="182">
        <v>41606</v>
      </c>
      <c r="N123" s="182">
        <v>41625</v>
      </c>
      <c r="O123" s="182">
        <v>41627</v>
      </c>
      <c r="P123" s="182">
        <v>41629</v>
      </c>
      <c r="Q123" s="182">
        <v>41632</v>
      </c>
      <c r="R123" s="182">
        <v>41636</v>
      </c>
      <c r="S123" s="182">
        <v>41646</v>
      </c>
      <c r="T123" s="182">
        <v>41648</v>
      </c>
      <c r="U123" s="182">
        <v>41650</v>
      </c>
      <c r="V123" s="182">
        <v>41664</v>
      </c>
      <c r="W123" s="182">
        <v>41667</v>
      </c>
      <c r="X123" s="182">
        <v>41743</v>
      </c>
      <c r="Y123" s="185">
        <v>41747</v>
      </c>
      <c r="Z123" s="185">
        <v>41748</v>
      </c>
      <c r="AA123" s="185">
        <v>41750</v>
      </c>
      <c r="AB123" s="185">
        <v>41752</v>
      </c>
      <c r="AC123" s="185">
        <v>41754</v>
      </c>
      <c r="AD123" s="182">
        <v>41757</v>
      </c>
      <c r="AE123" s="185">
        <v>41761</v>
      </c>
      <c r="AF123" s="185">
        <v>41764</v>
      </c>
      <c r="AG123" s="185"/>
      <c r="AH123" s="185">
        <v>41768</v>
      </c>
      <c r="AI123" s="185">
        <v>41771</v>
      </c>
      <c r="AJ123" s="185">
        <v>41773</v>
      </c>
      <c r="AK123" s="185">
        <v>41775</v>
      </c>
      <c r="AL123" s="185">
        <v>41778</v>
      </c>
      <c r="AM123" s="185">
        <v>41780</v>
      </c>
      <c r="AN123" s="185">
        <v>41782</v>
      </c>
      <c r="AO123" s="185">
        <v>41785</v>
      </c>
      <c r="AP123" s="186">
        <v>41971</v>
      </c>
      <c r="AQ123" s="186">
        <v>41971</v>
      </c>
      <c r="AR123" s="186">
        <v>41971</v>
      </c>
      <c r="AS123" s="182">
        <v>41876</v>
      </c>
      <c r="AT123" s="182">
        <v>41878</v>
      </c>
      <c r="AU123" s="182">
        <v>41880</v>
      </c>
      <c r="AV123" s="182">
        <v>41883</v>
      </c>
      <c r="AW123" s="182">
        <v>41885</v>
      </c>
      <c r="AX123" s="182">
        <v>41887</v>
      </c>
      <c r="AY123" s="194">
        <v>41890</v>
      </c>
      <c r="AZ123" s="185">
        <v>41892</v>
      </c>
      <c r="BA123" s="185">
        <v>41894</v>
      </c>
      <c r="BB123" s="186">
        <v>41897</v>
      </c>
      <c r="BC123" s="186">
        <v>41899</v>
      </c>
      <c r="BD123" s="186">
        <v>41901</v>
      </c>
      <c r="BE123" s="186">
        <v>41904</v>
      </c>
      <c r="BF123" s="186">
        <v>41906</v>
      </c>
      <c r="BG123" s="186">
        <v>41908</v>
      </c>
      <c r="BH123" s="186">
        <v>41911</v>
      </c>
      <c r="BI123" s="186">
        <v>41913</v>
      </c>
      <c r="BJ123" s="186">
        <v>41915</v>
      </c>
      <c r="BK123" s="186">
        <v>41918</v>
      </c>
      <c r="BL123" s="186">
        <v>41920</v>
      </c>
      <c r="BM123" s="186">
        <v>41922</v>
      </c>
      <c r="BN123" s="186">
        <v>41925</v>
      </c>
      <c r="BO123" s="186">
        <v>41927</v>
      </c>
      <c r="BP123" s="186">
        <v>41929</v>
      </c>
      <c r="BQ123" s="186">
        <v>41932</v>
      </c>
      <c r="BR123" s="186">
        <v>41934</v>
      </c>
      <c r="BS123" s="186">
        <v>41936</v>
      </c>
      <c r="BT123" s="186">
        <v>41939</v>
      </c>
      <c r="BU123" s="186">
        <v>41941</v>
      </c>
      <c r="BV123" s="186">
        <v>41943</v>
      </c>
      <c r="BW123" s="186">
        <v>41946</v>
      </c>
      <c r="BX123" s="186">
        <v>41948</v>
      </c>
      <c r="BY123" s="186">
        <v>41950</v>
      </c>
      <c r="BZ123" s="186">
        <v>41953</v>
      </c>
      <c r="CA123" s="186">
        <v>41955</v>
      </c>
      <c r="CB123" s="186">
        <v>41957</v>
      </c>
      <c r="CC123" s="186">
        <v>41960</v>
      </c>
      <c r="CD123" s="186">
        <v>41962</v>
      </c>
      <c r="CE123" s="186">
        <v>41964</v>
      </c>
      <c r="CF123" s="186">
        <v>41967</v>
      </c>
      <c r="CG123" s="186">
        <v>41969</v>
      </c>
      <c r="CH123" s="186">
        <v>41971</v>
      </c>
      <c r="CI123" s="186">
        <v>41971</v>
      </c>
      <c r="CJ123" s="186">
        <v>41971</v>
      </c>
      <c r="CK123" s="186">
        <v>41971</v>
      </c>
      <c r="CL123" s="186">
        <v>41971</v>
      </c>
      <c r="CM123" s="186">
        <v>41971</v>
      </c>
      <c r="CN123" s="186">
        <v>41971</v>
      </c>
      <c r="CO123" s="186">
        <v>41971</v>
      </c>
      <c r="CP123" s="186">
        <v>41971</v>
      </c>
      <c r="CQ123" s="186">
        <v>41971</v>
      </c>
      <c r="CR123" s="186">
        <v>41971</v>
      </c>
      <c r="CS123" s="186">
        <v>41971</v>
      </c>
      <c r="CT123" s="186">
        <v>41971</v>
      </c>
      <c r="CU123" s="186">
        <v>41971</v>
      </c>
      <c r="CV123" s="186">
        <v>41971</v>
      </c>
      <c r="CW123" s="186">
        <v>41971</v>
      </c>
      <c r="CX123" s="186">
        <v>41971</v>
      </c>
      <c r="CY123" s="186">
        <v>41971</v>
      </c>
      <c r="CZ123" s="186">
        <v>41971</v>
      </c>
      <c r="DA123" s="186">
        <v>41971</v>
      </c>
      <c r="DB123" s="186">
        <v>41971</v>
      </c>
      <c r="DC123" s="186">
        <v>41971</v>
      </c>
      <c r="DD123" s="186">
        <v>41971</v>
      </c>
      <c r="DE123" s="186">
        <v>41971</v>
      </c>
      <c r="DF123" s="186">
        <v>41971</v>
      </c>
      <c r="DG123" s="186">
        <v>41971</v>
      </c>
      <c r="DH123" s="186">
        <v>41971</v>
      </c>
      <c r="DI123" s="186">
        <v>41971</v>
      </c>
      <c r="DJ123" s="186">
        <v>41971</v>
      </c>
      <c r="DK123" s="186">
        <v>41971</v>
      </c>
      <c r="DL123" s="186">
        <v>41971</v>
      </c>
      <c r="DM123" s="186">
        <v>41971</v>
      </c>
      <c r="DN123" s="186">
        <v>41971</v>
      </c>
      <c r="DO123" s="186">
        <v>41971</v>
      </c>
      <c r="DP123" s="186">
        <v>41971</v>
      </c>
      <c r="DQ123" s="186">
        <v>41971</v>
      </c>
      <c r="DR123" s="186">
        <v>41971</v>
      </c>
      <c r="DS123" s="186">
        <v>41971</v>
      </c>
      <c r="DT123" s="186">
        <v>41971</v>
      </c>
    </row>
    <row r="124" spans="1:124" ht="21.75" customHeight="1">
      <c r="A124" s="311"/>
      <c r="B124" s="179"/>
      <c r="C124" s="180"/>
      <c r="D124" s="181"/>
      <c r="E124" s="183"/>
      <c r="F124" s="189"/>
      <c r="G124" s="189"/>
      <c r="H124" s="189"/>
      <c r="I124" s="189"/>
      <c r="J124" s="183"/>
      <c r="K124" s="183"/>
      <c r="L124" s="183"/>
      <c r="M124" s="183"/>
      <c r="N124" s="183"/>
      <c r="O124" s="183"/>
      <c r="P124" s="183"/>
      <c r="Q124" s="183"/>
      <c r="R124" s="183"/>
      <c r="S124" s="183"/>
      <c r="T124" s="183"/>
      <c r="U124" s="183"/>
      <c r="V124" s="183"/>
      <c r="W124" s="183"/>
      <c r="X124" s="183"/>
      <c r="Y124" s="186"/>
      <c r="Z124" s="186"/>
      <c r="AA124" s="186"/>
      <c r="AB124" s="186"/>
      <c r="AC124" s="186"/>
      <c r="AD124" s="183"/>
      <c r="AE124" s="186"/>
      <c r="AF124" s="186"/>
      <c r="AG124" s="186"/>
      <c r="AH124" s="186"/>
      <c r="AI124" s="186"/>
      <c r="AJ124" s="186"/>
      <c r="AK124" s="186"/>
      <c r="AL124" s="186"/>
      <c r="AM124" s="186"/>
      <c r="AN124" s="186"/>
      <c r="AO124" s="186"/>
      <c r="AP124" s="186"/>
      <c r="AQ124" s="186"/>
      <c r="AR124" s="186"/>
      <c r="AS124" s="183"/>
      <c r="AT124" s="183"/>
      <c r="AU124" s="183"/>
      <c r="AV124" s="183"/>
      <c r="AW124" s="183"/>
      <c r="AX124" s="183"/>
      <c r="AY124" s="195"/>
      <c r="AZ124" s="186"/>
      <c r="BA124" s="186"/>
      <c r="BB124" s="186"/>
      <c r="BC124" s="186"/>
      <c r="BD124" s="186"/>
      <c r="BE124" s="186"/>
      <c r="BF124" s="186"/>
      <c r="BG124" s="186"/>
      <c r="BH124" s="186"/>
      <c r="BI124" s="186"/>
      <c r="BJ124" s="186"/>
      <c r="BK124" s="186"/>
      <c r="BL124" s="186"/>
      <c r="BM124" s="186"/>
      <c r="BN124" s="186"/>
      <c r="BO124" s="186"/>
      <c r="BP124" s="186"/>
      <c r="BQ124" s="186"/>
      <c r="BR124" s="186"/>
      <c r="BS124" s="186"/>
      <c r="BT124" s="186"/>
      <c r="BU124" s="186"/>
      <c r="BV124" s="186"/>
      <c r="BW124" s="186"/>
      <c r="BX124" s="186"/>
      <c r="BY124" s="186"/>
      <c r="BZ124" s="186"/>
      <c r="CA124" s="186"/>
      <c r="CB124" s="186"/>
      <c r="CC124" s="186"/>
      <c r="CD124" s="186"/>
      <c r="CE124" s="186"/>
      <c r="CF124" s="186"/>
      <c r="CG124" s="186"/>
      <c r="CH124" s="186"/>
      <c r="CI124" s="186"/>
      <c r="CJ124" s="186"/>
      <c r="CK124" s="186"/>
      <c r="CL124" s="186"/>
      <c r="CM124" s="186"/>
      <c r="CN124" s="186"/>
      <c r="CO124" s="186"/>
      <c r="CP124" s="186"/>
      <c r="CQ124" s="186"/>
      <c r="CR124" s="186"/>
      <c r="CS124" s="186"/>
      <c r="CT124" s="186"/>
      <c r="CU124" s="186"/>
      <c r="CV124" s="186"/>
      <c r="CW124" s="186"/>
      <c r="CX124" s="186"/>
      <c r="CY124" s="186"/>
      <c r="CZ124" s="186"/>
      <c r="DA124" s="186"/>
      <c r="DB124" s="186"/>
      <c r="DC124" s="186"/>
      <c r="DD124" s="186"/>
      <c r="DE124" s="186"/>
      <c r="DF124" s="186"/>
      <c r="DG124" s="186"/>
      <c r="DH124" s="186"/>
      <c r="DI124" s="186"/>
      <c r="DJ124" s="186"/>
      <c r="DK124" s="186"/>
      <c r="DL124" s="186"/>
      <c r="DM124" s="186"/>
      <c r="DN124" s="186"/>
      <c r="DO124" s="186"/>
      <c r="DP124" s="186"/>
      <c r="DQ124" s="186"/>
      <c r="DR124" s="186"/>
      <c r="DS124" s="186"/>
      <c r="DT124" s="186"/>
    </row>
    <row r="125" spans="1:124" ht="21.75" customHeight="1">
      <c r="A125" s="311"/>
      <c r="B125" s="179"/>
      <c r="C125" s="180"/>
      <c r="D125" s="181"/>
      <c r="E125" s="183"/>
      <c r="F125" s="189"/>
      <c r="G125" s="189"/>
      <c r="H125" s="189"/>
      <c r="I125" s="189"/>
      <c r="J125" s="183"/>
      <c r="K125" s="183"/>
      <c r="L125" s="183"/>
      <c r="M125" s="183"/>
      <c r="N125" s="183"/>
      <c r="O125" s="183"/>
      <c r="P125" s="183"/>
      <c r="Q125" s="183"/>
      <c r="R125" s="183"/>
      <c r="S125" s="183"/>
      <c r="T125" s="183"/>
      <c r="U125" s="183"/>
      <c r="V125" s="183"/>
      <c r="W125" s="183"/>
      <c r="X125" s="183"/>
      <c r="Y125" s="186"/>
      <c r="Z125" s="186"/>
      <c r="AA125" s="186"/>
      <c r="AB125" s="186"/>
      <c r="AC125" s="186"/>
      <c r="AD125" s="183"/>
      <c r="AE125" s="186"/>
      <c r="AF125" s="186"/>
      <c r="AG125" s="186"/>
      <c r="AH125" s="186"/>
      <c r="AI125" s="186"/>
      <c r="AJ125" s="186"/>
      <c r="AK125" s="186"/>
      <c r="AL125" s="186"/>
      <c r="AM125" s="186"/>
      <c r="AN125" s="186"/>
      <c r="AO125" s="186"/>
      <c r="AP125" s="186"/>
      <c r="AQ125" s="186"/>
      <c r="AR125" s="186"/>
      <c r="AS125" s="183"/>
      <c r="AT125" s="183"/>
      <c r="AU125" s="183"/>
      <c r="AV125" s="183"/>
      <c r="AW125" s="183"/>
      <c r="AX125" s="183"/>
      <c r="AY125" s="195"/>
      <c r="AZ125" s="186"/>
      <c r="BA125" s="186"/>
      <c r="BB125" s="186"/>
      <c r="BC125" s="186"/>
      <c r="BD125" s="186"/>
      <c r="BE125" s="186"/>
      <c r="BF125" s="186"/>
      <c r="BG125" s="186"/>
      <c r="BH125" s="186"/>
      <c r="BI125" s="186"/>
      <c r="BJ125" s="186"/>
      <c r="BK125" s="186"/>
      <c r="BL125" s="186"/>
      <c r="BM125" s="186"/>
      <c r="BN125" s="186"/>
      <c r="BO125" s="186"/>
      <c r="BP125" s="186"/>
      <c r="BQ125" s="186"/>
      <c r="BR125" s="186"/>
      <c r="BS125" s="186"/>
      <c r="BT125" s="186"/>
      <c r="BU125" s="186"/>
      <c r="BV125" s="186"/>
      <c r="BW125" s="186"/>
      <c r="BX125" s="186"/>
      <c r="BY125" s="186"/>
      <c r="BZ125" s="186"/>
      <c r="CA125" s="186"/>
      <c r="CB125" s="186"/>
      <c r="CC125" s="186"/>
      <c r="CD125" s="186"/>
      <c r="CE125" s="186"/>
      <c r="CF125" s="186"/>
      <c r="CG125" s="186"/>
      <c r="CH125" s="186"/>
      <c r="CI125" s="186"/>
      <c r="CJ125" s="186"/>
      <c r="CK125" s="186"/>
      <c r="CL125" s="186"/>
      <c r="CM125" s="186"/>
      <c r="CN125" s="186"/>
      <c r="CO125" s="186"/>
      <c r="CP125" s="186"/>
      <c r="CQ125" s="186"/>
      <c r="CR125" s="186"/>
      <c r="CS125" s="186"/>
      <c r="CT125" s="186"/>
      <c r="CU125" s="186"/>
      <c r="CV125" s="186"/>
      <c r="CW125" s="186"/>
      <c r="CX125" s="186"/>
      <c r="CY125" s="186"/>
      <c r="CZ125" s="186"/>
      <c r="DA125" s="186"/>
      <c r="DB125" s="186"/>
      <c r="DC125" s="186"/>
      <c r="DD125" s="186"/>
      <c r="DE125" s="186"/>
      <c r="DF125" s="186"/>
      <c r="DG125" s="186"/>
      <c r="DH125" s="186"/>
      <c r="DI125" s="186"/>
      <c r="DJ125" s="186"/>
      <c r="DK125" s="186"/>
      <c r="DL125" s="186"/>
      <c r="DM125" s="186"/>
      <c r="DN125" s="186"/>
      <c r="DO125" s="186"/>
      <c r="DP125" s="186"/>
      <c r="DQ125" s="186"/>
      <c r="DR125" s="186"/>
      <c r="DS125" s="186"/>
      <c r="DT125" s="186"/>
    </row>
    <row r="126" spans="1:124" ht="21.75" customHeight="1">
      <c r="A126" s="311"/>
      <c r="B126" s="179"/>
      <c r="C126" s="180"/>
      <c r="D126" s="181"/>
      <c r="E126" s="183"/>
      <c r="F126" s="189"/>
      <c r="G126" s="189"/>
      <c r="H126" s="189"/>
      <c r="I126" s="189"/>
      <c r="J126" s="183"/>
      <c r="K126" s="183"/>
      <c r="L126" s="183"/>
      <c r="M126" s="183"/>
      <c r="N126" s="183"/>
      <c r="O126" s="183"/>
      <c r="P126" s="183"/>
      <c r="Q126" s="183"/>
      <c r="R126" s="183"/>
      <c r="S126" s="183"/>
      <c r="T126" s="183"/>
      <c r="U126" s="183"/>
      <c r="V126" s="183"/>
      <c r="W126" s="183"/>
      <c r="X126" s="183"/>
      <c r="Y126" s="186"/>
      <c r="Z126" s="186"/>
      <c r="AA126" s="186"/>
      <c r="AB126" s="186"/>
      <c r="AC126" s="186"/>
      <c r="AD126" s="183"/>
      <c r="AE126" s="186"/>
      <c r="AF126" s="186"/>
      <c r="AG126" s="186"/>
      <c r="AH126" s="186"/>
      <c r="AI126" s="186"/>
      <c r="AJ126" s="186"/>
      <c r="AK126" s="186"/>
      <c r="AL126" s="186"/>
      <c r="AM126" s="186"/>
      <c r="AN126" s="186"/>
      <c r="AO126" s="186"/>
      <c r="AP126" s="186"/>
      <c r="AQ126" s="186"/>
      <c r="AR126" s="186"/>
      <c r="AS126" s="183"/>
      <c r="AT126" s="183"/>
      <c r="AU126" s="183"/>
      <c r="AV126" s="183"/>
      <c r="AW126" s="183"/>
      <c r="AX126" s="183"/>
      <c r="AY126" s="195"/>
      <c r="AZ126" s="186"/>
      <c r="BA126" s="186"/>
      <c r="BB126" s="186"/>
      <c r="BC126" s="186"/>
      <c r="BD126" s="186"/>
      <c r="BE126" s="186"/>
      <c r="BF126" s="186"/>
      <c r="BG126" s="186"/>
      <c r="BH126" s="186"/>
      <c r="BI126" s="186"/>
      <c r="BJ126" s="186"/>
      <c r="BK126" s="186"/>
      <c r="BL126" s="186"/>
      <c r="BM126" s="186"/>
      <c r="BN126" s="186"/>
      <c r="BO126" s="186"/>
      <c r="BP126" s="186"/>
      <c r="BQ126" s="186"/>
      <c r="BR126" s="186"/>
      <c r="BS126" s="186"/>
      <c r="BT126" s="186"/>
      <c r="BU126" s="186"/>
      <c r="BV126" s="186"/>
      <c r="BW126" s="186"/>
      <c r="BX126" s="186"/>
      <c r="BY126" s="186"/>
      <c r="BZ126" s="186"/>
      <c r="CA126" s="186"/>
      <c r="CB126" s="186"/>
      <c r="CC126" s="186"/>
      <c r="CD126" s="186"/>
      <c r="CE126" s="186"/>
      <c r="CF126" s="186"/>
      <c r="CG126" s="186"/>
      <c r="CH126" s="186"/>
      <c r="CI126" s="186"/>
      <c r="CJ126" s="186"/>
      <c r="CK126" s="186"/>
      <c r="CL126" s="186"/>
      <c r="CM126" s="186"/>
      <c r="CN126" s="186"/>
      <c r="CO126" s="186"/>
      <c r="CP126" s="186"/>
      <c r="CQ126" s="186"/>
      <c r="CR126" s="186"/>
      <c r="CS126" s="186"/>
      <c r="CT126" s="186"/>
      <c r="CU126" s="186"/>
      <c r="CV126" s="186"/>
      <c r="CW126" s="186"/>
      <c r="CX126" s="186"/>
      <c r="CY126" s="186"/>
      <c r="CZ126" s="186"/>
      <c r="DA126" s="186"/>
      <c r="DB126" s="186"/>
      <c r="DC126" s="186"/>
      <c r="DD126" s="186"/>
      <c r="DE126" s="186"/>
      <c r="DF126" s="186"/>
      <c r="DG126" s="186"/>
      <c r="DH126" s="186"/>
      <c r="DI126" s="186"/>
      <c r="DJ126" s="186"/>
      <c r="DK126" s="186"/>
      <c r="DL126" s="186"/>
      <c r="DM126" s="186"/>
      <c r="DN126" s="186"/>
      <c r="DO126" s="186"/>
      <c r="DP126" s="186"/>
      <c r="DQ126" s="186"/>
      <c r="DR126" s="186"/>
      <c r="DS126" s="186"/>
      <c r="DT126" s="186"/>
    </row>
    <row r="127" spans="1:124" ht="21.75" customHeight="1">
      <c r="A127" s="311"/>
      <c r="B127" s="199" t="s">
        <v>365</v>
      </c>
      <c r="C127" s="200"/>
      <c r="D127" s="201"/>
      <c r="E127" s="183"/>
      <c r="F127" s="189"/>
      <c r="G127" s="189"/>
      <c r="H127" s="189"/>
      <c r="I127" s="189"/>
      <c r="J127" s="183"/>
      <c r="K127" s="183"/>
      <c r="L127" s="183"/>
      <c r="M127" s="183"/>
      <c r="N127" s="183"/>
      <c r="O127" s="183"/>
      <c r="P127" s="183"/>
      <c r="Q127" s="183"/>
      <c r="R127" s="183"/>
      <c r="S127" s="183"/>
      <c r="T127" s="183"/>
      <c r="U127" s="183"/>
      <c r="V127" s="183"/>
      <c r="W127" s="183"/>
      <c r="X127" s="183"/>
      <c r="Y127" s="186"/>
      <c r="Z127" s="186"/>
      <c r="AA127" s="186"/>
      <c r="AB127" s="186"/>
      <c r="AC127" s="186"/>
      <c r="AD127" s="183"/>
      <c r="AE127" s="186"/>
      <c r="AF127" s="186"/>
      <c r="AG127" s="186"/>
      <c r="AH127" s="186"/>
      <c r="AI127" s="186"/>
      <c r="AJ127" s="186"/>
      <c r="AK127" s="186"/>
      <c r="AL127" s="186"/>
      <c r="AM127" s="186"/>
      <c r="AN127" s="186"/>
      <c r="AO127" s="186"/>
      <c r="AP127" s="186"/>
      <c r="AQ127" s="186"/>
      <c r="AR127" s="186"/>
      <c r="AS127" s="183"/>
      <c r="AT127" s="183"/>
      <c r="AU127" s="183"/>
      <c r="AV127" s="183"/>
      <c r="AW127" s="183"/>
      <c r="AX127" s="183"/>
      <c r="AY127" s="195"/>
      <c r="AZ127" s="186"/>
      <c r="BA127" s="186"/>
      <c r="BB127" s="186"/>
      <c r="BC127" s="186"/>
      <c r="BD127" s="186"/>
      <c r="BE127" s="186"/>
      <c r="BF127" s="186"/>
      <c r="BG127" s="186"/>
      <c r="BH127" s="186"/>
      <c r="BI127" s="186"/>
      <c r="BJ127" s="186"/>
      <c r="BK127" s="186"/>
      <c r="BL127" s="186"/>
      <c r="BM127" s="186"/>
      <c r="BN127" s="186"/>
      <c r="BO127" s="186"/>
      <c r="BP127" s="186"/>
      <c r="BQ127" s="186"/>
      <c r="BR127" s="186"/>
      <c r="BS127" s="186"/>
      <c r="BT127" s="186"/>
      <c r="BU127" s="186"/>
      <c r="BV127" s="186"/>
      <c r="BW127" s="186"/>
      <c r="BX127" s="186"/>
      <c r="BY127" s="186"/>
      <c r="BZ127" s="186"/>
      <c r="CA127" s="186"/>
      <c r="CB127" s="186"/>
      <c r="CC127" s="186"/>
      <c r="CD127" s="186"/>
      <c r="CE127" s="186"/>
      <c r="CF127" s="186"/>
      <c r="CG127" s="186"/>
      <c r="CH127" s="186"/>
      <c r="CI127" s="186"/>
      <c r="CJ127" s="186"/>
      <c r="CK127" s="186"/>
      <c r="CL127" s="186"/>
      <c r="CM127" s="186"/>
      <c r="CN127" s="186"/>
      <c r="CO127" s="186"/>
      <c r="CP127" s="186"/>
      <c r="CQ127" s="186"/>
      <c r="CR127" s="186"/>
      <c r="CS127" s="186"/>
      <c r="CT127" s="186"/>
      <c r="CU127" s="186"/>
      <c r="CV127" s="186"/>
      <c r="CW127" s="186"/>
      <c r="CX127" s="186"/>
      <c r="CY127" s="186"/>
      <c r="CZ127" s="186"/>
      <c r="DA127" s="186"/>
      <c r="DB127" s="186"/>
      <c r="DC127" s="186"/>
      <c r="DD127" s="186"/>
      <c r="DE127" s="186"/>
      <c r="DF127" s="186"/>
      <c r="DG127" s="186"/>
      <c r="DH127" s="186"/>
      <c r="DI127" s="186"/>
      <c r="DJ127" s="186"/>
      <c r="DK127" s="186"/>
      <c r="DL127" s="186"/>
      <c r="DM127" s="186"/>
      <c r="DN127" s="186"/>
      <c r="DO127" s="186"/>
      <c r="DP127" s="186"/>
      <c r="DQ127" s="186"/>
      <c r="DR127" s="186"/>
      <c r="DS127" s="186"/>
      <c r="DT127" s="186"/>
    </row>
    <row r="128" spans="1:124" ht="21.75" customHeight="1" thickBot="1">
      <c r="A128" s="311"/>
      <c r="B128" s="202"/>
      <c r="C128" s="203"/>
      <c r="D128" s="204"/>
      <c r="E128" s="184"/>
      <c r="F128" s="190"/>
      <c r="G128" s="190"/>
      <c r="H128" s="190"/>
      <c r="I128" s="190"/>
      <c r="J128" s="184"/>
      <c r="K128" s="184"/>
      <c r="L128" s="184"/>
      <c r="M128" s="184"/>
      <c r="N128" s="184"/>
      <c r="O128" s="184"/>
      <c r="P128" s="184"/>
      <c r="Q128" s="184"/>
      <c r="R128" s="184"/>
      <c r="S128" s="184"/>
      <c r="T128" s="184"/>
      <c r="U128" s="184"/>
      <c r="V128" s="184"/>
      <c r="W128" s="184"/>
      <c r="X128" s="184"/>
      <c r="Y128" s="187"/>
      <c r="Z128" s="187"/>
      <c r="AA128" s="187"/>
      <c r="AB128" s="187"/>
      <c r="AC128" s="187"/>
      <c r="AD128" s="184"/>
      <c r="AE128" s="187"/>
      <c r="AF128" s="187"/>
      <c r="AG128" s="187"/>
      <c r="AH128" s="187"/>
      <c r="AI128" s="187"/>
      <c r="AJ128" s="187"/>
      <c r="AK128" s="187"/>
      <c r="AL128" s="187"/>
      <c r="AM128" s="187"/>
      <c r="AN128" s="187"/>
      <c r="AO128" s="187"/>
      <c r="AP128" s="186"/>
      <c r="AQ128" s="186"/>
      <c r="AR128" s="186"/>
      <c r="AS128" s="184"/>
      <c r="AT128" s="184"/>
      <c r="AU128" s="184"/>
      <c r="AV128" s="184"/>
      <c r="AW128" s="184"/>
      <c r="AX128" s="184"/>
      <c r="AY128" s="196"/>
      <c r="AZ128" s="187"/>
      <c r="BA128" s="187"/>
      <c r="BB128" s="186"/>
      <c r="BC128" s="186"/>
      <c r="BD128" s="186"/>
      <c r="BE128" s="186"/>
      <c r="BF128" s="186"/>
      <c r="BG128" s="186"/>
      <c r="BH128" s="186"/>
      <c r="BI128" s="186"/>
      <c r="BJ128" s="186"/>
      <c r="BK128" s="186"/>
      <c r="BL128" s="186"/>
      <c r="BM128" s="186"/>
      <c r="BN128" s="186"/>
      <c r="BO128" s="186"/>
      <c r="BP128" s="186"/>
      <c r="BQ128" s="186"/>
      <c r="BR128" s="186"/>
      <c r="BS128" s="186"/>
      <c r="BT128" s="186"/>
      <c r="BU128" s="186"/>
      <c r="BV128" s="186"/>
      <c r="BW128" s="186"/>
      <c r="BX128" s="186"/>
      <c r="BY128" s="186"/>
      <c r="BZ128" s="186"/>
      <c r="CA128" s="186"/>
      <c r="CB128" s="186"/>
      <c r="CC128" s="186"/>
      <c r="CD128" s="186"/>
      <c r="CE128" s="186"/>
      <c r="CF128" s="186"/>
      <c r="CG128" s="186"/>
      <c r="CH128" s="186"/>
      <c r="CI128" s="186"/>
      <c r="CJ128" s="186"/>
      <c r="CK128" s="186"/>
      <c r="CL128" s="186"/>
      <c r="CM128" s="186"/>
      <c r="CN128" s="186"/>
      <c r="CO128" s="186"/>
      <c r="CP128" s="186"/>
      <c r="CQ128" s="186"/>
      <c r="CR128" s="186"/>
      <c r="CS128" s="186"/>
      <c r="CT128" s="186"/>
      <c r="CU128" s="186"/>
      <c r="CV128" s="186"/>
      <c r="CW128" s="186"/>
      <c r="CX128" s="186"/>
      <c r="CY128" s="186"/>
      <c r="CZ128" s="186"/>
      <c r="DA128" s="186"/>
      <c r="DB128" s="186"/>
      <c r="DC128" s="186"/>
      <c r="DD128" s="186"/>
      <c r="DE128" s="186"/>
      <c r="DF128" s="186"/>
      <c r="DG128" s="186"/>
      <c r="DH128" s="186"/>
      <c r="DI128" s="186"/>
      <c r="DJ128" s="186"/>
      <c r="DK128" s="186"/>
      <c r="DL128" s="186"/>
      <c r="DM128" s="186"/>
      <c r="DN128" s="186"/>
      <c r="DO128" s="186"/>
      <c r="DP128" s="186"/>
      <c r="DQ128" s="186"/>
      <c r="DR128" s="186"/>
      <c r="DS128" s="186"/>
      <c r="DT128" s="186"/>
    </row>
    <row r="129" spans="1:124" s="55" customFormat="1" ht="21.75" customHeight="1">
      <c r="A129" s="311"/>
      <c r="B129" s="205" t="s">
        <v>366</v>
      </c>
      <c r="C129" s="206"/>
      <c r="D129" s="206"/>
      <c r="E129" s="197"/>
      <c r="F129" s="197" t="s">
        <v>22</v>
      </c>
      <c r="G129" s="197" t="s">
        <v>22</v>
      </c>
      <c r="H129" s="197" t="s">
        <v>36</v>
      </c>
      <c r="I129" s="197" t="s">
        <v>37</v>
      </c>
      <c r="J129" s="197" t="s">
        <v>37</v>
      </c>
      <c r="K129" s="197" t="s">
        <v>37</v>
      </c>
      <c r="L129" s="251"/>
      <c r="M129" s="251"/>
      <c r="N129" s="251"/>
      <c r="O129" s="251"/>
      <c r="P129" s="251"/>
      <c r="Q129" s="251"/>
      <c r="R129" s="251"/>
      <c r="S129" s="251"/>
      <c r="T129" s="251"/>
      <c r="U129" s="251"/>
      <c r="V129" s="253" t="s">
        <v>60</v>
      </c>
      <c r="W129" s="249" t="s">
        <v>367</v>
      </c>
      <c r="X129" s="197"/>
      <c r="Y129" s="197"/>
      <c r="Z129" s="197"/>
      <c r="AA129" s="197"/>
      <c r="AB129" s="197"/>
      <c r="AC129" s="197" t="s">
        <v>80</v>
      </c>
      <c r="AD129" s="209" t="s">
        <v>367</v>
      </c>
      <c r="AE129" s="197"/>
      <c r="AF129" s="197"/>
      <c r="AG129" s="197"/>
      <c r="AH129" s="197"/>
      <c r="AI129" s="197"/>
      <c r="AJ129" s="197"/>
      <c r="AK129" s="197"/>
      <c r="AL129" s="197"/>
      <c r="AM129" s="197"/>
      <c r="AN129" s="197"/>
      <c r="AO129" s="209" t="s">
        <v>367</v>
      </c>
      <c r="AP129" s="197"/>
      <c r="AQ129" s="197"/>
      <c r="AR129" s="197"/>
      <c r="AS129" s="197"/>
      <c r="AT129" s="197"/>
      <c r="AU129" s="197"/>
      <c r="AV129" s="197"/>
      <c r="AW129" s="197"/>
      <c r="AX129" s="197"/>
      <c r="AY129" s="217"/>
      <c r="AZ129" s="197"/>
      <c r="BA129" s="197"/>
      <c r="BB129" s="215" t="s">
        <v>160</v>
      </c>
      <c r="BC129" s="215" t="s">
        <v>160</v>
      </c>
      <c r="BD129" s="215" t="s">
        <v>160</v>
      </c>
      <c r="BE129" s="197" t="s">
        <v>161</v>
      </c>
      <c r="BF129" s="197"/>
      <c r="BG129" s="197"/>
      <c r="BH129" s="197"/>
      <c r="BI129" s="197"/>
      <c r="BJ129" s="197"/>
      <c r="BK129" s="215" t="s">
        <v>369</v>
      </c>
      <c r="BL129" s="215" t="s">
        <v>369</v>
      </c>
      <c r="BM129" s="215" t="s">
        <v>369</v>
      </c>
      <c r="BN129" s="197"/>
      <c r="BO129" s="197"/>
      <c r="BP129" s="197"/>
      <c r="BQ129" s="197"/>
      <c r="BR129" s="197"/>
      <c r="BS129" s="197"/>
      <c r="BT129" s="197"/>
      <c r="BU129" s="197"/>
      <c r="BV129" s="215" t="s">
        <v>370</v>
      </c>
      <c r="BW129" s="215" t="s">
        <v>370</v>
      </c>
      <c r="BX129" s="215" t="s">
        <v>370</v>
      </c>
      <c r="BY129" s="215" t="s">
        <v>370</v>
      </c>
      <c r="BZ129" s="215" t="s">
        <v>370</v>
      </c>
      <c r="CA129" s="215" t="s">
        <v>370</v>
      </c>
      <c r="CB129" s="197"/>
      <c r="CC129" s="197"/>
      <c r="CD129" s="197"/>
      <c r="CE129" s="197"/>
      <c r="CF129" s="197"/>
      <c r="CG129" s="197"/>
      <c r="CH129" s="197"/>
      <c r="CI129" s="197"/>
      <c r="CJ129" s="197"/>
      <c r="CK129" s="215" t="s">
        <v>371</v>
      </c>
      <c r="CL129" s="215" t="s">
        <v>371</v>
      </c>
      <c r="CM129" s="215" t="s">
        <v>371</v>
      </c>
      <c r="CN129" s="215" t="s">
        <v>371</v>
      </c>
      <c r="CO129" s="215" t="s">
        <v>371</v>
      </c>
      <c r="CP129" s="215" t="s">
        <v>371</v>
      </c>
      <c r="CQ129" s="215" t="s">
        <v>371</v>
      </c>
      <c r="CR129" s="197"/>
      <c r="CS129" s="197"/>
      <c r="CT129" s="197"/>
      <c r="CU129" s="197"/>
      <c r="CV129" s="197"/>
      <c r="CW129" s="197"/>
      <c r="CX129" s="197"/>
      <c r="CY129" s="197"/>
      <c r="CZ129" s="197"/>
      <c r="DA129" s="197"/>
      <c r="DB129" s="197"/>
      <c r="DC129" s="197"/>
      <c r="DD129" s="197"/>
      <c r="DE129" s="197"/>
      <c r="DF129" s="197"/>
      <c r="DG129" s="197"/>
      <c r="DH129" s="197"/>
      <c r="DI129" s="197"/>
      <c r="DJ129" s="197"/>
      <c r="DK129" s="197"/>
      <c r="DL129" s="197"/>
      <c r="DM129" s="197"/>
      <c r="DN129" s="197"/>
      <c r="DO129" s="197"/>
      <c r="DP129" s="197"/>
      <c r="DQ129" s="197"/>
      <c r="DR129" s="197"/>
      <c r="DS129" s="197"/>
      <c r="DT129" s="197"/>
    </row>
    <row r="130" spans="1:124" s="55" customFormat="1" ht="21.75" customHeight="1">
      <c r="A130" s="311"/>
      <c r="B130" s="207"/>
      <c r="C130" s="208"/>
      <c r="D130" s="208"/>
      <c r="E130" s="198"/>
      <c r="F130" s="198"/>
      <c r="G130" s="198"/>
      <c r="H130" s="198"/>
      <c r="I130" s="198"/>
      <c r="J130" s="198"/>
      <c r="K130" s="198"/>
      <c r="L130" s="252"/>
      <c r="M130" s="252"/>
      <c r="N130" s="252"/>
      <c r="O130" s="252"/>
      <c r="P130" s="252"/>
      <c r="Q130" s="252"/>
      <c r="R130" s="252"/>
      <c r="S130" s="252"/>
      <c r="T130" s="252"/>
      <c r="U130" s="252"/>
      <c r="V130" s="254"/>
      <c r="W130" s="250"/>
      <c r="X130" s="198"/>
      <c r="Y130" s="198"/>
      <c r="Z130" s="198"/>
      <c r="AA130" s="198"/>
      <c r="AB130" s="198"/>
      <c r="AC130" s="198"/>
      <c r="AD130" s="210"/>
      <c r="AE130" s="198"/>
      <c r="AF130" s="198"/>
      <c r="AG130" s="198"/>
      <c r="AH130" s="198"/>
      <c r="AI130" s="198"/>
      <c r="AJ130" s="198"/>
      <c r="AK130" s="198"/>
      <c r="AL130" s="198"/>
      <c r="AM130" s="198"/>
      <c r="AN130" s="198"/>
      <c r="AO130" s="210"/>
      <c r="AP130" s="198"/>
      <c r="AQ130" s="198"/>
      <c r="AR130" s="198"/>
      <c r="AS130" s="198"/>
      <c r="AT130" s="198"/>
      <c r="AU130" s="198"/>
      <c r="AV130" s="198"/>
      <c r="AW130" s="198"/>
      <c r="AX130" s="198"/>
      <c r="AY130" s="218"/>
      <c r="AZ130" s="198"/>
      <c r="BA130" s="198"/>
      <c r="BB130" s="216"/>
      <c r="BC130" s="216"/>
      <c r="BD130" s="216"/>
      <c r="BE130" s="198"/>
      <c r="BF130" s="198"/>
      <c r="BG130" s="198"/>
      <c r="BH130" s="198"/>
      <c r="BI130" s="198"/>
      <c r="BJ130" s="198"/>
      <c r="BK130" s="216"/>
      <c r="BL130" s="216"/>
      <c r="BM130" s="216"/>
      <c r="BN130" s="198"/>
      <c r="BO130" s="198"/>
      <c r="BP130" s="198"/>
      <c r="BQ130" s="198"/>
      <c r="BR130" s="198"/>
      <c r="BS130" s="198"/>
      <c r="BT130" s="198"/>
      <c r="BU130" s="198"/>
      <c r="BV130" s="216"/>
      <c r="BW130" s="216"/>
      <c r="BX130" s="216"/>
      <c r="BY130" s="216"/>
      <c r="BZ130" s="216"/>
      <c r="CA130" s="216"/>
      <c r="CB130" s="198"/>
      <c r="CC130" s="198"/>
      <c r="CD130" s="198"/>
      <c r="CE130" s="198"/>
      <c r="CF130" s="198"/>
      <c r="CG130" s="198"/>
      <c r="CH130" s="198"/>
      <c r="CI130" s="198"/>
      <c r="CJ130" s="198"/>
      <c r="CK130" s="216"/>
      <c r="CL130" s="216"/>
      <c r="CM130" s="216"/>
      <c r="CN130" s="216"/>
      <c r="CO130" s="216"/>
      <c r="CP130" s="216"/>
      <c r="CQ130" s="216"/>
      <c r="CR130" s="198"/>
      <c r="CS130" s="198"/>
      <c r="CT130" s="198"/>
      <c r="CU130" s="198"/>
      <c r="CV130" s="198"/>
      <c r="CW130" s="198"/>
      <c r="CX130" s="198"/>
      <c r="CY130" s="198"/>
      <c r="CZ130" s="198"/>
      <c r="DA130" s="198"/>
      <c r="DB130" s="198"/>
      <c r="DC130" s="198"/>
      <c r="DD130" s="198"/>
      <c r="DE130" s="198"/>
      <c r="DF130" s="198"/>
      <c r="DG130" s="198"/>
      <c r="DH130" s="198"/>
      <c r="DI130" s="198"/>
      <c r="DJ130" s="198"/>
      <c r="DK130" s="198"/>
      <c r="DL130" s="198"/>
      <c r="DM130" s="198"/>
      <c r="DN130" s="198"/>
      <c r="DO130" s="198"/>
      <c r="DP130" s="198"/>
      <c r="DQ130" s="198"/>
      <c r="DR130" s="198"/>
      <c r="DS130" s="198"/>
      <c r="DT130" s="198"/>
    </row>
    <row r="131" spans="1:124" ht="21.75" customHeight="1">
      <c r="A131" s="311"/>
      <c r="B131" s="221" t="s">
        <v>12</v>
      </c>
      <c r="C131" s="222"/>
      <c r="D131" s="222"/>
      <c r="E131" s="56"/>
      <c r="F131" s="56">
        <v>83</v>
      </c>
      <c r="G131" s="56">
        <v>83</v>
      </c>
      <c r="H131" s="56">
        <v>84</v>
      </c>
      <c r="I131" s="56">
        <v>84.3</v>
      </c>
      <c r="J131" s="56">
        <v>84</v>
      </c>
      <c r="K131" s="56"/>
      <c r="L131" s="56"/>
      <c r="M131" s="56"/>
      <c r="N131" s="56"/>
      <c r="O131" s="56"/>
      <c r="P131" s="56"/>
      <c r="Q131" s="56"/>
      <c r="R131" s="56"/>
      <c r="S131" s="56"/>
      <c r="T131" s="56"/>
      <c r="U131" s="56"/>
      <c r="V131" s="56"/>
      <c r="W131" s="56"/>
      <c r="X131" s="56">
        <v>83.5</v>
      </c>
      <c r="Y131" s="56">
        <v>83.6</v>
      </c>
      <c r="Z131" s="56">
        <v>84.7</v>
      </c>
      <c r="AA131" s="56">
        <v>83.5</v>
      </c>
      <c r="AB131" s="56">
        <v>83.2</v>
      </c>
      <c r="AC131" s="57">
        <v>84.1</v>
      </c>
      <c r="AD131" s="56">
        <v>84.8</v>
      </c>
      <c r="AE131" s="58">
        <v>83.3</v>
      </c>
      <c r="AF131" s="56">
        <v>83.4</v>
      </c>
      <c r="AG131" s="56"/>
      <c r="AH131" s="56">
        <v>84</v>
      </c>
      <c r="AI131" s="56">
        <v>83.8</v>
      </c>
      <c r="AJ131" s="56">
        <v>82.8</v>
      </c>
      <c r="AK131" s="56">
        <v>84.1</v>
      </c>
      <c r="AL131" s="56">
        <v>84</v>
      </c>
      <c r="AM131" s="56">
        <v>83.9</v>
      </c>
      <c r="AN131" s="56">
        <v>83.6</v>
      </c>
      <c r="AO131" s="56"/>
      <c r="AP131" s="56"/>
      <c r="AQ131" s="56"/>
      <c r="AR131" s="56"/>
      <c r="AS131" s="56">
        <v>83.5</v>
      </c>
      <c r="AT131" s="56">
        <v>83.7</v>
      </c>
      <c r="AU131" s="56">
        <v>83.6</v>
      </c>
      <c r="AV131" s="56">
        <v>83.8</v>
      </c>
      <c r="AW131" s="56"/>
      <c r="AX131" s="56"/>
      <c r="AY131" s="59"/>
      <c r="AZ131" s="56"/>
      <c r="BA131" s="56"/>
      <c r="BB131" s="56"/>
      <c r="BC131" s="56"/>
      <c r="BD131" s="56"/>
      <c r="BE131" s="56"/>
      <c r="BF131" s="56"/>
      <c r="BG131" s="56"/>
      <c r="BH131" s="56"/>
      <c r="BI131" s="56"/>
      <c r="BJ131" s="56"/>
      <c r="BK131" s="56"/>
      <c r="BL131" s="56"/>
      <c r="BM131" s="56"/>
      <c r="BN131" s="56"/>
      <c r="BO131" s="56"/>
      <c r="BP131" s="56"/>
      <c r="BQ131" s="56"/>
      <c r="BR131" s="56"/>
      <c r="BS131" s="56"/>
      <c r="BT131" s="56"/>
      <c r="BU131" s="56"/>
      <c r="BV131" s="56"/>
      <c r="BW131" s="56"/>
      <c r="BX131" s="56"/>
      <c r="BY131" s="56"/>
      <c r="BZ131" s="56"/>
      <c r="CA131" s="56"/>
      <c r="CB131" s="56"/>
      <c r="CC131" s="56"/>
      <c r="CD131" s="56"/>
      <c r="CE131" s="56"/>
      <c r="CF131" s="56"/>
      <c r="CG131" s="56"/>
      <c r="CH131" s="56"/>
      <c r="CI131" s="56"/>
      <c r="CJ131" s="56"/>
      <c r="CK131" s="56"/>
      <c r="CL131" s="56"/>
      <c r="CM131" s="56"/>
      <c r="CN131" s="56"/>
      <c r="CO131" s="56"/>
      <c r="CP131" s="56"/>
      <c r="CQ131" s="56"/>
      <c r="CR131" s="56"/>
      <c r="CS131" s="56"/>
      <c r="CT131" s="56"/>
      <c r="CU131" s="56"/>
      <c r="CV131" s="56"/>
      <c r="CW131" s="56"/>
      <c r="CX131" s="56"/>
      <c r="CY131" s="56"/>
      <c r="CZ131" s="56"/>
      <c r="DA131" s="56"/>
      <c r="DB131" s="56"/>
      <c r="DC131" s="56"/>
      <c r="DD131" s="56"/>
      <c r="DE131" s="56"/>
      <c r="DF131" s="56"/>
      <c r="DG131" s="56"/>
      <c r="DH131" s="56"/>
      <c r="DI131" s="56"/>
      <c r="DJ131" s="56"/>
      <c r="DK131" s="56"/>
      <c r="DL131" s="56"/>
      <c r="DM131" s="56"/>
      <c r="DN131" s="56"/>
      <c r="DO131" s="56"/>
      <c r="DP131" s="56"/>
      <c r="DQ131" s="56"/>
      <c r="DR131" s="56"/>
      <c r="DS131" s="56"/>
      <c r="DT131" s="56"/>
    </row>
    <row r="132" spans="1:124" ht="21.75" customHeight="1">
      <c r="A132" s="311"/>
      <c r="B132" s="223" t="s">
        <v>373</v>
      </c>
      <c r="C132" s="224"/>
      <c r="D132" s="224"/>
      <c r="E132" s="219" t="str">
        <f t="shared" ref="E132:BP132" si="5">IF((OR(E131=0,MAX(E135,E137,E139)=0))=TRUE,"",IFERROR((((MAX(E135,E137,E139)+E131)*0.7)-E131),""))</f>
        <v/>
      </c>
      <c r="F132" s="219">
        <f t="shared" si="5"/>
        <v>78.349999999999994</v>
      </c>
      <c r="G132" s="219">
        <f t="shared" si="5"/>
        <v>81.849999999999994</v>
      </c>
      <c r="H132" s="219" t="str">
        <f t="shared" si="5"/>
        <v/>
      </c>
      <c r="I132" s="219">
        <f t="shared" si="5"/>
        <v>91.96</v>
      </c>
      <c r="J132" s="219">
        <f t="shared" si="5"/>
        <v>86.799999999999983</v>
      </c>
      <c r="K132" s="219" t="str">
        <f t="shared" si="5"/>
        <v/>
      </c>
      <c r="L132" s="219" t="str">
        <f t="shared" si="5"/>
        <v/>
      </c>
      <c r="M132" s="219" t="str">
        <f t="shared" si="5"/>
        <v/>
      </c>
      <c r="N132" s="219" t="str">
        <f t="shared" si="5"/>
        <v/>
      </c>
      <c r="O132" s="219" t="str">
        <f t="shared" si="5"/>
        <v/>
      </c>
      <c r="P132" s="219" t="str">
        <f t="shared" si="5"/>
        <v/>
      </c>
      <c r="Q132" s="219" t="str">
        <f t="shared" si="5"/>
        <v/>
      </c>
      <c r="R132" s="219" t="str">
        <f t="shared" si="5"/>
        <v/>
      </c>
      <c r="S132" s="219" t="str">
        <f t="shared" si="5"/>
        <v/>
      </c>
      <c r="T132" s="219" t="str">
        <f t="shared" si="5"/>
        <v/>
      </c>
      <c r="U132" s="219" t="str">
        <f t="shared" si="5"/>
        <v/>
      </c>
      <c r="V132" s="219" t="str">
        <f t="shared" si="5"/>
        <v/>
      </c>
      <c r="W132" s="219" t="str">
        <f t="shared" si="5"/>
        <v/>
      </c>
      <c r="X132" s="219">
        <f t="shared" si="5"/>
        <v>64.484883720930242</v>
      </c>
      <c r="Y132" s="219" t="str">
        <f t="shared" si="5"/>
        <v/>
      </c>
      <c r="Z132" s="219" t="str">
        <f t="shared" si="5"/>
        <v/>
      </c>
      <c r="AA132" s="219">
        <f t="shared" si="5"/>
        <v>64.484883720930242</v>
      </c>
      <c r="AB132" s="219" t="str">
        <f t="shared" si="5"/>
        <v/>
      </c>
      <c r="AC132" s="219" t="str">
        <f t="shared" si="5"/>
        <v/>
      </c>
      <c r="AD132" s="219">
        <f t="shared" si="5"/>
        <v>97.636923076923082</v>
      </c>
      <c r="AE132" s="219" t="str">
        <f t="shared" si="5"/>
        <v/>
      </c>
      <c r="AF132" s="219">
        <f t="shared" si="5"/>
        <v>72.654418604651141</v>
      </c>
      <c r="AG132" s="219" t="str">
        <f t="shared" si="5"/>
        <v/>
      </c>
      <c r="AH132" s="219" t="str">
        <f t="shared" si="5"/>
        <v/>
      </c>
      <c r="AI132" s="219">
        <f t="shared" si="5"/>
        <v>90.244615384615358</v>
      </c>
      <c r="AJ132" s="219" t="str">
        <f t="shared" si="5"/>
        <v/>
      </c>
      <c r="AK132" s="219" t="str">
        <f t="shared" si="5"/>
        <v/>
      </c>
      <c r="AL132" s="219">
        <f t="shared" si="5"/>
        <v>94.586096256684471</v>
      </c>
      <c r="AM132" s="219" t="str">
        <f t="shared" si="5"/>
        <v/>
      </c>
      <c r="AN132" s="219" t="str">
        <f t="shared" si="5"/>
        <v/>
      </c>
      <c r="AO132" s="219" t="str">
        <f t="shared" si="5"/>
        <v/>
      </c>
      <c r="AP132" s="219" t="str">
        <f t="shared" si="5"/>
        <v/>
      </c>
      <c r="AQ132" s="219" t="str">
        <f t="shared" si="5"/>
        <v/>
      </c>
      <c r="AR132" s="219" t="str">
        <f t="shared" si="5"/>
        <v/>
      </c>
      <c r="AS132" s="219" t="str">
        <f t="shared" si="5"/>
        <v/>
      </c>
      <c r="AT132" s="219" t="str">
        <f t="shared" si="5"/>
        <v/>
      </c>
      <c r="AU132" s="219" t="str">
        <f t="shared" si="5"/>
        <v/>
      </c>
      <c r="AV132" s="219" t="str">
        <f t="shared" si="5"/>
        <v/>
      </c>
      <c r="AW132" s="219" t="str">
        <f t="shared" si="5"/>
        <v/>
      </c>
      <c r="AX132" s="219" t="str">
        <f t="shared" si="5"/>
        <v/>
      </c>
      <c r="AY132" s="227" t="str">
        <f t="shared" si="5"/>
        <v/>
      </c>
      <c r="AZ132" s="219" t="str">
        <f t="shared" si="5"/>
        <v/>
      </c>
      <c r="BA132" s="219" t="str">
        <f t="shared" si="5"/>
        <v/>
      </c>
      <c r="BB132" s="219" t="str">
        <f t="shared" si="5"/>
        <v/>
      </c>
      <c r="BC132" s="219" t="str">
        <f t="shared" si="5"/>
        <v/>
      </c>
      <c r="BD132" s="219" t="str">
        <f t="shared" si="5"/>
        <v/>
      </c>
      <c r="BE132" s="219" t="str">
        <f t="shared" si="5"/>
        <v/>
      </c>
      <c r="BF132" s="219" t="str">
        <f t="shared" si="5"/>
        <v/>
      </c>
      <c r="BG132" s="219" t="str">
        <f t="shared" si="5"/>
        <v/>
      </c>
      <c r="BH132" s="219" t="str">
        <f t="shared" si="5"/>
        <v/>
      </c>
      <c r="BI132" s="219" t="str">
        <f t="shared" si="5"/>
        <v/>
      </c>
      <c r="BJ132" s="219" t="str">
        <f t="shared" si="5"/>
        <v/>
      </c>
      <c r="BK132" s="219" t="str">
        <f t="shared" si="5"/>
        <v/>
      </c>
      <c r="BL132" s="219" t="str">
        <f t="shared" si="5"/>
        <v/>
      </c>
      <c r="BM132" s="219" t="str">
        <f t="shared" si="5"/>
        <v/>
      </c>
      <c r="BN132" s="219" t="str">
        <f t="shared" si="5"/>
        <v/>
      </c>
      <c r="BO132" s="219" t="str">
        <f t="shared" si="5"/>
        <v/>
      </c>
      <c r="BP132" s="219" t="str">
        <f t="shared" si="5"/>
        <v/>
      </c>
      <c r="BQ132" s="219" t="str">
        <f t="shared" ref="BQ132:DT132" si="6">IF((OR(BQ131=0,MAX(BQ135,BQ137,BQ139)=0))=TRUE,"",IFERROR((((MAX(BQ135,BQ137,BQ139)+BQ131)*0.7)-BQ131),""))</f>
        <v/>
      </c>
      <c r="BR132" s="219" t="str">
        <f t="shared" si="6"/>
        <v/>
      </c>
      <c r="BS132" s="219" t="str">
        <f t="shared" si="6"/>
        <v/>
      </c>
      <c r="BT132" s="219" t="str">
        <f t="shared" si="6"/>
        <v/>
      </c>
      <c r="BU132" s="219" t="str">
        <f t="shared" si="6"/>
        <v/>
      </c>
      <c r="BV132" s="219" t="str">
        <f t="shared" si="6"/>
        <v/>
      </c>
      <c r="BW132" s="219" t="str">
        <f t="shared" si="6"/>
        <v/>
      </c>
      <c r="BX132" s="219" t="str">
        <f t="shared" si="6"/>
        <v/>
      </c>
      <c r="BY132" s="219" t="str">
        <f t="shared" si="6"/>
        <v/>
      </c>
      <c r="BZ132" s="219" t="str">
        <f t="shared" si="6"/>
        <v/>
      </c>
      <c r="CA132" s="219" t="str">
        <f t="shared" si="6"/>
        <v/>
      </c>
      <c r="CB132" s="219" t="str">
        <f t="shared" si="6"/>
        <v/>
      </c>
      <c r="CC132" s="219" t="str">
        <f t="shared" si="6"/>
        <v/>
      </c>
      <c r="CD132" s="219" t="str">
        <f t="shared" si="6"/>
        <v/>
      </c>
      <c r="CE132" s="219" t="str">
        <f t="shared" si="6"/>
        <v/>
      </c>
      <c r="CF132" s="219" t="str">
        <f t="shared" si="6"/>
        <v/>
      </c>
      <c r="CG132" s="219" t="str">
        <f t="shared" si="6"/>
        <v/>
      </c>
      <c r="CH132" s="219" t="str">
        <f t="shared" si="6"/>
        <v/>
      </c>
      <c r="CI132" s="219" t="str">
        <f t="shared" si="6"/>
        <v/>
      </c>
      <c r="CJ132" s="219" t="str">
        <f t="shared" si="6"/>
        <v/>
      </c>
      <c r="CK132" s="219" t="str">
        <f t="shared" si="6"/>
        <v/>
      </c>
      <c r="CL132" s="219" t="str">
        <f t="shared" si="6"/>
        <v/>
      </c>
      <c r="CM132" s="219" t="str">
        <f t="shared" si="6"/>
        <v/>
      </c>
      <c r="CN132" s="219" t="str">
        <f t="shared" si="6"/>
        <v/>
      </c>
      <c r="CO132" s="219" t="str">
        <f t="shared" si="6"/>
        <v/>
      </c>
      <c r="CP132" s="219" t="str">
        <f t="shared" si="6"/>
        <v/>
      </c>
      <c r="CQ132" s="219" t="str">
        <f t="shared" si="6"/>
        <v/>
      </c>
      <c r="CR132" s="219" t="str">
        <f t="shared" si="6"/>
        <v/>
      </c>
      <c r="CS132" s="219" t="str">
        <f t="shared" si="6"/>
        <v/>
      </c>
      <c r="CT132" s="219" t="str">
        <f t="shared" si="6"/>
        <v/>
      </c>
      <c r="CU132" s="219" t="str">
        <f t="shared" si="6"/>
        <v/>
      </c>
      <c r="CV132" s="219" t="str">
        <f t="shared" si="6"/>
        <v/>
      </c>
      <c r="CW132" s="219" t="str">
        <f t="shared" si="6"/>
        <v/>
      </c>
      <c r="CX132" s="219" t="str">
        <f t="shared" si="6"/>
        <v/>
      </c>
      <c r="CY132" s="219" t="str">
        <f t="shared" si="6"/>
        <v/>
      </c>
      <c r="CZ132" s="219" t="str">
        <f t="shared" si="6"/>
        <v/>
      </c>
      <c r="DA132" s="219" t="str">
        <f t="shared" si="6"/>
        <v/>
      </c>
      <c r="DB132" s="219" t="str">
        <f t="shared" si="6"/>
        <v/>
      </c>
      <c r="DC132" s="219" t="str">
        <f t="shared" si="6"/>
        <v/>
      </c>
      <c r="DD132" s="219" t="str">
        <f t="shared" si="6"/>
        <v/>
      </c>
      <c r="DE132" s="219" t="str">
        <f t="shared" si="6"/>
        <v/>
      </c>
      <c r="DF132" s="219" t="str">
        <f t="shared" si="6"/>
        <v/>
      </c>
      <c r="DG132" s="219" t="str">
        <f t="shared" si="6"/>
        <v/>
      </c>
      <c r="DH132" s="219" t="str">
        <f t="shared" si="6"/>
        <v/>
      </c>
      <c r="DI132" s="219" t="str">
        <f t="shared" si="6"/>
        <v/>
      </c>
      <c r="DJ132" s="219" t="str">
        <f t="shared" si="6"/>
        <v/>
      </c>
      <c r="DK132" s="219" t="str">
        <f t="shared" si="6"/>
        <v/>
      </c>
      <c r="DL132" s="219" t="str">
        <f t="shared" si="6"/>
        <v/>
      </c>
      <c r="DM132" s="219" t="str">
        <f t="shared" si="6"/>
        <v/>
      </c>
      <c r="DN132" s="219" t="str">
        <f t="shared" si="6"/>
        <v/>
      </c>
      <c r="DO132" s="219" t="str">
        <f t="shared" si="6"/>
        <v/>
      </c>
      <c r="DP132" s="219" t="str">
        <f t="shared" si="6"/>
        <v/>
      </c>
      <c r="DQ132" s="219" t="str">
        <f t="shared" si="6"/>
        <v/>
      </c>
      <c r="DR132" s="219" t="str">
        <f t="shared" si="6"/>
        <v/>
      </c>
      <c r="DS132" s="219" t="str">
        <f t="shared" si="6"/>
        <v/>
      </c>
      <c r="DT132" s="219" t="str">
        <f t="shared" si="6"/>
        <v/>
      </c>
    </row>
    <row r="133" spans="1:124" ht="21.75" customHeight="1" thickBot="1">
      <c r="A133" s="311"/>
      <c r="B133" s="225"/>
      <c r="C133" s="226"/>
      <c r="D133" s="226"/>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c r="AA133" s="220"/>
      <c r="AB133" s="220"/>
      <c r="AC133" s="220"/>
      <c r="AD133" s="220"/>
      <c r="AE133" s="220"/>
      <c r="AF133" s="220"/>
      <c r="AG133" s="220"/>
      <c r="AH133" s="220"/>
      <c r="AI133" s="220"/>
      <c r="AJ133" s="220"/>
      <c r="AK133" s="220"/>
      <c r="AL133" s="220"/>
      <c r="AM133" s="220"/>
      <c r="AN133" s="220"/>
      <c r="AO133" s="220"/>
      <c r="AP133" s="220"/>
      <c r="AQ133" s="220"/>
      <c r="AR133" s="220"/>
      <c r="AS133" s="220"/>
      <c r="AT133" s="220"/>
      <c r="AU133" s="220"/>
      <c r="AV133" s="220"/>
      <c r="AW133" s="220"/>
      <c r="AX133" s="220"/>
      <c r="AY133" s="228"/>
      <c r="AZ133" s="220"/>
      <c r="BA133" s="220"/>
      <c r="BB133" s="220"/>
      <c r="BC133" s="220"/>
      <c r="BD133" s="220"/>
      <c r="BE133" s="220"/>
      <c r="BF133" s="220"/>
      <c r="BG133" s="220"/>
      <c r="BH133" s="220"/>
      <c r="BI133" s="220"/>
      <c r="BJ133" s="220"/>
      <c r="BK133" s="220"/>
      <c r="BL133" s="220"/>
      <c r="BM133" s="220"/>
      <c r="BN133" s="220"/>
      <c r="BO133" s="220"/>
      <c r="BP133" s="220"/>
      <c r="BQ133" s="220"/>
      <c r="BR133" s="220"/>
      <c r="BS133" s="220"/>
      <c r="BT133" s="220"/>
      <c r="BU133" s="220"/>
      <c r="BV133" s="220"/>
      <c r="BW133" s="220"/>
      <c r="BX133" s="220"/>
      <c r="BY133" s="220"/>
      <c r="BZ133" s="220"/>
      <c r="CA133" s="220"/>
      <c r="CB133" s="220"/>
      <c r="CC133" s="220"/>
      <c r="CD133" s="220"/>
      <c r="CE133" s="220"/>
      <c r="CF133" s="220"/>
      <c r="CG133" s="220"/>
      <c r="CH133" s="220"/>
      <c r="CI133" s="220"/>
      <c r="CJ133" s="220"/>
      <c r="CK133" s="220"/>
      <c r="CL133" s="220"/>
      <c r="CM133" s="220"/>
      <c r="CN133" s="220"/>
      <c r="CO133" s="220"/>
      <c r="CP133" s="220"/>
      <c r="CQ133" s="220"/>
      <c r="CR133" s="220"/>
      <c r="CS133" s="220"/>
      <c r="CT133" s="220"/>
      <c r="CU133" s="220"/>
      <c r="CV133" s="220"/>
      <c r="CW133" s="220"/>
      <c r="CX133" s="220"/>
      <c r="CY133" s="220"/>
      <c r="CZ133" s="220"/>
      <c r="DA133" s="220"/>
      <c r="DB133" s="220"/>
      <c r="DC133" s="220"/>
      <c r="DD133" s="220"/>
      <c r="DE133" s="220"/>
      <c r="DF133" s="220"/>
      <c r="DG133" s="220"/>
      <c r="DH133" s="220"/>
      <c r="DI133" s="220"/>
      <c r="DJ133" s="220"/>
      <c r="DK133" s="220"/>
      <c r="DL133" s="220"/>
      <c r="DM133" s="220"/>
      <c r="DN133" s="220"/>
      <c r="DO133" s="220"/>
      <c r="DP133" s="220"/>
      <c r="DQ133" s="220"/>
      <c r="DR133" s="220"/>
      <c r="DS133" s="220"/>
      <c r="DT133" s="220"/>
    </row>
    <row r="134" spans="1:124" ht="21.75" customHeight="1">
      <c r="A134" s="311"/>
      <c r="B134" s="235" t="s">
        <v>374</v>
      </c>
      <c r="C134" s="236"/>
      <c r="D134" s="237"/>
      <c r="E134" s="60"/>
      <c r="F134" s="60"/>
      <c r="G134" s="60"/>
      <c r="H134" s="60"/>
      <c r="I134" s="62"/>
      <c r="J134" s="62"/>
      <c r="K134" s="62"/>
      <c r="L134" s="60" t="s">
        <v>396</v>
      </c>
      <c r="M134" s="60" t="s">
        <v>376</v>
      </c>
      <c r="N134" s="60"/>
      <c r="O134" s="60" t="s">
        <v>394</v>
      </c>
      <c r="P134" s="60"/>
      <c r="Q134" s="60" t="s">
        <v>394</v>
      </c>
      <c r="R134" s="60"/>
      <c r="S134" s="60" t="s">
        <v>384</v>
      </c>
      <c r="T134" s="60"/>
      <c r="U134" s="60"/>
      <c r="V134" s="60" t="s">
        <v>384</v>
      </c>
      <c r="W134" s="60" t="s">
        <v>384</v>
      </c>
      <c r="X134" s="60"/>
      <c r="Y134" s="60"/>
      <c r="Z134" s="60"/>
      <c r="AA134" s="60"/>
      <c r="AB134" s="60"/>
      <c r="AC134" s="60"/>
      <c r="AD134" s="61" t="s">
        <v>423</v>
      </c>
      <c r="AE134" s="60"/>
      <c r="AF134" s="60"/>
      <c r="AG134" s="60"/>
      <c r="AH134" s="60"/>
      <c r="AI134" s="60" t="s">
        <v>376</v>
      </c>
      <c r="AJ134" s="60"/>
      <c r="AK134" s="60"/>
      <c r="AL134" s="60" t="s">
        <v>402</v>
      </c>
      <c r="AM134" s="60"/>
      <c r="AN134" s="60"/>
      <c r="AO134" s="62" t="s">
        <v>122</v>
      </c>
      <c r="AP134" s="60"/>
      <c r="AQ134" s="60"/>
      <c r="AR134" s="60"/>
      <c r="AS134" s="60"/>
      <c r="AT134" s="60"/>
      <c r="AU134" s="60"/>
      <c r="AV134" s="60"/>
      <c r="AW134" s="60"/>
      <c r="AX134" s="60"/>
      <c r="AY134" s="62" t="s">
        <v>413</v>
      </c>
      <c r="AZ134" s="80"/>
      <c r="BA134" s="80"/>
      <c r="BB134" s="60"/>
      <c r="BC134" s="60"/>
      <c r="BD134" s="60"/>
      <c r="BE134" s="60"/>
      <c r="BF134" s="60"/>
      <c r="BG134" s="60"/>
      <c r="BH134" s="60"/>
      <c r="BI134" s="60"/>
      <c r="BJ134" s="60"/>
      <c r="BK134" s="60"/>
      <c r="BL134" s="60"/>
      <c r="BM134" s="60"/>
      <c r="BN134" s="60"/>
      <c r="BO134" s="60"/>
      <c r="BP134" s="60"/>
      <c r="BQ134" s="60"/>
      <c r="BR134" s="60"/>
      <c r="BS134" s="60"/>
      <c r="BT134" s="60"/>
      <c r="BU134" s="60"/>
      <c r="BV134" s="60"/>
      <c r="BW134" s="60"/>
      <c r="BX134" s="60"/>
      <c r="BY134" s="60"/>
      <c r="BZ134" s="60"/>
      <c r="CA134" s="60"/>
      <c r="CB134" s="60"/>
      <c r="CC134" s="60"/>
      <c r="CD134" s="60"/>
      <c r="CE134" s="60"/>
      <c r="CF134" s="60"/>
      <c r="CG134" s="60"/>
      <c r="CH134" s="60"/>
      <c r="CI134" s="60"/>
      <c r="CJ134" s="60"/>
      <c r="CK134" s="60"/>
      <c r="CL134" s="60"/>
      <c r="CM134" s="60"/>
      <c r="CN134" s="60"/>
      <c r="CO134" s="60"/>
      <c r="CP134" s="60"/>
      <c r="CQ134" s="60"/>
      <c r="CR134" s="60"/>
      <c r="CS134" s="60"/>
      <c r="CT134" s="60"/>
      <c r="CU134" s="60"/>
      <c r="CV134" s="60"/>
      <c r="CW134" s="60"/>
      <c r="CX134" s="60"/>
      <c r="CY134" s="60"/>
      <c r="CZ134" s="60"/>
      <c r="DA134" s="60"/>
      <c r="DB134" s="60"/>
      <c r="DC134" s="60"/>
      <c r="DD134" s="60"/>
      <c r="DE134" s="60"/>
      <c r="DF134" s="60"/>
      <c r="DG134" s="60"/>
      <c r="DH134" s="60"/>
      <c r="DI134" s="60"/>
      <c r="DJ134" s="60"/>
      <c r="DK134" s="60"/>
      <c r="DL134" s="60"/>
      <c r="DM134" s="60"/>
      <c r="DN134" s="60"/>
      <c r="DO134" s="60"/>
      <c r="DP134" s="60"/>
      <c r="DQ134" s="60"/>
      <c r="DR134" s="60"/>
      <c r="DS134" s="60"/>
      <c r="DT134" s="60"/>
    </row>
    <row r="135" spans="1:124" ht="21.75" customHeight="1">
      <c r="A135" s="311"/>
      <c r="B135" s="232"/>
      <c r="C135" s="233"/>
      <c r="D135" s="234"/>
      <c r="E135" s="63"/>
      <c r="F135" s="63"/>
      <c r="G135" s="63"/>
      <c r="H135" s="63"/>
      <c r="I135" s="67">
        <v>167.5</v>
      </c>
      <c r="J135" s="67">
        <v>160</v>
      </c>
      <c r="K135" s="67">
        <v>170</v>
      </c>
      <c r="L135" s="63">
        <f>130/0.86</f>
        <v>151.16279069767441</v>
      </c>
      <c r="M135" s="63">
        <f>140/0.91</f>
        <v>153.84615384615384</v>
      </c>
      <c r="N135" s="63"/>
      <c r="O135" s="63">
        <f>120/0.86</f>
        <v>139.53488372093022</v>
      </c>
      <c r="P135" s="63"/>
      <c r="Q135" s="63">
        <f>120/0.86</f>
        <v>139.53488372093022</v>
      </c>
      <c r="R135" s="63"/>
      <c r="S135" s="63">
        <f>150/0.91</f>
        <v>164.83516483516482</v>
      </c>
      <c r="T135" s="63"/>
      <c r="U135" s="63"/>
      <c r="V135" s="63">
        <f>140/0.91</f>
        <v>153.84615384615384</v>
      </c>
      <c r="W135" s="63">
        <f>140/0.91</f>
        <v>153.84615384615384</v>
      </c>
      <c r="X135" s="63"/>
      <c r="Y135" s="63"/>
      <c r="Z135" s="63"/>
      <c r="AA135" s="63"/>
      <c r="AB135" s="63"/>
      <c r="AC135" s="63"/>
      <c r="AD135" s="67">
        <f>160/0.91</f>
        <v>175.82417582417582</v>
      </c>
      <c r="AE135" s="65"/>
      <c r="AF135" s="65"/>
      <c r="AG135" s="63"/>
      <c r="AH135" s="65"/>
      <c r="AI135" s="65">
        <f>150/0.91</f>
        <v>164.83516483516482</v>
      </c>
      <c r="AJ135" s="65"/>
      <c r="AK135" s="65"/>
      <c r="AL135" s="65">
        <f>160/0.935</f>
        <v>171.12299465240642</v>
      </c>
      <c r="AM135" s="65"/>
      <c r="AO135" s="86">
        <v>170</v>
      </c>
      <c r="AP135" s="63"/>
      <c r="AQ135" s="63"/>
      <c r="AR135" s="63"/>
      <c r="AS135" s="63"/>
      <c r="AT135" s="63"/>
      <c r="AU135" s="63"/>
      <c r="AV135" s="63"/>
      <c r="AW135" s="63"/>
      <c r="AX135" s="63"/>
      <c r="AY135" s="67">
        <f>140/0.785</f>
        <v>178.34394904458597</v>
      </c>
      <c r="AZ135" s="84"/>
      <c r="BA135" s="84"/>
      <c r="BB135" s="63"/>
      <c r="BC135" s="63"/>
      <c r="BD135" s="63"/>
      <c r="BE135" s="63"/>
      <c r="BF135" s="63"/>
      <c r="BG135" s="63"/>
      <c r="BH135" s="63"/>
      <c r="BI135" s="63"/>
      <c r="BJ135" s="63"/>
      <c r="BK135" s="63"/>
      <c r="BL135" s="63"/>
      <c r="BM135" s="63"/>
      <c r="BN135" s="63"/>
      <c r="BO135" s="63"/>
      <c r="BP135" s="63"/>
      <c r="BQ135" s="63"/>
      <c r="BR135" s="63"/>
      <c r="BS135" s="63"/>
      <c r="BT135" s="63"/>
      <c r="BU135" s="63"/>
      <c r="BV135" s="63"/>
      <c r="BW135" s="63"/>
      <c r="BX135" s="63"/>
      <c r="BY135" s="63"/>
      <c r="BZ135" s="63"/>
      <c r="CA135" s="63"/>
      <c r="CB135" s="63"/>
      <c r="CC135" s="63"/>
      <c r="CD135" s="63"/>
      <c r="CE135" s="63"/>
      <c r="CF135" s="63"/>
      <c r="CG135" s="63"/>
      <c r="CH135" s="63"/>
      <c r="CI135" s="63"/>
      <c r="CJ135" s="63"/>
      <c r="CK135" s="63"/>
      <c r="CL135" s="63"/>
      <c r="CM135" s="63"/>
      <c r="CN135" s="63"/>
      <c r="CO135" s="63"/>
      <c r="CP135" s="63"/>
      <c r="CQ135" s="63"/>
      <c r="CR135" s="63"/>
      <c r="CS135" s="63"/>
      <c r="CT135" s="63"/>
      <c r="CU135" s="63"/>
      <c r="CV135" s="63"/>
      <c r="CW135" s="63"/>
      <c r="CX135" s="63"/>
      <c r="CY135" s="63"/>
      <c r="CZ135" s="63"/>
      <c r="DA135" s="63"/>
      <c r="DB135" s="63"/>
      <c r="DC135" s="63"/>
      <c r="DD135" s="63"/>
      <c r="DE135" s="63"/>
      <c r="DF135" s="63"/>
      <c r="DG135" s="63"/>
      <c r="DH135" s="63"/>
      <c r="DI135" s="63"/>
      <c r="DJ135" s="63"/>
      <c r="DK135" s="63"/>
      <c r="DL135" s="63"/>
      <c r="DM135" s="63"/>
      <c r="DN135" s="63"/>
      <c r="DO135" s="63"/>
      <c r="DP135" s="63"/>
      <c r="DQ135" s="63"/>
      <c r="DR135" s="63"/>
      <c r="DS135" s="63"/>
      <c r="DT135" s="63"/>
    </row>
    <row r="136" spans="1:124" ht="21.75" customHeight="1">
      <c r="A136" s="311"/>
      <c r="B136" s="229" t="s">
        <v>381</v>
      </c>
      <c r="C136" s="230"/>
      <c r="D136" s="231"/>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c r="AD136" s="69"/>
      <c r="AE136" s="68"/>
      <c r="AF136" s="68" t="s">
        <v>394</v>
      </c>
      <c r="AG136" s="68"/>
      <c r="AH136" s="68"/>
      <c r="AI136" s="68"/>
      <c r="AJ136" s="68"/>
      <c r="AK136" s="68"/>
      <c r="AL136" s="68"/>
      <c r="AM136" s="68"/>
      <c r="AN136" s="68"/>
      <c r="AO136" s="68"/>
      <c r="AP136" s="68"/>
      <c r="AQ136" s="68"/>
      <c r="AR136" s="68"/>
      <c r="AS136" s="68"/>
      <c r="AT136" s="68"/>
      <c r="AU136" s="68"/>
      <c r="AV136" s="68"/>
      <c r="AW136" s="68"/>
      <c r="AX136" s="68"/>
      <c r="AY136" s="69"/>
      <c r="AZ136" s="69"/>
      <c r="BA136" s="69"/>
      <c r="BB136" s="68"/>
      <c r="BC136" s="68"/>
      <c r="BD136" s="68"/>
      <c r="BE136" s="68"/>
      <c r="BF136" s="68"/>
      <c r="BG136" s="68"/>
      <c r="BH136" s="68"/>
      <c r="BI136" s="68"/>
      <c r="BJ136" s="68"/>
      <c r="BK136" s="68"/>
      <c r="BL136" s="68"/>
      <c r="BM136" s="68"/>
      <c r="BN136" s="68"/>
      <c r="BO136" s="68"/>
      <c r="BP136" s="68"/>
      <c r="BQ136" s="68"/>
      <c r="BR136" s="68"/>
      <c r="BS136" s="68"/>
      <c r="BT136" s="68"/>
      <c r="BU136" s="68"/>
      <c r="BV136" s="68"/>
      <c r="BW136" s="68"/>
      <c r="BX136" s="68"/>
      <c r="BY136" s="68"/>
      <c r="BZ136" s="68"/>
      <c r="CA136" s="68"/>
      <c r="CB136" s="68"/>
      <c r="CC136" s="68"/>
      <c r="CD136" s="68"/>
      <c r="CE136" s="68"/>
      <c r="CF136" s="68"/>
      <c r="CG136" s="68"/>
      <c r="CH136" s="68"/>
      <c r="CI136" s="68"/>
      <c r="CJ136" s="68"/>
      <c r="CK136" s="68"/>
      <c r="CL136" s="68"/>
      <c r="CM136" s="68"/>
      <c r="CN136" s="68"/>
      <c r="CO136" s="68"/>
      <c r="CP136" s="68"/>
      <c r="CQ136" s="68"/>
      <c r="CR136" s="68"/>
      <c r="CS136" s="68"/>
      <c r="CT136" s="68"/>
      <c r="CU136" s="68"/>
      <c r="CV136" s="68"/>
      <c r="CW136" s="68"/>
      <c r="CX136" s="68"/>
      <c r="CY136" s="68"/>
      <c r="CZ136" s="68"/>
      <c r="DA136" s="68"/>
      <c r="DB136" s="68"/>
      <c r="DC136" s="68"/>
      <c r="DD136" s="68"/>
      <c r="DE136" s="68"/>
      <c r="DF136" s="68"/>
      <c r="DG136" s="68"/>
      <c r="DH136" s="68"/>
      <c r="DI136" s="68"/>
      <c r="DJ136" s="68"/>
      <c r="DK136" s="68"/>
      <c r="DL136" s="68"/>
      <c r="DM136" s="68"/>
      <c r="DN136" s="68"/>
      <c r="DO136" s="68"/>
      <c r="DP136" s="68"/>
      <c r="DQ136" s="68"/>
      <c r="DR136" s="68"/>
      <c r="DS136" s="68"/>
      <c r="DT136" s="68"/>
    </row>
    <row r="137" spans="1:124" ht="21.75" customHeight="1">
      <c r="A137" s="311"/>
      <c r="B137" s="232"/>
      <c r="C137" s="233"/>
      <c r="D137" s="234"/>
      <c r="E137" s="65"/>
      <c r="F137" s="65"/>
      <c r="G137" s="65"/>
      <c r="H137" s="65"/>
      <c r="I137" s="65"/>
      <c r="J137" s="65"/>
      <c r="K137" s="65"/>
      <c r="L137" s="65"/>
      <c r="M137" s="65"/>
      <c r="N137" s="65"/>
      <c r="O137" s="65"/>
      <c r="P137" s="65"/>
      <c r="Q137" s="65"/>
      <c r="R137" s="65"/>
      <c r="S137" s="65"/>
      <c r="T137" s="65"/>
      <c r="U137" s="65"/>
      <c r="V137" s="65"/>
      <c r="W137" s="65"/>
      <c r="X137" s="65"/>
      <c r="Y137" s="65"/>
      <c r="Z137" s="65"/>
      <c r="AA137" s="65"/>
      <c r="AB137" s="65"/>
      <c r="AC137" s="65"/>
      <c r="AD137" s="70"/>
      <c r="AE137" s="65"/>
      <c r="AF137" s="71">
        <f>120/0.86</f>
        <v>139.53488372093022</v>
      </c>
      <c r="AG137" s="65"/>
      <c r="AH137" s="65"/>
      <c r="AI137" s="65"/>
      <c r="AJ137" s="65"/>
      <c r="AK137" s="65"/>
      <c r="AL137" s="65"/>
      <c r="AM137" s="65"/>
      <c r="AN137" s="65"/>
      <c r="AO137" s="65"/>
      <c r="AP137" s="65"/>
      <c r="AQ137" s="65"/>
      <c r="AR137" s="65"/>
      <c r="AS137" s="65"/>
      <c r="AT137" s="65"/>
      <c r="AU137" s="65"/>
      <c r="AV137" s="65"/>
      <c r="AW137" s="65"/>
      <c r="AX137" s="65"/>
      <c r="AY137" s="70"/>
      <c r="AZ137" s="70"/>
      <c r="BA137" s="70"/>
      <c r="BB137" s="65"/>
      <c r="BC137" s="65"/>
      <c r="BD137" s="65"/>
      <c r="BE137" s="65"/>
      <c r="BF137" s="65"/>
      <c r="BG137" s="65"/>
      <c r="BH137" s="65"/>
      <c r="BI137" s="65"/>
      <c r="BJ137" s="65"/>
      <c r="BK137" s="65"/>
      <c r="BL137" s="65"/>
      <c r="BM137" s="65"/>
      <c r="BN137" s="65"/>
      <c r="BO137" s="65"/>
      <c r="BP137" s="65"/>
      <c r="BQ137" s="65"/>
      <c r="BR137" s="65"/>
      <c r="BS137" s="65"/>
      <c r="BT137" s="65"/>
      <c r="BU137" s="65"/>
      <c r="BV137" s="65"/>
      <c r="BW137" s="65"/>
      <c r="BX137" s="65"/>
      <c r="BY137" s="65"/>
      <c r="BZ137" s="65"/>
      <c r="CA137" s="65"/>
      <c r="CB137" s="65"/>
      <c r="CC137" s="65"/>
      <c r="CD137" s="65"/>
      <c r="CE137" s="65"/>
      <c r="CF137" s="65"/>
      <c r="CG137" s="65"/>
      <c r="CH137" s="65"/>
      <c r="CI137" s="65"/>
      <c r="CJ137" s="65"/>
      <c r="CK137" s="65"/>
      <c r="CL137" s="65"/>
      <c r="CM137" s="65"/>
      <c r="CN137" s="65"/>
      <c r="CO137" s="65"/>
      <c r="CP137" s="65"/>
      <c r="CQ137" s="65"/>
      <c r="CR137" s="65"/>
      <c r="CS137" s="65"/>
      <c r="CT137" s="65"/>
      <c r="CU137" s="65"/>
      <c r="CV137" s="65"/>
      <c r="CW137" s="65"/>
      <c r="CX137" s="65"/>
      <c r="CY137" s="65"/>
      <c r="CZ137" s="65"/>
      <c r="DA137" s="65"/>
      <c r="DB137" s="65"/>
      <c r="DC137" s="65"/>
      <c r="DD137" s="65"/>
      <c r="DE137" s="65"/>
      <c r="DF137" s="65"/>
      <c r="DG137" s="65"/>
      <c r="DH137" s="65"/>
      <c r="DI137" s="65"/>
      <c r="DJ137" s="65"/>
      <c r="DK137" s="65"/>
      <c r="DL137" s="65"/>
      <c r="DM137" s="65"/>
      <c r="DN137" s="65"/>
      <c r="DO137" s="65"/>
      <c r="DP137" s="65"/>
      <c r="DQ137" s="65"/>
      <c r="DR137" s="65"/>
      <c r="DS137" s="65"/>
      <c r="DT137" s="65"/>
    </row>
    <row r="138" spans="1:124" ht="21.75" customHeight="1">
      <c r="A138" s="311"/>
      <c r="B138" s="229" t="s">
        <v>385</v>
      </c>
      <c r="C138" s="230"/>
      <c r="D138" s="231"/>
      <c r="E138" s="60"/>
      <c r="F138" s="91" t="s">
        <v>427</v>
      </c>
      <c r="G138" s="91" t="s">
        <v>427</v>
      </c>
      <c r="H138" s="91" t="s">
        <v>427</v>
      </c>
      <c r="I138" s="60"/>
      <c r="J138" s="60"/>
      <c r="K138" s="60"/>
      <c r="L138" s="60"/>
      <c r="M138" s="60"/>
      <c r="N138" s="60"/>
      <c r="O138" s="60"/>
      <c r="P138" s="60"/>
      <c r="Q138" s="60"/>
      <c r="R138" s="60"/>
      <c r="S138" s="60"/>
      <c r="T138" s="60"/>
      <c r="U138" s="60"/>
      <c r="V138" s="60"/>
      <c r="W138" s="60"/>
      <c r="X138" s="60" t="s">
        <v>386</v>
      </c>
      <c r="Y138" s="60"/>
      <c r="Z138" s="60"/>
      <c r="AA138" s="60" t="s">
        <v>387</v>
      </c>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80"/>
      <c r="AZ138" s="80"/>
      <c r="BA138" s="80"/>
      <c r="BB138" s="60"/>
      <c r="BC138" s="60"/>
      <c r="BD138" s="60"/>
      <c r="BE138" s="60"/>
      <c r="BF138" s="60"/>
      <c r="BG138" s="60"/>
      <c r="BH138" s="60"/>
      <c r="BI138" s="60"/>
      <c r="BJ138" s="60"/>
      <c r="BK138" s="60"/>
      <c r="BL138" s="60"/>
      <c r="BM138" s="60"/>
      <c r="BN138" s="60"/>
      <c r="BO138" s="60"/>
      <c r="BP138" s="60"/>
      <c r="BQ138" s="60"/>
      <c r="BR138" s="60"/>
      <c r="BS138" s="60"/>
      <c r="BT138" s="60"/>
      <c r="BU138" s="60"/>
      <c r="BV138" s="60"/>
      <c r="BW138" s="60"/>
      <c r="BX138" s="60"/>
      <c r="BY138" s="60"/>
      <c r="BZ138" s="60"/>
      <c r="CA138" s="60"/>
      <c r="CB138" s="60"/>
      <c r="CC138" s="60"/>
      <c r="CD138" s="60"/>
      <c r="CE138" s="60"/>
      <c r="CF138" s="60"/>
      <c r="CG138" s="60"/>
      <c r="CH138" s="60"/>
      <c r="CI138" s="60"/>
      <c r="CJ138" s="60"/>
      <c r="CK138" s="60"/>
      <c r="CL138" s="60"/>
      <c r="CM138" s="60"/>
      <c r="CN138" s="60"/>
      <c r="CO138" s="60"/>
      <c r="CP138" s="60"/>
      <c r="CQ138" s="60"/>
      <c r="CR138" s="60"/>
      <c r="CS138" s="60"/>
      <c r="CT138" s="60"/>
      <c r="CU138" s="60"/>
      <c r="CV138" s="60"/>
      <c r="CW138" s="60"/>
      <c r="CX138" s="60"/>
      <c r="CY138" s="60"/>
      <c r="CZ138" s="60"/>
      <c r="DA138" s="60"/>
      <c r="DB138" s="60"/>
      <c r="DC138" s="60"/>
      <c r="DD138" s="60"/>
      <c r="DE138" s="60"/>
      <c r="DF138" s="60"/>
      <c r="DG138" s="60"/>
      <c r="DH138" s="60"/>
      <c r="DI138" s="60"/>
      <c r="DJ138" s="60"/>
      <c r="DK138" s="60"/>
      <c r="DL138" s="60"/>
      <c r="DM138" s="60"/>
      <c r="DN138" s="60"/>
      <c r="DO138" s="60"/>
      <c r="DP138" s="60"/>
      <c r="DQ138" s="60"/>
      <c r="DR138" s="60"/>
      <c r="DS138" s="60"/>
      <c r="DT138" s="60"/>
    </row>
    <row r="139" spans="1:124" ht="21.75" customHeight="1">
      <c r="A139" s="311"/>
      <c r="B139" s="232"/>
      <c r="C139" s="233"/>
      <c r="D139" s="234"/>
      <c r="E139" s="65"/>
      <c r="F139" s="65">
        <v>147.5</v>
      </c>
      <c r="G139" s="65">
        <v>152.5</v>
      </c>
      <c r="H139" s="85" t="s">
        <v>450</v>
      </c>
      <c r="I139" s="65"/>
      <c r="J139" s="65"/>
      <c r="K139" s="65"/>
      <c r="L139" s="65"/>
      <c r="M139" s="65"/>
      <c r="N139" s="65"/>
      <c r="O139" s="65"/>
      <c r="P139" s="65"/>
      <c r="Q139" s="65"/>
      <c r="R139" s="65"/>
      <c r="S139" s="65"/>
      <c r="T139" s="65"/>
      <c r="U139" s="65"/>
      <c r="V139" s="65"/>
      <c r="W139" s="65"/>
      <c r="X139" s="65">
        <v>127.90697674418605</v>
      </c>
      <c r="Y139" s="65"/>
      <c r="Z139" s="65"/>
      <c r="AA139" s="65">
        <v>127.90697674418605</v>
      </c>
      <c r="AB139" s="65"/>
      <c r="AC139" s="65"/>
      <c r="AD139" s="65"/>
      <c r="AE139" s="65"/>
      <c r="AF139" s="65"/>
      <c r="AG139" s="65"/>
      <c r="AH139" s="65"/>
      <c r="AI139" s="65"/>
      <c r="AJ139" s="65"/>
      <c r="AK139" s="65"/>
      <c r="AL139" s="65"/>
      <c r="AM139" s="65"/>
      <c r="AN139" s="65"/>
      <c r="AO139" s="65"/>
      <c r="AP139" s="65"/>
      <c r="AQ139" s="65"/>
      <c r="AR139" s="65"/>
      <c r="AS139" s="65"/>
      <c r="AT139" s="65"/>
      <c r="AU139" s="65"/>
      <c r="AV139" s="65"/>
      <c r="AW139" s="65"/>
      <c r="AX139" s="65"/>
      <c r="AY139" s="70"/>
      <c r="AZ139" s="70"/>
      <c r="BA139" s="70"/>
      <c r="BB139" s="65"/>
      <c r="BC139" s="65"/>
      <c r="BD139" s="65"/>
      <c r="BE139" s="65"/>
      <c r="BF139" s="65"/>
      <c r="BG139" s="65"/>
      <c r="BH139" s="65"/>
      <c r="BI139" s="65"/>
      <c r="BJ139" s="65"/>
      <c r="BK139" s="65"/>
      <c r="BL139" s="65"/>
      <c r="BM139" s="65"/>
      <c r="BN139" s="65"/>
      <c r="BO139" s="65"/>
      <c r="BP139" s="65"/>
      <c r="BQ139" s="65"/>
      <c r="BR139" s="65"/>
      <c r="BS139" s="65"/>
      <c r="BT139" s="65"/>
      <c r="BU139" s="65"/>
      <c r="BV139" s="65"/>
      <c r="BW139" s="65"/>
      <c r="BX139" s="65"/>
      <c r="BY139" s="65"/>
      <c r="BZ139" s="65"/>
      <c r="CA139" s="65"/>
      <c r="CB139" s="65"/>
      <c r="CC139" s="65"/>
      <c r="CD139" s="65"/>
      <c r="CE139" s="65"/>
      <c r="CF139" s="65"/>
      <c r="CG139" s="65"/>
      <c r="CH139" s="65"/>
      <c r="CI139" s="65"/>
      <c r="CJ139" s="65"/>
      <c r="CK139" s="65"/>
      <c r="CL139" s="65"/>
      <c r="CM139" s="65"/>
      <c r="CN139" s="65"/>
      <c r="CO139" s="65"/>
      <c r="CP139" s="65"/>
      <c r="CQ139" s="65"/>
      <c r="CR139" s="65"/>
      <c r="CS139" s="65"/>
      <c r="CT139" s="65"/>
      <c r="CU139" s="65"/>
      <c r="CV139" s="65"/>
      <c r="CW139" s="65"/>
      <c r="CX139" s="65"/>
      <c r="CY139" s="65"/>
      <c r="CZ139" s="65"/>
      <c r="DA139" s="65"/>
      <c r="DB139" s="65"/>
      <c r="DC139" s="65"/>
      <c r="DD139" s="65"/>
      <c r="DE139" s="65"/>
      <c r="DF139" s="65"/>
      <c r="DG139" s="65"/>
      <c r="DH139" s="65"/>
      <c r="DI139" s="65"/>
      <c r="DJ139" s="65"/>
      <c r="DK139" s="65"/>
      <c r="DL139" s="65"/>
      <c r="DM139" s="65"/>
      <c r="DN139" s="65"/>
      <c r="DO139" s="65"/>
      <c r="DP139" s="65"/>
      <c r="DQ139" s="65"/>
      <c r="DR139" s="65"/>
      <c r="DS139" s="65"/>
      <c r="DT139" s="65"/>
    </row>
    <row r="140" spans="1:124" ht="21.75" customHeight="1">
      <c r="A140" s="311"/>
      <c r="B140" s="229" t="s">
        <v>451</v>
      </c>
      <c r="C140" s="230"/>
      <c r="D140" s="231"/>
      <c r="E140" s="68"/>
      <c r="F140" s="68"/>
      <c r="G140" s="68"/>
      <c r="H140" s="68"/>
      <c r="I140" s="68"/>
      <c r="J140" s="68"/>
      <c r="K140" s="68"/>
      <c r="L140" s="68"/>
      <c r="M140" s="68"/>
      <c r="N140" s="68"/>
      <c r="O140" s="68"/>
      <c r="P140" s="68"/>
      <c r="Q140" s="68"/>
      <c r="R140" s="68"/>
      <c r="S140" s="68"/>
      <c r="T140" s="68"/>
      <c r="U140" s="68" t="s">
        <v>452</v>
      </c>
      <c r="V140" s="68"/>
      <c r="W140" s="68"/>
      <c r="X140" s="68"/>
      <c r="Y140" s="68"/>
      <c r="Z140" s="68"/>
      <c r="AA140" s="68"/>
      <c r="AB140" s="68"/>
      <c r="AC140" s="68"/>
      <c r="AD140" s="68"/>
      <c r="AE140" s="68"/>
      <c r="AF140" s="68"/>
      <c r="AG140" s="68"/>
      <c r="AH140" s="68"/>
      <c r="AI140" s="68"/>
      <c r="AJ140" s="68"/>
      <c r="AK140" s="68" t="s">
        <v>452</v>
      </c>
      <c r="AL140" s="68"/>
      <c r="AM140" s="68"/>
      <c r="AN140" s="68" t="s">
        <v>452</v>
      </c>
      <c r="AO140" s="68"/>
      <c r="AP140" s="68"/>
      <c r="AQ140" s="68"/>
      <c r="AR140" s="68"/>
      <c r="AS140" s="68"/>
      <c r="AT140" s="68"/>
      <c r="AU140" s="68"/>
      <c r="AV140" s="68"/>
      <c r="AW140" s="68"/>
      <c r="AX140" s="68" t="s">
        <v>431</v>
      </c>
      <c r="AY140" s="68"/>
      <c r="AZ140" s="68"/>
      <c r="BA140" s="93" t="s">
        <v>432</v>
      </c>
      <c r="BB140" s="68"/>
      <c r="BC140" s="68"/>
      <c r="BD140" s="68"/>
      <c r="BE140" s="68"/>
      <c r="BF140" s="68"/>
      <c r="BG140" s="68"/>
      <c r="BH140" s="68"/>
      <c r="BI140" s="68"/>
      <c r="BJ140" s="68"/>
      <c r="BK140" s="68"/>
      <c r="BL140" s="68"/>
      <c r="BM140" s="68"/>
      <c r="BN140" s="68"/>
      <c r="BO140" s="68"/>
      <c r="BP140" s="68"/>
      <c r="BQ140" s="68"/>
      <c r="BR140" s="68"/>
      <c r="BS140" s="68"/>
      <c r="BT140" s="68"/>
      <c r="BU140" s="68"/>
      <c r="BV140" s="68"/>
      <c r="BW140" s="68"/>
      <c r="BX140" s="68"/>
      <c r="BY140" s="68"/>
      <c r="BZ140" s="68"/>
      <c r="CA140" s="68"/>
      <c r="CB140" s="68"/>
      <c r="CC140" s="68"/>
      <c r="CD140" s="68"/>
      <c r="CE140" s="68"/>
      <c r="CF140" s="68"/>
      <c r="CG140" s="68"/>
      <c r="CH140" s="68"/>
      <c r="CI140" s="68"/>
      <c r="CJ140" s="68"/>
      <c r="CK140" s="68"/>
      <c r="CL140" s="68"/>
      <c r="CM140" s="68"/>
      <c r="CN140" s="68"/>
      <c r="CO140" s="68"/>
      <c r="CP140" s="68"/>
      <c r="CQ140" s="68"/>
      <c r="CR140" s="68"/>
      <c r="CS140" s="68"/>
      <c r="CT140" s="68"/>
      <c r="CU140" s="68"/>
      <c r="CV140" s="68"/>
      <c r="CW140" s="68"/>
      <c r="CX140" s="68"/>
      <c r="CY140" s="68"/>
      <c r="CZ140" s="68"/>
      <c r="DA140" s="68"/>
      <c r="DB140" s="68"/>
      <c r="DC140" s="68"/>
      <c r="DD140" s="68"/>
      <c r="DE140" s="68"/>
      <c r="DF140" s="68"/>
      <c r="DG140" s="68"/>
      <c r="DH140" s="68"/>
      <c r="DI140" s="68"/>
      <c r="DJ140" s="68"/>
      <c r="DK140" s="68"/>
      <c r="DL140" s="68"/>
      <c r="DM140" s="68"/>
      <c r="DN140" s="68"/>
      <c r="DO140" s="68"/>
      <c r="DP140" s="68"/>
      <c r="DQ140" s="68"/>
      <c r="DR140" s="68"/>
      <c r="DS140" s="68"/>
      <c r="DT140" s="68"/>
    </row>
    <row r="141" spans="1:124" ht="21.75" customHeight="1">
      <c r="A141" s="311"/>
      <c r="B141" s="235"/>
      <c r="C141" s="236"/>
      <c r="D141" s="237"/>
      <c r="E141" s="65"/>
      <c r="F141" s="65"/>
      <c r="G141" s="65"/>
      <c r="H141" s="65"/>
      <c r="I141" s="65"/>
      <c r="J141" s="65"/>
      <c r="K141" s="65"/>
      <c r="L141" s="65"/>
      <c r="M141" s="65"/>
      <c r="N141" s="65"/>
      <c r="O141" s="65"/>
      <c r="P141" s="65"/>
      <c r="Q141" s="65"/>
      <c r="R141" s="65"/>
      <c r="S141" s="65"/>
      <c r="T141" s="65"/>
      <c r="U141" s="65">
        <v>130</v>
      </c>
      <c r="V141" s="65"/>
      <c r="W141" s="65"/>
      <c r="X141" s="65"/>
      <c r="Y141" s="65"/>
      <c r="Z141" s="65"/>
      <c r="AA141" s="65"/>
      <c r="AB141" s="65"/>
      <c r="AC141" s="65"/>
      <c r="AD141" s="65"/>
      <c r="AE141" s="65"/>
      <c r="AF141" s="65"/>
      <c r="AG141" s="65"/>
      <c r="AH141" s="65"/>
      <c r="AI141" s="65"/>
      <c r="AJ141" s="65"/>
      <c r="AK141" s="65">
        <v>140</v>
      </c>
      <c r="AL141" s="65"/>
      <c r="AM141" s="65"/>
      <c r="AN141" s="65">
        <v>130</v>
      </c>
      <c r="AO141" s="65"/>
      <c r="AP141" s="65"/>
      <c r="AQ141" s="65"/>
      <c r="AR141" s="65"/>
      <c r="AS141" s="65"/>
      <c r="AT141" s="65"/>
      <c r="AU141" s="65"/>
      <c r="AV141" s="65"/>
      <c r="AW141" s="65"/>
      <c r="AX141" s="65">
        <v>125</v>
      </c>
      <c r="AY141" s="65"/>
      <c r="AZ141" s="65"/>
      <c r="BA141" s="65">
        <v>140</v>
      </c>
      <c r="BB141" s="65"/>
      <c r="BC141" s="65"/>
      <c r="BD141" s="65"/>
      <c r="BE141" s="65"/>
      <c r="BF141" s="65"/>
      <c r="BG141" s="65"/>
      <c r="BH141" s="65"/>
      <c r="BI141" s="65"/>
      <c r="BJ141" s="65"/>
      <c r="BK141" s="65"/>
      <c r="BL141" s="65"/>
      <c r="BM141" s="65"/>
      <c r="BN141" s="65"/>
      <c r="BO141" s="65"/>
      <c r="BP141" s="65"/>
      <c r="BQ141" s="65"/>
      <c r="BR141" s="65"/>
      <c r="BS141" s="65"/>
      <c r="BT141" s="65"/>
      <c r="BU141" s="65"/>
      <c r="BV141" s="65"/>
      <c r="BW141" s="65"/>
      <c r="BX141" s="65"/>
      <c r="BY141" s="65"/>
      <c r="BZ141" s="65"/>
      <c r="CA141" s="65"/>
      <c r="CB141" s="65"/>
      <c r="CC141" s="65"/>
      <c r="CD141" s="65"/>
      <c r="CE141" s="65"/>
      <c r="CF141" s="65"/>
      <c r="CG141" s="65"/>
      <c r="CH141" s="65"/>
      <c r="CI141" s="65"/>
      <c r="CJ141" s="65"/>
      <c r="CK141" s="65"/>
      <c r="CL141" s="65"/>
      <c r="CM141" s="65"/>
      <c r="CN141" s="65"/>
      <c r="CO141" s="65"/>
      <c r="CP141" s="65"/>
      <c r="CQ141" s="65"/>
      <c r="CR141" s="65"/>
      <c r="CS141" s="65"/>
      <c r="CT141" s="65"/>
      <c r="CU141" s="65"/>
      <c r="CV141" s="65"/>
      <c r="CW141" s="65"/>
      <c r="CX141" s="65"/>
      <c r="CY141" s="65"/>
      <c r="CZ141" s="65"/>
      <c r="DA141" s="65"/>
      <c r="DB141" s="65"/>
      <c r="DC141" s="65"/>
      <c r="DD141" s="65"/>
      <c r="DE141" s="65"/>
      <c r="DF141" s="65"/>
      <c r="DG141" s="65"/>
      <c r="DH141" s="65"/>
      <c r="DI141" s="65"/>
      <c r="DJ141" s="65"/>
      <c r="DK141" s="65"/>
      <c r="DL141" s="65"/>
      <c r="DM141" s="65"/>
      <c r="DN141" s="65"/>
      <c r="DO141" s="65"/>
      <c r="DP141" s="65"/>
      <c r="DQ141" s="65"/>
      <c r="DR141" s="65"/>
      <c r="DS141" s="65"/>
      <c r="DT141" s="65"/>
    </row>
    <row r="142" spans="1:124" ht="21.75" customHeight="1">
      <c r="A142" s="311"/>
      <c r="B142" s="229" t="s">
        <v>391</v>
      </c>
      <c r="C142" s="230"/>
      <c r="D142" s="231"/>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8"/>
      <c r="AQ142" s="68"/>
      <c r="AR142" s="68"/>
      <c r="AS142" s="69"/>
      <c r="AT142" s="69"/>
      <c r="AU142" s="69"/>
      <c r="AV142" s="69"/>
      <c r="AW142" s="69"/>
      <c r="AX142" s="69"/>
      <c r="AY142" s="69"/>
      <c r="AZ142" s="69"/>
      <c r="BA142" s="69"/>
      <c r="BB142" s="69"/>
      <c r="BC142" s="69"/>
      <c r="BD142" s="69"/>
      <c r="BE142" s="69"/>
      <c r="BF142" s="69"/>
      <c r="BG142" s="68"/>
      <c r="BH142" s="68"/>
      <c r="BI142" s="68"/>
      <c r="BJ142" s="68"/>
      <c r="BK142" s="68"/>
      <c r="BL142" s="68"/>
      <c r="BM142" s="68"/>
      <c r="BN142" s="68"/>
      <c r="BO142" s="68"/>
      <c r="BP142" s="68"/>
      <c r="BQ142" s="68"/>
      <c r="BR142" s="68"/>
      <c r="BS142" s="68"/>
      <c r="BT142" s="68"/>
      <c r="BU142" s="68"/>
      <c r="BV142" s="68"/>
      <c r="BW142" s="68"/>
      <c r="BX142" s="68"/>
      <c r="BY142" s="68"/>
      <c r="BZ142" s="68"/>
      <c r="CA142" s="68"/>
      <c r="CB142" s="68"/>
      <c r="CC142" s="68"/>
      <c r="CD142" s="68"/>
      <c r="CE142" s="68"/>
      <c r="CF142" s="68"/>
      <c r="CG142" s="68"/>
      <c r="CH142" s="68"/>
      <c r="CI142" s="68"/>
      <c r="CJ142" s="68"/>
      <c r="CK142" s="68"/>
      <c r="CL142" s="68"/>
      <c r="CM142" s="68"/>
      <c r="CN142" s="68"/>
      <c r="CO142" s="68"/>
      <c r="CP142" s="68"/>
      <c r="CQ142" s="68"/>
      <c r="CR142" s="68"/>
      <c r="CS142" s="68"/>
      <c r="CT142" s="68"/>
      <c r="CU142" s="68"/>
      <c r="CV142" s="68"/>
      <c r="CW142" s="68"/>
      <c r="CX142" s="68"/>
      <c r="CY142" s="68"/>
      <c r="CZ142" s="68"/>
      <c r="DA142" s="68"/>
      <c r="DB142" s="68"/>
      <c r="DC142" s="68"/>
      <c r="DD142" s="68"/>
      <c r="DE142" s="68"/>
      <c r="DF142" s="68"/>
      <c r="DG142" s="68"/>
      <c r="DH142" s="68"/>
      <c r="DI142" s="68"/>
      <c r="DJ142" s="68"/>
      <c r="DK142" s="68"/>
      <c r="DL142" s="68"/>
      <c r="DM142" s="68"/>
      <c r="DN142" s="68"/>
      <c r="DO142" s="68"/>
      <c r="DP142" s="68"/>
      <c r="DQ142" s="68"/>
      <c r="DR142" s="68"/>
      <c r="DS142" s="68"/>
      <c r="DT142" s="68"/>
    </row>
    <row r="143" spans="1:124" ht="21.75" customHeight="1">
      <c r="A143" s="311"/>
      <c r="B143" s="232"/>
      <c r="C143" s="233"/>
      <c r="D143" s="234"/>
      <c r="E143" s="70"/>
      <c r="F143" s="70"/>
      <c r="G143" s="70"/>
      <c r="H143" s="70"/>
      <c r="I143" s="70"/>
      <c r="J143" s="70"/>
      <c r="K143" s="70"/>
      <c r="L143" s="70"/>
      <c r="M143" s="70"/>
      <c r="N143" s="70"/>
      <c r="O143" s="70"/>
      <c r="P143" s="70"/>
      <c r="Q143" s="70"/>
      <c r="R143" s="70"/>
      <c r="S143" s="70"/>
      <c r="T143" s="70"/>
      <c r="U143" s="70"/>
      <c r="V143" s="70"/>
      <c r="W143" s="70"/>
      <c r="X143" s="70"/>
      <c r="Y143" s="70"/>
      <c r="Z143" s="70"/>
      <c r="AA143" s="70"/>
      <c r="AB143" s="70"/>
      <c r="AC143" s="70"/>
      <c r="AD143" s="70"/>
      <c r="AE143" s="70"/>
      <c r="AF143" s="70"/>
      <c r="AG143" s="70"/>
      <c r="AH143" s="70"/>
      <c r="AI143" s="70"/>
      <c r="AJ143" s="70"/>
      <c r="AK143" s="70"/>
      <c r="AL143" s="70"/>
      <c r="AM143" s="70"/>
      <c r="AN143" s="70"/>
      <c r="AO143" s="70"/>
      <c r="AP143" s="65"/>
      <c r="AQ143" s="65"/>
      <c r="AR143" s="65"/>
      <c r="AS143" s="70"/>
      <c r="AT143" s="70"/>
      <c r="AU143" s="70"/>
      <c r="AV143" s="70"/>
      <c r="AW143" s="70"/>
      <c r="AX143" s="70"/>
      <c r="AY143" s="70"/>
      <c r="AZ143" s="70"/>
      <c r="BA143" s="70"/>
      <c r="BB143" s="70"/>
      <c r="BC143" s="70"/>
      <c r="BD143" s="70"/>
      <c r="BE143" s="70"/>
      <c r="BF143" s="70"/>
      <c r="BG143" s="65"/>
      <c r="BH143" s="65"/>
      <c r="BI143" s="65"/>
      <c r="BJ143" s="65"/>
      <c r="BK143" s="65"/>
      <c r="BL143" s="65"/>
      <c r="BM143" s="65"/>
      <c r="BN143" s="65"/>
      <c r="BO143" s="65"/>
      <c r="BP143" s="65"/>
      <c r="BQ143" s="65"/>
      <c r="BR143" s="65"/>
      <c r="BS143" s="65"/>
      <c r="BT143" s="65"/>
      <c r="BU143" s="65"/>
      <c r="BV143" s="65"/>
      <c r="BW143" s="65"/>
      <c r="BX143" s="65"/>
      <c r="BY143" s="65"/>
      <c r="BZ143" s="65"/>
      <c r="CA143" s="65"/>
      <c r="CB143" s="65"/>
      <c r="CC143" s="65"/>
      <c r="CD143" s="65"/>
      <c r="CE143" s="65"/>
      <c r="CF143" s="65"/>
      <c r="CG143" s="65"/>
      <c r="CH143" s="65"/>
      <c r="CI143" s="65"/>
      <c r="CJ143" s="65"/>
      <c r="CK143" s="65"/>
      <c r="CL143" s="65"/>
      <c r="CM143" s="65"/>
      <c r="CN143" s="65"/>
      <c r="CO143" s="65"/>
      <c r="CP143" s="65"/>
      <c r="CQ143" s="65"/>
      <c r="CR143" s="65"/>
      <c r="CS143" s="65"/>
      <c r="CT143" s="65"/>
      <c r="CU143" s="65"/>
      <c r="CV143" s="65"/>
      <c r="CW143" s="65"/>
      <c r="CX143" s="65"/>
      <c r="CY143" s="65"/>
      <c r="CZ143" s="65"/>
      <c r="DA143" s="65"/>
      <c r="DB143" s="65"/>
      <c r="DC143" s="65"/>
      <c r="DD143" s="65"/>
      <c r="DE143" s="65"/>
      <c r="DF143" s="65"/>
      <c r="DG143" s="65"/>
      <c r="DH143" s="65"/>
      <c r="DI143" s="65"/>
      <c r="DJ143" s="65"/>
      <c r="DK143" s="65"/>
      <c r="DL143" s="65"/>
      <c r="DM143" s="65"/>
      <c r="DN143" s="65"/>
      <c r="DO143" s="65"/>
      <c r="DP143" s="65"/>
      <c r="DQ143" s="65"/>
      <c r="DR143" s="65"/>
      <c r="DS143" s="65"/>
      <c r="DT143" s="65"/>
    </row>
    <row r="144" spans="1:124" ht="21.75" customHeight="1">
      <c r="A144" s="311"/>
      <c r="B144" s="229" t="s">
        <v>453</v>
      </c>
      <c r="C144" s="230"/>
      <c r="D144" s="231"/>
      <c r="E144" s="68"/>
      <c r="F144" s="68"/>
      <c r="G144" s="68"/>
      <c r="H144" s="68"/>
      <c r="I144" s="68"/>
      <c r="J144" s="68"/>
      <c r="K144" s="68"/>
      <c r="L144" s="68"/>
      <c r="M144" s="68"/>
      <c r="N144" s="68"/>
      <c r="O144" s="68"/>
      <c r="P144" s="68"/>
      <c r="Q144" s="68"/>
      <c r="R144" s="68"/>
      <c r="S144" s="68"/>
      <c r="T144" s="68"/>
      <c r="U144" s="68"/>
      <c r="V144" s="68"/>
      <c r="W144" s="68"/>
      <c r="X144" s="68"/>
      <c r="Y144" s="68" t="s">
        <v>434</v>
      </c>
      <c r="Z144" s="68"/>
      <c r="AA144" s="68"/>
      <c r="AB144" s="68"/>
      <c r="AC144" s="68" t="s">
        <v>394</v>
      </c>
      <c r="AD144" s="69"/>
      <c r="AE144" s="68"/>
      <c r="AF144" s="68"/>
      <c r="AG144" s="68"/>
      <c r="AH144" s="68" t="s">
        <v>454</v>
      </c>
      <c r="AI144" s="68"/>
      <c r="AJ144" s="68"/>
      <c r="AK144" s="68"/>
      <c r="AL144" s="68"/>
      <c r="AM144" s="68"/>
      <c r="AN144" s="68"/>
      <c r="AO144" s="68"/>
      <c r="AP144" s="68"/>
      <c r="AQ144" s="68"/>
      <c r="AR144" s="68"/>
      <c r="AS144" s="68" t="s">
        <v>383</v>
      </c>
      <c r="AT144" s="68"/>
      <c r="AU144" s="68"/>
      <c r="AV144" s="68" t="s">
        <v>394</v>
      </c>
      <c r="AW144" s="68"/>
      <c r="AX144" s="68"/>
      <c r="AY144" s="68"/>
      <c r="AZ144" s="68"/>
      <c r="BA144" s="68"/>
      <c r="BB144" s="68" t="s">
        <v>395</v>
      </c>
      <c r="BC144" s="68"/>
      <c r="BD144" s="68"/>
      <c r="BE144" s="68"/>
      <c r="BF144" s="68"/>
      <c r="BG144" s="68"/>
      <c r="BH144" s="68"/>
      <c r="BI144" s="68"/>
      <c r="BJ144" s="68"/>
      <c r="BK144" s="68"/>
      <c r="BL144" s="68"/>
      <c r="BM144" s="68"/>
      <c r="BN144" s="68"/>
      <c r="BO144" s="68"/>
      <c r="BP144" s="68"/>
      <c r="BQ144" s="68"/>
      <c r="BR144" s="68"/>
      <c r="BS144" s="68"/>
      <c r="BT144" s="68"/>
      <c r="BU144" s="68"/>
      <c r="BV144" s="68"/>
      <c r="BW144" s="68"/>
      <c r="BX144" s="68"/>
      <c r="BY144" s="68"/>
      <c r="BZ144" s="68"/>
      <c r="CA144" s="68"/>
      <c r="CB144" s="68"/>
      <c r="CC144" s="68"/>
      <c r="CD144" s="68"/>
      <c r="CE144" s="68"/>
      <c r="CF144" s="68"/>
      <c r="CG144" s="68"/>
      <c r="CH144" s="68"/>
      <c r="CI144" s="68"/>
      <c r="CJ144" s="68"/>
      <c r="CK144" s="68"/>
      <c r="CL144" s="68"/>
      <c r="CM144" s="68"/>
      <c r="CN144" s="68"/>
      <c r="CO144" s="68"/>
      <c r="CP144" s="68"/>
      <c r="CQ144" s="68"/>
      <c r="CR144" s="68"/>
      <c r="CS144" s="68"/>
      <c r="CT144" s="68"/>
      <c r="CU144" s="68"/>
      <c r="CV144" s="68"/>
      <c r="CW144" s="68"/>
      <c r="CX144" s="68"/>
      <c r="CY144" s="68"/>
      <c r="CZ144" s="68"/>
      <c r="DA144" s="68"/>
      <c r="DB144" s="68"/>
      <c r="DC144" s="68"/>
      <c r="DD144" s="68"/>
      <c r="DE144" s="68"/>
      <c r="DF144" s="68"/>
      <c r="DG144" s="68"/>
      <c r="DH144" s="68"/>
      <c r="DI144" s="68"/>
      <c r="DJ144" s="68"/>
      <c r="DK144" s="68"/>
      <c r="DL144" s="68"/>
      <c r="DM144" s="68"/>
      <c r="DN144" s="68"/>
      <c r="DO144" s="68"/>
      <c r="DP144" s="68"/>
      <c r="DQ144" s="68"/>
      <c r="DR144" s="68"/>
      <c r="DS144" s="68"/>
      <c r="DT144" s="68"/>
    </row>
    <row r="145" spans="1:124" ht="21.75" customHeight="1">
      <c r="A145" s="311"/>
      <c r="B145" s="232"/>
      <c r="C145" s="233"/>
      <c r="D145" s="234"/>
      <c r="E145" s="65"/>
      <c r="F145" s="65"/>
      <c r="G145" s="65"/>
      <c r="H145" s="65"/>
      <c r="I145" s="65"/>
      <c r="J145" s="65"/>
      <c r="K145" s="65"/>
      <c r="L145" s="65"/>
      <c r="M145" s="65"/>
      <c r="N145" s="65"/>
      <c r="O145" s="65"/>
      <c r="P145" s="65"/>
      <c r="Q145" s="65"/>
      <c r="R145" s="65"/>
      <c r="S145" s="65"/>
      <c r="T145" s="65"/>
      <c r="U145" s="65"/>
      <c r="V145" s="65"/>
      <c r="W145" s="65"/>
      <c r="X145" s="65"/>
      <c r="Y145" s="65">
        <v>107.78443113772455</v>
      </c>
      <c r="Z145" s="65"/>
      <c r="AA145" s="65"/>
      <c r="AB145" s="65"/>
      <c r="AC145" s="65">
        <v>116.27906976744187</v>
      </c>
      <c r="AD145" s="70"/>
      <c r="AE145" s="65"/>
      <c r="AF145" s="65"/>
      <c r="AG145" s="65"/>
      <c r="AH145" s="65">
        <f>100/0.885</f>
        <v>112.99435028248587</v>
      </c>
      <c r="AI145" s="65"/>
      <c r="AJ145" s="65"/>
      <c r="AK145" s="65"/>
      <c r="AL145" s="65"/>
      <c r="AM145" s="65"/>
      <c r="AN145" s="65"/>
      <c r="AO145" s="65"/>
      <c r="AP145" s="65"/>
      <c r="AQ145" s="65"/>
      <c r="AR145" s="65"/>
      <c r="AS145" s="65">
        <f>80/0.785</f>
        <v>101.9108280254777</v>
      </c>
      <c r="AT145" s="65"/>
      <c r="AU145" s="65"/>
      <c r="AV145" s="65">
        <f>90/0.86</f>
        <v>104.65116279069768</v>
      </c>
      <c r="AW145" s="65"/>
      <c r="AX145" s="65"/>
      <c r="AY145" s="65"/>
      <c r="AZ145" s="65"/>
      <c r="BA145" s="65"/>
      <c r="BB145" s="65">
        <f>85/0.785</f>
        <v>108.28025477707006</v>
      </c>
      <c r="BC145" s="65"/>
      <c r="BD145" s="65"/>
      <c r="BE145" s="65"/>
      <c r="BF145" s="65"/>
      <c r="BG145" s="65"/>
      <c r="BH145" s="65"/>
      <c r="BI145" s="65"/>
      <c r="BJ145" s="65"/>
      <c r="BK145" s="65"/>
      <c r="BL145" s="65"/>
      <c r="BM145" s="65"/>
      <c r="BN145" s="65"/>
      <c r="BO145" s="65"/>
      <c r="BP145" s="65"/>
      <c r="BQ145" s="65"/>
      <c r="BR145" s="65"/>
      <c r="BS145" s="65"/>
      <c r="BT145" s="65"/>
      <c r="BU145" s="65"/>
      <c r="BV145" s="65"/>
      <c r="BW145" s="65"/>
      <c r="BX145" s="65"/>
      <c r="BY145" s="65"/>
      <c r="BZ145" s="65"/>
      <c r="CA145" s="65"/>
      <c r="CB145" s="65"/>
      <c r="CC145" s="65"/>
      <c r="CD145" s="65"/>
      <c r="CE145" s="65"/>
      <c r="CF145" s="65"/>
      <c r="CG145" s="65"/>
      <c r="CH145" s="65"/>
      <c r="CI145" s="65"/>
      <c r="CJ145" s="65"/>
      <c r="CK145" s="65"/>
      <c r="CL145" s="65"/>
      <c r="CM145" s="65"/>
      <c r="CN145" s="65"/>
      <c r="CO145" s="65"/>
      <c r="CP145" s="65"/>
      <c r="CQ145" s="65"/>
      <c r="CR145" s="65"/>
      <c r="CS145" s="65"/>
      <c r="CT145" s="65"/>
      <c r="CU145" s="65"/>
      <c r="CV145" s="65"/>
      <c r="CW145" s="65"/>
      <c r="CX145" s="65"/>
      <c r="CY145" s="65"/>
      <c r="CZ145" s="65"/>
      <c r="DA145" s="65"/>
      <c r="DB145" s="65"/>
      <c r="DC145" s="65"/>
      <c r="DD145" s="65"/>
      <c r="DE145" s="65"/>
      <c r="DF145" s="65"/>
      <c r="DG145" s="65"/>
      <c r="DH145" s="65"/>
      <c r="DI145" s="65"/>
      <c r="DJ145" s="65"/>
      <c r="DK145" s="65"/>
      <c r="DL145" s="65"/>
      <c r="DM145" s="65"/>
      <c r="DN145" s="65"/>
      <c r="DO145" s="65"/>
      <c r="DP145" s="65"/>
      <c r="DQ145" s="65"/>
      <c r="DR145" s="65"/>
      <c r="DS145" s="65"/>
      <c r="DT145" s="65"/>
    </row>
    <row r="146" spans="1:124" ht="21.75" customHeight="1">
      <c r="A146" s="311"/>
      <c r="B146" s="235" t="s">
        <v>26</v>
      </c>
      <c r="C146" s="236"/>
      <c r="D146" s="237"/>
      <c r="E146" s="60"/>
      <c r="F146" s="62"/>
      <c r="G146" s="62"/>
      <c r="H146" s="62"/>
      <c r="I146" s="60"/>
      <c r="J146" s="60"/>
      <c r="K146" s="62"/>
      <c r="L146" s="60"/>
      <c r="M146" s="60"/>
      <c r="N146" s="60"/>
      <c r="O146" s="60"/>
      <c r="P146" s="60"/>
      <c r="Q146" s="60"/>
      <c r="R146" s="60"/>
      <c r="S146" s="60"/>
      <c r="T146" s="60" t="s">
        <v>402</v>
      </c>
      <c r="U146" s="60"/>
      <c r="V146" s="60" t="s">
        <v>402</v>
      </c>
      <c r="W146" s="62"/>
      <c r="X146" s="60"/>
      <c r="Y146" s="60"/>
      <c r="Z146" s="60"/>
      <c r="AA146" s="60"/>
      <c r="AB146" s="60" t="s">
        <v>399</v>
      </c>
      <c r="AC146" s="60"/>
      <c r="AD146" s="61" t="s">
        <v>58</v>
      </c>
      <c r="AE146" s="60"/>
      <c r="AF146" s="60"/>
      <c r="AG146" s="60"/>
      <c r="AH146" s="60"/>
      <c r="AI146" s="60"/>
      <c r="AJ146" s="60"/>
      <c r="AK146" s="60" t="s">
        <v>376</v>
      </c>
      <c r="AL146" s="60"/>
      <c r="AM146" s="60"/>
      <c r="AN146" s="60"/>
      <c r="AO146" s="62" t="s">
        <v>11</v>
      </c>
      <c r="AP146" s="60"/>
      <c r="AQ146" s="60"/>
      <c r="AR146" s="60"/>
      <c r="AS146" s="60"/>
      <c r="AT146" s="60"/>
      <c r="AU146" s="60"/>
      <c r="AV146" s="60"/>
      <c r="AW146" s="60"/>
      <c r="AX146" s="60" t="s">
        <v>384</v>
      </c>
      <c r="AY146" s="80"/>
      <c r="AZ146" s="80"/>
      <c r="BA146" s="68" t="s">
        <v>433</v>
      </c>
      <c r="BB146" s="60"/>
      <c r="BC146" s="60"/>
      <c r="BD146" s="60"/>
      <c r="BE146" s="60"/>
      <c r="BF146" s="60"/>
      <c r="BG146" s="60"/>
      <c r="BH146" s="60"/>
      <c r="BI146" s="60"/>
      <c r="BJ146" s="60"/>
      <c r="BK146" s="60"/>
      <c r="BL146" s="60"/>
      <c r="BM146" s="60"/>
      <c r="BN146" s="60"/>
      <c r="BO146" s="60"/>
      <c r="BP146" s="60"/>
      <c r="BQ146" s="60"/>
      <c r="BR146" s="60"/>
      <c r="BS146" s="60"/>
      <c r="BT146" s="60"/>
      <c r="BU146" s="60"/>
      <c r="BV146" s="60"/>
      <c r="BW146" s="60"/>
      <c r="BX146" s="60"/>
      <c r="BY146" s="60"/>
      <c r="BZ146" s="60"/>
      <c r="CA146" s="60"/>
      <c r="CB146" s="60"/>
      <c r="CC146" s="60"/>
      <c r="CD146" s="60"/>
      <c r="CE146" s="60"/>
      <c r="CF146" s="60"/>
      <c r="CG146" s="60"/>
      <c r="CH146" s="60"/>
      <c r="CI146" s="60"/>
      <c r="CJ146" s="60"/>
      <c r="CK146" s="60"/>
      <c r="CL146" s="60"/>
      <c r="CM146" s="60"/>
      <c r="CN146" s="60"/>
      <c r="CO146" s="60"/>
      <c r="CP146" s="60"/>
      <c r="CQ146" s="60"/>
      <c r="CR146" s="60"/>
      <c r="CS146" s="60"/>
      <c r="CT146" s="60"/>
      <c r="CU146" s="60"/>
      <c r="CV146" s="60"/>
      <c r="CW146" s="60"/>
      <c r="CX146" s="60"/>
      <c r="CY146" s="60"/>
      <c r="CZ146" s="60"/>
      <c r="DA146" s="60"/>
      <c r="DB146" s="60"/>
      <c r="DC146" s="60"/>
      <c r="DD146" s="60"/>
      <c r="DE146" s="60"/>
      <c r="DF146" s="60"/>
      <c r="DG146" s="60"/>
      <c r="DH146" s="60"/>
      <c r="DI146" s="60"/>
      <c r="DJ146" s="60"/>
      <c r="DK146" s="60"/>
      <c r="DL146" s="60"/>
      <c r="DM146" s="60"/>
      <c r="DN146" s="60"/>
      <c r="DO146" s="60"/>
      <c r="DP146" s="60"/>
      <c r="DQ146" s="60"/>
      <c r="DR146" s="60"/>
      <c r="DS146" s="60"/>
      <c r="DT146" s="60"/>
    </row>
    <row r="147" spans="1:124" ht="21.75" customHeight="1">
      <c r="A147" s="311"/>
      <c r="B147" s="232"/>
      <c r="C147" s="233"/>
      <c r="D147" s="234"/>
      <c r="E147" s="65"/>
      <c r="F147" s="67">
        <v>102</v>
      </c>
      <c r="G147" s="67">
        <v>107.5</v>
      </c>
      <c r="H147" s="67">
        <v>107.5</v>
      </c>
      <c r="I147" s="65"/>
      <c r="J147" s="65"/>
      <c r="K147" s="67">
        <v>100</v>
      </c>
      <c r="L147" s="65"/>
      <c r="M147" s="65"/>
      <c r="N147" s="65"/>
      <c r="O147" s="65"/>
      <c r="P147" s="65"/>
      <c r="Q147" s="65"/>
      <c r="R147" s="65"/>
      <c r="S147" s="65"/>
      <c r="T147" s="65">
        <f>100/0.935</f>
        <v>106.951871657754</v>
      </c>
      <c r="U147" s="65"/>
      <c r="V147" s="65">
        <f>100/0.935</f>
        <v>106.951871657754</v>
      </c>
      <c r="W147" s="67">
        <v>110</v>
      </c>
      <c r="X147" s="65"/>
      <c r="Y147" s="65"/>
      <c r="Z147" s="65"/>
      <c r="AA147" s="65"/>
      <c r="AB147" s="65">
        <f>100/0.885</f>
        <v>112.99435028248587</v>
      </c>
      <c r="AC147" s="65"/>
      <c r="AD147" s="72">
        <v>115</v>
      </c>
      <c r="AE147" s="65"/>
      <c r="AF147" s="65"/>
      <c r="AG147" s="65"/>
      <c r="AH147" s="65"/>
      <c r="AI147" s="65"/>
      <c r="AJ147" s="65"/>
      <c r="AK147" s="65">
        <f>100/0.91</f>
        <v>109.89010989010988</v>
      </c>
      <c r="AL147" s="65"/>
      <c r="AM147" s="65"/>
      <c r="AN147" s="65"/>
      <c r="AO147" s="67">
        <v>120</v>
      </c>
      <c r="AP147" s="65"/>
      <c r="AQ147" s="65"/>
      <c r="AR147" s="65"/>
      <c r="AS147" s="65"/>
      <c r="AT147" s="65"/>
      <c r="AU147" s="65"/>
      <c r="AV147" s="65"/>
      <c r="AW147" s="65"/>
      <c r="AX147" s="65">
        <f>95/0.91</f>
        <v>104.39560439560439</v>
      </c>
      <c r="AY147" s="70"/>
      <c r="AZ147" s="70"/>
      <c r="BA147" s="65">
        <v>100</v>
      </c>
      <c r="BB147" s="65"/>
      <c r="BC147" s="65"/>
      <c r="BD147" s="65"/>
      <c r="BE147" s="65"/>
      <c r="BF147" s="65"/>
      <c r="BG147" s="65"/>
      <c r="BH147" s="65"/>
      <c r="BI147" s="65"/>
      <c r="BJ147" s="65"/>
      <c r="BK147" s="65"/>
      <c r="BL147" s="65"/>
      <c r="BM147" s="65"/>
      <c r="BN147" s="65"/>
      <c r="BO147" s="65"/>
      <c r="BP147" s="65"/>
      <c r="BQ147" s="65"/>
      <c r="BR147" s="65"/>
      <c r="BS147" s="65"/>
      <c r="BT147" s="65"/>
      <c r="BU147" s="65"/>
      <c r="BV147" s="65"/>
      <c r="BW147" s="65"/>
      <c r="BX147" s="65"/>
      <c r="BY147" s="65"/>
      <c r="BZ147" s="65"/>
      <c r="CA147" s="65"/>
      <c r="CB147" s="65"/>
      <c r="CC147" s="65"/>
      <c r="CD147" s="65"/>
      <c r="CE147" s="65"/>
      <c r="CF147" s="65"/>
      <c r="CG147" s="65"/>
      <c r="CH147" s="65"/>
      <c r="CI147" s="65"/>
      <c r="CJ147" s="65"/>
      <c r="CK147" s="65"/>
      <c r="CL147" s="65"/>
      <c r="CM147" s="65"/>
      <c r="CN147" s="65"/>
      <c r="CO147" s="65"/>
      <c r="CP147" s="65"/>
      <c r="CQ147" s="65"/>
      <c r="CR147" s="65"/>
      <c r="CS147" s="65"/>
      <c r="CT147" s="65"/>
      <c r="CU147" s="65"/>
      <c r="CV147" s="65"/>
      <c r="CW147" s="65"/>
      <c r="CX147" s="65"/>
      <c r="CY147" s="65"/>
      <c r="CZ147" s="65"/>
      <c r="DA147" s="65"/>
      <c r="DB147" s="65"/>
      <c r="DC147" s="65"/>
      <c r="DD147" s="65"/>
      <c r="DE147" s="65"/>
      <c r="DF147" s="65"/>
      <c r="DG147" s="65"/>
      <c r="DH147" s="65"/>
      <c r="DI147" s="65"/>
      <c r="DJ147" s="65"/>
      <c r="DK147" s="65"/>
      <c r="DL147" s="65"/>
      <c r="DM147" s="65"/>
      <c r="DN147" s="65"/>
      <c r="DO147" s="65"/>
      <c r="DP147" s="65"/>
      <c r="DQ147" s="65"/>
      <c r="DR147" s="65"/>
      <c r="DS147" s="65"/>
      <c r="DT147" s="65"/>
    </row>
    <row r="148" spans="1:124" ht="21.75" customHeight="1">
      <c r="A148" s="311"/>
      <c r="B148" s="229" t="s">
        <v>53</v>
      </c>
      <c r="C148" s="230"/>
      <c r="D148" s="231"/>
      <c r="E148" s="60"/>
      <c r="F148" s="60"/>
      <c r="G148" s="60"/>
      <c r="H148" s="60"/>
      <c r="I148" s="60"/>
      <c r="J148" s="60"/>
      <c r="K148" s="60"/>
      <c r="L148" s="60"/>
      <c r="M148" s="60"/>
      <c r="N148" s="60"/>
      <c r="O148" s="60"/>
      <c r="P148" s="60" t="s">
        <v>378</v>
      </c>
      <c r="Q148" s="60"/>
      <c r="R148" s="60" t="s">
        <v>378</v>
      </c>
      <c r="S148" s="60"/>
      <c r="T148" s="60"/>
      <c r="U148" s="60"/>
      <c r="V148" s="60"/>
      <c r="W148" s="60"/>
      <c r="X148" s="60"/>
      <c r="Y148" s="73"/>
      <c r="Z148" s="68" t="s">
        <v>401</v>
      </c>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t="s">
        <v>396</v>
      </c>
      <c r="AY148" s="73"/>
      <c r="AZ148" s="73"/>
      <c r="BA148" s="73"/>
      <c r="BB148" s="60"/>
      <c r="BC148" s="60"/>
      <c r="BD148" s="60"/>
      <c r="BE148" s="60"/>
      <c r="BF148" s="60"/>
      <c r="BG148" s="60"/>
      <c r="BH148" s="60"/>
      <c r="BI148" s="60"/>
      <c r="BJ148" s="60"/>
      <c r="BK148" s="60"/>
      <c r="BL148" s="60"/>
      <c r="BM148" s="60"/>
      <c r="BN148" s="60"/>
      <c r="BO148" s="60"/>
      <c r="BP148" s="60"/>
      <c r="BQ148" s="60"/>
      <c r="BR148" s="60"/>
      <c r="BS148" s="60"/>
      <c r="BT148" s="60"/>
      <c r="BU148" s="60"/>
      <c r="BV148" s="60"/>
      <c r="BW148" s="60"/>
      <c r="BX148" s="60"/>
      <c r="BY148" s="60"/>
      <c r="BZ148" s="60"/>
      <c r="CA148" s="60"/>
      <c r="CB148" s="60"/>
      <c r="CC148" s="60"/>
      <c r="CD148" s="60"/>
      <c r="CE148" s="60"/>
      <c r="CF148" s="60"/>
      <c r="CG148" s="60"/>
      <c r="CH148" s="60"/>
      <c r="CI148" s="60"/>
      <c r="CJ148" s="60"/>
      <c r="CK148" s="60"/>
      <c r="CL148" s="60"/>
      <c r="CM148" s="60"/>
      <c r="CN148" s="60"/>
      <c r="CO148" s="60"/>
      <c r="CP148" s="60"/>
      <c r="CQ148" s="60"/>
      <c r="CR148" s="60"/>
      <c r="CS148" s="60"/>
      <c r="CT148" s="60"/>
      <c r="CU148" s="60"/>
      <c r="CV148" s="60"/>
      <c r="CW148" s="60"/>
      <c r="CX148" s="60"/>
      <c r="CY148" s="60"/>
      <c r="CZ148" s="60"/>
      <c r="DA148" s="60"/>
      <c r="DB148" s="60"/>
      <c r="DC148" s="60"/>
      <c r="DD148" s="60"/>
      <c r="DE148" s="60"/>
      <c r="DF148" s="60"/>
      <c r="DG148" s="60"/>
      <c r="DH148" s="60"/>
      <c r="DI148" s="60"/>
      <c r="DJ148" s="60"/>
      <c r="DK148" s="60"/>
      <c r="DL148" s="60"/>
      <c r="DM148" s="60"/>
      <c r="DN148" s="60"/>
      <c r="DO148" s="60"/>
      <c r="DP148" s="60"/>
      <c r="DQ148" s="60"/>
      <c r="DR148" s="60"/>
      <c r="DS148" s="60"/>
      <c r="DT148" s="60"/>
    </row>
    <row r="149" spans="1:124" ht="21.75" customHeight="1">
      <c r="A149" s="311"/>
      <c r="B149" s="232"/>
      <c r="C149" s="233"/>
      <c r="D149" s="234"/>
      <c r="E149" s="65"/>
      <c r="F149" s="65"/>
      <c r="G149" s="65"/>
      <c r="H149" s="65"/>
      <c r="I149" s="65"/>
      <c r="J149" s="65"/>
      <c r="K149" s="65"/>
      <c r="L149" s="65"/>
      <c r="M149" s="65"/>
      <c r="N149" s="65"/>
      <c r="O149" s="65"/>
      <c r="P149" s="65">
        <f>110/0.86</f>
        <v>127.90697674418605</v>
      </c>
      <c r="Q149" s="65"/>
      <c r="R149" s="65">
        <f>110/0.86</f>
        <v>127.90697674418605</v>
      </c>
      <c r="S149" s="65"/>
      <c r="T149" s="65"/>
      <c r="U149" s="65"/>
      <c r="V149" s="65"/>
      <c r="W149" s="65"/>
      <c r="X149" s="65"/>
      <c r="Y149" s="74"/>
      <c r="Z149" s="65">
        <f>90/0.835</f>
        <v>107.78443113772455</v>
      </c>
      <c r="AA149" s="65"/>
      <c r="AB149" s="65"/>
      <c r="AC149" s="65"/>
      <c r="AD149" s="65"/>
      <c r="AE149" s="65"/>
      <c r="AF149" s="65"/>
      <c r="AG149" s="65"/>
      <c r="AH149" s="65"/>
      <c r="AI149" s="65"/>
      <c r="AJ149" s="65"/>
      <c r="AK149" s="65"/>
      <c r="AL149" s="65"/>
      <c r="AM149" s="65"/>
      <c r="AN149" s="65"/>
      <c r="AO149" s="65"/>
      <c r="AP149" s="65"/>
      <c r="AQ149" s="65"/>
      <c r="AR149" s="65"/>
      <c r="AS149" s="65"/>
      <c r="AT149" s="65"/>
      <c r="AU149" s="65"/>
      <c r="AV149" s="65"/>
      <c r="AW149" s="65"/>
      <c r="AX149" s="65">
        <f>100/0.86</f>
        <v>116.27906976744187</v>
      </c>
      <c r="AY149" s="74"/>
      <c r="AZ149" s="74"/>
      <c r="BA149" s="74"/>
      <c r="BB149" s="65"/>
      <c r="BC149" s="65"/>
      <c r="BD149" s="65"/>
      <c r="BE149" s="65"/>
      <c r="BF149" s="65"/>
      <c r="BG149" s="65"/>
      <c r="BH149" s="65"/>
      <c r="BI149" s="65"/>
      <c r="BJ149" s="65"/>
      <c r="BK149" s="65"/>
      <c r="BL149" s="65"/>
      <c r="BM149" s="65"/>
      <c r="BN149" s="65"/>
      <c r="BO149" s="65"/>
      <c r="BP149" s="65"/>
      <c r="BQ149" s="65"/>
      <c r="BR149" s="65"/>
      <c r="BS149" s="65"/>
      <c r="BT149" s="65"/>
      <c r="BU149" s="65"/>
      <c r="BV149" s="65"/>
      <c r="BW149" s="65"/>
      <c r="BX149" s="65"/>
      <c r="BY149" s="65"/>
      <c r="BZ149" s="65"/>
      <c r="CA149" s="65"/>
      <c r="CB149" s="65"/>
      <c r="CC149" s="65"/>
      <c r="CD149" s="65"/>
      <c r="CE149" s="65"/>
      <c r="CF149" s="65"/>
      <c r="CG149" s="65"/>
      <c r="CH149" s="65"/>
      <c r="CI149" s="65"/>
      <c r="CJ149" s="65"/>
      <c r="CK149" s="65"/>
      <c r="CL149" s="65"/>
      <c r="CM149" s="65"/>
      <c r="CN149" s="65"/>
      <c r="CO149" s="65"/>
      <c r="CP149" s="65"/>
      <c r="CQ149" s="65"/>
      <c r="CR149" s="65"/>
      <c r="CS149" s="65"/>
      <c r="CT149" s="65"/>
      <c r="CU149" s="65"/>
      <c r="CV149" s="65"/>
      <c r="CW149" s="65"/>
      <c r="CX149" s="65"/>
      <c r="CY149" s="65"/>
      <c r="CZ149" s="65"/>
      <c r="DA149" s="65"/>
      <c r="DB149" s="65"/>
      <c r="DC149" s="65"/>
      <c r="DD149" s="65"/>
      <c r="DE149" s="65"/>
      <c r="DF149" s="65"/>
      <c r="DG149" s="65"/>
      <c r="DH149" s="65"/>
      <c r="DI149" s="65"/>
      <c r="DJ149" s="65"/>
      <c r="DK149" s="65"/>
      <c r="DL149" s="65"/>
      <c r="DM149" s="65"/>
      <c r="DN149" s="65"/>
      <c r="DO149" s="65"/>
      <c r="DP149" s="65"/>
      <c r="DQ149" s="65"/>
      <c r="DR149" s="65"/>
      <c r="DS149" s="65"/>
      <c r="DT149" s="65"/>
    </row>
    <row r="150" spans="1:124" ht="21.75" customHeight="1">
      <c r="A150" s="311"/>
      <c r="B150" s="229" t="s">
        <v>46</v>
      </c>
      <c r="C150" s="230"/>
      <c r="D150" s="231"/>
      <c r="E150" s="60"/>
      <c r="F150" s="60"/>
      <c r="G150" s="60"/>
      <c r="H150" s="60"/>
      <c r="I150" s="60"/>
      <c r="J150" s="60"/>
      <c r="K150" s="60"/>
      <c r="L150" s="60"/>
      <c r="M150" s="60"/>
      <c r="N150" s="60" t="s">
        <v>396</v>
      </c>
      <c r="O150" s="60"/>
      <c r="P150" s="60"/>
      <c r="Q150" s="60"/>
      <c r="R150" s="60"/>
      <c r="S150" s="60"/>
      <c r="T150" s="60"/>
      <c r="U150" s="60"/>
      <c r="V150" s="60"/>
      <c r="W150" s="60"/>
      <c r="X150" s="60"/>
      <c r="Y150" s="60"/>
      <c r="Z150" s="60"/>
      <c r="AA150" s="60"/>
      <c r="AB150" s="60"/>
      <c r="AC150" s="60"/>
      <c r="AD150" s="69"/>
      <c r="AE150" s="68"/>
      <c r="AF150" s="68"/>
      <c r="AG150" s="60"/>
      <c r="AH150" s="68"/>
      <c r="AI150" s="68" t="s">
        <v>402</v>
      </c>
      <c r="AJ150" s="68"/>
      <c r="AK150" s="68"/>
      <c r="AL150" s="68" t="s">
        <v>402</v>
      </c>
      <c r="AM150" s="68"/>
      <c r="AN150" s="68"/>
      <c r="AO150" s="60"/>
      <c r="AP150" s="60"/>
      <c r="AQ150" s="60"/>
      <c r="AR150" s="60"/>
      <c r="AS150" s="60"/>
      <c r="AT150" s="60"/>
      <c r="AU150" s="60"/>
      <c r="AV150" s="60"/>
      <c r="AW150" s="60"/>
      <c r="AX150" s="60"/>
      <c r="AY150" s="80"/>
      <c r="AZ150" s="80"/>
      <c r="BA150" s="80"/>
      <c r="BB150" s="60"/>
      <c r="BC150" s="60"/>
      <c r="BD150" s="60"/>
      <c r="BE150" s="60"/>
      <c r="BF150" s="60"/>
      <c r="BG150" s="60"/>
      <c r="BH150" s="60"/>
      <c r="BI150" s="60"/>
      <c r="BJ150" s="60"/>
      <c r="BK150" s="60"/>
      <c r="BL150" s="60"/>
      <c r="BM150" s="60"/>
      <c r="BN150" s="60"/>
      <c r="BO150" s="60"/>
      <c r="BP150" s="60"/>
      <c r="BQ150" s="60"/>
      <c r="BR150" s="60"/>
      <c r="BS150" s="60"/>
      <c r="BT150" s="60"/>
      <c r="BU150" s="60"/>
      <c r="BV150" s="60"/>
      <c r="BW150" s="60"/>
      <c r="BX150" s="60"/>
      <c r="BY150" s="60"/>
      <c r="BZ150" s="60"/>
      <c r="CA150" s="60"/>
      <c r="CB150" s="60"/>
      <c r="CC150" s="60"/>
      <c r="CD150" s="60"/>
      <c r="CE150" s="60"/>
      <c r="CF150" s="60"/>
      <c r="CG150" s="60"/>
      <c r="CH150" s="60"/>
      <c r="CI150" s="60"/>
      <c r="CJ150" s="60"/>
      <c r="CK150" s="60"/>
      <c r="CL150" s="60"/>
      <c r="CM150" s="60"/>
      <c r="CN150" s="60"/>
      <c r="CO150" s="60"/>
      <c r="CP150" s="60"/>
      <c r="CQ150" s="60"/>
      <c r="CR150" s="60"/>
      <c r="CS150" s="60"/>
      <c r="CT150" s="60"/>
      <c r="CU150" s="60"/>
      <c r="CV150" s="60"/>
      <c r="CW150" s="60"/>
      <c r="CX150" s="60"/>
      <c r="CY150" s="60"/>
      <c r="CZ150" s="60"/>
      <c r="DA150" s="60"/>
      <c r="DB150" s="60"/>
      <c r="DC150" s="60"/>
      <c r="DD150" s="60"/>
      <c r="DE150" s="60"/>
      <c r="DF150" s="60"/>
      <c r="DG150" s="60"/>
      <c r="DH150" s="60"/>
      <c r="DI150" s="60"/>
      <c r="DJ150" s="60"/>
      <c r="DK150" s="60"/>
      <c r="DL150" s="60"/>
      <c r="DM150" s="60"/>
      <c r="DN150" s="60"/>
      <c r="DO150" s="60"/>
      <c r="DP150" s="60"/>
      <c r="DQ150" s="60"/>
      <c r="DR150" s="60"/>
      <c r="DS150" s="60"/>
      <c r="DT150" s="60"/>
    </row>
    <row r="151" spans="1:124" ht="21.75" customHeight="1">
      <c r="A151" s="311"/>
      <c r="B151" s="232"/>
      <c r="C151" s="233"/>
      <c r="D151" s="234"/>
      <c r="E151" s="65"/>
      <c r="F151" s="65"/>
      <c r="G151" s="65"/>
      <c r="H151" s="65"/>
      <c r="I151" s="65"/>
      <c r="J151" s="65"/>
      <c r="K151" s="65"/>
      <c r="L151" s="65"/>
      <c r="M151" s="65"/>
      <c r="N151" s="65">
        <f>80/0.86</f>
        <v>93.023255813953483</v>
      </c>
      <c r="O151" s="65"/>
      <c r="P151" s="65"/>
      <c r="Q151" s="65"/>
      <c r="R151" s="65"/>
      <c r="S151" s="65"/>
      <c r="T151" s="65"/>
      <c r="U151" s="65"/>
      <c r="V151" s="65"/>
      <c r="W151" s="65"/>
      <c r="X151" s="65"/>
      <c r="Y151" s="65"/>
      <c r="Z151" s="65"/>
      <c r="AA151" s="65"/>
      <c r="AB151" s="65"/>
      <c r="AC151" s="65"/>
      <c r="AD151" s="70"/>
      <c r="AE151" s="65"/>
      <c r="AF151" s="65"/>
      <c r="AG151" s="65"/>
      <c r="AH151" s="65"/>
      <c r="AI151" s="65">
        <f>100/0.935</f>
        <v>106.951871657754</v>
      </c>
      <c r="AJ151" s="65"/>
      <c r="AK151" s="65"/>
      <c r="AL151" s="65">
        <f>105/0.935</f>
        <v>112.29946524064171</v>
      </c>
      <c r="AM151" s="65"/>
      <c r="AN151" s="65"/>
      <c r="AO151" s="65"/>
      <c r="AP151" s="65"/>
      <c r="AQ151" s="65"/>
      <c r="AR151" s="65"/>
      <c r="AS151" s="65"/>
      <c r="AT151" s="65"/>
      <c r="AU151" s="65"/>
      <c r="AV151" s="65"/>
      <c r="AW151" s="65"/>
      <c r="AX151" s="65"/>
      <c r="AY151" s="70"/>
      <c r="AZ151" s="70"/>
      <c r="BA151" s="70"/>
      <c r="BB151" s="65"/>
      <c r="BC151" s="65"/>
      <c r="BD151" s="65"/>
      <c r="BE151" s="65"/>
      <c r="BF151" s="65"/>
      <c r="BG151" s="65"/>
      <c r="BH151" s="65"/>
      <c r="BI151" s="65"/>
      <c r="BJ151" s="65"/>
      <c r="BK151" s="65"/>
      <c r="BL151" s="65"/>
      <c r="BM151" s="65"/>
      <c r="BN151" s="65"/>
      <c r="BO151" s="65"/>
      <c r="BP151" s="65"/>
      <c r="BQ151" s="65"/>
      <c r="BR151" s="65"/>
      <c r="BS151" s="65"/>
      <c r="BT151" s="65"/>
      <c r="BU151" s="65"/>
      <c r="BV151" s="65"/>
      <c r="BW151" s="65"/>
      <c r="BX151" s="65"/>
      <c r="BY151" s="65"/>
      <c r="BZ151" s="65"/>
      <c r="CA151" s="65"/>
      <c r="CB151" s="65"/>
      <c r="CC151" s="65"/>
      <c r="CD151" s="65"/>
      <c r="CE151" s="65"/>
      <c r="CF151" s="65"/>
      <c r="CG151" s="65"/>
      <c r="CH151" s="65"/>
      <c r="CI151" s="65"/>
      <c r="CJ151" s="65"/>
      <c r="CK151" s="65"/>
      <c r="CL151" s="65"/>
      <c r="CM151" s="65"/>
      <c r="CN151" s="65"/>
      <c r="CO151" s="65"/>
      <c r="CP151" s="65"/>
      <c r="CQ151" s="65"/>
      <c r="CR151" s="65"/>
      <c r="CS151" s="65"/>
      <c r="CT151" s="65"/>
      <c r="CU151" s="65"/>
      <c r="CV151" s="65"/>
      <c r="CW151" s="65"/>
      <c r="CX151" s="65"/>
      <c r="CY151" s="65"/>
      <c r="CZ151" s="65"/>
      <c r="DA151" s="65"/>
      <c r="DB151" s="65"/>
      <c r="DC151" s="65"/>
      <c r="DD151" s="65"/>
      <c r="DE151" s="65"/>
      <c r="DF151" s="65"/>
      <c r="DG151" s="65"/>
      <c r="DH151" s="65"/>
      <c r="DI151" s="65"/>
      <c r="DJ151" s="65"/>
      <c r="DK151" s="65"/>
      <c r="DL151" s="65"/>
      <c r="DM151" s="65"/>
      <c r="DN151" s="65"/>
      <c r="DO151" s="65"/>
      <c r="DP151" s="65"/>
      <c r="DQ151" s="65"/>
      <c r="DR151" s="65"/>
      <c r="DS151" s="65"/>
      <c r="DT151" s="65"/>
    </row>
    <row r="152" spans="1:124" ht="21.75" customHeight="1">
      <c r="A152" s="311"/>
      <c r="B152" s="229" t="s">
        <v>50</v>
      </c>
      <c r="C152" s="230"/>
      <c r="D152" s="231"/>
      <c r="E152" s="60"/>
      <c r="F152" s="60"/>
      <c r="G152" s="60"/>
      <c r="H152" s="60"/>
      <c r="I152" s="60"/>
      <c r="J152" s="60"/>
      <c r="K152" s="60"/>
      <c r="L152" s="60"/>
      <c r="M152" s="60" t="s">
        <v>384</v>
      </c>
      <c r="N152" s="60"/>
      <c r="O152" s="60"/>
      <c r="P152" s="60"/>
      <c r="Q152" s="60"/>
      <c r="R152" s="60"/>
      <c r="S152" s="60"/>
      <c r="T152" s="60"/>
      <c r="U152" s="60"/>
      <c r="V152" s="60"/>
      <c r="W152" s="60"/>
      <c r="X152" s="60"/>
      <c r="Y152" s="60" t="s">
        <v>434</v>
      </c>
      <c r="Z152" s="60"/>
      <c r="AA152" s="60"/>
      <c r="AB152" s="60"/>
      <c r="AC152" s="60" t="s">
        <v>401</v>
      </c>
      <c r="AD152" s="69"/>
      <c r="AE152" s="68" t="s">
        <v>396</v>
      </c>
      <c r="AF152" s="68"/>
      <c r="AG152" s="60"/>
      <c r="AH152" s="68" t="s">
        <v>396</v>
      </c>
      <c r="AI152" s="68"/>
      <c r="AJ152" s="68"/>
      <c r="AK152" s="68"/>
      <c r="AL152" s="68"/>
      <c r="AM152" s="68"/>
      <c r="AN152" s="68"/>
      <c r="AO152" s="60"/>
      <c r="AP152" s="60"/>
      <c r="AQ152" s="60"/>
      <c r="AR152" s="60"/>
      <c r="AS152" s="60"/>
      <c r="AT152" s="60"/>
      <c r="AU152" s="60"/>
      <c r="AV152" s="60"/>
      <c r="AW152" s="60"/>
      <c r="AX152" s="60"/>
      <c r="AY152" s="80"/>
      <c r="AZ152" s="80"/>
      <c r="BA152" s="80"/>
      <c r="BB152" s="60"/>
      <c r="BC152" s="60"/>
      <c r="BD152" s="60"/>
      <c r="BE152" s="60"/>
      <c r="BF152" s="60"/>
      <c r="BG152" s="60"/>
      <c r="BH152" s="60"/>
      <c r="BI152" s="60"/>
      <c r="BJ152" s="60"/>
      <c r="BK152" s="60"/>
      <c r="BL152" s="60"/>
      <c r="BM152" s="60"/>
      <c r="BN152" s="60"/>
      <c r="BO152" s="60"/>
      <c r="BP152" s="60"/>
      <c r="BQ152" s="60"/>
      <c r="BR152" s="60"/>
      <c r="BS152" s="60"/>
      <c r="BT152" s="60"/>
      <c r="BU152" s="60"/>
      <c r="BV152" s="60"/>
      <c r="BW152" s="60"/>
      <c r="BX152" s="60"/>
      <c r="BY152" s="60"/>
      <c r="BZ152" s="60"/>
      <c r="CA152" s="60"/>
      <c r="CB152" s="60"/>
      <c r="CC152" s="60"/>
      <c r="CD152" s="60"/>
      <c r="CE152" s="60"/>
      <c r="CF152" s="60"/>
      <c r="CG152" s="60"/>
      <c r="CH152" s="60"/>
      <c r="CI152" s="60"/>
      <c r="CJ152" s="60"/>
      <c r="CK152" s="60"/>
      <c r="CL152" s="60"/>
      <c r="CM152" s="60"/>
      <c r="CN152" s="60"/>
      <c r="CO152" s="60"/>
      <c r="CP152" s="60"/>
      <c r="CQ152" s="60"/>
      <c r="CR152" s="60"/>
      <c r="CS152" s="60"/>
      <c r="CT152" s="60"/>
      <c r="CU152" s="60"/>
      <c r="CV152" s="60"/>
      <c r="CW152" s="60"/>
      <c r="CX152" s="60"/>
      <c r="CY152" s="60"/>
      <c r="CZ152" s="60"/>
      <c r="DA152" s="60"/>
      <c r="DB152" s="60"/>
      <c r="DC152" s="60"/>
      <c r="DD152" s="60"/>
      <c r="DE152" s="60"/>
      <c r="DF152" s="60"/>
      <c r="DG152" s="60"/>
      <c r="DH152" s="60"/>
      <c r="DI152" s="60"/>
      <c r="DJ152" s="60"/>
      <c r="DK152" s="60"/>
      <c r="DL152" s="60"/>
      <c r="DM152" s="60"/>
      <c r="DN152" s="60"/>
      <c r="DO152" s="60"/>
      <c r="DP152" s="60"/>
      <c r="DQ152" s="60"/>
      <c r="DR152" s="60"/>
      <c r="DS152" s="60"/>
      <c r="DT152" s="60"/>
    </row>
    <row r="153" spans="1:124" ht="21.75" customHeight="1">
      <c r="A153" s="311"/>
      <c r="B153" s="232"/>
      <c r="C153" s="233"/>
      <c r="D153" s="234"/>
      <c r="E153" s="65"/>
      <c r="F153" s="65"/>
      <c r="G153" s="65"/>
      <c r="H153" s="65"/>
      <c r="I153" s="65"/>
      <c r="J153" s="65"/>
      <c r="K153" s="65"/>
      <c r="L153" s="65"/>
      <c r="M153" s="65">
        <f>220/0.91</f>
        <v>241.75824175824175</v>
      </c>
      <c r="N153" s="65"/>
      <c r="O153" s="65"/>
      <c r="P153" s="65"/>
      <c r="Q153" s="65"/>
      <c r="R153" s="65"/>
      <c r="S153" s="65"/>
      <c r="T153" s="65"/>
      <c r="U153" s="65"/>
      <c r="V153" s="65"/>
      <c r="W153" s="65"/>
      <c r="X153" s="65"/>
      <c r="Y153" s="65">
        <v>227.54491017964074</v>
      </c>
      <c r="Z153" s="65"/>
      <c r="AA153" s="65"/>
      <c r="AB153" s="65"/>
      <c r="AC153" s="65">
        <f>210/0.835</f>
        <v>251.49700598802397</v>
      </c>
      <c r="AD153" s="70"/>
      <c r="AE153" s="71">
        <f>210/0.86</f>
        <v>244.18604651162792</v>
      </c>
      <c r="AF153" s="65"/>
      <c r="AG153" s="65"/>
      <c r="AH153" s="65">
        <f>210/0.86</f>
        <v>244.18604651162792</v>
      </c>
      <c r="AI153" s="65"/>
      <c r="AJ153" s="65"/>
      <c r="AK153" s="65"/>
      <c r="AL153" s="65"/>
      <c r="AM153" s="65"/>
      <c r="AN153" s="65"/>
      <c r="AO153" s="65"/>
      <c r="AP153" s="65"/>
      <c r="AQ153" s="65"/>
      <c r="AR153" s="65"/>
      <c r="AS153" s="65"/>
      <c r="AT153" s="65"/>
      <c r="AU153" s="65"/>
      <c r="AV153" s="65"/>
      <c r="AW153" s="65"/>
      <c r="AX153" s="65"/>
      <c r="AY153" s="70"/>
      <c r="AZ153" s="70"/>
      <c r="BA153" s="70"/>
      <c r="BB153" s="65"/>
      <c r="BC153" s="65"/>
      <c r="BD153" s="65"/>
      <c r="BE153" s="65"/>
      <c r="BF153" s="65"/>
      <c r="BG153" s="65"/>
      <c r="BH153" s="65"/>
      <c r="BI153" s="65"/>
      <c r="BJ153" s="65"/>
      <c r="BK153" s="65"/>
      <c r="BL153" s="65"/>
      <c r="BM153" s="65"/>
      <c r="BN153" s="65"/>
      <c r="BO153" s="65"/>
      <c r="BP153" s="65"/>
      <c r="BQ153" s="65"/>
      <c r="BR153" s="65"/>
      <c r="BS153" s="65"/>
      <c r="BT153" s="65"/>
      <c r="BU153" s="65"/>
      <c r="BV153" s="65"/>
      <c r="BW153" s="65"/>
      <c r="BX153" s="65"/>
      <c r="BY153" s="65"/>
      <c r="BZ153" s="65"/>
      <c r="CA153" s="65"/>
      <c r="CB153" s="65"/>
      <c r="CC153" s="65"/>
      <c r="CD153" s="65"/>
      <c r="CE153" s="65"/>
      <c r="CF153" s="65"/>
      <c r="CG153" s="65"/>
      <c r="CH153" s="65"/>
      <c r="CI153" s="65"/>
      <c r="CJ153" s="65"/>
      <c r="CK153" s="65"/>
      <c r="CL153" s="65"/>
      <c r="CM153" s="65"/>
      <c r="CN153" s="65"/>
      <c r="CO153" s="65"/>
      <c r="CP153" s="65"/>
      <c r="CQ153" s="65"/>
      <c r="CR153" s="65"/>
      <c r="CS153" s="65"/>
      <c r="CT153" s="65"/>
      <c r="CU153" s="65"/>
      <c r="CV153" s="65"/>
      <c r="CW153" s="65"/>
      <c r="CX153" s="65"/>
      <c r="CY153" s="65"/>
      <c r="CZ153" s="65"/>
      <c r="DA153" s="65"/>
      <c r="DB153" s="65"/>
      <c r="DC153" s="65"/>
      <c r="DD153" s="65"/>
      <c r="DE153" s="65"/>
      <c r="DF153" s="65"/>
      <c r="DG153" s="65"/>
      <c r="DH153" s="65"/>
      <c r="DI153" s="65"/>
      <c r="DJ153" s="65"/>
      <c r="DK153" s="65"/>
      <c r="DL153" s="65"/>
      <c r="DM153" s="65"/>
      <c r="DN153" s="65"/>
      <c r="DO153" s="65"/>
      <c r="DP153" s="65"/>
      <c r="DQ153" s="65"/>
      <c r="DR153" s="65"/>
      <c r="DS153" s="65"/>
      <c r="DT153" s="65"/>
    </row>
    <row r="154" spans="1:124" ht="21.75" customHeight="1">
      <c r="A154" s="311"/>
      <c r="B154" s="229" t="s">
        <v>67</v>
      </c>
      <c r="C154" s="230"/>
      <c r="D154" s="231"/>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8"/>
      <c r="AH154" s="69"/>
      <c r="AI154" s="69"/>
      <c r="AJ154" s="69"/>
      <c r="AK154" s="69"/>
      <c r="AL154" s="69"/>
      <c r="AM154" s="69"/>
      <c r="AN154" s="68"/>
      <c r="AO154" s="68"/>
      <c r="AP154" s="68"/>
      <c r="AQ154" s="68"/>
      <c r="AR154" s="68"/>
      <c r="AS154" s="68" t="s">
        <v>407</v>
      </c>
      <c r="AT154" s="68"/>
      <c r="AU154" s="68"/>
      <c r="AV154" s="76" t="s">
        <v>411</v>
      </c>
      <c r="AW154" s="68"/>
      <c r="AX154" s="68"/>
      <c r="AY154" s="68"/>
      <c r="AZ154" s="68"/>
      <c r="BA154" s="68"/>
      <c r="BB154" s="68" t="s">
        <v>401</v>
      </c>
      <c r="BC154" s="68"/>
      <c r="BD154" s="68"/>
      <c r="BE154" s="68"/>
      <c r="BF154" s="68"/>
      <c r="BG154" s="68"/>
      <c r="BH154" s="68"/>
      <c r="BI154" s="68"/>
      <c r="BJ154" s="68"/>
      <c r="BK154" s="68"/>
      <c r="BL154" s="68"/>
      <c r="BM154" s="68"/>
      <c r="BN154" s="68"/>
      <c r="BO154" s="68"/>
      <c r="BP154" s="68"/>
      <c r="BQ154" s="68"/>
      <c r="BR154" s="68"/>
      <c r="BS154" s="68"/>
      <c r="BT154" s="68"/>
      <c r="BU154" s="68"/>
      <c r="BV154" s="68"/>
      <c r="BW154" s="68"/>
      <c r="BX154" s="68"/>
      <c r="BY154" s="68"/>
      <c r="BZ154" s="68"/>
      <c r="CA154" s="68"/>
      <c r="CB154" s="68"/>
      <c r="CC154" s="68"/>
      <c r="CD154" s="68"/>
      <c r="CE154" s="68"/>
      <c r="CF154" s="68"/>
      <c r="CG154" s="68"/>
      <c r="CH154" s="68"/>
      <c r="CI154" s="68"/>
      <c r="CJ154" s="68"/>
      <c r="CK154" s="68"/>
      <c r="CL154" s="68"/>
      <c r="CM154" s="68"/>
      <c r="CN154" s="68"/>
      <c r="CO154" s="68"/>
      <c r="CP154" s="68"/>
      <c r="CQ154" s="68"/>
      <c r="CR154" s="68"/>
      <c r="CS154" s="68"/>
      <c r="CT154" s="68"/>
      <c r="CU154" s="68"/>
      <c r="CV154" s="68"/>
      <c r="CW154" s="68"/>
      <c r="CX154" s="68"/>
      <c r="CY154" s="68"/>
      <c r="CZ154" s="68"/>
      <c r="DA154" s="68"/>
      <c r="DB154" s="68"/>
      <c r="DC154" s="68"/>
      <c r="DD154" s="68"/>
      <c r="DE154" s="68"/>
      <c r="DF154" s="68"/>
      <c r="DG154" s="68"/>
      <c r="DH154" s="68"/>
      <c r="DI154" s="68"/>
      <c r="DJ154" s="68"/>
      <c r="DK154" s="68"/>
      <c r="DL154" s="68"/>
      <c r="DM154" s="68"/>
      <c r="DN154" s="68"/>
      <c r="DO154" s="68"/>
      <c r="DP154" s="68"/>
      <c r="DQ154" s="68"/>
      <c r="DR154" s="68"/>
      <c r="DS154" s="68"/>
      <c r="DT154" s="68"/>
    </row>
    <row r="155" spans="1:124" ht="21.75" customHeight="1">
      <c r="A155" s="311"/>
      <c r="B155" s="232"/>
      <c r="C155" s="233"/>
      <c r="D155" s="234"/>
      <c r="E155" s="70"/>
      <c r="F155" s="70"/>
      <c r="G155" s="70"/>
      <c r="H155" s="70"/>
      <c r="I155" s="70"/>
      <c r="J155" s="70"/>
      <c r="K155" s="70"/>
      <c r="L155" s="70"/>
      <c r="M155" s="70"/>
      <c r="N155" s="70"/>
      <c r="O155" s="70"/>
      <c r="P155" s="70"/>
      <c r="Q155" s="70"/>
      <c r="R155" s="70"/>
      <c r="S155" s="70"/>
      <c r="T155" s="70"/>
      <c r="U155" s="70"/>
      <c r="V155" s="70"/>
      <c r="W155" s="70"/>
      <c r="X155" s="70"/>
      <c r="Y155" s="70"/>
      <c r="Z155" s="70"/>
      <c r="AA155" s="70"/>
      <c r="AB155" s="70"/>
      <c r="AC155" s="70"/>
      <c r="AD155" s="70"/>
      <c r="AE155" s="70"/>
      <c r="AF155" s="70"/>
      <c r="AG155" s="65"/>
      <c r="AH155" s="70"/>
      <c r="AI155" s="70"/>
      <c r="AJ155" s="70"/>
      <c r="AK155" s="70"/>
      <c r="AL155" s="70"/>
      <c r="AM155" s="70"/>
      <c r="AN155" s="65"/>
      <c r="AO155" s="65"/>
      <c r="AP155" s="65"/>
      <c r="AQ155" s="65"/>
      <c r="AR155" s="65"/>
      <c r="AS155" s="65">
        <f>320/0.735</f>
        <v>435.37414965986397</v>
      </c>
      <c r="AT155" s="65"/>
      <c r="AU155" s="65"/>
      <c r="AV155" s="77" t="s">
        <v>455</v>
      </c>
      <c r="AW155" s="65">
        <f>380/0.91</f>
        <v>417.58241758241758</v>
      </c>
      <c r="AX155" s="65"/>
      <c r="AY155" s="65"/>
      <c r="AZ155" s="65"/>
      <c r="BA155" s="65"/>
      <c r="BB155" s="65">
        <f>320/0.835</f>
        <v>383.23353293413174</v>
      </c>
      <c r="BC155" s="65"/>
      <c r="BD155" s="65"/>
      <c r="BE155" s="65"/>
      <c r="BF155" s="65"/>
      <c r="BG155" s="65"/>
      <c r="BH155" s="65"/>
      <c r="BI155" s="65"/>
      <c r="BJ155" s="65"/>
      <c r="BK155" s="65"/>
      <c r="BL155" s="65"/>
      <c r="BM155" s="65"/>
      <c r="BN155" s="65"/>
      <c r="BO155" s="65"/>
      <c r="BP155" s="65"/>
      <c r="BQ155" s="65"/>
      <c r="BR155" s="65"/>
      <c r="BS155" s="65"/>
      <c r="BT155" s="65"/>
      <c r="BU155" s="65"/>
      <c r="BV155" s="65"/>
      <c r="BW155" s="65"/>
      <c r="BX155" s="65"/>
      <c r="BY155" s="65"/>
      <c r="BZ155" s="65"/>
      <c r="CA155" s="65"/>
      <c r="CB155" s="65"/>
      <c r="CC155" s="65"/>
      <c r="CD155" s="65"/>
      <c r="CE155" s="65"/>
      <c r="CF155" s="65"/>
      <c r="CG155" s="65"/>
      <c r="CH155" s="65"/>
      <c r="CI155" s="65"/>
      <c r="CJ155" s="65"/>
      <c r="CK155" s="65"/>
      <c r="CL155" s="65"/>
      <c r="CM155" s="65"/>
      <c r="CN155" s="65"/>
      <c r="CO155" s="65"/>
      <c r="CP155" s="65"/>
      <c r="CQ155" s="65"/>
      <c r="CR155" s="65"/>
      <c r="CS155" s="65"/>
      <c r="CT155" s="65"/>
      <c r="CU155" s="65"/>
      <c r="CV155" s="65"/>
      <c r="CW155" s="65"/>
      <c r="CX155" s="65"/>
      <c r="CY155" s="65"/>
      <c r="CZ155" s="65"/>
      <c r="DA155" s="65"/>
      <c r="DB155" s="65"/>
      <c r="DC155" s="65"/>
      <c r="DD155" s="65"/>
      <c r="DE155" s="65"/>
      <c r="DF155" s="65"/>
      <c r="DG155" s="65"/>
      <c r="DH155" s="65"/>
      <c r="DI155" s="65"/>
      <c r="DJ155" s="65"/>
      <c r="DK155" s="65"/>
      <c r="DL155" s="65"/>
      <c r="DM155" s="65"/>
      <c r="DN155" s="65"/>
      <c r="DO155" s="65"/>
      <c r="DP155" s="65"/>
      <c r="DQ155" s="65"/>
      <c r="DR155" s="65"/>
      <c r="DS155" s="65"/>
      <c r="DT155" s="65"/>
    </row>
    <row r="156" spans="1:124" ht="21.75" customHeight="1">
      <c r="A156" s="311"/>
      <c r="B156" s="229" t="s">
        <v>406</v>
      </c>
      <c r="C156" s="230"/>
      <c r="D156" s="231"/>
      <c r="E156" s="60"/>
      <c r="F156" s="91" t="s">
        <v>436</v>
      </c>
      <c r="G156" s="91" t="s">
        <v>436</v>
      </c>
      <c r="H156" s="91" t="s">
        <v>436</v>
      </c>
      <c r="I156" s="60"/>
      <c r="J156" s="60"/>
      <c r="K156" s="60"/>
      <c r="L156" s="60"/>
      <c r="M156" s="60"/>
      <c r="N156" s="60"/>
      <c r="O156" s="60"/>
      <c r="P156" s="60"/>
      <c r="Q156" s="60"/>
      <c r="R156" s="60"/>
      <c r="S156" s="60"/>
      <c r="T156" s="60" t="s">
        <v>396</v>
      </c>
      <c r="U156" s="60"/>
      <c r="V156" s="60"/>
      <c r="W156" s="60"/>
      <c r="X156" s="60" t="s">
        <v>392</v>
      </c>
      <c r="Y156" s="60"/>
      <c r="Z156" s="60"/>
      <c r="AA156" s="60" t="s">
        <v>396</v>
      </c>
      <c r="AB156" s="60"/>
      <c r="AC156" s="60"/>
      <c r="AD156" s="69"/>
      <c r="AE156" s="68"/>
      <c r="AF156" s="68" t="s">
        <v>396</v>
      </c>
      <c r="AG156" s="60"/>
      <c r="AH156" s="68"/>
      <c r="AI156" s="68"/>
      <c r="AJ156" s="68"/>
      <c r="AK156" s="68"/>
      <c r="AL156" s="68"/>
      <c r="AM156" s="68"/>
      <c r="AN156" s="68"/>
      <c r="AO156" s="60"/>
      <c r="AP156" s="60"/>
      <c r="AQ156" s="60"/>
      <c r="AR156" s="60"/>
      <c r="AS156" s="60"/>
      <c r="AT156" s="60"/>
      <c r="AU156" s="60"/>
      <c r="AV156" s="60"/>
      <c r="AW156" s="60"/>
      <c r="AX156" s="60" t="s">
        <v>382</v>
      </c>
      <c r="AY156" s="76" t="s">
        <v>437</v>
      </c>
      <c r="AZ156" s="76" t="s">
        <v>438</v>
      </c>
      <c r="BA156" s="80"/>
      <c r="BB156" s="60"/>
      <c r="BC156" s="60"/>
      <c r="BD156" s="60"/>
      <c r="BE156" s="60"/>
      <c r="BF156" s="60"/>
      <c r="BG156" s="60"/>
      <c r="BH156" s="60"/>
      <c r="BI156" s="60"/>
      <c r="BJ156" s="60"/>
      <c r="BK156" s="60"/>
      <c r="BL156" s="60"/>
      <c r="BM156" s="60"/>
      <c r="BN156" s="60"/>
      <c r="BO156" s="60"/>
      <c r="BP156" s="60"/>
      <c r="BQ156" s="60"/>
      <c r="BR156" s="60"/>
      <c r="BS156" s="60"/>
      <c r="BT156" s="60"/>
      <c r="BU156" s="60"/>
      <c r="BV156" s="60"/>
      <c r="BW156" s="60"/>
      <c r="BX156" s="60"/>
      <c r="BY156" s="60"/>
      <c r="BZ156" s="60"/>
      <c r="CA156" s="60"/>
      <c r="CB156" s="60"/>
      <c r="CC156" s="60"/>
      <c r="CD156" s="60"/>
      <c r="CE156" s="60"/>
      <c r="CF156" s="60"/>
      <c r="CG156" s="60"/>
      <c r="CH156" s="60"/>
      <c r="CI156" s="60"/>
      <c r="CJ156" s="60"/>
      <c r="CK156" s="60"/>
      <c r="CL156" s="60"/>
      <c r="CM156" s="60"/>
      <c r="CN156" s="60"/>
      <c r="CO156" s="60"/>
      <c r="CP156" s="60"/>
      <c r="CQ156" s="60"/>
      <c r="CR156" s="60"/>
      <c r="CS156" s="60"/>
      <c r="CT156" s="60"/>
      <c r="CU156" s="60"/>
      <c r="CV156" s="60"/>
      <c r="CW156" s="60"/>
      <c r="CX156" s="60"/>
      <c r="CY156" s="60"/>
      <c r="CZ156" s="60"/>
      <c r="DA156" s="60"/>
      <c r="DB156" s="60"/>
      <c r="DC156" s="60"/>
      <c r="DD156" s="60"/>
      <c r="DE156" s="60"/>
      <c r="DF156" s="60"/>
      <c r="DG156" s="60"/>
      <c r="DH156" s="60"/>
      <c r="DI156" s="60"/>
      <c r="DJ156" s="60"/>
      <c r="DK156" s="60"/>
      <c r="DL156" s="60"/>
      <c r="DM156" s="60"/>
      <c r="DN156" s="60"/>
      <c r="DO156" s="60"/>
      <c r="DP156" s="60"/>
      <c r="DQ156" s="60"/>
      <c r="DR156" s="60"/>
      <c r="DS156" s="60"/>
      <c r="DT156" s="60"/>
    </row>
    <row r="157" spans="1:124" ht="21.75" customHeight="1">
      <c r="A157" s="311"/>
      <c r="B157" s="232"/>
      <c r="C157" s="233"/>
      <c r="D157" s="234"/>
      <c r="E157" s="65"/>
      <c r="F157" s="65">
        <f>190/0.935</f>
        <v>203.2085561497326</v>
      </c>
      <c r="G157" s="65">
        <f>210/0.935</f>
        <v>224.59893048128342</v>
      </c>
      <c r="H157" s="65">
        <f>240/0.935</f>
        <v>256.68449197860963</v>
      </c>
      <c r="I157" s="65"/>
      <c r="J157" s="65"/>
      <c r="K157" s="65"/>
      <c r="L157" s="65"/>
      <c r="M157" s="65"/>
      <c r="N157" s="65"/>
      <c r="O157" s="65"/>
      <c r="P157" s="65"/>
      <c r="Q157" s="65"/>
      <c r="R157" s="65"/>
      <c r="S157" s="65"/>
      <c r="T157" s="65">
        <f>160/0.86</f>
        <v>186.04651162790697</v>
      </c>
      <c r="U157" s="65"/>
      <c r="V157" s="65"/>
      <c r="W157" s="65"/>
      <c r="X157" s="65">
        <v>191.61676646706587</v>
      </c>
      <c r="Y157" s="65"/>
      <c r="Z157" s="65"/>
      <c r="AA157" s="65">
        <v>0</v>
      </c>
      <c r="AB157" s="65"/>
      <c r="AC157" s="65"/>
      <c r="AD157" s="70"/>
      <c r="AE157" s="65"/>
      <c r="AF157" s="65">
        <f>180/0.86</f>
        <v>209.30232558139537</v>
      </c>
      <c r="AG157" s="65"/>
      <c r="AH157" s="65"/>
      <c r="AI157" s="65"/>
      <c r="AJ157" s="65"/>
      <c r="AK157" s="65"/>
      <c r="AL157" s="65"/>
      <c r="AM157" s="65"/>
      <c r="AN157" s="65"/>
      <c r="AO157" s="65"/>
      <c r="AP157" s="65"/>
      <c r="AQ157" s="65"/>
      <c r="AR157" s="65"/>
      <c r="AS157" s="65"/>
      <c r="AT157" s="65"/>
      <c r="AU157" s="65"/>
      <c r="AV157" s="65"/>
      <c r="AW157" s="65"/>
      <c r="AX157" s="65">
        <f>160/0.885</f>
        <v>180.79096045197741</v>
      </c>
      <c r="AY157" s="100" t="s">
        <v>456</v>
      </c>
      <c r="AZ157" s="64" t="s">
        <v>457</v>
      </c>
      <c r="BA157" s="70"/>
      <c r="BB157" s="65"/>
      <c r="BC157" s="65"/>
      <c r="BD157" s="65"/>
      <c r="BE157" s="65"/>
      <c r="BF157" s="65"/>
      <c r="BG157" s="65"/>
      <c r="BH157" s="65"/>
      <c r="BI157" s="65"/>
      <c r="BJ157" s="65"/>
      <c r="BK157" s="65"/>
      <c r="BL157" s="65"/>
      <c r="BM157" s="65"/>
      <c r="BN157" s="65"/>
      <c r="BO157" s="65"/>
      <c r="BP157" s="65"/>
      <c r="BQ157" s="65"/>
      <c r="BR157" s="65"/>
      <c r="BS157" s="65"/>
      <c r="BT157" s="65"/>
      <c r="BU157" s="65"/>
      <c r="BV157" s="65"/>
      <c r="BW157" s="65"/>
      <c r="BX157" s="65"/>
      <c r="BY157" s="65"/>
      <c r="BZ157" s="65"/>
      <c r="CA157" s="65"/>
      <c r="CB157" s="65"/>
      <c r="CC157" s="65"/>
      <c r="CD157" s="65"/>
      <c r="CE157" s="65"/>
      <c r="CF157" s="65"/>
      <c r="CG157" s="65"/>
      <c r="CH157" s="65"/>
      <c r="CI157" s="65"/>
      <c r="CJ157" s="65"/>
      <c r="CK157" s="65"/>
      <c r="CL157" s="65"/>
      <c r="CM157" s="65"/>
      <c r="CN157" s="65"/>
      <c r="CO157" s="65"/>
      <c r="CP157" s="65"/>
      <c r="CQ157" s="65"/>
      <c r="CR157" s="65"/>
      <c r="CS157" s="65"/>
      <c r="CT157" s="65"/>
      <c r="CU157" s="65"/>
      <c r="CV157" s="65"/>
      <c r="CW157" s="65"/>
      <c r="CX157" s="65"/>
      <c r="CY157" s="65"/>
      <c r="CZ157" s="65"/>
      <c r="DA157" s="65"/>
      <c r="DB157" s="65"/>
      <c r="DC157" s="65"/>
      <c r="DD157" s="65"/>
      <c r="DE157" s="65"/>
      <c r="DF157" s="65"/>
      <c r="DG157" s="65"/>
      <c r="DH157" s="65"/>
      <c r="DI157" s="65"/>
      <c r="DJ157" s="65"/>
      <c r="DK157" s="65"/>
      <c r="DL157" s="65"/>
      <c r="DM157" s="65"/>
      <c r="DN157" s="65"/>
      <c r="DO157" s="65"/>
      <c r="DP157" s="65"/>
      <c r="DQ157" s="65"/>
      <c r="DR157" s="65"/>
      <c r="DS157" s="65"/>
      <c r="DT157" s="65"/>
    </row>
    <row r="158" spans="1:124" ht="21.75" customHeight="1">
      <c r="A158" s="311"/>
      <c r="B158" s="229" t="s">
        <v>458</v>
      </c>
      <c r="C158" s="230"/>
      <c r="D158" s="231"/>
      <c r="E158" s="69"/>
      <c r="F158" s="69"/>
      <c r="G158" s="69"/>
      <c r="H158" s="69"/>
      <c r="I158" s="69"/>
      <c r="J158" s="69"/>
      <c r="K158" s="69"/>
      <c r="L158" s="60"/>
      <c r="M158" s="60"/>
      <c r="N158" s="60"/>
      <c r="O158" s="60"/>
      <c r="P158" s="60" t="s">
        <v>396</v>
      </c>
      <c r="Q158" s="60"/>
      <c r="R158" s="60" t="s">
        <v>396</v>
      </c>
      <c r="S158" s="60"/>
      <c r="T158" s="60"/>
      <c r="U158" s="60"/>
      <c r="V158" s="60"/>
      <c r="W158" s="60"/>
      <c r="X158" s="69"/>
      <c r="Y158" s="69"/>
      <c r="Z158" s="69"/>
      <c r="AA158" s="69"/>
      <c r="AB158" s="69"/>
      <c r="AC158" s="69"/>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8"/>
      <c r="AZ158" s="68"/>
      <c r="BA158" s="68"/>
      <c r="BB158" s="69"/>
      <c r="BC158" s="69"/>
      <c r="BD158" s="69"/>
      <c r="BE158" s="69"/>
      <c r="BF158" s="69"/>
      <c r="BG158" s="69"/>
      <c r="BH158" s="69"/>
      <c r="BI158" s="69"/>
      <c r="BJ158" s="69"/>
      <c r="BK158" s="69"/>
      <c r="BL158" s="69"/>
      <c r="BM158" s="69"/>
      <c r="BN158" s="69"/>
      <c r="BO158" s="69"/>
      <c r="BP158" s="69"/>
      <c r="BQ158" s="69"/>
      <c r="BR158" s="69"/>
      <c r="BS158" s="69"/>
      <c r="BT158" s="69"/>
      <c r="BU158" s="69"/>
      <c r="BV158" s="69"/>
      <c r="BW158" s="69"/>
      <c r="BX158" s="69"/>
      <c r="BY158" s="69"/>
      <c r="BZ158" s="69"/>
      <c r="CA158" s="69"/>
      <c r="CB158" s="69"/>
      <c r="CC158" s="69"/>
      <c r="CD158" s="69"/>
      <c r="CE158" s="69"/>
      <c r="CF158" s="69"/>
      <c r="CG158" s="69"/>
      <c r="CH158" s="69"/>
      <c r="CI158" s="69"/>
      <c r="CJ158" s="69"/>
      <c r="CK158" s="69"/>
      <c r="CL158" s="69"/>
      <c r="CM158" s="69"/>
      <c r="CN158" s="69"/>
      <c r="CO158" s="69"/>
      <c r="CP158" s="69"/>
      <c r="CQ158" s="69"/>
      <c r="CR158" s="69"/>
      <c r="CS158" s="69"/>
      <c r="CT158" s="69"/>
      <c r="CU158" s="69"/>
      <c r="CV158" s="69"/>
      <c r="CW158" s="69"/>
      <c r="CX158" s="69"/>
      <c r="CY158" s="69"/>
      <c r="CZ158" s="69"/>
      <c r="DA158" s="69"/>
      <c r="DB158" s="69"/>
      <c r="DC158" s="69"/>
      <c r="DD158" s="69"/>
      <c r="DE158" s="69"/>
      <c r="DF158" s="69"/>
      <c r="DG158" s="69"/>
      <c r="DH158" s="69"/>
      <c r="DI158" s="69"/>
      <c r="DJ158" s="69"/>
      <c r="DK158" s="69"/>
      <c r="DL158" s="69"/>
      <c r="DM158" s="69"/>
      <c r="DN158" s="69"/>
      <c r="DO158" s="69"/>
      <c r="DP158" s="69"/>
      <c r="DQ158" s="69"/>
      <c r="DR158" s="69"/>
      <c r="DS158" s="69"/>
      <c r="DT158" s="69"/>
    </row>
    <row r="159" spans="1:124" ht="21.75" customHeight="1">
      <c r="A159" s="311"/>
      <c r="B159" s="232"/>
      <c r="C159" s="233"/>
      <c r="D159" s="234"/>
      <c r="E159" s="70"/>
      <c r="F159" s="70"/>
      <c r="G159" s="70"/>
      <c r="H159" s="70"/>
      <c r="I159" s="70"/>
      <c r="J159" s="70"/>
      <c r="K159" s="70"/>
      <c r="L159" s="65"/>
      <c r="M159" s="65"/>
      <c r="N159" s="65"/>
      <c r="O159" s="65"/>
      <c r="P159" s="65">
        <f>120/0.86</f>
        <v>139.53488372093022</v>
      </c>
      <c r="Q159" s="65"/>
      <c r="R159" s="65">
        <f>120/0.86</f>
        <v>139.53488372093022</v>
      </c>
      <c r="S159" s="65"/>
      <c r="T159" s="65"/>
      <c r="U159" s="65"/>
      <c r="V159" s="65"/>
      <c r="W159" s="65"/>
      <c r="X159" s="70"/>
      <c r="Y159" s="70"/>
      <c r="Z159" s="70"/>
      <c r="AA159" s="70"/>
      <c r="AB159" s="70"/>
      <c r="AC159" s="70"/>
      <c r="AD159" s="70"/>
      <c r="AE159" s="70"/>
      <c r="AF159" s="70"/>
      <c r="AG159" s="70"/>
      <c r="AH159" s="70"/>
      <c r="AI159" s="70"/>
      <c r="AJ159" s="70"/>
      <c r="AK159" s="70"/>
      <c r="AL159" s="70"/>
      <c r="AM159" s="70"/>
      <c r="AN159" s="70"/>
      <c r="AO159" s="70"/>
      <c r="AP159" s="70"/>
      <c r="AQ159" s="70"/>
      <c r="AR159" s="70"/>
      <c r="AS159" s="70"/>
      <c r="AT159" s="70"/>
      <c r="AU159" s="70"/>
      <c r="AV159" s="70"/>
      <c r="AW159" s="70"/>
      <c r="AX159" s="70"/>
      <c r="AY159" s="65"/>
      <c r="AZ159" s="65"/>
      <c r="BA159" s="65"/>
      <c r="BB159" s="70"/>
      <c r="BC159" s="70"/>
      <c r="BD159" s="70"/>
      <c r="BE159" s="70"/>
      <c r="BF159" s="70"/>
      <c r="BG159" s="70"/>
      <c r="BH159" s="70"/>
      <c r="BI159" s="70"/>
      <c r="BJ159" s="70"/>
      <c r="BK159" s="70"/>
      <c r="BL159" s="70"/>
      <c r="BM159" s="70"/>
      <c r="BN159" s="70"/>
      <c r="BO159" s="70"/>
      <c r="BP159" s="70"/>
      <c r="BQ159" s="70"/>
      <c r="BR159" s="70"/>
      <c r="BS159" s="70"/>
      <c r="BT159" s="70"/>
      <c r="BU159" s="70"/>
      <c r="BV159" s="70"/>
      <c r="BW159" s="70"/>
      <c r="BX159" s="70"/>
      <c r="BY159" s="70"/>
      <c r="BZ159" s="70"/>
      <c r="CA159" s="70"/>
      <c r="CB159" s="70"/>
      <c r="CC159" s="70"/>
      <c r="CD159" s="70"/>
      <c r="CE159" s="70"/>
      <c r="CF159" s="70"/>
      <c r="CG159" s="70"/>
      <c r="CH159" s="70"/>
      <c r="CI159" s="70"/>
      <c r="CJ159" s="70"/>
      <c r="CK159" s="70"/>
      <c r="CL159" s="70"/>
      <c r="CM159" s="70"/>
      <c r="CN159" s="70"/>
      <c r="CO159" s="70"/>
      <c r="CP159" s="70"/>
      <c r="CQ159" s="70"/>
      <c r="CR159" s="70"/>
      <c r="CS159" s="70"/>
      <c r="CT159" s="70"/>
      <c r="CU159" s="70"/>
      <c r="CV159" s="70"/>
      <c r="CW159" s="70"/>
      <c r="CX159" s="70"/>
      <c r="CY159" s="70"/>
      <c r="CZ159" s="70"/>
      <c r="DA159" s="70"/>
      <c r="DB159" s="70"/>
      <c r="DC159" s="70"/>
      <c r="DD159" s="70"/>
      <c r="DE159" s="70"/>
      <c r="DF159" s="70"/>
      <c r="DG159" s="70"/>
      <c r="DH159" s="70"/>
      <c r="DI159" s="70"/>
      <c r="DJ159" s="70"/>
      <c r="DK159" s="70"/>
      <c r="DL159" s="70"/>
      <c r="DM159" s="70"/>
      <c r="DN159" s="70"/>
      <c r="DO159" s="70"/>
      <c r="DP159" s="70"/>
      <c r="DQ159" s="70"/>
      <c r="DR159" s="70"/>
      <c r="DS159" s="70"/>
      <c r="DT159" s="70"/>
    </row>
    <row r="160" spans="1:124" ht="21.75" customHeight="1">
      <c r="A160" s="311"/>
      <c r="B160" s="229" t="s">
        <v>440</v>
      </c>
      <c r="C160" s="230"/>
      <c r="D160" s="231"/>
      <c r="E160" s="60"/>
      <c r="F160" s="60"/>
      <c r="G160" s="60"/>
      <c r="H160" s="60"/>
      <c r="I160" s="60"/>
      <c r="J160" s="60"/>
      <c r="K160" s="60"/>
      <c r="L160" s="60"/>
      <c r="M160" s="60"/>
      <c r="N160" s="60"/>
      <c r="O160" s="60"/>
      <c r="P160" s="60"/>
      <c r="Q160" s="60"/>
      <c r="R160" s="60"/>
      <c r="S160" s="60"/>
      <c r="T160" s="60"/>
      <c r="U160" s="60"/>
      <c r="V160" s="60"/>
      <c r="W160" s="60"/>
      <c r="X160" s="60"/>
      <c r="Y160" s="60" t="s">
        <v>396</v>
      </c>
      <c r="Z160" s="60"/>
      <c r="AA160" s="60"/>
      <c r="AB160" s="60"/>
      <c r="AC160" s="60"/>
      <c r="AD160" s="69"/>
      <c r="AE160" s="68"/>
      <c r="AF160" s="68" t="s">
        <v>396</v>
      </c>
      <c r="AG160" s="60"/>
      <c r="AH160" s="68"/>
      <c r="AI160" s="68"/>
      <c r="AJ160" s="68"/>
      <c r="AK160" s="68"/>
      <c r="AL160" s="68"/>
      <c r="AM160" s="68"/>
      <c r="AN160" s="68"/>
      <c r="AO160" s="60"/>
      <c r="AP160" s="60"/>
      <c r="AQ160" s="60"/>
      <c r="AR160" s="60"/>
      <c r="AS160" s="60"/>
      <c r="AT160" s="60"/>
      <c r="AU160" s="60"/>
      <c r="AV160" s="60"/>
      <c r="AW160" s="60"/>
      <c r="AX160" s="60"/>
      <c r="AY160" s="68"/>
      <c r="AZ160" s="68"/>
      <c r="BA160" s="68"/>
      <c r="BB160" s="60"/>
      <c r="BC160" s="60"/>
      <c r="BD160" s="60"/>
      <c r="BE160" s="60"/>
      <c r="BF160" s="60"/>
      <c r="BG160" s="60"/>
      <c r="BH160" s="60"/>
      <c r="BI160" s="60"/>
      <c r="BJ160" s="60"/>
      <c r="BK160" s="60"/>
      <c r="BL160" s="60"/>
      <c r="BM160" s="60"/>
      <c r="BN160" s="60"/>
      <c r="BO160" s="60"/>
      <c r="BP160" s="60"/>
      <c r="BQ160" s="60"/>
      <c r="BR160" s="60"/>
      <c r="BS160" s="60"/>
      <c r="BT160" s="60"/>
      <c r="BU160" s="60"/>
      <c r="BV160" s="60"/>
      <c r="BW160" s="60"/>
      <c r="BX160" s="60"/>
      <c r="BY160" s="60"/>
      <c r="BZ160" s="60"/>
      <c r="CA160" s="60"/>
      <c r="CB160" s="60"/>
      <c r="CC160" s="60"/>
      <c r="CD160" s="60"/>
      <c r="CE160" s="60"/>
      <c r="CF160" s="60"/>
      <c r="CG160" s="60"/>
      <c r="CH160" s="60"/>
      <c r="CI160" s="60"/>
      <c r="CJ160" s="60"/>
      <c r="CK160" s="60"/>
      <c r="CL160" s="60"/>
      <c r="CM160" s="60"/>
      <c r="CN160" s="60"/>
      <c r="CO160" s="60"/>
      <c r="CP160" s="60"/>
      <c r="CQ160" s="60"/>
      <c r="CR160" s="60"/>
      <c r="CS160" s="60"/>
      <c r="CT160" s="60"/>
      <c r="CU160" s="60"/>
      <c r="CV160" s="60"/>
      <c r="CW160" s="60"/>
      <c r="CX160" s="60"/>
      <c r="CY160" s="60"/>
      <c r="CZ160" s="60"/>
      <c r="DA160" s="60"/>
      <c r="DB160" s="60"/>
      <c r="DC160" s="60"/>
      <c r="DD160" s="60"/>
      <c r="DE160" s="60"/>
      <c r="DF160" s="60"/>
      <c r="DG160" s="60"/>
      <c r="DH160" s="60"/>
      <c r="DI160" s="60"/>
      <c r="DJ160" s="60"/>
      <c r="DK160" s="60"/>
      <c r="DL160" s="60"/>
      <c r="DM160" s="60"/>
      <c r="DN160" s="60"/>
      <c r="DO160" s="60"/>
      <c r="DP160" s="60"/>
      <c r="DQ160" s="60"/>
      <c r="DR160" s="60"/>
      <c r="DS160" s="60"/>
      <c r="DT160" s="60"/>
    </row>
    <row r="161" spans="1:124" ht="21.75" customHeight="1">
      <c r="A161" s="311"/>
      <c r="B161" s="232"/>
      <c r="C161" s="233"/>
      <c r="D161" s="234"/>
      <c r="E161" s="65"/>
      <c r="F161" s="65"/>
      <c r="G161" s="65"/>
      <c r="H161" s="65"/>
      <c r="I161" s="65"/>
      <c r="J161" s="65"/>
      <c r="K161" s="65"/>
      <c r="L161" s="65"/>
      <c r="M161" s="65"/>
      <c r="N161" s="65"/>
      <c r="O161" s="65"/>
      <c r="P161" s="65"/>
      <c r="Q161" s="65"/>
      <c r="R161" s="65"/>
      <c r="S161" s="65"/>
      <c r="T161" s="65"/>
      <c r="U161" s="65"/>
      <c r="V161" s="65"/>
      <c r="W161" s="65"/>
      <c r="X161" s="65"/>
      <c r="Y161" s="65">
        <v>151.16279069767441</v>
      </c>
      <c r="Z161" s="65"/>
      <c r="AA161" s="65"/>
      <c r="AB161" s="65"/>
      <c r="AC161" s="63"/>
      <c r="AD161" s="70"/>
      <c r="AE161" s="65"/>
      <c r="AF161" s="65">
        <f>110/0.86</f>
        <v>127.90697674418605</v>
      </c>
      <c r="AG161" s="65"/>
      <c r="AH161" s="65"/>
      <c r="AI161" s="65"/>
      <c r="AJ161" s="65"/>
      <c r="AK161" s="65"/>
      <c r="AL161" s="65"/>
      <c r="AM161" s="65"/>
      <c r="AN161" s="65"/>
      <c r="AO161" s="65"/>
      <c r="AP161" s="65"/>
      <c r="AQ161" s="65"/>
      <c r="AR161" s="65"/>
      <c r="AS161" s="65"/>
      <c r="AT161" s="65"/>
      <c r="AU161" s="65"/>
      <c r="AV161" s="65"/>
      <c r="AW161" s="65"/>
      <c r="AX161" s="65"/>
      <c r="AY161" s="65"/>
      <c r="AZ161" s="65"/>
      <c r="BA161" s="65"/>
      <c r="BB161" s="65"/>
      <c r="BC161" s="65"/>
      <c r="BD161" s="65"/>
      <c r="BE161" s="65"/>
      <c r="BF161" s="65"/>
      <c r="BG161" s="65"/>
      <c r="BH161" s="65"/>
      <c r="BI161" s="65"/>
      <c r="BJ161" s="65"/>
      <c r="BK161" s="65"/>
      <c r="BL161" s="65"/>
      <c r="BM161" s="65"/>
      <c r="BN161" s="65"/>
      <c r="BO161" s="65"/>
      <c r="BP161" s="65"/>
      <c r="BQ161" s="65"/>
      <c r="BR161" s="65"/>
      <c r="BS161" s="65"/>
      <c r="BT161" s="65"/>
      <c r="BU161" s="65"/>
      <c r="BV161" s="65"/>
      <c r="BW161" s="65"/>
      <c r="BX161" s="65"/>
      <c r="BY161" s="65"/>
      <c r="BZ161" s="65"/>
      <c r="CA161" s="65"/>
      <c r="CB161" s="65"/>
      <c r="CC161" s="65"/>
      <c r="CD161" s="65"/>
      <c r="CE161" s="65"/>
      <c r="CF161" s="65"/>
      <c r="CG161" s="65"/>
      <c r="CH161" s="65"/>
      <c r="CI161" s="65"/>
      <c r="CJ161" s="65"/>
      <c r="CK161" s="65"/>
      <c r="CL161" s="65"/>
      <c r="CM161" s="65"/>
      <c r="CN161" s="65"/>
      <c r="CO161" s="65"/>
      <c r="CP161" s="65"/>
      <c r="CQ161" s="65"/>
      <c r="CR161" s="65"/>
      <c r="CS161" s="65"/>
      <c r="CT161" s="65"/>
      <c r="CU161" s="65"/>
      <c r="CV161" s="65"/>
      <c r="CW161" s="65"/>
      <c r="CX161" s="65"/>
      <c r="CY161" s="65"/>
      <c r="CZ161" s="65"/>
      <c r="DA161" s="65"/>
      <c r="DB161" s="65"/>
      <c r="DC161" s="65"/>
      <c r="DD161" s="65"/>
      <c r="DE161" s="65"/>
      <c r="DF161" s="65"/>
      <c r="DG161" s="65"/>
      <c r="DH161" s="65"/>
      <c r="DI161" s="65"/>
      <c r="DJ161" s="65"/>
      <c r="DK161" s="65"/>
      <c r="DL161" s="65"/>
      <c r="DM161" s="65"/>
      <c r="DN161" s="65"/>
      <c r="DO161" s="65"/>
      <c r="DP161" s="65"/>
      <c r="DQ161" s="65"/>
      <c r="DR161" s="65"/>
      <c r="DS161" s="65"/>
      <c r="DT161" s="65"/>
    </row>
    <row r="162" spans="1:124" ht="21.75" customHeight="1">
      <c r="A162" s="311"/>
      <c r="B162" s="229" t="s">
        <v>133</v>
      </c>
      <c r="C162" s="230"/>
      <c r="D162" s="231"/>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8"/>
      <c r="AH162" s="69"/>
      <c r="AI162" s="69"/>
      <c r="AJ162" s="69"/>
      <c r="AK162" s="69"/>
      <c r="AL162" s="69"/>
      <c r="AM162" s="69"/>
      <c r="AN162" s="68"/>
      <c r="AO162" s="68"/>
      <c r="AP162" s="68"/>
      <c r="AQ162" s="68"/>
      <c r="AR162" s="68"/>
      <c r="AS162" s="68"/>
      <c r="AT162" s="68"/>
      <c r="AU162" s="68"/>
      <c r="AV162" s="68"/>
      <c r="AW162" s="68"/>
      <c r="AX162" s="68"/>
      <c r="AY162" s="80"/>
      <c r="AZ162" s="80"/>
      <c r="BA162" s="62" t="s">
        <v>413</v>
      </c>
      <c r="BB162" s="68" t="s">
        <v>392</v>
      </c>
      <c r="BC162" s="68"/>
      <c r="BD162" s="68"/>
      <c r="BE162" s="68"/>
      <c r="BF162" s="68"/>
      <c r="BG162" s="68"/>
      <c r="BH162" s="68"/>
      <c r="BI162" s="68"/>
      <c r="BJ162" s="68"/>
      <c r="BK162" s="68"/>
      <c r="BL162" s="68"/>
      <c r="BM162" s="68"/>
      <c r="BN162" s="68"/>
      <c r="BO162" s="68"/>
      <c r="BP162" s="68"/>
      <c r="BQ162" s="68"/>
      <c r="BR162" s="68"/>
      <c r="BS162" s="68"/>
      <c r="BT162" s="68"/>
      <c r="BU162" s="68"/>
      <c r="BV162" s="68"/>
      <c r="BW162" s="68"/>
      <c r="BX162" s="68"/>
      <c r="BY162" s="68"/>
      <c r="BZ162" s="68"/>
      <c r="CA162" s="68"/>
      <c r="CB162" s="68"/>
      <c r="CC162" s="68"/>
      <c r="CD162" s="68"/>
      <c r="CE162" s="68"/>
      <c r="CF162" s="68"/>
      <c r="CG162" s="68"/>
      <c r="CH162" s="68"/>
      <c r="CI162" s="68"/>
      <c r="CJ162" s="68"/>
      <c r="CK162" s="68"/>
      <c r="CL162" s="68"/>
      <c r="CM162" s="68"/>
      <c r="CN162" s="68"/>
      <c r="CO162" s="68"/>
      <c r="CP162" s="68"/>
      <c r="CQ162" s="68"/>
      <c r="CR162" s="68"/>
      <c r="CS162" s="68"/>
      <c r="CT162" s="68"/>
      <c r="CU162" s="68"/>
      <c r="CV162" s="68"/>
      <c r="CW162" s="68"/>
      <c r="CX162" s="68"/>
      <c r="CY162" s="68"/>
      <c r="CZ162" s="68"/>
      <c r="DA162" s="68"/>
      <c r="DB162" s="68"/>
      <c r="DC162" s="68"/>
      <c r="DD162" s="68"/>
      <c r="DE162" s="68"/>
      <c r="DF162" s="68"/>
      <c r="DG162" s="68"/>
      <c r="DH162" s="68"/>
      <c r="DI162" s="68"/>
      <c r="DJ162" s="68"/>
      <c r="DK162" s="68"/>
      <c r="DL162" s="68"/>
      <c r="DM162" s="68"/>
      <c r="DN162" s="68"/>
      <c r="DO162" s="68"/>
      <c r="DP162" s="68"/>
      <c r="DQ162" s="68"/>
      <c r="DR162" s="68"/>
      <c r="DS162" s="68"/>
      <c r="DT162" s="68"/>
    </row>
    <row r="163" spans="1:124" ht="21.75" customHeight="1">
      <c r="A163" s="311"/>
      <c r="B163" s="232"/>
      <c r="C163" s="233"/>
      <c r="D163" s="234"/>
      <c r="E163" s="70"/>
      <c r="F163" s="70"/>
      <c r="G163" s="70"/>
      <c r="H163" s="70"/>
      <c r="I163" s="70"/>
      <c r="J163" s="70"/>
      <c r="K163" s="70"/>
      <c r="L163" s="70"/>
      <c r="M163" s="70"/>
      <c r="N163" s="70"/>
      <c r="O163" s="70"/>
      <c r="P163" s="70"/>
      <c r="Q163" s="70"/>
      <c r="R163" s="70"/>
      <c r="S163" s="70"/>
      <c r="T163" s="70"/>
      <c r="U163" s="70"/>
      <c r="V163" s="70"/>
      <c r="W163" s="70"/>
      <c r="X163" s="70"/>
      <c r="Y163" s="70"/>
      <c r="Z163" s="70"/>
      <c r="AA163" s="70"/>
      <c r="AB163" s="70"/>
      <c r="AC163" s="70"/>
      <c r="AD163" s="70"/>
      <c r="AE163" s="70"/>
      <c r="AF163" s="70"/>
      <c r="AG163" s="65"/>
      <c r="AH163" s="70"/>
      <c r="AI163" s="70"/>
      <c r="AJ163" s="70"/>
      <c r="AK163" s="70"/>
      <c r="AL163" s="70"/>
      <c r="AM163" s="70"/>
      <c r="AN163" s="65"/>
      <c r="AO163" s="65"/>
      <c r="AP163" s="65"/>
      <c r="AQ163" s="65"/>
      <c r="AR163" s="65"/>
      <c r="AS163" s="65"/>
      <c r="AT163" s="65"/>
      <c r="AU163" s="65"/>
      <c r="AV163" s="65"/>
      <c r="AW163" s="65"/>
      <c r="AX163" s="65"/>
      <c r="AY163" s="70"/>
      <c r="AZ163" s="70"/>
      <c r="BA163" s="67">
        <f>110/0.885</f>
        <v>124.29378531073446</v>
      </c>
      <c r="BB163" s="65">
        <f>92/0.86</f>
        <v>106.97674418604652</v>
      </c>
      <c r="BC163" s="65"/>
      <c r="BD163" s="65"/>
      <c r="BE163" s="65"/>
      <c r="BF163" s="65"/>
      <c r="BG163" s="65"/>
      <c r="BH163" s="65"/>
      <c r="BI163" s="65"/>
      <c r="BJ163" s="65"/>
      <c r="BK163" s="65"/>
      <c r="BL163" s="65"/>
      <c r="BM163" s="65"/>
      <c r="BN163" s="65"/>
      <c r="BO163" s="65"/>
      <c r="BP163" s="65"/>
      <c r="BQ163" s="65"/>
      <c r="BR163" s="65"/>
      <c r="BS163" s="65"/>
      <c r="BT163" s="65"/>
      <c r="BU163" s="65"/>
      <c r="BV163" s="65"/>
      <c r="BW163" s="65"/>
      <c r="BX163" s="65"/>
      <c r="BY163" s="65"/>
      <c r="BZ163" s="65"/>
      <c r="CA163" s="65"/>
      <c r="CB163" s="65"/>
      <c r="CC163" s="65"/>
      <c r="CD163" s="65"/>
      <c r="CE163" s="65"/>
      <c r="CF163" s="65"/>
      <c r="CG163" s="65"/>
      <c r="CH163" s="65"/>
      <c r="CI163" s="65"/>
      <c r="CJ163" s="65"/>
      <c r="CK163" s="65"/>
      <c r="CL163" s="65"/>
      <c r="CM163" s="65"/>
      <c r="CN163" s="65"/>
      <c r="CO163" s="65"/>
      <c r="CP163" s="65"/>
      <c r="CQ163" s="65"/>
      <c r="CR163" s="65"/>
      <c r="CS163" s="65"/>
      <c r="CT163" s="65"/>
      <c r="CU163" s="65"/>
      <c r="CV163" s="65"/>
      <c r="CW163" s="65"/>
      <c r="CX163" s="65"/>
      <c r="CY163" s="65"/>
      <c r="CZ163" s="65"/>
      <c r="DA163" s="65"/>
      <c r="DB163" s="65"/>
      <c r="DC163" s="65"/>
      <c r="DD163" s="65"/>
      <c r="DE163" s="65"/>
      <c r="DF163" s="65"/>
      <c r="DG163" s="65"/>
      <c r="DH163" s="65"/>
      <c r="DI163" s="65"/>
      <c r="DJ163" s="65"/>
      <c r="DK163" s="65"/>
      <c r="DL163" s="65"/>
      <c r="DM163" s="65"/>
      <c r="DN163" s="65"/>
      <c r="DO163" s="65"/>
      <c r="DP163" s="65"/>
      <c r="DQ163" s="65"/>
      <c r="DR163" s="65"/>
      <c r="DS163" s="65"/>
      <c r="DT163" s="65"/>
    </row>
    <row r="164" spans="1:124" ht="21.75" customHeight="1">
      <c r="A164" s="311"/>
      <c r="B164" s="229" t="s">
        <v>414</v>
      </c>
      <c r="C164" s="230"/>
      <c r="D164" s="231"/>
      <c r="E164" s="60"/>
      <c r="F164" s="60"/>
      <c r="G164" s="60"/>
      <c r="H164" s="60"/>
      <c r="I164" s="60"/>
      <c r="J164" s="60"/>
      <c r="K164" s="60"/>
      <c r="L164" s="60"/>
      <c r="M164" s="60"/>
      <c r="N164" s="60"/>
      <c r="O164" s="60"/>
      <c r="P164" s="60"/>
      <c r="Q164" s="60"/>
      <c r="R164" s="60"/>
      <c r="S164" s="60"/>
      <c r="T164" s="60"/>
      <c r="U164" s="60"/>
      <c r="V164" s="60"/>
      <c r="W164" s="60"/>
      <c r="X164" s="60" t="s">
        <v>392</v>
      </c>
      <c r="Y164" s="60"/>
      <c r="Z164" s="60"/>
      <c r="AA164" s="60"/>
      <c r="AB164" s="60"/>
      <c r="AC164" s="252" t="s">
        <v>80</v>
      </c>
      <c r="AD164" s="60"/>
      <c r="AE164" s="60"/>
      <c r="AF164" s="60"/>
      <c r="AG164" s="60"/>
      <c r="AH164" s="60"/>
      <c r="AI164" s="60"/>
      <c r="AJ164" s="60"/>
      <c r="AK164" s="60"/>
      <c r="AL164" s="60"/>
      <c r="AM164" s="60"/>
      <c r="AN164" s="60"/>
      <c r="AO164" s="60"/>
      <c r="AP164" s="60"/>
      <c r="AQ164" s="60"/>
      <c r="AR164" s="60"/>
      <c r="AS164" s="68" t="s">
        <v>403</v>
      </c>
      <c r="AT164" s="60"/>
      <c r="AU164" s="60"/>
      <c r="AV164" s="68" t="s">
        <v>403</v>
      </c>
      <c r="AW164" s="60"/>
      <c r="AX164" s="60"/>
      <c r="AY164" s="68"/>
      <c r="AZ164" s="68"/>
      <c r="BA164" s="80"/>
      <c r="BB164" s="60"/>
      <c r="BC164" s="60"/>
      <c r="BD164" s="60"/>
      <c r="BE164" s="60"/>
      <c r="BF164" s="60"/>
      <c r="BG164" s="60"/>
      <c r="BH164" s="60"/>
      <c r="BI164" s="60"/>
      <c r="BJ164" s="60"/>
      <c r="BK164" s="60"/>
      <c r="BL164" s="60"/>
      <c r="BM164" s="60"/>
      <c r="BN164" s="60"/>
      <c r="BO164" s="60"/>
      <c r="BP164" s="60"/>
      <c r="BQ164" s="60"/>
      <c r="BR164" s="60"/>
      <c r="BS164" s="60"/>
      <c r="BT164" s="60"/>
      <c r="BU164" s="60"/>
      <c r="BV164" s="60"/>
      <c r="BW164" s="60"/>
      <c r="BX164" s="60"/>
      <c r="BY164" s="60"/>
      <c r="BZ164" s="60"/>
      <c r="CA164" s="60"/>
      <c r="CB164" s="60"/>
      <c r="CC164" s="60"/>
      <c r="CD164" s="60"/>
      <c r="CE164" s="60"/>
      <c r="CF164" s="60"/>
      <c r="CG164" s="60"/>
      <c r="CH164" s="60"/>
      <c r="CI164" s="60"/>
      <c r="CJ164" s="60"/>
      <c r="CK164" s="60"/>
      <c r="CL164" s="60"/>
      <c r="CM164" s="60"/>
      <c r="CN164" s="60"/>
      <c r="CO164" s="60"/>
      <c r="CP164" s="60"/>
      <c r="CQ164" s="60"/>
      <c r="CR164" s="60"/>
      <c r="CS164" s="60"/>
      <c r="CT164" s="60"/>
      <c r="CU164" s="60"/>
      <c r="CV164" s="60"/>
      <c r="CW164" s="60"/>
      <c r="CX164" s="60"/>
      <c r="CY164" s="60"/>
      <c r="CZ164" s="60"/>
      <c r="DA164" s="60"/>
      <c r="DB164" s="60"/>
      <c r="DC164" s="60"/>
      <c r="DD164" s="60"/>
      <c r="DE164" s="60"/>
      <c r="DF164" s="60"/>
      <c r="DG164" s="60"/>
      <c r="DH164" s="60"/>
      <c r="DI164" s="60"/>
      <c r="DJ164" s="60"/>
      <c r="DK164" s="60"/>
      <c r="DL164" s="60"/>
      <c r="DM164" s="60"/>
      <c r="DN164" s="60"/>
      <c r="DO164" s="60"/>
      <c r="DP164" s="60"/>
      <c r="DQ164" s="60"/>
      <c r="DR164" s="60"/>
      <c r="DS164" s="60"/>
      <c r="DT164" s="60"/>
    </row>
    <row r="165" spans="1:124" ht="21.75" customHeight="1">
      <c r="A165" s="311"/>
      <c r="B165" s="232"/>
      <c r="C165" s="233"/>
      <c r="D165" s="234"/>
      <c r="E165" s="65"/>
      <c r="F165" s="65"/>
      <c r="G165" s="65"/>
      <c r="H165" s="65"/>
      <c r="I165" s="65"/>
      <c r="J165" s="65"/>
      <c r="K165" s="65"/>
      <c r="L165" s="65"/>
      <c r="M165" s="65"/>
      <c r="N165" s="65"/>
      <c r="O165" s="65"/>
      <c r="P165" s="65"/>
      <c r="Q165" s="65"/>
      <c r="R165" s="65"/>
      <c r="S165" s="65"/>
      <c r="T165" s="65"/>
      <c r="U165" s="65"/>
      <c r="V165" s="65"/>
      <c r="W165" s="65"/>
      <c r="X165" s="65">
        <v>64.670658682634738</v>
      </c>
      <c r="Y165" s="65"/>
      <c r="Z165" s="65"/>
      <c r="AA165" s="65"/>
      <c r="AB165" s="65"/>
      <c r="AC165" s="252"/>
      <c r="AD165" s="65"/>
      <c r="AE165" s="65"/>
      <c r="AF165" s="65"/>
      <c r="AG165" s="65"/>
      <c r="AH165" s="65"/>
      <c r="AI165" s="65"/>
      <c r="AJ165" s="65"/>
      <c r="AK165" s="65"/>
      <c r="AL165" s="65"/>
      <c r="AM165" s="65"/>
      <c r="AN165" s="65"/>
      <c r="AO165" s="65"/>
      <c r="AP165" s="65"/>
      <c r="AQ165" s="65"/>
      <c r="AR165" s="65"/>
      <c r="AS165" s="65">
        <f>47/0.735</f>
        <v>63.945578231292515</v>
      </c>
      <c r="AT165" s="65"/>
      <c r="AU165" s="65"/>
      <c r="AV165" s="65">
        <f>47/0.735</f>
        <v>63.945578231292515</v>
      </c>
      <c r="AW165" s="65"/>
      <c r="AX165" s="65"/>
      <c r="AY165" s="65"/>
      <c r="AZ165" s="65"/>
      <c r="BA165" s="70"/>
      <c r="BB165" s="65"/>
      <c r="BC165" s="65"/>
      <c r="BD165" s="65"/>
      <c r="BE165" s="65"/>
      <c r="BF165" s="65"/>
      <c r="BG165" s="65"/>
      <c r="BH165" s="65"/>
      <c r="BI165" s="65"/>
      <c r="BJ165" s="65"/>
      <c r="BK165" s="65"/>
      <c r="BL165" s="65"/>
      <c r="BM165" s="65"/>
      <c r="BN165" s="65"/>
      <c r="BO165" s="65"/>
      <c r="BP165" s="65"/>
      <c r="BQ165" s="65"/>
      <c r="BR165" s="65"/>
      <c r="BS165" s="65"/>
      <c r="BT165" s="65"/>
      <c r="BU165" s="65"/>
      <c r="BV165" s="65"/>
      <c r="BW165" s="65"/>
      <c r="BX165" s="65"/>
      <c r="BY165" s="65"/>
      <c r="BZ165" s="65"/>
      <c r="CA165" s="65"/>
      <c r="CB165" s="65"/>
      <c r="CC165" s="65"/>
      <c r="CD165" s="65"/>
      <c r="CE165" s="65"/>
      <c r="CF165" s="65"/>
      <c r="CG165" s="65"/>
      <c r="CH165" s="65"/>
      <c r="CI165" s="65"/>
      <c r="CJ165" s="65"/>
      <c r="CK165" s="65"/>
      <c r="CL165" s="65"/>
      <c r="CM165" s="65"/>
      <c r="CN165" s="65"/>
      <c r="CO165" s="65"/>
      <c r="CP165" s="65"/>
      <c r="CQ165" s="65"/>
      <c r="CR165" s="65"/>
      <c r="CS165" s="65"/>
      <c r="CT165" s="65"/>
      <c r="CU165" s="65"/>
      <c r="CV165" s="65"/>
      <c r="CW165" s="65"/>
      <c r="CX165" s="65"/>
      <c r="CY165" s="65"/>
      <c r="CZ165" s="65"/>
      <c r="DA165" s="65"/>
      <c r="DB165" s="65"/>
      <c r="DC165" s="65"/>
      <c r="DD165" s="65"/>
      <c r="DE165" s="65"/>
      <c r="DF165" s="65"/>
      <c r="DG165" s="65"/>
      <c r="DH165" s="65"/>
      <c r="DI165" s="65"/>
      <c r="DJ165" s="65"/>
      <c r="DK165" s="65"/>
      <c r="DL165" s="65"/>
      <c r="DM165" s="65"/>
      <c r="DN165" s="65"/>
      <c r="DO165" s="65"/>
      <c r="DP165" s="65"/>
      <c r="DQ165" s="65"/>
      <c r="DR165" s="65"/>
      <c r="DS165" s="65"/>
      <c r="DT165" s="65"/>
    </row>
    <row r="166" spans="1:124" ht="21.75" customHeight="1">
      <c r="A166" s="311"/>
      <c r="B166" s="229" t="s">
        <v>103</v>
      </c>
      <c r="C166" s="230"/>
      <c r="D166" s="78" t="s">
        <v>415</v>
      </c>
      <c r="E166" s="65"/>
      <c r="F166" s="65"/>
      <c r="G166" s="65"/>
      <c r="H166" s="65"/>
      <c r="I166" s="65"/>
      <c r="J166" s="65"/>
      <c r="K166" s="65"/>
      <c r="L166" s="65"/>
      <c r="M166" s="65"/>
      <c r="N166" s="65"/>
      <c r="O166" s="65"/>
      <c r="P166" s="65"/>
      <c r="Q166" s="65"/>
      <c r="R166" s="65"/>
      <c r="S166" s="65"/>
      <c r="T166" s="65"/>
      <c r="U166" s="65"/>
      <c r="V166" s="65"/>
      <c r="W166" s="65"/>
      <c r="X166" s="65"/>
      <c r="Y166" s="65"/>
      <c r="Z166" s="65"/>
      <c r="AA166" s="65"/>
      <c r="AB166" s="65"/>
      <c r="AC166" s="101"/>
      <c r="AD166" s="70"/>
      <c r="AE166" s="65"/>
      <c r="AF166" s="65"/>
      <c r="AG166" s="65"/>
      <c r="AH166" s="65"/>
      <c r="AI166" s="65"/>
      <c r="AJ166" s="71" t="s">
        <v>459</v>
      </c>
      <c r="AK166" s="65"/>
      <c r="AL166" s="71" t="s">
        <v>460</v>
      </c>
      <c r="AM166" s="65"/>
      <c r="AN166" s="65"/>
      <c r="AO166" s="65"/>
      <c r="AP166" s="65"/>
      <c r="AQ166" s="65"/>
      <c r="AR166" s="65"/>
      <c r="AS166" s="65"/>
      <c r="AT166" s="65"/>
      <c r="AU166" s="65"/>
      <c r="AV166" s="65"/>
      <c r="AW166" s="65"/>
      <c r="AX166" s="65"/>
      <c r="AY166" s="65"/>
      <c r="AZ166" s="65"/>
      <c r="BA166" s="65"/>
      <c r="BB166" s="65"/>
      <c r="BC166" s="65"/>
      <c r="BD166" s="65"/>
      <c r="BE166" s="65"/>
      <c r="BF166" s="65"/>
      <c r="BG166" s="65"/>
      <c r="BH166" s="65"/>
      <c r="BI166" s="65"/>
      <c r="BJ166" s="65"/>
      <c r="BK166" s="65"/>
      <c r="BL166" s="65"/>
      <c r="BM166" s="65"/>
      <c r="BN166" s="65"/>
      <c r="BO166" s="65"/>
      <c r="BP166" s="65"/>
      <c r="BQ166" s="65"/>
      <c r="BR166" s="65"/>
      <c r="BS166" s="65"/>
      <c r="BT166" s="65"/>
      <c r="BU166" s="65"/>
      <c r="BV166" s="65"/>
      <c r="BW166" s="65"/>
      <c r="BX166" s="65"/>
      <c r="BY166" s="65"/>
      <c r="BZ166" s="65"/>
      <c r="CA166" s="65"/>
      <c r="CB166" s="65"/>
      <c r="CC166" s="65"/>
      <c r="CD166" s="65"/>
      <c r="CE166" s="65"/>
      <c r="CF166" s="65"/>
      <c r="CG166" s="65"/>
      <c r="CH166" s="65"/>
      <c r="CI166" s="65"/>
      <c r="CJ166" s="65"/>
      <c r="CK166" s="65"/>
      <c r="CL166" s="65"/>
      <c r="CM166" s="65"/>
      <c r="CN166" s="65"/>
      <c r="CO166" s="65"/>
      <c r="CP166" s="65"/>
      <c r="CQ166" s="65"/>
      <c r="CR166" s="65"/>
      <c r="CS166" s="65"/>
      <c r="CT166" s="65"/>
      <c r="CU166" s="65"/>
      <c r="CV166" s="65"/>
      <c r="CW166" s="65"/>
      <c r="CX166" s="65"/>
      <c r="CY166" s="65"/>
      <c r="CZ166" s="65"/>
      <c r="DA166" s="65"/>
      <c r="DB166" s="65"/>
      <c r="DC166" s="65"/>
      <c r="DD166" s="65"/>
      <c r="DE166" s="65"/>
      <c r="DF166" s="65"/>
      <c r="DG166" s="65"/>
      <c r="DH166" s="65"/>
      <c r="DI166" s="65"/>
      <c r="DJ166" s="65"/>
      <c r="DK166" s="65"/>
      <c r="DL166" s="65"/>
      <c r="DM166" s="65"/>
      <c r="DN166" s="65"/>
      <c r="DO166" s="65"/>
      <c r="DP166" s="65"/>
      <c r="DQ166" s="65"/>
      <c r="DR166" s="65"/>
      <c r="DS166" s="65"/>
      <c r="DT166" s="65"/>
    </row>
    <row r="167" spans="1:124" ht="21.75" customHeight="1">
      <c r="A167" s="311"/>
      <c r="B167" s="232"/>
      <c r="C167" s="233"/>
      <c r="D167" s="79" t="s">
        <v>418</v>
      </c>
      <c r="E167" s="65"/>
      <c r="F167" s="65"/>
      <c r="G167" s="65"/>
      <c r="H167" s="65"/>
      <c r="I167" s="65"/>
      <c r="J167" s="65"/>
      <c r="K167" s="65"/>
      <c r="L167" s="65"/>
      <c r="M167" s="65"/>
      <c r="N167" s="65"/>
      <c r="O167" s="65"/>
      <c r="P167" s="65"/>
      <c r="Q167" s="65"/>
      <c r="R167" s="65"/>
      <c r="S167" s="65"/>
      <c r="T167" s="65"/>
      <c r="U167" s="65"/>
      <c r="V167" s="65"/>
      <c r="W167" s="65"/>
      <c r="X167" s="65"/>
      <c r="Y167" s="65"/>
      <c r="Z167" s="65"/>
      <c r="AA167" s="65"/>
      <c r="AB167" s="65"/>
      <c r="AC167" s="65"/>
      <c r="AD167" s="70"/>
      <c r="AE167" s="65"/>
      <c r="AF167" s="65"/>
      <c r="AG167" s="65"/>
      <c r="AH167" s="65"/>
      <c r="AI167" s="65"/>
      <c r="AJ167" s="71" t="s">
        <v>459</v>
      </c>
      <c r="AK167" s="65"/>
      <c r="AL167" s="71" t="s">
        <v>460</v>
      </c>
      <c r="AM167" s="65"/>
      <c r="AN167" s="65"/>
      <c r="AO167" s="65"/>
      <c r="AP167" s="65"/>
      <c r="AQ167" s="65"/>
      <c r="AR167" s="65"/>
      <c r="AS167" s="65"/>
      <c r="AT167" s="65"/>
      <c r="AU167" s="65"/>
      <c r="AV167" s="65"/>
      <c r="AW167" s="65"/>
      <c r="AX167" s="65"/>
      <c r="AY167" s="65"/>
      <c r="AZ167" s="65"/>
      <c r="BA167" s="65"/>
      <c r="BB167" s="65"/>
      <c r="BC167" s="65"/>
      <c r="BD167" s="65"/>
      <c r="BE167" s="65"/>
      <c r="BF167" s="65"/>
      <c r="BG167" s="65"/>
      <c r="BH167" s="65"/>
      <c r="BI167" s="65"/>
      <c r="BJ167" s="65"/>
      <c r="BK167" s="65"/>
      <c r="BL167" s="65"/>
      <c r="BM167" s="65"/>
      <c r="BN167" s="65"/>
      <c r="BO167" s="65"/>
      <c r="BP167" s="65"/>
      <c r="BQ167" s="65"/>
      <c r="BR167" s="65"/>
      <c r="BS167" s="65"/>
      <c r="BT167" s="65"/>
      <c r="BU167" s="65"/>
      <c r="BV167" s="65"/>
      <c r="BW167" s="65"/>
      <c r="BX167" s="65"/>
      <c r="BY167" s="65"/>
      <c r="BZ167" s="65"/>
      <c r="CA167" s="65"/>
      <c r="CB167" s="65"/>
      <c r="CC167" s="65"/>
      <c r="CD167" s="65"/>
      <c r="CE167" s="65"/>
      <c r="CF167" s="65"/>
      <c r="CG167" s="65"/>
      <c r="CH167" s="65"/>
      <c r="CI167" s="65"/>
      <c r="CJ167" s="65"/>
      <c r="CK167" s="65"/>
      <c r="CL167" s="65"/>
      <c r="CM167" s="65"/>
      <c r="CN167" s="65"/>
      <c r="CO167" s="65"/>
      <c r="CP167" s="65"/>
      <c r="CQ167" s="65"/>
      <c r="CR167" s="65"/>
      <c r="CS167" s="65"/>
      <c r="CT167" s="65"/>
      <c r="CU167" s="65"/>
      <c r="CV167" s="65"/>
      <c r="CW167" s="65"/>
      <c r="CX167" s="65"/>
      <c r="CY167" s="65"/>
      <c r="CZ167" s="65"/>
      <c r="DA167" s="65"/>
      <c r="DB167" s="65"/>
      <c r="DC167" s="65"/>
      <c r="DD167" s="65"/>
      <c r="DE167" s="65"/>
      <c r="DF167" s="65"/>
      <c r="DG167" s="65"/>
      <c r="DH167" s="65"/>
      <c r="DI167" s="65"/>
      <c r="DJ167" s="65"/>
      <c r="DK167" s="65"/>
      <c r="DL167" s="65"/>
      <c r="DM167" s="65"/>
      <c r="DN167" s="65"/>
      <c r="DO167" s="65"/>
      <c r="DP167" s="65"/>
      <c r="DQ167" s="65"/>
      <c r="DR167" s="65"/>
      <c r="DS167" s="65"/>
      <c r="DT167" s="65"/>
    </row>
    <row r="168" spans="1:124" ht="21.75" customHeight="1">
      <c r="A168" s="311"/>
      <c r="B168" s="229" t="s">
        <v>461</v>
      </c>
      <c r="C168" s="230"/>
      <c r="D168" s="231"/>
      <c r="E168" s="255"/>
      <c r="F168" s="255"/>
      <c r="G168" s="255"/>
      <c r="H168" s="255"/>
      <c r="I168" s="255"/>
      <c r="J168" s="255"/>
      <c r="K168" s="255"/>
      <c r="L168" s="255"/>
      <c r="M168" s="255"/>
      <c r="N168" s="255"/>
      <c r="O168" s="255"/>
      <c r="P168" s="255"/>
      <c r="Q168" s="255"/>
      <c r="R168" s="255"/>
      <c r="S168" s="255"/>
      <c r="T168" s="255"/>
      <c r="U168" s="255"/>
      <c r="V168" s="255"/>
      <c r="W168" s="255"/>
      <c r="X168" s="256" t="s">
        <v>462</v>
      </c>
      <c r="Y168" s="255"/>
      <c r="Z168" s="255"/>
      <c r="AA168" s="255"/>
      <c r="AB168" s="255"/>
      <c r="AC168" s="255"/>
      <c r="AD168" s="255"/>
      <c r="AE168" s="255"/>
      <c r="AF168" s="255"/>
      <c r="AG168" s="255"/>
      <c r="AH168" s="255"/>
      <c r="AI168" s="255"/>
      <c r="AJ168" s="255"/>
      <c r="AK168" s="255"/>
      <c r="AL168" s="255"/>
      <c r="AM168" s="255"/>
      <c r="AN168" s="255"/>
      <c r="AO168" s="255"/>
      <c r="AP168" s="255"/>
      <c r="AQ168" s="255"/>
      <c r="AR168" s="255"/>
      <c r="AS168" s="255"/>
      <c r="AT168" s="255"/>
      <c r="AU168" s="255"/>
      <c r="AV168" s="255"/>
      <c r="AW168" s="255"/>
      <c r="AX168" s="255"/>
      <c r="AY168" s="255"/>
      <c r="AZ168" s="255"/>
      <c r="BA168" s="255"/>
      <c r="BB168" s="255"/>
      <c r="BC168" s="255"/>
      <c r="BD168" s="255"/>
      <c r="BE168" s="255"/>
      <c r="BF168" s="255"/>
      <c r="BG168" s="255"/>
      <c r="BH168" s="255"/>
      <c r="BI168" s="255"/>
      <c r="BJ168" s="255"/>
      <c r="BK168" s="255"/>
      <c r="BL168" s="255"/>
      <c r="BM168" s="255"/>
      <c r="BN168" s="255"/>
      <c r="BO168" s="255"/>
      <c r="BP168" s="255"/>
      <c r="BQ168" s="255"/>
      <c r="BR168" s="255"/>
      <c r="BS168" s="255"/>
      <c r="BT168" s="255"/>
      <c r="BU168" s="255"/>
      <c r="BV168" s="255"/>
      <c r="BW168" s="255"/>
      <c r="BX168" s="255"/>
      <c r="BY168" s="255"/>
      <c r="BZ168" s="255"/>
      <c r="CA168" s="255"/>
      <c r="CB168" s="255"/>
      <c r="CC168" s="255"/>
      <c r="CD168" s="255"/>
      <c r="CE168" s="255"/>
      <c r="CF168" s="255"/>
      <c r="CG168" s="255"/>
      <c r="CH168" s="255"/>
      <c r="CI168" s="255"/>
      <c r="CJ168" s="255"/>
      <c r="CK168" s="255"/>
      <c r="CL168" s="255"/>
      <c r="CM168" s="255"/>
      <c r="CN168" s="255"/>
      <c r="CO168" s="255"/>
      <c r="CP168" s="255"/>
      <c r="CQ168" s="255"/>
      <c r="CR168" s="255"/>
      <c r="CS168" s="255"/>
      <c r="CT168" s="255"/>
      <c r="CU168" s="255"/>
      <c r="CV168" s="255"/>
      <c r="CW168" s="255"/>
      <c r="CX168" s="255"/>
      <c r="CY168" s="255"/>
      <c r="CZ168" s="255"/>
      <c r="DA168" s="255"/>
      <c r="DB168" s="255"/>
      <c r="DC168" s="255"/>
      <c r="DD168" s="255"/>
      <c r="DE168" s="255"/>
      <c r="DF168" s="255"/>
      <c r="DG168" s="255"/>
      <c r="DH168" s="255"/>
      <c r="DI168" s="255"/>
      <c r="DJ168" s="255"/>
      <c r="DK168" s="255"/>
      <c r="DL168" s="255"/>
      <c r="DM168" s="255"/>
      <c r="DN168" s="255"/>
      <c r="DO168" s="255"/>
      <c r="DP168" s="255"/>
      <c r="DQ168" s="255"/>
      <c r="DR168" s="255"/>
      <c r="DS168" s="255"/>
      <c r="DT168" s="255"/>
    </row>
    <row r="169" spans="1:124" ht="21.75" customHeight="1">
      <c r="A169" s="311"/>
      <c r="B169" s="232"/>
      <c r="C169" s="233"/>
      <c r="D169" s="234"/>
      <c r="E169" s="255"/>
      <c r="F169" s="255"/>
      <c r="G169" s="255"/>
      <c r="H169" s="255"/>
      <c r="I169" s="255"/>
      <c r="J169" s="255"/>
      <c r="K169" s="255"/>
      <c r="L169" s="255"/>
      <c r="M169" s="255"/>
      <c r="N169" s="255"/>
      <c r="O169" s="255"/>
      <c r="P169" s="255"/>
      <c r="Q169" s="255"/>
      <c r="R169" s="255"/>
      <c r="S169" s="255"/>
      <c r="T169" s="255"/>
      <c r="U169" s="255"/>
      <c r="V169" s="255"/>
      <c r="W169" s="255"/>
      <c r="X169" s="256"/>
      <c r="Y169" s="255"/>
      <c r="Z169" s="255"/>
      <c r="AA169" s="255"/>
      <c r="AB169" s="255"/>
      <c r="AC169" s="255"/>
      <c r="AD169" s="255"/>
      <c r="AE169" s="255"/>
      <c r="AF169" s="255"/>
      <c r="AG169" s="255"/>
      <c r="AH169" s="255"/>
      <c r="AI169" s="255"/>
      <c r="AJ169" s="255"/>
      <c r="AK169" s="255"/>
      <c r="AL169" s="255"/>
      <c r="AM169" s="255"/>
      <c r="AN169" s="255"/>
      <c r="AO169" s="255"/>
      <c r="AP169" s="255"/>
      <c r="AQ169" s="255"/>
      <c r="AR169" s="255"/>
      <c r="AS169" s="255"/>
      <c r="AT169" s="255"/>
      <c r="AU169" s="255"/>
      <c r="AV169" s="255"/>
      <c r="AW169" s="255"/>
      <c r="AX169" s="255"/>
      <c r="AY169" s="255"/>
      <c r="AZ169" s="255"/>
      <c r="BA169" s="255"/>
      <c r="BB169" s="255"/>
      <c r="BC169" s="255"/>
      <c r="BD169" s="255"/>
      <c r="BE169" s="255"/>
      <c r="BF169" s="255"/>
      <c r="BG169" s="255"/>
      <c r="BH169" s="255"/>
      <c r="BI169" s="255"/>
      <c r="BJ169" s="255"/>
      <c r="BK169" s="255"/>
      <c r="BL169" s="255"/>
      <c r="BM169" s="255"/>
      <c r="BN169" s="255"/>
      <c r="BO169" s="255"/>
      <c r="BP169" s="255"/>
      <c r="BQ169" s="255"/>
      <c r="BR169" s="255"/>
      <c r="BS169" s="255"/>
      <c r="BT169" s="255"/>
      <c r="BU169" s="255"/>
      <c r="BV169" s="255"/>
      <c r="BW169" s="255"/>
      <c r="BX169" s="255"/>
      <c r="BY169" s="255"/>
      <c r="BZ169" s="255"/>
      <c r="CA169" s="255"/>
      <c r="CB169" s="255"/>
      <c r="CC169" s="255"/>
      <c r="CD169" s="255"/>
      <c r="CE169" s="255"/>
      <c r="CF169" s="255"/>
      <c r="CG169" s="255"/>
      <c r="CH169" s="255"/>
      <c r="CI169" s="255"/>
      <c r="CJ169" s="255"/>
      <c r="CK169" s="255"/>
      <c r="CL169" s="255"/>
      <c r="CM169" s="255"/>
      <c r="CN169" s="255"/>
      <c r="CO169" s="255"/>
      <c r="CP169" s="255"/>
      <c r="CQ169" s="255"/>
      <c r="CR169" s="255"/>
      <c r="CS169" s="255"/>
      <c r="CT169" s="255"/>
      <c r="CU169" s="255"/>
      <c r="CV169" s="255"/>
      <c r="CW169" s="255"/>
      <c r="CX169" s="255"/>
      <c r="CY169" s="255"/>
      <c r="CZ169" s="255"/>
      <c r="DA169" s="255"/>
      <c r="DB169" s="255"/>
      <c r="DC169" s="255"/>
      <c r="DD169" s="255"/>
      <c r="DE169" s="255"/>
      <c r="DF169" s="255"/>
      <c r="DG169" s="255"/>
      <c r="DH169" s="255"/>
      <c r="DI169" s="255"/>
      <c r="DJ169" s="255"/>
      <c r="DK169" s="255"/>
      <c r="DL169" s="255"/>
      <c r="DM169" s="255"/>
      <c r="DN169" s="255"/>
      <c r="DO169" s="255"/>
      <c r="DP169" s="255"/>
      <c r="DQ169" s="255"/>
      <c r="DR169" s="255"/>
      <c r="DS169" s="255"/>
      <c r="DT169" s="255"/>
    </row>
    <row r="170" spans="1:124" ht="21.75" customHeight="1">
      <c r="A170" s="311"/>
      <c r="B170" s="229" t="s">
        <v>463</v>
      </c>
      <c r="C170" s="230"/>
      <c r="D170" s="231"/>
      <c r="E170" s="255"/>
      <c r="F170" s="255"/>
      <c r="G170" s="255"/>
      <c r="H170" s="255"/>
      <c r="I170" s="255"/>
      <c r="J170" s="255"/>
      <c r="K170" s="255"/>
      <c r="L170" s="255"/>
      <c r="M170" s="255"/>
      <c r="N170" s="255"/>
      <c r="O170" s="255"/>
      <c r="P170" s="255"/>
      <c r="Q170" s="255"/>
      <c r="R170" s="255"/>
      <c r="S170" s="255"/>
      <c r="T170" s="255"/>
      <c r="U170" s="255"/>
      <c r="V170" s="255"/>
      <c r="W170" s="255"/>
      <c r="X170" s="256"/>
      <c r="Y170" s="255"/>
      <c r="Z170" s="255" t="s">
        <v>464</v>
      </c>
      <c r="AA170" s="255"/>
      <c r="AB170" s="255"/>
      <c r="AC170" s="255"/>
      <c r="AD170" s="255"/>
      <c r="AE170" s="255"/>
      <c r="AF170" s="255"/>
      <c r="AG170" s="255"/>
      <c r="AH170" s="255"/>
      <c r="AI170" s="255"/>
      <c r="AJ170" s="255"/>
      <c r="AK170" s="255"/>
      <c r="AL170" s="255"/>
      <c r="AM170" s="255"/>
      <c r="AN170" s="255"/>
      <c r="AO170" s="255"/>
      <c r="AP170" s="255"/>
      <c r="AQ170" s="255"/>
      <c r="AR170" s="255"/>
      <c r="AS170" s="255"/>
      <c r="AT170" s="255"/>
      <c r="AU170" s="255"/>
      <c r="AV170" s="255"/>
      <c r="AW170" s="255"/>
      <c r="AX170" s="255"/>
      <c r="AY170" s="255"/>
      <c r="AZ170" s="255"/>
      <c r="BA170" s="255"/>
      <c r="BB170" s="255"/>
      <c r="BC170" s="255"/>
      <c r="BD170" s="255"/>
      <c r="BE170" s="255"/>
      <c r="BF170" s="255"/>
      <c r="BG170" s="255"/>
      <c r="BH170" s="255"/>
      <c r="BI170" s="255"/>
      <c r="BJ170" s="255"/>
      <c r="BK170" s="255"/>
      <c r="BL170" s="255"/>
      <c r="BM170" s="255"/>
      <c r="BN170" s="255"/>
      <c r="BO170" s="255"/>
      <c r="BP170" s="255"/>
      <c r="BQ170" s="255"/>
      <c r="BR170" s="255"/>
      <c r="BS170" s="255"/>
      <c r="BT170" s="255"/>
      <c r="BU170" s="255"/>
      <c r="BV170" s="255"/>
      <c r="BW170" s="255"/>
      <c r="BX170" s="255"/>
      <c r="BY170" s="255"/>
      <c r="BZ170" s="255"/>
      <c r="CA170" s="255"/>
      <c r="CB170" s="255"/>
      <c r="CC170" s="255"/>
      <c r="CD170" s="255"/>
      <c r="CE170" s="255"/>
      <c r="CF170" s="255"/>
      <c r="CG170" s="255"/>
      <c r="CH170" s="255"/>
      <c r="CI170" s="255"/>
      <c r="CJ170" s="255"/>
      <c r="CK170" s="255"/>
      <c r="CL170" s="255"/>
      <c r="CM170" s="255"/>
      <c r="CN170" s="255"/>
      <c r="CO170" s="255"/>
      <c r="CP170" s="255"/>
      <c r="CQ170" s="255"/>
      <c r="CR170" s="255"/>
      <c r="CS170" s="255"/>
      <c r="CT170" s="255"/>
      <c r="CU170" s="255"/>
      <c r="CV170" s="255"/>
      <c r="CW170" s="255"/>
      <c r="CX170" s="255"/>
      <c r="CY170" s="255"/>
      <c r="CZ170" s="255"/>
      <c r="DA170" s="255"/>
      <c r="DB170" s="255"/>
      <c r="DC170" s="255"/>
      <c r="DD170" s="255"/>
      <c r="DE170" s="255"/>
      <c r="DF170" s="255"/>
      <c r="DG170" s="255"/>
      <c r="DH170" s="255"/>
      <c r="DI170" s="255"/>
      <c r="DJ170" s="255"/>
      <c r="DK170" s="255"/>
      <c r="DL170" s="255"/>
      <c r="DM170" s="255"/>
      <c r="DN170" s="255"/>
      <c r="DO170" s="255"/>
      <c r="DP170" s="255"/>
      <c r="DQ170" s="255"/>
      <c r="DR170" s="255"/>
      <c r="DS170" s="255"/>
      <c r="DT170" s="255"/>
    </row>
    <row r="171" spans="1:124" ht="21.75" customHeight="1">
      <c r="A171" s="311"/>
      <c r="B171" s="232"/>
      <c r="C171" s="233"/>
      <c r="D171" s="234"/>
      <c r="E171" s="255"/>
      <c r="F171" s="255"/>
      <c r="G171" s="255"/>
      <c r="H171" s="255"/>
      <c r="I171" s="255"/>
      <c r="J171" s="255"/>
      <c r="K171" s="255"/>
      <c r="L171" s="255"/>
      <c r="M171" s="255"/>
      <c r="N171" s="255"/>
      <c r="O171" s="255"/>
      <c r="P171" s="255"/>
      <c r="Q171" s="255"/>
      <c r="R171" s="255"/>
      <c r="S171" s="255"/>
      <c r="T171" s="255"/>
      <c r="U171" s="255"/>
      <c r="V171" s="255"/>
      <c r="W171" s="255"/>
      <c r="X171" s="256"/>
      <c r="Y171" s="255"/>
      <c r="Z171" s="255"/>
      <c r="AA171" s="255"/>
      <c r="AB171" s="255"/>
      <c r="AC171" s="255"/>
      <c r="AD171" s="255"/>
      <c r="AE171" s="255"/>
      <c r="AF171" s="255"/>
      <c r="AG171" s="255"/>
      <c r="AH171" s="255"/>
      <c r="AI171" s="255"/>
      <c r="AJ171" s="255"/>
      <c r="AK171" s="255"/>
      <c r="AL171" s="255"/>
      <c r="AM171" s="255"/>
      <c r="AN171" s="255"/>
      <c r="AO171" s="255"/>
      <c r="AP171" s="255"/>
      <c r="AQ171" s="255"/>
      <c r="AR171" s="255"/>
      <c r="AS171" s="255"/>
      <c r="AT171" s="255"/>
      <c r="AU171" s="255"/>
      <c r="AV171" s="255"/>
      <c r="AW171" s="255"/>
      <c r="AX171" s="255"/>
      <c r="AY171" s="255"/>
      <c r="AZ171" s="255"/>
      <c r="BA171" s="255"/>
      <c r="BB171" s="255"/>
      <c r="BC171" s="255"/>
      <c r="BD171" s="255"/>
      <c r="BE171" s="255"/>
      <c r="BF171" s="255"/>
      <c r="BG171" s="255"/>
      <c r="BH171" s="255"/>
      <c r="BI171" s="255"/>
      <c r="BJ171" s="255"/>
      <c r="BK171" s="255"/>
      <c r="BL171" s="255"/>
      <c r="BM171" s="255"/>
      <c r="BN171" s="255"/>
      <c r="BO171" s="255"/>
      <c r="BP171" s="255"/>
      <c r="BQ171" s="255"/>
      <c r="BR171" s="255"/>
      <c r="BS171" s="255"/>
      <c r="BT171" s="255"/>
      <c r="BU171" s="255"/>
      <c r="BV171" s="255"/>
      <c r="BW171" s="255"/>
      <c r="BX171" s="255"/>
      <c r="BY171" s="255"/>
      <c r="BZ171" s="255"/>
      <c r="CA171" s="255"/>
      <c r="CB171" s="255"/>
      <c r="CC171" s="255"/>
      <c r="CD171" s="255"/>
      <c r="CE171" s="255"/>
      <c r="CF171" s="255"/>
      <c r="CG171" s="255"/>
      <c r="CH171" s="255"/>
      <c r="CI171" s="255"/>
      <c r="CJ171" s="255"/>
      <c r="CK171" s="255"/>
      <c r="CL171" s="255"/>
      <c r="CM171" s="255"/>
      <c r="CN171" s="255"/>
      <c r="CO171" s="255"/>
      <c r="CP171" s="255"/>
      <c r="CQ171" s="255"/>
      <c r="CR171" s="255"/>
      <c r="CS171" s="255"/>
      <c r="CT171" s="255"/>
      <c r="CU171" s="255"/>
      <c r="CV171" s="255"/>
      <c r="CW171" s="255"/>
      <c r="CX171" s="255"/>
      <c r="CY171" s="255"/>
      <c r="CZ171" s="255"/>
      <c r="DA171" s="255"/>
      <c r="DB171" s="255"/>
      <c r="DC171" s="255"/>
      <c r="DD171" s="255"/>
      <c r="DE171" s="255"/>
      <c r="DF171" s="255"/>
      <c r="DG171" s="255"/>
      <c r="DH171" s="255"/>
      <c r="DI171" s="255"/>
      <c r="DJ171" s="255"/>
      <c r="DK171" s="255"/>
      <c r="DL171" s="255"/>
      <c r="DM171" s="255"/>
      <c r="DN171" s="255"/>
      <c r="DO171" s="255"/>
      <c r="DP171" s="255"/>
      <c r="DQ171" s="255"/>
      <c r="DR171" s="255"/>
      <c r="DS171" s="255"/>
      <c r="DT171" s="255"/>
    </row>
    <row r="172" spans="1:124" ht="21.75" customHeight="1">
      <c r="A172" s="311"/>
      <c r="B172" s="229" t="s">
        <v>109</v>
      </c>
      <c r="C172" s="230"/>
      <c r="D172" s="231"/>
      <c r="E172" s="69"/>
      <c r="F172" s="69"/>
      <c r="G172" s="69"/>
      <c r="H172" s="69"/>
      <c r="I172" s="69"/>
      <c r="J172" s="69"/>
      <c r="K172" s="69"/>
      <c r="L172" s="80"/>
      <c r="M172" s="80"/>
      <c r="N172" s="80"/>
      <c r="O172" s="80"/>
      <c r="P172" s="80"/>
      <c r="Q172" s="80"/>
      <c r="R172" s="80"/>
      <c r="S172" s="80"/>
      <c r="T172" s="80"/>
      <c r="U172" s="80"/>
      <c r="V172" s="80"/>
      <c r="W172" s="80"/>
      <c r="X172" s="69"/>
      <c r="Y172" s="69"/>
      <c r="Z172" s="69"/>
      <c r="AA172" s="69"/>
      <c r="AB172" s="69"/>
      <c r="AC172" s="69"/>
      <c r="AD172" s="69"/>
      <c r="AE172" s="68"/>
      <c r="AF172" s="68"/>
      <c r="AG172" s="69"/>
      <c r="AH172" s="68"/>
      <c r="AI172" s="68"/>
      <c r="AJ172" s="68" t="s">
        <v>396</v>
      </c>
      <c r="AK172" s="68"/>
      <c r="AL172" s="68"/>
      <c r="AM172" s="68" t="s">
        <v>378</v>
      </c>
      <c r="AN172" s="68"/>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c r="BT172" s="69"/>
      <c r="BU172" s="69"/>
      <c r="BV172" s="69"/>
      <c r="BW172" s="69"/>
      <c r="BX172" s="69"/>
      <c r="BY172" s="69"/>
      <c r="BZ172" s="69"/>
      <c r="CA172" s="69"/>
      <c r="CB172" s="69"/>
      <c r="CC172" s="69"/>
      <c r="CD172" s="69"/>
      <c r="CE172" s="69"/>
      <c r="CF172" s="69"/>
      <c r="CG172" s="69"/>
      <c r="CH172" s="69"/>
      <c r="CI172" s="69"/>
      <c r="CJ172" s="69"/>
      <c r="CK172" s="69"/>
      <c r="CL172" s="69"/>
      <c r="CM172" s="69"/>
      <c r="CN172" s="69"/>
      <c r="CO172" s="69"/>
      <c r="CP172" s="69"/>
      <c r="CQ172" s="69"/>
      <c r="CR172" s="69"/>
      <c r="CS172" s="69"/>
      <c r="CT172" s="69"/>
      <c r="CU172" s="69"/>
      <c r="CV172" s="69"/>
      <c r="CW172" s="69"/>
      <c r="CX172" s="69"/>
      <c r="CY172" s="69"/>
      <c r="CZ172" s="69"/>
      <c r="DA172" s="69"/>
      <c r="DB172" s="69"/>
      <c r="DC172" s="69"/>
      <c r="DD172" s="69"/>
      <c r="DE172" s="69"/>
      <c r="DF172" s="69"/>
      <c r="DG172" s="69"/>
      <c r="DH172" s="69"/>
      <c r="DI172" s="69"/>
      <c r="DJ172" s="69"/>
      <c r="DK172" s="69"/>
      <c r="DL172" s="69"/>
      <c r="DM172" s="69"/>
      <c r="DN172" s="69"/>
      <c r="DO172" s="69"/>
      <c r="DP172" s="69"/>
      <c r="DQ172" s="69"/>
      <c r="DR172" s="69"/>
      <c r="DS172" s="69"/>
      <c r="DT172" s="69"/>
    </row>
    <row r="173" spans="1:124" ht="21.75" customHeight="1">
      <c r="A173" s="311"/>
      <c r="B173" s="232"/>
      <c r="C173" s="233"/>
      <c r="D173" s="234"/>
      <c r="E173" s="70"/>
      <c r="F173" s="70"/>
      <c r="G173" s="70"/>
      <c r="H173" s="70"/>
      <c r="I173" s="70"/>
      <c r="J173" s="70"/>
      <c r="K173" s="70"/>
      <c r="L173" s="65"/>
      <c r="M173" s="70"/>
      <c r="N173" s="70"/>
      <c r="O173" s="70"/>
      <c r="P173" s="70"/>
      <c r="Q173" s="70"/>
      <c r="R173" s="70"/>
      <c r="S173" s="70"/>
      <c r="T173" s="70"/>
      <c r="U173" s="70"/>
      <c r="V173" s="70"/>
      <c r="W173" s="70"/>
      <c r="X173" s="70"/>
      <c r="Y173" s="70"/>
      <c r="Z173" s="70"/>
      <c r="AA173" s="70"/>
      <c r="AB173" s="70"/>
      <c r="AC173" s="70"/>
      <c r="AD173" s="70"/>
      <c r="AE173" s="65"/>
      <c r="AF173" s="65"/>
      <c r="AG173" s="70"/>
      <c r="AH173" s="65"/>
      <c r="AI173" s="65"/>
      <c r="AJ173" s="65">
        <f>90/0.86</f>
        <v>104.65116279069768</v>
      </c>
      <c r="AK173" s="65"/>
      <c r="AL173" s="65"/>
      <c r="AM173" s="65">
        <f>100/0.86</f>
        <v>116.27906976744187</v>
      </c>
      <c r="AN173" s="65"/>
      <c r="AO173" s="70"/>
      <c r="AP173" s="70"/>
      <c r="AQ173" s="70"/>
      <c r="AR173" s="70"/>
      <c r="AS173" s="70"/>
      <c r="AT173" s="70"/>
      <c r="AU173" s="70"/>
      <c r="AV173" s="70"/>
      <c r="AW173" s="70"/>
      <c r="AX173" s="70"/>
      <c r="AY173" s="70"/>
      <c r="AZ173" s="70"/>
      <c r="BA173" s="70"/>
      <c r="BB173" s="70"/>
      <c r="BC173" s="70"/>
      <c r="BD173" s="70"/>
      <c r="BE173" s="70"/>
      <c r="BF173" s="70"/>
      <c r="BG173" s="70"/>
      <c r="BH173" s="70"/>
      <c r="BI173" s="70"/>
      <c r="BJ173" s="70"/>
      <c r="BK173" s="70"/>
      <c r="BL173" s="70"/>
      <c r="BM173" s="70"/>
      <c r="BN173" s="70"/>
      <c r="BO173" s="70"/>
      <c r="BP173" s="70"/>
      <c r="BQ173" s="70"/>
      <c r="BR173" s="70"/>
      <c r="BS173" s="70"/>
      <c r="BT173" s="70"/>
      <c r="BU173" s="70"/>
      <c r="BV173" s="70"/>
      <c r="BW173" s="70"/>
      <c r="BX173" s="70"/>
      <c r="BY173" s="70"/>
      <c r="BZ173" s="70"/>
      <c r="CA173" s="70"/>
      <c r="CB173" s="70"/>
      <c r="CC173" s="70"/>
      <c r="CD173" s="70"/>
      <c r="CE173" s="70"/>
      <c r="CF173" s="70"/>
      <c r="CG173" s="70"/>
      <c r="CH173" s="70"/>
      <c r="CI173" s="70"/>
      <c r="CJ173" s="70"/>
      <c r="CK173" s="70"/>
      <c r="CL173" s="70"/>
      <c r="CM173" s="70"/>
      <c r="CN173" s="70"/>
      <c r="CO173" s="70"/>
      <c r="CP173" s="70"/>
      <c r="CQ173" s="70"/>
      <c r="CR173" s="70"/>
      <c r="CS173" s="70"/>
      <c r="CT173" s="70"/>
      <c r="CU173" s="70"/>
      <c r="CV173" s="70"/>
      <c r="CW173" s="70"/>
      <c r="CX173" s="70"/>
      <c r="CY173" s="70"/>
      <c r="CZ173" s="70"/>
      <c r="DA173" s="70"/>
      <c r="DB173" s="70"/>
      <c r="DC173" s="70"/>
      <c r="DD173" s="70"/>
      <c r="DE173" s="70"/>
      <c r="DF173" s="70"/>
      <c r="DG173" s="70"/>
      <c r="DH173" s="70"/>
      <c r="DI173" s="70"/>
      <c r="DJ173" s="70"/>
      <c r="DK173" s="70"/>
      <c r="DL173" s="70"/>
      <c r="DM173" s="70"/>
      <c r="DN173" s="70"/>
      <c r="DO173" s="70"/>
      <c r="DP173" s="70"/>
      <c r="DQ173" s="70"/>
      <c r="DR173" s="70"/>
      <c r="DS173" s="70"/>
      <c r="DT173" s="70"/>
    </row>
    <row r="174" spans="1:124" ht="21.75" customHeight="1">
      <c r="A174" s="311"/>
      <c r="B174" s="235" t="s">
        <v>25</v>
      </c>
      <c r="C174" s="236"/>
      <c r="D174" s="237"/>
      <c r="E174" s="80"/>
      <c r="F174" s="80"/>
      <c r="G174" s="80"/>
      <c r="H174" s="80"/>
      <c r="I174" s="80"/>
      <c r="J174" s="80"/>
      <c r="K174" s="80"/>
      <c r="L174" s="80"/>
      <c r="M174" s="80"/>
      <c r="N174" s="80"/>
      <c r="O174" s="80"/>
      <c r="P174" s="80"/>
      <c r="Q174" s="80"/>
      <c r="R174" s="80"/>
      <c r="S174" s="80"/>
      <c r="T174" s="80"/>
      <c r="U174" s="80"/>
      <c r="V174" s="80"/>
      <c r="W174" s="80"/>
      <c r="X174" s="80"/>
      <c r="Y174" s="80"/>
      <c r="Z174" s="80"/>
      <c r="AA174" s="80"/>
      <c r="AB174" s="80"/>
      <c r="AC174" s="80"/>
      <c r="AD174" s="80"/>
      <c r="AE174" s="80"/>
      <c r="AF174" s="80"/>
      <c r="AG174" s="80"/>
      <c r="AH174" s="80"/>
      <c r="AI174" s="80"/>
      <c r="AJ174" s="80"/>
      <c r="AK174" s="80"/>
      <c r="AL174" s="80"/>
      <c r="AM174" s="80"/>
      <c r="AN174" s="80"/>
      <c r="AO174" s="80"/>
      <c r="AP174" s="80"/>
      <c r="AQ174" s="80"/>
      <c r="AR174" s="80"/>
      <c r="AS174" s="80" t="s">
        <v>396</v>
      </c>
      <c r="AT174" s="80"/>
      <c r="AU174" s="80"/>
      <c r="AV174" s="80" t="s">
        <v>396</v>
      </c>
      <c r="AW174" s="80"/>
      <c r="AX174" s="80"/>
      <c r="AY174" s="80"/>
      <c r="AZ174" s="80"/>
      <c r="BA174" s="80"/>
      <c r="BB174" s="80"/>
      <c r="BC174" s="80"/>
      <c r="BD174" s="80"/>
      <c r="BE174" s="80"/>
      <c r="BF174" s="80"/>
      <c r="BG174" s="80"/>
      <c r="BH174" s="80"/>
      <c r="BI174" s="80"/>
      <c r="BJ174" s="80"/>
      <c r="BK174" s="80"/>
      <c r="BL174" s="80"/>
      <c r="BM174" s="80"/>
      <c r="BN174" s="80"/>
      <c r="BO174" s="80"/>
      <c r="BP174" s="80"/>
      <c r="BQ174" s="80"/>
      <c r="BR174" s="80"/>
      <c r="BS174" s="80"/>
      <c r="BT174" s="80"/>
      <c r="BU174" s="80"/>
      <c r="BV174" s="80"/>
      <c r="BW174" s="80"/>
      <c r="BX174" s="80"/>
      <c r="BY174" s="80"/>
      <c r="BZ174" s="80"/>
      <c r="CA174" s="80"/>
      <c r="CB174" s="80"/>
      <c r="CC174" s="80"/>
      <c r="CD174" s="80"/>
      <c r="CE174" s="80"/>
      <c r="CF174" s="80"/>
      <c r="CG174" s="80"/>
      <c r="CH174" s="80"/>
      <c r="CI174" s="80"/>
      <c r="CJ174" s="80"/>
      <c r="CK174" s="80"/>
      <c r="CL174" s="80"/>
      <c r="CM174" s="80"/>
      <c r="CN174" s="80"/>
      <c r="CO174" s="80"/>
      <c r="CP174" s="80"/>
      <c r="CQ174" s="80"/>
      <c r="CR174" s="80"/>
      <c r="CS174" s="80"/>
      <c r="CT174" s="80"/>
      <c r="CU174" s="80"/>
      <c r="CV174" s="80"/>
      <c r="CW174" s="80"/>
      <c r="CX174" s="80"/>
      <c r="CY174" s="80"/>
      <c r="CZ174" s="80"/>
      <c r="DA174" s="80"/>
      <c r="DB174" s="80"/>
      <c r="DC174" s="80"/>
      <c r="DD174" s="80"/>
      <c r="DE174" s="80"/>
      <c r="DF174" s="80"/>
      <c r="DG174" s="80"/>
      <c r="DH174" s="80"/>
      <c r="DI174" s="80"/>
      <c r="DJ174" s="80"/>
      <c r="DK174" s="80"/>
      <c r="DL174" s="80"/>
      <c r="DM174" s="80"/>
      <c r="DN174" s="80"/>
      <c r="DO174" s="80"/>
      <c r="DP174" s="80"/>
      <c r="DQ174" s="80"/>
      <c r="DR174" s="80"/>
      <c r="DS174" s="80"/>
      <c r="DT174" s="80"/>
    </row>
    <row r="175" spans="1:124" ht="21.75" customHeight="1">
      <c r="A175" s="311"/>
      <c r="B175" s="232"/>
      <c r="C175" s="233"/>
      <c r="D175" s="234"/>
      <c r="E175" s="70"/>
      <c r="F175" s="70">
        <v>95</v>
      </c>
      <c r="G175" s="70">
        <v>90</v>
      </c>
      <c r="H175" s="70">
        <v>97.5</v>
      </c>
      <c r="I175" s="70"/>
      <c r="J175" s="70"/>
      <c r="K175" s="70"/>
      <c r="L175" s="70"/>
      <c r="M175" s="70"/>
      <c r="N175" s="70"/>
      <c r="O175" s="70"/>
      <c r="P175" s="70"/>
      <c r="Q175" s="70"/>
      <c r="R175" s="70"/>
      <c r="S175" s="70"/>
      <c r="T175" s="70"/>
      <c r="U175" s="70"/>
      <c r="V175" s="70"/>
      <c r="W175" s="70"/>
      <c r="X175" s="70"/>
      <c r="Y175" s="70"/>
      <c r="Z175" s="70"/>
      <c r="AA175" s="70"/>
      <c r="AB175" s="70"/>
      <c r="AC175" s="70"/>
      <c r="AD175" s="70"/>
      <c r="AE175" s="70"/>
      <c r="AF175" s="70"/>
      <c r="AG175" s="70"/>
      <c r="AH175" s="70"/>
      <c r="AI175" s="70"/>
      <c r="AJ175" s="70"/>
      <c r="AK175" s="70"/>
      <c r="AL175" s="70"/>
      <c r="AM175" s="70"/>
      <c r="AN175" s="70"/>
      <c r="AO175" s="70"/>
      <c r="AP175" s="70"/>
      <c r="AQ175" s="70"/>
      <c r="AR175" s="70"/>
      <c r="AS175" s="70">
        <f>32/0.86</f>
        <v>37.209302325581397</v>
      </c>
      <c r="AT175" s="70"/>
      <c r="AU175" s="70"/>
      <c r="AV175" s="70">
        <f>32/0.86</f>
        <v>37.209302325581397</v>
      </c>
      <c r="AW175" s="70"/>
      <c r="AX175" s="70"/>
      <c r="AY175" s="70"/>
      <c r="AZ175" s="70"/>
      <c r="BA175" s="70"/>
      <c r="BB175" s="70"/>
      <c r="BC175" s="70"/>
      <c r="BD175" s="70"/>
      <c r="BE175" s="70"/>
      <c r="BF175" s="70"/>
      <c r="BG175" s="70"/>
      <c r="BH175" s="70"/>
      <c r="BI175" s="70"/>
      <c r="BJ175" s="70"/>
      <c r="BK175" s="70"/>
      <c r="BL175" s="70"/>
      <c r="BM175" s="70"/>
      <c r="BN175" s="70"/>
      <c r="BO175" s="70"/>
      <c r="BP175" s="70"/>
      <c r="BQ175" s="70"/>
      <c r="BR175" s="70"/>
      <c r="BS175" s="70"/>
      <c r="BT175" s="70"/>
      <c r="BU175" s="70"/>
      <c r="BV175" s="70"/>
      <c r="BW175" s="70"/>
      <c r="BX175" s="70"/>
      <c r="BY175" s="70"/>
      <c r="BZ175" s="70"/>
      <c r="CA175" s="70"/>
      <c r="CB175" s="70"/>
      <c r="CC175" s="70"/>
      <c r="CD175" s="70"/>
      <c r="CE175" s="70"/>
      <c r="CF175" s="70"/>
      <c r="CG175" s="70"/>
      <c r="CH175" s="70"/>
      <c r="CI175" s="70"/>
      <c r="CJ175" s="70"/>
      <c r="CK175" s="70"/>
      <c r="CL175" s="70"/>
      <c r="CM175" s="70"/>
      <c r="CN175" s="70"/>
      <c r="CO175" s="70"/>
      <c r="CP175" s="70"/>
      <c r="CQ175" s="70"/>
      <c r="CR175" s="70"/>
      <c r="CS175" s="70"/>
      <c r="CT175" s="70"/>
      <c r="CU175" s="70"/>
      <c r="CV175" s="70"/>
      <c r="CW175" s="70"/>
      <c r="CX175" s="70"/>
      <c r="CY175" s="70"/>
      <c r="CZ175" s="70"/>
      <c r="DA175" s="70"/>
      <c r="DB175" s="70"/>
      <c r="DC175" s="70"/>
      <c r="DD175" s="70"/>
      <c r="DE175" s="70"/>
      <c r="DF175" s="70"/>
      <c r="DG175" s="70"/>
      <c r="DH175" s="70"/>
      <c r="DI175" s="70"/>
      <c r="DJ175" s="70"/>
      <c r="DK175" s="70"/>
      <c r="DL175" s="70"/>
      <c r="DM175" s="70"/>
      <c r="DN175" s="70"/>
      <c r="DO175" s="70"/>
      <c r="DP175" s="70"/>
      <c r="DQ175" s="70"/>
      <c r="DR175" s="70"/>
      <c r="DS175" s="70"/>
      <c r="DT175" s="70"/>
    </row>
    <row r="176" spans="1:124" ht="21.75" customHeight="1">
      <c r="A176" s="311"/>
      <c r="B176" s="229" t="s">
        <v>45</v>
      </c>
      <c r="C176" s="230"/>
      <c r="D176" s="231"/>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c r="BB176" s="69"/>
      <c r="BC176" s="69"/>
      <c r="BD176" s="69"/>
      <c r="BE176" s="69"/>
      <c r="BF176" s="69"/>
      <c r="BG176" s="69"/>
      <c r="BH176" s="69"/>
      <c r="BI176" s="69"/>
      <c r="BJ176" s="69"/>
      <c r="BK176" s="69"/>
      <c r="BL176" s="69"/>
      <c r="BM176" s="69"/>
      <c r="BN176" s="69"/>
      <c r="BO176" s="69"/>
      <c r="BP176" s="69"/>
      <c r="BQ176" s="69"/>
      <c r="BR176" s="69"/>
      <c r="BS176" s="69"/>
      <c r="BT176" s="69"/>
      <c r="BU176" s="69"/>
      <c r="BV176" s="69"/>
      <c r="BW176" s="69"/>
      <c r="BX176" s="69"/>
      <c r="BY176" s="69"/>
      <c r="BZ176" s="69"/>
      <c r="CA176" s="69"/>
      <c r="CB176" s="69"/>
      <c r="CC176" s="69"/>
      <c r="CD176" s="69"/>
      <c r="CE176" s="69"/>
      <c r="CF176" s="69"/>
      <c r="CG176" s="69"/>
      <c r="CH176" s="69"/>
      <c r="CI176" s="69"/>
      <c r="CJ176" s="69"/>
      <c r="CK176" s="69"/>
      <c r="CL176" s="69"/>
      <c r="CM176" s="69"/>
      <c r="CN176" s="69"/>
      <c r="CO176" s="69"/>
      <c r="CP176" s="69"/>
      <c r="CQ176" s="69"/>
      <c r="CR176" s="69"/>
      <c r="CS176" s="69"/>
      <c r="CT176" s="69"/>
      <c r="CU176" s="69"/>
      <c r="CV176" s="69"/>
      <c r="CW176" s="69"/>
      <c r="CX176" s="69"/>
      <c r="CY176" s="69"/>
      <c r="CZ176" s="69"/>
      <c r="DA176" s="69"/>
      <c r="DB176" s="69"/>
      <c r="DC176" s="69"/>
      <c r="DD176" s="69"/>
      <c r="DE176" s="69"/>
      <c r="DF176" s="69"/>
      <c r="DG176" s="69"/>
      <c r="DH176" s="69"/>
      <c r="DI176" s="69"/>
      <c r="DJ176" s="69"/>
      <c r="DK176" s="69"/>
      <c r="DL176" s="69"/>
      <c r="DM176" s="69"/>
      <c r="DN176" s="69"/>
      <c r="DO176" s="69"/>
      <c r="DP176" s="69"/>
      <c r="DQ176" s="69"/>
      <c r="DR176" s="69"/>
      <c r="DS176" s="69"/>
      <c r="DT176" s="69"/>
    </row>
    <row r="177" spans="1:124" ht="21.75" customHeight="1">
      <c r="A177" s="311"/>
      <c r="B177" s="232"/>
      <c r="C177" s="233"/>
      <c r="D177" s="234"/>
      <c r="E177" s="70"/>
      <c r="F177" s="70"/>
      <c r="G177" s="70"/>
      <c r="H177" s="70"/>
      <c r="I177" s="70"/>
      <c r="J177" s="70">
        <v>2341.1999999999998</v>
      </c>
      <c r="K177" s="70"/>
      <c r="L177" s="70"/>
      <c r="M177" s="70"/>
      <c r="N177" s="70"/>
      <c r="O177" s="70"/>
      <c r="P177" s="70"/>
      <c r="Q177" s="70"/>
      <c r="R177" s="70"/>
      <c r="S177" s="70"/>
      <c r="T177" s="70"/>
      <c r="U177" s="70"/>
      <c r="V177" s="70"/>
      <c r="W177" s="70"/>
      <c r="X177" s="70"/>
      <c r="Y177" s="70"/>
      <c r="Z177" s="70"/>
      <c r="AA177" s="70"/>
      <c r="AB177" s="70"/>
      <c r="AC177" s="70"/>
      <c r="AD177" s="70"/>
      <c r="AE177" s="70"/>
      <c r="AF177" s="70"/>
      <c r="AG177" s="70"/>
      <c r="AH177" s="70"/>
      <c r="AI177" s="70"/>
      <c r="AJ177" s="70"/>
      <c r="AK177" s="70"/>
      <c r="AL177" s="70"/>
      <c r="AM177" s="70"/>
      <c r="AN177" s="70"/>
      <c r="AO177" s="70"/>
      <c r="AP177" s="70"/>
      <c r="AQ177" s="70"/>
      <c r="AR177" s="70"/>
      <c r="AS177" s="70"/>
      <c r="AT177" s="70"/>
      <c r="AU177" s="70"/>
      <c r="AV177" s="70"/>
      <c r="AW177" s="70"/>
      <c r="AX177" s="70"/>
      <c r="AY177" s="70"/>
      <c r="AZ177" s="70"/>
      <c r="BA177" s="70"/>
      <c r="BB177" s="70"/>
      <c r="BC177" s="70"/>
      <c r="BD177" s="70"/>
      <c r="BE177" s="70"/>
      <c r="BF177" s="70"/>
      <c r="BG177" s="70"/>
      <c r="BH177" s="70"/>
      <c r="BI177" s="70"/>
      <c r="BJ177" s="70"/>
      <c r="BK177" s="70"/>
      <c r="BL177" s="70"/>
      <c r="BM177" s="70"/>
      <c r="BN177" s="70"/>
      <c r="BO177" s="70"/>
      <c r="BP177" s="70"/>
      <c r="BQ177" s="70"/>
      <c r="BR177" s="70"/>
      <c r="BS177" s="70"/>
      <c r="BT177" s="70"/>
      <c r="BU177" s="70"/>
      <c r="BV177" s="70"/>
      <c r="BW177" s="70"/>
      <c r="BX177" s="70"/>
      <c r="BY177" s="70"/>
      <c r="BZ177" s="70"/>
      <c r="CA177" s="70"/>
      <c r="CB177" s="70"/>
      <c r="CC177" s="70"/>
      <c r="CD177" s="70"/>
      <c r="CE177" s="70"/>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c r="DH177" s="70"/>
      <c r="DI177" s="70"/>
      <c r="DJ177" s="70"/>
      <c r="DK177" s="70"/>
      <c r="DL177" s="70"/>
      <c r="DM177" s="70"/>
      <c r="DN177" s="70"/>
      <c r="DO177" s="70"/>
      <c r="DP177" s="70"/>
      <c r="DQ177" s="70"/>
      <c r="DR177" s="70"/>
      <c r="DS177" s="70"/>
      <c r="DT177" s="70"/>
    </row>
    <row r="178" spans="1:124" ht="21.75" customHeight="1">
      <c r="A178" s="311"/>
      <c r="B178" s="229" t="s">
        <v>127</v>
      </c>
      <c r="C178" s="230"/>
      <c r="D178" s="231"/>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8"/>
      <c r="AQ178" s="68"/>
      <c r="AR178" s="68"/>
      <c r="AS178" s="69" t="s">
        <v>465</v>
      </c>
      <c r="AT178" s="69"/>
      <c r="AU178" s="69"/>
      <c r="AV178" s="69" t="s">
        <v>465</v>
      </c>
      <c r="AW178" s="69"/>
      <c r="AX178" s="69"/>
      <c r="AY178" s="69"/>
      <c r="AZ178" s="69"/>
      <c r="BA178" s="69"/>
      <c r="BB178" s="69"/>
      <c r="BC178" s="69"/>
      <c r="BD178" s="69"/>
      <c r="BE178" s="69"/>
      <c r="BF178" s="69"/>
      <c r="BG178" s="68"/>
      <c r="BH178" s="68"/>
      <c r="BI178" s="68"/>
      <c r="BJ178" s="68"/>
      <c r="BK178" s="68"/>
      <c r="BL178" s="68"/>
      <c r="BM178" s="68"/>
      <c r="BN178" s="68"/>
      <c r="BO178" s="68"/>
      <c r="BP178" s="68"/>
      <c r="BQ178" s="68"/>
      <c r="BR178" s="68"/>
      <c r="BS178" s="68"/>
      <c r="BT178" s="68"/>
      <c r="BU178" s="68"/>
      <c r="BV178" s="68"/>
      <c r="BW178" s="68"/>
      <c r="BX178" s="68"/>
      <c r="BY178" s="68"/>
      <c r="BZ178" s="68"/>
      <c r="CA178" s="68"/>
      <c r="CB178" s="68"/>
      <c r="CC178" s="68"/>
      <c r="CD178" s="68"/>
      <c r="CE178" s="68"/>
      <c r="CF178" s="68"/>
      <c r="CG178" s="68"/>
      <c r="CH178" s="68"/>
      <c r="CI178" s="68"/>
      <c r="CJ178" s="68"/>
      <c r="CK178" s="68"/>
      <c r="CL178" s="68"/>
      <c r="CM178" s="68"/>
      <c r="CN178" s="68"/>
      <c r="CO178" s="68"/>
      <c r="CP178" s="68"/>
      <c r="CQ178" s="68"/>
      <c r="CR178" s="68"/>
      <c r="CS178" s="68"/>
      <c r="CT178" s="68"/>
      <c r="CU178" s="68"/>
      <c r="CV178" s="68"/>
      <c r="CW178" s="68"/>
      <c r="CX178" s="68"/>
      <c r="CY178" s="68"/>
      <c r="CZ178" s="68"/>
      <c r="DA178" s="68"/>
      <c r="DB178" s="68"/>
      <c r="DC178" s="68"/>
      <c r="DD178" s="68"/>
      <c r="DE178" s="68"/>
      <c r="DF178" s="68"/>
      <c r="DG178" s="68"/>
      <c r="DH178" s="68"/>
      <c r="DI178" s="68"/>
      <c r="DJ178" s="68"/>
      <c r="DK178" s="68"/>
      <c r="DL178" s="68"/>
      <c r="DM178" s="68"/>
      <c r="DN178" s="68"/>
      <c r="DO178" s="68"/>
      <c r="DP178" s="68"/>
      <c r="DQ178" s="68"/>
      <c r="DR178" s="68"/>
      <c r="DS178" s="68"/>
      <c r="DT178" s="68"/>
    </row>
    <row r="179" spans="1:124" ht="21.75" customHeight="1">
      <c r="A179" s="311"/>
      <c r="B179" s="232"/>
      <c r="C179" s="233"/>
      <c r="D179" s="234"/>
      <c r="E179" s="70"/>
      <c r="F179" s="70"/>
      <c r="G179" s="70"/>
      <c r="H179" s="70"/>
      <c r="I179" s="70"/>
      <c r="J179" s="70"/>
      <c r="K179" s="70"/>
      <c r="L179" s="70"/>
      <c r="M179" s="70"/>
      <c r="N179" s="70"/>
      <c r="O179" s="70"/>
      <c r="P179" s="70"/>
      <c r="Q179" s="70"/>
      <c r="R179" s="70"/>
      <c r="S179" s="70"/>
      <c r="T179" s="70"/>
      <c r="U179" s="70"/>
      <c r="V179" s="70"/>
      <c r="W179" s="70"/>
      <c r="X179" s="70"/>
      <c r="Y179" s="70"/>
      <c r="Z179" s="70"/>
      <c r="AA179" s="70"/>
      <c r="AB179" s="70"/>
      <c r="AC179" s="70"/>
      <c r="AD179" s="70"/>
      <c r="AE179" s="70"/>
      <c r="AF179" s="70"/>
      <c r="AG179" s="70"/>
      <c r="AH179" s="70"/>
      <c r="AI179" s="70"/>
      <c r="AJ179" s="70"/>
      <c r="AK179" s="70"/>
      <c r="AL179" s="70"/>
      <c r="AM179" s="70"/>
      <c r="AN179" s="70"/>
      <c r="AO179" s="70"/>
      <c r="AP179" s="65"/>
      <c r="AQ179" s="65"/>
      <c r="AR179" s="65"/>
      <c r="AS179" s="96">
        <f>22/0.735</f>
        <v>29.931972789115648</v>
      </c>
      <c r="AT179" s="70"/>
      <c r="AU179" s="70"/>
      <c r="AV179" s="96">
        <f>22/0.735</f>
        <v>29.931972789115648</v>
      </c>
      <c r="AW179" s="70"/>
      <c r="AX179" s="70"/>
      <c r="AY179" s="70"/>
      <c r="AZ179" s="70"/>
      <c r="BA179" s="70"/>
      <c r="BB179" s="70"/>
      <c r="BC179" s="70"/>
      <c r="BD179" s="70"/>
      <c r="BE179" s="70"/>
      <c r="BF179" s="70"/>
      <c r="BG179" s="65"/>
      <c r="BH179" s="65"/>
      <c r="BI179" s="65"/>
      <c r="BJ179" s="65"/>
      <c r="BK179" s="65"/>
      <c r="BL179" s="65"/>
      <c r="BM179" s="65"/>
      <c r="BN179" s="65"/>
      <c r="BO179" s="65"/>
      <c r="BP179" s="65"/>
      <c r="BQ179" s="65"/>
      <c r="BR179" s="65"/>
      <c r="BS179" s="65"/>
      <c r="BT179" s="65"/>
      <c r="BU179" s="65"/>
      <c r="BV179" s="65"/>
      <c r="BW179" s="65"/>
      <c r="BX179" s="65"/>
      <c r="BY179" s="65"/>
      <c r="BZ179" s="65"/>
      <c r="CA179" s="65"/>
      <c r="CB179" s="65"/>
      <c r="CC179" s="65"/>
      <c r="CD179" s="65"/>
      <c r="CE179" s="65"/>
      <c r="CF179" s="65"/>
      <c r="CG179" s="65"/>
      <c r="CH179" s="65"/>
      <c r="CI179" s="65"/>
      <c r="CJ179" s="65"/>
      <c r="CK179" s="65"/>
      <c r="CL179" s="65"/>
      <c r="CM179" s="65"/>
      <c r="CN179" s="65"/>
      <c r="CO179" s="65"/>
      <c r="CP179" s="65"/>
      <c r="CQ179" s="65"/>
      <c r="CR179" s="65"/>
      <c r="CS179" s="65"/>
      <c r="CT179" s="65"/>
      <c r="CU179" s="65"/>
      <c r="CV179" s="65"/>
      <c r="CW179" s="65"/>
      <c r="CX179" s="65"/>
      <c r="CY179" s="65"/>
      <c r="CZ179" s="65"/>
      <c r="DA179" s="65"/>
      <c r="DB179" s="65"/>
      <c r="DC179" s="65"/>
      <c r="DD179" s="65"/>
      <c r="DE179" s="65"/>
      <c r="DF179" s="65"/>
      <c r="DG179" s="65"/>
      <c r="DH179" s="65"/>
      <c r="DI179" s="65"/>
      <c r="DJ179" s="65"/>
      <c r="DK179" s="65"/>
      <c r="DL179" s="65"/>
      <c r="DM179" s="65"/>
      <c r="DN179" s="65"/>
      <c r="DO179" s="65"/>
      <c r="DP179" s="65"/>
      <c r="DQ179" s="65"/>
      <c r="DR179" s="65"/>
      <c r="DS179" s="65"/>
      <c r="DT179" s="65"/>
    </row>
    <row r="180" spans="1:124" ht="21.75" customHeight="1">
      <c r="A180" s="311"/>
      <c r="B180" s="229" t="s">
        <v>421</v>
      </c>
      <c r="C180" s="230"/>
      <c r="D180" s="231"/>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8"/>
      <c r="AH180" s="69"/>
      <c r="AI180" s="69"/>
      <c r="AJ180" s="69"/>
      <c r="AK180" s="69"/>
      <c r="AL180" s="69"/>
      <c r="AM180" s="69"/>
      <c r="AN180" s="68"/>
      <c r="AO180" s="68"/>
      <c r="AP180" s="68"/>
      <c r="AQ180" s="68"/>
      <c r="AR180" s="68"/>
      <c r="AS180" s="68"/>
      <c r="AT180" s="68"/>
      <c r="AU180" s="68"/>
      <c r="AV180" s="68"/>
      <c r="AW180" s="68"/>
      <c r="AX180" s="68"/>
      <c r="AY180" s="68"/>
      <c r="AZ180" s="68"/>
      <c r="BA180" s="68"/>
      <c r="BB180" s="68"/>
      <c r="BC180" s="68"/>
      <c r="BD180" s="68"/>
      <c r="BE180" s="68"/>
      <c r="BF180" s="68"/>
      <c r="BG180" s="68"/>
      <c r="BH180" s="68"/>
      <c r="BI180" s="68"/>
      <c r="BJ180" s="68"/>
      <c r="BK180" s="68"/>
      <c r="BL180" s="68"/>
      <c r="BM180" s="68"/>
      <c r="BN180" s="68"/>
      <c r="BO180" s="68"/>
      <c r="BP180" s="68"/>
      <c r="BQ180" s="68"/>
      <c r="BR180" s="68"/>
      <c r="BS180" s="68"/>
      <c r="BT180" s="68"/>
      <c r="BU180" s="68"/>
      <c r="BV180" s="68"/>
      <c r="BW180" s="68"/>
      <c r="BX180" s="68"/>
      <c r="BY180" s="68"/>
      <c r="BZ180" s="68"/>
      <c r="CA180" s="68"/>
      <c r="CB180" s="68"/>
      <c r="CC180" s="68"/>
      <c r="CD180" s="68"/>
      <c r="CE180" s="68"/>
      <c r="CF180" s="68"/>
      <c r="CG180" s="68"/>
      <c r="CH180" s="68"/>
      <c r="CI180" s="68"/>
      <c r="CJ180" s="68"/>
      <c r="CK180" s="68"/>
      <c r="CL180" s="68"/>
      <c r="CM180" s="68"/>
      <c r="CN180" s="68"/>
      <c r="CO180" s="68"/>
      <c r="CP180" s="68"/>
      <c r="CQ180" s="68"/>
      <c r="CR180" s="68"/>
      <c r="CS180" s="68"/>
      <c r="CT180" s="68"/>
      <c r="CU180" s="68"/>
      <c r="CV180" s="68"/>
      <c r="CW180" s="68"/>
      <c r="CX180" s="68"/>
      <c r="CY180" s="68"/>
      <c r="CZ180" s="68"/>
      <c r="DA180" s="68"/>
      <c r="DB180" s="68"/>
      <c r="DC180" s="68"/>
      <c r="DD180" s="68"/>
      <c r="DE180" s="68"/>
      <c r="DF180" s="68"/>
      <c r="DG180" s="68"/>
      <c r="DH180" s="68"/>
      <c r="DI180" s="68"/>
      <c r="DJ180" s="68"/>
      <c r="DK180" s="68"/>
      <c r="DL180" s="68"/>
      <c r="DM180" s="68"/>
      <c r="DN180" s="68"/>
      <c r="DO180" s="68"/>
      <c r="DP180" s="68"/>
      <c r="DQ180" s="68"/>
      <c r="DR180" s="68"/>
      <c r="DS180" s="68"/>
      <c r="DT180" s="68"/>
    </row>
    <row r="181" spans="1:124" ht="21.75" customHeight="1">
      <c r="A181" s="311"/>
      <c r="B181" s="232"/>
      <c r="C181" s="233"/>
      <c r="D181" s="234"/>
      <c r="E181" s="70"/>
      <c r="F181" s="70"/>
      <c r="G181" s="70"/>
      <c r="H181" s="70"/>
      <c r="I181" s="70"/>
      <c r="J181" s="70"/>
      <c r="K181" s="70"/>
      <c r="L181" s="70"/>
      <c r="M181" s="70"/>
      <c r="N181" s="70"/>
      <c r="O181" s="70"/>
      <c r="P181" s="70"/>
      <c r="Q181" s="70"/>
      <c r="R181" s="70"/>
      <c r="S181" s="70"/>
      <c r="T181" s="70"/>
      <c r="U181" s="70"/>
      <c r="V181" s="70"/>
      <c r="W181" s="70"/>
      <c r="X181" s="70"/>
      <c r="Y181" s="70"/>
      <c r="Z181" s="70"/>
      <c r="AA181" s="70"/>
      <c r="AB181" s="70"/>
      <c r="AC181" s="70"/>
      <c r="AD181" s="70"/>
      <c r="AE181" s="70"/>
      <c r="AF181" s="70"/>
      <c r="AG181" s="65"/>
      <c r="AH181" s="70"/>
      <c r="AI181" s="70"/>
      <c r="AJ181" s="70"/>
      <c r="AK181" s="70"/>
      <c r="AL181" s="70"/>
      <c r="AM181" s="70"/>
      <c r="AN181" s="65"/>
      <c r="AO181" s="65"/>
      <c r="AP181" s="65"/>
      <c r="AQ181" s="65"/>
      <c r="AR181" s="65"/>
      <c r="AS181" s="65"/>
      <c r="AT181" s="65"/>
      <c r="AU181" s="65"/>
      <c r="AV181" s="65"/>
      <c r="AW181" s="65"/>
      <c r="AX181" s="65"/>
      <c r="AY181" s="65"/>
      <c r="AZ181" s="65"/>
      <c r="BA181" s="65"/>
      <c r="BB181" s="65"/>
      <c r="BC181" s="65"/>
      <c r="BD181" s="65"/>
      <c r="BE181" s="65"/>
      <c r="BF181" s="65"/>
      <c r="BG181" s="65"/>
      <c r="BH181" s="65"/>
      <c r="BI181" s="65"/>
      <c r="BJ181" s="65"/>
      <c r="BK181" s="65"/>
      <c r="BL181" s="65"/>
      <c r="BM181" s="65"/>
      <c r="BN181" s="65"/>
      <c r="BO181" s="65"/>
      <c r="BP181" s="65"/>
      <c r="BQ181" s="65"/>
      <c r="BR181" s="65"/>
      <c r="BS181" s="65"/>
      <c r="BT181" s="65"/>
      <c r="BU181" s="65"/>
      <c r="BV181" s="65"/>
      <c r="BW181" s="65"/>
      <c r="BX181" s="65"/>
      <c r="BY181" s="65"/>
      <c r="BZ181" s="65"/>
      <c r="CA181" s="65"/>
      <c r="CB181" s="65"/>
      <c r="CC181" s="65"/>
      <c r="CD181" s="65"/>
      <c r="CE181" s="65"/>
      <c r="CF181" s="65"/>
      <c r="CG181" s="65"/>
      <c r="CH181" s="65"/>
      <c r="CI181" s="65"/>
      <c r="CJ181" s="65"/>
      <c r="CK181" s="65"/>
      <c r="CL181" s="65"/>
      <c r="CM181" s="65"/>
      <c r="CN181" s="65"/>
      <c r="CO181" s="65"/>
      <c r="CP181" s="65"/>
      <c r="CQ181" s="65"/>
      <c r="CR181" s="65"/>
      <c r="CS181" s="65"/>
      <c r="CT181" s="65"/>
      <c r="CU181" s="65"/>
      <c r="CV181" s="65"/>
      <c r="CW181" s="65"/>
      <c r="CX181" s="65"/>
      <c r="CY181" s="65"/>
      <c r="CZ181" s="65"/>
      <c r="DA181" s="65"/>
      <c r="DB181" s="65"/>
      <c r="DC181" s="65"/>
      <c r="DD181" s="65"/>
      <c r="DE181" s="65"/>
      <c r="DF181" s="65"/>
      <c r="DG181" s="65"/>
      <c r="DH181" s="65"/>
      <c r="DI181" s="65"/>
      <c r="DJ181" s="65"/>
      <c r="DK181" s="65"/>
      <c r="DL181" s="65"/>
      <c r="DM181" s="65"/>
      <c r="DN181" s="65"/>
      <c r="DO181" s="65"/>
      <c r="DP181" s="65"/>
      <c r="DQ181" s="65"/>
      <c r="DR181" s="65"/>
      <c r="DS181" s="65"/>
      <c r="DT181" s="65"/>
    </row>
    <row r="182" spans="1:124" ht="21.75" customHeight="1" thickBot="1">
      <c r="A182" s="311"/>
    </row>
    <row r="183" spans="1:124" ht="21.75" customHeight="1">
      <c r="A183" s="313"/>
      <c r="B183" s="176" t="s">
        <v>27</v>
      </c>
      <c r="C183" s="177"/>
      <c r="D183" s="178"/>
      <c r="E183" s="182"/>
      <c r="F183" s="188">
        <v>41000</v>
      </c>
      <c r="G183" s="185"/>
      <c r="H183" s="188">
        <v>41061</v>
      </c>
      <c r="I183" s="185"/>
      <c r="J183" s="182">
        <v>41491</v>
      </c>
      <c r="K183" s="185"/>
      <c r="L183" s="185"/>
      <c r="M183" s="185"/>
      <c r="N183" s="185"/>
      <c r="O183" s="185"/>
      <c r="P183" s="185"/>
      <c r="Q183" s="185"/>
      <c r="R183" s="185"/>
      <c r="S183" s="185"/>
      <c r="T183" s="185"/>
      <c r="U183" s="185"/>
      <c r="V183" s="185"/>
      <c r="W183" s="185"/>
      <c r="X183" s="182">
        <v>41743</v>
      </c>
      <c r="Y183" s="185">
        <v>41747</v>
      </c>
      <c r="Z183" s="185">
        <v>41748</v>
      </c>
      <c r="AA183" s="185">
        <v>41750</v>
      </c>
      <c r="AB183" s="185">
        <v>41752</v>
      </c>
      <c r="AC183" s="185">
        <v>41754</v>
      </c>
      <c r="AD183" s="182">
        <v>41757</v>
      </c>
      <c r="AE183" s="185">
        <v>41761</v>
      </c>
      <c r="AF183" s="185">
        <v>41764</v>
      </c>
      <c r="AG183" s="185"/>
      <c r="AH183" s="185">
        <v>41768</v>
      </c>
      <c r="AI183" s="185">
        <v>41771</v>
      </c>
      <c r="AJ183" s="185">
        <v>41773</v>
      </c>
      <c r="AK183" s="185">
        <v>41775</v>
      </c>
      <c r="AL183" s="185">
        <v>41778</v>
      </c>
      <c r="AM183" s="185">
        <v>41780</v>
      </c>
      <c r="AN183" s="185">
        <v>41782</v>
      </c>
      <c r="AO183" s="185">
        <v>41785</v>
      </c>
      <c r="AP183" s="186">
        <v>41971</v>
      </c>
      <c r="AQ183" s="186">
        <v>41971</v>
      </c>
      <c r="AR183" s="186">
        <v>41971</v>
      </c>
      <c r="AS183" s="182">
        <v>41876</v>
      </c>
      <c r="AT183" s="182">
        <v>41878</v>
      </c>
      <c r="AU183" s="182">
        <v>41880</v>
      </c>
      <c r="AV183" s="182">
        <v>41883</v>
      </c>
      <c r="AW183" s="182">
        <v>41885</v>
      </c>
      <c r="AX183" s="182">
        <v>41887</v>
      </c>
      <c r="AY183" s="194">
        <v>41890</v>
      </c>
      <c r="AZ183" s="185">
        <v>41892</v>
      </c>
      <c r="BA183" s="185">
        <v>41894</v>
      </c>
      <c r="BB183" s="186">
        <v>41897</v>
      </c>
      <c r="BC183" s="186">
        <v>41899</v>
      </c>
      <c r="BD183" s="186">
        <v>41901</v>
      </c>
      <c r="BE183" s="186">
        <v>41904</v>
      </c>
      <c r="BF183" s="186">
        <v>41906</v>
      </c>
      <c r="BG183" s="186">
        <v>41908</v>
      </c>
      <c r="BH183" s="186">
        <v>41911</v>
      </c>
      <c r="BI183" s="186">
        <v>41913</v>
      </c>
      <c r="BJ183" s="186">
        <v>41915</v>
      </c>
      <c r="BK183" s="186">
        <v>41918</v>
      </c>
      <c r="BL183" s="186">
        <v>41920</v>
      </c>
      <c r="BM183" s="186">
        <v>41922</v>
      </c>
      <c r="BN183" s="186">
        <v>41925</v>
      </c>
      <c r="BO183" s="186">
        <v>41927</v>
      </c>
      <c r="BP183" s="186">
        <v>41929</v>
      </c>
      <c r="BQ183" s="186">
        <v>41932</v>
      </c>
      <c r="BR183" s="186">
        <v>41934</v>
      </c>
      <c r="BS183" s="186">
        <v>41936</v>
      </c>
      <c r="BT183" s="186">
        <v>41939</v>
      </c>
      <c r="BU183" s="186">
        <v>41941</v>
      </c>
      <c r="BV183" s="186">
        <v>41943</v>
      </c>
      <c r="BW183" s="186">
        <v>41946</v>
      </c>
      <c r="BX183" s="186">
        <v>41948</v>
      </c>
      <c r="BY183" s="186">
        <v>41950</v>
      </c>
      <c r="BZ183" s="186">
        <v>41953</v>
      </c>
      <c r="CA183" s="186">
        <v>41955</v>
      </c>
      <c r="CB183" s="186">
        <v>41957</v>
      </c>
      <c r="CC183" s="186">
        <v>41960</v>
      </c>
      <c r="CD183" s="186">
        <v>41962</v>
      </c>
      <c r="CE183" s="186">
        <v>41964</v>
      </c>
      <c r="CF183" s="186">
        <v>41967</v>
      </c>
      <c r="CG183" s="186">
        <v>41969</v>
      </c>
      <c r="CH183" s="186">
        <v>41971</v>
      </c>
      <c r="CI183" s="186">
        <v>41971</v>
      </c>
      <c r="CJ183" s="186">
        <v>41971</v>
      </c>
      <c r="CK183" s="186">
        <v>41971</v>
      </c>
      <c r="CL183" s="186">
        <v>41971</v>
      </c>
      <c r="CM183" s="186">
        <v>41971</v>
      </c>
      <c r="CN183" s="186">
        <v>41971</v>
      </c>
      <c r="CO183" s="186">
        <v>41971</v>
      </c>
      <c r="CP183" s="186">
        <v>41971</v>
      </c>
      <c r="CQ183" s="186">
        <v>41971</v>
      </c>
      <c r="CR183" s="186">
        <v>41971</v>
      </c>
      <c r="CS183" s="186">
        <v>41971</v>
      </c>
      <c r="CT183" s="186">
        <v>41971</v>
      </c>
      <c r="CU183" s="186">
        <v>41971</v>
      </c>
      <c r="CV183" s="186">
        <v>41971</v>
      </c>
      <c r="CW183" s="186">
        <v>41971</v>
      </c>
      <c r="CX183" s="186">
        <v>41971</v>
      </c>
      <c r="CY183" s="186">
        <v>41971</v>
      </c>
      <c r="CZ183" s="186">
        <v>41971</v>
      </c>
      <c r="DA183" s="186">
        <v>41971</v>
      </c>
      <c r="DB183" s="186">
        <v>41971</v>
      </c>
      <c r="DC183" s="186">
        <v>41971</v>
      </c>
      <c r="DD183" s="186">
        <v>41971</v>
      </c>
      <c r="DE183" s="186">
        <v>41971</v>
      </c>
      <c r="DF183" s="186">
        <v>41971</v>
      </c>
      <c r="DG183" s="186">
        <v>41971</v>
      </c>
      <c r="DH183" s="186">
        <v>41971</v>
      </c>
      <c r="DI183" s="186">
        <v>41971</v>
      </c>
      <c r="DJ183" s="186">
        <v>41971</v>
      </c>
      <c r="DK183" s="186">
        <v>41971</v>
      </c>
      <c r="DL183" s="186">
        <v>41971</v>
      </c>
      <c r="DM183" s="186">
        <v>41971</v>
      </c>
      <c r="DN183" s="186">
        <v>41971</v>
      </c>
      <c r="DO183" s="186">
        <v>41971</v>
      </c>
      <c r="DP183" s="186">
        <v>41971</v>
      </c>
      <c r="DQ183" s="186">
        <v>41971</v>
      </c>
      <c r="DR183" s="186">
        <v>41971</v>
      </c>
      <c r="DS183" s="186">
        <v>41971</v>
      </c>
      <c r="DT183" s="186">
        <v>41971</v>
      </c>
    </row>
    <row r="184" spans="1:124" ht="21.75" customHeight="1">
      <c r="A184" s="313"/>
      <c r="B184" s="179"/>
      <c r="C184" s="180"/>
      <c r="D184" s="181"/>
      <c r="E184" s="183"/>
      <c r="F184" s="189"/>
      <c r="G184" s="186"/>
      <c r="H184" s="189"/>
      <c r="I184" s="186"/>
      <c r="J184" s="183"/>
      <c r="K184" s="186"/>
      <c r="L184" s="186"/>
      <c r="M184" s="186"/>
      <c r="N184" s="186"/>
      <c r="O184" s="186"/>
      <c r="P184" s="186"/>
      <c r="Q184" s="186"/>
      <c r="R184" s="186"/>
      <c r="S184" s="186"/>
      <c r="T184" s="186"/>
      <c r="U184" s="186"/>
      <c r="V184" s="186"/>
      <c r="W184" s="186"/>
      <c r="X184" s="183"/>
      <c r="Y184" s="186"/>
      <c r="Z184" s="186"/>
      <c r="AA184" s="186"/>
      <c r="AB184" s="186"/>
      <c r="AC184" s="186"/>
      <c r="AD184" s="183"/>
      <c r="AE184" s="186"/>
      <c r="AF184" s="186"/>
      <c r="AG184" s="186"/>
      <c r="AH184" s="186"/>
      <c r="AI184" s="186"/>
      <c r="AJ184" s="186"/>
      <c r="AK184" s="186"/>
      <c r="AL184" s="186"/>
      <c r="AM184" s="186"/>
      <c r="AN184" s="186"/>
      <c r="AO184" s="186"/>
      <c r="AP184" s="186"/>
      <c r="AQ184" s="186"/>
      <c r="AR184" s="186"/>
      <c r="AS184" s="183"/>
      <c r="AT184" s="183"/>
      <c r="AU184" s="183"/>
      <c r="AV184" s="183"/>
      <c r="AW184" s="183"/>
      <c r="AX184" s="183"/>
      <c r="AY184" s="195"/>
      <c r="AZ184" s="186"/>
      <c r="BA184" s="186"/>
      <c r="BB184" s="186"/>
      <c r="BC184" s="186"/>
      <c r="BD184" s="186"/>
      <c r="BE184" s="186"/>
      <c r="BF184" s="186"/>
      <c r="BG184" s="186"/>
      <c r="BH184" s="186"/>
      <c r="BI184" s="186"/>
      <c r="BJ184" s="186"/>
      <c r="BK184" s="186"/>
      <c r="BL184" s="186"/>
      <c r="BM184" s="186"/>
      <c r="BN184" s="186"/>
      <c r="BO184" s="186"/>
      <c r="BP184" s="186"/>
      <c r="BQ184" s="186"/>
      <c r="BR184" s="186"/>
      <c r="BS184" s="186"/>
      <c r="BT184" s="186"/>
      <c r="BU184" s="186"/>
      <c r="BV184" s="186"/>
      <c r="BW184" s="186"/>
      <c r="BX184" s="186"/>
      <c r="BY184" s="186"/>
      <c r="BZ184" s="186"/>
      <c r="CA184" s="186"/>
      <c r="CB184" s="186"/>
      <c r="CC184" s="186"/>
      <c r="CD184" s="186"/>
      <c r="CE184" s="186"/>
      <c r="CF184" s="186"/>
      <c r="CG184" s="186"/>
      <c r="CH184" s="186"/>
      <c r="CI184" s="186"/>
      <c r="CJ184" s="186"/>
      <c r="CK184" s="186"/>
      <c r="CL184" s="186"/>
      <c r="CM184" s="186"/>
      <c r="CN184" s="186"/>
      <c r="CO184" s="186"/>
      <c r="CP184" s="186"/>
      <c r="CQ184" s="186"/>
      <c r="CR184" s="186"/>
      <c r="CS184" s="186"/>
      <c r="CT184" s="186"/>
      <c r="CU184" s="186"/>
      <c r="CV184" s="186"/>
      <c r="CW184" s="186"/>
      <c r="CX184" s="186"/>
      <c r="CY184" s="186"/>
      <c r="CZ184" s="186"/>
      <c r="DA184" s="186"/>
      <c r="DB184" s="186"/>
      <c r="DC184" s="186"/>
      <c r="DD184" s="186"/>
      <c r="DE184" s="186"/>
      <c r="DF184" s="186"/>
      <c r="DG184" s="186"/>
      <c r="DH184" s="186"/>
      <c r="DI184" s="186"/>
      <c r="DJ184" s="186"/>
      <c r="DK184" s="186"/>
      <c r="DL184" s="186"/>
      <c r="DM184" s="186"/>
      <c r="DN184" s="186"/>
      <c r="DO184" s="186"/>
      <c r="DP184" s="186"/>
      <c r="DQ184" s="186"/>
      <c r="DR184" s="186"/>
      <c r="DS184" s="186"/>
      <c r="DT184" s="186"/>
    </row>
    <row r="185" spans="1:124" ht="21.75" customHeight="1">
      <c r="A185" s="313"/>
      <c r="B185" s="179"/>
      <c r="C185" s="180"/>
      <c r="D185" s="181"/>
      <c r="E185" s="183"/>
      <c r="F185" s="189"/>
      <c r="G185" s="186"/>
      <c r="H185" s="189"/>
      <c r="I185" s="186"/>
      <c r="J185" s="183"/>
      <c r="K185" s="186"/>
      <c r="L185" s="186"/>
      <c r="M185" s="186"/>
      <c r="N185" s="186"/>
      <c r="O185" s="186"/>
      <c r="P185" s="186"/>
      <c r="Q185" s="186"/>
      <c r="R185" s="186"/>
      <c r="S185" s="186"/>
      <c r="T185" s="186"/>
      <c r="U185" s="186"/>
      <c r="V185" s="186"/>
      <c r="W185" s="186"/>
      <c r="X185" s="183"/>
      <c r="Y185" s="186"/>
      <c r="Z185" s="186"/>
      <c r="AA185" s="186"/>
      <c r="AB185" s="186"/>
      <c r="AC185" s="186"/>
      <c r="AD185" s="183"/>
      <c r="AE185" s="186"/>
      <c r="AF185" s="186"/>
      <c r="AG185" s="186"/>
      <c r="AH185" s="186"/>
      <c r="AI185" s="186"/>
      <c r="AJ185" s="186"/>
      <c r="AK185" s="186"/>
      <c r="AL185" s="186"/>
      <c r="AM185" s="186"/>
      <c r="AN185" s="186"/>
      <c r="AO185" s="186"/>
      <c r="AP185" s="186"/>
      <c r="AQ185" s="186"/>
      <c r="AR185" s="186"/>
      <c r="AS185" s="183"/>
      <c r="AT185" s="183"/>
      <c r="AU185" s="183"/>
      <c r="AV185" s="183"/>
      <c r="AW185" s="183"/>
      <c r="AX185" s="183"/>
      <c r="AY185" s="195"/>
      <c r="AZ185" s="186"/>
      <c r="BA185" s="186"/>
      <c r="BB185" s="186"/>
      <c r="BC185" s="186"/>
      <c r="BD185" s="186"/>
      <c r="BE185" s="186"/>
      <c r="BF185" s="186"/>
      <c r="BG185" s="186"/>
      <c r="BH185" s="186"/>
      <c r="BI185" s="186"/>
      <c r="BJ185" s="186"/>
      <c r="BK185" s="186"/>
      <c r="BL185" s="186"/>
      <c r="BM185" s="186"/>
      <c r="BN185" s="186"/>
      <c r="BO185" s="186"/>
      <c r="BP185" s="186"/>
      <c r="BQ185" s="186"/>
      <c r="BR185" s="186"/>
      <c r="BS185" s="186"/>
      <c r="BT185" s="186"/>
      <c r="BU185" s="186"/>
      <c r="BV185" s="186"/>
      <c r="BW185" s="186"/>
      <c r="BX185" s="186"/>
      <c r="BY185" s="186"/>
      <c r="BZ185" s="186"/>
      <c r="CA185" s="186"/>
      <c r="CB185" s="186"/>
      <c r="CC185" s="186"/>
      <c r="CD185" s="186"/>
      <c r="CE185" s="186"/>
      <c r="CF185" s="186"/>
      <c r="CG185" s="186"/>
      <c r="CH185" s="186"/>
      <c r="CI185" s="186"/>
      <c r="CJ185" s="186"/>
      <c r="CK185" s="186"/>
      <c r="CL185" s="186"/>
      <c r="CM185" s="186"/>
      <c r="CN185" s="186"/>
      <c r="CO185" s="186"/>
      <c r="CP185" s="186"/>
      <c r="CQ185" s="186"/>
      <c r="CR185" s="186"/>
      <c r="CS185" s="186"/>
      <c r="CT185" s="186"/>
      <c r="CU185" s="186"/>
      <c r="CV185" s="186"/>
      <c r="CW185" s="186"/>
      <c r="CX185" s="186"/>
      <c r="CY185" s="186"/>
      <c r="CZ185" s="186"/>
      <c r="DA185" s="186"/>
      <c r="DB185" s="186"/>
      <c r="DC185" s="186"/>
      <c r="DD185" s="186"/>
      <c r="DE185" s="186"/>
      <c r="DF185" s="186"/>
      <c r="DG185" s="186"/>
      <c r="DH185" s="186"/>
      <c r="DI185" s="186"/>
      <c r="DJ185" s="186"/>
      <c r="DK185" s="186"/>
      <c r="DL185" s="186"/>
      <c r="DM185" s="186"/>
      <c r="DN185" s="186"/>
      <c r="DO185" s="186"/>
      <c r="DP185" s="186"/>
      <c r="DQ185" s="186"/>
      <c r="DR185" s="186"/>
      <c r="DS185" s="186"/>
      <c r="DT185" s="186"/>
    </row>
    <row r="186" spans="1:124" ht="21.75" customHeight="1">
      <c r="A186" s="313"/>
      <c r="B186" s="179"/>
      <c r="C186" s="180"/>
      <c r="D186" s="181"/>
      <c r="E186" s="183"/>
      <c r="F186" s="189"/>
      <c r="G186" s="186"/>
      <c r="H186" s="189"/>
      <c r="I186" s="186"/>
      <c r="J186" s="183"/>
      <c r="K186" s="186"/>
      <c r="L186" s="186"/>
      <c r="M186" s="186"/>
      <c r="N186" s="186"/>
      <c r="O186" s="186"/>
      <c r="P186" s="186"/>
      <c r="Q186" s="186"/>
      <c r="R186" s="186"/>
      <c r="S186" s="186"/>
      <c r="T186" s="186"/>
      <c r="U186" s="186"/>
      <c r="V186" s="186"/>
      <c r="W186" s="186"/>
      <c r="X186" s="183"/>
      <c r="Y186" s="186"/>
      <c r="Z186" s="186"/>
      <c r="AA186" s="186"/>
      <c r="AB186" s="186"/>
      <c r="AC186" s="186"/>
      <c r="AD186" s="183"/>
      <c r="AE186" s="186"/>
      <c r="AF186" s="186"/>
      <c r="AG186" s="186"/>
      <c r="AH186" s="186"/>
      <c r="AI186" s="186"/>
      <c r="AJ186" s="186"/>
      <c r="AK186" s="186"/>
      <c r="AL186" s="186"/>
      <c r="AM186" s="186"/>
      <c r="AN186" s="186"/>
      <c r="AO186" s="186"/>
      <c r="AP186" s="186"/>
      <c r="AQ186" s="186"/>
      <c r="AR186" s="186"/>
      <c r="AS186" s="183"/>
      <c r="AT186" s="183"/>
      <c r="AU186" s="183"/>
      <c r="AV186" s="183"/>
      <c r="AW186" s="183"/>
      <c r="AX186" s="183"/>
      <c r="AY186" s="195"/>
      <c r="AZ186" s="186"/>
      <c r="BA186" s="186"/>
      <c r="BB186" s="186"/>
      <c r="BC186" s="186"/>
      <c r="BD186" s="186"/>
      <c r="BE186" s="186"/>
      <c r="BF186" s="186"/>
      <c r="BG186" s="186"/>
      <c r="BH186" s="186"/>
      <c r="BI186" s="186"/>
      <c r="BJ186" s="186"/>
      <c r="BK186" s="186"/>
      <c r="BL186" s="186"/>
      <c r="BM186" s="186"/>
      <c r="BN186" s="186"/>
      <c r="BO186" s="186"/>
      <c r="BP186" s="186"/>
      <c r="BQ186" s="186"/>
      <c r="BR186" s="186"/>
      <c r="BS186" s="186"/>
      <c r="BT186" s="186"/>
      <c r="BU186" s="186"/>
      <c r="BV186" s="186"/>
      <c r="BW186" s="186"/>
      <c r="BX186" s="186"/>
      <c r="BY186" s="186"/>
      <c r="BZ186" s="186"/>
      <c r="CA186" s="186"/>
      <c r="CB186" s="186"/>
      <c r="CC186" s="186"/>
      <c r="CD186" s="186"/>
      <c r="CE186" s="186"/>
      <c r="CF186" s="186"/>
      <c r="CG186" s="186"/>
      <c r="CH186" s="186"/>
      <c r="CI186" s="186"/>
      <c r="CJ186" s="186"/>
      <c r="CK186" s="186"/>
      <c r="CL186" s="186"/>
      <c r="CM186" s="186"/>
      <c r="CN186" s="186"/>
      <c r="CO186" s="186"/>
      <c r="CP186" s="186"/>
      <c r="CQ186" s="186"/>
      <c r="CR186" s="186"/>
      <c r="CS186" s="186"/>
      <c r="CT186" s="186"/>
      <c r="CU186" s="186"/>
      <c r="CV186" s="186"/>
      <c r="CW186" s="186"/>
      <c r="CX186" s="186"/>
      <c r="CY186" s="186"/>
      <c r="CZ186" s="186"/>
      <c r="DA186" s="186"/>
      <c r="DB186" s="186"/>
      <c r="DC186" s="186"/>
      <c r="DD186" s="186"/>
      <c r="DE186" s="186"/>
      <c r="DF186" s="186"/>
      <c r="DG186" s="186"/>
      <c r="DH186" s="186"/>
      <c r="DI186" s="186"/>
      <c r="DJ186" s="186"/>
      <c r="DK186" s="186"/>
      <c r="DL186" s="186"/>
      <c r="DM186" s="186"/>
      <c r="DN186" s="186"/>
      <c r="DO186" s="186"/>
      <c r="DP186" s="186"/>
      <c r="DQ186" s="186"/>
      <c r="DR186" s="186"/>
      <c r="DS186" s="186"/>
      <c r="DT186" s="186"/>
    </row>
    <row r="187" spans="1:124" ht="21.75" customHeight="1">
      <c r="A187" s="313"/>
      <c r="B187" s="199" t="s">
        <v>365</v>
      </c>
      <c r="C187" s="200"/>
      <c r="D187" s="201"/>
      <c r="E187" s="183"/>
      <c r="F187" s="189"/>
      <c r="G187" s="186"/>
      <c r="H187" s="189"/>
      <c r="I187" s="186"/>
      <c r="J187" s="183"/>
      <c r="K187" s="186"/>
      <c r="L187" s="186"/>
      <c r="M187" s="186"/>
      <c r="N187" s="186"/>
      <c r="O187" s="186"/>
      <c r="P187" s="186"/>
      <c r="Q187" s="186"/>
      <c r="R187" s="186"/>
      <c r="S187" s="186"/>
      <c r="T187" s="186"/>
      <c r="U187" s="186"/>
      <c r="V187" s="186"/>
      <c r="W187" s="186"/>
      <c r="X187" s="183"/>
      <c r="Y187" s="186"/>
      <c r="Z187" s="186"/>
      <c r="AA187" s="186"/>
      <c r="AB187" s="186"/>
      <c r="AC187" s="186"/>
      <c r="AD187" s="183"/>
      <c r="AE187" s="186"/>
      <c r="AF187" s="186"/>
      <c r="AG187" s="186"/>
      <c r="AH187" s="186"/>
      <c r="AI187" s="186"/>
      <c r="AJ187" s="186"/>
      <c r="AK187" s="186"/>
      <c r="AL187" s="186"/>
      <c r="AM187" s="186"/>
      <c r="AN187" s="186"/>
      <c r="AO187" s="186"/>
      <c r="AP187" s="186"/>
      <c r="AQ187" s="186"/>
      <c r="AR187" s="186"/>
      <c r="AS187" s="183"/>
      <c r="AT187" s="183"/>
      <c r="AU187" s="183"/>
      <c r="AV187" s="183"/>
      <c r="AW187" s="183"/>
      <c r="AX187" s="183"/>
      <c r="AY187" s="195"/>
      <c r="AZ187" s="186"/>
      <c r="BA187" s="186"/>
      <c r="BB187" s="186"/>
      <c r="BC187" s="186"/>
      <c r="BD187" s="186"/>
      <c r="BE187" s="186"/>
      <c r="BF187" s="186"/>
      <c r="BG187" s="186"/>
      <c r="BH187" s="186"/>
      <c r="BI187" s="186"/>
      <c r="BJ187" s="186"/>
      <c r="BK187" s="186"/>
      <c r="BL187" s="186"/>
      <c r="BM187" s="186"/>
      <c r="BN187" s="186"/>
      <c r="BO187" s="186"/>
      <c r="BP187" s="186"/>
      <c r="BQ187" s="186"/>
      <c r="BR187" s="186"/>
      <c r="BS187" s="186"/>
      <c r="BT187" s="186"/>
      <c r="BU187" s="186"/>
      <c r="BV187" s="186"/>
      <c r="BW187" s="186"/>
      <c r="BX187" s="186"/>
      <c r="BY187" s="186"/>
      <c r="BZ187" s="186"/>
      <c r="CA187" s="186"/>
      <c r="CB187" s="186"/>
      <c r="CC187" s="186"/>
      <c r="CD187" s="186"/>
      <c r="CE187" s="186"/>
      <c r="CF187" s="186"/>
      <c r="CG187" s="186"/>
      <c r="CH187" s="186"/>
      <c r="CI187" s="186"/>
      <c r="CJ187" s="186"/>
      <c r="CK187" s="186"/>
      <c r="CL187" s="186"/>
      <c r="CM187" s="186"/>
      <c r="CN187" s="186"/>
      <c r="CO187" s="186"/>
      <c r="CP187" s="186"/>
      <c r="CQ187" s="186"/>
      <c r="CR187" s="186"/>
      <c r="CS187" s="186"/>
      <c r="CT187" s="186"/>
      <c r="CU187" s="186"/>
      <c r="CV187" s="186"/>
      <c r="CW187" s="186"/>
      <c r="CX187" s="186"/>
      <c r="CY187" s="186"/>
      <c r="CZ187" s="186"/>
      <c r="DA187" s="186"/>
      <c r="DB187" s="186"/>
      <c r="DC187" s="186"/>
      <c r="DD187" s="186"/>
      <c r="DE187" s="186"/>
      <c r="DF187" s="186"/>
      <c r="DG187" s="186"/>
      <c r="DH187" s="186"/>
      <c r="DI187" s="186"/>
      <c r="DJ187" s="186"/>
      <c r="DK187" s="186"/>
      <c r="DL187" s="186"/>
      <c r="DM187" s="186"/>
      <c r="DN187" s="186"/>
      <c r="DO187" s="186"/>
      <c r="DP187" s="186"/>
      <c r="DQ187" s="186"/>
      <c r="DR187" s="186"/>
      <c r="DS187" s="186"/>
      <c r="DT187" s="186"/>
    </row>
    <row r="188" spans="1:124" ht="21.75" customHeight="1" thickBot="1">
      <c r="A188" s="313"/>
      <c r="B188" s="202"/>
      <c r="C188" s="203"/>
      <c r="D188" s="204"/>
      <c r="E188" s="184"/>
      <c r="F188" s="190"/>
      <c r="G188" s="187"/>
      <c r="H188" s="190"/>
      <c r="I188" s="187"/>
      <c r="J188" s="184"/>
      <c r="K188" s="187"/>
      <c r="L188" s="187"/>
      <c r="M188" s="187"/>
      <c r="N188" s="187"/>
      <c r="O188" s="187"/>
      <c r="P188" s="187"/>
      <c r="Q188" s="187"/>
      <c r="R188" s="187"/>
      <c r="S188" s="187"/>
      <c r="T188" s="187"/>
      <c r="U188" s="187"/>
      <c r="V188" s="187"/>
      <c r="W188" s="187"/>
      <c r="X188" s="184"/>
      <c r="Y188" s="187"/>
      <c r="Z188" s="187"/>
      <c r="AA188" s="187"/>
      <c r="AB188" s="187"/>
      <c r="AC188" s="187"/>
      <c r="AD188" s="184"/>
      <c r="AE188" s="187"/>
      <c r="AF188" s="187"/>
      <c r="AG188" s="187"/>
      <c r="AH188" s="187"/>
      <c r="AI188" s="187"/>
      <c r="AJ188" s="187"/>
      <c r="AK188" s="187"/>
      <c r="AL188" s="187"/>
      <c r="AM188" s="187"/>
      <c r="AN188" s="187"/>
      <c r="AO188" s="187"/>
      <c r="AP188" s="186"/>
      <c r="AQ188" s="186"/>
      <c r="AR188" s="186"/>
      <c r="AS188" s="184"/>
      <c r="AT188" s="184"/>
      <c r="AU188" s="184"/>
      <c r="AV188" s="184"/>
      <c r="AW188" s="184"/>
      <c r="AX188" s="184"/>
      <c r="AY188" s="196"/>
      <c r="AZ188" s="187"/>
      <c r="BA188" s="187"/>
      <c r="BB188" s="186"/>
      <c r="BC188" s="186"/>
      <c r="BD188" s="186"/>
      <c r="BE188" s="186"/>
      <c r="BF188" s="186"/>
      <c r="BG188" s="186"/>
      <c r="BH188" s="186"/>
      <c r="BI188" s="186"/>
      <c r="BJ188" s="186"/>
      <c r="BK188" s="186"/>
      <c r="BL188" s="186"/>
      <c r="BM188" s="186"/>
      <c r="BN188" s="186"/>
      <c r="BO188" s="186"/>
      <c r="BP188" s="186"/>
      <c r="BQ188" s="186"/>
      <c r="BR188" s="186"/>
      <c r="BS188" s="186"/>
      <c r="BT188" s="186"/>
      <c r="BU188" s="186"/>
      <c r="BV188" s="186"/>
      <c r="BW188" s="186"/>
      <c r="BX188" s="186"/>
      <c r="BY188" s="186"/>
      <c r="BZ188" s="186"/>
      <c r="CA188" s="186"/>
      <c r="CB188" s="186"/>
      <c r="CC188" s="186"/>
      <c r="CD188" s="186"/>
      <c r="CE188" s="186"/>
      <c r="CF188" s="186"/>
      <c r="CG188" s="186"/>
      <c r="CH188" s="186"/>
      <c r="CI188" s="186"/>
      <c r="CJ188" s="186"/>
      <c r="CK188" s="186"/>
      <c r="CL188" s="186"/>
      <c r="CM188" s="186"/>
      <c r="CN188" s="186"/>
      <c r="CO188" s="186"/>
      <c r="CP188" s="186"/>
      <c r="CQ188" s="186"/>
      <c r="CR188" s="186"/>
      <c r="CS188" s="186"/>
      <c r="CT188" s="186"/>
      <c r="CU188" s="186"/>
      <c r="CV188" s="186"/>
      <c r="CW188" s="186"/>
      <c r="CX188" s="186"/>
      <c r="CY188" s="186"/>
      <c r="CZ188" s="186"/>
      <c r="DA188" s="186"/>
      <c r="DB188" s="186"/>
      <c r="DC188" s="186"/>
      <c r="DD188" s="186"/>
      <c r="DE188" s="186"/>
      <c r="DF188" s="186"/>
      <c r="DG188" s="186"/>
      <c r="DH188" s="186"/>
      <c r="DI188" s="186"/>
      <c r="DJ188" s="186"/>
      <c r="DK188" s="186"/>
      <c r="DL188" s="186"/>
      <c r="DM188" s="186"/>
      <c r="DN188" s="186"/>
      <c r="DO188" s="186"/>
      <c r="DP188" s="186"/>
      <c r="DQ188" s="186"/>
      <c r="DR188" s="186"/>
      <c r="DS188" s="186"/>
      <c r="DT188" s="186"/>
    </row>
    <row r="189" spans="1:124" s="55" customFormat="1" ht="21.75" customHeight="1">
      <c r="A189" s="313"/>
      <c r="B189" s="205" t="s">
        <v>366</v>
      </c>
      <c r="C189" s="206"/>
      <c r="D189" s="206"/>
      <c r="E189" s="197"/>
      <c r="F189" s="197" t="s">
        <v>22</v>
      </c>
      <c r="G189" s="197"/>
      <c r="H189" s="197" t="s">
        <v>36</v>
      </c>
      <c r="I189" s="197"/>
      <c r="J189" s="197"/>
      <c r="K189" s="197"/>
      <c r="L189" s="197"/>
      <c r="M189" s="197"/>
      <c r="N189" s="197"/>
      <c r="O189" s="197"/>
      <c r="P189" s="197"/>
      <c r="Q189" s="197"/>
      <c r="R189" s="197"/>
      <c r="S189" s="197"/>
      <c r="T189" s="197"/>
      <c r="U189" s="197"/>
      <c r="V189" s="197"/>
      <c r="W189" s="197"/>
      <c r="X189" s="197"/>
      <c r="Y189" s="197"/>
      <c r="Z189" s="197"/>
      <c r="AA189" s="197"/>
      <c r="AB189" s="197"/>
      <c r="AC189" s="197"/>
      <c r="AD189" s="259" t="s">
        <v>466</v>
      </c>
      <c r="AE189" s="211"/>
      <c r="AF189" s="211"/>
      <c r="AG189" s="197"/>
      <c r="AH189" s="257" t="s">
        <v>105</v>
      </c>
      <c r="AI189" s="211"/>
      <c r="AJ189" s="211"/>
      <c r="AK189" s="211"/>
      <c r="AL189" s="211"/>
      <c r="AM189" s="211"/>
      <c r="AN189" s="197"/>
      <c r="AO189" s="209" t="s">
        <v>467</v>
      </c>
      <c r="AP189" s="197"/>
      <c r="AQ189" s="197"/>
      <c r="AR189" s="197"/>
      <c r="AS189" s="197"/>
      <c r="AT189" s="197"/>
      <c r="AU189" s="197"/>
      <c r="AV189" s="197"/>
      <c r="AW189" s="197"/>
      <c r="AX189" s="197"/>
      <c r="AY189" s="217"/>
      <c r="AZ189" s="197"/>
      <c r="BA189" s="197"/>
      <c r="BB189" s="215" t="s">
        <v>160</v>
      </c>
      <c r="BC189" s="215" t="s">
        <v>160</v>
      </c>
      <c r="BD189" s="215" t="s">
        <v>160</v>
      </c>
      <c r="BE189" s="197" t="s">
        <v>161</v>
      </c>
      <c r="BF189" s="197"/>
      <c r="BG189" s="197"/>
      <c r="BH189" s="197"/>
      <c r="BI189" s="197"/>
      <c r="BJ189" s="197"/>
      <c r="BK189" s="215" t="s">
        <v>369</v>
      </c>
      <c r="BL189" s="215" t="s">
        <v>369</v>
      </c>
      <c r="BM189" s="215" t="s">
        <v>369</v>
      </c>
      <c r="BN189" s="197"/>
      <c r="BO189" s="197"/>
      <c r="BP189" s="197"/>
      <c r="BQ189" s="197"/>
      <c r="BR189" s="197"/>
      <c r="BS189" s="197"/>
      <c r="BT189" s="197"/>
      <c r="BU189" s="197"/>
      <c r="BV189" s="215" t="s">
        <v>370</v>
      </c>
      <c r="BW189" s="215" t="s">
        <v>370</v>
      </c>
      <c r="BX189" s="215" t="s">
        <v>370</v>
      </c>
      <c r="BY189" s="215" t="s">
        <v>370</v>
      </c>
      <c r="BZ189" s="215" t="s">
        <v>370</v>
      </c>
      <c r="CA189" s="215" t="s">
        <v>370</v>
      </c>
      <c r="CB189" s="197"/>
      <c r="CC189" s="197"/>
      <c r="CD189" s="197"/>
      <c r="CE189" s="197"/>
      <c r="CF189" s="197"/>
      <c r="CG189" s="197"/>
      <c r="CH189" s="197"/>
      <c r="CI189" s="197"/>
      <c r="CJ189" s="197"/>
      <c r="CK189" s="215" t="s">
        <v>371</v>
      </c>
      <c r="CL189" s="215" t="s">
        <v>371</v>
      </c>
      <c r="CM189" s="215" t="s">
        <v>371</v>
      </c>
      <c r="CN189" s="215" t="s">
        <v>371</v>
      </c>
      <c r="CO189" s="215" t="s">
        <v>371</v>
      </c>
      <c r="CP189" s="215" t="s">
        <v>371</v>
      </c>
      <c r="CQ189" s="215" t="s">
        <v>371</v>
      </c>
      <c r="CR189" s="197"/>
      <c r="CS189" s="197"/>
      <c r="CT189" s="197"/>
      <c r="CU189" s="197"/>
      <c r="CV189" s="197"/>
      <c r="CW189" s="197"/>
      <c r="CX189" s="197"/>
      <c r="CY189" s="197"/>
      <c r="CZ189" s="197"/>
      <c r="DA189" s="197"/>
      <c r="DB189" s="197"/>
      <c r="DC189" s="197"/>
      <c r="DD189" s="197"/>
      <c r="DE189" s="197"/>
      <c r="DF189" s="197"/>
      <c r="DG189" s="197"/>
      <c r="DH189" s="197"/>
      <c r="DI189" s="197"/>
      <c r="DJ189" s="197"/>
      <c r="DK189" s="197"/>
      <c r="DL189" s="197"/>
      <c r="DM189" s="197"/>
      <c r="DN189" s="197"/>
      <c r="DO189" s="197"/>
      <c r="DP189" s="197"/>
      <c r="DQ189" s="197"/>
      <c r="DR189" s="197"/>
      <c r="DS189" s="197"/>
      <c r="DT189" s="197"/>
    </row>
    <row r="190" spans="1:124" s="55" customFormat="1" ht="21.75" customHeight="1">
      <c r="A190" s="313"/>
      <c r="B190" s="207"/>
      <c r="C190" s="208"/>
      <c r="D190" s="208"/>
      <c r="E190" s="198"/>
      <c r="F190" s="198"/>
      <c r="G190" s="198"/>
      <c r="H190" s="198"/>
      <c r="I190" s="198"/>
      <c r="J190" s="198"/>
      <c r="K190" s="198"/>
      <c r="L190" s="198"/>
      <c r="M190" s="198"/>
      <c r="N190" s="198"/>
      <c r="O190" s="198"/>
      <c r="P190" s="198"/>
      <c r="Q190" s="198"/>
      <c r="R190" s="198"/>
      <c r="S190" s="198"/>
      <c r="T190" s="198"/>
      <c r="U190" s="198"/>
      <c r="V190" s="198"/>
      <c r="W190" s="198"/>
      <c r="X190" s="198"/>
      <c r="Y190" s="198"/>
      <c r="Z190" s="198"/>
      <c r="AA190" s="198"/>
      <c r="AB190" s="198"/>
      <c r="AC190" s="198"/>
      <c r="AD190" s="260"/>
      <c r="AE190" s="212"/>
      <c r="AF190" s="212"/>
      <c r="AG190" s="198"/>
      <c r="AH190" s="258"/>
      <c r="AI190" s="212"/>
      <c r="AJ190" s="212"/>
      <c r="AK190" s="212"/>
      <c r="AL190" s="212"/>
      <c r="AM190" s="212"/>
      <c r="AN190" s="198"/>
      <c r="AO190" s="210"/>
      <c r="AP190" s="198"/>
      <c r="AQ190" s="198"/>
      <c r="AR190" s="198"/>
      <c r="AS190" s="198"/>
      <c r="AT190" s="198"/>
      <c r="AU190" s="198"/>
      <c r="AV190" s="198"/>
      <c r="AW190" s="198"/>
      <c r="AX190" s="198"/>
      <c r="AY190" s="218"/>
      <c r="AZ190" s="198"/>
      <c r="BA190" s="198"/>
      <c r="BB190" s="216"/>
      <c r="BC190" s="216"/>
      <c r="BD190" s="216"/>
      <c r="BE190" s="198"/>
      <c r="BF190" s="198"/>
      <c r="BG190" s="198"/>
      <c r="BH190" s="198"/>
      <c r="BI190" s="198"/>
      <c r="BJ190" s="198"/>
      <c r="BK190" s="216"/>
      <c r="BL190" s="216"/>
      <c r="BM190" s="216"/>
      <c r="BN190" s="198"/>
      <c r="BO190" s="198"/>
      <c r="BP190" s="198"/>
      <c r="BQ190" s="198"/>
      <c r="BR190" s="198"/>
      <c r="BS190" s="198"/>
      <c r="BT190" s="198"/>
      <c r="BU190" s="198"/>
      <c r="BV190" s="216"/>
      <c r="BW190" s="216"/>
      <c r="BX190" s="216"/>
      <c r="BY190" s="216"/>
      <c r="BZ190" s="216"/>
      <c r="CA190" s="216"/>
      <c r="CB190" s="198"/>
      <c r="CC190" s="198"/>
      <c r="CD190" s="198"/>
      <c r="CE190" s="198"/>
      <c r="CF190" s="198"/>
      <c r="CG190" s="198"/>
      <c r="CH190" s="198"/>
      <c r="CI190" s="198"/>
      <c r="CJ190" s="198"/>
      <c r="CK190" s="216"/>
      <c r="CL190" s="216"/>
      <c r="CM190" s="216"/>
      <c r="CN190" s="216"/>
      <c r="CO190" s="216"/>
      <c r="CP190" s="216"/>
      <c r="CQ190" s="216"/>
      <c r="CR190" s="198"/>
      <c r="CS190" s="198"/>
      <c r="CT190" s="198"/>
      <c r="CU190" s="198"/>
      <c r="CV190" s="198"/>
      <c r="CW190" s="198"/>
      <c r="CX190" s="198"/>
      <c r="CY190" s="198"/>
      <c r="CZ190" s="198"/>
      <c r="DA190" s="198"/>
      <c r="DB190" s="198"/>
      <c r="DC190" s="198"/>
      <c r="DD190" s="198"/>
      <c r="DE190" s="198"/>
      <c r="DF190" s="198"/>
      <c r="DG190" s="198"/>
      <c r="DH190" s="198"/>
      <c r="DI190" s="198"/>
      <c r="DJ190" s="198"/>
      <c r="DK190" s="198"/>
      <c r="DL190" s="198"/>
      <c r="DM190" s="198"/>
      <c r="DN190" s="198"/>
      <c r="DO190" s="198"/>
      <c r="DP190" s="198"/>
      <c r="DQ190" s="198"/>
      <c r="DR190" s="198"/>
      <c r="DS190" s="198"/>
      <c r="DT190" s="198"/>
    </row>
    <row r="191" spans="1:124" ht="21.75" customHeight="1">
      <c r="A191" s="313"/>
      <c r="B191" s="221" t="s">
        <v>12</v>
      </c>
      <c r="C191" s="222"/>
      <c r="D191" s="222"/>
      <c r="E191" s="56"/>
      <c r="F191" s="56"/>
      <c r="G191" s="56"/>
      <c r="H191" s="56">
        <v>95</v>
      </c>
      <c r="I191" s="56"/>
      <c r="J191" s="56"/>
      <c r="K191" s="56"/>
      <c r="L191" s="56"/>
      <c r="M191" s="56"/>
      <c r="N191" s="56"/>
      <c r="O191" s="56"/>
      <c r="P191" s="56"/>
      <c r="Q191" s="56"/>
      <c r="R191" s="56"/>
      <c r="S191" s="56"/>
      <c r="T191" s="56"/>
      <c r="U191" s="56"/>
      <c r="V191" s="56"/>
      <c r="W191" s="56"/>
      <c r="X191" s="56">
        <v>96.6</v>
      </c>
      <c r="Y191" s="56">
        <v>96.4</v>
      </c>
      <c r="Z191" s="56">
        <v>96.3</v>
      </c>
      <c r="AA191" s="56">
        <v>96.4</v>
      </c>
      <c r="AB191" s="56">
        <v>95.8</v>
      </c>
      <c r="AC191" s="57">
        <v>96</v>
      </c>
      <c r="AD191" s="56">
        <v>96.6</v>
      </c>
      <c r="AE191" s="58">
        <v>96.6</v>
      </c>
      <c r="AF191" s="56">
        <v>97.3</v>
      </c>
      <c r="AG191" s="56"/>
      <c r="AH191" s="56">
        <v>95.5</v>
      </c>
      <c r="AI191" s="56">
        <v>97.2</v>
      </c>
      <c r="AJ191" s="56">
        <v>95.8</v>
      </c>
      <c r="AK191" s="56">
        <v>95.9</v>
      </c>
      <c r="AL191" s="56">
        <v>95.9</v>
      </c>
      <c r="AM191" s="56">
        <v>95.6</v>
      </c>
      <c r="AN191" s="56">
        <v>96.3</v>
      </c>
      <c r="AO191" s="56"/>
      <c r="AP191" s="56"/>
      <c r="AQ191" s="56"/>
      <c r="AR191" s="56"/>
      <c r="AS191" s="56">
        <v>95.4</v>
      </c>
      <c r="AT191" s="56">
        <v>93</v>
      </c>
      <c r="AU191" s="56">
        <v>94.5</v>
      </c>
      <c r="AV191" s="56">
        <v>95.2</v>
      </c>
      <c r="AW191" s="56"/>
      <c r="AX191" s="56"/>
      <c r="AY191" s="59"/>
      <c r="AZ191" s="56"/>
      <c r="BA191" s="56"/>
      <c r="BB191" s="56"/>
      <c r="BC191" s="56"/>
      <c r="BD191" s="56"/>
      <c r="BE191" s="56"/>
      <c r="BF191" s="56"/>
      <c r="BG191" s="56"/>
      <c r="BH191" s="56"/>
      <c r="BI191" s="56"/>
      <c r="BJ191" s="56"/>
      <c r="BK191" s="56"/>
      <c r="BL191" s="56"/>
      <c r="BM191" s="56"/>
      <c r="BN191" s="56"/>
      <c r="BO191" s="56"/>
      <c r="BP191" s="56"/>
      <c r="BQ191" s="56"/>
      <c r="BR191" s="56"/>
      <c r="BS191" s="56"/>
      <c r="BT191" s="56"/>
      <c r="BU191" s="56"/>
      <c r="BV191" s="56"/>
      <c r="BW191" s="56"/>
      <c r="BX191" s="56"/>
      <c r="BY191" s="56"/>
      <c r="BZ191" s="56"/>
      <c r="CA191" s="56"/>
      <c r="CB191" s="56"/>
      <c r="CC191" s="56"/>
      <c r="CD191" s="56"/>
      <c r="CE191" s="56"/>
      <c r="CF191" s="56"/>
      <c r="CG191" s="56"/>
      <c r="CH191" s="56"/>
      <c r="CI191" s="56"/>
      <c r="CJ191" s="56"/>
      <c r="CK191" s="56"/>
      <c r="CL191" s="56"/>
      <c r="CM191" s="56"/>
      <c r="CN191" s="56"/>
      <c r="CO191" s="56"/>
      <c r="CP191" s="56"/>
      <c r="CQ191" s="56"/>
      <c r="CR191" s="56"/>
      <c r="CS191" s="56"/>
      <c r="CT191" s="56"/>
      <c r="CU191" s="56"/>
      <c r="CV191" s="56"/>
      <c r="CW191" s="56"/>
      <c r="CX191" s="56"/>
      <c r="CY191" s="56"/>
      <c r="CZ191" s="56"/>
      <c r="DA191" s="56"/>
      <c r="DB191" s="56"/>
      <c r="DC191" s="56"/>
      <c r="DD191" s="56"/>
      <c r="DE191" s="56"/>
      <c r="DF191" s="56"/>
      <c r="DG191" s="56"/>
      <c r="DH191" s="56"/>
      <c r="DI191" s="56"/>
      <c r="DJ191" s="56"/>
      <c r="DK191" s="56"/>
      <c r="DL191" s="56"/>
      <c r="DM191" s="56"/>
      <c r="DN191" s="56"/>
      <c r="DO191" s="56"/>
      <c r="DP191" s="56"/>
      <c r="DQ191" s="56"/>
      <c r="DR191" s="56"/>
      <c r="DS191" s="56"/>
      <c r="DT191" s="56"/>
    </row>
    <row r="192" spans="1:124" ht="21.75" customHeight="1">
      <c r="A192" s="313"/>
      <c r="B192" s="223" t="s">
        <v>373</v>
      </c>
      <c r="C192" s="224"/>
      <c r="D192" s="224"/>
      <c r="E192" s="219" t="str">
        <f t="shared" ref="E192:BP192" si="7">IF((OR(E191=0,MAX(E195,E197,E201)=0))=TRUE,"",IFERROR((((MAX(E195,E197,E201)+E191)*0.7)-E191),""))</f>
        <v/>
      </c>
      <c r="F192" s="219" t="str">
        <f t="shared" si="7"/>
        <v/>
      </c>
      <c r="G192" s="219" t="str">
        <f t="shared" si="7"/>
        <v/>
      </c>
      <c r="H192" s="219">
        <f t="shared" si="7"/>
        <v>146.49999999999997</v>
      </c>
      <c r="I192" s="219" t="str">
        <f t="shared" si="7"/>
        <v/>
      </c>
      <c r="J192" s="219" t="str">
        <f t="shared" si="7"/>
        <v/>
      </c>
      <c r="K192" s="219" t="str">
        <f t="shared" si="7"/>
        <v/>
      </c>
      <c r="L192" s="219" t="str">
        <f t="shared" si="7"/>
        <v/>
      </c>
      <c r="M192" s="219" t="str">
        <f t="shared" si="7"/>
        <v/>
      </c>
      <c r="N192" s="219" t="str">
        <f t="shared" si="7"/>
        <v/>
      </c>
      <c r="O192" s="219" t="str">
        <f t="shared" si="7"/>
        <v/>
      </c>
      <c r="P192" s="219" t="str">
        <f t="shared" si="7"/>
        <v/>
      </c>
      <c r="Q192" s="219" t="str">
        <f t="shared" si="7"/>
        <v/>
      </c>
      <c r="R192" s="219" t="str">
        <f t="shared" si="7"/>
        <v/>
      </c>
      <c r="S192" s="219" t="str">
        <f t="shared" si="7"/>
        <v/>
      </c>
      <c r="T192" s="219" t="str">
        <f t="shared" si="7"/>
        <v/>
      </c>
      <c r="U192" s="219" t="str">
        <f t="shared" si="7"/>
        <v/>
      </c>
      <c r="V192" s="219" t="str">
        <f t="shared" si="7"/>
        <v/>
      </c>
      <c r="W192" s="219" t="str">
        <f t="shared" si="7"/>
        <v/>
      </c>
      <c r="X192" s="219">
        <f t="shared" si="7"/>
        <v>113.4618604651163</v>
      </c>
      <c r="Y192" s="219" t="str">
        <f t="shared" si="7"/>
        <v/>
      </c>
      <c r="Z192" s="219" t="str">
        <f t="shared" si="7"/>
        <v/>
      </c>
      <c r="AA192" s="219">
        <f t="shared" si="7"/>
        <v>117.59162790697675</v>
      </c>
      <c r="AB192" s="219" t="str">
        <f t="shared" si="7"/>
        <v/>
      </c>
      <c r="AC192" s="219" t="str">
        <f t="shared" si="7"/>
        <v/>
      </c>
      <c r="AD192" s="219">
        <f t="shared" si="7"/>
        <v>153.02000000000001</v>
      </c>
      <c r="AE192" s="219" t="str">
        <f t="shared" si="7"/>
        <v/>
      </c>
      <c r="AF192" s="219">
        <f t="shared" si="7"/>
        <v>109.18209302325583</v>
      </c>
      <c r="AG192" s="219" t="str">
        <f t="shared" si="7"/>
        <v/>
      </c>
      <c r="AH192" s="219" t="str">
        <f t="shared" si="7"/>
        <v/>
      </c>
      <c r="AI192" s="219">
        <f t="shared" si="7"/>
        <v>155.45538461538456</v>
      </c>
      <c r="AJ192" s="219" t="str">
        <f t="shared" si="7"/>
        <v/>
      </c>
      <c r="AK192" s="219" t="str">
        <f t="shared" si="7"/>
        <v/>
      </c>
      <c r="AL192" s="219" t="str">
        <f t="shared" si="7"/>
        <v/>
      </c>
      <c r="AM192" s="219" t="str">
        <f t="shared" si="7"/>
        <v/>
      </c>
      <c r="AN192" s="219" t="str">
        <f t="shared" si="7"/>
        <v/>
      </c>
      <c r="AO192" s="219" t="str">
        <f t="shared" si="7"/>
        <v/>
      </c>
      <c r="AP192" s="219" t="str">
        <f t="shared" si="7"/>
        <v/>
      </c>
      <c r="AQ192" s="219" t="str">
        <f t="shared" si="7"/>
        <v/>
      </c>
      <c r="AR192" s="219" t="str">
        <f t="shared" si="7"/>
        <v/>
      </c>
      <c r="AS192" s="219" t="str">
        <f t="shared" si="7"/>
        <v/>
      </c>
      <c r="AT192" s="219" t="str">
        <f t="shared" si="7"/>
        <v/>
      </c>
      <c r="AU192" s="219" t="str">
        <f t="shared" si="7"/>
        <v/>
      </c>
      <c r="AV192" s="219" t="str">
        <f t="shared" si="7"/>
        <v/>
      </c>
      <c r="AW192" s="219" t="str">
        <f t="shared" si="7"/>
        <v/>
      </c>
      <c r="AX192" s="219" t="str">
        <f t="shared" si="7"/>
        <v/>
      </c>
      <c r="AY192" s="227" t="str">
        <f t="shared" si="7"/>
        <v/>
      </c>
      <c r="AZ192" s="219" t="str">
        <f t="shared" si="7"/>
        <v/>
      </c>
      <c r="BA192" s="219" t="str">
        <f t="shared" si="7"/>
        <v/>
      </c>
      <c r="BB192" s="219" t="str">
        <f t="shared" si="7"/>
        <v/>
      </c>
      <c r="BC192" s="219" t="str">
        <f t="shared" si="7"/>
        <v/>
      </c>
      <c r="BD192" s="219" t="str">
        <f t="shared" si="7"/>
        <v/>
      </c>
      <c r="BE192" s="219" t="str">
        <f t="shared" si="7"/>
        <v/>
      </c>
      <c r="BF192" s="219" t="str">
        <f t="shared" si="7"/>
        <v/>
      </c>
      <c r="BG192" s="219" t="str">
        <f t="shared" si="7"/>
        <v/>
      </c>
      <c r="BH192" s="219" t="str">
        <f t="shared" si="7"/>
        <v/>
      </c>
      <c r="BI192" s="219" t="str">
        <f t="shared" si="7"/>
        <v/>
      </c>
      <c r="BJ192" s="219" t="str">
        <f t="shared" si="7"/>
        <v/>
      </c>
      <c r="BK192" s="219" t="str">
        <f t="shared" si="7"/>
        <v/>
      </c>
      <c r="BL192" s="219" t="str">
        <f t="shared" si="7"/>
        <v/>
      </c>
      <c r="BM192" s="219" t="str">
        <f t="shared" si="7"/>
        <v/>
      </c>
      <c r="BN192" s="219" t="str">
        <f t="shared" si="7"/>
        <v/>
      </c>
      <c r="BO192" s="219" t="str">
        <f t="shared" si="7"/>
        <v/>
      </c>
      <c r="BP192" s="219" t="str">
        <f t="shared" si="7"/>
        <v/>
      </c>
      <c r="BQ192" s="219" t="str">
        <f t="shared" ref="BQ192:DT192" si="8">IF((OR(BQ191=0,MAX(BQ195,BQ197,BQ201)=0))=TRUE,"",IFERROR((((MAX(BQ195,BQ197,BQ201)+BQ191)*0.7)-BQ191),""))</f>
        <v/>
      </c>
      <c r="BR192" s="219" t="str">
        <f t="shared" si="8"/>
        <v/>
      </c>
      <c r="BS192" s="219" t="str">
        <f t="shared" si="8"/>
        <v/>
      </c>
      <c r="BT192" s="219" t="str">
        <f t="shared" si="8"/>
        <v/>
      </c>
      <c r="BU192" s="219" t="str">
        <f t="shared" si="8"/>
        <v/>
      </c>
      <c r="BV192" s="219" t="str">
        <f t="shared" si="8"/>
        <v/>
      </c>
      <c r="BW192" s="219" t="str">
        <f t="shared" si="8"/>
        <v/>
      </c>
      <c r="BX192" s="219" t="str">
        <f t="shared" si="8"/>
        <v/>
      </c>
      <c r="BY192" s="219" t="str">
        <f t="shared" si="8"/>
        <v/>
      </c>
      <c r="BZ192" s="219" t="str">
        <f t="shared" si="8"/>
        <v/>
      </c>
      <c r="CA192" s="219" t="str">
        <f t="shared" si="8"/>
        <v/>
      </c>
      <c r="CB192" s="219" t="str">
        <f t="shared" si="8"/>
        <v/>
      </c>
      <c r="CC192" s="219" t="str">
        <f t="shared" si="8"/>
        <v/>
      </c>
      <c r="CD192" s="219" t="str">
        <f t="shared" si="8"/>
        <v/>
      </c>
      <c r="CE192" s="219" t="str">
        <f t="shared" si="8"/>
        <v/>
      </c>
      <c r="CF192" s="219" t="str">
        <f t="shared" si="8"/>
        <v/>
      </c>
      <c r="CG192" s="219" t="str">
        <f t="shared" si="8"/>
        <v/>
      </c>
      <c r="CH192" s="219" t="str">
        <f t="shared" si="8"/>
        <v/>
      </c>
      <c r="CI192" s="219" t="str">
        <f t="shared" si="8"/>
        <v/>
      </c>
      <c r="CJ192" s="219" t="str">
        <f t="shared" si="8"/>
        <v/>
      </c>
      <c r="CK192" s="219" t="str">
        <f t="shared" si="8"/>
        <v/>
      </c>
      <c r="CL192" s="219" t="str">
        <f t="shared" si="8"/>
        <v/>
      </c>
      <c r="CM192" s="219" t="str">
        <f t="shared" si="8"/>
        <v/>
      </c>
      <c r="CN192" s="219" t="str">
        <f t="shared" si="8"/>
        <v/>
      </c>
      <c r="CO192" s="219" t="str">
        <f t="shared" si="8"/>
        <v/>
      </c>
      <c r="CP192" s="219" t="str">
        <f t="shared" si="8"/>
        <v/>
      </c>
      <c r="CQ192" s="219" t="str">
        <f t="shared" si="8"/>
        <v/>
      </c>
      <c r="CR192" s="219" t="str">
        <f t="shared" si="8"/>
        <v/>
      </c>
      <c r="CS192" s="219" t="str">
        <f t="shared" si="8"/>
        <v/>
      </c>
      <c r="CT192" s="219" t="str">
        <f t="shared" si="8"/>
        <v/>
      </c>
      <c r="CU192" s="219" t="str">
        <f t="shared" si="8"/>
        <v/>
      </c>
      <c r="CV192" s="219" t="str">
        <f t="shared" si="8"/>
        <v/>
      </c>
      <c r="CW192" s="219" t="str">
        <f t="shared" si="8"/>
        <v/>
      </c>
      <c r="CX192" s="219" t="str">
        <f t="shared" si="8"/>
        <v/>
      </c>
      <c r="CY192" s="219" t="str">
        <f t="shared" si="8"/>
        <v/>
      </c>
      <c r="CZ192" s="219" t="str">
        <f t="shared" si="8"/>
        <v/>
      </c>
      <c r="DA192" s="219" t="str">
        <f t="shared" si="8"/>
        <v/>
      </c>
      <c r="DB192" s="219" t="str">
        <f t="shared" si="8"/>
        <v/>
      </c>
      <c r="DC192" s="219" t="str">
        <f t="shared" si="8"/>
        <v/>
      </c>
      <c r="DD192" s="219" t="str">
        <f t="shared" si="8"/>
        <v/>
      </c>
      <c r="DE192" s="219" t="str">
        <f t="shared" si="8"/>
        <v/>
      </c>
      <c r="DF192" s="219" t="str">
        <f t="shared" si="8"/>
        <v/>
      </c>
      <c r="DG192" s="219" t="str">
        <f t="shared" si="8"/>
        <v/>
      </c>
      <c r="DH192" s="219" t="str">
        <f t="shared" si="8"/>
        <v/>
      </c>
      <c r="DI192" s="219" t="str">
        <f t="shared" si="8"/>
        <v/>
      </c>
      <c r="DJ192" s="219" t="str">
        <f t="shared" si="8"/>
        <v/>
      </c>
      <c r="DK192" s="219" t="str">
        <f t="shared" si="8"/>
        <v/>
      </c>
      <c r="DL192" s="219" t="str">
        <f t="shared" si="8"/>
        <v/>
      </c>
      <c r="DM192" s="219" t="str">
        <f t="shared" si="8"/>
        <v/>
      </c>
      <c r="DN192" s="219" t="str">
        <f t="shared" si="8"/>
        <v/>
      </c>
      <c r="DO192" s="219" t="str">
        <f t="shared" si="8"/>
        <v/>
      </c>
      <c r="DP192" s="219" t="str">
        <f t="shared" si="8"/>
        <v/>
      </c>
      <c r="DQ192" s="219" t="str">
        <f t="shared" si="8"/>
        <v/>
      </c>
      <c r="DR192" s="219" t="str">
        <f t="shared" si="8"/>
        <v/>
      </c>
      <c r="DS192" s="219" t="str">
        <f t="shared" si="8"/>
        <v/>
      </c>
      <c r="DT192" s="219" t="str">
        <f t="shared" si="8"/>
        <v/>
      </c>
    </row>
    <row r="193" spans="1:124" ht="21.75" customHeight="1" thickBot="1">
      <c r="A193" s="313"/>
      <c r="B193" s="225"/>
      <c r="C193" s="226"/>
      <c r="D193" s="226"/>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c r="AA193" s="220"/>
      <c r="AB193" s="220"/>
      <c r="AC193" s="220"/>
      <c r="AD193" s="220"/>
      <c r="AE193" s="220"/>
      <c r="AF193" s="220"/>
      <c r="AG193" s="220"/>
      <c r="AH193" s="220"/>
      <c r="AI193" s="220"/>
      <c r="AJ193" s="220"/>
      <c r="AK193" s="220"/>
      <c r="AL193" s="220"/>
      <c r="AM193" s="220"/>
      <c r="AN193" s="220"/>
      <c r="AO193" s="220"/>
      <c r="AP193" s="220"/>
      <c r="AQ193" s="220"/>
      <c r="AR193" s="220"/>
      <c r="AS193" s="220"/>
      <c r="AT193" s="220"/>
      <c r="AU193" s="220"/>
      <c r="AV193" s="220"/>
      <c r="AW193" s="220"/>
      <c r="AX193" s="220"/>
      <c r="AY193" s="228"/>
      <c r="AZ193" s="220"/>
      <c r="BA193" s="220"/>
      <c r="BB193" s="220"/>
      <c r="BC193" s="220"/>
      <c r="BD193" s="220"/>
      <c r="BE193" s="220"/>
      <c r="BF193" s="220"/>
      <c r="BG193" s="220"/>
      <c r="BH193" s="220"/>
      <c r="BI193" s="220"/>
      <c r="BJ193" s="220"/>
      <c r="BK193" s="220"/>
      <c r="BL193" s="220"/>
      <c r="BM193" s="220"/>
      <c r="BN193" s="220"/>
      <c r="BO193" s="220"/>
      <c r="BP193" s="220"/>
      <c r="BQ193" s="220"/>
      <c r="BR193" s="220"/>
      <c r="BS193" s="220"/>
      <c r="BT193" s="220"/>
      <c r="BU193" s="220"/>
      <c r="BV193" s="220"/>
      <c r="BW193" s="220"/>
      <c r="BX193" s="220"/>
      <c r="BY193" s="220"/>
      <c r="BZ193" s="220"/>
      <c r="CA193" s="220"/>
      <c r="CB193" s="220"/>
      <c r="CC193" s="220"/>
      <c r="CD193" s="220"/>
      <c r="CE193" s="220"/>
      <c r="CF193" s="220"/>
      <c r="CG193" s="220"/>
      <c r="CH193" s="220"/>
      <c r="CI193" s="220"/>
      <c r="CJ193" s="220"/>
      <c r="CK193" s="220"/>
      <c r="CL193" s="220"/>
      <c r="CM193" s="220"/>
      <c r="CN193" s="220"/>
      <c r="CO193" s="220"/>
      <c r="CP193" s="220"/>
      <c r="CQ193" s="220"/>
      <c r="CR193" s="220"/>
      <c r="CS193" s="220"/>
      <c r="CT193" s="220"/>
      <c r="CU193" s="220"/>
      <c r="CV193" s="220"/>
      <c r="CW193" s="220"/>
      <c r="CX193" s="220"/>
      <c r="CY193" s="220"/>
      <c r="CZ193" s="220"/>
      <c r="DA193" s="220"/>
      <c r="DB193" s="220"/>
      <c r="DC193" s="220"/>
      <c r="DD193" s="220"/>
      <c r="DE193" s="220"/>
      <c r="DF193" s="220"/>
      <c r="DG193" s="220"/>
      <c r="DH193" s="220"/>
      <c r="DI193" s="220"/>
      <c r="DJ193" s="220"/>
      <c r="DK193" s="220"/>
      <c r="DL193" s="220"/>
      <c r="DM193" s="220"/>
      <c r="DN193" s="220"/>
      <c r="DO193" s="220"/>
      <c r="DP193" s="220"/>
      <c r="DQ193" s="220"/>
      <c r="DR193" s="220"/>
      <c r="DS193" s="220"/>
      <c r="DT193" s="220"/>
    </row>
    <row r="194" spans="1:124" ht="21.75" customHeight="1">
      <c r="A194" s="313"/>
      <c r="B194" s="235" t="s">
        <v>374</v>
      </c>
      <c r="C194" s="236"/>
      <c r="D194" s="237"/>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1" t="s">
        <v>11</v>
      </c>
      <c r="AE194" s="60"/>
      <c r="AF194" s="60"/>
      <c r="AG194" s="60"/>
      <c r="AH194" s="60"/>
      <c r="AI194" s="60" t="s">
        <v>376</v>
      </c>
      <c r="AJ194" s="60"/>
      <c r="AK194" s="60"/>
      <c r="AL194" s="60"/>
      <c r="AM194" s="60"/>
      <c r="AN194" s="60"/>
      <c r="AO194" s="60" t="s">
        <v>382</v>
      </c>
      <c r="AP194" s="60"/>
      <c r="AQ194" s="60"/>
      <c r="AR194" s="60"/>
      <c r="AS194" s="60"/>
      <c r="AT194" s="60"/>
      <c r="AU194" s="60"/>
      <c r="AV194" s="60"/>
      <c r="AW194" s="60"/>
      <c r="AX194" s="60"/>
      <c r="AY194" s="60"/>
      <c r="AZ194" s="80"/>
      <c r="BA194" s="80"/>
      <c r="BB194" s="60"/>
      <c r="BC194" s="60"/>
      <c r="BD194" s="60"/>
      <c r="BE194" s="60"/>
      <c r="BF194" s="60"/>
      <c r="BG194" s="60"/>
      <c r="BH194" s="60"/>
      <c r="BI194" s="60"/>
      <c r="BJ194" s="60"/>
      <c r="BK194" s="60"/>
      <c r="BL194" s="60"/>
      <c r="BM194" s="60"/>
      <c r="BN194" s="60"/>
      <c r="BO194" s="60"/>
      <c r="BP194" s="60"/>
      <c r="BQ194" s="60"/>
      <c r="BR194" s="60"/>
      <c r="BS194" s="60" t="s">
        <v>378</v>
      </c>
      <c r="BT194" s="60"/>
      <c r="BU194" s="60"/>
      <c r="BV194" s="60"/>
      <c r="BW194" s="60"/>
      <c r="BX194" s="60"/>
      <c r="BY194" s="60"/>
      <c r="BZ194" s="60"/>
      <c r="CA194" s="60"/>
      <c r="CB194" s="60"/>
      <c r="CC194" s="60"/>
      <c r="CD194" s="60"/>
      <c r="CE194" s="60"/>
      <c r="CF194" s="60"/>
      <c r="CG194" s="60"/>
      <c r="CH194" s="60"/>
      <c r="CI194" s="60"/>
      <c r="CJ194" s="60"/>
      <c r="CK194" s="60"/>
      <c r="CL194" s="60"/>
      <c r="CM194" s="60"/>
      <c r="CN194" s="60"/>
      <c r="CO194" s="60"/>
      <c r="CP194" s="60"/>
      <c r="CQ194" s="60"/>
      <c r="CR194" s="60"/>
      <c r="CS194" s="60"/>
      <c r="CT194" s="60"/>
      <c r="CU194" s="60"/>
      <c r="CV194" s="60"/>
      <c r="CW194" s="60"/>
      <c r="CX194" s="60"/>
      <c r="CY194" s="60"/>
      <c r="CZ194" s="60"/>
      <c r="DA194" s="60"/>
      <c r="DB194" s="60"/>
      <c r="DC194" s="60"/>
      <c r="DD194" s="60"/>
      <c r="DE194" s="60"/>
      <c r="DF194" s="60"/>
      <c r="DG194" s="60"/>
      <c r="DH194" s="60"/>
      <c r="DI194" s="60"/>
      <c r="DJ194" s="60"/>
      <c r="DK194" s="60"/>
      <c r="DL194" s="60"/>
      <c r="DM194" s="60"/>
      <c r="DN194" s="60"/>
      <c r="DO194" s="60"/>
      <c r="DP194" s="60"/>
      <c r="DQ194" s="60"/>
      <c r="DR194" s="60"/>
      <c r="DS194" s="60"/>
      <c r="DT194" s="60"/>
    </row>
    <row r="195" spans="1:124" ht="21.75" customHeight="1">
      <c r="A195" s="313"/>
      <c r="B195" s="232"/>
      <c r="C195" s="233"/>
      <c r="D195" s="234"/>
      <c r="E195" s="63"/>
      <c r="F195" s="63">
        <v>252</v>
      </c>
      <c r="G195" s="63"/>
      <c r="H195" s="63">
        <v>250</v>
      </c>
      <c r="I195" s="63"/>
      <c r="J195" s="63"/>
      <c r="K195" s="63"/>
      <c r="L195" s="63"/>
      <c r="M195" s="63"/>
      <c r="N195" s="63"/>
      <c r="O195" s="63"/>
      <c r="P195" s="63"/>
      <c r="Q195" s="63"/>
      <c r="R195" s="63"/>
      <c r="S195" s="63"/>
      <c r="T195" s="63"/>
      <c r="U195" s="63"/>
      <c r="V195" s="63"/>
      <c r="W195" s="63"/>
      <c r="X195" s="63"/>
      <c r="Y195" s="63"/>
      <c r="Z195" s="63"/>
      <c r="AA195" s="63"/>
      <c r="AB195" s="63"/>
      <c r="AC195" s="63"/>
      <c r="AD195" s="64">
        <v>260</v>
      </c>
      <c r="AE195" s="65"/>
      <c r="AF195" s="65"/>
      <c r="AG195" s="63"/>
      <c r="AH195" s="65"/>
      <c r="AI195" s="65">
        <f>240/0.91</f>
        <v>263.73626373626371</v>
      </c>
      <c r="AJ195" s="65"/>
      <c r="AK195" s="65"/>
      <c r="AL195" s="65"/>
      <c r="AM195" s="65"/>
      <c r="AN195" s="65"/>
      <c r="AO195" s="63">
        <f>170/0.885</f>
        <v>192.09039548022599</v>
      </c>
      <c r="AP195" s="63"/>
      <c r="AQ195" s="63"/>
      <c r="AR195" s="63"/>
      <c r="AS195" s="63"/>
      <c r="AT195" s="63"/>
      <c r="AU195" s="63"/>
      <c r="AV195" s="63"/>
      <c r="AW195" s="63"/>
      <c r="AX195" s="63"/>
      <c r="AY195" s="63"/>
      <c r="AZ195" s="84"/>
      <c r="BA195" s="84"/>
      <c r="BB195" s="63"/>
      <c r="BC195" s="63"/>
      <c r="BD195" s="63"/>
      <c r="BE195" s="63"/>
      <c r="BF195" s="63"/>
      <c r="BG195" s="63"/>
      <c r="BH195" s="63"/>
      <c r="BI195" s="63"/>
      <c r="BJ195" s="63"/>
      <c r="BK195" s="63"/>
      <c r="BL195" s="63"/>
      <c r="BM195" s="63"/>
      <c r="BN195" s="63"/>
      <c r="BO195" s="63"/>
      <c r="BP195" s="63"/>
      <c r="BQ195" s="63"/>
      <c r="BR195" s="63"/>
      <c r="BS195" s="63">
        <f>210/0.86</f>
        <v>244.18604651162792</v>
      </c>
      <c r="BT195" s="63"/>
      <c r="BU195" s="63"/>
      <c r="BV195" s="63"/>
      <c r="BW195" s="63"/>
      <c r="BX195" s="63"/>
      <c r="BY195" s="63"/>
      <c r="BZ195" s="63"/>
      <c r="CA195" s="63"/>
      <c r="CB195" s="63"/>
      <c r="CC195" s="63"/>
      <c r="CD195" s="63"/>
      <c r="CE195" s="63"/>
      <c r="CF195" s="63"/>
      <c r="CG195" s="63"/>
      <c r="CH195" s="63"/>
      <c r="CI195" s="63"/>
      <c r="CJ195" s="63"/>
      <c r="CK195" s="63"/>
      <c r="CL195" s="63"/>
      <c r="CM195" s="63"/>
      <c r="CN195" s="63"/>
      <c r="CO195" s="63"/>
      <c r="CP195" s="63"/>
      <c r="CQ195" s="63"/>
      <c r="CR195" s="63"/>
      <c r="CS195" s="63"/>
      <c r="CT195" s="63"/>
      <c r="CU195" s="63"/>
      <c r="CV195" s="63"/>
      <c r="CW195" s="63"/>
      <c r="CX195" s="63"/>
      <c r="CY195" s="63"/>
      <c r="CZ195" s="63"/>
      <c r="DA195" s="63"/>
      <c r="DB195" s="63"/>
      <c r="DC195" s="63"/>
      <c r="DD195" s="63"/>
      <c r="DE195" s="63"/>
      <c r="DF195" s="63"/>
      <c r="DG195" s="63"/>
      <c r="DH195" s="63"/>
      <c r="DI195" s="63"/>
      <c r="DJ195" s="63"/>
      <c r="DK195" s="63"/>
      <c r="DL195" s="63"/>
      <c r="DM195" s="63"/>
      <c r="DN195" s="63"/>
      <c r="DO195" s="63"/>
      <c r="DP195" s="63"/>
      <c r="DQ195" s="63"/>
      <c r="DR195" s="63"/>
      <c r="DS195" s="63"/>
      <c r="DT195" s="63"/>
    </row>
    <row r="196" spans="1:124" ht="21.75" customHeight="1">
      <c r="A196" s="313"/>
      <c r="B196" s="229" t="s">
        <v>381</v>
      </c>
      <c r="C196" s="230"/>
      <c r="D196" s="231"/>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9"/>
      <c r="AE196" s="68"/>
      <c r="AF196" s="68" t="s">
        <v>394</v>
      </c>
      <c r="AG196" s="68"/>
      <c r="AH196" s="68"/>
      <c r="AI196" s="68"/>
      <c r="AJ196" s="68"/>
      <c r="AK196" s="68"/>
      <c r="AL196" s="68"/>
      <c r="AM196" s="68"/>
      <c r="AN196" s="68"/>
      <c r="AO196" s="68"/>
      <c r="AP196" s="68"/>
      <c r="AQ196" s="68"/>
      <c r="AR196" s="68"/>
      <c r="AS196" s="68"/>
      <c r="AT196" s="68"/>
      <c r="AU196" s="68"/>
      <c r="AV196" s="68"/>
      <c r="AW196" s="68"/>
      <c r="AX196" s="68"/>
      <c r="AY196" s="69"/>
      <c r="AZ196" s="69"/>
      <c r="BA196" s="69"/>
      <c r="BB196" s="68"/>
      <c r="BC196" s="68"/>
      <c r="BD196" s="68"/>
      <c r="BE196" s="68"/>
      <c r="BF196" s="68"/>
      <c r="BG196" s="68"/>
      <c r="BH196" s="68"/>
      <c r="BI196" s="68"/>
      <c r="BJ196" s="68"/>
      <c r="BK196" s="68"/>
      <c r="BL196" s="68"/>
      <c r="BM196" s="68"/>
      <c r="BN196" s="68"/>
      <c r="BO196" s="68"/>
      <c r="BP196" s="68"/>
      <c r="BQ196" s="68"/>
      <c r="BR196" s="68"/>
      <c r="BS196" s="68"/>
      <c r="BT196" s="68"/>
      <c r="BU196" s="68"/>
      <c r="BV196" s="68"/>
      <c r="BW196" s="68"/>
      <c r="BX196" s="68"/>
      <c r="BY196" s="68"/>
      <c r="BZ196" s="68"/>
      <c r="CA196" s="68"/>
      <c r="CB196" s="68"/>
      <c r="CC196" s="68"/>
      <c r="CD196" s="68"/>
      <c r="CE196" s="68"/>
      <c r="CF196" s="68"/>
      <c r="CG196" s="68"/>
      <c r="CH196" s="68"/>
      <c r="CI196" s="68"/>
      <c r="CJ196" s="68"/>
      <c r="CK196" s="68"/>
      <c r="CL196" s="68"/>
      <c r="CM196" s="68"/>
      <c r="CN196" s="68"/>
      <c r="CO196" s="68"/>
      <c r="CP196" s="68"/>
      <c r="CQ196" s="68"/>
      <c r="CR196" s="68"/>
      <c r="CS196" s="68"/>
      <c r="CT196" s="68"/>
      <c r="CU196" s="68"/>
      <c r="CV196" s="68"/>
      <c r="CW196" s="68"/>
      <c r="CX196" s="68"/>
      <c r="CY196" s="68"/>
      <c r="CZ196" s="68"/>
      <c r="DA196" s="68"/>
      <c r="DB196" s="68"/>
      <c r="DC196" s="68"/>
      <c r="DD196" s="68"/>
      <c r="DE196" s="68"/>
      <c r="DF196" s="68"/>
      <c r="DG196" s="68"/>
      <c r="DH196" s="68"/>
      <c r="DI196" s="68"/>
      <c r="DJ196" s="68"/>
      <c r="DK196" s="68"/>
      <c r="DL196" s="68"/>
      <c r="DM196" s="68"/>
      <c r="DN196" s="68"/>
      <c r="DO196" s="68"/>
      <c r="DP196" s="68"/>
      <c r="DQ196" s="68"/>
      <c r="DR196" s="68"/>
      <c r="DS196" s="68"/>
      <c r="DT196" s="68"/>
    </row>
    <row r="197" spans="1:124" ht="21.75" customHeight="1">
      <c r="A197" s="313"/>
      <c r="B197" s="232"/>
      <c r="C197" s="233"/>
      <c r="D197" s="234"/>
      <c r="E197" s="65"/>
      <c r="F197" s="65"/>
      <c r="G197" s="65"/>
      <c r="H197" s="65"/>
      <c r="I197" s="65"/>
      <c r="J197" s="65"/>
      <c r="K197" s="65"/>
      <c r="L197" s="65"/>
      <c r="M197" s="65"/>
      <c r="N197" s="65"/>
      <c r="O197" s="65"/>
      <c r="P197" s="65"/>
      <c r="Q197" s="65"/>
      <c r="R197" s="65"/>
      <c r="S197" s="65"/>
      <c r="T197" s="65"/>
      <c r="U197" s="65"/>
      <c r="V197" s="65"/>
      <c r="W197" s="65"/>
      <c r="X197" s="65"/>
      <c r="Y197" s="65"/>
      <c r="Z197" s="65"/>
      <c r="AA197" s="65"/>
      <c r="AB197" s="65"/>
      <c r="AC197" s="65"/>
      <c r="AD197" s="70"/>
      <c r="AE197" s="65"/>
      <c r="AF197" s="71">
        <f>170/0.86</f>
        <v>197.67441860465118</v>
      </c>
      <c r="AG197" s="65"/>
      <c r="AH197" s="65"/>
      <c r="AI197" s="65"/>
      <c r="AJ197" s="65"/>
      <c r="AK197" s="65"/>
      <c r="AL197" s="65"/>
      <c r="AM197" s="65"/>
      <c r="AN197" s="65"/>
      <c r="AO197" s="65"/>
      <c r="AP197" s="65"/>
      <c r="AQ197" s="65"/>
      <c r="AR197" s="65"/>
      <c r="AS197" s="65"/>
      <c r="AT197" s="65"/>
      <c r="AU197" s="65"/>
      <c r="AV197" s="65"/>
      <c r="AW197" s="65"/>
      <c r="AX197" s="65"/>
      <c r="AY197" s="70"/>
      <c r="AZ197" s="70"/>
      <c r="BA197" s="70"/>
      <c r="BB197" s="65"/>
      <c r="BC197" s="65"/>
      <c r="BD197" s="65"/>
      <c r="BE197" s="65"/>
      <c r="BF197" s="65"/>
      <c r="BG197" s="65"/>
      <c r="BH197" s="65"/>
      <c r="BI197" s="65"/>
      <c r="BJ197" s="65"/>
      <c r="BK197" s="65"/>
      <c r="BL197" s="65"/>
      <c r="BM197" s="65"/>
      <c r="BN197" s="65"/>
      <c r="BO197" s="65"/>
      <c r="BP197" s="65"/>
      <c r="BQ197" s="65"/>
      <c r="BR197" s="65"/>
      <c r="BS197" s="65"/>
      <c r="BT197" s="65"/>
      <c r="BU197" s="65"/>
      <c r="BV197" s="65"/>
      <c r="BW197" s="65"/>
      <c r="BX197" s="65"/>
      <c r="BY197" s="65"/>
      <c r="BZ197" s="65"/>
      <c r="CA197" s="65"/>
      <c r="CB197" s="65"/>
      <c r="CC197" s="65"/>
      <c r="CD197" s="65"/>
      <c r="CE197" s="65"/>
      <c r="CF197" s="65"/>
      <c r="CG197" s="65"/>
      <c r="CH197" s="65"/>
      <c r="CI197" s="65"/>
      <c r="CJ197" s="65"/>
      <c r="CK197" s="65"/>
      <c r="CL197" s="65"/>
      <c r="CM197" s="65"/>
      <c r="CN197" s="65"/>
      <c r="CO197" s="65"/>
      <c r="CP197" s="65"/>
      <c r="CQ197" s="65"/>
      <c r="CR197" s="65"/>
      <c r="CS197" s="65"/>
      <c r="CT197" s="65"/>
      <c r="CU197" s="65"/>
      <c r="CV197" s="65"/>
      <c r="CW197" s="65"/>
      <c r="CX197" s="65"/>
      <c r="CY197" s="65"/>
      <c r="CZ197" s="65"/>
      <c r="DA197" s="65"/>
      <c r="DB197" s="65"/>
      <c r="DC197" s="65"/>
      <c r="DD197" s="65"/>
      <c r="DE197" s="65"/>
      <c r="DF197" s="65"/>
      <c r="DG197" s="65"/>
      <c r="DH197" s="65"/>
      <c r="DI197" s="65"/>
      <c r="DJ197" s="65"/>
      <c r="DK197" s="65"/>
      <c r="DL197" s="65"/>
      <c r="DM197" s="65"/>
      <c r="DN197" s="65"/>
      <c r="DO197" s="65"/>
      <c r="DP197" s="65"/>
      <c r="DQ197" s="65"/>
      <c r="DR197" s="65"/>
      <c r="DS197" s="65"/>
      <c r="DT197" s="65"/>
    </row>
    <row r="198" spans="1:124" ht="21.75" customHeight="1">
      <c r="A198" s="313"/>
      <c r="B198" s="229" t="s">
        <v>468</v>
      </c>
      <c r="C198" s="230"/>
      <c r="D198" s="231"/>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8"/>
      <c r="AQ198" s="68"/>
      <c r="AR198" s="68"/>
      <c r="AS198" s="69"/>
      <c r="AT198" s="69"/>
      <c r="AU198" s="69"/>
      <c r="AV198" s="69"/>
      <c r="AW198" s="69"/>
      <c r="AX198" s="69" t="s">
        <v>378</v>
      </c>
      <c r="AY198" s="62" t="s">
        <v>469</v>
      </c>
      <c r="AZ198" s="80"/>
      <c r="BA198" s="80"/>
      <c r="BB198" s="69"/>
      <c r="BC198" s="69"/>
      <c r="BD198" s="69"/>
      <c r="BE198" s="69"/>
      <c r="BF198" s="68"/>
      <c r="BG198" s="68"/>
      <c r="BH198" s="68"/>
      <c r="BI198" s="68"/>
      <c r="BJ198" s="68"/>
      <c r="BK198" s="68"/>
      <c r="BL198" s="68"/>
      <c r="BM198" s="68"/>
      <c r="BN198" s="68"/>
      <c r="BO198" s="68"/>
      <c r="BP198" s="68"/>
      <c r="BQ198" s="62" t="s">
        <v>424</v>
      </c>
      <c r="BR198" s="68"/>
      <c r="BS198" s="68"/>
      <c r="BT198" s="68"/>
      <c r="BU198" s="68"/>
      <c r="BV198" s="68"/>
      <c r="BW198" s="68"/>
      <c r="BX198" s="68"/>
      <c r="BY198" s="68"/>
      <c r="BZ198" s="68"/>
      <c r="CA198" s="68"/>
      <c r="CB198" s="68"/>
      <c r="CC198" s="68"/>
      <c r="CD198" s="68"/>
      <c r="CE198" s="68"/>
      <c r="CF198" s="68"/>
      <c r="CG198" s="68"/>
      <c r="CH198" s="68"/>
      <c r="CI198" s="68"/>
      <c r="CJ198" s="68"/>
      <c r="CK198" s="68"/>
      <c r="CL198" s="68"/>
      <c r="CM198" s="68"/>
      <c r="CN198" s="68"/>
      <c r="CO198" s="68"/>
      <c r="CP198" s="68"/>
      <c r="CQ198" s="68"/>
      <c r="CR198" s="68"/>
      <c r="CS198" s="68"/>
      <c r="CT198" s="68"/>
      <c r="CU198" s="68"/>
      <c r="CV198" s="68"/>
      <c r="CW198" s="68"/>
      <c r="CX198" s="68"/>
      <c r="CY198" s="68"/>
      <c r="CZ198" s="68"/>
      <c r="DA198" s="68"/>
      <c r="DB198" s="68"/>
      <c r="DC198" s="68"/>
      <c r="DD198" s="68"/>
      <c r="DE198" s="68"/>
      <c r="DF198" s="68"/>
      <c r="DG198" s="68"/>
      <c r="DH198" s="68"/>
      <c r="DI198" s="68"/>
      <c r="DJ198" s="68"/>
      <c r="DK198" s="68"/>
      <c r="DL198" s="68"/>
      <c r="DM198" s="68"/>
      <c r="DN198" s="68"/>
      <c r="DO198" s="68"/>
      <c r="DP198" s="68"/>
      <c r="DQ198" s="68"/>
      <c r="DR198" s="68"/>
      <c r="DS198" s="68"/>
      <c r="DT198" s="68"/>
    </row>
    <row r="199" spans="1:124" ht="21.75" customHeight="1">
      <c r="A199" s="313"/>
      <c r="B199" s="232"/>
      <c r="C199" s="233"/>
      <c r="D199" s="234"/>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c r="AP199" s="65"/>
      <c r="AQ199" s="65"/>
      <c r="AR199" s="65"/>
      <c r="AS199" s="70"/>
      <c r="AT199" s="70"/>
      <c r="AU199" s="70"/>
      <c r="AV199" s="70"/>
      <c r="AW199" s="70"/>
      <c r="AX199" s="70">
        <f>150/0.86</f>
        <v>174.41860465116278</v>
      </c>
      <c r="AY199" s="67">
        <f>180/0.86</f>
        <v>209.30232558139537</v>
      </c>
      <c r="AZ199" s="70"/>
      <c r="BA199" s="70"/>
      <c r="BB199" s="70"/>
      <c r="BC199" s="70"/>
      <c r="BD199" s="70"/>
      <c r="BE199" s="70"/>
      <c r="BF199" s="65"/>
      <c r="BG199" s="65"/>
      <c r="BH199" s="65"/>
      <c r="BI199" s="65"/>
      <c r="BJ199" s="65"/>
      <c r="BK199" s="65"/>
      <c r="BL199" s="65"/>
      <c r="BM199" s="65"/>
      <c r="BN199" s="65"/>
      <c r="BO199" s="65"/>
      <c r="BP199" s="65"/>
      <c r="BQ199" s="67">
        <f>180/0.86</f>
        <v>209.30232558139537</v>
      </c>
      <c r="BR199" s="65"/>
      <c r="BS199" s="65"/>
      <c r="BT199" s="65"/>
      <c r="BU199" s="65"/>
      <c r="BV199" s="65"/>
      <c r="BW199" s="65"/>
      <c r="BX199" s="65"/>
      <c r="BY199" s="65"/>
      <c r="BZ199" s="65"/>
      <c r="CA199" s="65"/>
      <c r="CB199" s="65"/>
      <c r="CC199" s="65"/>
      <c r="CD199" s="65"/>
      <c r="CE199" s="65"/>
      <c r="CF199" s="65"/>
      <c r="CG199" s="65"/>
      <c r="CH199" s="65"/>
      <c r="CI199" s="65"/>
      <c r="CJ199" s="65"/>
      <c r="CK199" s="65"/>
      <c r="CL199" s="65"/>
      <c r="CM199" s="65"/>
      <c r="CN199" s="65"/>
      <c r="CO199" s="65"/>
      <c r="CP199" s="65"/>
      <c r="CQ199" s="65"/>
      <c r="CR199" s="65"/>
      <c r="CS199" s="65"/>
      <c r="CT199" s="65"/>
      <c r="CU199" s="65"/>
      <c r="CV199" s="65"/>
      <c r="CW199" s="65"/>
      <c r="CX199" s="65"/>
      <c r="CY199" s="65"/>
      <c r="CZ199" s="65"/>
      <c r="DA199" s="65"/>
      <c r="DB199" s="65"/>
      <c r="DC199" s="65"/>
      <c r="DD199" s="65"/>
      <c r="DE199" s="65"/>
      <c r="DF199" s="65"/>
      <c r="DG199" s="65"/>
      <c r="DH199" s="65"/>
      <c r="DI199" s="65"/>
      <c r="DJ199" s="65"/>
      <c r="DK199" s="65"/>
      <c r="DL199" s="65"/>
      <c r="DM199" s="65"/>
      <c r="DN199" s="65"/>
      <c r="DO199" s="65"/>
      <c r="DP199" s="65"/>
      <c r="DQ199" s="65"/>
      <c r="DR199" s="65"/>
      <c r="DS199" s="65"/>
      <c r="DT199" s="65"/>
    </row>
    <row r="200" spans="1:124" ht="21.75" customHeight="1">
      <c r="A200" s="313"/>
      <c r="B200" s="229" t="s">
        <v>385</v>
      </c>
      <c r="C200" s="230"/>
      <c r="D200" s="231"/>
      <c r="E200" s="60"/>
      <c r="F200" s="60"/>
      <c r="G200" s="60"/>
      <c r="H200" s="60"/>
      <c r="I200" s="60"/>
      <c r="J200" s="60"/>
      <c r="K200" s="60"/>
      <c r="L200" s="60"/>
      <c r="M200" s="60"/>
      <c r="N200" s="60"/>
      <c r="O200" s="60"/>
      <c r="P200" s="60"/>
      <c r="Q200" s="60"/>
      <c r="R200" s="60"/>
      <c r="S200" s="60"/>
      <c r="T200" s="60"/>
      <c r="U200" s="60"/>
      <c r="V200" s="60"/>
      <c r="W200" s="60"/>
      <c r="X200" s="60" t="s">
        <v>386</v>
      </c>
      <c r="Y200" s="60"/>
      <c r="Z200" s="60"/>
      <c r="AA200" s="60" t="s">
        <v>387</v>
      </c>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8"/>
      <c r="AZ200" s="68"/>
      <c r="BA200" s="93"/>
      <c r="BB200" s="60"/>
      <c r="BC200" s="60"/>
      <c r="BD200" s="60"/>
      <c r="BE200" s="60"/>
      <c r="BF200" s="60"/>
      <c r="BG200" s="60" t="s">
        <v>378</v>
      </c>
      <c r="BH200" s="60" t="s">
        <v>378</v>
      </c>
      <c r="BI200" s="60"/>
      <c r="BJ200" s="60"/>
      <c r="BK200" s="60"/>
      <c r="BL200" s="60"/>
      <c r="BM200" s="60"/>
      <c r="BN200" s="60"/>
      <c r="BO200" s="60"/>
      <c r="BP200" s="60"/>
      <c r="BQ200" s="60"/>
      <c r="BR200" s="60"/>
      <c r="BS200" s="60"/>
      <c r="BT200" s="60"/>
      <c r="BU200" s="60"/>
      <c r="BV200" s="60"/>
      <c r="BW200" s="60"/>
      <c r="BX200" s="60"/>
      <c r="BY200" s="60"/>
      <c r="BZ200" s="60"/>
      <c r="CA200" s="60"/>
      <c r="CB200" s="60"/>
      <c r="CC200" s="60"/>
      <c r="CD200" s="60"/>
      <c r="CE200" s="60"/>
      <c r="CF200" s="60"/>
      <c r="CG200" s="60"/>
      <c r="CH200" s="60"/>
      <c r="CI200" s="60"/>
      <c r="CJ200" s="60"/>
      <c r="CK200" s="60"/>
      <c r="CL200" s="60"/>
      <c r="CM200" s="60"/>
      <c r="CN200" s="60"/>
      <c r="CO200" s="60"/>
      <c r="CP200" s="60"/>
      <c r="CQ200" s="60"/>
      <c r="CR200" s="60"/>
      <c r="CS200" s="60"/>
      <c r="CT200" s="60"/>
      <c r="CU200" s="60"/>
      <c r="CV200" s="60"/>
      <c r="CW200" s="60"/>
      <c r="CX200" s="60"/>
      <c r="CY200" s="60"/>
      <c r="CZ200" s="60"/>
      <c r="DA200" s="60"/>
      <c r="DB200" s="60"/>
      <c r="DC200" s="60"/>
      <c r="DD200" s="60"/>
      <c r="DE200" s="60"/>
      <c r="DF200" s="60"/>
      <c r="DG200" s="60"/>
      <c r="DH200" s="60"/>
      <c r="DI200" s="60"/>
      <c r="DJ200" s="60"/>
      <c r="DK200" s="60"/>
      <c r="DL200" s="60"/>
      <c r="DM200" s="60"/>
      <c r="DN200" s="60"/>
      <c r="DO200" s="60"/>
      <c r="DP200" s="60"/>
      <c r="DQ200" s="60"/>
      <c r="DR200" s="60"/>
      <c r="DS200" s="60"/>
      <c r="DT200" s="60"/>
    </row>
    <row r="201" spans="1:124" ht="21.75" customHeight="1">
      <c r="A201" s="313"/>
      <c r="B201" s="232"/>
      <c r="C201" s="233"/>
      <c r="D201" s="234"/>
      <c r="E201" s="65"/>
      <c r="F201" s="65"/>
      <c r="G201" s="65"/>
      <c r="H201" s="65"/>
      <c r="I201" s="65"/>
      <c r="J201" s="65"/>
      <c r="K201" s="65"/>
      <c r="L201" s="65"/>
      <c r="M201" s="65"/>
      <c r="N201" s="65"/>
      <c r="O201" s="65"/>
      <c r="P201" s="65"/>
      <c r="Q201" s="65"/>
      <c r="R201" s="65"/>
      <c r="S201" s="65"/>
      <c r="T201" s="65"/>
      <c r="U201" s="65"/>
      <c r="V201" s="65"/>
      <c r="W201" s="65"/>
      <c r="X201" s="65">
        <f>175/0.86</f>
        <v>203.48837209302326</v>
      </c>
      <c r="Y201" s="65"/>
      <c r="Z201" s="65"/>
      <c r="AA201" s="65">
        <v>209.30232558139537</v>
      </c>
      <c r="AB201" s="65"/>
      <c r="AC201" s="65"/>
      <c r="AD201" s="65"/>
      <c r="AE201" s="65"/>
      <c r="AF201" s="65"/>
      <c r="AG201" s="65"/>
      <c r="AH201" s="65"/>
      <c r="AI201" s="65"/>
      <c r="AJ201" s="65"/>
      <c r="AK201" s="65"/>
      <c r="AL201" s="65"/>
      <c r="AM201" s="65"/>
      <c r="AN201" s="65"/>
      <c r="AO201" s="65"/>
      <c r="AP201" s="65"/>
      <c r="AQ201" s="65"/>
      <c r="AR201" s="65"/>
      <c r="AS201" s="65"/>
      <c r="AT201" s="65"/>
      <c r="AU201" s="65"/>
      <c r="AV201" s="65"/>
      <c r="AW201" s="65"/>
      <c r="AX201" s="65"/>
      <c r="AY201" s="65"/>
      <c r="AZ201" s="65"/>
      <c r="BA201" s="65"/>
      <c r="BB201" s="65"/>
      <c r="BC201" s="65"/>
      <c r="BD201" s="65"/>
      <c r="BE201" s="65"/>
      <c r="BF201" s="65"/>
      <c r="BG201" s="65">
        <f>170/0.86</f>
        <v>197.67441860465118</v>
      </c>
      <c r="BH201" s="65">
        <f>160/0.86</f>
        <v>186.04651162790697</v>
      </c>
      <c r="BI201" s="65"/>
      <c r="BJ201" s="65"/>
      <c r="BK201" s="65"/>
      <c r="BL201" s="65"/>
      <c r="BM201" s="65"/>
      <c r="BN201" s="65"/>
      <c r="BO201" s="65"/>
      <c r="BP201" s="65"/>
      <c r="BQ201" s="65"/>
      <c r="BR201" s="65"/>
      <c r="BS201" s="65"/>
      <c r="BT201" s="65"/>
      <c r="BU201" s="65"/>
      <c r="BV201" s="65"/>
      <c r="BW201" s="65"/>
      <c r="BX201" s="65"/>
      <c r="BY201" s="65"/>
      <c r="BZ201" s="65"/>
      <c r="CA201" s="65"/>
      <c r="CB201" s="65"/>
      <c r="CC201" s="65"/>
      <c r="CD201" s="65"/>
      <c r="CE201" s="65"/>
      <c r="CF201" s="65"/>
      <c r="CG201" s="65"/>
      <c r="CH201" s="65"/>
      <c r="CI201" s="65"/>
      <c r="CJ201" s="65"/>
      <c r="CK201" s="65"/>
      <c r="CL201" s="65"/>
      <c r="CM201" s="65"/>
      <c r="CN201" s="65"/>
      <c r="CO201" s="65"/>
      <c r="CP201" s="65"/>
      <c r="CQ201" s="65"/>
      <c r="CR201" s="65"/>
      <c r="CS201" s="65"/>
      <c r="CT201" s="65"/>
      <c r="CU201" s="65"/>
      <c r="CV201" s="65"/>
      <c r="CW201" s="65"/>
      <c r="CX201" s="65"/>
      <c r="CY201" s="65"/>
      <c r="CZ201" s="65"/>
      <c r="DA201" s="65"/>
      <c r="DB201" s="65"/>
      <c r="DC201" s="65"/>
      <c r="DD201" s="65"/>
      <c r="DE201" s="65"/>
      <c r="DF201" s="65"/>
      <c r="DG201" s="65"/>
      <c r="DH201" s="65"/>
      <c r="DI201" s="65"/>
      <c r="DJ201" s="65"/>
      <c r="DK201" s="65"/>
      <c r="DL201" s="65"/>
      <c r="DM201" s="65"/>
      <c r="DN201" s="65"/>
      <c r="DO201" s="65"/>
      <c r="DP201" s="65"/>
      <c r="DQ201" s="65"/>
      <c r="DR201" s="65"/>
      <c r="DS201" s="65"/>
      <c r="DT201" s="65"/>
    </row>
    <row r="202" spans="1:124" ht="21.75" customHeight="1">
      <c r="A202" s="313"/>
      <c r="B202" s="229" t="s">
        <v>470</v>
      </c>
      <c r="C202" s="230"/>
      <c r="D202" s="231"/>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8"/>
      <c r="AQ202" s="68"/>
      <c r="AR202" s="68"/>
      <c r="AS202" s="69"/>
      <c r="AT202" s="69"/>
      <c r="AU202" s="93" t="s">
        <v>471</v>
      </c>
      <c r="AV202" s="69"/>
      <c r="AW202" s="69"/>
      <c r="AX202" s="93" t="s">
        <v>471</v>
      </c>
      <c r="AY202" s="69"/>
      <c r="AZ202" s="69"/>
      <c r="BA202" s="93" t="s">
        <v>471</v>
      </c>
      <c r="BB202" s="69"/>
      <c r="BC202" s="69"/>
      <c r="BD202" s="69"/>
      <c r="BE202" s="69"/>
      <c r="BF202" s="68"/>
      <c r="BG202" s="68"/>
      <c r="BH202" s="68" t="s">
        <v>166</v>
      </c>
      <c r="BI202" s="68"/>
      <c r="BJ202" s="68"/>
      <c r="BK202" s="68"/>
      <c r="BL202" s="68"/>
      <c r="BM202" s="68"/>
      <c r="BN202" s="68"/>
      <c r="BO202" s="68"/>
      <c r="BP202" s="68"/>
      <c r="BQ202" s="68"/>
      <c r="BR202" s="68"/>
      <c r="BS202" s="68"/>
      <c r="BT202" s="68"/>
      <c r="BU202" s="68"/>
      <c r="BV202" s="68"/>
      <c r="BW202" s="68"/>
      <c r="BX202" s="68"/>
      <c r="BY202" s="68"/>
      <c r="BZ202" s="68"/>
      <c r="CA202" s="68"/>
      <c r="CB202" s="68"/>
      <c r="CC202" s="68"/>
      <c r="CD202" s="68"/>
      <c r="CE202" s="68"/>
      <c r="CF202" s="68"/>
      <c r="CG202" s="68"/>
      <c r="CH202" s="68"/>
      <c r="CI202" s="68"/>
      <c r="CJ202" s="68"/>
      <c r="CK202" s="68"/>
      <c r="CL202" s="68"/>
      <c r="CM202" s="68"/>
      <c r="CN202" s="68"/>
      <c r="CO202" s="68"/>
      <c r="CP202" s="68"/>
      <c r="CQ202" s="68"/>
      <c r="CR202" s="68"/>
      <c r="CS202" s="68"/>
      <c r="CT202" s="68"/>
      <c r="CU202" s="68"/>
      <c r="CV202" s="68"/>
      <c r="CW202" s="68"/>
      <c r="CX202" s="68"/>
      <c r="CY202" s="68"/>
      <c r="CZ202" s="68"/>
      <c r="DA202" s="68"/>
      <c r="DB202" s="68"/>
      <c r="DC202" s="68"/>
      <c r="DD202" s="68"/>
      <c r="DE202" s="68"/>
      <c r="DF202" s="68"/>
      <c r="DG202" s="68"/>
      <c r="DH202" s="68"/>
      <c r="DI202" s="68"/>
      <c r="DJ202" s="68"/>
      <c r="DK202" s="68"/>
      <c r="DL202" s="68"/>
      <c r="DM202" s="68"/>
      <c r="DN202" s="68"/>
      <c r="DO202" s="68"/>
      <c r="DP202" s="68"/>
      <c r="DQ202" s="68"/>
      <c r="DR202" s="68"/>
      <c r="DS202" s="68"/>
      <c r="DT202" s="68"/>
    </row>
    <row r="203" spans="1:124" ht="21.75" customHeight="1">
      <c r="A203" s="313"/>
      <c r="B203" s="232"/>
      <c r="C203" s="233"/>
      <c r="D203" s="234"/>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65"/>
      <c r="AQ203" s="65"/>
      <c r="AR203" s="65"/>
      <c r="AS203" s="70"/>
      <c r="AT203" s="70"/>
      <c r="AU203" s="65">
        <v>140</v>
      </c>
      <c r="AV203" s="70"/>
      <c r="AW203" s="70"/>
      <c r="AX203" s="70">
        <v>150</v>
      </c>
      <c r="AY203" s="70"/>
      <c r="AZ203" s="70"/>
      <c r="BA203" s="65">
        <v>110</v>
      </c>
      <c r="BB203" s="70"/>
      <c r="BC203" s="70"/>
      <c r="BD203" s="70"/>
      <c r="BE203" s="70"/>
      <c r="BF203" s="65"/>
      <c r="BG203" s="65"/>
      <c r="BH203" s="65">
        <v>190</v>
      </c>
      <c r="BI203" s="65"/>
      <c r="BJ203" s="65"/>
      <c r="BK203" s="65"/>
      <c r="BL203" s="65"/>
      <c r="BM203" s="65"/>
      <c r="BN203" s="65"/>
      <c r="BO203" s="65"/>
      <c r="BP203" s="65"/>
      <c r="BQ203" s="65"/>
      <c r="BR203" s="65"/>
      <c r="BS203" s="65"/>
      <c r="BT203" s="65"/>
      <c r="BU203" s="65"/>
      <c r="BV203" s="65"/>
      <c r="BW203" s="65"/>
      <c r="BX203" s="68"/>
      <c r="BY203" s="65"/>
      <c r="BZ203" s="65"/>
      <c r="CA203" s="65"/>
      <c r="CB203" s="65"/>
      <c r="CC203" s="65"/>
      <c r="CD203" s="65"/>
      <c r="CE203" s="65"/>
      <c r="CF203" s="65"/>
      <c r="CG203" s="65"/>
      <c r="CH203" s="65"/>
      <c r="CI203" s="65"/>
      <c r="CJ203" s="65"/>
      <c r="CK203" s="65"/>
      <c r="CL203" s="65"/>
      <c r="CM203" s="65"/>
      <c r="CN203" s="65"/>
      <c r="CO203" s="65"/>
      <c r="CP203" s="65"/>
      <c r="CQ203" s="65"/>
      <c r="CR203" s="65"/>
      <c r="CS203" s="65"/>
      <c r="CT203" s="65"/>
      <c r="CU203" s="65"/>
      <c r="CV203" s="65"/>
      <c r="CW203" s="65"/>
      <c r="CX203" s="65"/>
      <c r="CY203" s="65"/>
      <c r="CZ203" s="65"/>
      <c r="DA203" s="65"/>
      <c r="DB203" s="65"/>
      <c r="DC203" s="65"/>
      <c r="DD203" s="65"/>
      <c r="DE203" s="65"/>
      <c r="DF203" s="65"/>
      <c r="DG203" s="65"/>
      <c r="DH203" s="65"/>
      <c r="DI203" s="65"/>
      <c r="DJ203" s="65"/>
      <c r="DK203" s="65"/>
      <c r="DL203" s="65"/>
      <c r="DM203" s="65"/>
      <c r="DN203" s="65"/>
      <c r="DO203" s="65"/>
      <c r="DP203" s="65"/>
      <c r="DQ203" s="65"/>
      <c r="DR203" s="65"/>
      <c r="DS203" s="65"/>
      <c r="DT203" s="65"/>
    </row>
    <row r="204" spans="1:124" ht="21.75" customHeight="1">
      <c r="A204" s="313"/>
      <c r="B204" s="229" t="s">
        <v>391</v>
      </c>
      <c r="C204" s="230"/>
      <c r="D204" s="231"/>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8"/>
      <c r="AQ204" s="68"/>
      <c r="AR204" s="68"/>
      <c r="AS204" s="69"/>
      <c r="AT204" s="69" t="s">
        <v>392</v>
      </c>
      <c r="AU204" s="69"/>
      <c r="AV204" s="69"/>
      <c r="AW204" s="69"/>
      <c r="AX204" s="69"/>
      <c r="AY204" s="68"/>
      <c r="AZ204" s="68"/>
      <c r="BA204" s="68"/>
      <c r="BB204" s="69"/>
      <c r="BC204" s="69"/>
      <c r="BD204" s="69"/>
      <c r="BE204" s="69"/>
      <c r="BF204" s="69"/>
      <c r="BG204" s="68"/>
      <c r="BH204" s="68"/>
      <c r="BI204" s="68"/>
      <c r="BJ204" s="68"/>
      <c r="BK204" s="68"/>
      <c r="BL204" s="68"/>
      <c r="BM204" s="68"/>
      <c r="BN204" s="68"/>
      <c r="BO204" s="68"/>
      <c r="BP204" s="68"/>
      <c r="BQ204" s="68"/>
      <c r="BR204" s="68"/>
      <c r="BS204" s="68"/>
      <c r="BT204" s="68"/>
      <c r="BU204" s="68"/>
      <c r="BV204" s="68"/>
      <c r="BW204" s="68"/>
      <c r="BX204" s="68"/>
      <c r="BY204" s="68"/>
      <c r="BZ204" s="68"/>
      <c r="CA204" s="68"/>
      <c r="CB204" s="68"/>
      <c r="CC204" s="68"/>
      <c r="CD204" s="68"/>
      <c r="CE204" s="68"/>
      <c r="CF204" s="68"/>
      <c r="CG204" s="68"/>
      <c r="CH204" s="68"/>
      <c r="CI204" s="68"/>
      <c r="CJ204" s="68"/>
      <c r="CK204" s="68"/>
      <c r="CL204" s="68"/>
      <c r="CM204" s="68"/>
      <c r="CN204" s="68"/>
      <c r="CO204" s="68"/>
      <c r="CP204" s="68"/>
      <c r="CQ204" s="68"/>
      <c r="CR204" s="68"/>
      <c r="CS204" s="68"/>
      <c r="CT204" s="68"/>
      <c r="CU204" s="68"/>
      <c r="CV204" s="68"/>
      <c r="CW204" s="68"/>
      <c r="CX204" s="68"/>
      <c r="CY204" s="68"/>
      <c r="CZ204" s="68"/>
      <c r="DA204" s="68"/>
      <c r="DB204" s="68"/>
      <c r="DC204" s="68"/>
      <c r="DD204" s="68"/>
      <c r="DE204" s="68"/>
      <c r="DF204" s="68"/>
      <c r="DG204" s="68"/>
      <c r="DH204" s="68"/>
      <c r="DI204" s="68"/>
      <c r="DJ204" s="68"/>
      <c r="DK204" s="68"/>
      <c r="DL204" s="68"/>
      <c r="DM204" s="68"/>
      <c r="DN204" s="68"/>
      <c r="DO204" s="68"/>
      <c r="DP204" s="68"/>
      <c r="DQ204" s="68"/>
      <c r="DR204" s="68"/>
      <c r="DS204" s="68"/>
      <c r="DT204" s="68"/>
    </row>
    <row r="205" spans="1:124" ht="21.75" customHeight="1">
      <c r="A205" s="313"/>
      <c r="B205" s="232"/>
      <c r="C205" s="233"/>
      <c r="D205" s="234"/>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65"/>
      <c r="AQ205" s="65"/>
      <c r="AR205" s="65"/>
      <c r="AS205" s="70"/>
      <c r="AT205" s="70">
        <f>110/0.835</f>
        <v>131.7365269461078</v>
      </c>
      <c r="AU205" s="70"/>
      <c r="AV205" s="70"/>
      <c r="AW205" s="70"/>
      <c r="AX205" s="70"/>
      <c r="AY205" s="65"/>
      <c r="AZ205" s="65"/>
      <c r="BA205" s="65"/>
      <c r="BB205" s="70"/>
      <c r="BC205" s="70"/>
      <c r="BD205" s="70"/>
      <c r="BE205" s="70"/>
      <c r="BF205" s="70"/>
      <c r="BG205" s="65"/>
      <c r="BH205" s="65"/>
      <c r="BI205" s="65"/>
      <c r="BJ205" s="65"/>
      <c r="BK205" s="65"/>
      <c r="BL205" s="65"/>
      <c r="BM205" s="65"/>
      <c r="BN205" s="65"/>
      <c r="BO205" s="65"/>
      <c r="BP205" s="65"/>
      <c r="BQ205" s="65"/>
      <c r="BR205" s="65"/>
      <c r="BS205" s="65"/>
      <c r="BT205" s="65"/>
      <c r="BU205" s="65"/>
      <c r="BV205" s="65"/>
      <c r="BW205" s="65"/>
      <c r="BX205" s="65"/>
      <c r="BY205" s="65"/>
      <c r="BZ205" s="65"/>
      <c r="CA205" s="65"/>
      <c r="CB205" s="65"/>
      <c r="CC205" s="65"/>
      <c r="CD205" s="65"/>
      <c r="CE205" s="65"/>
      <c r="CF205" s="65"/>
      <c r="CG205" s="65"/>
      <c r="CH205" s="65"/>
      <c r="CI205" s="65"/>
      <c r="CJ205" s="65"/>
      <c r="CK205" s="65"/>
      <c r="CL205" s="65"/>
      <c r="CM205" s="65"/>
      <c r="CN205" s="65"/>
      <c r="CO205" s="65"/>
      <c r="CP205" s="65"/>
      <c r="CQ205" s="65"/>
      <c r="CR205" s="65"/>
      <c r="CS205" s="65"/>
      <c r="CT205" s="65"/>
      <c r="CU205" s="65"/>
      <c r="CV205" s="65"/>
      <c r="CW205" s="65"/>
      <c r="CX205" s="65"/>
      <c r="CY205" s="65"/>
      <c r="CZ205" s="65"/>
      <c r="DA205" s="65"/>
      <c r="DB205" s="65"/>
      <c r="DC205" s="65"/>
      <c r="DD205" s="65"/>
      <c r="DE205" s="65"/>
      <c r="DF205" s="65"/>
      <c r="DG205" s="65"/>
      <c r="DH205" s="65"/>
      <c r="DI205" s="65"/>
      <c r="DJ205" s="65"/>
      <c r="DK205" s="65"/>
      <c r="DL205" s="65"/>
      <c r="DM205" s="65"/>
      <c r="DN205" s="65"/>
      <c r="DO205" s="65"/>
      <c r="DP205" s="65"/>
      <c r="DQ205" s="65"/>
      <c r="DR205" s="65"/>
      <c r="DS205" s="65"/>
      <c r="DT205" s="65"/>
    </row>
    <row r="206" spans="1:124" ht="21.75" customHeight="1">
      <c r="A206" s="313"/>
      <c r="B206" s="229" t="s">
        <v>453</v>
      </c>
      <c r="C206" s="230"/>
      <c r="D206" s="231"/>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8"/>
      <c r="AQ206" s="68"/>
      <c r="AR206" s="68"/>
      <c r="AS206" s="69" t="s">
        <v>383</v>
      </c>
      <c r="AT206" s="69"/>
      <c r="AU206" s="69"/>
      <c r="AV206" s="69" t="s">
        <v>394</v>
      </c>
      <c r="AW206" s="69"/>
      <c r="AX206" s="69"/>
      <c r="AY206" s="80"/>
      <c r="AZ206" s="80"/>
      <c r="BA206" s="68"/>
      <c r="BB206" s="69" t="s">
        <v>472</v>
      </c>
      <c r="BC206" s="69"/>
      <c r="BD206" s="69"/>
      <c r="BE206" s="69"/>
      <c r="BF206" s="68"/>
      <c r="BG206" s="68"/>
      <c r="BH206" s="68"/>
      <c r="BI206" s="68"/>
      <c r="BJ206" s="68"/>
      <c r="BK206" s="68"/>
      <c r="BL206" s="68"/>
      <c r="BM206" s="68"/>
      <c r="BN206" s="68"/>
      <c r="BO206" s="68"/>
      <c r="BP206" s="68"/>
      <c r="BQ206" s="68"/>
      <c r="BR206" s="68"/>
      <c r="BS206" s="68"/>
      <c r="BT206" s="68"/>
      <c r="BU206" s="68"/>
      <c r="BV206" s="68"/>
      <c r="BW206" s="68"/>
      <c r="BX206" s="68"/>
      <c r="BY206" s="68"/>
      <c r="BZ206" s="68"/>
      <c r="CA206" s="68"/>
      <c r="CB206" s="68"/>
      <c r="CC206" s="68"/>
      <c r="CD206" s="68"/>
      <c r="CE206" s="68"/>
      <c r="CF206" s="68"/>
      <c r="CG206" s="68"/>
      <c r="CH206" s="68"/>
      <c r="CI206" s="68"/>
      <c r="CJ206" s="68"/>
      <c r="CK206" s="68"/>
      <c r="CL206" s="68"/>
      <c r="CM206" s="68"/>
      <c r="CN206" s="68"/>
      <c r="CO206" s="68"/>
      <c r="CP206" s="68"/>
      <c r="CQ206" s="68"/>
      <c r="CR206" s="68"/>
      <c r="CS206" s="68"/>
      <c r="CT206" s="68"/>
      <c r="CU206" s="68"/>
      <c r="CV206" s="68"/>
      <c r="CW206" s="68"/>
      <c r="CX206" s="68"/>
      <c r="CY206" s="68"/>
      <c r="CZ206" s="68"/>
      <c r="DA206" s="68"/>
      <c r="DB206" s="68"/>
      <c r="DC206" s="68"/>
      <c r="DD206" s="68"/>
      <c r="DE206" s="68"/>
      <c r="DF206" s="68"/>
      <c r="DG206" s="68"/>
      <c r="DH206" s="68"/>
      <c r="DI206" s="68"/>
      <c r="DJ206" s="68"/>
      <c r="DK206" s="68"/>
      <c r="DL206" s="68"/>
      <c r="DM206" s="68"/>
      <c r="DN206" s="68"/>
      <c r="DO206" s="68"/>
      <c r="DP206" s="68"/>
      <c r="DQ206" s="68"/>
      <c r="DR206" s="68"/>
      <c r="DS206" s="68"/>
      <c r="DT206" s="68"/>
    </row>
    <row r="207" spans="1:124" ht="21.75" customHeight="1">
      <c r="A207" s="313"/>
      <c r="B207" s="232"/>
      <c r="C207" s="233"/>
      <c r="D207" s="234"/>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65"/>
      <c r="AQ207" s="65"/>
      <c r="AR207" s="65"/>
      <c r="AS207" s="70">
        <f>100/0.785</f>
        <v>127.38853503184713</v>
      </c>
      <c r="AT207" s="70"/>
      <c r="AU207" s="70"/>
      <c r="AV207" s="70">
        <f>130/0.86</f>
        <v>151.16279069767441</v>
      </c>
      <c r="AW207" s="70"/>
      <c r="AX207" s="70"/>
      <c r="AY207" s="70"/>
      <c r="AZ207" s="70"/>
      <c r="BA207" s="65"/>
      <c r="BB207" s="70">
        <f>130/0.785</f>
        <v>165.60509554140125</v>
      </c>
      <c r="BC207" s="70"/>
      <c r="BD207" s="70"/>
      <c r="BE207" s="70"/>
      <c r="BF207" s="65"/>
      <c r="BG207" s="65"/>
      <c r="BH207" s="65"/>
      <c r="BI207" s="65"/>
      <c r="BJ207" s="65"/>
      <c r="BK207" s="65"/>
      <c r="BL207" s="65"/>
      <c r="BM207" s="65"/>
      <c r="BN207" s="65"/>
      <c r="BO207" s="65"/>
      <c r="BP207" s="65"/>
      <c r="BQ207" s="65"/>
      <c r="BR207" s="65"/>
      <c r="BS207" s="65"/>
      <c r="BT207" s="65"/>
      <c r="BU207" s="65"/>
      <c r="BV207" s="65"/>
      <c r="BW207" s="65"/>
      <c r="BX207" s="65"/>
      <c r="BY207" s="65"/>
      <c r="BZ207" s="65"/>
      <c r="CA207" s="65"/>
      <c r="CB207" s="65"/>
      <c r="CC207" s="65"/>
      <c r="CD207" s="65"/>
      <c r="CE207" s="65"/>
      <c r="CF207" s="65"/>
      <c r="CG207" s="65"/>
      <c r="CH207" s="65"/>
      <c r="CI207" s="65"/>
      <c r="CJ207" s="65"/>
      <c r="CK207" s="65"/>
      <c r="CL207" s="65"/>
      <c r="CM207" s="65"/>
      <c r="CN207" s="65"/>
      <c r="CO207" s="65"/>
      <c r="CP207" s="65"/>
      <c r="CQ207" s="65"/>
      <c r="CR207" s="65"/>
      <c r="CS207" s="65"/>
      <c r="CT207" s="65"/>
      <c r="CU207" s="65"/>
      <c r="CV207" s="65"/>
      <c r="CW207" s="65"/>
      <c r="CX207" s="65"/>
      <c r="CY207" s="65"/>
      <c r="CZ207" s="65"/>
      <c r="DA207" s="65"/>
      <c r="DB207" s="65"/>
      <c r="DC207" s="65"/>
      <c r="DD207" s="65"/>
      <c r="DE207" s="65"/>
      <c r="DF207" s="65"/>
      <c r="DG207" s="65"/>
      <c r="DH207" s="65"/>
      <c r="DI207" s="65"/>
      <c r="DJ207" s="65"/>
      <c r="DK207" s="65"/>
      <c r="DL207" s="65"/>
      <c r="DM207" s="65"/>
      <c r="DN207" s="65"/>
      <c r="DO207" s="65"/>
      <c r="DP207" s="65"/>
      <c r="DQ207" s="65"/>
      <c r="DR207" s="65"/>
      <c r="DS207" s="65"/>
      <c r="DT207" s="65"/>
    </row>
    <row r="208" spans="1:124" ht="21.75" customHeight="1">
      <c r="A208" s="313"/>
      <c r="B208" s="229" t="s">
        <v>195</v>
      </c>
      <c r="C208" s="230"/>
      <c r="D208" s="231"/>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8"/>
      <c r="AH208" s="69"/>
      <c r="AI208" s="69"/>
      <c r="AJ208" s="69"/>
      <c r="AK208" s="69"/>
      <c r="AL208" s="69"/>
      <c r="AM208" s="69"/>
      <c r="AN208" s="68"/>
      <c r="AO208" s="68"/>
      <c r="AP208" s="68"/>
      <c r="AQ208" s="68"/>
      <c r="AR208" s="68"/>
      <c r="AS208" s="68"/>
      <c r="AT208" s="68"/>
      <c r="AU208" s="68"/>
      <c r="AV208" s="68"/>
      <c r="AW208" s="68"/>
      <c r="AX208" s="68"/>
      <c r="AY208" s="73"/>
      <c r="AZ208" s="73"/>
      <c r="BA208" s="73"/>
      <c r="BB208" s="68"/>
      <c r="BC208" s="68"/>
      <c r="BD208" s="68"/>
      <c r="BE208" s="68"/>
      <c r="BF208" s="68"/>
      <c r="BG208" s="68"/>
      <c r="BH208" s="68"/>
      <c r="BI208" s="68"/>
      <c r="BJ208" s="68"/>
      <c r="BK208" s="68"/>
      <c r="BL208" s="68"/>
      <c r="BM208" s="68"/>
      <c r="BN208" s="68"/>
      <c r="BO208" s="68"/>
      <c r="BP208" s="68"/>
      <c r="BQ208" s="68"/>
      <c r="BR208" s="68"/>
      <c r="BS208" s="68" t="s">
        <v>396</v>
      </c>
      <c r="BT208" s="68"/>
      <c r="BU208" s="68"/>
      <c r="BV208" s="68"/>
      <c r="BW208" s="68"/>
      <c r="BX208" s="68"/>
      <c r="BY208" s="68"/>
      <c r="BZ208" s="68"/>
      <c r="CA208" s="68"/>
      <c r="CB208" s="68"/>
      <c r="CC208" s="68"/>
      <c r="CD208" s="68"/>
      <c r="CE208" s="68"/>
      <c r="CF208" s="68"/>
      <c r="CG208" s="68"/>
      <c r="CH208" s="68"/>
      <c r="CI208" s="68"/>
      <c r="CJ208" s="68"/>
      <c r="CK208" s="68"/>
      <c r="CL208" s="68"/>
      <c r="CM208" s="68"/>
      <c r="CN208" s="68"/>
      <c r="CO208" s="68"/>
      <c r="CP208" s="68"/>
      <c r="CQ208" s="68"/>
      <c r="CR208" s="68"/>
      <c r="CS208" s="68"/>
      <c r="CT208" s="68"/>
      <c r="CU208" s="68"/>
      <c r="CV208" s="68"/>
      <c r="CW208" s="68"/>
      <c r="CX208" s="68"/>
      <c r="CY208" s="68"/>
      <c r="CZ208" s="68"/>
      <c r="DA208" s="68"/>
      <c r="DB208" s="68"/>
      <c r="DC208" s="68"/>
      <c r="DD208" s="68"/>
      <c r="DE208" s="68"/>
      <c r="DF208" s="68"/>
      <c r="DG208" s="68"/>
      <c r="DH208" s="68"/>
      <c r="DI208" s="68"/>
      <c r="DJ208" s="68"/>
      <c r="DK208" s="68"/>
      <c r="DL208" s="68"/>
      <c r="DM208" s="68"/>
      <c r="DN208" s="68"/>
      <c r="DO208" s="68"/>
      <c r="DP208" s="68"/>
      <c r="DQ208" s="68"/>
      <c r="DR208" s="68"/>
      <c r="DS208" s="68"/>
      <c r="DT208" s="68"/>
    </row>
    <row r="209" spans="1:124" ht="21.75" customHeight="1">
      <c r="A209" s="313"/>
      <c r="B209" s="232"/>
      <c r="C209" s="233"/>
      <c r="D209" s="234"/>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65"/>
      <c r="AH209" s="70"/>
      <c r="AI209" s="70"/>
      <c r="AJ209" s="70"/>
      <c r="AK209" s="70"/>
      <c r="AL209" s="70"/>
      <c r="AM209" s="70"/>
      <c r="AN209" s="65"/>
      <c r="AO209" s="65"/>
      <c r="AP209" s="65"/>
      <c r="AQ209" s="65"/>
      <c r="AR209" s="65"/>
      <c r="AS209" s="65"/>
      <c r="AT209" s="65"/>
      <c r="AU209" s="65"/>
      <c r="AV209" s="65"/>
      <c r="AW209" s="65"/>
      <c r="AX209" s="65"/>
      <c r="AY209" s="74"/>
      <c r="AZ209" s="74"/>
      <c r="BA209" s="74"/>
      <c r="BB209" s="65"/>
      <c r="BC209" s="65"/>
      <c r="BD209" s="65"/>
      <c r="BE209" s="65"/>
      <c r="BF209" s="65"/>
      <c r="BG209" s="65"/>
      <c r="BH209" s="65"/>
      <c r="BI209" s="65"/>
      <c r="BJ209" s="65"/>
      <c r="BK209" s="65"/>
      <c r="BL209" s="65"/>
      <c r="BM209" s="65"/>
      <c r="BN209" s="65"/>
      <c r="BO209" s="65"/>
      <c r="BP209" s="65"/>
      <c r="BQ209" s="65"/>
      <c r="BR209" s="65"/>
      <c r="BS209" s="65">
        <f>12/0.86</f>
        <v>13.953488372093023</v>
      </c>
      <c r="BT209" s="65"/>
      <c r="BU209" s="65"/>
      <c r="BV209" s="65"/>
      <c r="BW209" s="65"/>
      <c r="BX209" s="65"/>
      <c r="BY209" s="65"/>
      <c r="BZ209" s="65"/>
      <c r="CA209" s="65"/>
      <c r="CB209" s="65"/>
      <c r="CC209" s="65"/>
      <c r="CD209" s="65"/>
      <c r="CE209" s="65"/>
      <c r="CF209" s="65"/>
      <c r="CG209" s="65"/>
      <c r="CH209" s="65"/>
      <c r="CI209" s="65"/>
      <c r="CJ209" s="65"/>
      <c r="CK209" s="65"/>
      <c r="CL209" s="65"/>
      <c r="CM209" s="65"/>
      <c r="CN209" s="65"/>
      <c r="CO209" s="65"/>
      <c r="CP209" s="65"/>
      <c r="CQ209" s="65"/>
      <c r="CR209" s="65"/>
      <c r="CS209" s="65"/>
      <c r="CT209" s="65"/>
      <c r="CU209" s="65"/>
      <c r="CV209" s="65"/>
      <c r="CW209" s="65"/>
      <c r="CX209" s="65"/>
      <c r="CY209" s="65"/>
      <c r="CZ209" s="65"/>
      <c r="DA209" s="65"/>
      <c r="DB209" s="65"/>
      <c r="DC209" s="65"/>
      <c r="DD209" s="65"/>
      <c r="DE209" s="65"/>
      <c r="DF209" s="65"/>
      <c r="DG209" s="65"/>
      <c r="DH209" s="65"/>
      <c r="DI209" s="65"/>
      <c r="DJ209" s="65"/>
      <c r="DK209" s="65"/>
      <c r="DL209" s="65"/>
      <c r="DM209" s="65"/>
      <c r="DN209" s="65"/>
      <c r="DO209" s="65"/>
      <c r="DP209" s="65"/>
      <c r="DQ209" s="65"/>
      <c r="DR209" s="65"/>
      <c r="DS209" s="65"/>
      <c r="DT209" s="65"/>
    </row>
    <row r="210" spans="1:124" ht="21.75" customHeight="1">
      <c r="A210" s="313"/>
      <c r="B210" s="229" t="s">
        <v>26</v>
      </c>
      <c r="C210" s="230"/>
      <c r="D210" s="231"/>
      <c r="E210" s="60"/>
      <c r="F210" s="60"/>
      <c r="G210" s="60"/>
      <c r="H210" s="62"/>
      <c r="I210" s="60"/>
      <c r="J210" s="62"/>
      <c r="K210" s="60"/>
      <c r="L210" s="60"/>
      <c r="M210" s="60"/>
      <c r="N210" s="60"/>
      <c r="O210" s="60"/>
      <c r="P210" s="60"/>
      <c r="Q210" s="60"/>
      <c r="R210" s="60"/>
      <c r="S210" s="60"/>
      <c r="T210" s="60"/>
      <c r="U210" s="60"/>
      <c r="V210" s="60"/>
      <c r="W210" s="60"/>
      <c r="X210" s="60"/>
      <c r="Y210" s="60"/>
      <c r="Z210" s="60"/>
      <c r="AA210" s="60"/>
      <c r="AB210" s="60" t="s">
        <v>399</v>
      </c>
      <c r="AC210" s="60"/>
      <c r="AD210" s="61" t="s">
        <v>58</v>
      </c>
      <c r="AE210" s="60"/>
      <c r="AF210" s="60"/>
      <c r="AG210" s="60"/>
      <c r="AH210" s="60"/>
      <c r="AI210" s="60"/>
      <c r="AJ210" s="60"/>
      <c r="AK210" s="60" t="s">
        <v>376</v>
      </c>
      <c r="AL210" s="60"/>
      <c r="AM210" s="60"/>
      <c r="AN210" s="68" t="s">
        <v>402</v>
      </c>
      <c r="AO210" s="62" t="s">
        <v>473</v>
      </c>
      <c r="AP210" s="60"/>
      <c r="AQ210" s="60"/>
      <c r="AR210" s="60"/>
      <c r="AS210" s="60"/>
      <c r="AT210" s="60"/>
      <c r="AU210" s="60" t="s">
        <v>384</v>
      </c>
      <c r="AV210" s="60"/>
      <c r="AW210" s="60"/>
      <c r="AX210" s="60" t="s">
        <v>384</v>
      </c>
      <c r="AY210" s="80"/>
      <c r="AZ210" s="80"/>
      <c r="BA210" s="68" t="s">
        <v>433</v>
      </c>
      <c r="BB210" s="60"/>
      <c r="BC210" s="60"/>
      <c r="BD210" s="60"/>
      <c r="BE210" s="60"/>
      <c r="BF210" s="60"/>
      <c r="BG210" s="60" t="s">
        <v>384</v>
      </c>
      <c r="BH210" s="60"/>
      <c r="BI210" s="60"/>
      <c r="BJ210" s="60"/>
      <c r="BK210" s="60"/>
      <c r="BL210" s="60"/>
      <c r="BM210" s="60"/>
      <c r="BN210" s="60"/>
      <c r="BO210" s="60"/>
      <c r="BP210" s="60"/>
      <c r="BQ210" s="60" t="s">
        <v>384</v>
      </c>
      <c r="BR210" s="60"/>
      <c r="BS210" s="60"/>
      <c r="BT210" s="60"/>
      <c r="BU210" s="60"/>
      <c r="BV210" s="60"/>
      <c r="BW210" s="60"/>
      <c r="BX210" s="60"/>
      <c r="BY210" s="60"/>
      <c r="BZ210" s="60"/>
      <c r="CA210" s="60"/>
      <c r="CB210" s="60"/>
      <c r="CC210" s="60"/>
      <c r="CD210" s="60"/>
      <c r="CE210" s="60"/>
      <c r="CF210" s="60"/>
      <c r="CG210" s="60"/>
      <c r="CH210" s="60"/>
      <c r="CI210" s="60"/>
      <c r="CJ210" s="60"/>
      <c r="CK210" s="60"/>
      <c r="CL210" s="60"/>
      <c r="CM210" s="60"/>
      <c r="CN210" s="60"/>
      <c r="CO210" s="60"/>
      <c r="CP210" s="60"/>
      <c r="CQ210" s="60"/>
      <c r="CR210" s="60"/>
      <c r="CS210" s="60"/>
      <c r="CT210" s="60"/>
      <c r="CU210" s="60"/>
      <c r="CV210" s="60"/>
      <c r="CW210" s="60"/>
      <c r="CX210" s="60"/>
      <c r="CY210" s="60"/>
      <c r="CZ210" s="60"/>
      <c r="DA210" s="60"/>
      <c r="DB210" s="60"/>
      <c r="DC210" s="60"/>
      <c r="DD210" s="60"/>
      <c r="DE210" s="60"/>
      <c r="DF210" s="60"/>
      <c r="DG210" s="60"/>
      <c r="DH210" s="60"/>
      <c r="DI210" s="60"/>
      <c r="DJ210" s="60"/>
      <c r="DK210" s="60"/>
      <c r="DL210" s="60"/>
      <c r="DM210" s="60"/>
      <c r="DN210" s="60"/>
      <c r="DO210" s="60"/>
      <c r="DP210" s="60"/>
      <c r="DQ210" s="60"/>
      <c r="DR210" s="60"/>
      <c r="DS210" s="60"/>
      <c r="DT210" s="60"/>
    </row>
    <row r="211" spans="1:124" ht="21.75" customHeight="1">
      <c r="A211" s="313"/>
      <c r="B211" s="232"/>
      <c r="C211" s="233"/>
      <c r="D211" s="234"/>
      <c r="E211" s="65"/>
      <c r="F211" s="65"/>
      <c r="G211" s="65"/>
      <c r="H211" s="67">
        <v>130</v>
      </c>
      <c r="I211" s="65"/>
      <c r="J211" s="67">
        <v>135</v>
      </c>
      <c r="K211" s="65"/>
      <c r="L211" s="65"/>
      <c r="M211" s="65"/>
      <c r="N211" s="65"/>
      <c r="O211" s="65"/>
      <c r="P211" s="65"/>
      <c r="Q211" s="65"/>
      <c r="R211" s="65"/>
      <c r="S211" s="65"/>
      <c r="T211" s="65"/>
      <c r="U211" s="65"/>
      <c r="V211" s="65"/>
      <c r="W211" s="65"/>
      <c r="X211" s="71"/>
      <c r="Y211" s="65"/>
      <c r="Z211" s="65"/>
      <c r="AA211" s="65"/>
      <c r="AB211" s="65">
        <f>120/0.885</f>
        <v>135.59322033898306</v>
      </c>
      <c r="AC211" s="65"/>
      <c r="AD211" s="72">
        <v>135</v>
      </c>
      <c r="AE211" s="65"/>
      <c r="AF211" s="65"/>
      <c r="AG211" s="65"/>
      <c r="AH211" s="65"/>
      <c r="AI211" s="65"/>
      <c r="AJ211" s="65"/>
      <c r="AK211" s="65">
        <f>130/0.91</f>
        <v>142.85714285714286</v>
      </c>
      <c r="AL211" s="65"/>
      <c r="AM211" s="65"/>
      <c r="AN211" s="65">
        <f>120/0.935</f>
        <v>128.34224598930481</v>
      </c>
      <c r="AO211" s="67">
        <v>145</v>
      </c>
      <c r="AP211" s="65"/>
      <c r="AQ211" s="65"/>
      <c r="AR211" s="65"/>
      <c r="AS211" s="65"/>
      <c r="AT211" s="65"/>
      <c r="AU211" s="65">
        <f>100/0.91</f>
        <v>109.89010989010988</v>
      </c>
      <c r="AV211" s="65"/>
      <c r="AW211" s="65"/>
      <c r="AX211" s="65">
        <f>110/0.91</f>
        <v>120.87912087912088</v>
      </c>
      <c r="AY211" s="70"/>
      <c r="AZ211" s="70"/>
      <c r="BA211" s="65">
        <v>130</v>
      </c>
      <c r="BB211" s="65"/>
      <c r="BC211" s="65"/>
      <c r="BD211" s="65"/>
      <c r="BE211" s="65"/>
      <c r="BF211" s="65"/>
      <c r="BG211" s="65">
        <f>110/0.91</f>
        <v>120.87912087912088</v>
      </c>
      <c r="BH211" s="65"/>
      <c r="BI211" s="65"/>
      <c r="BJ211" s="65"/>
      <c r="BK211" s="65"/>
      <c r="BL211" s="65"/>
      <c r="BM211" s="65"/>
      <c r="BN211" s="65"/>
      <c r="BO211" s="65"/>
      <c r="BP211" s="65"/>
      <c r="BQ211" s="65">
        <f>130/0.91</f>
        <v>142.85714285714286</v>
      </c>
      <c r="BR211" s="65"/>
      <c r="BS211" s="65"/>
      <c r="BT211" s="65"/>
      <c r="BU211" s="65"/>
      <c r="BV211" s="65"/>
      <c r="BW211" s="65"/>
      <c r="BX211" s="65"/>
      <c r="BY211" s="65"/>
      <c r="BZ211" s="65"/>
      <c r="CA211" s="65"/>
      <c r="CB211" s="65"/>
      <c r="CC211" s="65"/>
      <c r="CD211" s="65"/>
      <c r="CE211" s="65"/>
      <c r="CF211" s="65"/>
      <c r="CG211" s="65"/>
      <c r="CH211" s="65"/>
      <c r="CI211" s="65"/>
      <c r="CJ211" s="65"/>
      <c r="CK211" s="65"/>
      <c r="CL211" s="65"/>
      <c r="CM211" s="65"/>
      <c r="CN211" s="65"/>
      <c r="CO211" s="65"/>
      <c r="CP211" s="65"/>
      <c r="CQ211" s="65"/>
      <c r="CR211" s="65"/>
      <c r="CS211" s="65"/>
      <c r="CT211" s="65"/>
      <c r="CU211" s="65"/>
      <c r="CV211" s="65"/>
      <c r="CW211" s="65"/>
      <c r="CX211" s="65"/>
      <c r="CY211" s="65"/>
      <c r="CZ211" s="65"/>
      <c r="DA211" s="65"/>
      <c r="DB211" s="65"/>
      <c r="DC211" s="65"/>
      <c r="DD211" s="65"/>
      <c r="DE211" s="65"/>
      <c r="DF211" s="65"/>
      <c r="DG211" s="65"/>
      <c r="DH211" s="65"/>
      <c r="DI211" s="65"/>
      <c r="DJ211" s="65"/>
      <c r="DK211" s="65"/>
      <c r="DL211" s="65"/>
      <c r="DM211" s="65"/>
      <c r="DN211" s="65"/>
      <c r="DO211" s="65"/>
      <c r="DP211" s="65"/>
      <c r="DQ211" s="65"/>
      <c r="DR211" s="65"/>
      <c r="DS211" s="65"/>
      <c r="DT211" s="65"/>
    </row>
    <row r="212" spans="1:124" ht="21.75" customHeight="1">
      <c r="A212" s="313"/>
      <c r="B212" s="229" t="s">
        <v>53</v>
      </c>
      <c r="C212" s="230"/>
      <c r="D212" s="231"/>
      <c r="E212" s="60"/>
      <c r="F212" s="60"/>
      <c r="G212" s="60"/>
      <c r="H212" s="60"/>
      <c r="I212" s="60"/>
      <c r="J212" s="60"/>
      <c r="K212" s="60"/>
      <c r="L212" s="60"/>
      <c r="M212" s="60"/>
      <c r="N212" s="60"/>
      <c r="O212" s="60"/>
      <c r="P212" s="60"/>
      <c r="Q212" s="60"/>
      <c r="R212" s="60"/>
      <c r="S212" s="60"/>
      <c r="T212" s="60"/>
      <c r="U212" s="60"/>
      <c r="V212" s="60"/>
      <c r="W212" s="60"/>
      <c r="X212" s="60"/>
      <c r="Y212" s="73"/>
      <c r="Z212" s="68" t="s">
        <v>401</v>
      </c>
      <c r="AA212" s="60"/>
      <c r="AB212" s="60"/>
      <c r="AC212" s="60"/>
      <c r="AD212" s="60"/>
      <c r="AE212" s="60"/>
      <c r="AF212" s="60"/>
      <c r="AG212" s="60"/>
      <c r="AH212" s="60"/>
      <c r="AI212" s="60"/>
      <c r="AJ212" s="60"/>
      <c r="AK212" s="60"/>
      <c r="AL212" s="60"/>
      <c r="AM212" s="60"/>
      <c r="AN212" s="60"/>
      <c r="AO212" s="60"/>
      <c r="AP212" s="60"/>
      <c r="AQ212" s="60"/>
      <c r="AR212" s="60"/>
      <c r="AS212" s="60"/>
      <c r="AT212" s="60"/>
      <c r="AU212" s="60" t="s">
        <v>396</v>
      </c>
      <c r="AV212" s="60"/>
      <c r="AW212" s="60"/>
      <c r="AX212" s="60" t="s">
        <v>474</v>
      </c>
      <c r="AY212" s="80"/>
      <c r="AZ212" s="80"/>
      <c r="BA212" s="80"/>
      <c r="BB212" s="60"/>
      <c r="BC212" s="60"/>
      <c r="BD212" s="60"/>
      <c r="BE212" s="60"/>
      <c r="BF212" s="60"/>
      <c r="BG212" s="60" t="s">
        <v>400</v>
      </c>
      <c r="BH212" s="60"/>
      <c r="BI212" s="60"/>
      <c r="BJ212" s="60"/>
      <c r="BK212" s="60"/>
      <c r="BL212" s="60"/>
      <c r="BM212" s="60"/>
      <c r="BN212" s="60"/>
      <c r="BO212" s="60"/>
      <c r="BP212" s="60"/>
      <c r="BQ212" s="60"/>
      <c r="BR212" s="60"/>
      <c r="BS212" s="60"/>
      <c r="BT212" s="60"/>
      <c r="BU212" s="60"/>
      <c r="BV212" s="60"/>
      <c r="BW212" s="60"/>
      <c r="BX212" s="60"/>
      <c r="BY212" s="60"/>
      <c r="BZ212" s="60"/>
      <c r="CA212" s="60"/>
      <c r="CB212" s="60"/>
      <c r="CC212" s="60"/>
      <c r="CD212" s="60"/>
      <c r="CE212" s="60"/>
      <c r="CF212" s="60"/>
      <c r="CG212" s="60"/>
      <c r="CH212" s="60"/>
      <c r="CI212" s="60"/>
      <c r="CJ212" s="60"/>
      <c r="CK212" s="60"/>
      <c r="CL212" s="60"/>
      <c r="CM212" s="60"/>
      <c r="CN212" s="60"/>
      <c r="CO212" s="60"/>
      <c r="CP212" s="60"/>
      <c r="CQ212" s="60"/>
      <c r="CR212" s="60"/>
      <c r="CS212" s="60"/>
      <c r="CT212" s="60"/>
      <c r="CU212" s="60"/>
      <c r="CV212" s="60"/>
      <c r="CW212" s="60"/>
      <c r="CX212" s="60"/>
      <c r="CY212" s="60"/>
      <c r="CZ212" s="60"/>
      <c r="DA212" s="60"/>
      <c r="DB212" s="60"/>
      <c r="DC212" s="60"/>
      <c r="DD212" s="60"/>
      <c r="DE212" s="60"/>
      <c r="DF212" s="60"/>
      <c r="DG212" s="60"/>
      <c r="DH212" s="60"/>
      <c r="DI212" s="60"/>
      <c r="DJ212" s="60"/>
      <c r="DK212" s="60"/>
      <c r="DL212" s="60"/>
      <c r="DM212" s="60"/>
      <c r="DN212" s="60"/>
      <c r="DO212" s="60"/>
      <c r="DP212" s="60"/>
      <c r="DQ212" s="60"/>
      <c r="DR212" s="60"/>
      <c r="DS212" s="60"/>
      <c r="DT212" s="60"/>
    </row>
    <row r="213" spans="1:124" ht="21.75" customHeight="1">
      <c r="A213" s="313"/>
      <c r="B213" s="232"/>
      <c r="C213" s="233"/>
      <c r="D213" s="234"/>
      <c r="E213" s="65"/>
      <c r="F213" s="65"/>
      <c r="G213" s="65"/>
      <c r="H213" s="65"/>
      <c r="I213" s="65"/>
      <c r="J213" s="65"/>
      <c r="K213" s="65"/>
      <c r="L213" s="65"/>
      <c r="M213" s="65"/>
      <c r="N213" s="65"/>
      <c r="O213" s="65"/>
      <c r="P213" s="65"/>
      <c r="Q213" s="65"/>
      <c r="R213" s="65"/>
      <c r="S213" s="65"/>
      <c r="T213" s="65"/>
      <c r="U213" s="65"/>
      <c r="V213" s="65"/>
      <c r="W213" s="65"/>
      <c r="X213" s="65"/>
      <c r="Y213" s="74"/>
      <c r="Z213" s="65">
        <f>115/0.835</f>
        <v>137.7245508982036</v>
      </c>
      <c r="AA213" s="65"/>
      <c r="AB213" s="65"/>
      <c r="AC213" s="65"/>
      <c r="AD213" s="65"/>
      <c r="AE213" s="65"/>
      <c r="AF213" s="65"/>
      <c r="AG213" s="65"/>
      <c r="AH213" s="65"/>
      <c r="AI213" s="65"/>
      <c r="AJ213" s="65"/>
      <c r="AK213" s="65"/>
      <c r="AL213" s="65"/>
      <c r="AM213" s="65"/>
      <c r="AN213" s="65"/>
      <c r="AO213" s="65"/>
      <c r="AP213" s="65"/>
      <c r="AQ213" s="65"/>
      <c r="AR213" s="65"/>
      <c r="AS213" s="65"/>
      <c r="AT213" s="65"/>
      <c r="AU213" s="65">
        <f>120/0.86</f>
        <v>139.53488372093022</v>
      </c>
      <c r="AV213" s="65"/>
      <c r="AW213" s="65"/>
      <c r="AX213" s="65">
        <f>120/0.86</f>
        <v>139.53488372093022</v>
      </c>
      <c r="AY213" s="70"/>
      <c r="AZ213" s="70"/>
      <c r="BA213" s="70"/>
      <c r="BB213" s="65"/>
      <c r="BC213" s="65"/>
      <c r="BD213" s="65"/>
      <c r="BE213" s="65"/>
      <c r="BF213" s="65"/>
      <c r="BG213" s="65">
        <f>130/0.885</f>
        <v>146.89265536723164</v>
      </c>
      <c r="BH213" s="65"/>
      <c r="BI213" s="65"/>
      <c r="BJ213" s="65"/>
      <c r="BK213" s="65"/>
      <c r="BL213" s="65"/>
      <c r="BM213" s="65"/>
      <c r="BN213" s="65"/>
      <c r="BO213" s="65"/>
      <c r="BP213" s="65"/>
      <c r="BQ213" s="65"/>
      <c r="BR213" s="65"/>
      <c r="BS213" s="65"/>
      <c r="BT213" s="65"/>
      <c r="BU213" s="65"/>
      <c r="BV213" s="65"/>
      <c r="BW213" s="65"/>
      <c r="BX213" s="65"/>
      <c r="BY213" s="65"/>
      <c r="BZ213" s="65"/>
      <c r="CA213" s="65"/>
      <c r="CB213" s="65"/>
      <c r="CC213" s="65"/>
      <c r="CD213" s="65"/>
      <c r="CE213" s="65"/>
      <c r="CF213" s="65"/>
      <c r="CG213" s="65"/>
      <c r="CH213" s="65"/>
      <c r="CI213" s="65"/>
      <c r="CJ213" s="65"/>
      <c r="CK213" s="65"/>
      <c r="CL213" s="65"/>
      <c r="CM213" s="65"/>
      <c r="CN213" s="65"/>
      <c r="CO213" s="65"/>
      <c r="CP213" s="65"/>
      <c r="CQ213" s="65"/>
      <c r="CR213" s="65"/>
      <c r="CS213" s="65"/>
      <c r="CT213" s="65"/>
      <c r="CU213" s="65"/>
      <c r="CV213" s="65"/>
      <c r="CW213" s="65"/>
      <c r="CX213" s="65"/>
      <c r="CY213" s="65"/>
      <c r="CZ213" s="65"/>
      <c r="DA213" s="65"/>
      <c r="DB213" s="65"/>
      <c r="DC213" s="65"/>
      <c r="DD213" s="65"/>
      <c r="DE213" s="65"/>
      <c r="DF213" s="65"/>
      <c r="DG213" s="65"/>
      <c r="DH213" s="65"/>
      <c r="DI213" s="65"/>
      <c r="DJ213" s="65"/>
      <c r="DK213" s="65"/>
      <c r="DL213" s="65"/>
      <c r="DM213" s="65"/>
      <c r="DN213" s="65"/>
      <c r="DO213" s="65"/>
      <c r="DP213" s="65"/>
      <c r="DQ213" s="65"/>
      <c r="DR213" s="65"/>
      <c r="DS213" s="65"/>
      <c r="DT213" s="65"/>
    </row>
    <row r="214" spans="1:124" ht="21.75" customHeight="1">
      <c r="A214" s="313"/>
      <c r="B214" s="229" t="s">
        <v>46</v>
      </c>
      <c r="C214" s="230"/>
      <c r="D214" s="231"/>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9"/>
      <c r="AE214" s="68"/>
      <c r="AF214" s="68"/>
      <c r="AG214" s="60"/>
      <c r="AH214" s="68"/>
      <c r="AI214" s="68" t="s">
        <v>402</v>
      </c>
      <c r="AJ214" s="68"/>
      <c r="AK214" s="68"/>
      <c r="AL214" s="68" t="s">
        <v>402</v>
      </c>
      <c r="AM214" s="68"/>
      <c r="AN214" s="68"/>
      <c r="AO214" s="60"/>
      <c r="AP214" s="60"/>
      <c r="AQ214" s="60"/>
      <c r="AR214" s="60"/>
      <c r="AS214" s="60"/>
      <c r="AT214" s="60"/>
      <c r="AU214" s="60"/>
      <c r="AV214" s="60"/>
      <c r="AW214" s="60"/>
      <c r="AX214" s="60"/>
      <c r="AY214" s="68"/>
      <c r="AZ214" s="68"/>
      <c r="BA214" s="68"/>
      <c r="BB214" s="60"/>
      <c r="BC214" s="60"/>
      <c r="BD214" s="60"/>
      <c r="BE214" s="60"/>
      <c r="BF214" s="60"/>
      <c r="BG214" s="60"/>
      <c r="BH214" s="60"/>
      <c r="BI214" s="60"/>
      <c r="BJ214" s="60"/>
      <c r="BK214" s="60"/>
      <c r="BL214" s="60"/>
      <c r="BM214" s="60"/>
      <c r="BN214" s="60"/>
      <c r="BO214" s="60"/>
      <c r="BP214" s="60"/>
      <c r="BQ214" s="60"/>
      <c r="BR214" s="60" t="s">
        <v>398</v>
      </c>
      <c r="BS214" s="60"/>
      <c r="BT214" s="60"/>
      <c r="BU214" s="60"/>
      <c r="BV214" s="60"/>
      <c r="BW214" s="60"/>
      <c r="BX214" s="60"/>
      <c r="BY214" s="60"/>
      <c r="BZ214" s="60"/>
      <c r="CA214" s="60"/>
      <c r="CB214" s="60"/>
      <c r="CC214" s="60"/>
      <c r="CD214" s="60"/>
      <c r="CE214" s="60"/>
      <c r="CF214" s="60"/>
      <c r="CG214" s="60"/>
      <c r="CH214" s="60"/>
      <c r="CI214" s="60"/>
      <c r="CJ214" s="60"/>
      <c r="CK214" s="60"/>
      <c r="CL214" s="60"/>
      <c r="CM214" s="60"/>
      <c r="CN214" s="60"/>
      <c r="CO214" s="60"/>
      <c r="CP214" s="60"/>
      <c r="CQ214" s="60"/>
      <c r="CR214" s="60"/>
      <c r="CS214" s="60"/>
      <c r="CT214" s="60"/>
      <c r="CU214" s="60"/>
      <c r="CV214" s="60"/>
      <c r="CW214" s="60"/>
      <c r="CX214" s="60"/>
      <c r="CY214" s="60"/>
      <c r="CZ214" s="60"/>
      <c r="DA214" s="60"/>
      <c r="DB214" s="60"/>
      <c r="DC214" s="60"/>
      <c r="DD214" s="60"/>
      <c r="DE214" s="60"/>
      <c r="DF214" s="60"/>
      <c r="DG214" s="60"/>
      <c r="DH214" s="60"/>
      <c r="DI214" s="60"/>
      <c r="DJ214" s="60"/>
      <c r="DK214" s="60"/>
      <c r="DL214" s="60"/>
      <c r="DM214" s="60"/>
      <c r="DN214" s="60"/>
      <c r="DO214" s="60"/>
      <c r="DP214" s="60"/>
      <c r="DQ214" s="60"/>
      <c r="DR214" s="60"/>
      <c r="DS214" s="60"/>
      <c r="DT214" s="60"/>
    </row>
    <row r="215" spans="1:124" ht="21.75" customHeight="1">
      <c r="A215" s="313"/>
      <c r="B215" s="232"/>
      <c r="C215" s="233"/>
      <c r="D215" s="234"/>
      <c r="E215" s="65"/>
      <c r="F215" s="65"/>
      <c r="G215" s="65"/>
      <c r="H215" s="65"/>
      <c r="I215" s="65"/>
      <c r="J215" s="65"/>
      <c r="K215" s="65"/>
      <c r="L215" s="65"/>
      <c r="M215" s="65"/>
      <c r="N215" s="65"/>
      <c r="O215" s="65"/>
      <c r="P215" s="65"/>
      <c r="Q215" s="65"/>
      <c r="R215" s="65"/>
      <c r="S215" s="65"/>
      <c r="T215" s="65"/>
      <c r="U215" s="65"/>
      <c r="V215" s="65"/>
      <c r="W215" s="65"/>
      <c r="X215" s="65"/>
      <c r="Y215" s="65"/>
      <c r="Z215" s="65"/>
      <c r="AA215" s="65"/>
      <c r="AB215" s="65"/>
      <c r="AC215" s="65"/>
      <c r="AD215" s="70"/>
      <c r="AE215" s="65"/>
      <c r="AF215" s="65"/>
      <c r="AG215" s="65"/>
      <c r="AH215" s="65"/>
      <c r="AI215" s="65">
        <f>120/0.935</f>
        <v>128.34224598930481</v>
      </c>
      <c r="AJ215" s="65"/>
      <c r="AK215" s="65"/>
      <c r="AL215" s="65">
        <f>120/0.935</f>
        <v>128.34224598930481</v>
      </c>
      <c r="AM215" s="65"/>
      <c r="AN215" s="65"/>
      <c r="AO215" s="65"/>
      <c r="AP215" s="65"/>
      <c r="AQ215" s="65"/>
      <c r="AR215" s="65"/>
      <c r="AS215" s="65"/>
      <c r="AT215" s="65"/>
      <c r="AU215" s="65"/>
      <c r="AV215" s="65"/>
      <c r="AW215" s="65"/>
      <c r="AX215" s="65"/>
      <c r="AY215" s="65"/>
      <c r="AZ215" s="65"/>
      <c r="BA215" s="65"/>
      <c r="BB215" s="65"/>
      <c r="BC215" s="65"/>
      <c r="BD215" s="65"/>
      <c r="BE215" s="65"/>
      <c r="BF215" s="65"/>
      <c r="BG215" s="65"/>
      <c r="BH215" s="65"/>
      <c r="BI215" s="65"/>
      <c r="BJ215" s="65"/>
      <c r="BK215" s="65"/>
      <c r="BL215" s="65"/>
      <c r="BM215" s="65"/>
      <c r="BN215" s="65"/>
      <c r="BO215" s="65"/>
      <c r="BP215" s="65"/>
      <c r="BQ215" s="65"/>
      <c r="BR215" s="65">
        <f>120/0.91</f>
        <v>131.86813186813185</v>
      </c>
      <c r="BS215" s="65"/>
      <c r="BT215" s="65"/>
      <c r="BU215" s="65"/>
      <c r="BV215" s="65"/>
      <c r="BW215" s="65"/>
      <c r="BX215" s="65"/>
      <c r="BY215" s="65"/>
      <c r="BZ215" s="65"/>
      <c r="CA215" s="65"/>
      <c r="CB215" s="65"/>
      <c r="CC215" s="65"/>
      <c r="CD215" s="65"/>
      <c r="CE215" s="65"/>
      <c r="CF215" s="65"/>
      <c r="CG215" s="65"/>
      <c r="CH215" s="65"/>
      <c r="CI215" s="65"/>
      <c r="CJ215" s="65"/>
      <c r="CK215" s="65"/>
      <c r="CL215" s="65"/>
      <c r="CM215" s="65"/>
      <c r="CN215" s="65"/>
      <c r="CO215" s="65"/>
      <c r="CP215" s="65"/>
      <c r="CQ215" s="65"/>
      <c r="CR215" s="65"/>
      <c r="CS215" s="65"/>
      <c r="CT215" s="65"/>
      <c r="CU215" s="65"/>
      <c r="CV215" s="65"/>
      <c r="CW215" s="65"/>
      <c r="CX215" s="65"/>
      <c r="CY215" s="65"/>
      <c r="CZ215" s="65"/>
      <c r="DA215" s="65"/>
      <c r="DB215" s="65"/>
      <c r="DC215" s="65"/>
      <c r="DD215" s="65"/>
      <c r="DE215" s="65"/>
      <c r="DF215" s="65"/>
      <c r="DG215" s="65"/>
      <c r="DH215" s="65"/>
      <c r="DI215" s="65"/>
      <c r="DJ215" s="65"/>
      <c r="DK215" s="65"/>
      <c r="DL215" s="65"/>
      <c r="DM215" s="65"/>
      <c r="DN215" s="65"/>
      <c r="DO215" s="65"/>
      <c r="DP215" s="65"/>
      <c r="DQ215" s="65"/>
      <c r="DR215" s="65"/>
      <c r="DS215" s="65"/>
      <c r="DT215" s="65"/>
    </row>
    <row r="216" spans="1:124" ht="21.75" customHeight="1">
      <c r="A216" s="313"/>
      <c r="B216" s="229" t="s">
        <v>397</v>
      </c>
      <c r="C216" s="230"/>
      <c r="D216" s="231"/>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8"/>
      <c r="AQ216" s="68"/>
      <c r="AR216" s="68"/>
      <c r="AS216" s="69"/>
      <c r="AT216" s="69" t="s">
        <v>380</v>
      </c>
      <c r="AU216" s="69"/>
      <c r="AV216" s="69"/>
      <c r="AW216" s="69"/>
      <c r="AX216" s="69"/>
      <c r="AY216" s="68"/>
      <c r="AZ216" s="68" t="s">
        <v>396</v>
      </c>
      <c r="BA216" s="80"/>
      <c r="BB216" s="69"/>
      <c r="BC216" s="69"/>
      <c r="BD216" s="69"/>
      <c r="BE216" s="69"/>
      <c r="BF216" s="69" t="s">
        <v>398</v>
      </c>
      <c r="BG216" s="68"/>
      <c r="BH216" s="68"/>
      <c r="BI216" s="68" t="s">
        <v>398</v>
      </c>
      <c r="BJ216" s="68"/>
      <c r="BK216" s="68"/>
      <c r="BL216" s="68"/>
      <c r="BM216" s="68"/>
      <c r="BN216" s="68"/>
      <c r="BO216" s="68"/>
      <c r="BP216" s="68"/>
      <c r="BQ216" s="68"/>
      <c r="BR216" s="68"/>
      <c r="BS216" s="68"/>
      <c r="BT216" s="68"/>
      <c r="BU216" s="68"/>
      <c r="BV216" s="68"/>
      <c r="BW216" s="68"/>
      <c r="BX216" s="68"/>
      <c r="BY216" s="68"/>
      <c r="BZ216" s="68"/>
      <c r="CA216" s="68"/>
      <c r="CB216" s="68"/>
      <c r="CC216" s="68"/>
      <c r="CD216" s="68"/>
      <c r="CE216" s="68"/>
      <c r="CF216" s="68"/>
      <c r="CG216" s="68"/>
      <c r="CH216" s="68"/>
      <c r="CI216" s="68"/>
      <c r="CJ216" s="68"/>
      <c r="CK216" s="68"/>
      <c r="CL216" s="68"/>
      <c r="CM216" s="68"/>
      <c r="CN216" s="68"/>
      <c r="CO216" s="68"/>
      <c r="CP216" s="68"/>
      <c r="CQ216" s="68"/>
      <c r="CR216" s="68"/>
      <c r="CS216" s="68"/>
      <c r="CT216" s="68"/>
      <c r="CU216" s="68"/>
      <c r="CV216" s="68"/>
      <c r="CW216" s="68"/>
      <c r="CX216" s="68"/>
      <c r="CY216" s="68"/>
      <c r="CZ216" s="68"/>
      <c r="DA216" s="68"/>
      <c r="DB216" s="68"/>
      <c r="DC216" s="68"/>
      <c r="DD216" s="68"/>
      <c r="DE216" s="68"/>
      <c r="DF216" s="68"/>
      <c r="DG216" s="68"/>
      <c r="DH216" s="68"/>
      <c r="DI216" s="68"/>
      <c r="DJ216" s="68"/>
      <c r="DK216" s="68"/>
      <c r="DL216" s="68"/>
      <c r="DM216" s="68"/>
      <c r="DN216" s="68"/>
      <c r="DO216" s="68"/>
      <c r="DP216" s="68"/>
      <c r="DQ216" s="68"/>
      <c r="DR216" s="68"/>
      <c r="DS216" s="68"/>
      <c r="DT216" s="68"/>
    </row>
    <row r="217" spans="1:124" ht="21.75" customHeight="1">
      <c r="A217" s="313"/>
      <c r="B217" s="232"/>
      <c r="C217" s="233"/>
      <c r="D217" s="234"/>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65"/>
      <c r="AQ217" s="65"/>
      <c r="AR217" s="65"/>
      <c r="AS217" s="70"/>
      <c r="AT217" s="70">
        <f>180/0.86</f>
        <v>209.30232558139537</v>
      </c>
      <c r="AU217" s="70"/>
      <c r="AV217" s="70"/>
      <c r="AW217" s="70"/>
      <c r="AX217" s="70"/>
      <c r="AY217" s="65"/>
      <c r="AZ217" s="65">
        <f>200/0.86</f>
        <v>232.55813953488374</v>
      </c>
      <c r="BA217" s="70"/>
      <c r="BB217" s="70"/>
      <c r="BC217" s="70"/>
      <c r="BD217" s="70"/>
      <c r="BE217" s="70"/>
      <c r="BF217" s="70">
        <f>200/0.91</f>
        <v>219.78021978021977</v>
      </c>
      <c r="BG217" s="65"/>
      <c r="BH217" s="65"/>
      <c r="BI217" s="70">
        <f>200/0.91</f>
        <v>219.78021978021977</v>
      </c>
      <c r="BJ217" s="65"/>
      <c r="BK217" s="65"/>
      <c r="BL217" s="65"/>
      <c r="BM217" s="65"/>
      <c r="BN217" s="65"/>
      <c r="BO217" s="65"/>
      <c r="BP217" s="65"/>
      <c r="BQ217" s="65"/>
      <c r="BR217" s="65"/>
      <c r="BS217" s="65"/>
      <c r="BT217" s="65"/>
      <c r="BU217" s="65"/>
      <c r="BV217" s="65"/>
      <c r="BW217" s="65"/>
      <c r="BX217" s="65"/>
      <c r="BY217" s="65"/>
      <c r="BZ217" s="65"/>
      <c r="CA217" s="65"/>
      <c r="CB217" s="65"/>
      <c r="CC217" s="65"/>
      <c r="CD217" s="65"/>
      <c r="CE217" s="65"/>
      <c r="CF217" s="65"/>
      <c r="CG217" s="65"/>
      <c r="CH217" s="65"/>
      <c r="CI217" s="65"/>
      <c r="CJ217" s="65"/>
      <c r="CK217" s="65"/>
      <c r="CL217" s="65"/>
      <c r="CM217" s="65"/>
      <c r="CN217" s="65"/>
      <c r="CO217" s="65"/>
      <c r="CP217" s="65"/>
      <c r="CQ217" s="65"/>
      <c r="CR217" s="65"/>
      <c r="CS217" s="65"/>
      <c r="CT217" s="65"/>
      <c r="CU217" s="65"/>
      <c r="CV217" s="65"/>
      <c r="CW217" s="65"/>
      <c r="CX217" s="65"/>
      <c r="CY217" s="65"/>
      <c r="CZ217" s="65"/>
      <c r="DA217" s="65"/>
      <c r="DB217" s="65"/>
      <c r="DC217" s="65"/>
      <c r="DD217" s="65"/>
      <c r="DE217" s="65"/>
      <c r="DF217" s="65"/>
      <c r="DG217" s="65"/>
      <c r="DH217" s="65"/>
      <c r="DI217" s="65"/>
      <c r="DJ217" s="65"/>
      <c r="DK217" s="65"/>
      <c r="DL217" s="65"/>
      <c r="DM217" s="65"/>
      <c r="DN217" s="65"/>
      <c r="DO217" s="65"/>
      <c r="DP217" s="65"/>
      <c r="DQ217" s="65"/>
      <c r="DR217" s="65"/>
      <c r="DS217" s="65"/>
      <c r="DT217" s="65"/>
    </row>
    <row r="218" spans="1:124" ht="21.75" customHeight="1">
      <c r="A218" s="313"/>
      <c r="B218" s="229" t="s">
        <v>75</v>
      </c>
      <c r="C218" s="230"/>
      <c r="D218" s="231"/>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t="s">
        <v>403</v>
      </c>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8"/>
      <c r="AZ218" s="68"/>
      <c r="BA218" s="68"/>
      <c r="BB218" s="60"/>
      <c r="BC218" s="60"/>
      <c r="BD218" s="60"/>
      <c r="BE218" s="60"/>
      <c r="BF218" s="60"/>
      <c r="BG218" s="60"/>
      <c r="BH218" s="60"/>
      <c r="BI218" s="60"/>
      <c r="BJ218" s="60"/>
      <c r="BK218" s="60"/>
      <c r="BL218" s="60"/>
      <c r="BM218" s="60"/>
      <c r="BN218" s="60"/>
      <c r="BO218" s="60"/>
      <c r="BP218" s="60"/>
      <c r="BQ218" s="60"/>
      <c r="BR218" s="60"/>
      <c r="BS218" s="60"/>
      <c r="BT218" s="60"/>
      <c r="BU218" s="60"/>
      <c r="BV218" s="60"/>
      <c r="BW218" s="60"/>
      <c r="BX218" s="60"/>
      <c r="BY218" s="60"/>
      <c r="BZ218" s="60"/>
      <c r="CA218" s="60"/>
      <c r="CB218" s="60"/>
      <c r="CC218" s="60"/>
      <c r="CD218" s="60"/>
      <c r="CE218" s="60"/>
      <c r="CF218" s="60"/>
      <c r="CG218" s="60"/>
      <c r="CH218" s="60"/>
      <c r="CI218" s="60"/>
      <c r="CJ218" s="60"/>
      <c r="CK218" s="60"/>
      <c r="CL218" s="60"/>
      <c r="CM218" s="60"/>
      <c r="CN218" s="60"/>
      <c r="CO218" s="60"/>
      <c r="CP218" s="60"/>
      <c r="CQ218" s="60"/>
      <c r="CR218" s="60"/>
      <c r="CS218" s="60"/>
      <c r="CT218" s="60"/>
      <c r="CU218" s="60"/>
      <c r="CV218" s="60"/>
      <c r="CW218" s="60"/>
      <c r="CX218" s="60"/>
      <c r="CY218" s="60"/>
      <c r="CZ218" s="60"/>
      <c r="DA218" s="60"/>
      <c r="DB218" s="60"/>
      <c r="DC218" s="60"/>
      <c r="DD218" s="60"/>
      <c r="DE218" s="60"/>
      <c r="DF218" s="60"/>
      <c r="DG218" s="60"/>
      <c r="DH218" s="60"/>
      <c r="DI218" s="60"/>
      <c r="DJ218" s="60"/>
      <c r="DK218" s="60"/>
      <c r="DL218" s="60"/>
      <c r="DM218" s="60"/>
      <c r="DN218" s="60"/>
      <c r="DO218" s="60"/>
      <c r="DP218" s="60"/>
      <c r="DQ218" s="60"/>
      <c r="DR218" s="60"/>
      <c r="DS218" s="60"/>
      <c r="DT218" s="60"/>
    </row>
    <row r="219" spans="1:124" ht="21.75" customHeight="1">
      <c r="A219" s="313"/>
      <c r="B219" s="232"/>
      <c r="C219" s="233"/>
      <c r="D219" s="234"/>
      <c r="E219" s="65"/>
      <c r="F219" s="65"/>
      <c r="G219" s="65"/>
      <c r="H219" s="65"/>
      <c r="I219" s="65"/>
      <c r="J219" s="65"/>
      <c r="K219" s="65"/>
      <c r="L219" s="65"/>
      <c r="M219" s="65"/>
      <c r="N219" s="65"/>
      <c r="O219" s="65"/>
      <c r="P219" s="65"/>
      <c r="Q219" s="65"/>
      <c r="R219" s="65"/>
      <c r="S219" s="65"/>
      <c r="T219" s="65"/>
      <c r="U219" s="65"/>
      <c r="V219" s="65"/>
      <c r="W219" s="65"/>
      <c r="X219" s="65"/>
      <c r="Y219" s="65"/>
      <c r="Z219" s="65"/>
      <c r="AA219" s="65"/>
      <c r="AB219" s="65">
        <v>95.238095238095241</v>
      </c>
      <c r="AC219" s="65"/>
      <c r="AD219" s="65"/>
      <c r="AE219" s="65"/>
      <c r="AF219" s="65"/>
      <c r="AG219" s="65"/>
      <c r="AH219" s="65"/>
      <c r="AI219" s="65"/>
      <c r="AJ219" s="65"/>
      <c r="AK219" s="65"/>
      <c r="AL219" s="65"/>
      <c r="AM219" s="65"/>
      <c r="AN219" s="65"/>
      <c r="AO219" s="65"/>
      <c r="AP219" s="65"/>
      <c r="AQ219" s="65"/>
      <c r="AR219" s="65"/>
      <c r="AS219" s="65"/>
      <c r="AT219" s="65"/>
      <c r="AU219" s="65"/>
      <c r="AV219" s="65"/>
      <c r="AW219" s="65"/>
      <c r="AX219" s="65"/>
      <c r="AY219" s="65"/>
      <c r="AZ219" s="65"/>
      <c r="BA219" s="65"/>
      <c r="BB219" s="65"/>
      <c r="BC219" s="65"/>
      <c r="BD219" s="65"/>
      <c r="BE219" s="65"/>
      <c r="BF219" s="65"/>
      <c r="BG219" s="65"/>
      <c r="BH219" s="65"/>
      <c r="BI219" s="65"/>
      <c r="BJ219" s="65"/>
      <c r="BK219" s="65"/>
      <c r="BL219" s="65"/>
      <c r="BM219" s="65"/>
      <c r="BN219" s="65"/>
      <c r="BO219" s="65"/>
      <c r="BP219" s="65"/>
      <c r="BQ219" s="65"/>
      <c r="BR219" s="65"/>
      <c r="BS219" s="65"/>
      <c r="BT219" s="65"/>
      <c r="BU219" s="65"/>
      <c r="BV219" s="65"/>
      <c r="BW219" s="65"/>
      <c r="BX219" s="65"/>
      <c r="BY219" s="65"/>
      <c r="BZ219" s="65"/>
      <c r="CA219" s="65"/>
      <c r="CB219" s="65"/>
      <c r="CC219" s="65"/>
      <c r="CD219" s="65"/>
      <c r="CE219" s="65"/>
      <c r="CF219" s="65"/>
      <c r="CG219" s="65"/>
      <c r="CH219" s="65"/>
      <c r="CI219" s="65"/>
      <c r="CJ219" s="65"/>
      <c r="CK219" s="65"/>
      <c r="CL219" s="65"/>
      <c r="CM219" s="65"/>
      <c r="CN219" s="65"/>
      <c r="CO219" s="65"/>
      <c r="CP219" s="65"/>
      <c r="CQ219" s="65"/>
      <c r="CR219" s="65"/>
      <c r="CS219" s="65"/>
      <c r="CT219" s="65"/>
      <c r="CU219" s="65"/>
      <c r="CV219" s="65"/>
      <c r="CW219" s="65"/>
      <c r="CX219" s="65"/>
      <c r="CY219" s="65"/>
      <c r="CZ219" s="65"/>
      <c r="DA219" s="65"/>
      <c r="DB219" s="65"/>
      <c r="DC219" s="65"/>
      <c r="DD219" s="65"/>
      <c r="DE219" s="65"/>
      <c r="DF219" s="65"/>
      <c r="DG219" s="65"/>
      <c r="DH219" s="65"/>
      <c r="DI219" s="65"/>
      <c r="DJ219" s="65"/>
      <c r="DK219" s="65"/>
      <c r="DL219" s="65"/>
      <c r="DM219" s="65"/>
      <c r="DN219" s="65"/>
      <c r="DO219" s="65"/>
      <c r="DP219" s="65"/>
      <c r="DQ219" s="65"/>
      <c r="DR219" s="65"/>
      <c r="DS219" s="65"/>
      <c r="DT219" s="65"/>
    </row>
    <row r="220" spans="1:124" ht="21.75" customHeight="1">
      <c r="A220" s="313"/>
      <c r="B220" s="229" t="s">
        <v>404</v>
      </c>
      <c r="C220" s="230"/>
      <c r="D220" s="231"/>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t="s">
        <v>434</v>
      </c>
      <c r="AD220" s="69"/>
      <c r="AE220" s="68" t="s">
        <v>396</v>
      </c>
      <c r="AF220" s="68"/>
      <c r="AG220" s="60"/>
      <c r="AH220" s="68" t="s">
        <v>396</v>
      </c>
      <c r="AI220" s="68"/>
      <c r="AJ220" s="68"/>
      <c r="AK220" s="68"/>
      <c r="AL220" s="68"/>
      <c r="AM220" s="68"/>
      <c r="AN220" s="68"/>
      <c r="AO220" s="60"/>
      <c r="AP220" s="60"/>
      <c r="AQ220" s="60"/>
      <c r="AR220" s="60"/>
      <c r="AS220" s="60"/>
      <c r="AT220" s="60"/>
      <c r="AU220" s="60"/>
      <c r="AV220" s="60"/>
      <c r="AW220" s="60"/>
      <c r="AX220" s="60"/>
      <c r="AY220" s="68"/>
      <c r="AZ220" s="68"/>
      <c r="BA220" s="68"/>
      <c r="BB220" s="60"/>
      <c r="BC220" s="60"/>
      <c r="BD220" s="60"/>
      <c r="BE220" s="60"/>
      <c r="BF220" s="60"/>
      <c r="BG220" s="60"/>
      <c r="BH220" s="60"/>
      <c r="BI220" s="60"/>
      <c r="BJ220" s="60"/>
      <c r="BK220" s="60"/>
      <c r="BL220" s="60"/>
      <c r="BM220" s="60"/>
      <c r="BN220" s="60"/>
      <c r="BO220" s="60"/>
      <c r="BP220" s="60"/>
      <c r="BQ220" s="60"/>
      <c r="BR220" s="60"/>
      <c r="BS220" s="60"/>
      <c r="BT220" s="60"/>
      <c r="BU220" s="60"/>
      <c r="BV220" s="60"/>
      <c r="BW220" s="60"/>
      <c r="BX220" s="60"/>
      <c r="BY220" s="60"/>
      <c r="BZ220" s="60"/>
      <c r="CA220" s="60"/>
      <c r="CB220" s="60"/>
      <c r="CC220" s="60"/>
      <c r="CD220" s="60"/>
      <c r="CE220" s="60"/>
      <c r="CF220" s="60"/>
      <c r="CG220" s="60"/>
      <c r="CH220" s="60"/>
      <c r="CI220" s="60"/>
      <c r="CJ220" s="60"/>
      <c r="CK220" s="60"/>
      <c r="CL220" s="60"/>
      <c r="CM220" s="60"/>
      <c r="CN220" s="60"/>
      <c r="CO220" s="60"/>
      <c r="CP220" s="60"/>
      <c r="CQ220" s="60"/>
      <c r="CR220" s="60"/>
      <c r="CS220" s="60"/>
      <c r="CT220" s="60"/>
      <c r="CU220" s="60"/>
      <c r="CV220" s="60"/>
      <c r="CW220" s="60"/>
      <c r="CX220" s="60"/>
      <c r="CY220" s="60"/>
      <c r="CZ220" s="60"/>
      <c r="DA220" s="60"/>
      <c r="DB220" s="60"/>
      <c r="DC220" s="60"/>
      <c r="DD220" s="60"/>
      <c r="DE220" s="60"/>
      <c r="DF220" s="60"/>
      <c r="DG220" s="60"/>
      <c r="DH220" s="60"/>
      <c r="DI220" s="60"/>
      <c r="DJ220" s="60"/>
      <c r="DK220" s="60"/>
      <c r="DL220" s="60"/>
      <c r="DM220" s="60"/>
      <c r="DN220" s="60"/>
      <c r="DO220" s="60"/>
      <c r="DP220" s="60"/>
      <c r="DQ220" s="60"/>
      <c r="DR220" s="60"/>
      <c r="DS220" s="60"/>
      <c r="DT220" s="60"/>
    </row>
    <row r="221" spans="1:124" ht="21.75" customHeight="1">
      <c r="A221" s="313"/>
      <c r="B221" s="232"/>
      <c r="C221" s="233"/>
      <c r="D221" s="234"/>
      <c r="E221" s="65"/>
      <c r="F221" s="65"/>
      <c r="G221" s="65"/>
      <c r="H221" s="65"/>
      <c r="I221" s="65"/>
      <c r="J221" s="65"/>
      <c r="K221" s="65"/>
      <c r="L221" s="65"/>
      <c r="M221" s="65"/>
      <c r="N221" s="65"/>
      <c r="O221" s="65"/>
      <c r="P221" s="65"/>
      <c r="Q221" s="65"/>
      <c r="R221" s="65"/>
      <c r="S221" s="65"/>
      <c r="T221" s="65"/>
      <c r="U221" s="65"/>
      <c r="V221" s="65"/>
      <c r="W221" s="65"/>
      <c r="X221" s="65"/>
      <c r="Y221" s="65"/>
      <c r="Z221" s="65"/>
      <c r="AA221" s="65"/>
      <c r="AB221" s="65"/>
      <c r="AC221" s="71">
        <f>260/0.835</f>
        <v>311.37724550898207</v>
      </c>
      <c r="AD221" s="70"/>
      <c r="AE221" s="71">
        <f>300/0.86</f>
        <v>348.83720930232556</v>
      </c>
      <c r="AF221" s="65"/>
      <c r="AG221" s="65"/>
      <c r="AH221" s="65">
        <f>260/0.735</f>
        <v>353.74149659863946</v>
      </c>
      <c r="AI221" s="65"/>
      <c r="AJ221" s="65"/>
      <c r="AK221" s="65"/>
      <c r="AL221" s="65"/>
      <c r="AM221" s="65"/>
      <c r="AN221" s="65"/>
      <c r="AO221" s="65"/>
      <c r="AP221" s="65"/>
      <c r="AQ221" s="65"/>
      <c r="AR221" s="65"/>
      <c r="AS221" s="65"/>
      <c r="AT221" s="65"/>
      <c r="AU221" s="65"/>
      <c r="AV221" s="65"/>
      <c r="AW221" s="65"/>
      <c r="AX221" s="65"/>
      <c r="AY221" s="65"/>
      <c r="AZ221" s="65"/>
      <c r="BA221" s="65"/>
      <c r="BB221" s="65"/>
      <c r="BC221" s="65"/>
      <c r="BD221" s="65"/>
      <c r="BE221" s="65"/>
      <c r="BF221" s="65"/>
      <c r="BG221" s="65"/>
      <c r="BH221" s="65"/>
      <c r="BI221" s="65"/>
      <c r="BJ221" s="65"/>
      <c r="BK221" s="65"/>
      <c r="BL221" s="65"/>
      <c r="BM221" s="65"/>
      <c r="BN221" s="65"/>
      <c r="BO221" s="65"/>
      <c r="BP221" s="65"/>
      <c r="BQ221" s="65"/>
      <c r="BR221" s="65"/>
      <c r="BS221" s="65"/>
      <c r="BT221" s="65"/>
      <c r="BU221" s="65"/>
      <c r="BV221" s="65"/>
      <c r="BW221" s="65"/>
      <c r="BX221" s="65"/>
      <c r="BY221" s="65"/>
      <c r="BZ221" s="65"/>
      <c r="CA221" s="65"/>
      <c r="CB221" s="65"/>
      <c r="CC221" s="65"/>
      <c r="CD221" s="65"/>
      <c r="CE221" s="65"/>
      <c r="CF221" s="65"/>
      <c r="CG221" s="65"/>
      <c r="CH221" s="65"/>
      <c r="CI221" s="65"/>
      <c r="CJ221" s="65"/>
      <c r="CK221" s="65"/>
      <c r="CL221" s="65"/>
      <c r="CM221" s="65"/>
      <c r="CN221" s="65"/>
      <c r="CO221" s="65"/>
      <c r="CP221" s="65"/>
      <c r="CQ221" s="65"/>
      <c r="CR221" s="65"/>
      <c r="CS221" s="65"/>
      <c r="CT221" s="65"/>
      <c r="CU221" s="65"/>
      <c r="CV221" s="65"/>
      <c r="CW221" s="65"/>
      <c r="CX221" s="65"/>
      <c r="CY221" s="65"/>
      <c r="CZ221" s="65"/>
      <c r="DA221" s="65"/>
      <c r="DB221" s="65"/>
      <c r="DC221" s="65"/>
      <c r="DD221" s="65"/>
      <c r="DE221" s="65"/>
      <c r="DF221" s="65"/>
      <c r="DG221" s="65"/>
      <c r="DH221" s="65"/>
      <c r="DI221" s="65"/>
      <c r="DJ221" s="65"/>
      <c r="DK221" s="65"/>
      <c r="DL221" s="65"/>
      <c r="DM221" s="65"/>
      <c r="DN221" s="65"/>
      <c r="DO221" s="65"/>
      <c r="DP221" s="65"/>
      <c r="DQ221" s="65"/>
      <c r="DR221" s="65"/>
      <c r="DS221" s="65"/>
      <c r="DT221" s="65"/>
    </row>
    <row r="222" spans="1:124" ht="21.75" customHeight="1">
      <c r="A222" s="313"/>
      <c r="B222" s="229" t="s">
        <v>133</v>
      </c>
      <c r="C222" s="230"/>
      <c r="D222" s="231"/>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c r="AP222" s="68"/>
      <c r="AQ222" s="68"/>
      <c r="AR222" s="68"/>
      <c r="AS222" s="69"/>
      <c r="AT222" s="69"/>
      <c r="AU222" s="69"/>
      <c r="AV222" s="69"/>
      <c r="AW222" s="69"/>
      <c r="AX222" s="69"/>
      <c r="AY222" s="80"/>
      <c r="AZ222" s="80"/>
      <c r="BA222" s="80"/>
      <c r="BB222" s="69"/>
      <c r="BC222" s="69"/>
      <c r="BD222" s="69"/>
      <c r="BE222" s="69" t="s">
        <v>392</v>
      </c>
      <c r="BF222" s="68"/>
      <c r="BG222" s="68"/>
      <c r="BH222" s="68"/>
      <c r="BI222" s="68"/>
      <c r="BJ222" s="68"/>
      <c r="BK222" s="68"/>
      <c r="BL222" s="68"/>
      <c r="BM222" s="68"/>
      <c r="BN222" s="68"/>
      <c r="BO222" s="68"/>
      <c r="BP222" s="68"/>
      <c r="BQ222" s="68"/>
      <c r="BR222" s="68"/>
      <c r="BS222" s="68" t="s">
        <v>434</v>
      </c>
      <c r="BT222" s="68"/>
      <c r="BU222" s="68"/>
      <c r="BV222" s="68"/>
      <c r="BW222" s="68"/>
      <c r="BX222" s="68"/>
      <c r="BY222" s="68"/>
      <c r="BZ222" s="68"/>
      <c r="CA222" s="68"/>
      <c r="CB222" s="68"/>
      <c r="CC222" s="68"/>
      <c r="CD222" s="68"/>
      <c r="CE222" s="68"/>
      <c r="CF222" s="68"/>
      <c r="CG222" s="68"/>
      <c r="CH222" s="68"/>
      <c r="CI222" s="68"/>
      <c r="CJ222" s="68"/>
      <c r="CK222" s="68"/>
      <c r="CL222" s="68"/>
      <c r="CM222" s="68"/>
      <c r="CN222" s="68"/>
      <c r="CO222" s="68"/>
      <c r="CP222" s="68"/>
      <c r="CQ222" s="68"/>
      <c r="CR222" s="68"/>
      <c r="CS222" s="68"/>
      <c r="CT222" s="68"/>
      <c r="CU222" s="68"/>
      <c r="CV222" s="68"/>
      <c r="CW222" s="68"/>
      <c r="CX222" s="68"/>
      <c r="CY222" s="68"/>
      <c r="CZ222" s="68"/>
      <c r="DA222" s="68"/>
      <c r="DB222" s="68"/>
      <c r="DC222" s="68"/>
      <c r="DD222" s="68"/>
      <c r="DE222" s="68"/>
      <c r="DF222" s="68"/>
      <c r="DG222" s="68"/>
      <c r="DH222" s="68"/>
      <c r="DI222" s="68"/>
      <c r="DJ222" s="68"/>
      <c r="DK222" s="68"/>
      <c r="DL222" s="68"/>
      <c r="DM222" s="68"/>
      <c r="DN222" s="68"/>
      <c r="DO222" s="68"/>
      <c r="DP222" s="68"/>
      <c r="DQ222" s="68"/>
      <c r="DR222" s="68"/>
      <c r="DS222" s="68"/>
      <c r="DT222" s="68"/>
    </row>
    <row r="223" spans="1:124" ht="21.75" customHeight="1">
      <c r="A223" s="313"/>
      <c r="B223" s="232"/>
      <c r="C223" s="233"/>
      <c r="D223" s="234"/>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65"/>
      <c r="AQ223" s="65"/>
      <c r="AR223" s="65"/>
      <c r="AS223" s="70"/>
      <c r="AT223" s="70"/>
      <c r="AU223" s="70"/>
      <c r="AV223" s="70"/>
      <c r="AW223" s="70"/>
      <c r="AX223" s="70"/>
      <c r="AY223" s="70"/>
      <c r="AZ223" s="70"/>
      <c r="BA223" s="70"/>
      <c r="BB223" s="70"/>
      <c r="BC223" s="70"/>
      <c r="BD223" s="70"/>
      <c r="BE223" s="70">
        <f>96/0.835</f>
        <v>114.97005988023953</v>
      </c>
      <c r="BF223" s="65"/>
      <c r="BG223" s="65"/>
      <c r="BH223" s="65"/>
      <c r="BI223" s="65"/>
      <c r="BJ223" s="65"/>
      <c r="BK223" s="65"/>
      <c r="BL223" s="65"/>
      <c r="BM223" s="65"/>
      <c r="BN223" s="65"/>
      <c r="BO223" s="65"/>
      <c r="BP223" s="65"/>
      <c r="BQ223" s="65"/>
      <c r="BR223" s="65"/>
      <c r="BS223" s="65">
        <f>89/0.835</f>
        <v>106.58682634730539</v>
      </c>
      <c r="BT223" s="65"/>
      <c r="BU223" s="65"/>
      <c r="BV223" s="65"/>
      <c r="BW223" s="65"/>
      <c r="BX223" s="65"/>
      <c r="BY223" s="65"/>
      <c r="BZ223" s="65"/>
      <c r="CA223" s="65"/>
      <c r="CB223" s="65"/>
      <c r="CC223" s="65"/>
      <c r="CD223" s="65"/>
      <c r="CE223" s="65"/>
      <c r="CF223" s="65"/>
      <c r="CG223" s="65"/>
      <c r="CH223" s="65"/>
      <c r="CI223" s="65"/>
      <c r="CJ223" s="65"/>
      <c r="CK223" s="65"/>
      <c r="CL223" s="65"/>
      <c r="CM223" s="65"/>
      <c r="CN223" s="65"/>
      <c r="CO223" s="65"/>
      <c r="CP223" s="65"/>
      <c r="CQ223" s="65"/>
      <c r="CR223" s="65"/>
      <c r="CS223" s="65"/>
      <c r="CT223" s="65"/>
      <c r="CU223" s="65"/>
      <c r="CV223" s="65"/>
      <c r="CW223" s="65"/>
      <c r="CX223" s="65"/>
      <c r="CY223" s="65"/>
      <c r="CZ223" s="65"/>
      <c r="DA223" s="65"/>
      <c r="DB223" s="65"/>
      <c r="DC223" s="65"/>
      <c r="DD223" s="65"/>
      <c r="DE223" s="65"/>
      <c r="DF223" s="65"/>
      <c r="DG223" s="65"/>
      <c r="DH223" s="65"/>
      <c r="DI223" s="65"/>
      <c r="DJ223" s="65"/>
      <c r="DK223" s="65"/>
      <c r="DL223" s="65"/>
      <c r="DM223" s="65"/>
      <c r="DN223" s="65"/>
      <c r="DO223" s="65"/>
      <c r="DP223" s="65"/>
      <c r="DQ223" s="65"/>
      <c r="DR223" s="65"/>
      <c r="DS223" s="65"/>
      <c r="DT223" s="65"/>
    </row>
    <row r="224" spans="1:124" ht="21.75" customHeight="1">
      <c r="A224" s="313"/>
      <c r="B224" s="229" t="s">
        <v>406</v>
      </c>
      <c r="C224" s="230"/>
      <c r="D224" s="231"/>
      <c r="E224" s="60"/>
      <c r="F224" s="60"/>
      <c r="G224" s="60"/>
      <c r="H224" s="91" t="s">
        <v>436</v>
      </c>
      <c r="I224" s="60"/>
      <c r="J224" s="60"/>
      <c r="K224" s="60"/>
      <c r="L224" s="60"/>
      <c r="M224" s="60"/>
      <c r="N224" s="60"/>
      <c r="O224" s="60"/>
      <c r="P224" s="60"/>
      <c r="Q224" s="60"/>
      <c r="R224" s="60"/>
      <c r="S224" s="60"/>
      <c r="T224" s="60"/>
      <c r="U224" s="60"/>
      <c r="V224" s="60"/>
      <c r="W224" s="60"/>
      <c r="X224" s="60" t="s">
        <v>392</v>
      </c>
      <c r="Y224" s="60"/>
      <c r="Z224" s="60"/>
      <c r="AA224" s="60" t="s">
        <v>396</v>
      </c>
      <c r="AB224" s="60"/>
      <c r="AC224" s="60"/>
      <c r="AD224" s="69"/>
      <c r="AE224" s="68"/>
      <c r="AF224" s="68" t="s">
        <v>396</v>
      </c>
      <c r="AG224" s="60"/>
      <c r="AH224" s="68"/>
      <c r="AI224" s="68"/>
      <c r="AJ224" s="68"/>
      <c r="AK224" s="68"/>
      <c r="AL224" s="68"/>
      <c r="AM224" s="68"/>
      <c r="AN224" s="68"/>
      <c r="AO224" s="60"/>
      <c r="AP224" s="60"/>
      <c r="AQ224" s="60"/>
      <c r="AR224" s="60"/>
      <c r="AS224" s="60"/>
      <c r="AT224" s="60"/>
      <c r="AU224" s="60" t="s">
        <v>403</v>
      </c>
      <c r="AV224" s="60"/>
      <c r="AW224" s="60"/>
      <c r="AX224" s="60" t="s">
        <v>382</v>
      </c>
      <c r="AY224" s="76" t="s">
        <v>437</v>
      </c>
      <c r="AZ224" s="76" t="s">
        <v>438</v>
      </c>
      <c r="BA224" s="60"/>
      <c r="BB224" s="60"/>
      <c r="BC224" s="60"/>
      <c r="BD224" s="60"/>
      <c r="BE224" s="60"/>
      <c r="BF224" s="60"/>
      <c r="BG224" s="60" t="s">
        <v>392</v>
      </c>
      <c r="BH224" s="60"/>
      <c r="BI224" s="60"/>
      <c r="BJ224" s="60"/>
      <c r="BK224" s="60"/>
      <c r="BL224" s="60"/>
      <c r="BM224" s="60"/>
      <c r="BN224" s="60"/>
      <c r="BO224" s="60"/>
      <c r="BP224" s="60"/>
      <c r="BQ224" s="60"/>
      <c r="BR224" s="60"/>
      <c r="BS224" s="60"/>
      <c r="BT224" s="60"/>
      <c r="BU224" s="60"/>
      <c r="BV224" s="60"/>
      <c r="BW224" s="60"/>
      <c r="BX224" s="60"/>
      <c r="BY224" s="60"/>
      <c r="BZ224" s="60"/>
      <c r="CA224" s="60"/>
      <c r="CB224" s="60"/>
      <c r="CC224" s="60"/>
      <c r="CD224" s="60"/>
      <c r="CE224" s="60"/>
      <c r="CF224" s="60"/>
      <c r="CG224" s="60"/>
      <c r="CH224" s="60"/>
      <c r="CI224" s="60"/>
      <c r="CJ224" s="60"/>
      <c r="CK224" s="60"/>
      <c r="CL224" s="60"/>
      <c r="CM224" s="60"/>
      <c r="CN224" s="60"/>
      <c r="CO224" s="60"/>
      <c r="CP224" s="60"/>
      <c r="CQ224" s="60"/>
      <c r="CR224" s="60"/>
      <c r="CS224" s="60"/>
      <c r="CT224" s="60"/>
      <c r="CU224" s="60"/>
      <c r="CV224" s="60"/>
      <c r="CW224" s="60"/>
      <c r="CX224" s="60"/>
      <c r="CY224" s="60"/>
      <c r="CZ224" s="60"/>
      <c r="DA224" s="60"/>
      <c r="DB224" s="60"/>
      <c r="DC224" s="60"/>
      <c r="DD224" s="60"/>
      <c r="DE224" s="60"/>
      <c r="DF224" s="60"/>
      <c r="DG224" s="60"/>
      <c r="DH224" s="60"/>
      <c r="DI224" s="60"/>
      <c r="DJ224" s="60"/>
      <c r="DK224" s="60"/>
      <c r="DL224" s="60"/>
      <c r="DM224" s="60"/>
      <c r="DN224" s="60"/>
      <c r="DO224" s="60"/>
      <c r="DP224" s="60"/>
      <c r="DQ224" s="60"/>
      <c r="DR224" s="60"/>
      <c r="DS224" s="60"/>
      <c r="DT224" s="60"/>
    </row>
    <row r="225" spans="1:124" ht="21.75" customHeight="1">
      <c r="A225" s="313"/>
      <c r="B225" s="232"/>
      <c r="C225" s="233"/>
      <c r="D225" s="234"/>
      <c r="E225" s="65"/>
      <c r="F225" s="65"/>
      <c r="G225" s="65"/>
      <c r="H225" s="65">
        <f>300/0.935</f>
        <v>320.85561497326199</v>
      </c>
      <c r="I225" s="65"/>
      <c r="J225" s="65"/>
      <c r="K225" s="65"/>
      <c r="L225" s="65"/>
      <c r="M225" s="65"/>
      <c r="N225" s="65"/>
      <c r="O225" s="65"/>
      <c r="P225" s="65"/>
      <c r="Q225" s="65"/>
      <c r="R225" s="65"/>
      <c r="S225" s="65"/>
      <c r="T225" s="65"/>
      <c r="U225" s="65"/>
      <c r="V225" s="65"/>
      <c r="W225" s="65"/>
      <c r="X225" s="65">
        <v>215.56886227544911</v>
      </c>
      <c r="Y225" s="65"/>
      <c r="Z225" s="65"/>
      <c r="AA225" s="65">
        <f>210/0.86</f>
        <v>244.18604651162792</v>
      </c>
      <c r="AB225" s="65"/>
      <c r="AC225" s="65"/>
      <c r="AD225" s="70"/>
      <c r="AE225" s="65"/>
      <c r="AF225" s="65">
        <f>180/0.86</f>
        <v>209.30232558139537</v>
      </c>
      <c r="AG225" s="65"/>
      <c r="AH225" s="65"/>
      <c r="AI225" s="65"/>
      <c r="AJ225" s="65"/>
      <c r="AK225" s="65"/>
      <c r="AL225" s="65"/>
      <c r="AM225" s="65"/>
      <c r="AN225" s="65"/>
      <c r="AO225" s="65"/>
      <c r="AP225" s="65"/>
      <c r="AQ225" s="65"/>
      <c r="AR225" s="65"/>
      <c r="AS225" s="65"/>
      <c r="AT225" s="65"/>
      <c r="AU225" s="65">
        <f>160/0.735</f>
        <v>217.68707482993199</v>
      </c>
      <c r="AV225" s="65"/>
      <c r="AW225" s="65"/>
      <c r="AX225" s="65">
        <f>240/0.885</f>
        <v>271.18644067796612</v>
      </c>
      <c r="AY225" s="67">
        <f>240/0.675</f>
        <v>355.55555555555554</v>
      </c>
      <c r="AZ225" s="72">
        <f>240/0.76</f>
        <v>315.78947368421052</v>
      </c>
      <c r="BA225" s="65"/>
      <c r="BB225" s="65"/>
      <c r="BC225" s="65"/>
      <c r="BD225" s="65"/>
      <c r="BE225" s="65"/>
      <c r="BF225" s="65"/>
      <c r="BG225" s="65">
        <f>220/0.835</f>
        <v>263.4730538922156</v>
      </c>
      <c r="BH225" s="65"/>
      <c r="BI225" s="65"/>
      <c r="BJ225" s="65"/>
      <c r="BK225" s="65"/>
      <c r="BL225" s="65"/>
      <c r="BM225" s="65"/>
      <c r="BN225" s="65"/>
      <c r="BO225" s="65"/>
      <c r="BP225" s="65"/>
      <c r="BQ225" s="65"/>
      <c r="BR225" s="65"/>
      <c r="BS225" s="65"/>
      <c r="BT225" s="65"/>
      <c r="BU225" s="65"/>
      <c r="BV225" s="65"/>
      <c r="BW225" s="65"/>
      <c r="BX225" s="65"/>
      <c r="BY225" s="65"/>
      <c r="BZ225" s="65"/>
      <c r="CA225" s="65"/>
      <c r="CB225" s="65"/>
      <c r="CC225" s="65"/>
      <c r="CD225" s="65"/>
      <c r="CE225" s="65"/>
      <c r="CF225" s="65"/>
      <c r="CG225" s="65"/>
      <c r="CH225" s="65"/>
      <c r="CI225" s="65"/>
      <c r="CJ225" s="65"/>
      <c r="CK225" s="65"/>
      <c r="CL225" s="65"/>
      <c r="CM225" s="65"/>
      <c r="CN225" s="65"/>
      <c r="CO225" s="65"/>
      <c r="CP225" s="65"/>
      <c r="CQ225" s="65"/>
      <c r="CR225" s="65"/>
      <c r="CS225" s="65"/>
      <c r="CT225" s="65"/>
      <c r="CU225" s="65"/>
      <c r="CV225" s="65"/>
      <c r="CW225" s="65"/>
      <c r="CX225" s="65"/>
      <c r="CY225" s="65"/>
      <c r="CZ225" s="65"/>
      <c r="DA225" s="65"/>
      <c r="DB225" s="65"/>
      <c r="DC225" s="65"/>
      <c r="DD225" s="65"/>
      <c r="DE225" s="65"/>
      <c r="DF225" s="65"/>
      <c r="DG225" s="65"/>
      <c r="DH225" s="65"/>
      <c r="DI225" s="65"/>
      <c r="DJ225" s="65"/>
      <c r="DK225" s="65"/>
      <c r="DL225" s="65"/>
      <c r="DM225" s="65"/>
      <c r="DN225" s="65"/>
      <c r="DO225" s="65"/>
      <c r="DP225" s="65"/>
      <c r="DQ225" s="65"/>
      <c r="DR225" s="65"/>
      <c r="DS225" s="65"/>
      <c r="DT225" s="65"/>
    </row>
    <row r="226" spans="1:124" ht="21.75" customHeight="1">
      <c r="A226" s="313"/>
      <c r="B226" s="229" t="s">
        <v>409</v>
      </c>
      <c r="C226" s="230"/>
      <c r="D226" s="231"/>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c r="AP226" s="68"/>
      <c r="AQ226" s="68"/>
      <c r="AR226" s="68"/>
      <c r="AS226" s="69"/>
      <c r="AT226" s="69"/>
      <c r="AU226" s="69"/>
      <c r="AV226" s="69"/>
      <c r="AW226" s="69"/>
      <c r="AX226" s="69"/>
      <c r="AY226" s="69"/>
      <c r="AZ226" s="69"/>
      <c r="BA226" s="69"/>
      <c r="BB226" s="69"/>
      <c r="BC226" s="69"/>
      <c r="BD226" s="69"/>
      <c r="BE226" s="69"/>
      <c r="BF226" s="69"/>
      <c r="BG226" s="68"/>
      <c r="BH226" s="68"/>
      <c r="BI226" s="68"/>
      <c r="BJ226" s="68"/>
      <c r="BK226" s="68"/>
      <c r="BL226" s="68"/>
      <c r="BM226" s="68"/>
      <c r="BN226" s="68"/>
      <c r="BO226" s="68"/>
      <c r="BP226" s="68" t="s">
        <v>410</v>
      </c>
      <c r="BQ226" s="68"/>
      <c r="BR226" s="68"/>
      <c r="BS226" s="68" t="s">
        <v>410</v>
      </c>
      <c r="BT226" s="68"/>
      <c r="BU226" s="68"/>
      <c r="BV226" s="68"/>
      <c r="BW226" s="68"/>
      <c r="BX226" s="68"/>
      <c r="BY226" s="68"/>
      <c r="BZ226" s="68"/>
      <c r="CA226" s="68"/>
      <c r="CB226" s="68"/>
      <c r="CC226" s="68"/>
      <c r="CD226" s="68"/>
      <c r="CE226" s="68"/>
      <c r="CF226" s="68"/>
      <c r="CG226" s="68"/>
      <c r="CH226" s="68"/>
      <c r="CI226" s="68"/>
      <c r="CJ226" s="68"/>
      <c r="CK226" s="68"/>
      <c r="CL226" s="68"/>
      <c r="CM226" s="68"/>
      <c r="CN226" s="68"/>
      <c r="CO226" s="68"/>
      <c r="CP226" s="68"/>
      <c r="CQ226" s="68"/>
      <c r="CR226" s="68"/>
      <c r="CS226" s="68"/>
      <c r="CT226" s="68"/>
      <c r="CU226" s="68"/>
      <c r="CV226" s="68"/>
      <c r="CW226" s="68"/>
      <c r="CX226" s="68"/>
      <c r="CY226" s="68"/>
      <c r="CZ226" s="68"/>
      <c r="DA226" s="68"/>
      <c r="DB226" s="68"/>
      <c r="DC226" s="68"/>
      <c r="DD226" s="68"/>
      <c r="DE226" s="68"/>
      <c r="DF226" s="68"/>
      <c r="DG226" s="68"/>
      <c r="DH226" s="68"/>
      <c r="DI226" s="68"/>
      <c r="DJ226" s="68"/>
      <c r="DK226" s="68"/>
      <c r="DL226" s="68"/>
      <c r="DM226" s="68"/>
      <c r="DN226" s="68"/>
      <c r="DO226" s="68"/>
      <c r="DP226" s="68"/>
      <c r="DQ226" s="68"/>
      <c r="DR226" s="68"/>
      <c r="DS226" s="68"/>
      <c r="DT226" s="68"/>
    </row>
    <row r="227" spans="1:124" ht="21.75" customHeight="1">
      <c r="A227" s="313"/>
      <c r="B227" s="232"/>
      <c r="C227" s="233"/>
      <c r="D227" s="234"/>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65"/>
      <c r="AQ227" s="65"/>
      <c r="AR227" s="65"/>
      <c r="AS227" s="70"/>
      <c r="AT227" s="70"/>
      <c r="AU227" s="70"/>
      <c r="AV227" s="70"/>
      <c r="AW227" s="70"/>
      <c r="AX227" s="70"/>
      <c r="AY227" s="70"/>
      <c r="AZ227" s="70"/>
      <c r="BA227" s="70"/>
      <c r="BB227" s="70"/>
      <c r="BC227" s="70"/>
      <c r="BD227" s="70"/>
      <c r="BE227" s="70"/>
      <c r="BF227" s="70"/>
      <c r="BG227" s="65"/>
      <c r="BH227" s="65"/>
      <c r="BI227" s="65"/>
      <c r="BJ227" s="65"/>
      <c r="BK227" s="65"/>
      <c r="BL227" s="65"/>
      <c r="BM227" s="65"/>
      <c r="BN227" s="65"/>
      <c r="BO227" s="65"/>
      <c r="BP227" s="65">
        <f>180/0.835</f>
        <v>215.56886227544911</v>
      </c>
      <c r="BQ227" s="65"/>
      <c r="BR227" s="65"/>
      <c r="BS227" s="65">
        <f>160/0.835</f>
        <v>191.61676646706587</v>
      </c>
      <c r="BT227" s="65"/>
      <c r="BU227" s="65"/>
      <c r="BV227" s="65"/>
      <c r="BW227" s="65"/>
      <c r="BX227" s="65"/>
      <c r="BY227" s="65"/>
      <c r="BZ227" s="65"/>
      <c r="CA227" s="65"/>
      <c r="CB227" s="65"/>
      <c r="CC227" s="65"/>
      <c r="CD227" s="65"/>
      <c r="CE227" s="65"/>
      <c r="CF227" s="65"/>
      <c r="CG227" s="65"/>
      <c r="CH227" s="65"/>
      <c r="CI227" s="65"/>
      <c r="CJ227" s="65"/>
      <c r="CK227" s="65"/>
      <c r="CL227" s="65"/>
      <c r="CM227" s="65"/>
      <c r="CN227" s="65"/>
      <c r="CO227" s="65"/>
      <c r="CP227" s="65"/>
      <c r="CQ227" s="65"/>
      <c r="CR227" s="65"/>
      <c r="CS227" s="65"/>
      <c r="CT227" s="65"/>
      <c r="CU227" s="65"/>
      <c r="CV227" s="65"/>
      <c r="CW227" s="65"/>
      <c r="CX227" s="65"/>
      <c r="CY227" s="65"/>
      <c r="CZ227" s="65"/>
      <c r="DA227" s="65"/>
      <c r="DB227" s="65"/>
      <c r="DC227" s="65"/>
      <c r="DD227" s="65"/>
      <c r="DE227" s="65"/>
      <c r="DF227" s="65"/>
      <c r="DG227" s="65"/>
      <c r="DH227" s="65"/>
      <c r="DI227" s="65"/>
      <c r="DJ227" s="65"/>
      <c r="DK227" s="65"/>
      <c r="DL227" s="65"/>
      <c r="DM227" s="65"/>
      <c r="DN227" s="65"/>
      <c r="DO227" s="65"/>
      <c r="DP227" s="65"/>
      <c r="DQ227" s="65"/>
      <c r="DR227" s="65"/>
      <c r="DS227" s="65"/>
      <c r="DT227" s="65"/>
    </row>
    <row r="228" spans="1:124" ht="21.75" customHeight="1">
      <c r="A228" s="313"/>
      <c r="B228" s="229" t="s">
        <v>67</v>
      </c>
      <c r="C228" s="230"/>
      <c r="D228" s="231"/>
      <c r="E228" s="60"/>
      <c r="F228" s="60"/>
      <c r="G228" s="60"/>
      <c r="H228" s="60"/>
      <c r="I228" s="60"/>
      <c r="J228" s="60"/>
      <c r="K228" s="60"/>
      <c r="L228" s="60"/>
      <c r="M228" s="60"/>
      <c r="N228" s="60"/>
      <c r="O228" s="60"/>
      <c r="P228" s="60"/>
      <c r="Q228" s="60"/>
      <c r="R228" s="60"/>
      <c r="S228" s="60"/>
      <c r="T228" s="60"/>
      <c r="U228" s="60"/>
      <c r="V228" s="60"/>
      <c r="W228" s="60"/>
      <c r="X228" s="60"/>
      <c r="Y228" s="60" t="s">
        <v>401</v>
      </c>
      <c r="Z228" s="60"/>
      <c r="AA228" s="60"/>
      <c r="AB228" s="60"/>
      <c r="AC228" s="60" t="s">
        <v>394</v>
      </c>
      <c r="AD228" s="69"/>
      <c r="AE228" s="68"/>
      <c r="AF228" s="68"/>
      <c r="AG228" s="60"/>
      <c r="AH228" s="68" t="s">
        <v>394</v>
      </c>
      <c r="AI228" s="68"/>
      <c r="AJ228" s="68"/>
      <c r="AK228" s="68"/>
      <c r="AL228" s="68" t="s">
        <v>401</v>
      </c>
      <c r="AM228" s="68"/>
      <c r="AN228" s="68"/>
      <c r="AO228" s="60"/>
      <c r="AP228" s="60"/>
      <c r="AQ228" s="60"/>
      <c r="AR228" s="60"/>
      <c r="AS228" s="60" t="s">
        <v>407</v>
      </c>
      <c r="AT228" s="60"/>
      <c r="AU228" s="60"/>
      <c r="AV228" s="76" t="s">
        <v>411</v>
      </c>
      <c r="AW228" s="60"/>
      <c r="AX228" s="60"/>
      <c r="AY228" s="60"/>
      <c r="AZ228" s="60"/>
      <c r="BA228" s="60"/>
      <c r="BB228" s="60" t="s">
        <v>392</v>
      </c>
      <c r="BC228" s="60"/>
      <c r="BD228" s="60"/>
      <c r="BE228" s="60" t="s">
        <v>401</v>
      </c>
      <c r="BF228" s="60"/>
      <c r="BG228" s="60"/>
      <c r="BH228" s="60"/>
      <c r="BI228" s="60"/>
      <c r="BJ228" s="60"/>
      <c r="BK228" s="60"/>
      <c r="BL228" s="60"/>
      <c r="BM228" s="60"/>
      <c r="BN228" s="60"/>
      <c r="BO228" s="60"/>
      <c r="BP228" s="60"/>
      <c r="BQ228" s="60"/>
      <c r="BR228" s="60"/>
      <c r="BS228" s="60"/>
      <c r="BT228" s="60"/>
      <c r="BU228" s="60"/>
      <c r="BV228" s="60"/>
      <c r="BW228" s="60"/>
      <c r="BX228" s="60"/>
      <c r="BY228" s="60"/>
      <c r="BZ228" s="60"/>
      <c r="CA228" s="60"/>
      <c r="CB228" s="60"/>
      <c r="CC228" s="60"/>
      <c r="CD228" s="60"/>
      <c r="CE228" s="60"/>
      <c r="CF228" s="60"/>
      <c r="CG228" s="60"/>
      <c r="CH228" s="60"/>
      <c r="CI228" s="60"/>
      <c r="CJ228" s="60"/>
      <c r="CK228" s="60"/>
      <c r="CL228" s="60"/>
      <c r="CM228" s="60"/>
      <c r="CN228" s="60"/>
      <c r="CO228" s="60"/>
      <c r="CP228" s="60"/>
      <c r="CQ228" s="60"/>
      <c r="CR228" s="60"/>
      <c r="CS228" s="60"/>
      <c r="CT228" s="60"/>
      <c r="CU228" s="60"/>
      <c r="CV228" s="60"/>
      <c r="CW228" s="60"/>
      <c r="CX228" s="60"/>
      <c r="CY228" s="60"/>
      <c r="CZ228" s="60"/>
      <c r="DA228" s="60"/>
      <c r="DB228" s="60"/>
      <c r="DC228" s="60"/>
      <c r="DD228" s="60"/>
      <c r="DE228" s="60"/>
      <c r="DF228" s="60"/>
      <c r="DG228" s="60"/>
      <c r="DH228" s="60"/>
      <c r="DI228" s="60"/>
      <c r="DJ228" s="60"/>
      <c r="DK228" s="60"/>
      <c r="DL228" s="60"/>
      <c r="DM228" s="60"/>
      <c r="DN228" s="60"/>
      <c r="DO228" s="60"/>
      <c r="DP228" s="60"/>
      <c r="DQ228" s="60"/>
      <c r="DR228" s="60"/>
      <c r="DS228" s="60"/>
      <c r="DT228" s="60"/>
    </row>
    <row r="229" spans="1:124" ht="21.75" customHeight="1">
      <c r="A229" s="313"/>
      <c r="B229" s="232"/>
      <c r="C229" s="233"/>
      <c r="D229" s="234"/>
      <c r="E229" s="65"/>
      <c r="F229" s="65"/>
      <c r="G229" s="65"/>
      <c r="H229" s="65"/>
      <c r="I229" s="65"/>
      <c r="J229" s="65"/>
      <c r="K229" s="65"/>
      <c r="L229" s="65"/>
      <c r="M229" s="65"/>
      <c r="N229" s="65"/>
      <c r="O229" s="65"/>
      <c r="P229" s="65"/>
      <c r="Q229" s="65"/>
      <c r="R229" s="65"/>
      <c r="S229" s="65"/>
      <c r="T229" s="65"/>
      <c r="U229" s="65"/>
      <c r="V229" s="65"/>
      <c r="W229" s="65"/>
      <c r="X229" s="65"/>
      <c r="Y229" s="65">
        <v>526.94610778443121</v>
      </c>
      <c r="Z229" s="65"/>
      <c r="AA229" s="65"/>
      <c r="AB229" s="65"/>
      <c r="AC229" s="65">
        <f>480/0.86</f>
        <v>558.1395348837209</v>
      </c>
      <c r="AD229" s="70"/>
      <c r="AE229" s="65"/>
      <c r="AF229" s="65"/>
      <c r="AG229" s="65"/>
      <c r="AH229" s="65">
        <f>340/0.86</f>
        <v>395.34883720930236</v>
      </c>
      <c r="AI229" s="65"/>
      <c r="AJ229" s="65"/>
      <c r="AK229" s="65"/>
      <c r="AL229" s="65">
        <f>660/0.835</f>
        <v>790.4191616766467</v>
      </c>
      <c r="AM229" s="65"/>
      <c r="AN229" s="65"/>
      <c r="AO229" s="65"/>
      <c r="AP229" s="65"/>
      <c r="AQ229" s="65"/>
      <c r="AR229" s="65"/>
      <c r="AS229" s="65">
        <f>320/0.735</f>
        <v>435.37414965986397</v>
      </c>
      <c r="AT229" s="65"/>
      <c r="AU229" s="65"/>
      <c r="AV229" s="77" t="s">
        <v>475</v>
      </c>
      <c r="AW229" s="65">
        <f>500/0.735</f>
        <v>680.27210884353747</v>
      </c>
      <c r="AX229" s="65"/>
      <c r="AY229" s="65"/>
      <c r="AZ229" s="65"/>
      <c r="BA229" s="65"/>
      <c r="BB229" s="65">
        <f>465/0.86</f>
        <v>540.69767441860461</v>
      </c>
      <c r="BC229" s="65"/>
      <c r="BD229" s="65"/>
      <c r="BE229" s="65">
        <f>480/0.835</f>
        <v>574.85029940119762</v>
      </c>
      <c r="BF229" s="65"/>
      <c r="BG229" s="65"/>
      <c r="BH229" s="65"/>
      <c r="BI229" s="65"/>
      <c r="BJ229" s="65"/>
      <c r="BK229" s="65"/>
      <c r="BL229" s="65"/>
      <c r="BM229" s="65"/>
      <c r="BN229" s="65"/>
      <c r="BO229" s="65"/>
      <c r="BP229" s="65"/>
      <c r="BQ229" s="65"/>
      <c r="BR229" s="65"/>
      <c r="BS229" s="65"/>
      <c r="BT229" s="65"/>
      <c r="BU229" s="65"/>
      <c r="BV229" s="65"/>
      <c r="BW229" s="65"/>
      <c r="BX229" s="65"/>
      <c r="BY229" s="65"/>
      <c r="BZ229" s="65"/>
      <c r="CA229" s="65"/>
      <c r="CB229" s="65"/>
      <c r="CC229" s="65"/>
      <c r="CD229" s="65"/>
      <c r="CE229" s="65"/>
      <c r="CF229" s="65"/>
      <c r="CG229" s="65"/>
      <c r="CH229" s="65"/>
      <c r="CI229" s="65"/>
      <c r="CJ229" s="65"/>
      <c r="CK229" s="65"/>
      <c r="CL229" s="65"/>
      <c r="CM229" s="65"/>
      <c r="CN229" s="65"/>
      <c r="CO229" s="65"/>
      <c r="CP229" s="65"/>
      <c r="CQ229" s="65"/>
      <c r="CR229" s="65"/>
      <c r="CS229" s="65"/>
      <c r="CT229" s="65"/>
      <c r="CU229" s="65"/>
      <c r="CV229" s="65"/>
      <c r="CW229" s="65"/>
      <c r="CX229" s="65"/>
      <c r="CY229" s="65"/>
      <c r="CZ229" s="65"/>
      <c r="DA229" s="65"/>
      <c r="DB229" s="65"/>
      <c r="DC229" s="65"/>
      <c r="DD229" s="65"/>
      <c r="DE229" s="65"/>
      <c r="DF229" s="65"/>
      <c r="DG229" s="65"/>
      <c r="DH229" s="65"/>
      <c r="DI229" s="65"/>
      <c r="DJ229" s="65"/>
      <c r="DK229" s="65"/>
      <c r="DL229" s="65"/>
      <c r="DM229" s="65"/>
      <c r="DN229" s="65"/>
      <c r="DO229" s="65"/>
      <c r="DP229" s="65"/>
      <c r="DQ229" s="65"/>
      <c r="DR229" s="65"/>
      <c r="DS229" s="65"/>
      <c r="DT229" s="65"/>
    </row>
    <row r="230" spans="1:124" ht="21.75" customHeight="1">
      <c r="A230" s="313"/>
      <c r="B230" s="229" t="s">
        <v>476</v>
      </c>
      <c r="C230" s="230"/>
      <c r="D230" s="231"/>
      <c r="E230" s="255"/>
      <c r="F230" s="255"/>
      <c r="G230" s="255"/>
      <c r="H230" s="255"/>
      <c r="I230" s="255"/>
      <c r="J230" s="255"/>
      <c r="K230" s="255"/>
      <c r="L230" s="255"/>
      <c r="M230" s="255"/>
      <c r="N230" s="255"/>
      <c r="O230" s="255"/>
      <c r="P230" s="255"/>
      <c r="Q230" s="255"/>
      <c r="R230" s="255"/>
      <c r="S230" s="255"/>
      <c r="T230" s="255"/>
      <c r="U230" s="255"/>
      <c r="V230" s="255"/>
      <c r="W230" s="255"/>
      <c r="X230" s="255"/>
      <c r="Y230" s="255"/>
      <c r="Z230" s="255"/>
      <c r="AA230" s="255"/>
      <c r="AB230" s="255"/>
      <c r="AC230" s="255"/>
      <c r="AD230" s="255"/>
      <c r="AE230" s="255"/>
      <c r="AF230" s="255"/>
      <c r="AG230" s="255"/>
      <c r="AH230" s="255"/>
      <c r="AI230" s="255"/>
      <c r="AJ230" s="255"/>
      <c r="AK230" s="255"/>
      <c r="AL230" s="261">
        <v>480</v>
      </c>
      <c r="AM230" s="255"/>
      <c r="AN230" s="255"/>
      <c r="AO230" s="255"/>
      <c r="AP230" s="255"/>
      <c r="AQ230" s="255"/>
      <c r="AR230" s="255"/>
      <c r="AS230" s="255"/>
      <c r="AT230" s="255"/>
      <c r="AU230" s="255"/>
      <c r="AV230" s="255"/>
      <c r="AW230" s="255"/>
      <c r="AX230" s="255"/>
      <c r="AY230" s="255"/>
      <c r="AZ230" s="255"/>
      <c r="BA230" s="255"/>
      <c r="BB230" s="255"/>
      <c r="BC230" s="255"/>
      <c r="BD230" s="255"/>
      <c r="BE230" s="255"/>
      <c r="BF230" s="255"/>
      <c r="BG230" s="255"/>
      <c r="BH230" s="255"/>
      <c r="BI230" s="255"/>
      <c r="BJ230" s="255"/>
      <c r="BK230" s="255"/>
      <c r="BL230" s="255"/>
      <c r="BM230" s="255"/>
      <c r="BN230" s="255"/>
      <c r="BO230" s="255"/>
      <c r="BP230" s="255"/>
      <c r="BQ230" s="255"/>
      <c r="BR230" s="255"/>
      <c r="BS230" s="255"/>
      <c r="BT230" s="255"/>
      <c r="BU230" s="255"/>
      <c r="BV230" s="255"/>
      <c r="BW230" s="255"/>
      <c r="BX230" s="255"/>
      <c r="BY230" s="255"/>
      <c r="BZ230" s="255"/>
      <c r="CA230" s="255"/>
      <c r="CB230" s="255"/>
      <c r="CC230" s="255"/>
      <c r="CD230" s="255"/>
      <c r="CE230" s="255"/>
      <c r="CF230" s="255"/>
      <c r="CG230" s="255"/>
      <c r="CH230" s="255"/>
      <c r="CI230" s="255"/>
      <c r="CJ230" s="255"/>
      <c r="CK230" s="255"/>
      <c r="CL230" s="255"/>
      <c r="CM230" s="255"/>
      <c r="CN230" s="255"/>
      <c r="CO230" s="255"/>
      <c r="CP230" s="255"/>
      <c r="CQ230" s="255"/>
      <c r="CR230" s="255"/>
      <c r="CS230" s="255"/>
      <c r="CT230" s="255"/>
      <c r="CU230" s="255"/>
      <c r="CV230" s="255"/>
      <c r="CW230" s="255"/>
      <c r="CX230" s="255"/>
      <c r="CY230" s="255"/>
      <c r="CZ230" s="255"/>
      <c r="DA230" s="255"/>
      <c r="DB230" s="255"/>
      <c r="DC230" s="255"/>
      <c r="DD230" s="255"/>
      <c r="DE230" s="255"/>
      <c r="DF230" s="255"/>
      <c r="DG230" s="255"/>
      <c r="DH230" s="255"/>
      <c r="DI230" s="255"/>
      <c r="DJ230" s="255"/>
      <c r="DK230" s="255"/>
      <c r="DL230" s="255"/>
      <c r="DM230" s="255"/>
      <c r="DN230" s="255"/>
      <c r="DO230" s="255"/>
      <c r="DP230" s="255"/>
      <c r="DQ230" s="255"/>
      <c r="DR230" s="255"/>
      <c r="DS230" s="255"/>
      <c r="DT230" s="255"/>
    </row>
    <row r="231" spans="1:124" ht="21.75" customHeight="1">
      <c r="A231" s="313"/>
      <c r="B231" s="232"/>
      <c r="C231" s="233"/>
      <c r="D231" s="234"/>
      <c r="E231" s="255"/>
      <c r="F231" s="255"/>
      <c r="G231" s="255"/>
      <c r="H231" s="255"/>
      <c r="I231" s="255"/>
      <c r="J231" s="255"/>
      <c r="K231" s="255"/>
      <c r="L231" s="255"/>
      <c r="M231" s="255"/>
      <c r="N231" s="255"/>
      <c r="O231" s="255"/>
      <c r="P231" s="255"/>
      <c r="Q231" s="255"/>
      <c r="R231" s="255"/>
      <c r="S231" s="255"/>
      <c r="T231" s="255"/>
      <c r="U231" s="255"/>
      <c r="V231" s="255"/>
      <c r="W231" s="255"/>
      <c r="X231" s="255"/>
      <c r="Y231" s="255"/>
      <c r="Z231" s="255"/>
      <c r="AA231" s="255"/>
      <c r="AB231" s="255"/>
      <c r="AC231" s="255"/>
      <c r="AD231" s="255"/>
      <c r="AE231" s="255"/>
      <c r="AF231" s="255"/>
      <c r="AG231" s="255"/>
      <c r="AH231" s="255"/>
      <c r="AI231" s="255"/>
      <c r="AJ231" s="255"/>
      <c r="AK231" s="255"/>
      <c r="AL231" s="261"/>
      <c r="AM231" s="255"/>
      <c r="AN231" s="255"/>
      <c r="AO231" s="255"/>
      <c r="AP231" s="255"/>
      <c r="AQ231" s="255"/>
      <c r="AR231" s="255"/>
      <c r="AS231" s="255"/>
      <c r="AT231" s="255"/>
      <c r="AU231" s="255"/>
      <c r="AV231" s="255"/>
      <c r="AW231" s="255"/>
      <c r="AX231" s="255"/>
      <c r="AY231" s="255"/>
      <c r="AZ231" s="255"/>
      <c r="BA231" s="255"/>
      <c r="BB231" s="255"/>
      <c r="BC231" s="255"/>
      <c r="BD231" s="255"/>
      <c r="BE231" s="255"/>
      <c r="BF231" s="255"/>
      <c r="BG231" s="255"/>
      <c r="BH231" s="255"/>
      <c r="BI231" s="255"/>
      <c r="BJ231" s="255"/>
      <c r="BK231" s="255"/>
      <c r="BL231" s="255"/>
      <c r="BM231" s="255"/>
      <c r="BN231" s="255"/>
      <c r="BO231" s="255"/>
      <c r="BP231" s="255"/>
      <c r="BQ231" s="255"/>
      <c r="BR231" s="255"/>
      <c r="BS231" s="255"/>
      <c r="BT231" s="255"/>
      <c r="BU231" s="255"/>
      <c r="BV231" s="255"/>
      <c r="BW231" s="255"/>
      <c r="BX231" s="255"/>
      <c r="BY231" s="255"/>
      <c r="BZ231" s="255"/>
      <c r="CA231" s="255"/>
      <c r="CB231" s="255"/>
      <c r="CC231" s="255"/>
      <c r="CD231" s="255"/>
      <c r="CE231" s="255"/>
      <c r="CF231" s="255"/>
      <c r="CG231" s="255"/>
      <c r="CH231" s="255"/>
      <c r="CI231" s="255"/>
      <c r="CJ231" s="255"/>
      <c r="CK231" s="255"/>
      <c r="CL231" s="255"/>
      <c r="CM231" s="255"/>
      <c r="CN231" s="255"/>
      <c r="CO231" s="255"/>
      <c r="CP231" s="255"/>
      <c r="CQ231" s="255"/>
      <c r="CR231" s="255"/>
      <c r="CS231" s="255"/>
      <c r="CT231" s="255"/>
      <c r="CU231" s="255"/>
      <c r="CV231" s="255"/>
      <c r="CW231" s="255"/>
      <c r="CX231" s="255"/>
      <c r="CY231" s="255"/>
      <c r="CZ231" s="255"/>
      <c r="DA231" s="255"/>
      <c r="DB231" s="255"/>
      <c r="DC231" s="255"/>
      <c r="DD231" s="255"/>
      <c r="DE231" s="255"/>
      <c r="DF231" s="255"/>
      <c r="DG231" s="255"/>
      <c r="DH231" s="255"/>
      <c r="DI231" s="255"/>
      <c r="DJ231" s="255"/>
      <c r="DK231" s="255"/>
      <c r="DL231" s="255"/>
      <c r="DM231" s="255"/>
      <c r="DN231" s="255"/>
      <c r="DO231" s="255"/>
      <c r="DP231" s="255"/>
      <c r="DQ231" s="255"/>
      <c r="DR231" s="255"/>
      <c r="DS231" s="255"/>
      <c r="DT231" s="255"/>
    </row>
    <row r="232" spans="1:124" ht="21.75" customHeight="1">
      <c r="A232" s="313"/>
      <c r="B232" s="229" t="s">
        <v>133</v>
      </c>
      <c r="C232" s="230"/>
      <c r="D232" s="231"/>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8"/>
      <c r="AQ232" s="68"/>
      <c r="AR232" s="68"/>
      <c r="AS232" s="69"/>
      <c r="AT232" s="69"/>
      <c r="AU232" s="69"/>
      <c r="AV232" s="69"/>
      <c r="AW232" s="69"/>
      <c r="AX232" s="69"/>
      <c r="AY232" s="69"/>
      <c r="AZ232" s="69"/>
      <c r="BA232" s="62" t="s">
        <v>413</v>
      </c>
      <c r="BB232" s="69" t="s">
        <v>392</v>
      </c>
      <c r="BC232" s="69"/>
      <c r="BD232" s="69"/>
      <c r="BE232" s="69"/>
      <c r="BF232" s="68"/>
      <c r="BG232" s="68"/>
      <c r="BH232" s="68"/>
      <c r="BI232" s="68"/>
      <c r="BJ232" s="68"/>
      <c r="BK232" s="68"/>
      <c r="BL232" s="68"/>
      <c r="BM232" s="68"/>
      <c r="BN232" s="68"/>
      <c r="BO232" s="68"/>
      <c r="BP232" s="68"/>
      <c r="BQ232" s="68"/>
      <c r="BR232" s="68"/>
      <c r="BS232" s="68"/>
      <c r="BT232" s="68"/>
      <c r="BU232" s="68"/>
      <c r="BV232" s="68"/>
      <c r="BW232" s="68"/>
      <c r="BX232" s="68"/>
      <c r="BY232" s="68"/>
      <c r="BZ232" s="68"/>
      <c r="CA232" s="68"/>
      <c r="CB232" s="68"/>
      <c r="CC232" s="68"/>
      <c r="CD232" s="68"/>
      <c r="CE232" s="68"/>
      <c r="CF232" s="68"/>
      <c r="CG232" s="68"/>
      <c r="CH232" s="68"/>
      <c r="CI232" s="68"/>
      <c r="CJ232" s="68"/>
      <c r="CK232" s="68"/>
      <c r="CL232" s="68"/>
      <c r="CM232" s="68"/>
      <c r="CN232" s="68"/>
      <c r="CO232" s="68"/>
      <c r="CP232" s="68"/>
      <c r="CQ232" s="68"/>
      <c r="CR232" s="68"/>
      <c r="CS232" s="68"/>
      <c r="CT232" s="68"/>
      <c r="CU232" s="68"/>
      <c r="CV232" s="68"/>
      <c r="CW232" s="68"/>
      <c r="CX232" s="68"/>
      <c r="CY232" s="68"/>
      <c r="CZ232" s="68"/>
      <c r="DA232" s="68"/>
      <c r="DB232" s="68"/>
      <c r="DC232" s="68"/>
      <c r="DD232" s="68"/>
      <c r="DE232" s="68"/>
      <c r="DF232" s="68"/>
      <c r="DG232" s="68"/>
      <c r="DH232" s="68"/>
      <c r="DI232" s="68"/>
      <c r="DJ232" s="68"/>
      <c r="DK232" s="68"/>
      <c r="DL232" s="68"/>
      <c r="DM232" s="68"/>
      <c r="DN232" s="68"/>
      <c r="DO232" s="68"/>
      <c r="DP232" s="68"/>
      <c r="DQ232" s="68"/>
      <c r="DR232" s="68"/>
      <c r="DS232" s="68"/>
      <c r="DT232" s="68"/>
    </row>
    <row r="233" spans="1:124" ht="21.75" customHeight="1">
      <c r="A233" s="313"/>
      <c r="B233" s="232"/>
      <c r="C233" s="233"/>
      <c r="D233" s="234"/>
      <c r="E233" s="70"/>
      <c r="F233" s="70"/>
      <c r="G233" s="70"/>
      <c r="H233" s="70"/>
      <c r="I233" s="70"/>
      <c r="J233" s="70"/>
      <c r="K233" s="70"/>
      <c r="L233" s="70"/>
      <c r="M233" s="70"/>
      <c r="N233" s="70"/>
      <c r="O233" s="70"/>
      <c r="P233" s="70"/>
      <c r="Q233" s="70"/>
      <c r="R233" s="70"/>
      <c r="S233" s="70"/>
      <c r="T233" s="70"/>
      <c r="U233" s="70"/>
      <c r="V233" s="70"/>
      <c r="W233" s="70"/>
      <c r="X233" s="70"/>
      <c r="Y233" s="70"/>
      <c r="Z233" s="70"/>
      <c r="AA233" s="70"/>
      <c r="AB233" s="70"/>
      <c r="AC233" s="70"/>
      <c r="AD233" s="70"/>
      <c r="AE233" s="70"/>
      <c r="AF233" s="70"/>
      <c r="AG233" s="70"/>
      <c r="AH233" s="70"/>
      <c r="AI233" s="70"/>
      <c r="AJ233" s="70"/>
      <c r="AK233" s="70"/>
      <c r="AL233" s="70"/>
      <c r="AM233" s="70"/>
      <c r="AN233" s="70"/>
      <c r="AO233" s="70"/>
      <c r="AP233" s="65"/>
      <c r="AQ233" s="65"/>
      <c r="AR233" s="65"/>
      <c r="AS233" s="70"/>
      <c r="AT233" s="70"/>
      <c r="AU233" s="70"/>
      <c r="AV233" s="70"/>
      <c r="AW233" s="70"/>
      <c r="AX233" s="70"/>
      <c r="AY233" s="70"/>
      <c r="AZ233" s="70"/>
      <c r="BA233" s="67">
        <f>110/0.86</f>
        <v>127.90697674418605</v>
      </c>
      <c r="BB233" s="70">
        <f>102/0.86</f>
        <v>118.6046511627907</v>
      </c>
      <c r="BC233" s="70"/>
      <c r="BD233" s="70"/>
      <c r="BE233" s="70"/>
      <c r="BF233" s="65"/>
      <c r="BG233" s="65"/>
      <c r="BH233" s="65"/>
      <c r="BI233" s="65"/>
      <c r="BJ233" s="65"/>
      <c r="BK233" s="65"/>
      <c r="BL233" s="65"/>
      <c r="BM233" s="65"/>
      <c r="BN233" s="65"/>
      <c r="BO233" s="65"/>
      <c r="BP233" s="65"/>
      <c r="BQ233" s="65"/>
      <c r="BR233" s="65"/>
      <c r="BS233" s="65"/>
      <c r="BT233" s="65"/>
      <c r="BU233" s="65"/>
      <c r="BV233" s="65"/>
      <c r="BW233" s="65"/>
      <c r="BX233" s="65"/>
      <c r="BY233" s="65"/>
      <c r="BZ233" s="65"/>
      <c r="CA233" s="65"/>
      <c r="CB233" s="65"/>
      <c r="CC233" s="65"/>
      <c r="CD233" s="65"/>
      <c r="CE233" s="65"/>
      <c r="CF233" s="65"/>
      <c r="CG233" s="65"/>
      <c r="CH233" s="65"/>
      <c r="CI233" s="65"/>
      <c r="CJ233" s="65"/>
      <c r="CK233" s="65"/>
      <c r="CL233" s="65"/>
      <c r="CM233" s="65"/>
      <c r="CN233" s="65"/>
      <c r="CO233" s="65"/>
      <c r="CP233" s="65"/>
      <c r="CQ233" s="65"/>
      <c r="CR233" s="65"/>
      <c r="CS233" s="65"/>
      <c r="CT233" s="65"/>
      <c r="CU233" s="65"/>
      <c r="CV233" s="65"/>
      <c r="CW233" s="65"/>
      <c r="CX233" s="65"/>
      <c r="CY233" s="65"/>
      <c r="CZ233" s="65"/>
      <c r="DA233" s="65"/>
      <c r="DB233" s="65"/>
      <c r="DC233" s="65"/>
      <c r="DD233" s="65"/>
      <c r="DE233" s="65"/>
      <c r="DF233" s="65"/>
      <c r="DG233" s="65"/>
      <c r="DH233" s="65"/>
      <c r="DI233" s="65"/>
      <c r="DJ233" s="65"/>
      <c r="DK233" s="65"/>
      <c r="DL233" s="65"/>
      <c r="DM233" s="65"/>
      <c r="DN233" s="65"/>
      <c r="DO233" s="65"/>
      <c r="DP233" s="65"/>
      <c r="DQ233" s="65"/>
      <c r="DR233" s="65"/>
      <c r="DS233" s="65"/>
      <c r="DT233" s="65"/>
    </row>
    <row r="234" spans="1:124" ht="21.75" customHeight="1">
      <c r="A234" s="313"/>
      <c r="B234" s="229" t="s">
        <v>414</v>
      </c>
      <c r="C234" s="230"/>
      <c r="D234" s="231"/>
      <c r="E234" s="60"/>
      <c r="F234" s="60"/>
      <c r="G234" s="60"/>
      <c r="H234" s="60"/>
      <c r="I234" s="60"/>
      <c r="J234" s="60"/>
      <c r="K234" s="60"/>
      <c r="L234" s="60"/>
      <c r="M234" s="60"/>
      <c r="N234" s="60"/>
      <c r="O234" s="60"/>
      <c r="P234" s="60"/>
      <c r="Q234" s="60"/>
      <c r="R234" s="60"/>
      <c r="S234" s="60"/>
      <c r="T234" s="60"/>
      <c r="U234" s="60"/>
      <c r="V234" s="60"/>
      <c r="W234" s="60"/>
      <c r="X234" s="60" t="s">
        <v>392</v>
      </c>
      <c r="Y234" s="60"/>
      <c r="Z234" s="60"/>
      <c r="AA234" s="60"/>
      <c r="AB234" s="60"/>
      <c r="AC234" s="60"/>
      <c r="AD234" s="69"/>
      <c r="AE234" s="68"/>
      <c r="AF234" s="68"/>
      <c r="AG234" s="60"/>
      <c r="AH234" s="68"/>
      <c r="AI234" s="68"/>
      <c r="AJ234" s="68"/>
      <c r="AK234" s="68"/>
      <c r="AL234" s="68"/>
      <c r="AM234" s="68"/>
      <c r="AN234" s="68"/>
      <c r="AO234" s="60"/>
      <c r="AP234" s="60"/>
      <c r="AQ234" s="60"/>
      <c r="AR234" s="60"/>
      <c r="AS234" s="60" t="s">
        <v>465</v>
      </c>
      <c r="AT234" s="60"/>
      <c r="AU234" s="60"/>
      <c r="AV234" s="60" t="s">
        <v>465</v>
      </c>
      <c r="AW234" s="60"/>
      <c r="AX234" s="60"/>
      <c r="AY234" s="60" t="s">
        <v>403</v>
      </c>
      <c r="AZ234" s="60"/>
      <c r="BA234" s="60"/>
      <c r="BB234" s="60"/>
      <c r="BC234" s="60"/>
      <c r="BD234" s="60"/>
      <c r="BE234" s="60"/>
      <c r="BF234" s="60"/>
      <c r="BG234" s="60"/>
      <c r="BH234" s="60" t="s">
        <v>401</v>
      </c>
      <c r="BI234" s="60"/>
      <c r="BJ234" s="60"/>
      <c r="BK234" s="60"/>
      <c r="BL234" s="60"/>
      <c r="BM234" s="60"/>
      <c r="BN234" s="60"/>
      <c r="BO234" s="60"/>
      <c r="BP234" s="60"/>
      <c r="BQ234" s="60"/>
      <c r="BR234" s="60"/>
      <c r="BS234" s="60"/>
      <c r="BT234" s="60"/>
      <c r="BU234" s="60"/>
      <c r="BV234" s="60"/>
      <c r="BW234" s="60"/>
      <c r="BX234" s="60"/>
      <c r="BY234" s="60"/>
      <c r="BZ234" s="60"/>
      <c r="CA234" s="60"/>
      <c r="CB234" s="60"/>
      <c r="CC234" s="60"/>
      <c r="CD234" s="60"/>
      <c r="CE234" s="60"/>
      <c r="CF234" s="60"/>
      <c r="CG234" s="60"/>
      <c r="CH234" s="60"/>
      <c r="CI234" s="60"/>
      <c r="CJ234" s="60"/>
      <c r="CK234" s="60"/>
      <c r="CL234" s="60"/>
      <c r="CM234" s="60"/>
      <c r="CN234" s="60"/>
      <c r="CO234" s="60"/>
      <c r="CP234" s="60"/>
      <c r="CQ234" s="60"/>
      <c r="CR234" s="60"/>
      <c r="CS234" s="60"/>
      <c r="CT234" s="60"/>
      <c r="CU234" s="60"/>
      <c r="CV234" s="60"/>
      <c r="CW234" s="60"/>
      <c r="CX234" s="60"/>
      <c r="CY234" s="60"/>
      <c r="CZ234" s="60"/>
      <c r="DA234" s="60"/>
      <c r="DB234" s="60"/>
      <c r="DC234" s="60"/>
      <c r="DD234" s="60"/>
      <c r="DE234" s="60"/>
      <c r="DF234" s="60"/>
      <c r="DG234" s="60"/>
      <c r="DH234" s="60"/>
      <c r="DI234" s="60"/>
      <c r="DJ234" s="60"/>
      <c r="DK234" s="60"/>
      <c r="DL234" s="60"/>
      <c r="DM234" s="60"/>
      <c r="DN234" s="60"/>
      <c r="DO234" s="60"/>
      <c r="DP234" s="60"/>
      <c r="DQ234" s="60"/>
      <c r="DR234" s="60"/>
      <c r="DS234" s="60"/>
      <c r="DT234" s="60"/>
    </row>
    <row r="235" spans="1:124" ht="21.75" customHeight="1">
      <c r="A235" s="313"/>
      <c r="B235" s="232"/>
      <c r="C235" s="233"/>
      <c r="D235" s="234"/>
      <c r="E235" s="65"/>
      <c r="F235" s="65"/>
      <c r="G235" s="65"/>
      <c r="H235" s="65"/>
      <c r="I235" s="65"/>
      <c r="J235" s="65"/>
      <c r="K235" s="65"/>
      <c r="L235" s="65"/>
      <c r="M235" s="65"/>
      <c r="N235" s="65"/>
      <c r="O235" s="65"/>
      <c r="P235" s="65"/>
      <c r="Q235" s="65"/>
      <c r="R235" s="65"/>
      <c r="S235" s="65"/>
      <c r="T235" s="65"/>
      <c r="U235" s="65"/>
      <c r="V235" s="65"/>
      <c r="W235" s="65"/>
      <c r="X235" s="65">
        <v>56.287425149700603</v>
      </c>
      <c r="Y235" s="65"/>
      <c r="Z235" s="65"/>
      <c r="AA235" s="65"/>
      <c r="AB235" s="65"/>
      <c r="AC235" s="65"/>
      <c r="AD235" s="70"/>
      <c r="AE235" s="65"/>
      <c r="AF235" s="65"/>
      <c r="AG235" s="65"/>
      <c r="AH235" s="65"/>
      <c r="AI235" s="65"/>
      <c r="AJ235" s="65"/>
      <c r="AK235" s="65"/>
      <c r="AL235" s="65"/>
      <c r="AM235" s="65"/>
      <c r="AN235" s="65"/>
      <c r="AO235" s="65"/>
      <c r="AP235" s="65"/>
      <c r="AQ235" s="65"/>
      <c r="AR235" s="65"/>
      <c r="AS235" s="65">
        <f>47/0.735</f>
        <v>63.945578231292515</v>
      </c>
      <c r="AT235" s="65"/>
      <c r="AU235" s="65"/>
      <c r="AV235" s="65">
        <f>40/0.735</f>
        <v>54.421768707482997</v>
      </c>
      <c r="AW235" s="65"/>
      <c r="AX235" s="65"/>
      <c r="AY235" s="65">
        <f>54/0.735</f>
        <v>73.469387755102048</v>
      </c>
      <c r="AZ235" s="65"/>
      <c r="BA235" s="65"/>
      <c r="BB235" s="65"/>
      <c r="BC235" s="65"/>
      <c r="BD235" s="65"/>
      <c r="BE235" s="65"/>
      <c r="BF235" s="65"/>
      <c r="BG235" s="65"/>
      <c r="BH235" s="65">
        <f>66/0.835</f>
        <v>79.041916167664681</v>
      </c>
      <c r="BI235" s="65"/>
      <c r="BJ235" s="65"/>
      <c r="BK235" s="65"/>
      <c r="BL235" s="65"/>
      <c r="BM235" s="65"/>
      <c r="BN235" s="65"/>
      <c r="BO235" s="65"/>
      <c r="BP235" s="65"/>
      <c r="BQ235" s="65"/>
      <c r="BR235" s="65"/>
      <c r="BS235" s="65"/>
      <c r="BT235" s="65"/>
      <c r="BU235" s="65"/>
      <c r="BV235" s="65"/>
      <c r="BW235" s="65"/>
      <c r="BX235" s="65"/>
      <c r="BY235" s="65"/>
      <c r="BZ235" s="65"/>
      <c r="CA235" s="65"/>
      <c r="CB235" s="65"/>
      <c r="CC235" s="65"/>
      <c r="CD235" s="65"/>
      <c r="CE235" s="65"/>
      <c r="CF235" s="65"/>
      <c r="CG235" s="65"/>
      <c r="CH235" s="65"/>
      <c r="CI235" s="65"/>
      <c r="CJ235" s="65"/>
      <c r="CK235" s="65"/>
      <c r="CL235" s="65"/>
      <c r="CM235" s="65"/>
      <c r="CN235" s="65"/>
      <c r="CO235" s="65"/>
      <c r="CP235" s="65"/>
      <c r="CQ235" s="65"/>
      <c r="CR235" s="65"/>
      <c r="CS235" s="65"/>
      <c r="CT235" s="65"/>
      <c r="CU235" s="65"/>
      <c r="CV235" s="65"/>
      <c r="CW235" s="65"/>
      <c r="CX235" s="65"/>
      <c r="CY235" s="65"/>
      <c r="CZ235" s="65"/>
      <c r="DA235" s="65"/>
      <c r="DB235" s="65"/>
      <c r="DC235" s="65"/>
      <c r="DD235" s="65"/>
      <c r="DE235" s="65"/>
      <c r="DF235" s="65"/>
      <c r="DG235" s="65"/>
      <c r="DH235" s="65"/>
      <c r="DI235" s="65"/>
      <c r="DJ235" s="65"/>
      <c r="DK235" s="65"/>
      <c r="DL235" s="65"/>
      <c r="DM235" s="65"/>
      <c r="DN235" s="65"/>
      <c r="DO235" s="65"/>
      <c r="DP235" s="65"/>
      <c r="DQ235" s="65"/>
      <c r="DR235" s="65"/>
      <c r="DS235" s="65"/>
      <c r="DT235" s="65"/>
    </row>
    <row r="236" spans="1:124" ht="21.75" customHeight="1">
      <c r="A236" s="313"/>
      <c r="B236" s="229" t="s">
        <v>103</v>
      </c>
      <c r="C236" s="230"/>
      <c r="D236" s="78" t="s">
        <v>415</v>
      </c>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c r="AC236" s="65"/>
      <c r="AD236" s="70"/>
      <c r="AE236" s="65"/>
      <c r="AF236" s="65"/>
      <c r="AG236" s="65"/>
      <c r="AH236" s="65"/>
      <c r="AI236" s="65"/>
      <c r="AJ236" s="71" t="s">
        <v>477</v>
      </c>
      <c r="AK236" s="65"/>
      <c r="AL236" s="65"/>
      <c r="AM236" s="71" t="s">
        <v>478</v>
      </c>
      <c r="AN236" s="65"/>
      <c r="AO236" s="65"/>
      <c r="AP236" s="65"/>
      <c r="AQ236" s="65"/>
      <c r="AR236" s="65"/>
      <c r="AS236" s="65"/>
      <c r="AT236" s="65"/>
      <c r="AU236" s="65"/>
      <c r="AV236" s="65"/>
      <c r="AW236" s="65"/>
      <c r="AX236" s="65"/>
      <c r="AY236" s="65"/>
      <c r="AZ236" s="65"/>
      <c r="BA236" s="65"/>
      <c r="BB236" s="65"/>
      <c r="BC236" s="65"/>
      <c r="BD236" s="65"/>
      <c r="BE236" s="65"/>
      <c r="BF236" s="65"/>
      <c r="BG236" s="65"/>
      <c r="BH236" s="65"/>
      <c r="BI236" s="65"/>
      <c r="BJ236" s="65"/>
      <c r="BK236" s="65"/>
      <c r="BL236" s="65"/>
      <c r="BM236" s="65"/>
      <c r="BN236" s="65"/>
      <c r="BO236" s="65"/>
      <c r="BP236" s="65"/>
      <c r="BQ236" s="65"/>
      <c r="BR236" s="65"/>
      <c r="BS236" s="71" t="s">
        <v>479</v>
      </c>
      <c r="BT236" s="65"/>
      <c r="BU236" s="65"/>
      <c r="BV236" s="65"/>
      <c r="BW236" s="65"/>
      <c r="BX236" s="65"/>
      <c r="BY236" s="65"/>
      <c r="BZ236" s="65"/>
      <c r="CA236" s="65"/>
      <c r="CB236" s="65"/>
      <c r="CC236" s="65"/>
      <c r="CD236" s="65"/>
      <c r="CE236" s="65"/>
      <c r="CF236" s="65"/>
      <c r="CG236" s="65"/>
      <c r="CH236" s="65"/>
      <c r="CI236" s="65"/>
      <c r="CJ236" s="65"/>
      <c r="CK236" s="65"/>
      <c r="CL236" s="65"/>
      <c r="CM236" s="65"/>
      <c r="CN236" s="65"/>
      <c r="CO236" s="65"/>
      <c r="CP236" s="65"/>
      <c r="CQ236" s="65"/>
      <c r="CR236" s="65"/>
      <c r="CS236" s="65"/>
      <c r="CT236" s="65"/>
      <c r="CU236" s="65"/>
      <c r="CV236" s="65"/>
      <c r="CW236" s="65"/>
      <c r="CX236" s="65"/>
      <c r="CY236" s="65"/>
      <c r="CZ236" s="65"/>
      <c r="DA236" s="65"/>
      <c r="DB236" s="65"/>
      <c r="DC236" s="65"/>
      <c r="DD236" s="65"/>
      <c r="DE236" s="65"/>
      <c r="DF236" s="65"/>
      <c r="DG236" s="65"/>
      <c r="DH236" s="65"/>
      <c r="DI236" s="65"/>
      <c r="DJ236" s="65"/>
      <c r="DK236" s="65"/>
      <c r="DL236" s="65"/>
      <c r="DM236" s="65"/>
      <c r="DN236" s="65"/>
      <c r="DO236" s="65"/>
      <c r="DP236" s="65"/>
      <c r="DQ236" s="65"/>
      <c r="DR236" s="65"/>
      <c r="DS236" s="65"/>
      <c r="DT236" s="65"/>
    </row>
    <row r="237" spans="1:124" ht="21.75" customHeight="1">
      <c r="A237" s="313"/>
      <c r="B237" s="232"/>
      <c r="C237" s="233"/>
      <c r="D237" s="79" t="s">
        <v>418</v>
      </c>
      <c r="E237" s="65"/>
      <c r="F237" s="65"/>
      <c r="G237" s="65"/>
      <c r="H237" s="65"/>
      <c r="I237" s="65"/>
      <c r="J237" s="65"/>
      <c r="K237" s="65"/>
      <c r="L237" s="65"/>
      <c r="M237" s="65"/>
      <c r="N237" s="65"/>
      <c r="O237" s="65"/>
      <c r="P237" s="65"/>
      <c r="Q237" s="65"/>
      <c r="R237" s="65"/>
      <c r="S237" s="65"/>
      <c r="T237" s="65"/>
      <c r="U237" s="65"/>
      <c r="V237" s="65"/>
      <c r="W237" s="65"/>
      <c r="X237" s="70"/>
      <c r="Y237" s="65"/>
      <c r="Z237" s="65"/>
      <c r="AA237" s="65"/>
      <c r="AB237" s="65"/>
      <c r="AC237" s="65"/>
      <c r="AD237" s="70"/>
      <c r="AE237" s="65"/>
      <c r="AF237" s="65"/>
      <c r="AG237" s="65"/>
      <c r="AH237" s="65"/>
      <c r="AI237" s="65"/>
      <c r="AJ237" s="71" t="s">
        <v>480</v>
      </c>
      <c r="AK237" s="65"/>
      <c r="AL237" s="65"/>
      <c r="AM237" s="71" t="s">
        <v>481</v>
      </c>
      <c r="AN237" s="65"/>
      <c r="AO237" s="65"/>
      <c r="AP237" s="65"/>
      <c r="AQ237" s="65"/>
      <c r="AR237" s="65"/>
      <c r="AS237" s="65"/>
      <c r="AT237" s="65"/>
      <c r="AU237" s="65"/>
      <c r="AV237" s="65"/>
      <c r="AW237" s="65"/>
      <c r="AX237" s="65"/>
      <c r="AY237" s="65"/>
      <c r="AZ237" s="65"/>
      <c r="BA237" s="65"/>
      <c r="BB237" s="65"/>
      <c r="BC237" s="65"/>
      <c r="BD237" s="65"/>
      <c r="BE237" s="65"/>
      <c r="BF237" s="65"/>
      <c r="BG237" s="65"/>
      <c r="BH237" s="65"/>
      <c r="BI237" s="65"/>
      <c r="BJ237" s="65"/>
      <c r="BK237" s="65"/>
      <c r="BL237" s="65"/>
      <c r="BM237" s="65"/>
      <c r="BN237" s="65"/>
      <c r="BO237" s="65"/>
      <c r="BP237" s="65"/>
      <c r="BQ237" s="65"/>
      <c r="BR237" s="65"/>
      <c r="BS237" s="71" t="s">
        <v>482</v>
      </c>
      <c r="BT237" s="65"/>
      <c r="BU237" s="65"/>
      <c r="BV237" s="65"/>
      <c r="BW237" s="65"/>
      <c r="BX237" s="65"/>
      <c r="BY237" s="65"/>
      <c r="BZ237" s="65"/>
      <c r="CA237" s="65"/>
      <c r="CB237" s="65"/>
      <c r="CC237" s="65"/>
      <c r="CD237" s="65"/>
      <c r="CE237" s="65"/>
      <c r="CF237" s="65"/>
      <c r="CG237" s="65"/>
      <c r="CH237" s="65"/>
      <c r="CI237" s="65"/>
      <c r="CJ237" s="65"/>
      <c r="CK237" s="65"/>
      <c r="CL237" s="65"/>
      <c r="CM237" s="65"/>
      <c r="CN237" s="65"/>
      <c r="CO237" s="65"/>
      <c r="CP237" s="65"/>
      <c r="CQ237" s="65"/>
      <c r="CR237" s="65"/>
      <c r="CS237" s="65"/>
      <c r="CT237" s="65"/>
      <c r="CU237" s="65"/>
      <c r="CV237" s="65"/>
      <c r="CW237" s="65"/>
      <c r="CX237" s="65"/>
      <c r="CY237" s="65"/>
      <c r="CZ237" s="65"/>
      <c r="DA237" s="65"/>
      <c r="DB237" s="65"/>
      <c r="DC237" s="65"/>
      <c r="DD237" s="65"/>
      <c r="DE237" s="65"/>
      <c r="DF237" s="65"/>
      <c r="DG237" s="65"/>
      <c r="DH237" s="65"/>
      <c r="DI237" s="65"/>
      <c r="DJ237" s="65"/>
      <c r="DK237" s="65"/>
      <c r="DL237" s="65"/>
      <c r="DM237" s="65"/>
      <c r="DN237" s="65"/>
      <c r="DO237" s="65"/>
      <c r="DP237" s="65"/>
      <c r="DQ237" s="65"/>
      <c r="DR237" s="65"/>
      <c r="DS237" s="65"/>
      <c r="DT237" s="65"/>
    </row>
    <row r="238" spans="1:124" ht="21.75" customHeight="1">
      <c r="A238" s="313"/>
      <c r="B238" s="229" t="s">
        <v>109</v>
      </c>
      <c r="C238" s="230"/>
      <c r="D238" s="231"/>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c r="AD238" s="69"/>
      <c r="AE238" s="68"/>
      <c r="AF238" s="68"/>
      <c r="AG238" s="69"/>
      <c r="AH238" s="68"/>
      <c r="AI238" s="68"/>
      <c r="AJ238" s="68" t="s">
        <v>396</v>
      </c>
      <c r="AK238" s="68"/>
      <c r="AL238" s="68"/>
      <c r="AM238" s="68" t="s">
        <v>378</v>
      </c>
      <c r="AN238" s="68"/>
      <c r="AO238" s="69"/>
      <c r="AP238" s="69"/>
      <c r="AQ238" s="69"/>
      <c r="AR238" s="69"/>
      <c r="AS238" s="69"/>
      <c r="AT238" s="69"/>
      <c r="AU238" s="69"/>
      <c r="AV238" s="69"/>
      <c r="AW238" s="69"/>
      <c r="AX238" s="69"/>
      <c r="AY238" s="69"/>
      <c r="AZ238" s="69"/>
      <c r="BA238" s="69"/>
      <c r="BB238" s="69"/>
      <c r="BC238" s="69"/>
      <c r="BD238" s="69"/>
      <c r="BE238" s="69"/>
      <c r="BF238" s="69"/>
      <c r="BG238" s="69"/>
      <c r="BH238" s="69"/>
      <c r="BI238" s="69"/>
      <c r="BJ238" s="69"/>
      <c r="BK238" s="69"/>
      <c r="BL238" s="69"/>
      <c r="BM238" s="69"/>
      <c r="BN238" s="69"/>
      <c r="BO238" s="69"/>
      <c r="BP238" s="69"/>
      <c r="BQ238" s="69"/>
      <c r="BR238" s="69"/>
      <c r="BS238" s="69"/>
      <c r="BT238" s="69"/>
      <c r="BU238" s="69"/>
      <c r="BV238" s="69"/>
      <c r="BW238" s="69"/>
      <c r="BX238" s="69"/>
      <c r="BY238" s="69"/>
      <c r="BZ238" s="69"/>
      <c r="CA238" s="69"/>
      <c r="CB238" s="69"/>
      <c r="CC238" s="69"/>
      <c r="CD238" s="69"/>
      <c r="CE238" s="69"/>
      <c r="CF238" s="69"/>
      <c r="CG238" s="69"/>
      <c r="CH238" s="69"/>
      <c r="CI238" s="69"/>
      <c r="CJ238" s="69"/>
      <c r="CK238" s="69"/>
      <c r="CL238" s="69"/>
      <c r="CM238" s="69"/>
      <c r="CN238" s="69"/>
      <c r="CO238" s="69"/>
      <c r="CP238" s="69"/>
      <c r="CQ238" s="69"/>
      <c r="CR238" s="69"/>
      <c r="CS238" s="69"/>
      <c r="CT238" s="69"/>
      <c r="CU238" s="69"/>
      <c r="CV238" s="69"/>
      <c r="CW238" s="69"/>
      <c r="CX238" s="69"/>
      <c r="CY238" s="69"/>
      <c r="CZ238" s="69"/>
      <c r="DA238" s="69"/>
      <c r="DB238" s="69"/>
      <c r="DC238" s="69"/>
      <c r="DD238" s="69"/>
      <c r="DE238" s="69"/>
      <c r="DF238" s="69"/>
      <c r="DG238" s="69"/>
      <c r="DH238" s="69"/>
      <c r="DI238" s="69"/>
      <c r="DJ238" s="69"/>
      <c r="DK238" s="69"/>
      <c r="DL238" s="69"/>
      <c r="DM238" s="69"/>
      <c r="DN238" s="69"/>
      <c r="DO238" s="69"/>
      <c r="DP238" s="69"/>
      <c r="DQ238" s="69"/>
      <c r="DR238" s="69"/>
      <c r="DS238" s="69"/>
      <c r="DT238" s="69"/>
    </row>
    <row r="239" spans="1:124" ht="21.75" customHeight="1">
      <c r="A239" s="313"/>
      <c r="B239" s="232"/>
      <c r="C239" s="233"/>
      <c r="D239" s="234"/>
      <c r="E239" s="70"/>
      <c r="F239" s="70"/>
      <c r="G239" s="70"/>
      <c r="H239" s="70"/>
      <c r="I239" s="70"/>
      <c r="J239" s="70"/>
      <c r="K239" s="70"/>
      <c r="L239" s="70"/>
      <c r="M239" s="70"/>
      <c r="N239" s="70"/>
      <c r="O239" s="70"/>
      <c r="P239" s="70"/>
      <c r="Q239" s="70"/>
      <c r="R239" s="70"/>
      <c r="S239" s="70"/>
      <c r="T239" s="70"/>
      <c r="U239" s="70"/>
      <c r="V239" s="70"/>
      <c r="W239" s="70"/>
      <c r="X239" s="70"/>
      <c r="Y239" s="70"/>
      <c r="Z239" s="70"/>
      <c r="AA239" s="70"/>
      <c r="AB239" s="70"/>
      <c r="AC239" s="70"/>
      <c r="AD239" s="70"/>
      <c r="AE239" s="65"/>
      <c r="AF239" s="65"/>
      <c r="AG239" s="70"/>
      <c r="AH239" s="65"/>
      <c r="AI239" s="65"/>
      <c r="AJ239" s="65">
        <f>60/0.86</f>
        <v>69.767441860465112</v>
      </c>
      <c r="AK239" s="65"/>
      <c r="AL239" s="65"/>
      <c r="AM239" s="65">
        <f>100/0.86</f>
        <v>116.27906976744187</v>
      </c>
      <c r="AN239" s="65"/>
      <c r="AO239" s="70"/>
      <c r="AP239" s="70"/>
      <c r="AQ239" s="70"/>
      <c r="AR239" s="70"/>
      <c r="AS239" s="70"/>
      <c r="AT239" s="70"/>
      <c r="AU239" s="70"/>
      <c r="AV239" s="70"/>
      <c r="AW239" s="70"/>
      <c r="AX239" s="70"/>
      <c r="AY239" s="70"/>
      <c r="AZ239" s="70"/>
      <c r="BA239" s="70"/>
      <c r="BB239" s="70"/>
      <c r="BC239" s="70"/>
      <c r="BD239" s="70"/>
      <c r="BE239" s="70"/>
      <c r="BF239" s="70"/>
      <c r="BG239" s="70"/>
      <c r="BH239" s="70"/>
      <c r="BI239" s="70"/>
      <c r="BJ239" s="70"/>
      <c r="BK239" s="70"/>
      <c r="BL239" s="70"/>
      <c r="BM239" s="70"/>
      <c r="BN239" s="70"/>
      <c r="BO239" s="70"/>
      <c r="BP239" s="70"/>
      <c r="BQ239" s="70"/>
      <c r="BR239" s="70"/>
      <c r="BS239" s="70"/>
      <c r="BT239" s="70"/>
      <c r="BU239" s="70"/>
      <c r="BV239" s="70"/>
      <c r="BW239" s="70"/>
      <c r="BX239" s="70"/>
      <c r="BY239" s="70"/>
      <c r="BZ239" s="70"/>
      <c r="CA239" s="70"/>
      <c r="CB239" s="70"/>
      <c r="CC239" s="70"/>
      <c r="CD239" s="70"/>
      <c r="CE239" s="70"/>
      <c r="CF239" s="70"/>
      <c r="CG239" s="70"/>
      <c r="CH239" s="70"/>
      <c r="CI239" s="70"/>
      <c r="CJ239" s="70"/>
      <c r="CK239" s="70"/>
      <c r="CL239" s="70"/>
      <c r="CM239" s="70"/>
      <c r="CN239" s="70"/>
      <c r="CO239" s="70"/>
      <c r="CP239" s="70"/>
      <c r="CQ239" s="70"/>
      <c r="CR239" s="70"/>
      <c r="CS239" s="70"/>
      <c r="CT239" s="70"/>
      <c r="CU239" s="70"/>
      <c r="CV239" s="70"/>
      <c r="CW239" s="70"/>
      <c r="CX239" s="70"/>
      <c r="CY239" s="70"/>
      <c r="CZ239" s="70"/>
      <c r="DA239" s="70"/>
      <c r="DB239" s="70"/>
      <c r="DC239" s="70"/>
      <c r="DD239" s="70"/>
      <c r="DE239" s="70"/>
      <c r="DF239" s="70"/>
      <c r="DG239" s="70"/>
      <c r="DH239" s="70"/>
      <c r="DI239" s="70"/>
      <c r="DJ239" s="70"/>
      <c r="DK239" s="70"/>
      <c r="DL239" s="70"/>
      <c r="DM239" s="70"/>
      <c r="DN239" s="70"/>
      <c r="DO239" s="70"/>
      <c r="DP239" s="70"/>
      <c r="DQ239" s="70"/>
      <c r="DR239" s="70"/>
      <c r="DS239" s="70"/>
      <c r="DT239" s="70"/>
    </row>
    <row r="240" spans="1:124" ht="21.75" customHeight="1">
      <c r="A240" s="313"/>
      <c r="B240" s="235" t="s">
        <v>25</v>
      </c>
      <c r="C240" s="236"/>
      <c r="D240" s="237"/>
      <c r="E240" s="80"/>
      <c r="F240" s="80"/>
      <c r="G240" s="80"/>
      <c r="H240" s="80"/>
      <c r="I240" s="80"/>
      <c r="J240" s="80"/>
      <c r="K240" s="80"/>
      <c r="L240" s="80"/>
      <c r="M240" s="80"/>
      <c r="N240" s="80"/>
      <c r="O240" s="80"/>
      <c r="P240" s="80"/>
      <c r="Q240" s="80"/>
      <c r="R240" s="80"/>
      <c r="S240" s="80"/>
      <c r="T240" s="80"/>
      <c r="U240" s="80"/>
      <c r="V240" s="80"/>
      <c r="W240" s="80"/>
      <c r="X240" s="80"/>
      <c r="Y240" s="80"/>
      <c r="Z240" s="80"/>
      <c r="AA240" s="80"/>
      <c r="AB240" s="80"/>
      <c r="AC240" s="80"/>
      <c r="AD240" s="80"/>
      <c r="AE240" s="80"/>
      <c r="AF240" s="80"/>
      <c r="AG240" s="80"/>
      <c r="AH240" s="80"/>
      <c r="AI240" s="80"/>
      <c r="AJ240" s="80"/>
      <c r="AK240" s="80"/>
      <c r="AL240" s="80"/>
      <c r="AM240" s="80"/>
      <c r="AN240" s="80"/>
      <c r="AO240" s="80"/>
      <c r="AP240" s="80"/>
      <c r="AQ240" s="80"/>
      <c r="AR240" s="80"/>
      <c r="AS240" s="80"/>
      <c r="AT240" s="80"/>
      <c r="AU240" s="80"/>
      <c r="AV240" s="80"/>
      <c r="AW240" s="80"/>
      <c r="AX240" s="80"/>
      <c r="AY240" s="80"/>
      <c r="AZ240" s="80"/>
      <c r="BA240" s="80"/>
      <c r="BB240" s="80"/>
      <c r="BC240" s="80"/>
      <c r="BD240" s="80"/>
      <c r="BE240" s="80"/>
      <c r="BF240" s="80"/>
      <c r="BG240" s="80"/>
      <c r="BH240" s="80"/>
      <c r="BI240" s="80"/>
      <c r="BJ240" s="80"/>
      <c r="BK240" s="80"/>
      <c r="BL240" s="80"/>
      <c r="BM240" s="80"/>
      <c r="BN240" s="80"/>
      <c r="BO240" s="80"/>
      <c r="BP240" s="80"/>
      <c r="BQ240" s="80"/>
      <c r="BR240" s="80"/>
      <c r="BS240" s="80"/>
      <c r="BT240" s="80"/>
      <c r="BU240" s="80"/>
      <c r="BV240" s="80"/>
      <c r="BW240" s="80"/>
      <c r="BX240" s="80"/>
      <c r="BY240" s="80"/>
      <c r="BZ240" s="80"/>
      <c r="CA240" s="80"/>
      <c r="CB240" s="80"/>
      <c r="CC240" s="80"/>
      <c r="CD240" s="80"/>
      <c r="CE240" s="80"/>
      <c r="CF240" s="80"/>
      <c r="CG240" s="80"/>
      <c r="CH240" s="80"/>
      <c r="CI240" s="80"/>
      <c r="CJ240" s="80"/>
      <c r="CK240" s="80"/>
      <c r="CL240" s="80"/>
      <c r="CM240" s="80"/>
      <c r="CN240" s="80"/>
      <c r="CO240" s="80"/>
      <c r="CP240" s="80"/>
      <c r="CQ240" s="80"/>
      <c r="CR240" s="80"/>
      <c r="CS240" s="80"/>
      <c r="CT240" s="80"/>
      <c r="CU240" s="80"/>
      <c r="CV240" s="80"/>
      <c r="CW240" s="80"/>
      <c r="CX240" s="80"/>
      <c r="CY240" s="80"/>
      <c r="CZ240" s="80"/>
      <c r="DA240" s="80"/>
      <c r="DB240" s="80"/>
      <c r="DC240" s="80"/>
      <c r="DD240" s="80"/>
      <c r="DE240" s="80"/>
      <c r="DF240" s="80"/>
      <c r="DG240" s="80"/>
      <c r="DH240" s="80"/>
      <c r="DI240" s="80"/>
      <c r="DJ240" s="80"/>
      <c r="DK240" s="80"/>
      <c r="DL240" s="80"/>
      <c r="DM240" s="80"/>
      <c r="DN240" s="80"/>
      <c r="DO240" s="80"/>
      <c r="DP240" s="80"/>
      <c r="DQ240" s="80"/>
      <c r="DR240" s="80"/>
      <c r="DS240" s="80"/>
      <c r="DT240" s="80"/>
    </row>
    <row r="241" spans="1:124" ht="21.75" customHeight="1">
      <c r="A241" s="313"/>
      <c r="B241" s="232"/>
      <c r="C241" s="233"/>
      <c r="D241" s="234"/>
      <c r="E241" s="70"/>
      <c r="F241" s="70"/>
      <c r="G241" s="70"/>
      <c r="H241" s="70">
        <v>105</v>
      </c>
      <c r="I241" s="70"/>
      <c r="J241" s="70"/>
      <c r="K241" s="70"/>
      <c r="L241" s="70"/>
      <c r="M241" s="70"/>
      <c r="N241" s="70"/>
      <c r="O241" s="70"/>
      <c r="P241" s="70"/>
      <c r="Q241" s="70"/>
      <c r="R241" s="70"/>
      <c r="S241" s="70"/>
      <c r="T241" s="70"/>
      <c r="U241" s="70"/>
      <c r="V241" s="70"/>
      <c r="W241" s="70"/>
      <c r="X241" s="70"/>
      <c r="Y241" s="70"/>
      <c r="Z241" s="70"/>
      <c r="AA241" s="70"/>
      <c r="AB241" s="70"/>
      <c r="AC241" s="70"/>
      <c r="AD241" s="70"/>
      <c r="AE241" s="70"/>
      <c r="AF241" s="70"/>
      <c r="AG241" s="70"/>
      <c r="AH241" s="70"/>
      <c r="AI241" s="70"/>
      <c r="AJ241" s="70"/>
      <c r="AK241" s="70"/>
      <c r="AL241" s="70"/>
      <c r="AM241" s="70"/>
      <c r="AN241" s="70"/>
      <c r="AO241" s="70"/>
      <c r="AP241" s="70"/>
      <c r="AQ241" s="70"/>
      <c r="AR241" s="70"/>
      <c r="AS241" s="70"/>
      <c r="AT241" s="70"/>
      <c r="AU241" s="70"/>
      <c r="AV241" s="70"/>
      <c r="AW241" s="70"/>
      <c r="AX241" s="70"/>
      <c r="AY241" s="70"/>
      <c r="AZ241" s="70"/>
      <c r="BA241" s="70"/>
      <c r="BB241" s="70"/>
      <c r="BC241" s="70"/>
      <c r="BD241" s="70"/>
      <c r="BE241" s="70"/>
      <c r="BF241" s="70"/>
      <c r="BG241" s="70"/>
      <c r="BH241" s="70"/>
      <c r="BI241" s="70"/>
      <c r="BJ241" s="70"/>
      <c r="BK241" s="70"/>
      <c r="BL241" s="70"/>
      <c r="BM241" s="70"/>
      <c r="BN241" s="70"/>
      <c r="BO241" s="70"/>
      <c r="BP241" s="70"/>
      <c r="BQ241" s="70"/>
      <c r="BR241" s="70"/>
      <c r="BS241" s="70"/>
      <c r="BT241" s="70"/>
      <c r="BU241" s="70"/>
      <c r="BV241" s="70"/>
      <c r="BW241" s="70"/>
      <c r="BX241" s="70"/>
      <c r="BY241" s="70"/>
      <c r="BZ241" s="70"/>
      <c r="CA241" s="70"/>
      <c r="CB241" s="70"/>
      <c r="CC241" s="70"/>
      <c r="CD241" s="70"/>
      <c r="CE241" s="70"/>
      <c r="CF241" s="70"/>
      <c r="CG241" s="70"/>
      <c r="CH241" s="70"/>
      <c r="CI241" s="70"/>
      <c r="CJ241" s="70"/>
      <c r="CK241" s="70"/>
      <c r="CL241" s="70"/>
      <c r="CM241" s="70"/>
      <c r="CN241" s="70"/>
      <c r="CO241" s="70"/>
      <c r="CP241" s="70"/>
      <c r="CQ241" s="70"/>
      <c r="CR241" s="70"/>
      <c r="CS241" s="70"/>
      <c r="CT241" s="70"/>
      <c r="CU241" s="70"/>
      <c r="CV241" s="70"/>
      <c r="CW241" s="70"/>
      <c r="CX241" s="70"/>
      <c r="CY241" s="70"/>
      <c r="CZ241" s="70"/>
      <c r="DA241" s="70"/>
      <c r="DB241" s="70"/>
      <c r="DC241" s="70"/>
      <c r="DD241" s="70"/>
      <c r="DE241" s="70"/>
      <c r="DF241" s="70"/>
      <c r="DG241" s="70"/>
      <c r="DH241" s="70"/>
      <c r="DI241" s="70"/>
      <c r="DJ241" s="70"/>
      <c r="DK241" s="70"/>
      <c r="DL241" s="70"/>
      <c r="DM241" s="70"/>
      <c r="DN241" s="70"/>
      <c r="DO241" s="70"/>
      <c r="DP241" s="70"/>
      <c r="DQ241" s="70"/>
      <c r="DR241" s="70"/>
      <c r="DS241" s="70"/>
      <c r="DT241" s="70"/>
    </row>
    <row r="242" spans="1:124" ht="21.75" customHeight="1">
      <c r="A242" s="313"/>
      <c r="B242" s="229" t="s">
        <v>45</v>
      </c>
      <c r="C242" s="230"/>
      <c r="D242" s="231"/>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c r="AS242" s="69"/>
      <c r="AT242" s="69"/>
      <c r="AU242" s="69"/>
      <c r="AV242" s="69"/>
      <c r="AW242" s="69"/>
      <c r="AX242" s="69"/>
      <c r="AY242" s="69"/>
      <c r="AZ242" s="69"/>
      <c r="BA242" s="69"/>
      <c r="BB242" s="69"/>
      <c r="BC242" s="69"/>
      <c r="BD242" s="69"/>
      <c r="BE242" s="69"/>
      <c r="BF242" s="69"/>
      <c r="BG242" s="69"/>
      <c r="BH242" s="69"/>
      <c r="BI242" s="69"/>
      <c r="BJ242" s="69"/>
      <c r="BK242" s="69"/>
      <c r="BL242" s="69"/>
      <c r="BM242" s="69"/>
      <c r="BN242" s="69"/>
      <c r="BO242" s="69"/>
      <c r="BP242" s="69"/>
      <c r="BQ242" s="69"/>
      <c r="BR242" s="69"/>
      <c r="BS242" s="69"/>
      <c r="BT242" s="69"/>
      <c r="BU242" s="69"/>
      <c r="BV242" s="69"/>
      <c r="BW242" s="69"/>
      <c r="BX242" s="69"/>
      <c r="BY242" s="69"/>
      <c r="BZ242" s="69"/>
      <c r="CA242" s="69"/>
      <c r="CB242" s="69"/>
      <c r="CC242" s="69"/>
      <c r="CD242" s="69"/>
      <c r="CE242" s="69"/>
      <c r="CF242" s="69"/>
      <c r="CG242" s="69"/>
      <c r="CH242" s="69"/>
      <c r="CI242" s="69"/>
      <c r="CJ242" s="69"/>
      <c r="CK242" s="69"/>
      <c r="CL242" s="69"/>
      <c r="CM242" s="69"/>
      <c r="CN242" s="69"/>
      <c r="CO242" s="69"/>
      <c r="CP242" s="69"/>
      <c r="CQ242" s="69"/>
      <c r="CR242" s="69"/>
      <c r="CS242" s="69"/>
      <c r="CT242" s="69"/>
      <c r="CU242" s="69"/>
      <c r="CV242" s="69"/>
      <c r="CW242" s="69"/>
      <c r="CX242" s="69"/>
      <c r="CY242" s="69"/>
      <c r="CZ242" s="69"/>
      <c r="DA242" s="69"/>
      <c r="DB242" s="69"/>
      <c r="DC242" s="69"/>
      <c r="DD242" s="69"/>
      <c r="DE242" s="69"/>
      <c r="DF242" s="69"/>
      <c r="DG242" s="69"/>
      <c r="DH242" s="69"/>
      <c r="DI242" s="69"/>
      <c r="DJ242" s="69"/>
      <c r="DK242" s="69"/>
      <c r="DL242" s="69"/>
      <c r="DM242" s="69"/>
      <c r="DN242" s="69"/>
      <c r="DO242" s="69"/>
      <c r="DP242" s="69"/>
      <c r="DQ242" s="69"/>
      <c r="DR242" s="69"/>
      <c r="DS242" s="69"/>
      <c r="DT242" s="69"/>
    </row>
    <row r="243" spans="1:124" ht="21.75" customHeight="1">
      <c r="A243" s="313"/>
      <c r="B243" s="232"/>
      <c r="C243" s="233"/>
      <c r="D243" s="234"/>
      <c r="E243" s="70"/>
      <c r="F243" s="70"/>
      <c r="G243" s="70"/>
      <c r="H243" s="70"/>
      <c r="I243" s="70"/>
      <c r="J243" s="70"/>
      <c r="K243" s="70"/>
      <c r="L243" s="70"/>
      <c r="M243" s="70"/>
      <c r="N243" s="70"/>
      <c r="O243" s="70"/>
      <c r="P243" s="70"/>
      <c r="Q243" s="70"/>
      <c r="R243" s="70"/>
      <c r="S243" s="70"/>
      <c r="T243" s="70"/>
      <c r="U243" s="70"/>
      <c r="V243" s="70"/>
      <c r="W243" s="70"/>
      <c r="X243" s="70"/>
      <c r="Y243" s="70"/>
      <c r="Z243" s="70"/>
      <c r="AA243" s="70"/>
      <c r="AB243" s="70"/>
      <c r="AC243" s="70"/>
      <c r="AD243" s="70"/>
      <c r="AE243" s="70"/>
      <c r="AF243" s="70"/>
      <c r="AG243" s="70"/>
      <c r="AH243" s="70"/>
      <c r="AI243" s="70"/>
      <c r="AJ243" s="70"/>
      <c r="AK243" s="70"/>
      <c r="AL243" s="70"/>
      <c r="AM243" s="70"/>
      <c r="AN243" s="70"/>
      <c r="AO243" s="70"/>
      <c r="AP243" s="70"/>
      <c r="AQ243" s="70"/>
      <c r="AR243" s="70"/>
      <c r="AS243" s="70"/>
      <c r="AT243" s="70"/>
      <c r="AU243" s="70"/>
      <c r="AV243" s="70"/>
      <c r="AW243" s="70"/>
      <c r="AX243" s="70"/>
      <c r="AY243" s="70"/>
      <c r="AZ243" s="70"/>
      <c r="BA243" s="70"/>
      <c r="BB243" s="70"/>
      <c r="BC243" s="70"/>
      <c r="BD243" s="70"/>
      <c r="BE243" s="70"/>
      <c r="BF243" s="70"/>
      <c r="BG243" s="70"/>
      <c r="BH243" s="70"/>
      <c r="BI243" s="70"/>
      <c r="BJ243" s="70"/>
      <c r="BK243" s="70"/>
      <c r="BL243" s="70"/>
      <c r="BM243" s="70"/>
      <c r="BN243" s="70"/>
      <c r="BO243" s="70"/>
      <c r="BP243" s="70"/>
      <c r="BQ243" s="70"/>
      <c r="BR243" s="70"/>
      <c r="BS243" s="70"/>
      <c r="BT243" s="70"/>
      <c r="BU243" s="70"/>
      <c r="BV243" s="70"/>
      <c r="BW243" s="70"/>
      <c r="BX243" s="70"/>
      <c r="BY243" s="70"/>
      <c r="BZ243" s="70"/>
      <c r="CA243" s="70"/>
      <c r="CB243" s="70"/>
      <c r="CC243" s="70"/>
      <c r="CD243" s="70"/>
      <c r="CE243" s="70"/>
      <c r="CF243" s="70"/>
      <c r="CG243" s="70"/>
      <c r="CH243" s="70"/>
      <c r="CI243" s="70"/>
      <c r="CJ243" s="70"/>
      <c r="CK243" s="70"/>
      <c r="CL243" s="70"/>
      <c r="CM243" s="70"/>
      <c r="CN243" s="70"/>
      <c r="CO243" s="70"/>
      <c r="CP243" s="70"/>
      <c r="CQ243" s="70"/>
      <c r="CR243" s="70"/>
      <c r="CS243" s="70"/>
      <c r="CT243" s="70"/>
      <c r="CU243" s="70"/>
      <c r="CV243" s="70"/>
      <c r="CW243" s="70"/>
      <c r="CX243" s="70"/>
      <c r="CY243" s="70"/>
      <c r="CZ243" s="70"/>
      <c r="DA243" s="70"/>
      <c r="DB243" s="70"/>
      <c r="DC243" s="70"/>
      <c r="DD243" s="70"/>
      <c r="DE243" s="70"/>
      <c r="DF243" s="70"/>
      <c r="DG243" s="70"/>
      <c r="DH243" s="70"/>
      <c r="DI243" s="70"/>
      <c r="DJ243" s="70"/>
      <c r="DK243" s="70"/>
      <c r="DL243" s="70"/>
      <c r="DM243" s="70"/>
      <c r="DN243" s="70"/>
      <c r="DO243" s="70"/>
      <c r="DP243" s="70"/>
      <c r="DQ243" s="70"/>
      <c r="DR243" s="70"/>
      <c r="DS243" s="70"/>
      <c r="DT243" s="70"/>
    </row>
    <row r="244" spans="1:124" ht="21.75" customHeight="1">
      <c r="A244" s="313"/>
      <c r="B244" s="229" t="s">
        <v>127</v>
      </c>
      <c r="C244" s="230"/>
      <c r="D244" s="231"/>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c r="AP244" s="68"/>
      <c r="AQ244" s="68"/>
      <c r="AR244" s="68"/>
      <c r="AS244" s="69"/>
      <c r="AT244" s="69"/>
      <c r="AU244" s="69"/>
      <c r="AV244" s="69" t="s">
        <v>465</v>
      </c>
      <c r="AW244" s="69"/>
      <c r="AX244" s="69"/>
      <c r="AY244" s="69"/>
      <c r="AZ244" s="69"/>
      <c r="BA244" s="69"/>
      <c r="BB244" s="69"/>
      <c r="BC244" s="69"/>
      <c r="BD244" s="69"/>
      <c r="BE244" s="69"/>
      <c r="BF244" s="69"/>
      <c r="BG244" s="68"/>
      <c r="BH244" s="68"/>
      <c r="BI244" s="68"/>
      <c r="BJ244" s="68"/>
      <c r="BK244" s="68"/>
      <c r="BL244" s="68"/>
      <c r="BM244" s="68"/>
      <c r="BN244" s="68"/>
      <c r="BO244" s="68"/>
      <c r="BP244" s="68"/>
      <c r="BQ244" s="68"/>
      <c r="BR244" s="68"/>
      <c r="BS244" s="68"/>
      <c r="BT244" s="68"/>
      <c r="BU244" s="68"/>
      <c r="BV244" s="68"/>
      <c r="BW244" s="68"/>
      <c r="BX244" s="68"/>
      <c r="BY244" s="68"/>
      <c r="BZ244" s="68"/>
      <c r="CA244" s="68"/>
      <c r="CB244" s="68"/>
      <c r="CC244" s="68"/>
      <c r="CD244" s="68"/>
      <c r="CE244" s="68"/>
      <c r="CF244" s="68"/>
      <c r="CG244" s="68"/>
      <c r="CH244" s="68"/>
      <c r="CI244" s="68"/>
      <c r="CJ244" s="68"/>
      <c r="CK244" s="68"/>
      <c r="CL244" s="68"/>
      <c r="CM244" s="68"/>
      <c r="CN244" s="68"/>
      <c r="CO244" s="68"/>
      <c r="CP244" s="68"/>
      <c r="CQ244" s="68"/>
      <c r="CR244" s="68"/>
      <c r="CS244" s="68"/>
      <c r="CT244" s="68"/>
      <c r="CU244" s="68"/>
      <c r="CV244" s="68"/>
      <c r="CW244" s="68"/>
      <c r="CX244" s="68"/>
      <c r="CY244" s="68"/>
      <c r="CZ244" s="68"/>
      <c r="DA244" s="68"/>
      <c r="DB244" s="68"/>
      <c r="DC244" s="68"/>
      <c r="DD244" s="68"/>
      <c r="DE244" s="68"/>
      <c r="DF244" s="68"/>
      <c r="DG244" s="68"/>
      <c r="DH244" s="68"/>
      <c r="DI244" s="68"/>
      <c r="DJ244" s="68"/>
      <c r="DK244" s="68"/>
      <c r="DL244" s="68"/>
      <c r="DM244" s="68"/>
      <c r="DN244" s="68"/>
      <c r="DO244" s="68"/>
      <c r="DP244" s="68"/>
      <c r="DQ244" s="68"/>
      <c r="DR244" s="68"/>
      <c r="DS244" s="68"/>
      <c r="DT244" s="68"/>
    </row>
    <row r="245" spans="1:124" ht="21.75" customHeight="1">
      <c r="A245" s="313"/>
      <c r="B245" s="232"/>
      <c r="C245" s="233"/>
      <c r="D245" s="234"/>
      <c r="E245" s="70"/>
      <c r="F245" s="70"/>
      <c r="G245" s="70"/>
      <c r="H245" s="70"/>
      <c r="I245" s="70"/>
      <c r="J245" s="70"/>
      <c r="K245" s="70"/>
      <c r="L245" s="70"/>
      <c r="M245" s="70"/>
      <c r="N245" s="70"/>
      <c r="O245" s="70"/>
      <c r="P245" s="70"/>
      <c r="Q245" s="70"/>
      <c r="R245" s="70"/>
      <c r="S245" s="70"/>
      <c r="T245" s="70"/>
      <c r="U245" s="70"/>
      <c r="V245" s="70"/>
      <c r="W245" s="70"/>
      <c r="X245" s="70"/>
      <c r="Y245" s="70"/>
      <c r="Z245" s="70"/>
      <c r="AA245" s="70"/>
      <c r="AB245" s="70"/>
      <c r="AC245" s="70"/>
      <c r="AD245" s="70"/>
      <c r="AE245" s="70"/>
      <c r="AF245" s="70"/>
      <c r="AG245" s="70"/>
      <c r="AH245" s="70"/>
      <c r="AI245" s="70"/>
      <c r="AJ245" s="70"/>
      <c r="AK245" s="70"/>
      <c r="AL245" s="70"/>
      <c r="AM245" s="70"/>
      <c r="AN245" s="70"/>
      <c r="AO245" s="70"/>
      <c r="AP245" s="65"/>
      <c r="AQ245" s="65"/>
      <c r="AR245" s="65"/>
      <c r="AS245" s="70"/>
      <c r="AT245" s="70"/>
      <c r="AU245" s="70"/>
      <c r="AV245" s="70">
        <f>18/0.735</f>
        <v>24.489795918367346</v>
      </c>
      <c r="AW245" s="70"/>
      <c r="AX245" s="70"/>
      <c r="AY245" s="70"/>
      <c r="AZ245" s="70"/>
      <c r="BA245" s="70"/>
      <c r="BB245" s="70"/>
      <c r="BC245" s="70"/>
      <c r="BD245" s="70"/>
      <c r="BE245" s="70"/>
      <c r="BF245" s="70"/>
      <c r="BG245" s="65"/>
      <c r="BH245" s="65"/>
      <c r="BI245" s="65"/>
      <c r="BJ245" s="65"/>
      <c r="BK245" s="65"/>
      <c r="BL245" s="65"/>
      <c r="BM245" s="65"/>
      <c r="BN245" s="65"/>
      <c r="BO245" s="65"/>
      <c r="BP245" s="65"/>
      <c r="BQ245" s="65"/>
      <c r="BR245" s="65"/>
      <c r="BS245" s="65"/>
      <c r="BT245" s="65"/>
      <c r="BU245" s="65"/>
      <c r="BV245" s="65"/>
      <c r="BW245" s="65"/>
      <c r="BX245" s="65"/>
      <c r="BY245" s="65"/>
      <c r="BZ245" s="65"/>
      <c r="CA245" s="65"/>
      <c r="CB245" s="65"/>
      <c r="CC245" s="65"/>
      <c r="CD245" s="65"/>
      <c r="CE245" s="65"/>
      <c r="CF245" s="65"/>
      <c r="CG245" s="65"/>
      <c r="CH245" s="65"/>
      <c r="CI245" s="65"/>
      <c r="CJ245" s="65"/>
      <c r="CK245" s="65"/>
      <c r="CL245" s="65"/>
      <c r="CM245" s="65"/>
      <c r="CN245" s="65"/>
      <c r="CO245" s="65"/>
      <c r="CP245" s="65"/>
      <c r="CQ245" s="65"/>
      <c r="CR245" s="65"/>
      <c r="CS245" s="65"/>
      <c r="CT245" s="65"/>
      <c r="CU245" s="65"/>
      <c r="CV245" s="65"/>
      <c r="CW245" s="65"/>
      <c r="CX245" s="65"/>
      <c r="CY245" s="65"/>
      <c r="CZ245" s="65"/>
      <c r="DA245" s="65"/>
      <c r="DB245" s="65"/>
      <c r="DC245" s="65"/>
      <c r="DD245" s="65"/>
      <c r="DE245" s="65"/>
      <c r="DF245" s="65"/>
      <c r="DG245" s="65"/>
      <c r="DH245" s="65"/>
      <c r="DI245" s="65"/>
      <c r="DJ245" s="65"/>
      <c r="DK245" s="65"/>
      <c r="DL245" s="65"/>
      <c r="DM245" s="65"/>
      <c r="DN245" s="65"/>
      <c r="DO245" s="65"/>
      <c r="DP245" s="65"/>
      <c r="DQ245" s="65"/>
      <c r="DR245" s="65"/>
      <c r="DS245" s="65"/>
      <c r="DT245" s="65"/>
    </row>
    <row r="246" spans="1:124" ht="21.75" customHeight="1">
      <c r="A246" s="313"/>
      <c r="B246" s="229" t="s">
        <v>421</v>
      </c>
      <c r="C246" s="230"/>
      <c r="D246" s="231"/>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c r="AD246" s="69"/>
      <c r="AE246" s="69"/>
      <c r="AF246" s="69"/>
      <c r="AG246" s="69"/>
      <c r="AH246" s="69"/>
      <c r="AI246" s="69"/>
      <c r="AJ246" s="69"/>
      <c r="AK246" s="69"/>
      <c r="AL246" s="69"/>
      <c r="AM246" s="69"/>
      <c r="AN246" s="69"/>
      <c r="AO246" s="69"/>
      <c r="AP246" s="68"/>
      <c r="AQ246" s="68"/>
      <c r="AR246" s="68"/>
      <c r="AS246" s="69"/>
      <c r="AT246" s="69"/>
      <c r="AU246" s="69"/>
      <c r="AV246" s="69"/>
      <c r="AW246" s="69"/>
      <c r="AX246" s="69"/>
      <c r="AY246" s="69"/>
      <c r="AZ246" s="69"/>
      <c r="BA246" s="69"/>
      <c r="BB246" s="69"/>
      <c r="BC246" s="69"/>
      <c r="BD246" s="69"/>
      <c r="BE246" s="69"/>
      <c r="BF246" s="68"/>
      <c r="BG246" s="68"/>
      <c r="BH246" s="68"/>
      <c r="BI246" s="68"/>
      <c r="BJ246" s="68"/>
      <c r="BK246" s="68"/>
      <c r="BL246" s="68"/>
      <c r="BM246" s="68"/>
      <c r="BN246" s="68"/>
      <c r="BO246" s="68"/>
      <c r="BP246" s="68"/>
      <c r="BQ246" s="68"/>
      <c r="BR246" s="68"/>
      <c r="BS246" s="68"/>
      <c r="BT246" s="68"/>
      <c r="BU246" s="68"/>
      <c r="BV246" s="68"/>
      <c r="BW246" s="68"/>
      <c r="BX246" s="68"/>
      <c r="BY246" s="68"/>
      <c r="BZ246" s="68"/>
      <c r="CA246" s="68"/>
      <c r="CB246" s="68"/>
      <c r="CC246" s="68"/>
      <c r="CD246" s="68"/>
      <c r="CE246" s="68"/>
      <c r="CF246" s="68"/>
      <c r="CG246" s="68"/>
      <c r="CH246" s="68"/>
      <c r="CI246" s="68"/>
      <c r="CJ246" s="68"/>
      <c r="CK246" s="68"/>
      <c r="CL246" s="68"/>
      <c r="CM246" s="68"/>
      <c r="CN246" s="68"/>
      <c r="CO246" s="68"/>
      <c r="CP246" s="68"/>
      <c r="CQ246" s="68"/>
      <c r="CR246" s="68"/>
      <c r="CS246" s="68"/>
      <c r="CT246" s="68"/>
      <c r="CU246" s="68"/>
      <c r="CV246" s="68"/>
      <c r="CW246" s="68"/>
      <c r="CX246" s="68"/>
      <c r="CY246" s="68"/>
      <c r="CZ246" s="68"/>
      <c r="DA246" s="68"/>
      <c r="DB246" s="68"/>
      <c r="DC246" s="68"/>
      <c r="DD246" s="68"/>
      <c r="DE246" s="68"/>
      <c r="DF246" s="68"/>
      <c r="DG246" s="68"/>
      <c r="DH246" s="68"/>
      <c r="DI246" s="68"/>
      <c r="DJ246" s="68"/>
      <c r="DK246" s="68"/>
      <c r="DL246" s="68"/>
      <c r="DM246" s="68"/>
      <c r="DN246" s="68"/>
      <c r="DO246" s="68"/>
      <c r="DP246" s="68"/>
      <c r="DQ246" s="68"/>
      <c r="DR246" s="68"/>
      <c r="DS246" s="68"/>
      <c r="DT246" s="68"/>
    </row>
    <row r="247" spans="1:124" ht="21.75" customHeight="1">
      <c r="A247" s="313"/>
      <c r="B247" s="232"/>
      <c r="C247" s="233"/>
      <c r="D247" s="234"/>
      <c r="E247" s="70"/>
      <c r="F247" s="70"/>
      <c r="G247" s="70"/>
      <c r="H247" s="70"/>
      <c r="I247" s="70"/>
      <c r="J247" s="70"/>
      <c r="K247" s="70"/>
      <c r="L247" s="70"/>
      <c r="M247" s="70"/>
      <c r="N247" s="70"/>
      <c r="O247" s="70"/>
      <c r="P247" s="70"/>
      <c r="Q247" s="70"/>
      <c r="R247" s="70"/>
      <c r="S247" s="70"/>
      <c r="T247" s="70"/>
      <c r="U247" s="70"/>
      <c r="V247" s="70"/>
      <c r="W247" s="70"/>
      <c r="X247" s="70"/>
      <c r="Y247" s="70"/>
      <c r="Z247" s="70"/>
      <c r="AA247" s="70"/>
      <c r="AB247" s="70"/>
      <c r="AC247" s="70"/>
      <c r="AD247" s="70"/>
      <c r="AE247" s="70"/>
      <c r="AF247" s="70"/>
      <c r="AG247" s="70"/>
      <c r="AH247" s="70"/>
      <c r="AI247" s="70"/>
      <c r="AJ247" s="70"/>
      <c r="AK247" s="70"/>
      <c r="AL247" s="70"/>
      <c r="AM247" s="70"/>
      <c r="AN247" s="70"/>
      <c r="AO247" s="70"/>
      <c r="AP247" s="65"/>
      <c r="AQ247" s="65"/>
      <c r="AR247" s="65"/>
      <c r="AS247" s="70"/>
      <c r="AT247" s="70"/>
      <c r="AU247" s="70"/>
      <c r="AV247" s="70"/>
      <c r="AW247" s="70"/>
      <c r="AX247" s="70"/>
      <c r="AY247" s="70"/>
      <c r="AZ247" s="70"/>
      <c r="BA247" s="70"/>
      <c r="BB247" s="70"/>
      <c r="BC247" s="70"/>
      <c r="BD247" s="70"/>
      <c r="BE247" s="70"/>
      <c r="BF247" s="65"/>
      <c r="BG247" s="65"/>
      <c r="BH247" s="65"/>
      <c r="BI247" s="65"/>
      <c r="BJ247" s="65"/>
      <c r="BK247" s="65"/>
      <c r="BL247" s="65"/>
      <c r="BM247" s="65"/>
      <c r="BN247" s="65"/>
      <c r="BO247" s="65"/>
      <c r="BP247" s="65"/>
      <c r="BQ247" s="65"/>
      <c r="BR247" s="65"/>
      <c r="BS247" s="65"/>
      <c r="BT247" s="65"/>
      <c r="BU247" s="65"/>
      <c r="BV247" s="65"/>
      <c r="BW247" s="65"/>
      <c r="BX247" s="65"/>
      <c r="BY247" s="65"/>
      <c r="BZ247" s="65"/>
      <c r="CA247" s="65"/>
      <c r="CB247" s="65"/>
      <c r="CC247" s="65"/>
      <c r="CD247" s="65"/>
      <c r="CE247" s="65"/>
      <c r="CF247" s="65"/>
      <c r="CG247" s="65"/>
      <c r="CH247" s="65"/>
      <c r="CI247" s="65"/>
      <c r="CJ247" s="65"/>
      <c r="CK247" s="65"/>
      <c r="CL247" s="65"/>
      <c r="CM247" s="65"/>
      <c r="CN247" s="65"/>
      <c r="CO247" s="65"/>
      <c r="CP247" s="65"/>
      <c r="CQ247" s="65"/>
      <c r="CR247" s="65"/>
      <c r="CS247" s="65"/>
      <c r="CT247" s="65"/>
      <c r="CU247" s="65"/>
      <c r="CV247" s="65"/>
      <c r="CW247" s="65"/>
      <c r="CX247" s="65"/>
      <c r="CY247" s="65"/>
      <c r="CZ247" s="65"/>
      <c r="DA247" s="65"/>
      <c r="DB247" s="65"/>
      <c r="DC247" s="65"/>
      <c r="DD247" s="65"/>
      <c r="DE247" s="65"/>
      <c r="DF247" s="65"/>
      <c r="DG247" s="65"/>
      <c r="DH247" s="65"/>
      <c r="DI247" s="65"/>
      <c r="DJ247" s="65"/>
      <c r="DK247" s="65"/>
      <c r="DL247" s="65"/>
      <c r="DM247" s="65"/>
      <c r="DN247" s="65"/>
      <c r="DO247" s="65"/>
      <c r="DP247" s="65"/>
      <c r="DQ247" s="65"/>
      <c r="DR247" s="65"/>
      <c r="DS247" s="65"/>
      <c r="DT247" s="65"/>
    </row>
    <row r="248" spans="1:124" ht="21.75" customHeight="1">
      <c r="A248" s="313"/>
    </row>
    <row r="249" spans="1:124" ht="21.75" customHeight="1" thickBot="1">
      <c r="A249" s="313"/>
    </row>
    <row r="250" spans="1:124" ht="21.75" customHeight="1">
      <c r="A250" s="311"/>
      <c r="B250" s="176" t="s">
        <v>33</v>
      </c>
      <c r="C250" s="177"/>
      <c r="D250" s="178"/>
      <c r="E250" s="270"/>
      <c r="F250" s="188">
        <v>41000</v>
      </c>
      <c r="G250" s="188">
        <v>41030</v>
      </c>
      <c r="H250" s="188">
        <v>41061</v>
      </c>
      <c r="I250" s="182">
        <v>41512</v>
      </c>
      <c r="J250" s="187">
        <v>41603</v>
      </c>
      <c r="K250" s="187">
        <v>41606</v>
      </c>
      <c r="L250" s="187">
        <v>41625</v>
      </c>
      <c r="M250" s="187">
        <v>41627</v>
      </c>
      <c r="N250" s="187">
        <v>41629</v>
      </c>
      <c r="O250" s="187">
        <v>41632</v>
      </c>
      <c r="P250" s="187">
        <v>41646</v>
      </c>
      <c r="Q250" s="187">
        <v>41648</v>
      </c>
      <c r="R250" s="187">
        <v>41650</v>
      </c>
      <c r="S250" s="187">
        <v>41662</v>
      </c>
      <c r="T250" s="187">
        <v>41667</v>
      </c>
      <c r="U250" s="182" t="s">
        <v>483</v>
      </c>
      <c r="V250" s="268">
        <v>41756</v>
      </c>
      <c r="W250" s="268">
        <v>41758</v>
      </c>
      <c r="X250" s="268">
        <v>41760</v>
      </c>
      <c r="Y250" s="268">
        <v>41762</v>
      </c>
      <c r="Z250" s="268">
        <v>41767</v>
      </c>
      <c r="AA250" s="268">
        <v>41768</v>
      </c>
      <c r="AB250" s="268">
        <v>41770</v>
      </c>
      <c r="AC250" s="268">
        <v>41771</v>
      </c>
      <c r="AD250" s="268">
        <v>41773</v>
      </c>
      <c r="AE250" s="268">
        <v>41775</v>
      </c>
      <c r="AF250" s="268">
        <v>41777</v>
      </c>
      <c r="AG250" s="268">
        <v>41783</v>
      </c>
      <c r="AH250" s="271">
        <v>41787</v>
      </c>
      <c r="AI250" s="270">
        <v>41789</v>
      </c>
      <c r="AJ250" s="268">
        <v>41791</v>
      </c>
      <c r="AK250" s="268">
        <v>41794</v>
      </c>
      <c r="AL250" s="268">
        <v>41796</v>
      </c>
      <c r="AM250" s="268">
        <v>41802</v>
      </c>
      <c r="AN250" s="268">
        <v>41803</v>
      </c>
      <c r="AO250" s="268">
        <v>41808</v>
      </c>
      <c r="AP250" s="186">
        <v>41971</v>
      </c>
      <c r="AQ250" s="186">
        <v>41971</v>
      </c>
      <c r="AR250" s="186">
        <v>41971</v>
      </c>
      <c r="AS250" s="187"/>
      <c r="AT250" s="187"/>
      <c r="AU250" s="187"/>
      <c r="AV250" s="187"/>
      <c r="AW250" s="187"/>
      <c r="AX250" s="187"/>
      <c r="AY250" s="187"/>
      <c r="AZ250" s="187"/>
      <c r="BA250" s="187"/>
      <c r="BB250" s="186">
        <v>41897</v>
      </c>
      <c r="BC250" s="186">
        <v>41899</v>
      </c>
      <c r="BD250" s="186">
        <v>41901</v>
      </c>
      <c r="BE250" s="186">
        <v>41904</v>
      </c>
      <c r="BF250" s="186">
        <v>41906</v>
      </c>
      <c r="BG250" s="186">
        <v>41908</v>
      </c>
      <c r="BH250" s="186">
        <v>41911</v>
      </c>
      <c r="BI250" s="186">
        <v>41913</v>
      </c>
      <c r="BJ250" s="186">
        <v>41915</v>
      </c>
      <c r="BK250" s="186">
        <v>41918</v>
      </c>
      <c r="BL250" s="186">
        <v>41920</v>
      </c>
      <c r="BM250" s="186">
        <v>41922</v>
      </c>
      <c r="BN250" s="186">
        <v>41925</v>
      </c>
      <c r="BO250" s="186">
        <v>41927</v>
      </c>
      <c r="BP250" s="186">
        <v>41929</v>
      </c>
      <c r="BQ250" s="186">
        <v>41932</v>
      </c>
      <c r="BR250" s="186">
        <v>41934</v>
      </c>
      <c r="BS250" s="186">
        <v>41936</v>
      </c>
      <c r="BT250" s="186">
        <v>41939</v>
      </c>
      <c r="BU250" s="186">
        <v>41941</v>
      </c>
      <c r="BV250" s="186">
        <v>41943</v>
      </c>
      <c r="BW250" s="186">
        <v>41946</v>
      </c>
      <c r="BX250" s="186">
        <v>41948</v>
      </c>
      <c r="BY250" s="186">
        <v>41950</v>
      </c>
      <c r="BZ250" s="186">
        <v>41953</v>
      </c>
      <c r="CA250" s="186">
        <v>41955</v>
      </c>
      <c r="CB250" s="186">
        <v>41957</v>
      </c>
      <c r="CC250" s="186">
        <v>41960</v>
      </c>
      <c r="CD250" s="186">
        <v>41962</v>
      </c>
      <c r="CE250" s="186">
        <v>41964</v>
      </c>
      <c r="CF250" s="186">
        <v>41967</v>
      </c>
      <c r="CG250" s="186">
        <v>41969</v>
      </c>
      <c r="CH250" s="186">
        <v>41971</v>
      </c>
      <c r="CI250" s="186">
        <v>41971</v>
      </c>
      <c r="CJ250" s="186">
        <v>41971</v>
      </c>
      <c r="CK250" s="186">
        <v>41971</v>
      </c>
      <c r="CL250" s="186">
        <v>41971</v>
      </c>
      <c r="CM250" s="186">
        <v>41971</v>
      </c>
      <c r="CN250" s="186">
        <v>41971</v>
      </c>
      <c r="CO250" s="186">
        <v>41971</v>
      </c>
      <c r="CP250" s="186">
        <v>41971</v>
      </c>
      <c r="CQ250" s="186">
        <v>41971</v>
      </c>
      <c r="CR250" s="186">
        <v>41971</v>
      </c>
      <c r="CS250" s="186">
        <v>41971</v>
      </c>
      <c r="CT250" s="186">
        <v>41971</v>
      </c>
      <c r="CU250" s="186">
        <v>41971</v>
      </c>
      <c r="CV250" s="186">
        <v>41971</v>
      </c>
      <c r="CW250" s="186">
        <v>41971</v>
      </c>
      <c r="CX250" s="186">
        <v>41971</v>
      </c>
      <c r="CY250" s="186">
        <v>41971</v>
      </c>
      <c r="CZ250" s="186">
        <v>41971</v>
      </c>
      <c r="DA250" s="186">
        <v>41971</v>
      </c>
      <c r="DB250" s="186">
        <v>41971</v>
      </c>
      <c r="DC250" s="186">
        <v>41971</v>
      </c>
      <c r="DD250" s="186">
        <v>41971</v>
      </c>
      <c r="DE250" s="186">
        <v>41971</v>
      </c>
      <c r="DF250" s="186">
        <v>41971</v>
      </c>
      <c r="DG250" s="186">
        <v>41971</v>
      </c>
      <c r="DH250" s="186">
        <v>41971</v>
      </c>
      <c r="DI250" s="186">
        <v>41971</v>
      </c>
      <c r="DJ250" s="186">
        <v>41971</v>
      </c>
      <c r="DK250" s="186">
        <v>41971</v>
      </c>
      <c r="DL250" s="186">
        <v>41971</v>
      </c>
      <c r="DM250" s="186">
        <v>41971</v>
      </c>
      <c r="DN250" s="186">
        <v>41971</v>
      </c>
      <c r="DO250" s="186">
        <v>41971</v>
      </c>
      <c r="DP250" s="186">
        <v>41971</v>
      </c>
      <c r="DQ250" s="186">
        <v>41971</v>
      </c>
      <c r="DR250" s="186">
        <v>41971</v>
      </c>
      <c r="DS250" s="186">
        <v>41971</v>
      </c>
      <c r="DT250" s="186">
        <v>41971</v>
      </c>
    </row>
    <row r="251" spans="1:124" ht="21.75" customHeight="1">
      <c r="A251" s="311"/>
      <c r="B251" s="179"/>
      <c r="C251" s="180"/>
      <c r="D251" s="181"/>
      <c r="E251" s="267"/>
      <c r="F251" s="189"/>
      <c r="G251" s="189"/>
      <c r="H251" s="189"/>
      <c r="I251" s="183"/>
      <c r="J251" s="267"/>
      <c r="K251" s="267"/>
      <c r="L251" s="267"/>
      <c r="M251" s="267"/>
      <c r="N251" s="267"/>
      <c r="O251" s="267"/>
      <c r="P251" s="267"/>
      <c r="Q251" s="267"/>
      <c r="R251" s="267"/>
      <c r="S251" s="267"/>
      <c r="T251" s="267"/>
      <c r="U251" s="183"/>
      <c r="V251" s="269"/>
      <c r="W251" s="269"/>
      <c r="X251" s="269"/>
      <c r="Y251" s="269"/>
      <c r="Z251" s="269"/>
      <c r="AA251" s="269"/>
      <c r="AB251" s="269"/>
      <c r="AC251" s="269"/>
      <c r="AD251" s="269"/>
      <c r="AE251" s="269"/>
      <c r="AF251" s="269"/>
      <c r="AG251" s="269"/>
      <c r="AH251" s="272"/>
      <c r="AI251" s="267"/>
      <c r="AJ251" s="269"/>
      <c r="AK251" s="269"/>
      <c r="AL251" s="269"/>
      <c r="AM251" s="269"/>
      <c r="AN251" s="269"/>
      <c r="AO251" s="269"/>
      <c r="AP251" s="186"/>
      <c r="AQ251" s="186"/>
      <c r="AR251" s="186"/>
      <c r="AS251" s="267"/>
      <c r="AT251" s="267"/>
      <c r="AU251" s="267"/>
      <c r="AV251" s="267"/>
      <c r="AW251" s="267"/>
      <c r="AX251" s="267"/>
      <c r="AY251" s="267"/>
      <c r="AZ251" s="267"/>
      <c r="BA251" s="267"/>
      <c r="BB251" s="186"/>
      <c r="BC251" s="186"/>
      <c r="BD251" s="186"/>
      <c r="BE251" s="186"/>
      <c r="BF251" s="186"/>
      <c r="BG251" s="186"/>
      <c r="BH251" s="186"/>
      <c r="BI251" s="186"/>
      <c r="BJ251" s="186"/>
      <c r="BK251" s="186"/>
      <c r="BL251" s="186"/>
      <c r="BM251" s="186"/>
      <c r="BN251" s="186"/>
      <c r="BO251" s="186"/>
      <c r="BP251" s="186"/>
      <c r="BQ251" s="186"/>
      <c r="BR251" s="186"/>
      <c r="BS251" s="186"/>
      <c r="BT251" s="186"/>
      <c r="BU251" s="186"/>
      <c r="BV251" s="186"/>
      <c r="BW251" s="186"/>
      <c r="BX251" s="186"/>
      <c r="BY251" s="186"/>
      <c r="BZ251" s="186"/>
      <c r="CA251" s="186"/>
      <c r="CB251" s="186"/>
      <c r="CC251" s="186"/>
      <c r="CD251" s="186"/>
      <c r="CE251" s="186"/>
      <c r="CF251" s="186"/>
      <c r="CG251" s="186"/>
      <c r="CH251" s="186"/>
      <c r="CI251" s="186"/>
      <c r="CJ251" s="186"/>
      <c r="CK251" s="186"/>
      <c r="CL251" s="186"/>
      <c r="CM251" s="186"/>
      <c r="CN251" s="186"/>
      <c r="CO251" s="186"/>
      <c r="CP251" s="186"/>
      <c r="CQ251" s="186"/>
      <c r="CR251" s="186"/>
      <c r="CS251" s="186"/>
      <c r="CT251" s="186"/>
      <c r="CU251" s="186"/>
      <c r="CV251" s="186"/>
      <c r="CW251" s="186"/>
      <c r="CX251" s="186"/>
      <c r="CY251" s="186"/>
      <c r="CZ251" s="186"/>
      <c r="DA251" s="186"/>
      <c r="DB251" s="186"/>
      <c r="DC251" s="186"/>
      <c r="DD251" s="186"/>
      <c r="DE251" s="186"/>
      <c r="DF251" s="186"/>
      <c r="DG251" s="186"/>
      <c r="DH251" s="186"/>
      <c r="DI251" s="186"/>
      <c r="DJ251" s="186"/>
      <c r="DK251" s="186"/>
      <c r="DL251" s="186"/>
      <c r="DM251" s="186"/>
      <c r="DN251" s="186"/>
      <c r="DO251" s="186"/>
      <c r="DP251" s="186"/>
      <c r="DQ251" s="186"/>
      <c r="DR251" s="186"/>
      <c r="DS251" s="186"/>
      <c r="DT251" s="186"/>
    </row>
    <row r="252" spans="1:124" ht="21.75" customHeight="1">
      <c r="A252" s="311"/>
      <c r="B252" s="179"/>
      <c r="C252" s="180"/>
      <c r="D252" s="181"/>
      <c r="E252" s="267"/>
      <c r="F252" s="189"/>
      <c r="G252" s="189"/>
      <c r="H252" s="189"/>
      <c r="I252" s="183"/>
      <c r="J252" s="267"/>
      <c r="K252" s="267"/>
      <c r="L252" s="267"/>
      <c r="M252" s="267"/>
      <c r="N252" s="267"/>
      <c r="O252" s="267"/>
      <c r="P252" s="267"/>
      <c r="Q252" s="267"/>
      <c r="R252" s="267"/>
      <c r="S252" s="267"/>
      <c r="T252" s="267"/>
      <c r="U252" s="183"/>
      <c r="V252" s="269"/>
      <c r="W252" s="269"/>
      <c r="X252" s="269"/>
      <c r="Y252" s="269"/>
      <c r="Z252" s="269"/>
      <c r="AA252" s="269"/>
      <c r="AB252" s="269"/>
      <c r="AC252" s="269"/>
      <c r="AD252" s="269"/>
      <c r="AE252" s="269"/>
      <c r="AF252" s="269"/>
      <c r="AG252" s="269"/>
      <c r="AH252" s="272"/>
      <c r="AI252" s="267"/>
      <c r="AJ252" s="269"/>
      <c r="AK252" s="269"/>
      <c r="AL252" s="269"/>
      <c r="AM252" s="269"/>
      <c r="AN252" s="269"/>
      <c r="AO252" s="269"/>
      <c r="AP252" s="186"/>
      <c r="AQ252" s="186"/>
      <c r="AR252" s="186"/>
      <c r="AS252" s="267"/>
      <c r="AT252" s="267"/>
      <c r="AU252" s="267"/>
      <c r="AV252" s="267"/>
      <c r="AW252" s="267"/>
      <c r="AX252" s="267"/>
      <c r="AY252" s="267"/>
      <c r="AZ252" s="267"/>
      <c r="BA252" s="267"/>
      <c r="BB252" s="186"/>
      <c r="BC252" s="186"/>
      <c r="BD252" s="186"/>
      <c r="BE252" s="186"/>
      <c r="BF252" s="186"/>
      <c r="BG252" s="186"/>
      <c r="BH252" s="186"/>
      <c r="BI252" s="186"/>
      <c r="BJ252" s="186"/>
      <c r="BK252" s="186"/>
      <c r="BL252" s="186"/>
      <c r="BM252" s="186"/>
      <c r="BN252" s="186"/>
      <c r="BO252" s="186"/>
      <c r="BP252" s="186"/>
      <c r="BQ252" s="186"/>
      <c r="BR252" s="186"/>
      <c r="BS252" s="186"/>
      <c r="BT252" s="186"/>
      <c r="BU252" s="186"/>
      <c r="BV252" s="186"/>
      <c r="BW252" s="186"/>
      <c r="BX252" s="186"/>
      <c r="BY252" s="186"/>
      <c r="BZ252" s="186"/>
      <c r="CA252" s="186"/>
      <c r="CB252" s="186"/>
      <c r="CC252" s="186"/>
      <c r="CD252" s="186"/>
      <c r="CE252" s="186"/>
      <c r="CF252" s="186"/>
      <c r="CG252" s="186"/>
      <c r="CH252" s="186"/>
      <c r="CI252" s="186"/>
      <c r="CJ252" s="186"/>
      <c r="CK252" s="186"/>
      <c r="CL252" s="186"/>
      <c r="CM252" s="186"/>
      <c r="CN252" s="186"/>
      <c r="CO252" s="186"/>
      <c r="CP252" s="186"/>
      <c r="CQ252" s="186"/>
      <c r="CR252" s="186"/>
      <c r="CS252" s="186"/>
      <c r="CT252" s="186"/>
      <c r="CU252" s="186"/>
      <c r="CV252" s="186"/>
      <c r="CW252" s="186"/>
      <c r="CX252" s="186"/>
      <c r="CY252" s="186"/>
      <c r="CZ252" s="186"/>
      <c r="DA252" s="186"/>
      <c r="DB252" s="186"/>
      <c r="DC252" s="186"/>
      <c r="DD252" s="186"/>
      <c r="DE252" s="186"/>
      <c r="DF252" s="186"/>
      <c r="DG252" s="186"/>
      <c r="DH252" s="186"/>
      <c r="DI252" s="186"/>
      <c r="DJ252" s="186"/>
      <c r="DK252" s="186"/>
      <c r="DL252" s="186"/>
      <c r="DM252" s="186"/>
      <c r="DN252" s="186"/>
      <c r="DO252" s="186"/>
      <c r="DP252" s="186"/>
      <c r="DQ252" s="186"/>
      <c r="DR252" s="186"/>
      <c r="DS252" s="186"/>
      <c r="DT252" s="186"/>
    </row>
    <row r="253" spans="1:124" ht="21.75" customHeight="1">
      <c r="A253" s="311"/>
      <c r="B253" s="179"/>
      <c r="C253" s="180"/>
      <c r="D253" s="181"/>
      <c r="E253" s="267"/>
      <c r="F253" s="189"/>
      <c r="G253" s="189"/>
      <c r="H253" s="189"/>
      <c r="I253" s="183"/>
      <c r="J253" s="267"/>
      <c r="K253" s="267"/>
      <c r="L253" s="267"/>
      <c r="M253" s="267"/>
      <c r="N253" s="267"/>
      <c r="O253" s="267"/>
      <c r="P253" s="267"/>
      <c r="Q253" s="267"/>
      <c r="R253" s="267"/>
      <c r="S253" s="267"/>
      <c r="T253" s="267"/>
      <c r="U253" s="183"/>
      <c r="V253" s="269"/>
      <c r="W253" s="269"/>
      <c r="X253" s="269"/>
      <c r="Y253" s="269"/>
      <c r="Z253" s="269"/>
      <c r="AA253" s="269"/>
      <c r="AB253" s="269"/>
      <c r="AC253" s="269"/>
      <c r="AD253" s="269"/>
      <c r="AE253" s="269"/>
      <c r="AF253" s="269"/>
      <c r="AG253" s="269"/>
      <c r="AH253" s="272"/>
      <c r="AI253" s="267"/>
      <c r="AJ253" s="269"/>
      <c r="AK253" s="269"/>
      <c r="AL253" s="269"/>
      <c r="AM253" s="269"/>
      <c r="AN253" s="269"/>
      <c r="AO253" s="269"/>
      <c r="AP253" s="186"/>
      <c r="AQ253" s="186"/>
      <c r="AR253" s="186"/>
      <c r="AS253" s="267"/>
      <c r="AT253" s="267"/>
      <c r="AU253" s="267"/>
      <c r="AV253" s="267"/>
      <c r="AW253" s="267"/>
      <c r="AX253" s="267"/>
      <c r="AY253" s="267"/>
      <c r="AZ253" s="267"/>
      <c r="BA253" s="267"/>
      <c r="BB253" s="186"/>
      <c r="BC253" s="186"/>
      <c r="BD253" s="186"/>
      <c r="BE253" s="186"/>
      <c r="BF253" s="186"/>
      <c r="BG253" s="186"/>
      <c r="BH253" s="186"/>
      <c r="BI253" s="186"/>
      <c r="BJ253" s="186"/>
      <c r="BK253" s="186"/>
      <c r="BL253" s="186"/>
      <c r="BM253" s="186"/>
      <c r="BN253" s="186"/>
      <c r="BO253" s="186"/>
      <c r="BP253" s="186"/>
      <c r="BQ253" s="186"/>
      <c r="BR253" s="186"/>
      <c r="BS253" s="186"/>
      <c r="BT253" s="186"/>
      <c r="BU253" s="186"/>
      <c r="BV253" s="186"/>
      <c r="BW253" s="186"/>
      <c r="BX253" s="186"/>
      <c r="BY253" s="186"/>
      <c r="BZ253" s="186"/>
      <c r="CA253" s="186"/>
      <c r="CB253" s="186"/>
      <c r="CC253" s="186"/>
      <c r="CD253" s="186"/>
      <c r="CE253" s="186"/>
      <c r="CF253" s="186"/>
      <c r="CG253" s="186"/>
      <c r="CH253" s="186"/>
      <c r="CI253" s="186"/>
      <c r="CJ253" s="186"/>
      <c r="CK253" s="186"/>
      <c r="CL253" s="186"/>
      <c r="CM253" s="186"/>
      <c r="CN253" s="186"/>
      <c r="CO253" s="186"/>
      <c r="CP253" s="186"/>
      <c r="CQ253" s="186"/>
      <c r="CR253" s="186"/>
      <c r="CS253" s="186"/>
      <c r="CT253" s="186"/>
      <c r="CU253" s="186"/>
      <c r="CV253" s="186"/>
      <c r="CW253" s="186"/>
      <c r="CX253" s="186"/>
      <c r="CY253" s="186"/>
      <c r="CZ253" s="186"/>
      <c r="DA253" s="186"/>
      <c r="DB253" s="186"/>
      <c r="DC253" s="186"/>
      <c r="DD253" s="186"/>
      <c r="DE253" s="186"/>
      <c r="DF253" s="186"/>
      <c r="DG253" s="186"/>
      <c r="DH253" s="186"/>
      <c r="DI253" s="186"/>
      <c r="DJ253" s="186"/>
      <c r="DK253" s="186"/>
      <c r="DL253" s="186"/>
      <c r="DM253" s="186"/>
      <c r="DN253" s="186"/>
      <c r="DO253" s="186"/>
      <c r="DP253" s="186"/>
      <c r="DQ253" s="186"/>
      <c r="DR253" s="186"/>
      <c r="DS253" s="186"/>
      <c r="DT253" s="186"/>
    </row>
    <row r="254" spans="1:124" ht="21.75" customHeight="1">
      <c r="A254" s="311"/>
      <c r="B254" s="199" t="s">
        <v>365</v>
      </c>
      <c r="C254" s="200"/>
      <c r="D254" s="201"/>
      <c r="E254" s="267"/>
      <c r="F254" s="189"/>
      <c r="G254" s="189"/>
      <c r="H254" s="189"/>
      <c r="I254" s="183"/>
      <c r="J254" s="267"/>
      <c r="K254" s="267"/>
      <c r="L254" s="267"/>
      <c r="M254" s="267"/>
      <c r="N254" s="267"/>
      <c r="O254" s="267"/>
      <c r="P254" s="267"/>
      <c r="Q254" s="267"/>
      <c r="R254" s="267"/>
      <c r="S254" s="267"/>
      <c r="T254" s="267"/>
      <c r="U254" s="183"/>
      <c r="V254" s="269"/>
      <c r="W254" s="269"/>
      <c r="X254" s="269"/>
      <c r="Y254" s="269"/>
      <c r="Z254" s="269"/>
      <c r="AA254" s="269"/>
      <c r="AB254" s="269"/>
      <c r="AC254" s="269"/>
      <c r="AD254" s="269"/>
      <c r="AE254" s="269"/>
      <c r="AF254" s="269"/>
      <c r="AG254" s="269"/>
      <c r="AH254" s="272"/>
      <c r="AI254" s="267"/>
      <c r="AJ254" s="269"/>
      <c r="AK254" s="269"/>
      <c r="AL254" s="269"/>
      <c r="AM254" s="269"/>
      <c r="AN254" s="269"/>
      <c r="AO254" s="269"/>
      <c r="AP254" s="186"/>
      <c r="AQ254" s="186"/>
      <c r="AR254" s="186"/>
      <c r="AS254" s="267"/>
      <c r="AT254" s="267"/>
      <c r="AU254" s="267"/>
      <c r="AV254" s="267"/>
      <c r="AW254" s="267"/>
      <c r="AX254" s="267"/>
      <c r="AY254" s="267"/>
      <c r="AZ254" s="267"/>
      <c r="BA254" s="267"/>
      <c r="BB254" s="186"/>
      <c r="BC254" s="186"/>
      <c r="BD254" s="186"/>
      <c r="BE254" s="186"/>
      <c r="BF254" s="186"/>
      <c r="BG254" s="186"/>
      <c r="BH254" s="186"/>
      <c r="BI254" s="186"/>
      <c r="BJ254" s="186"/>
      <c r="BK254" s="186"/>
      <c r="BL254" s="186"/>
      <c r="BM254" s="186"/>
      <c r="BN254" s="186"/>
      <c r="BO254" s="186"/>
      <c r="BP254" s="186"/>
      <c r="BQ254" s="186"/>
      <c r="BR254" s="186"/>
      <c r="BS254" s="186"/>
      <c r="BT254" s="186"/>
      <c r="BU254" s="186"/>
      <c r="BV254" s="186"/>
      <c r="BW254" s="186"/>
      <c r="BX254" s="186"/>
      <c r="BY254" s="186"/>
      <c r="BZ254" s="186"/>
      <c r="CA254" s="186"/>
      <c r="CB254" s="186"/>
      <c r="CC254" s="186"/>
      <c r="CD254" s="186"/>
      <c r="CE254" s="186"/>
      <c r="CF254" s="186"/>
      <c r="CG254" s="186"/>
      <c r="CH254" s="186"/>
      <c r="CI254" s="186"/>
      <c r="CJ254" s="186"/>
      <c r="CK254" s="186"/>
      <c r="CL254" s="186"/>
      <c r="CM254" s="186"/>
      <c r="CN254" s="186"/>
      <c r="CO254" s="186"/>
      <c r="CP254" s="186"/>
      <c r="CQ254" s="186"/>
      <c r="CR254" s="186"/>
      <c r="CS254" s="186"/>
      <c r="CT254" s="186"/>
      <c r="CU254" s="186"/>
      <c r="CV254" s="186"/>
      <c r="CW254" s="186"/>
      <c r="CX254" s="186"/>
      <c r="CY254" s="186"/>
      <c r="CZ254" s="186"/>
      <c r="DA254" s="186"/>
      <c r="DB254" s="186"/>
      <c r="DC254" s="186"/>
      <c r="DD254" s="186"/>
      <c r="DE254" s="186"/>
      <c r="DF254" s="186"/>
      <c r="DG254" s="186"/>
      <c r="DH254" s="186"/>
      <c r="DI254" s="186"/>
      <c r="DJ254" s="186"/>
      <c r="DK254" s="186"/>
      <c r="DL254" s="186"/>
      <c r="DM254" s="186"/>
      <c r="DN254" s="186"/>
      <c r="DO254" s="186"/>
      <c r="DP254" s="186"/>
      <c r="DQ254" s="186"/>
      <c r="DR254" s="186"/>
      <c r="DS254" s="186"/>
      <c r="DT254" s="186"/>
    </row>
    <row r="255" spans="1:124" ht="21.75" customHeight="1" thickBot="1">
      <c r="A255" s="311"/>
      <c r="B255" s="202"/>
      <c r="C255" s="203"/>
      <c r="D255" s="204"/>
      <c r="E255" s="267"/>
      <c r="F255" s="190"/>
      <c r="G255" s="190"/>
      <c r="H255" s="190"/>
      <c r="I255" s="184"/>
      <c r="J255" s="267"/>
      <c r="K255" s="267"/>
      <c r="L255" s="267"/>
      <c r="M255" s="267"/>
      <c r="N255" s="267"/>
      <c r="O255" s="267"/>
      <c r="P255" s="267"/>
      <c r="Q255" s="267"/>
      <c r="R255" s="267"/>
      <c r="S255" s="267"/>
      <c r="T255" s="267"/>
      <c r="U255" s="184"/>
      <c r="V255" s="269"/>
      <c r="W255" s="269"/>
      <c r="X255" s="269"/>
      <c r="Y255" s="269"/>
      <c r="Z255" s="269"/>
      <c r="AA255" s="269"/>
      <c r="AB255" s="269"/>
      <c r="AC255" s="269"/>
      <c r="AD255" s="269"/>
      <c r="AE255" s="269"/>
      <c r="AF255" s="269"/>
      <c r="AG255" s="269"/>
      <c r="AH255" s="272"/>
      <c r="AI255" s="267"/>
      <c r="AJ255" s="269"/>
      <c r="AK255" s="269"/>
      <c r="AL255" s="269"/>
      <c r="AM255" s="269"/>
      <c r="AN255" s="269"/>
      <c r="AO255" s="269"/>
      <c r="AP255" s="186"/>
      <c r="AQ255" s="186"/>
      <c r="AR255" s="186"/>
      <c r="AS255" s="273"/>
      <c r="AT255" s="273"/>
      <c r="AU255" s="273"/>
      <c r="AV255" s="273"/>
      <c r="AW255" s="273"/>
      <c r="AX255" s="273"/>
      <c r="AY255" s="273"/>
      <c r="AZ255" s="273"/>
      <c r="BA255" s="273"/>
      <c r="BB255" s="186"/>
      <c r="BC255" s="186"/>
      <c r="BD255" s="186"/>
      <c r="BE255" s="186"/>
      <c r="BF255" s="186"/>
      <c r="BG255" s="186"/>
      <c r="BH255" s="186"/>
      <c r="BI255" s="186"/>
      <c r="BJ255" s="186"/>
      <c r="BK255" s="186"/>
      <c r="BL255" s="186"/>
      <c r="BM255" s="186"/>
      <c r="BN255" s="186"/>
      <c r="BO255" s="186"/>
      <c r="BP255" s="186"/>
      <c r="BQ255" s="186"/>
      <c r="BR255" s="186"/>
      <c r="BS255" s="186"/>
      <c r="BT255" s="186"/>
      <c r="BU255" s="186"/>
      <c r="BV255" s="186"/>
      <c r="BW255" s="186"/>
      <c r="BX255" s="186"/>
      <c r="BY255" s="186"/>
      <c r="BZ255" s="186"/>
      <c r="CA255" s="186"/>
      <c r="CB255" s="186"/>
      <c r="CC255" s="186"/>
      <c r="CD255" s="186"/>
      <c r="CE255" s="186"/>
      <c r="CF255" s="186"/>
      <c r="CG255" s="186"/>
      <c r="CH255" s="186"/>
      <c r="CI255" s="186"/>
      <c r="CJ255" s="186"/>
      <c r="CK255" s="186"/>
      <c r="CL255" s="186"/>
      <c r="CM255" s="186"/>
      <c r="CN255" s="186"/>
      <c r="CO255" s="186"/>
      <c r="CP255" s="186"/>
      <c r="CQ255" s="186"/>
      <c r="CR255" s="186"/>
      <c r="CS255" s="186"/>
      <c r="CT255" s="186"/>
      <c r="CU255" s="186"/>
      <c r="CV255" s="186"/>
      <c r="CW255" s="186"/>
      <c r="CX255" s="186"/>
      <c r="CY255" s="186"/>
      <c r="CZ255" s="186"/>
      <c r="DA255" s="186"/>
      <c r="DB255" s="186"/>
      <c r="DC255" s="186"/>
      <c r="DD255" s="186"/>
      <c r="DE255" s="186"/>
      <c r="DF255" s="186"/>
      <c r="DG255" s="186"/>
      <c r="DH255" s="186"/>
      <c r="DI255" s="186"/>
      <c r="DJ255" s="186"/>
      <c r="DK255" s="186"/>
      <c r="DL255" s="186"/>
      <c r="DM255" s="186"/>
      <c r="DN255" s="186"/>
      <c r="DO255" s="186"/>
      <c r="DP255" s="186"/>
      <c r="DQ255" s="186"/>
      <c r="DR255" s="186"/>
      <c r="DS255" s="186"/>
      <c r="DT255" s="186"/>
    </row>
    <row r="256" spans="1:124" s="55" customFormat="1" ht="21.75" customHeight="1">
      <c r="A256" s="311"/>
      <c r="B256" s="205" t="s">
        <v>366</v>
      </c>
      <c r="C256" s="206"/>
      <c r="D256" s="262"/>
      <c r="E256" s="274"/>
      <c r="F256" s="197" t="s">
        <v>22</v>
      </c>
      <c r="G256" s="197" t="s">
        <v>22</v>
      </c>
      <c r="H256" s="197" t="s">
        <v>36</v>
      </c>
      <c r="I256" s="197" t="s">
        <v>37</v>
      </c>
      <c r="J256" s="251"/>
      <c r="K256" s="251"/>
      <c r="L256" s="251"/>
      <c r="M256" s="251"/>
      <c r="N256" s="251"/>
      <c r="O256" s="251"/>
      <c r="P256" s="251"/>
      <c r="Q256" s="251"/>
      <c r="R256" s="251"/>
      <c r="S256" s="251"/>
      <c r="T256" s="251"/>
      <c r="U256" s="197" t="s">
        <v>66</v>
      </c>
      <c r="V256" s="197" t="s">
        <v>484</v>
      </c>
      <c r="W256" s="197" t="s">
        <v>485</v>
      </c>
      <c r="X256" s="197" t="s">
        <v>484</v>
      </c>
      <c r="Y256" s="197" t="s">
        <v>486</v>
      </c>
      <c r="Z256" s="197" t="s">
        <v>66</v>
      </c>
      <c r="AA256" s="197" t="s">
        <v>484</v>
      </c>
      <c r="AB256" s="197" t="s">
        <v>486</v>
      </c>
      <c r="AC256" s="197" t="s">
        <v>487</v>
      </c>
      <c r="AD256" s="197" t="s">
        <v>486</v>
      </c>
      <c r="AE256" s="197" t="s">
        <v>485</v>
      </c>
      <c r="AF256" s="197" t="s">
        <v>486</v>
      </c>
      <c r="AG256" s="197" t="s">
        <v>66</v>
      </c>
      <c r="AH256" s="197" t="s">
        <v>485</v>
      </c>
      <c r="AI256" s="197" t="s">
        <v>487</v>
      </c>
      <c r="AJ256" s="197" t="s">
        <v>486</v>
      </c>
      <c r="AK256" s="197" t="s">
        <v>485</v>
      </c>
      <c r="AL256" s="197" t="s">
        <v>486</v>
      </c>
      <c r="AM256" s="197" t="s">
        <v>66</v>
      </c>
      <c r="AN256" s="197" t="s">
        <v>487</v>
      </c>
      <c r="AO256" s="197" t="s">
        <v>486</v>
      </c>
      <c r="AP256" s="197"/>
      <c r="AQ256" s="197"/>
      <c r="AR256" s="197"/>
      <c r="AS256" s="197"/>
      <c r="AT256" s="197"/>
      <c r="AU256" s="197"/>
      <c r="AV256" s="197"/>
      <c r="AW256" s="197"/>
      <c r="AX256" s="197"/>
      <c r="AY256" s="197"/>
      <c r="AZ256" s="197"/>
      <c r="BA256" s="197"/>
      <c r="BB256" s="215" t="s">
        <v>160</v>
      </c>
      <c r="BC256" s="215" t="s">
        <v>160</v>
      </c>
      <c r="BD256" s="215" t="s">
        <v>160</v>
      </c>
      <c r="BE256" s="197"/>
      <c r="BF256" s="197"/>
      <c r="BG256" s="197"/>
      <c r="BH256" s="197"/>
      <c r="BI256" s="197"/>
      <c r="BJ256" s="197"/>
      <c r="BK256" s="197"/>
      <c r="BL256" s="197"/>
      <c r="BM256" s="197"/>
      <c r="BN256" s="197"/>
      <c r="BO256" s="197"/>
      <c r="BP256" s="197"/>
      <c r="BQ256" s="197"/>
      <c r="BR256" s="197"/>
      <c r="BS256" s="197"/>
      <c r="BT256" s="197"/>
      <c r="BU256" s="197"/>
      <c r="BV256" s="197"/>
      <c r="BW256" s="197"/>
      <c r="BX256" s="197"/>
      <c r="BY256" s="197"/>
      <c r="BZ256" s="197"/>
      <c r="CA256" s="197"/>
      <c r="CB256" s="197"/>
      <c r="CC256" s="197"/>
      <c r="CD256" s="197"/>
      <c r="CE256" s="197"/>
      <c r="CF256" s="197"/>
      <c r="CG256" s="197"/>
      <c r="CH256" s="197"/>
      <c r="CI256" s="197"/>
      <c r="CJ256" s="197"/>
      <c r="CK256" s="197"/>
      <c r="CL256" s="197"/>
      <c r="CM256" s="197"/>
      <c r="CN256" s="197"/>
      <c r="CO256" s="197"/>
      <c r="CP256" s="197"/>
      <c r="CQ256" s="197"/>
      <c r="CR256" s="197"/>
      <c r="CS256" s="197"/>
      <c r="CT256" s="197"/>
      <c r="CU256" s="197"/>
      <c r="CV256" s="197"/>
      <c r="CW256" s="197"/>
      <c r="CX256" s="197"/>
      <c r="CY256" s="197"/>
      <c r="CZ256" s="197"/>
      <c r="DA256" s="197"/>
      <c r="DB256" s="197"/>
      <c r="DC256" s="197"/>
      <c r="DD256" s="197"/>
      <c r="DE256" s="197"/>
      <c r="DF256" s="197"/>
      <c r="DG256" s="197"/>
      <c r="DH256" s="197"/>
      <c r="DI256" s="197"/>
      <c r="DJ256" s="197"/>
      <c r="DK256" s="197"/>
      <c r="DL256" s="197"/>
      <c r="DM256" s="197"/>
      <c r="DN256" s="197"/>
      <c r="DO256" s="197"/>
      <c r="DP256" s="197"/>
      <c r="DQ256" s="197"/>
      <c r="DR256" s="197"/>
      <c r="DS256" s="197"/>
      <c r="DT256" s="197"/>
    </row>
    <row r="257" spans="1:124" s="55" customFormat="1" ht="21.75" customHeight="1">
      <c r="A257" s="311"/>
      <c r="B257" s="207"/>
      <c r="C257" s="208"/>
      <c r="D257" s="263"/>
      <c r="E257" s="275"/>
      <c r="F257" s="198"/>
      <c r="G257" s="198"/>
      <c r="H257" s="198"/>
      <c r="I257" s="198"/>
      <c r="J257" s="252"/>
      <c r="K257" s="252"/>
      <c r="L257" s="252"/>
      <c r="M257" s="252"/>
      <c r="N257" s="252"/>
      <c r="O257" s="252"/>
      <c r="P257" s="252"/>
      <c r="Q257" s="252"/>
      <c r="R257" s="252"/>
      <c r="S257" s="252"/>
      <c r="T257" s="252"/>
      <c r="U257" s="198"/>
      <c r="V257" s="198"/>
      <c r="W257" s="198"/>
      <c r="X257" s="198"/>
      <c r="Y257" s="198"/>
      <c r="Z257" s="198"/>
      <c r="AA257" s="198"/>
      <c r="AB257" s="198"/>
      <c r="AC257" s="198"/>
      <c r="AD257" s="198"/>
      <c r="AE257" s="198"/>
      <c r="AF257" s="198"/>
      <c r="AG257" s="198"/>
      <c r="AH257" s="198"/>
      <c r="AI257" s="198"/>
      <c r="AJ257" s="198"/>
      <c r="AK257" s="198"/>
      <c r="AL257" s="198"/>
      <c r="AM257" s="198"/>
      <c r="AN257" s="198"/>
      <c r="AO257" s="198"/>
      <c r="AP257" s="198"/>
      <c r="AQ257" s="198"/>
      <c r="AR257" s="198"/>
      <c r="AS257" s="198"/>
      <c r="AT257" s="198"/>
      <c r="AU257" s="198"/>
      <c r="AV257" s="198"/>
      <c r="AW257" s="198"/>
      <c r="AX257" s="198"/>
      <c r="AY257" s="198"/>
      <c r="AZ257" s="198"/>
      <c r="BA257" s="198"/>
      <c r="BB257" s="216"/>
      <c r="BC257" s="216"/>
      <c r="BD257" s="216"/>
      <c r="BE257" s="198"/>
      <c r="BF257" s="198"/>
      <c r="BG257" s="198"/>
      <c r="BH257" s="198"/>
      <c r="BI257" s="198"/>
      <c r="BJ257" s="198"/>
      <c r="BK257" s="198"/>
      <c r="BL257" s="198"/>
      <c r="BM257" s="198"/>
      <c r="BN257" s="198"/>
      <c r="BO257" s="198"/>
      <c r="BP257" s="198"/>
      <c r="BQ257" s="198"/>
      <c r="BR257" s="198"/>
      <c r="BS257" s="198"/>
      <c r="BT257" s="198"/>
      <c r="BU257" s="198"/>
      <c r="BV257" s="198"/>
      <c r="BW257" s="198"/>
      <c r="BX257" s="198"/>
      <c r="BY257" s="198"/>
      <c r="BZ257" s="198"/>
      <c r="CA257" s="198"/>
      <c r="CB257" s="198"/>
      <c r="CC257" s="198"/>
      <c r="CD257" s="198"/>
      <c r="CE257" s="198"/>
      <c r="CF257" s="198"/>
      <c r="CG257" s="198"/>
      <c r="CH257" s="198"/>
      <c r="CI257" s="198"/>
      <c r="CJ257" s="198"/>
      <c r="CK257" s="198"/>
      <c r="CL257" s="198"/>
      <c r="CM257" s="198"/>
      <c r="CN257" s="198"/>
      <c r="CO257" s="198"/>
      <c r="CP257" s="198"/>
      <c r="CQ257" s="198"/>
      <c r="CR257" s="198"/>
      <c r="CS257" s="198"/>
      <c r="CT257" s="198"/>
      <c r="CU257" s="198"/>
      <c r="CV257" s="198"/>
      <c r="CW257" s="198"/>
      <c r="CX257" s="198"/>
      <c r="CY257" s="198"/>
      <c r="CZ257" s="198"/>
      <c r="DA257" s="198"/>
      <c r="DB257" s="198"/>
      <c r="DC257" s="198"/>
      <c r="DD257" s="198"/>
      <c r="DE257" s="198"/>
      <c r="DF257" s="198"/>
      <c r="DG257" s="198"/>
      <c r="DH257" s="198"/>
      <c r="DI257" s="198"/>
      <c r="DJ257" s="198"/>
      <c r="DK257" s="198"/>
      <c r="DL257" s="198"/>
      <c r="DM257" s="198"/>
      <c r="DN257" s="198"/>
      <c r="DO257" s="198"/>
      <c r="DP257" s="198"/>
      <c r="DQ257" s="198"/>
      <c r="DR257" s="198"/>
      <c r="DS257" s="198"/>
      <c r="DT257" s="198"/>
    </row>
    <row r="258" spans="1:124" ht="21.75" customHeight="1">
      <c r="A258" s="311"/>
      <c r="B258" s="221" t="s">
        <v>12</v>
      </c>
      <c r="C258" s="222"/>
      <c r="D258" s="264"/>
      <c r="E258" s="102"/>
      <c r="F258" s="56">
        <v>88</v>
      </c>
      <c r="G258" s="56">
        <v>88</v>
      </c>
      <c r="H258" s="56">
        <v>89</v>
      </c>
      <c r="I258" s="56"/>
      <c r="J258" s="56"/>
      <c r="K258" s="56"/>
      <c r="L258" s="56"/>
      <c r="M258" s="56"/>
      <c r="N258" s="56"/>
      <c r="O258" s="56"/>
      <c r="P258" s="56"/>
      <c r="Q258" s="56"/>
      <c r="R258" s="56"/>
      <c r="S258" s="56"/>
      <c r="T258" s="56"/>
      <c r="U258" s="56"/>
      <c r="V258" s="56">
        <v>89.9</v>
      </c>
      <c r="W258" s="56"/>
      <c r="X258" s="56">
        <v>89.6</v>
      </c>
      <c r="Y258" s="56">
        <v>89.9</v>
      </c>
      <c r="Z258" s="56">
        <v>90.5</v>
      </c>
      <c r="AA258" s="56">
        <v>90.9</v>
      </c>
      <c r="AB258" s="56">
        <v>90.6</v>
      </c>
      <c r="AC258" s="56">
        <v>90.4</v>
      </c>
      <c r="AD258" s="56">
        <v>89.4</v>
      </c>
      <c r="AE258" s="56">
        <v>89.6</v>
      </c>
      <c r="AF258" s="56">
        <v>89.8</v>
      </c>
      <c r="AG258" s="56"/>
      <c r="AH258" s="59">
        <v>89.4</v>
      </c>
      <c r="AI258" s="56"/>
      <c r="AJ258" s="56"/>
      <c r="AK258" s="56">
        <v>90.2</v>
      </c>
      <c r="AL258" s="56">
        <v>90.9</v>
      </c>
      <c r="AM258" s="56"/>
      <c r="AN258" s="56"/>
      <c r="AO258" s="56">
        <v>90.5</v>
      </c>
      <c r="AP258" s="56"/>
      <c r="AQ258" s="56"/>
      <c r="AR258" s="56"/>
      <c r="AS258" s="56"/>
      <c r="AT258" s="56"/>
      <c r="AU258" s="56"/>
      <c r="AV258" s="56"/>
      <c r="AW258" s="56"/>
      <c r="AX258" s="56"/>
      <c r="AY258" s="56"/>
      <c r="AZ258" s="56"/>
      <c r="BA258" s="56"/>
      <c r="BB258" s="56"/>
      <c r="BC258" s="56"/>
      <c r="BD258" s="56"/>
      <c r="BE258" s="56"/>
      <c r="BF258" s="56"/>
      <c r="BG258" s="56"/>
      <c r="BH258" s="56"/>
      <c r="BI258" s="56"/>
      <c r="BJ258" s="56"/>
      <c r="BK258" s="56"/>
      <c r="BL258" s="56"/>
      <c r="BM258" s="56"/>
      <c r="BN258" s="56"/>
      <c r="BO258" s="56"/>
      <c r="BP258" s="56"/>
      <c r="BQ258" s="56"/>
      <c r="BR258" s="56"/>
      <c r="BS258" s="56"/>
      <c r="BT258" s="56"/>
      <c r="BU258" s="56"/>
      <c r="BV258" s="56"/>
      <c r="BW258" s="56"/>
      <c r="BX258" s="56"/>
      <c r="BY258" s="56"/>
      <c r="BZ258" s="56"/>
      <c r="CA258" s="56"/>
      <c r="CB258" s="56"/>
      <c r="CC258" s="56"/>
      <c r="CD258" s="56"/>
      <c r="CE258" s="56"/>
      <c r="CF258" s="56"/>
      <c r="CG258" s="56"/>
      <c r="CH258" s="56"/>
      <c r="CI258" s="56"/>
      <c r="CJ258" s="56"/>
      <c r="CK258" s="56"/>
      <c r="CL258" s="56"/>
      <c r="CM258" s="56"/>
      <c r="CN258" s="56"/>
      <c r="CO258" s="56"/>
      <c r="CP258" s="56"/>
      <c r="CQ258" s="56"/>
      <c r="CR258" s="56"/>
      <c r="CS258" s="56"/>
      <c r="CT258" s="56"/>
      <c r="CU258" s="56"/>
      <c r="CV258" s="56"/>
      <c r="CW258" s="56"/>
      <c r="CX258" s="56"/>
      <c r="CY258" s="56"/>
      <c r="CZ258" s="56"/>
      <c r="DA258" s="56"/>
      <c r="DB258" s="56"/>
      <c r="DC258" s="56"/>
      <c r="DD258" s="56"/>
      <c r="DE258" s="56"/>
      <c r="DF258" s="56"/>
      <c r="DG258" s="56"/>
      <c r="DH258" s="56"/>
      <c r="DI258" s="56"/>
      <c r="DJ258" s="56"/>
      <c r="DK258" s="56"/>
      <c r="DL258" s="56"/>
      <c r="DM258" s="56"/>
      <c r="DN258" s="56"/>
      <c r="DO258" s="56"/>
      <c r="DP258" s="56"/>
      <c r="DQ258" s="56"/>
      <c r="DR258" s="56"/>
      <c r="DS258" s="56"/>
      <c r="DT258" s="56"/>
    </row>
    <row r="259" spans="1:124" ht="21.75" customHeight="1">
      <c r="A259" s="311"/>
      <c r="B259" s="223" t="s">
        <v>373</v>
      </c>
      <c r="C259" s="224"/>
      <c r="D259" s="265"/>
      <c r="E259" s="276" t="str">
        <f t="shared" ref="E259:BP259" si="9">IF((OR(E258=0,MAX(E262,E264,E266,E268,E269,E272,E274)=0))=TRUE,"",IFERROR((((MAX(E262,E264,E266,E268,E269,E272,E274,)+E258)*0.7)-E258),""))</f>
        <v/>
      </c>
      <c r="F259" s="219">
        <f t="shared" si="9"/>
        <v>99.6</v>
      </c>
      <c r="G259" s="219">
        <f t="shared" si="9"/>
        <v>104.85</v>
      </c>
      <c r="H259" s="219" t="str">
        <f t="shared" si="9"/>
        <v/>
      </c>
      <c r="I259" s="219" t="str">
        <f t="shared" si="9"/>
        <v/>
      </c>
      <c r="J259" s="219" t="str">
        <f t="shared" si="9"/>
        <v/>
      </c>
      <c r="K259" s="219" t="str">
        <f t="shared" si="9"/>
        <v/>
      </c>
      <c r="L259" s="219" t="str">
        <f t="shared" si="9"/>
        <v/>
      </c>
      <c r="M259" s="219" t="str">
        <f t="shared" si="9"/>
        <v/>
      </c>
      <c r="N259" s="219" t="str">
        <f t="shared" si="9"/>
        <v/>
      </c>
      <c r="O259" s="219" t="str">
        <f t="shared" si="9"/>
        <v/>
      </c>
      <c r="P259" s="219" t="str">
        <f t="shared" si="9"/>
        <v/>
      </c>
      <c r="Q259" s="219" t="str">
        <f t="shared" si="9"/>
        <v/>
      </c>
      <c r="R259" s="219" t="str">
        <f t="shared" si="9"/>
        <v/>
      </c>
      <c r="S259" s="219" t="str">
        <f t="shared" si="9"/>
        <v/>
      </c>
      <c r="T259" s="219" t="str">
        <f t="shared" si="9"/>
        <v/>
      </c>
      <c r="U259" s="219" t="str">
        <f t="shared" si="9"/>
        <v/>
      </c>
      <c r="V259" s="219">
        <f t="shared" si="9"/>
        <v>86.983488372093007</v>
      </c>
      <c r="W259" s="219" t="str">
        <f t="shared" si="9"/>
        <v/>
      </c>
      <c r="X259" s="219">
        <f t="shared" si="9"/>
        <v>87.07348837209301</v>
      </c>
      <c r="Y259" s="219" t="str">
        <f t="shared" si="9"/>
        <v/>
      </c>
      <c r="Z259" s="219" t="str">
        <f t="shared" si="9"/>
        <v/>
      </c>
      <c r="AA259" s="219">
        <f t="shared" si="9"/>
        <v>90.753255813953473</v>
      </c>
      <c r="AB259" s="219" t="str">
        <f t="shared" si="9"/>
        <v/>
      </c>
      <c r="AC259" s="219">
        <f t="shared" si="9"/>
        <v>83.614463276836148</v>
      </c>
      <c r="AD259" s="219" t="str">
        <f t="shared" si="9"/>
        <v/>
      </c>
      <c r="AE259" s="219" t="str">
        <f t="shared" si="9"/>
        <v/>
      </c>
      <c r="AF259" s="219" t="str">
        <f t="shared" si="9"/>
        <v/>
      </c>
      <c r="AG259" s="219" t="str">
        <f t="shared" si="9"/>
        <v/>
      </c>
      <c r="AH259" s="219" t="str">
        <f t="shared" si="9"/>
        <v/>
      </c>
      <c r="AI259" s="219" t="str">
        <f t="shared" si="9"/>
        <v/>
      </c>
      <c r="AJ259" s="219" t="str">
        <f t="shared" si="9"/>
        <v/>
      </c>
      <c r="AK259" s="219" t="str">
        <f t="shared" si="9"/>
        <v/>
      </c>
      <c r="AL259" s="219" t="str">
        <f t="shared" si="9"/>
        <v/>
      </c>
      <c r="AM259" s="219" t="str">
        <f t="shared" si="9"/>
        <v/>
      </c>
      <c r="AN259" s="219" t="str">
        <f t="shared" si="9"/>
        <v/>
      </c>
      <c r="AO259" s="219" t="str">
        <f t="shared" si="9"/>
        <v/>
      </c>
      <c r="AP259" s="219" t="str">
        <f t="shared" si="9"/>
        <v/>
      </c>
      <c r="AQ259" s="219" t="str">
        <f t="shared" si="9"/>
        <v/>
      </c>
      <c r="AR259" s="219" t="str">
        <f t="shared" si="9"/>
        <v/>
      </c>
      <c r="AS259" s="219" t="str">
        <f t="shared" si="9"/>
        <v/>
      </c>
      <c r="AT259" s="219" t="str">
        <f t="shared" si="9"/>
        <v/>
      </c>
      <c r="AU259" s="219" t="str">
        <f t="shared" si="9"/>
        <v/>
      </c>
      <c r="AV259" s="219" t="str">
        <f t="shared" si="9"/>
        <v/>
      </c>
      <c r="AW259" s="219" t="str">
        <f t="shared" si="9"/>
        <v/>
      </c>
      <c r="AX259" s="219" t="str">
        <f t="shared" si="9"/>
        <v/>
      </c>
      <c r="AY259" s="219" t="str">
        <f t="shared" si="9"/>
        <v/>
      </c>
      <c r="AZ259" s="219" t="str">
        <f t="shared" si="9"/>
        <v/>
      </c>
      <c r="BA259" s="219" t="str">
        <f t="shared" si="9"/>
        <v/>
      </c>
      <c r="BB259" s="219" t="str">
        <f t="shared" si="9"/>
        <v/>
      </c>
      <c r="BC259" s="219" t="str">
        <f t="shared" si="9"/>
        <v/>
      </c>
      <c r="BD259" s="219" t="str">
        <f t="shared" si="9"/>
        <v/>
      </c>
      <c r="BE259" s="219" t="str">
        <f t="shared" si="9"/>
        <v/>
      </c>
      <c r="BF259" s="219" t="str">
        <f t="shared" si="9"/>
        <v/>
      </c>
      <c r="BG259" s="219" t="str">
        <f t="shared" si="9"/>
        <v/>
      </c>
      <c r="BH259" s="219" t="str">
        <f t="shared" si="9"/>
        <v/>
      </c>
      <c r="BI259" s="219" t="str">
        <f t="shared" si="9"/>
        <v/>
      </c>
      <c r="BJ259" s="219" t="str">
        <f t="shared" si="9"/>
        <v/>
      </c>
      <c r="BK259" s="219" t="str">
        <f t="shared" si="9"/>
        <v/>
      </c>
      <c r="BL259" s="219" t="str">
        <f t="shared" si="9"/>
        <v/>
      </c>
      <c r="BM259" s="219" t="str">
        <f t="shared" si="9"/>
        <v/>
      </c>
      <c r="BN259" s="219" t="str">
        <f t="shared" si="9"/>
        <v/>
      </c>
      <c r="BO259" s="219" t="str">
        <f t="shared" si="9"/>
        <v/>
      </c>
      <c r="BP259" s="219" t="str">
        <f t="shared" si="9"/>
        <v/>
      </c>
      <c r="BQ259" s="219" t="str">
        <f t="shared" ref="BQ259:DT259" si="10">IF((OR(BQ258=0,MAX(BQ262,BQ264,BQ266,BQ268,BQ269,BQ272,BQ274)=0))=TRUE,"",IFERROR((((MAX(BQ262,BQ264,BQ266,BQ268,BQ269,BQ272,BQ274,)+BQ258)*0.7)-BQ258),""))</f>
        <v/>
      </c>
      <c r="BR259" s="219" t="str">
        <f t="shared" si="10"/>
        <v/>
      </c>
      <c r="BS259" s="219" t="str">
        <f t="shared" si="10"/>
        <v/>
      </c>
      <c r="BT259" s="219" t="str">
        <f t="shared" si="10"/>
        <v/>
      </c>
      <c r="BU259" s="219" t="str">
        <f t="shared" si="10"/>
        <v/>
      </c>
      <c r="BV259" s="219" t="str">
        <f t="shared" si="10"/>
        <v/>
      </c>
      <c r="BW259" s="219" t="str">
        <f t="shared" si="10"/>
        <v/>
      </c>
      <c r="BX259" s="219" t="str">
        <f t="shared" si="10"/>
        <v/>
      </c>
      <c r="BY259" s="219" t="str">
        <f t="shared" si="10"/>
        <v/>
      </c>
      <c r="BZ259" s="219" t="str">
        <f t="shared" si="10"/>
        <v/>
      </c>
      <c r="CA259" s="219" t="str">
        <f t="shared" si="10"/>
        <v/>
      </c>
      <c r="CB259" s="219" t="str">
        <f t="shared" si="10"/>
        <v/>
      </c>
      <c r="CC259" s="219" t="str">
        <f t="shared" si="10"/>
        <v/>
      </c>
      <c r="CD259" s="219" t="str">
        <f t="shared" si="10"/>
        <v/>
      </c>
      <c r="CE259" s="219" t="str">
        <f t="shared" si="10"/>
        <v/>
      </c>
      <c r="CF259" s="219" t="str">
        <f t="shared" si="10"/>
        <v/>
      </c>
      <c r="CG259" s="219" t="str">
        <f t="shared" si="10"/>
        <v/>
      </c>
      <c r="CH259" s="219" t="str">
        <f t="shared" si="10"/>
        <v/>
      </c>
      <c r="CI259" s="219" t="str">
        <f t="shared" si="10"/>
        <v/>
      </c>
      <c r="CJ259" s="219" t="str">
        <f t="shared" si="10"/>
        <v/>
      </c>
      <c r="CK259" s="219" t="str">
        <f t="shared" si="10"/>
        <v/>
      </c>
      <c r="CL259" s="219" t="str">
        <f t="shared" si="10"/>
        <v/>
      </c>
      <c r="CM259" s="219" t="str">
        <f t="shared" si="10"/>
        <v/>
      </c>
      <c r="CN259" s="219" t="str">
        <f t="shared" si="10"/>
        <v/>
      </c>
      <c r="CO259" s="219" t="str">
        <f t="shared" si="10"/>
        <v/>
      </c>
      <c r="CP259" s="219" t="str">
        <f t="shared" si="10"/>
        <v/>
      </c>
      <c r="CQ259" s="219" t="str">
        <f t="shared" si="10"/>
        <v/>
      </c>
      <c r="CR259" s="219" t="str">
        <f t="shared" si="10"/>
        <v/>
      </c>
      <c r="CS259" s="219" t="str">
        <f t="shared" si="10"/>
        <v/>
      </c>
      <c r="CT259" s="219" t="str">
        <f t="shared" si="10"/>
        <v/>
      </c>
      <c r="CU259" s="219" t="str">
        <f t="shared" si="10"/>
        <v/>
      </c>
      <c r="CV259" s="219" t="str">
        <f t="shared" si="10"/>
        <v/>
      </c>
      <c r="CW259" s="219" t="str">
        <f t="shared" si="10"/>
        <v/>
      </c>
      <c r="CX259" s="219" t="str">
        <f t="shared" si="10"/>
        <v/>
      </c>
      <c r="CY259" s="219" t="str">
        <f t="shared" si="10"/>
        <v/>
      </c>
      <c r="CZ259" s="219" t="str">
        <f t="shared" si="10"/>
        <v/>
      </c>
      <c r="DA259" s="219" t="str">
        <f t="shared" si="10"/>
        <v/>
      </c>
      <c r="DB259" s="219" t="str">
        <f t="shared" si="10"/>
        <v/>
      </c>
      <c r="DC259" s="219" t="str">
        <f t="shared" si="10"/>
        <v/>
      </c>
      <c r="DD259" s="219" t="str">
        <f t="shared" si="10"/>
        <v/>
      </c>
      <c r="DE259" s="219" t="str">
        <f t="shared" si="10"/>
        <v/>
      </c>
      <c r="DF259" s="219" t="str">
        <f t="shared" si="10"/>
        <v/>
      </c>
      <c r="DG259" s="219" t="str">
        <f t="shared" si="10"/>
        <v/>
      </c>
      <c r="DH259" s="219" t="str">
        <f t="shared" si="10"/>
        <v/>
      </c>
      <c r="DI259" s="219" t="str">
        <f t="shared" si="10"/>
        <v/>
      </c>
      <c r="DJ259" s="219" t="str">
        <f t="shared" si="10"/>
        <v/>
      </c>
      <c r="DK259" s="219" t="str">
        <f t="shared" si="10"/>
        <v/>
      </c>
      <c r="DL259" s="219" t="str">
        <f t="shared" si="10"/>
        <v/>
      </c>
      <c r="DM259" s="219" t="str">
        <f t="shared" si="10"/>
        <v/>
      </c>
      <c r="DN259" s="219" t="str">
        <f t="shared" si="10"/>
        <v/>
      </c>
      <c r="DO259" s="219" t="str">
        <f t="shared" si="10"/>
        <v/>
      </c>
      <c r="DP259" s="219" t="str">
        <f t="shared" si="10"/>
        <v/>
      </c>
      <c r="DQ259" s="219" t="str">
        <f t="shared" si="10"/>
        <v/>
      </c>
      <c r="DR259" s="219" t="str">
        <f t="shared" si="10"/>
        <v/>
      </c>
      <c r="DS259" s="219" t="str">
        <f t="shared" si="10"/>
        <v/>
      </c>
      <c r="DT259" s="219" t="str">
        <f t="shared" si="10"/>
        <v/>
      </c>
    </row>
    <row r="260" spans="1:124" ht="21.75" customHeight="1" thickBot="1">
      <c r="A260" s="311"/>
      <c r="B260" s="225"/>
      <c r="C260" s="226"/>
      <c r="D260" s="266"/>
      <c r="E260" s="277"/>
      <c r="F260" s="220"/>
      <c r="G260" s="220"/>
      <c r="H260" s="220"/>
      <c r="I260" s="220"/>
      <c r="J260" s="220"/>
      <c r="K260" s="220"/>
      <c r="L260" s="220"/>
      <c r="M260" s="220"/>
      <c r="N260" s="220"/>
      <c r="O260" s="220"/>
      <c r="P260" s="220"/>
      <c r="Q260" s="220"/>
      <c r="R260" s="220"/>
      <c r="S260" s="220"/>
      <c r="T260" s="220"/>
      <c r="U260" s="220"/>
      <c r="V260" s="220"/>
      <c r="W260" s="220"/>
      <c r="X260" s="220"/>
      <c r="Y260" s="220"/>
      <c r="Z260" s="220"/>
      <c r="AA260" s="220"/>
      <c r="AB260" s="220"/>
      <c r="AC260" s="220"/>
      <c r="AD260" s="220"/>
      <c r="AE260" s="220"/>
      <c r="AF260" s="220"/>
      <c r="AG260" s="220"/>
      <c r="AH260" s="220"/>
      <c r="AI260" s="220"/>
      <c r="AJ260" s="220"/>
      <c r="AK260" s="220"/>
      <c r="AL260" s="220"/>
      <c r="AM260" s="220"/>
      <c r="AN260" s="220"/>
      <c r="AO260" s="220"/>
      <c r="AP260" s="220"/>
      <c r="AQ260" s="220"/>
      <c r="AR260" s="220"/>
      <c r="AS260" s="220"/>
      <c r="AT260" s="220"/>
      <c r="AU260" s="220"/>
      <c r="AV260" s="220"/>
      <c r="AW260" s="220"/>
      <c r="AX260" s="220"/>
      <c r="AY260" s="220"/>
      <c r="AZ260" s="220"/>
      <c r="BA260" s="220"/>
      <c r="BB260" s="220"/>
      <c r="BC260" s="220"/>
      <c r="BD260" s="220"/>
      <c r="BE260" s="220"/>
      <c r="BF260" s="220"/>
      <c r="BG260" s="220"/>
      <c r="BH260" s="220"/>
      <c r="BI260" s="220"/>
      <c r="BJ260" s="220"/>
      <c r="BK260" s="220"/>
      <c r="BL260" s="220"/>
      <c r="BM260" s="220"/>
      <c r="BN260" s="220"/>
      <c r="BO260" s="220"/>
      <c r="BP260" s="220"/>
      <c r="BQ260" s="220"/>
      <c r="BR260" s="220"/>
      <c r="BS260" s="220"/>
      <c r="BT260" s="220"/>
      <c r="BU260" s="220"/>
      <c r="BV260" s="220"/>
      <c r="BW260" s="220"/>
      <c r="BX260" s="220"/>
      <c r="BY260" s="220"/>
      <c r="BZ260" s="220"/>
      <c r="CA260" s="220"/>
      <c r="CB260" s="220"/>
      <c r="CC260" s="220"/>
      <c r="CD260" s="220"/>
      <c r="CE260" s="220"/>
      <c r="CF260" s="220"/>
      <c r="CG260" s="220"/>
      <c r="CH260" s="220"/>
      <c r="CI260" s="220"/>
      <c r="CJ260" s="220"/>
      <c r="CK260" s="220"/>
      <c r="CL260" s="220"/>
      <c r="CM260" s="220"/>
      <c r="CN260" s="220"/>
      <c r="CO260" s="220"/>
      <c r="CP260" s="220"/>
      <c r="CQ260" s="220"/>
      <c r="CR260" s="220"/>
      <c r="CS260" s="220"/>
      <c r="CT260" s="220"/>
      <c r="CU260" s="220"/>
      <c r="CV260" s="220"/>
      <c r="CW260" s="220"/>
      <c r="CX260" s="220"/>
      <c r="CY260" s="220"/>
      <c r="CZ260" s="220"/>
      <c r="DA260" s="220"/>
      <c r="DB260" s="220"/>
      <c r="DC260" s="220"/>
      <c r="DD260" s="220"/>
      <c r="DE260" s="220"/>
      <c r="DF260" s="220"/>
      <c r="DG260" s="220"/>
      <c r="DH260" s="220"/>
      <c r="DI260" s="220"/>
      <c r="DJ260" s="220"/>
      <c r="DK260" s="220"/>
      <c r="DL260" s="220"/>
      <c r="DM260" s="220"/>
      <c r="DN260" s="220"/>
      <c r="DO260" s="220"/>
      <c r="DP260" s="220"/>
      <c r="DQ260" s="220"/>
      <c r="DR260" s="220"/>
      <c r="DS260" s="220"/>
      <c r="DT260" s="220"/>
    </row>
    <row r="261" spans="1:124" ht="21.75" customHeight="1">
      <c r="A261" s="311"/>
      <c r="B261" s="229" t="s">
        <v>488</v>
      </c>
      <c r="C261" s="230"/>
      <c r="D261" s="231"/>
      <c r="E261" s="69"/>
      <c r="F261" s="69"/>
      <c r="G261" s="69"/>
      <c r="H261" s="69"/>
      <c r="I261" s="69"/>
      <c r="J261" s="68"/>
      <c r="K261" s="68"/>
      <c r="L261" s="68"/>
      <c r="M261" s="68"/>
      <c r="N261" s="68"/>
      <c r="O261" s="68"/>
      <c r="P261" s="68"/>
      <c r="Q261" s="68"/>
      <c r="R261" s="68"/>
      <c r="S261" s="68"/>
      <c r="T261" s="68"/>
      <c r="U261" s="69"/>
      <c r="V261" s="69"/>
      <c r="W261" s="69"/>
      <c r="X261" s="69"/>
      <c r="Y261" s="69"/>
      <c r="Z261" s="69"/>
      <c r="AA261" s="69"/>
      <c r="AB261" s="69"/>
      <c r="AC261" s="69"/>
      <c r="AD261" s="69"/>
      <c r="AE261" s="69"/>
      <c r="AF261" s="69"/>
      <c r="AG261" s="69"/>
      <c r="AH261" s="89"/>
      <c r="AI261" s="68"/>
      <c r="AJ261" s="69"/>
      <c r="AK261" s="69"/>
      <c r="AL261" s="69"/>
      <c r="AM261" s="69"/>
      <c r="AN261" s="69" t="s">
        <v>402</v>
      </c>
      <c r="AO261" s="69"/>
      <c r="AP261" s="68"/>
      <c r="AQ261" s="68"/>
      <c r="AR261" s="68"/>
      <c r="AS261" s="68"/>
      <c r="AT261" s="68"/>
      <c r="AU261" s="68"/>
      <c r="AV261" s="68"/>
      <c r="AW261" s="68"/>
      <c r="AX261" s="68"/>
      <c r="AY261" s="68"/>
      <c r="AZ261" s="68"/>
      <c r="BA261" s="68"/>
      <c r="BB261" s="68"/>
      <c r="BC261" s="68"/>
      <c r="BD261" s="68"/>
      <c r="BE261" s="68"/>
      <c r="BF261" s="68"/>
      <c r="BG261" s="68"/>
      <c r="BH261" s="68"/>
      <c r="BI261" s="68"/>
      <c r="BJ261" s="68"/>
      <c r="BK261" s="68"/>
      <c r="BL261" s="68"/>
      <c r="BM261" s="68"/>
      <c r="BN261" s="68"/>
      <c r="BO261" s="68"/>
      <c r="BP261" s="68"/>
      <c r="BQ261" s="68"/>
      <c r="BR261" s="68"/>
      <c r="BS261" s="68"/>
      <c r="BT261" s="68"/>
      <c r="BU261" s="68"/>
      <c r="BV261" s="68"/>
      <c r="BW261" s="68"/>
      <c r="BX261" s="68"/>
      <c r="BY261" s="68"/>
      <c r="BZ261" s="68"/>
      <c r="CA261" s="68"/>
      <c r="CB261" s="68"/>
      <c r="CC261" s="68"/>
      <c r="CD261" s="68"/>
      <c r="CE261" s="68"/>
      <c r="CF261" s="68"/>
      <c r="CG261" s="68"/>
      <c r="CH261" s="68"/>
      <c r="CI261" s="68"/>
      <c r="CJ261" s="68"/>
      <c r="CK261" s="68"/>
      <c r="CL261" s="68"/>
      <c r="CM261" s="68"/>
      <c r="CN261" s="68"/>
      <c r="CO261" s="68"/>
      <c r="CP261" s="68"/>
      <c r="CQ261" s="68"/>
      <c r="CR261" s="68"/>
      <c r="CS261" s="68"/>
      <c r="CT261" s="68"/>
      <c r="CU261" s="68"/>
      <c r="CV261" s="68"/>
      <c r="CW261" s="68"/>
      <c r="CX261" s="68"/>
      <c r="CY261" s="68"/>
      <c r="CZ261" s="68"/>
      <c r="DA261" s="68"/>
      <c r="DB261" s="68"/>
      <c r="DC261" s="68"/>
      <c r="DD261" s="68"/>
      <c r="DE261" s="68"/>
      <c r="DF261" s="68"/>
      <c r="DG261" s="68"/>
      <c r="DH261" s="68"/>
      <c r="DI261" s="68"/>
      <c r="DJ261" s="68"/>
      <c r="DK261" s="68"/>
      <c r="DL261" s="68"/>
      <c r="DM261" s="68"/>
      <c r="DN261" s="68"/>
      <c r="DO261" s="68"/>
      <c r="DP261" s="68"/>
      <c r="DQ261" s="68"/>
      <c r="DR261" s="68"/>
      <c r="DS261" s="68"/>
      <c r="DT261" s="68"/>
    </row>
    <row r="262" spans="1:124" ht="21.75" customHeight="1">
      <c r="A262" s="311"/>
      <c r="B262" s="232"/>
      <c r="C262" s="233"/>
      <c r="D262" s="234"/>
      <c r="E262" s="70"/>
      <c r="F262" s="70"/>
      <c r="G262" s="70"/>
      <c r="H262" s="70"/>
      <c r="I262" s="70"/>
      <c r="J262" s="65"/>
      <c r="K262" s="65"/>
      <c r="L262" s="65"/>
      <c r="M262" s="65"/>
      <c r="N262" s="65"/>
      <c r="O262" s="65"/>
      <c r="P262" s="65"/>
      <c r="Q262" s="65"/>
      <c r="R262" s="65"/>
      <c r="S262" s="65"/>
      <c r="T262" s="65"/>
      <c r="U262" s="70"/>
      <c r="V262" s="70"/>
      <c r="W262" s="70"/>
      <c r="X262" s="70"/>
      <c r="Y262" s="70"/>
      <c r="Z262" s="70"/>
      <c r="AA262" s="70"/>
      <c r="AB262" s="70"/>
      <c r="AC262" s="70"/>
      <c r="AD262" s="70"/>
      <c r="AE262" s="70"/>
      <c r="AF262" s="70"/>
      <c r="AG262" s="70"/>
      <c r="AH262" s="90"/>
      <c r="AI262" s="65"/>
      <c r="AJ262" s="70"/>
      <c r="AK262" s="70"/>
      <c r="AL262" s="70"/>
      <c r="AM262" s="70"/>
      <c r="AN262" s="96">
        <f>200/0.935</f>
        <v>213.903743315508</v>
      </c>
      <c r="AO262" s="70"/>
      <c r="AP262" s="65"/>
      <c r="AQ262" s="65"/>
      <c r="AR262" s="65"/>
      <c r="AS262" s="65"/>
      <c r="AT262" s="65"/>
      <c r="AU262" s="65"/>
      <c r="AV262" s="65"/>
      <c r="AW262" s="65"/>
      <c r="AX262" s="65"/>
      <c r="AY262" s="65"/>
      <c r="AZ262" s="65"/>
      <c r="BA262" s="65"/>
      <c r="BB262" s="65"/>
      <c r="BC262" s="65"/>
      <c r="BD262" s="65"/>
      <c r="BE262" s="65"/>
      <c r="BF262" s="65"/>
      <c r="BG262" s="65"/>
      <c r="BH262" s="65"/>
      <c r="BI262" s="65"/>
      <c r="BJ262" s="65"/>
      <c r="BK262" s="65"/>
      <c r="BL262" s="65"/>
      <c r="BM262" s="65"/>
      <c r="BN262" s="65"/>
      <c r="BO262" s="65"/>
      <c r="BP262" s="65"/>
      <c r="BQ262" s="65"/>
      <c r="BR262" s="65"/>
      <c r="BS262" s="65"/>
      <c r="BT262" s="65"/>
      <c r="BU262" s="65"/>
      <c r="BV262" s="65"/>
      <c r="BW262" s="65"/>
      <c r="BX262" s="65"/>
      <c r="BY262" s="65"/>
      <c r="BZ262" s="65"/>
      <c r="CA262" s="65"/>
      <c r="CB262" s="65"/>
      <c r="CC262" s="65"/>
      <c r="CD262" s="65"/>
      <c r="CE262" s="65"/>
      <c r="CF262" s="65"/>
      <c r="CG262" s="65"/>
      <c r="CH262" s="65"/>
      <c r="CI262" s="65"/>
      <c r="CJ262" s="65"/>
      <c r="CK262" s="65"/>
      <c r="CL262" s="65"/>
      <c r="CM262" s="65"/>
      <c r="CN262" s="65"/>
      <c r="CO262" s="65"/>
      <c r="CP262" s="65"/>
      <c r="CQ262" s="65"/>
      <c r="CR262" s="65"/>
      <c r="CS262" s="65"/>
      <c r="CT262" s="65"/>
      <c r="CU262" s="65"/>
      <c r="CV262" s="65"/>
      <c r="CW262" s="65"/>
      <c r="CX262" s="65"/>
      <c r="CY262" s="65"/>
      <c r="CZ262" s="65"/>
      <c r="DA262" s="65"/>
      <c r="DB262" s="65"/>
      <c r="DC262" s="65"/>
      <c r="DD262" s="65"/>
      <c r="DE262" s="65"/>
      <c r="DF262" s="65"/>
      <c r="DG262" s="65"/>
      <c r="DH262" s="65"/>
      <c r="DI262" s="65"/>
      <c r="DJ262" s="65"/>
      <c r="DK262" s="65"/>
      <c r="DL262" s="65"/>
      <c r="DM262" s="65"/>
      <c r="DN262" s="65"/>
      <c r="DO262" s="65"/>
      <c r="DP262" s="65"/>
      <c r="DQ262" s="65"/>
      <c r="DR262" s="65"/>
      <c r="DS262" s="65"/>
      <c r="DT262" s="65"/>
    </row>
    <row r="263" spans="1:124" ht="21.75" customHeight="1">
      <c r="A263" s="311"/>
      <c r="B263" s="229" t="s">
        <v>489</v>
      </c>
      <c r="C263" s="230"/>
      <c r="D263" s="231"/>
      <c r="E263" s="69"/>
      <c r="F263" s="69"/>
      <c r="G263" s="69"/>
      <c r="H263" s="69"/>
      <c r="I263" s="69"/>
      <c r="J263" s="68"/>
      <c r="K263" s="68"/>
      <c r="L263" s="68"/>
      <c r="M263" s="68"/>
      <c r="N263" s="68"/>
      <c r="O263" s="68"/>
      <c r="P263" s="68"/>
      <c r="Q263" s="68"/>
      <c r="R263" s="68"/>
      <c r="S263" s="103" t="s">
        <v>59</v>
      </c>
      <c r="T263" s="103" t="s">
        <v>59</v>
      </c>
      <c r="U263" s="69"/>
      <c r="V263" s="69"/>
      <c r="W263" s="69"/>
      <c r="X263" s="69"/>
      <c r="Y263" s="69"/>
      <c r="Z263" s="69"/>
      <c r="AA263" s="69"/>
      <c r="AB263" s="69"/>
      <c r="AC263" s="69" t="s">
        <v>399</v>
      </c>
      <c r="AD263" s="69"/>
      <c r="AE263" s="69"/>
      <c r="AF263" s="69"/>
      <c r="AG263" s="69"/>
      <c r="AH263" s="89"/>
      <c r="AI263" s="68"/>
      <c r="AJ263" s="69" t="s">
        <v>384</v>
      </c>
      <c r="AK263" s="69"/>
      <c r="AL263" s="69"/>
      <c r="AM263" s="69"/>
      <c r="AN263" s="69"/>
      <c r="AO263" s="69"/>
      <c r="AP263" s="68"/>
      <c r="AQ263" s="68"/>
      <c r="AR263" s="68"/>
      <c r="AS263" s="68"/>
      <c r="AT263" s="68"/>
      <c r="AU263" s="68"/>
      <c r="AV263" s="68"/>
      <c r="AW263" s="68"/>
      <c r="AX263" s="68"/>
      <c r="AY263" s="68"/>
      <c r="AZ263" s="68"/>
      <c r="BA263" s="68"/>
      <c r="BB263" s="68"/>
      <c r="BC263" s="68"/>
      <c r="BD263" s="68"/>
      <c r="BE263" s="68"/>
      <c r="BF263" s="68"/>
      <c r="BG263" s="68"/>
      <c r="BH263" s="68"/>
      <c r="BI263" s="68"/>
      <c r="BJ263" s="68"/>
      <c r="BK263" s="68"/>
      <c r="BL263" s="68"/>
      <c r="BM263" s="68"/>
      <c r="BN263" s="68"/>
      <c r="BO263" s="68"/>
      <c r="BP263" s="68"/>
      <c r="BQ263" s="68"/>
      <c r="BR263" s="68"/>
      <c r="BS263" s="68"/>
      <c r="BT263" s="68"/>
      <c r="BU263" s="68"/>
      <c r="BV263" s="68"/>
      <c r="BW263" s="68"/>
      <c r="BX263" s="68"/>
      <c r="BY263" s="68"/>
      <c r="BZ263" s="68"/>
      <c r="CA263" s="68"/>
      <c r="CB263" s="68"/>
      <c r="CC263" s="68"/>
      <c r="CD263" s="68"/>
      <c r="CE263" s="68"/>
      <c r="CF263" s="68"/>
      <c r="CG263" s="68"/>
      <c r="CH263" s="68"/>
      <c r="CI263" s="68"/>
      <c r="CJ263" s="68"/>
      <c r="CK263" s="68"/>
      <c r="CL263" s="68"/>
      <c r="CM263" s="68"/>
      <c r="CN263" s="68"/>
      <c r="CO263" s="68"/>
      <c r="CP263" s="68"/>
      <c r="CQ263" s="68"/>
      <c r="CR263" s="68"/>
      <c r="CS263" s="68"/>
      <c r="CT263" s="68"/>
      <c r="CU263" s="68"/>
      <c r="CV263" s="68"/>
      <c r="CW263" s="68"/>
      <c r="CX263" s="68"/>
      <c r="CY263" s="68"/>
      <c r="CZ263" s="68"/>
      <c r="DA263" s="68"/>
      <c r="DB263" s="68"/>
      <c r="DC263" s="68"/>
      <c r="DD263" s="68"/>
      <c r="DE263" s="68"/>
      <c r="DF263" s="68"/>
      <c r="DG263" s="68"/>
      <c r="DH263" s="68"/>
      <c r="DI263" s="68"/>
      <c r="DJ263" s="68"/>
      <c r="DK263" s="68"/>
      <c r="DL263" s="68"/>
      <c r="DM263" s="68"/>
      <c r="DN263" s="68"/>
      <c r="DO263" s="68"/>
      <c r="DP263" s="68"/>
      <c r="DQ263" s="68"/>
      <c r="DR263" s="68"/>
      <c r="DS263" s="68"/>
      <c r="DT263" s="68"/>
    </row>
    <row r="264" spans="1:124" ht="21.75" customHeight="1">
      <c r="A264" s="311"/>
      <c r="B264" s="232"/>
      <c r="C264" s="233"/>
      <c r="D264" s="234"/>
      <c r="E264" s="70"/>
      <c r="F264" s="70"/>
      <c r="G264" s="70"/>
      <c r="H264" s="70"/>
      <c r="I264" s="70"/>
      <c r="J264" s="65"/>
      <c r="K264" s="65"/>
      <c r="L264" s="65"/>
      <c r="M264" s="65"/>
      <c r="N264" s="65"/>
      <c r="O264" s="65"/>
      <c r="P264" s="65"/>
      <c r="Q264" s="65"/>
      <c r="R264" s="65"/>
      <c r="S264" s="104" t="s">
        <v>490</v>
      </c>
      <c r="T264" s="104" t="s">
        <v>491</v>
      </c>
      <c r="U264" s="70"/>
      <c r="V264" s="70"/>
      <c r="W264" s="70"/>
      <c r="X264" s="70"/>
      <c r="Y264" s="70"/>
      <c r="Z264" s="70"/>
      <c r="AA264" s="70"/>
      <c r="AB264" s="70"/>
      <c r="AC264" s="70">
        <f>140/0.885</f>
        <v>158.19209039548022</v>
      </c>
      <c r="AD264" s="70"/>
      <c r="AE264" s="70"/>
      <c r="AF264" s="70"/>
      <c r="AG264" s="70"/>
      <c r="AH264" s="90"/>
      <c r="AI264" s="65"/>
      <c r="AJ264" s="70">
        <f>160/0.91</f>
        <v>175.82417582417582</v>
      </c>
      <c r="AK264" s="70"/>
      <c r="AL264" s="70"/>
      <c r="AM264" s="70"/>
      <c r="AN264" s="70"/>
      <c r="AO264" s="70"/>
      <c r="AP264" s="65"/>
      <c r="AQ264" s="65"/>
      <c r="AR264" s="65"/>
      <c r="AS264" s="65"/>
      <c r="AT264" s="65"/>
      <c r="AU264" s="65"/>
      <c r="AV264" s="65"/>
      <c r="AW264" s="65"/>
      <c r="AX264" s="65"/>
      <c r="AY264" s="65"/>
      <c r="AZ264" s="65"/>
      <c r="BA264" s="65"/>
      <c r="BB264" s="65"/>
      <c r="BC264" s="65"/>
      <c r="BD264" s="65"/>
      <c r="BE264" s="65"/>
      <c r="BF264" s="65"/>
      <c r="BG264" s="65"/>
      <c r="BH264" s="65"/>
      <c r="BI264" s="65"/>
      <c r="BJ264" s="65"/>
      <c r="BK264" s="65"/>
      <c r="BL264" s="65"/>
      <c r="BM264" s="65"/>
      <c r="BN264" s="65"/>
      <c r="BO264" s="65"/>
      <c r="BP264" s="65"/>
      <c r="BQ264" s="65"/>
      <c r="BR264" s="65"/>
      <c r="BS264" s="65"/>
      <c r="BT264" s="65"/>
      <c r="BU264" s="65"/>
      <c r="BV264" s="65"/>
      <c r="BW264" s="65"/>
      <c r="BX264" s="65"/>
      <c r="BY264" s="65"/>
      <c r="BZ264" s="65"/>
      <c r="CA264" s="65"/>
      <c r="CB264" s="65"/>
      <c r="CC264" s="65"/>
      <c r="CD264" s="65"/>
      <c r="CE264" s="65"/>
      <c r="CF264" s="65"/>
      <c r="CG264" s="65"/>
      <c r="CH264" s="65"/>
      <c r="CI264" s="65"/>
      <c r="CJ264" s="65"/>
      <c r="CK264" s="65"/>
      <c r="CL264" s="65"/>
      <c r="CM264" s="65"/>
      <c r="CN264" s="65"/>
      <c r="CO264" s="65"/>
      <c r="CP264" s="65"/>
      <c r="CQ264" s="65"/>
      <c r="CR264" s="65"/>
      <c r="CS264" s="65"/>
      <c r="CT264" s="65"/>
      <c r="CU264" s="65"/>
      <c r="CV264" s="65"/>
      <c r="CW264" s="65"/>
      <c r="CX264" s="65"/>
      <c r="CY264" s="65"/>
      <c r="CZ264" s="65"/>
      <c r="DA264" s="65"/>
      <c r="DB264" s="65"/>
      <c r="DC264" s="65"/>
      <c r="DD264" s="65"/>
      <c r="DE264" s="65"/>
      <c r="DF264" s="65"/>
      <c r="DG264" s="65"/>
      <c r="DH264" s="65"/>
      <c r="DI264" s="65"/>
      <c r="DJ264" s="65"/>
      <c r="DK264" s="65"/>
      <c r="DL264" s="65"/>
      <c r="DM264" s="65"/>
      <c r="DN264" s="65"/>
      <c r="DO264" s="65"/>
      <c r="DP264" s="65"/>
      <c r="DQ264" s="65"/>
      <c r="DR264" s="65"/>
      <c r="DS264" s="65"/>
      <c r="DT264" s="65"/>
    </row>
    <row r="265" spans="1:124" ht="21.75" customHeight="1">
      <c r="A265" s="311"/>
      <c r="B265" s="235" t="s">
        <v>374</v>
      </c>
      <c r="C265" s="236"/>
      <c r="D265" s="237"/>
      <c r="E265" s="60"/>
      <c r="F265" s="60"/>
      <c r="G265" s="60"/>
      <c r="H265" s="60"/>
      <c r="I265" s="62"/>
      <c r="J265" s="60" t="s">
        <v>380</v>
      </c>
      <c r="K265" s="60" t="s">
        <v>384</v>
      </c>
      <c r="L265" s="60"/>
      <c r="M265" s="60" t="s">
        <v>394</v>
      </c>
      <c r="N265" s="60"/>
      <c r="O265" s="60" t="s">
        <v>394</v>
      </c>
      <c r="P265" s="60" t="s">
        <v>384</v>
      </c>
      <c r="Q265" s="60"/>
      <c r="R265" s="60"/>
      <c r="S265" s="60"/>
      <c r="T265" s="60"/>
      <c r="U265" s="60"/>
      <c r="V265" s="60"/>
      <c r="W265" s="60"/>
      <c r="X265" s="60"/>
      <c r="Y265" s="60"/>
      <c r="Z265" s="60"/>
      <c r="AA265" s="60"/>
      <c r="AB265" s="60"/>
      <c r="AC265" s="60"/>
      <c r="AD265" s="60"/>
      <c r="AE265" s="60"/>
      <c r="AF265" s="60"/>
      <c r="AG265" s="60"/>
      <c r="AH265" s="73"/>
      <c r="AI265" s="60"/>
      <c r="AJ265" s="60"/>
      <c r="AK265" s="60"/>
      <c r="AL265" s="60"/>
      <c r="AM265" s="60"/>
      <c r="AN265" s="60"/>
      <c r="AO265" s="60"/>
      <c r="AP265" s="60"/>
      <c r="AQ265" s="60"/>
      <c r="AR265" s="60"/>
      <c r="AS265" s="60"/>
      <c r="AT265" s="60"/>
      <c r="AU265" s="60"/>
      <c r="AV265" s="60"/>
      <c r="AW265" s="60"/>
      <c r="AX265" s="60"/>
      <c r="AY265" s="60"/>
      <c r="AZ265" s="60"/>
      <c r="BA265" s="60"/>
      <c r="BB265" s="60"/>
      <c r="BC265" s="60"/>
      <c r="BD265" s="60"/>
      <c r="BE265" s="60"/>
      <c r="BF265" s="60"/>
      <c r="BG265" s="60"/>
      <c r="BH265" s="60"/>
      <c r="BI265" s="60"/>
      <c r="BJ265" s="60"/>
      <c r="BK265" s="60"/>
      <c r="BL265" s="60"/>
      <c r="BM265" s="60"/>
      <c r="BN265" s="60"/>
      <c r="BO265" s="60"/>
      <c r="BP265" s="60" t="s">
        <v>396</v>
      </c>
      <c r="BQ265" s="62" t="s">
        <v>424</v>
      </c>
      <c r="BR265" s="60"/>
      <c r="BS265" s="60"/>
      <c r="BT265" s="60"/>
      <c r="BU265" s="60"/>
      <c r="BV265" s="62" t="s">
        <v>423</v>
      </c>
      <c r="BW265" s="60"/>
      <c r="BX265" s="60"/>
      <c r="BY265" s="60"/>
      <c r="BZ265" s="60"/>
      <c r="CA265" s="60"/>
      <c r="CB265" s="60"/>
      <c r="CC265" s="60"/>
      <c r="CD265" s="60"/>
      <c r="CE265" s="60"/>
      <c r="CF265" s="60"/>
      <c r="CG265" s="60"/>
      <c r="CH265" s="60"/>
      <c r="CI265" s="60"/>
      <c r="CJ265" s="60"/>
      <c r="CK265" s="60"/>
      <c r="CL265" s="60"/>
      <c r="CM265" s="60"/>
      <c r="CN265" s="60"/>
      <c r="CO265" s="60"/>
      <c r="CP265" s="60"/>
      <c r="CQ265" s="60"/>
      <c r="CR265" s="60"/>
      <c r="CS265" s="60"/>
      <c r="CT265" s="60"/>
      <c r="CU265" s="60"/>
      <c r="CV265" s="60"/>
      <c r="CW265" s="60"/>
      <c r="CX265" s="60"/>
      <c r="CY265" s="60"/>
      <c r="CZ265" s="60"/>
      <c r="DA265" s="60"/>
      <c r="DB265" s="60"/>
      <c r="DC265" s="60"/>
      <c r="DD265" s="60"/>
      <c r="DE265" s="60"/>
      <c r="DF265" s="60"/>
      <c r="DG265" s="60"/>
      <c r="DH265" s="60"/>
      <c r="DI265" s="60"/>
      <c r="DJ265" s="60"/>
      <c r="DK265" s="60"/>
      <c r="DL265" s="60"/>
      <c r="DM265" s="60"/>
      <c r="DN265" s="60"/>
      <c r="DO265" s="60"/>
      <c r="DP265" s="60"/>
      <c r="DQ265" s="60"/>
      <c r="DR265" s="60"/>
      <c r="DS265" s="60"/>
      <c r="DT265" s="60"/>
    </row>
    <row r="266" spans="1:124" ht="21.75" customHeight="1">
      <c r="A266" s="311"/>
      <c r="B266" s="232"/>
      <c r="C266" s="233"/>
      <c r="D266" s="234"/>
      <c r="E266" s="63"/>
      <c r="F266" s="63"/>
      <c r="G266" s="63"/>
      <c r="H266" s="63"/>
      <c r="I266" s="86">
        <v>200</v>
      </c>
      <c r="J266" s="63">
        <f>150/0.91</f>
        <v>164.83516483516482</v>
      </c>
      <c r="K266" s="63">
        <f>150/0.91</f>
        <v>164.83516483516482</v>
      </c>
      <c r="L266" s="63"/>
      <c r="M266" s="63">
        <f>140/0.86</f>
        <v>162.7906976744186</v>
      </c>
      <c r="N266" s="63"/>
      <c r="O266" s="63">
        <f>140/0.86</f>
        <v>162.7906976744186</v>
      </c>
      <c r="P266" s="105">
        <f>180/0.91</f>
        <v>197.80219780219778</v>
      </c>
      <c r="Q266" s="63"/>
      <c r="R266" s="63"/>
      <c r="S266" s="63"/>
      <c r="T266" s="63"/>
      <c r="U266" s="63"/>
      <c r="V266" s="63"/>
      <c r="W266" s="63"/>
      <c r="X266" s="63"/>
      <c r="Y266" s="63"/>
      <c r="Z266" s="63"/>
      <c r="AA266" s="63"/>
      <c r="AB266" s="63"/>
      <c r="AC266" s="63"/>
      <c r="AD266" s="63"/>
      <c r="AE266" s="63"/>
      <c r="AF266" s="63"/>
      <c r="AG266" s="63"/>
      <c r="AH266" s="106"/>
      <c r="AI266" s="63"/>
      <c r="AJ266" s="63"/>
      <c r="AK266" s="63"/>
      <c r="AL266" s="63"/>
      <c r="AM266" s="63"/>
      <c r="AN266" s="63"/>
      <c r="AO266" s="63"/>
      <c r="AP266" s="63"/>
      <c r="AQ266" s="63"/>
      <c r="AR266" s="63"/>
      <c r="AS266" s="63"/>
      <c r="AT266" s="63"/>
      <c r="AU266" s="63"/>
      <c r="AV266" s="63"/>
      <c r="AW266" s="63"/>
      <c r="AX266" s="63"/>
      <c r="AY266" s="63"/>
      <c r="AZ266" s="63"/>
      <c r="BA266" s="63"/>
      <c r="BB266" s="63"/>
      <c r="BC266" s="63"/>
      <c r="BD266" s="63"/>
      <c r="BE266" s="63"/>
      <c r="BF266" s="63"/>
      <c r="BG266" s="63"/>
      <c r="BH266" s="63"/>
      <c r="BI266" s="63"/>
      <c r="BJ266" s="63"/>
      <c r="BK266" s="63"/>
      <c r="BL266" s="63"/>
      <c r="BM266" s="63"/>
      <c r="BN266" s="63"/>
      <c r="BO266" s="63"/>
      <c r="BP266" s="63">
        <f>170/0.86</f>
        <v>197.67441860465118</v>
      </c>
      <c r="BQ266" s="67">
        <f>180/0.835</f>
        <v>215.56886227544911</v>
      </c>
      <c r="BR266" s="63"/>
      <c r="BS266" s="63"/>
      <c r="BT266" s="63"/>
      <c r="BU266" s="63"/>
      <c r="BV266" s="67">
        <f>200/0.885</f>
        <v>225.98870056497174</v>
      </c>
      <c r="BW266" s="63"/>
      <c r="BX266" s="63"/>
      <c r="BY266" s="63"/>
      <c r="BZ266" s="63"/>
      <c r="CA266" s="63"/>
      <c r="CB266" s="63"/>
      <c r="CC266" s="63"/>
      <c r="CD266" s="63"/>
      <c r="CE266" s="63"/>
      <c r="CF266" s="63"/>
      <c r="CG266" s="63"/>
      <c r="CH266" s="63"/>
      <c r="CI266" s="63"/>
      <c r="CJ266" s="63"/>
      <c r="CK266" s="63"/>
      <c r="CL266" s="63"/>
      <c r="CM266" s="63"/>
      <c r="CN266" s="63"/>
      <c r="CO266" s="63"/>
      <c r="CP266" s="63"/>
      <c r="CQ266" s="63"/>
      <c r="CR266" s="63"/>
      <c r="CS266" s="63"/>
      <c r="CT266" s="63"/>
      <c r="CU266" s="63"/>
      <c r="CV266" s="63"/>
      <c r="CW266" s="63"/>
      <c r="CX266" s="63"/>
      <c r="CY266" s="63"/>
      <c r="CZ266" s="63"/>
      <c r="DA266" s="63"/>
      <c r="DB266" s="63"/>
      <c r="DC266" s="63"/>
      <c r="DD266" s="63"/>
      <c r="DE266" s="63"/>
      <c r="DF266" s="63"/>
      <c r="DG266" s="63"/>
      <c r="DH266" s="63"/>
      <c r="DI266" s="63"/>
      <c r="DJ266" s="63"/>
      <c r="DK266" s="63"/>
      <c r="DL266" s="63"/>
      <c r="DM266" s="63"/>
      <c r="DN266" s="63"/>
      <c r="DO266" s="63"/>
      <c r="DP266" s="63"/>
      <c r="DQ266" s="63"/>
      <c r="DR266" s="63"/>
      <c r="DS266" s="63"/>
      <c r="DT266" s="63"/>
    </row>
    <row r="267" spans="1:124" ht="21.75" customHeight="1">
      <c r="A267" s="311"/>
      <c r="B267" s="229" t="s">
        <v>381</v>
      </c>
      <c r="C267" s="230"/>
      <c r="D267" s="231"/>
      <c r="E267" s="68"/>
      <c r="F267" s="68"/>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c r="AD267" s="68"/>
      <c r="AE267" s="68"/>
      <c r="AF267" s="68"/>
      <c r="AG267" s="68"/>
      <c r="AH267" s="107"/>
      <c r="AI267" s="68"/>
      <c r="AJ267" s="68"/>
      <c r="AK267" s="68"/>
      <c r="AL267" s="68"/>
      <c r="AM267" s="68"/>
      <c r="AN267" s="68"/>
      <c r="AO267" s="68"/>
      <c r="AP267" s="68"/>
      <c r="AQ267" s="68"/>
      <c r="AR267" s="68"/>
      <c r="AS267" s="68"/>
      <c r="AT267" s="68"/>
      <c r="AU267" s="68"/>
      <c r="AV267" s="68"/>
      <c r="AW267" s="68"/>
      <c r="AX267" s="68"/>
      <c r="AY267" s="68"/>
      <c r="AZ267" s="68"/>
      <c r="BA267" s="68"/>
      <c r="BB267" s="68"/>
      <c r="BC267" s="68"/>
      <c r="BD267" s="68"/>
      <c r="BE267" s="68"/>
      <c r="BF267" s="68"/>
      <c r="BG267" s="68"/>
      <c r="BH267" s="68"/>
      <c r="BI267" s="68"/>
      <c r="BJ267" s="68"/>
      <c r="BK267" s="68"/>
      <c r="BL267" s="68"/>
      <c r="BM267" s="68"/>
      <c r="BN267" s="68"/>
      <c r="BO267" s="68"/>
      <c r="BP267" s="68"/>
      <c r="BQ267" s="68"/>
      <c r="BR267" s="68"/>
      <c r="BS267" s="68"/>
      <c r="BT267" s="68"/>
      <c r="BU267" s="68"/>
      <c r="BV267" s="68"/>
      <c r="BW267" s="68"/>
      <c r="BX267" s="68"/>
      <c r="BY267" s="68"/>
      <c r="BZ267" s="68"/>
      <c r="CA267" s="68"/>
      <c r="CB267" s="68"/>
      <c r="CC267" s="68"/>
      <c r="CD267" s="68"/>
      <c r="CE267" s="68"/>
      <c r="CF267" s="68"/>
      <c r="CG267" s="68"/>
      <c r="CH267" s="68"/>
      <c r="CI267" s="68"/>
      <c r="CJ267" s="68"/>
      <c r="CK267" s="68"/>
      <c r="CL267" s="68"/>
      <c r="CM267" s="68"/>
      <c r="CN267" s="68"/>
      <c r="CO267" s="68"/>
      <c r="CP267" s="68"/>
      <c r="CQ267" s="68"/>
      <c r="CR267" s="68"/>
      <c r="CS267" s="68"/>
      <c r="CT267" s="68"/>
      <c r="CU267" s="68"/>
      <c r="CV267" s="68"/>
      <c r="CW267" s="68"/>
      <c r="CX267" s="68"/>
      <c r="CY267" s="68"/>
      <c r="CZ267" s="68"/>
      <c r="DA267" s="68"/>
      <c r="DB267" s="68"/>
      <c r="DC267" s="68"/>
      <c r="DD267" s="68"/>
      <c r="DE267" s="68"/>
      <c r="DF267" s="68"/>
      <c r="DG267" s="68"/>
      <c r="DH267" s="68"/>
      <c r="DI267" s="68"/>
      <c r="DJ267" s="68"/>
      <c r="DK267" s="68"/>
      <c r="DL267" s="68"/>
      <c r="DM267" s="68"/>
      <c r="DN267" s="68"/>
      <c r="DO267" s="68"/>
      <c r="DP267" s="68"/>
      <c r="DQ267" s="68"/>
      <c r="DR267" s="68"/>
      <c r="DS267" s="68"/>
      <c r="DT267" s="68"/>
    </row>
    <row r="268" spans="1:124" ht="21.75" customHeight="1">
      <c r="A268" s="311"/>
      <c r="B268" s="232"/>
      <c r="C268" s="233"/>
      <c r="D268" s="234"/>
      <c r="E268" s="65"/>
      <c r="F268" s="65"/>
      <c r="G268" s="65"/>
      <c r="H268" s="65"/>
      <c r="I268" s="65"/>
      <c r="J268" s="65"/>
      <c r="K268" s="65"/>
      <c r="L268" s="65"/>
      <c r="M268" s="65"/>
      <c r="N268" s="65"/>
      <c r="O268" s="65"/>
      <c r="P268" s="65"/>
      <c r="Q268" s="65"/>
      <c r="R268" s="65"/>
      <c r="S268" s="65"/>
      <c r="T268" s="65"/>
      <c r="U268" s="65"/>
      <c r="V268" s="65"/>
      <c r="W268" s="65"/>
      <c r="X268" s="65"/>
      <c r="Y268" s="65"/>
      <c r="Z268" s="65"/>
      <c r="AA268" s="65"/>
      <c r="AB268" s="65"/>
      <c r="AC268" s="65"/>
      <c r="AD268" s="65"/>
      <c r="AE268" s="65"/>
      <c r="AF268" s="65"/>
      <c r="AG268" s="65"/>
      <c r="AH268" s="74"/>
      <c r="AI268" s="65"/>
      <c r="AJ268" s="65"/>
      <c r="AK268" s="65"/>
      <c r="AL268" s="65"/>
      <c r="AM268" s="65"/>
      <c r="AN268" s="65"/>
      <c r="AO268" s="65"/>
      <c r="AP268" s="65"/>
      <c r="AQ268" s="65"/>
      <c r="AR268" s="65"/>
      <c r="AS268" s="65"/>
      <c r="AT268" s="65"/>
      <c r="AU268" s="65"/>
      <c r="AV268" s="65"/>
      <c r="AW268" s="65"/>
      <c r="AX268" s="65"/>
      <c r="AY268" s="65"/>
      <c r="AZ268" s="65"/>
      <c r="BA268" s="65"/>
      <c r="BB268" s="65"/>
      <c r="BC268" s="65"/>
      <c r="BD268" s="65"/>
      <c r="BE268" s="65"/>
      <c r="BF268" s="65"/>
      <c r="BG268" s="65"/>
      <c r="BH268" s="65"/>
      <c r="BI268" s="65"/>
      <c r="BJ268" s="65"/>
      <c r="BK268" s="65"/>
      <c r="BL268" s="65"/>
      <c r="BM268" s="65"/>
      <c r="BN268" s="65"/>
      <c r="BO268" s="65"/>
      <c r="BP268" s="65"/>
      <c r="BQ268" s="65"/>
      <c r="BR268" s="65"/>
      <c r="BS268" s="65"/>
      <c r="BT268" s="65"/>
      <c r="BU268" s="65"/>
      <c r="BV268" s="65"/>
      <c r="BW268" s="65"/>
      <c r="BX268" s="65"/>
      <c r="BY268" s="65"/>
      <c r="BZ268" s="65"/>
      <c r="CA268" s="65"/>
      <c r="CB268" s="65"/>
      <c r="CC268" s="65"/>
      <c r="CD268" s="65"/>
      <c r="CE268" s="65"/>
      <c r="CF268" s="65"/>
      <c r="CG268" s="65"/>
      <c r="CH268" s="65"/>
      <c r="CI268" s="65"/>
      <c r="CJ268" s="65"/>
      <c r="CK268" s="65"/>
      <c r="CL268" s="65"/>
      <c r="CM268" s="65"/>
      <c r="CN268" s="65"/>
      <c r="CO268" s="65"/>
      <c r="CP268" s="65"/>
      <c r="CQ268" s="65"/>
      <c r="CR268" s="65"/>
      <c r="CS268" s="65"/>
      <c r="CT268" s="65"/>
      <c r="CU268" s="65"/>
      <c r="CV268" s="65"/>
      <c r="CW268" s="65"/>
      <c r="CX268" s="65"/>
      <c r="CY268" s="65"/>
      <c r="CZ268" s="65"/>
      <c r="DA268" s="65"/>
      <c r="DB268" s="65"/>
      <c r="DC268" s="65"/>
      <c r="DD268" s="65"/>
      <c r="DE268" s="65"/>
      <c r="DF268" s="65"/>
      <c r="DG268" s="65"/>
      <c r="DH268" s="65"/>
      <c r="DI268" s="65"/>
      <c r="DJ268" s="65"/>
      <c r="DK268" s="65"/>
      <c r="DL268" s="65"/>
      <c r="DM268" s="65"/>
      <c r="DN268" s="65"/>
      <c r="DO268" s="65"/>
      <c r="DP268" s="65"/>
      <c r="DQ268" s="65"/>
      <c r="DR268" s="65"/>
      <c r="DS268" s="65"/>
      <c r="DT268" s="65"/>
    </row>
    <row r="269" spans="1:124" ht="21.75" customHeight="1">
      <c r="A269" s="311"/>
      <c r="B269" s="229" t="s">
        <v>451</v>
      </c>
      <c r="C269" s="230"/>
      <c r="D269" s="231"/>
      <c r="E269" s="261"/>
      <c r="F269" s="261"/>
      <c r="G269" s="261"/>
      <c r="H269" s="261"/>
      <c r="I269" s="261"/>
      <c r="J269" s="261"/>
      <c r="K269" s="261"/>
      <c r="L269" s="261"/>
      <c r="M269" s="261"/>
      <c r="N269" s="261"/>
      <c r="O269" s="261"/>
      <c r="P269" s="261"/>
      <c r="Q269" s="261"/>
      <c r="R269" s="261">
        <v>160</v>
      </c>
      <c r="S269" s="261"/>
      <c r="T269" s="261"/>
      <c r="U269" s="278"/>
      <c r="V269" s="278"/>
      <c r="W269" s="278"/>
      <c r="X269" s="278"/>
      <c r="Y269" s="261"/>
      <c r="Z269" s="261"/>
      <c r="AA269" s="261"/>
      <c r="AB269" s="261"/>
      <c r="AC269" s="261"/>
      <c r="AD269" s="261"/>
      <c r="AE269" s="261"/>
      <c r="AF269" s="261"/>
      <c r="AG269" s="261"/>
      <c r="AH269" s="261"/>
      <c r="AI269" s="261"/>
      <c r="AJ269" s="261"/>
      <c r="AK269" s="261"/>
      <c r="AL269" s="261"/>
      <c r="AM269" s="261"/>
      <c r="AN269" s="261"/>
      <c r="AO269" s="261"/>
      <c r="AP269" s="261"/>
      <c r="AQ269" s="261"/>
      <c r="AR269" s="261"/>
      <c r="AS269" s="261"/>
      <c r="AT269" s="261"/>
      <c r="AU269" s="261"/>
      <c r="AV269" s="261"/>
      <c r="AW269" s="261"/>
      <c r="AX269" s="261"/>
      <c r="AY269" s="261"/>
      <c r="AZ269" s="261"/>
      <c r="BA269" s="261"/>
      <c r="BB269" s="261"/>
      <c r="BC269" s="261"/>
      <c r="BD269" s="261"/>
      <c r="BE269" s="261"/>
      <c r="BF269" s="261"/>
      <c r="BG269" s="261"/>
      <c r="BH269" s="261"/>
      <c r="BI269" s="261"/>
      <c r="BJ269" s="261"/>
      <c r="BK269" s="261"/>
      <c r="BL269" s="261"/>
      <c r="BM269" s="261"/>
      <c r="BN269" s="261"/>
      <c r="BO269" s="261"/>
      <c r="BP269" s="261"/>
      <c r="BQ269" s="261"/>
      <c r="BR269" s="261"/>
      <c r="BS269" s="261"/>
      <c r="BT269" s="261"/>
      <c r="BU269" s="261"/>
      <c r="BV269" s="261"/>
      <c r="BW269" s="261"/>
      <c r="BX269" s="261"/>
      <c r="BY269" s="261"/>
      <c r="BZ269" s="261"/>
      <c r="CA269" s="261"/>
      <c r="CB269" s="261"/>
      <c r="CC269" s="261"/>
      <c r="CD269" s="261"/>
      <c r="CE269" s="261"/>
      <c r="CF269" s="261"/>
      <c r="CG269" s="261"/>
      <c r="CH269" s="261"/>
      <c r="CI269" s="261"/>
      <c r="CJ269" s="261"/>
      <c r="CK269" s="261"/>
      <c r="CL269" s="261"/>
      <c r="CM269" s="261"/>
      <c r="CN269" s="261"/>
      <c r="CO269" s="261"/>
      <c r="CP269" s="261"/>
      <c r="CQ269" s="261"/>
      <c r="CR269" s="261"/>
      <c r="CS269" s="261"/>
      <c r="CT269" s="261"/>
      <c r="CU269" s="261"/>
      <c r="CV269" s="261"/>
      <c r="CW269" s="261"/>
      <c r="CX269" s="261"/>
      <c r="CY269" s="261"/>
      <c r="CZ269" s="261"/>
      <c r="DA269" s="261"/>
      <c r="DB269" s="261"/>
      <c r="DC269" s="261"/>
      <c r="DD269" s="261"/>
      <c r="DE269" s="261"/>
      <c r="DF269" s="261"/>
      <c r="DG269" s="261"/>
      <c r="DH269" s="261"/>
      <c r="DI269" s="261"/>
      <c r="DJ269" s="261"/>
      <c r="DK269" s="261"/>
      <c r="DL269" s="261"/>
      <c r="DM269" s="261"/>
      <c r="DN269" s="261"/>
      <c r="DO269" s="261"/>
      <c r="DP269" s="261"/>
      <c r="DQ269" s="261"/>
      <c r="DR269" s="261"/>
      <c r="DS269" s="261"/>
      <c r="DT269" s="261"/>
    </row>
    <row r="270" spans="1:124" ht="21.75" customHeight="1">
      <c r="A270" s="311"/>
      <c r="B270" s="232"/>
      <c r="C270" s="233"/>
      <c r="D270" s="234"/>
      <c r="E270" s="261"/>
      <c r="F270" s="261"/>
      <c r="G270" s="261"/>
      <c r="H270" s="261"/>
      <c r="I270" s="261"/>
      <c r="J270" s="261"/>
      <c r="K270" s="261"/>
      <c r="L270" s="261"/>
      <c r="M270" s="261"/>
      <c r="N270" s="261"/>
      <c r="O270" s="261"/>
      <c r="P270" s="261"/>
      <c r="Q270" s="261"/>
      <c r="R270" s="261"/>
      <c r="S270" s="261"/>
      <c r="T270" s="261"/>
      <c r="U270" s="279"/>
      <c r="V270" s="279"/>
      <c r="W270" s="279"/>
      <c r="X270" s="279"/>
      <c r="Y270" s="261"/>
      <c r="Z270" s="261"/>
      <c r="AA270" s="261"/>
      <c r="AB270" s="261"/>
      <c r="AC270" s="261"/>
      <c r="AD270" s="261"/>
      <c r="AE270" s="261"/>
      <c r="AF270" s="261"/>
      <c r="AG270" s="261"/>
      <c r="AH270" s="261"/>
      <c r="AI270" s="261"/>
      <c r="AJ270" s="261"/>
      <c r="AK270" s="261"/>
      <c r="AL270" s="261"/>
      <c r="AM270" s="261"/>
      <c r="AN270" s="261"/>
      <c r="AO270" s="261"/>
      <c r="AP270" s="261"/>
      <c r="AQ270" s="261"/>
      <c r="AR270" s="261"/>
      <c r="AS270" s="261"/>
      <c r="AT270" s="261"/>
      <c r="AU270" s="261"/>
      <c r="AV270" s="261"/>
      <c r="AW270" s="261"/>
      <c r="AX270" s="261"/>
      <c r="AY270" s="261"/>
      <c r="AZ270" s="261"/>
      <c r="BA270" s="261"/>
      <c r="BB270" s="261"/>
      <c r="BC270" s="261"/>
      <c r="BD270" s="261"/>
      <c r="BE270" s="261"/>
      <c r="BF270" s="261"/>
      <c r="BG270" s="261"/>
      <c r="BH270" s="261"/>
      <c r="BI270" s="261"/>
      <c r="BJ270" s="261"/>
      <c r="BK270" s="261"/>
      <c r="BL270" s="261"/>
      <c r="BM270" s="261"/>
      <c r="BN270" s="261"/>
      <c r="BO270" s="261"/>
      <c r="BP270" s="261"/>
      <c r="BQ270" s="261"/>
      <c r="BR270" s="261"/>
      <c r="BS270" s="261"/>
      <c r="BT270" s="261"/>
      <c r="BU270" s="261"/>
      <c r="BV270" s="261"/>
      <c r="BW270" s="261"/>
      <c r="BX270" s="261"/>
      <c r="BY270" s="261"/>
      <c r="BZ270" s="261"/>
      <c r="CA270" s="261"/>
      <c r="CB270" s="261"/>
      <c r="CC270" s="261"/>
      <c r="CD270" s="261"/>
      <c r="CE270" s="261"/>
      <c r="CF270" s="261"/>
      <c r="CG270" s="261"/>
      <c r="CH270" s="261"/>
      <c r="CI270" s="261"/>
      <c r="CJ270" s="261"/>
      <c r="CK270" s="261"/>
      <c r="CL270" s="261"/>
      <c r="CM270" s="261"/>
      <c r="CN270" s="261"/>
      <c r="CO270" s="261"/>
      <c r="CP270" s="261"/>
      <c r="CQ270" s="261"/>
      <c r="CR270" s="261"/>
      <c r="CS270" s="261"/>
      <c r="CT270" s="261"/>
      <c r="CU270" s="261"/>
      <c r="CV270" s="261"/>
      <c r="CW270" s="261"/>
      <c r="CX270" s="261"/>
      <c r="CY270" s="261"/>
      <c r="CZ270" s="261"/>
      <c r="DA270" s="261"/>
      <c r="DB270" s="261"/>
      <c r="DC270" s="261"/>
      <c r="DD270" s="261"/>
      <c r="DE270" s="261"/>
      <c r="DF270" s="261"/>
      <c r="DG270" s="261"/>
      <c r="DH270" s="261"/>
      <c r="DI270" s="261"/>
      <c r="DJ270" s="261"/>
      <c r="DK270" s="261"/>
      <c r="DL270" s="261"/>
      <c r="DM270" s="261"/>
      <c r="DN270" s="261"/>
      <c r="DO270" s="261"/>
      <c r="DP270" s="261"/>
      <c r="DQ270" s="261"/>
      <c r="DR270" s="261"/>
      <c r="DS270" s="261"/>
      <c r="DT270" s="261"/>
    </row>
    <row r="271" spans="1:124" ht="21.75" customHeight="1">
      <c r="A271" s="311"/>
      <c r="B271" s="229" t="s">
        <v>492</v>
      </c>
      <c r="C271" s="230"/>
      <c r="D271" s="231"/>
      <c r="E271" s="80"/>
      <c r="F271" s="80"/>
      <c r="G271" s="80"/>
      <c r="H271" s="80"/>
      <c r="I271" s="80"/>
      <c r="J271" s="60"/>
      <c r="K271" s="60"/>
      <c r="L271" s="60"/>
      <c r="M271" s="60"/>
      <c r="N271" s="60"/>
      <c r="O271" s="60"/>
      <c r="P271" s="60"/>
      <c r="Q271" s="60"/>
      <c r="R271" s="60"/>
      <c r="S271" s="60"/>
      <c r="T271" s="60"/>
      <c r="U271" s="80"/>
      <c r="V271" s="69" t="s">
        <v>380</v>
      </c>
      <c r="W271" s="69"/>
      <c r="X271" s="69" t="s">
        <v>394</v>
      </c>
      <c r="Y271" s="69"/>
      <c r="Z271" s="69"/>
      <c r="AA271" s="69" t="s">
        <v>394</v>
      </c>
      <c r="AB271" s="69"/>
      <c r="AC271" s="69"/>
      <c r="AD271" s="69"/>
      <c r="AE271" s="69"/>
      <c r="AF271" s="69"/>
      <c r="AG271" s="69"/>
      <c r="AH271" s="89"/>
      <c r="AI271" s="60"/>
      <c r="AJ271" s="69"/>
      <c r="AK271" s="69"/>
      <c r="AL271" s="69"/>
      <c r="AM271" s="69"/>
      <c r="AN271" s="69"/>
      <c r="AO271" s="69"/>
      <c r="AP271" s="60"/>
      <c r="AQ271" s="60"/>
      <c r="AR271" s="60"/>
      <c r="AS271" s="60"/>
      <c r="AT271" s="60"/>
      <c r="AU271" s="60"/>
      <c r="AV271" s="60"/>
      <c r="AW271" s="60"/>
      <c r="AX271" s="60"/>
      <c r="AY271" s="60"/>
      <c r="AZ271" s="60"/>
      <c r="BA271" s="60"/>
      <c r="BB271" s="60"/>
      <c r="BC271" s="60"/>
      <c r="BD271" s="60"/>
      <c r="BE271" s="60"/>
      <c r="BF271" s="60"/>
      <c r="BG271" s="60"/>
      <c r="BH271" s="60"/>
      <c r="BI271" s="60"/>
      <c r="BJ271" s="60"/>
      <c r="BK271" s="60"/>
      <c r="BL271" s="60"/>
      <c r="BM271" s="60"/>
      <c r="BN271" s="60"/>
      <c r="BO271" s="60"/>
      <c r="BP271" s="60"/>
      <c r="BQ271" s="60"/>
      <c r="BR271" s="60"/>
      <c r="BS271" s="60"/>
      <c r="BT271" s="60"/>
      <c r="BU271" s="60"/>
      <c r="BV271" s="60"/>
      <c r="BW271" s="60"/>
      <c r="BX271" s="60"/>
      <c r="BY271" s="60"/>
      <c r="BZ271" s="60"/>
      <c r="CA271" s="60"/>
      <c r="CB271" s="60"/>
      <c r="CC271" s="60"/>
      <c r="CD271" s="60"/>
      <c r="CE271" s="60"/>
      <c r="CF271" s="60"/>
      <c r="CG271" s="60"/>
      <c r="CH271" s="60"/>
      <c r="CI271" s="60"/>
      <c r="CJ271" s="60"/>
      <c r="CK271" s="60"/>
      <c r="CL271" s="60"/>
      <c r="CM271" s="60"/>
      <c r="CN271" s="60"/>
      <c r="CO271" s="60"/>
      <c r="CP271" s="60"/>
      <c r="CQ271" s="60"/>
      <c r="CR271" s="60"/>
      <c r="CS271" s="60"/>
      <c r="CT271" s="60"/>
      <c r="CU271" s="60"/>
      <c r="CV271" s="60"/>
      <c r="CW271" s="60"/>
      <c r="CX271" s="60"/>
      <c r="CY271" s="60"/>
      <c r="CZ271" s="60"/>
      <c r="DA271" s="60"/>
      <c r="DB271" s="60"/>
      <c r="DC271" s="60"/>
      <c r="DD271" s="60"/>
      <c r="DE271" s="60"/>
      <c r="DF271" s="60"/>
      <c r="DG271" s="60"/>
      <c r="DH271" s="60"/>
      <c r="DI271" s="60"/>
      <c r="DJ271" s="60"/>
      <c r="DK271" s="60"/>
      <c r="DL271" s="60"/>
      <c r="DM271" s="60"/>
      <c r="DN271" s="60"/>
      <c r="DO271" s="60"/>
      <c r="DP271" s="60"/>
      <c r="DQ271" s="60"/>
      <c r="DR271" s="60"/>
      <c r="DS271" s="60"/>
      <c r="DT271" s="60"/>
    </row>
    <row r="272" spans="1:124" ht="21.75" customHeight="1">
      <c r="A272" s="311"/>
      <c r="B272" s="232"/>
      <c r="C272" s="233"/>
      <c r="D272" s="234"/>
      <c r="E272" s="70"/>
      <c r="F272" s="70"/>
      <c r="G272" s="70"/>
      <c r="H272" s="70"/>
      <c r="I272" s="70"/>
      <c r="J272" s="65"/>
      <c r="K272" s="65"/>
      <c r="L272" s="65"/>
      <c r="M272" s="65"/>
      <c r="N272" s="65"/>
      <c r="O272" s="65"/>
      <c r="P272" s="65"/>
      <c r="Q272" s="65"/>
      <c r="R272" s="65"/>
      <c r="S272" s="65"/>
      <c r="T272" s="65"/>
      <c r="U272" s="70"/>
      <c r="V272" s="70">
        <f>140/0.86</f>
        <v>162.7906976744186</v>
      </c>
      <c r="W272" s="70"/>
      <c r="X272" s="70">
        <f>140/0.86</f>
        <v>162.7906976744186</v>
      </c>
      <c r="Y272" s="70"/>
      <c r="Z272" s="70"/>
      <c r="AA272" s="70">
        <f>145/0.86</f>
        <v>168.6046511627907</v>
      </c>
      <c r="AB272" s="70"/>
      <c r="AC272" s="70"/>
      <c r="AD272" s="70"/>
      <c r="AE272" s="70"/>
      <c r="AF272" s="70"/>
      <c r="AG272" s="70"/>
      <c r="AH272" s="90"/>
      <c r="AI272" s="65"/>
      <c r="AJ272" s="70"/>
      <c r="AK272" s="70"/>
      <c r="AL272" s="70"/>
      <c r="AM272" s="70"/>
      <c r="AN272" s="70"/>
      <c r="AO272" s="70"/>
      <c r="AP272" s="65"/>
      <c r="AQ272" s="65"/>
      <c r="AR272" s="65"/>
      <c r="AS272" s="65"/>
      <c r="AT272" s="65"/>
      <c r="AU272" s="65"/>
      <c r="AV272" s="65"/>
      <c r="AW272" s="65"/>
      <c r="AX272" s="65"/>
      <c r="AY272" s="65"/>
      <c r="AZ272" s="65"/>
      <c r="BA272" s="65"/>
      <c r="BB272" s="65"/>
      <c r="BC272" s="65"/>
      <c r="BD272" s="65"/>
      <c r="BE272" s="65"/>
      <c r="BF272" s="65"/>
      <c r="BG272" s="65"/>
      <c r="BH272" s="65"/>
      <c r="BI272" s="65"/>
      <c r="BJ272" s="65"/>
      <c r="BK272" s="65"/>
      <c r="BL272" s="65"/>
      <c r="BM272" s="65"/>
      <c r="BN272" s="65"/>
      <c r="BO272" s="65"/>
      <c r="BP272" s="65"/>
      <c r="BQ272" s="65"/>
      <c r="BR272" s="65"/>
      <c r="BS272" s="65"/>
      <c r="BT272" s="65"/>
      <c r="BU272" s="65"/>
      <c r="BV272" s="65"/>
      <c r="BW272" s="65"/>
      <c r="BX272" s="65"/>
      <c r="BY272" s="65"/>
      <c r="BZ272" s="65"/>
      <c r="CA272" s="65"/>
      <c r="CB272" s="65"/>
      <c r="CC272" s="65"/>
      <c r="CD272" s="65"/>
      <c r="CE272" s="65"/>
      <c r="CF272" s="65"/>
      <c r="CG272" s="65"/>
      <c r="CH272" s="65"/>
      <c r="CI272" s="65"/>
      <c r="CJ272" s="65"/>
      <c r="CK272" s="65"/>
      <c r="CL272" s="65"/>
      <c r="CM272" s="65"/>
      <c r="CN272" s="65"/>
      <c r="CO272" s="65"/>
      <c r="CP272" s="65"/>
      <c r="CQ272" s="65"/>
      <c r="CR272" s="65"/>
      <c r="CS272" s="65"/>
      <c r="CT272" s="65"/>
      <c r="CU272" s="65"/>
      <c r="CV272" s="65"/>
      <c r="CW272" s="65"/>
      <c r="CX272" s="65"/>
      <c r="CY272" s="65"/>
      <c r="CZ272" s="65"/>
      <c r="DA272" s="65"/>
      <c r="DB272" s="65"/>
      <c r="DC272" s="65"/>
      <c r="DD272" s="65"/>
      <c r="DE272" s="65"/>
      <c r="DF272" s="65"/>
      <c r="DG272" s="65"/>
      <c r="DH272" s="65"/>
      <c r="DI272" s="65"/>
      <c r="DJ272" s="65"/>
      <c r="DK272" s="65"/>
      <c r="DL272" s="65"/>
      <c r="DM272" s="65"/>
      <c r="DN272" s="65"/>
      <c r="DO272" s="65"/>
      <c r="DP272" s="65"/>
      <c r="DQ272" s="65"/>
      <c r="DR272" s="65"/>
      <c r="DS272" s="65"/>
      <c r="DT272" s="65"/>
    </row>
    <row r="273" spans="1:124" ht="21.75" customHeight="1">
      <c r="A273" s="311"/>
      <c r="B273" s="229" t="s">
        <v>385</v>
      </c>
      <c r="C273" s="230"/>
      <c r="D273" s="231"/>
      <c r="E273" s="60"/>
      <c r="F273" s="91" t="s">
        <v>427</v>
      </c>
      <c r="G273" s="91" t="s">
        <v>427</v>
      </c>
      <c r="H273" s="91" t="s">
        <v>427</v>
      </c>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73"/>
      <c r="AI273" s="60"/>
      <c r="AJ273" s="60"/>
      <c r="AK273" s="60"/>
      <c r="AL273" s="60"/>
      <c r="AM273" s="60"/>
      <c r="AN273" s="60"/>
      <c r="AO273" s="60"/>
      <c r="AP273" s="60"/>
      <c r="AQ273" s="60"/>
      <c r="AR273" s="60"/>
      <c r="AS273" s="60"/>
      <c r="AT273" s="60"/>
      <c r="AU273" s="60"/>
      <c r="AV273" s="60"/>
      <c r="AW273" s="60"/>
      <c r="AX273" s="60"/>
      <c r="AY273" s="60"/>
      <c r="AZ273" s="60"/>
      <c r="BA273" s="60"/>
      <c r="BB273" s="60"/>
      <c r="BC273" s="60"/>
      <c r="BD273" s="60"/>
      <c r="BE273" s="60"/>
      <c r="BF273" s="60"/>
      <c r="BG273" s="60"/>
      <c r="BH273" s="60"/>
      <c r="BI273" s="60"/>
      <c r="BJ273" s="60"/>
      <c r="BK273" s="60"/>
      <c r="BL273" s="60"/>
      <c r="BM273" s="60"/>
      <c r="BN273" s="60"/>
      <c r="BO273" s="60"/>
      <c r="BP273" s="60"/>
      <c r="BQ273" s="60"/>
      <c r="BR273" s="60"/>
      <c r="BS273" s="60"/>
      <c r="BT273" s="60"/>
      <c r="BU273" s="60"/>
      <c r="BV273" s="60"/>
      <c r="BW273" s="60"/>
      <c r="BX273" s="60"/>
      <c r="BY273" s="60"/>
      <c r="BZ273" s="60"/>
      <c r="CA273" s="60"/>
      <c r="CB273" s="60"/>
      <c r="CC273" s="60"/>
      <c r="CD273" s="60"/>
      <c r="CE273" s="60"/>
      <c r="CF273" s="60"/>
      <c r="CG273" s="60"/>
      <c r="CH273" s="60"/>
      <c r="CI273" s="60"/>
      <c r="CJ273" s="60"/>
      <c r="CK273" s="60"/>
      <c r="CL273" s="60"/>
      <c r="CM273" s="60"/>
      <c r="CN273" s="60"/>
      <c r="CO273" s="60"/>
      <c r="CP273" s="60"/>
      <c r="CQ273" s="60"/>
      <c r="CR273" s="60"/>
      <c r="CS273" s="60"/>
      <c r="CT273" s="60"/>
      <c r="CU273" s="60"/>
      <c r="CV273" s="60"/>
      <c r="CW273" s="60"/>
      <c r="CX273" s="60"/>
      <c r="CY273" s="60"/>
      <c r="CZ273" s="60"/>
      <c r="DA273" s="60"/>
      <c r="DB273" s="60"/>
      <c r="DC273" s="60"/>
      <c r="DD273" s="60"/>
      <c r="DE273" s="60"/>
      <c r="DF273" s="60"/>
      <c r="DG273" s="60"/>
      <c r="DH273" s="60"/>
      <c r="DI273" s="60"/>
      <c r="DJ273" s="60"/>
      <c r="DK273" s="60"/>
      <c r="DL273" s="60"/>
      <c r="DM273" s="60"/>
      <c r="DN273" s="60"/>
      <c r="DO273" s="60"/>
      <c r="DP273" s="60"/>
      <c r="DQ273" s="60"/>
      <c r="DR273" s="60"/>
      <c r="DS273" s="60"/>
      <c r="DT273" s="60"/>
    </row>
    <row r="274" spans="1:124" ht="21.75" customHeight="1">
      <c r="A274" s="311"/>
      <c r="B274" s="232"/>
      <c r="C274" s="233"/>
      <c r="D274" s="234"/>
      <c r="E274" s="65"/>
      <c r="F274" s="65">
        <v>180</v>
      </c>
      <c r="G274" s="65">
        <v>187.5</v>
      </c>
      <c r="H274" s="85" t="s">
        <v>493</v>
      </c>
      <c r="I274" s="65"/>
      <c r="J274" s="65"/>
      <c r="K274" s="65"/>
      <c r="L274" s="65"/>
      <c r="M274" s="65"/>
      <c r="N274" s="65"/>
      <c r="O274" s="65"/>
      <c r="P274" s="65"/>
      <c r="Q274" s="65"/>
      <c r="R274" s="65"/>
      <c r="S274" s="65"/>
      <c r="T274" s="65"/>
      <c r="U274" s="65"/>
      <c r="V274" s="65"/>
      <c r="W274" s="65"/>
      <c r="X274" s="65"/>
      <c r="Y274" s="65"/>
      <c r="Z274" s="65"/>
      <c r="AA274" s="65"/>
      <c r="AB274" s="65"/>
      <c r="AC274" s="65"/>
      <c r="AD274" s="65"/>
      <c r="AE274" s="65"/>
      <c r="AF274" s="65"/>
      <c r="AG274" s="65"/>
      <c r="AH274" s="74"/>
      <c r="AI274" s="65"/>
      <c r="AJ274" s="65"/>
      <c r="AK274" s="65"/>
      <c r="AL274" s="65"/>
      <c r="AM274" s="65"/>
      <c r="AN274" s="65"/>
      <c r="AO274" s="65"/>
      <c r="AP274" s="65"/>
      <c r="AQ274" s="65"/>
      <c r="AR274" s="65"/>
      <c r="AS274" s="65"/>
      <c r="AT274" s="65"/>
      <c r="AU274" s="65"/>
      <c r="AV274" s="65"/>
      <c r="AW274" s="65"/>
      <c r="AX274" s="65"/>
      <c r="AY274" s="65"/>
      <c r="AZ274" s="65"/>
      <c r="BA274" s="65"/>
      <c r="BB274" s="65"/>
      <c r="BC274" s="65"/>
      <c r="BD274" s="65"/>
      <c r="BE274" s="65"/>
      <c r="BF274" s="65"/>
      <c r="BG274" s="65"/>
      <c r="BH274" s="65"/>
      <c r="BI274" s="65"/>
      <c r="BJ274" s="65"/>
      <c r="BK274" s="65"/>
      <c r="BL274" s="65"/>
      <c r="BM274" s="65"/>
      <c r="BN274" s="65"/>
      <c r="BO274" s="65"/>
      <c r="BP274" s="65"/>
      <c r="BQ274" s="65"/>
      <c r="BR274" s="65"/>
      <c r="BS274" s="65"/>
      <c r="BT274" s="65"/>
      <c r="BU274" s="65"/>
      <c r="BV274" s="65"/>
      <c r="BW274" s="65"/>
      <c r="BX274" s="65"/>
      <c r="BY274" s="65"/>
      <c r="BZ274" s="65"/>
      <c r="CA274" s="65"/>
      <c r="CB274" s="65"/>
      <c r="CC274" s="65"/>
      <c r="CD274" s="65"/>
      <c r="CE274" s="65"/>
      <c r="CF274" s="65"/>
      <c r="CG274" s="65"/>
      <c r="CH274" s="65"/>
      <c r="CI274" s="65"/>
      <c r="CJ274" s="65"/>
      <c r="CK274" s="65"/>
      <c r="CL274" s="65"/>
      <c r="CM274" s="65"/>
      <c r="CN274" s="65"/>
      <c r="CO274" s="65"/>
      <c r="CP274" s="65"/>
      <c r="CQ274" s="65"/>
      <c r="CR274" s="65"/>
      <c r="CS274" s="65"/>
      <c r="CT274" s="65"/>
      <c r="CU274" s="65"/>
      <c r="CV274" s="65"/>
      <c r="CW274" s="65"/>
      <c r="CX274" s="65"/>
      <c r="CY274" s="65"/>
      <c r="CZ274" s="65"/>
      <c r="DA274" s="65"/>
      <c r="DB274" s="65"/>
      <c r="DC274" s="65"/>
      <c r="DD274" s="65"/>
      <c r="DE274" s="65"/>
      <c r="DF274" s="65"/>
      <c r="DG274" s="65"/>
      <c r="DH274" s="65"/>
      <c r="DI274" s="65"/>
      <c r="DJ274" s="65"/>
      <c r="DK274" s="65"/>
      <c r="DL274" s="65"/>
      <c r="DM274" s="65"/>
      <c r="DN274" s="65"/>
      <c r="DO274" s="65"/>
      <c r="DP274" s="65"/>
      <c r="DQ274" s="65"/>
      <c r="DR274" s="65"/>
      <c r="DS274" s="65"/>
      <c r="DT274" s="65"/>
    </row>
    <row r="275" spans="1:124" ht="21.75" customHeight="1">
      <c r="A275" s="311"/>
      <c r="B275" s="229" t="s">
        <v>494</v>
      </c>
      <c r="C275" s="230"/>
      <c r="D275" s="231"/>
      <c r="E275" s="69"/>
      <c r="F275" s="68"/>
      <c r="G275" s="68"/>
      <c r="H275" s="68"/>
      <c r="I275" s="68"/>
      <c r="J275" s="68"/>
      <c r="K275" s="68"/>
      <c r="L275" s="68"/>
      <c r="M275" s="68"/>
      <c r="N275" s="68"/>
      <c r="O275" s="68"/>
      <c r="P275" s="68"/>
      <c r="Q275" s="68"/>
      <c r="R275" s="68"/>
      <c r="S275" s="68"/>
      <c r="T275" s="68"/>
      <c r="U275" s="68"/>
      <c r="V275" s="68"/>
      <c r="W275" s="80" t="s">
        <v>495</v>
      </c>
      <c r="X275" s="69"/>
      <c r="Y275" s="69"/>
      <c r="Z275" s="69"/>
      <c r="AA275" s="69"/>
      <c r="AB275" s="69"/>
      <c r="AC275" s="69"/>
      <c r="AD275" s="69"/>
      <c r="AE275" s="69"/>
      <c r="AF275" s="69"/>
      <c r="AG275" s="69"/>
      <c r="AH275" s="69"/>
      <c r="AI275" s="69"/>
      <c r="AJ275" s="69"/>
      <c r="AK275" s="69"/>
      <c r="AL275" s="69"/>
      <c r="AM275" s="69"/>
      <c r="AN275" s="69"/>
      <c r="AO275" s="69"/>
      <c r="AP275" s="68"/>
      <c r="AQ275" s="68"/>
      <c r="AR275" s="68"/>
      <c r="AS275" s="69"/>
      <c r="AT275" s="69"/>
      <c r="AU275" s="69"/>
      <c r="AV275" s="69"/>
      <c r="AW275" s="69"/>
      <c r="AX275" s="68"/>
      <c r="AY275" s="68"/>
      <c r="AZ275" s="68"/>
      <c r="BA275" s="68"/>
      <c r="BB275" s="68"/>
      <c r="BC275" s="68"/>
      <c r="BD275" s="68"/>
      <c r="BE275" s="68" t="s">
        <v>376</v>
      </c>
      <c r="BF275" s="68"/>
      <c r="BG275" s="68"/>
      <c r="BH275" s="68" t="s">
        <v>398</v>
      </c>
      <c r="BI275" s="68"/>
      <c r="BJ275" s="68"/>
      <c r="BK275" s="68" t="s">
        <v>398</v>
      </c>
      <c r="BL275" s="68"/>
      <c r="BM275" s="68"/>
      <c r="BN275" s="60" t="s">
        <v>376</v>
      </c>
      <c r="BO275" s="68"/>
      <c r="BP275" s="68"/>
      <c r="BQ275" s="68"/>
      <c r="BR275" s="68"/>
      <c r="BS275" s="68"/>
      <c r="BT275" s="68"/>
      <c r="BU275" s="68"/>
      <c r="BV275" s="68"/>
      <c r="BW275" s="68"/>
      <c r="BX275" s="68"/>
      <c r="BY275" s="68"/>
      <c r="BZ275" s="68"/>
      <c r="CA275" s="68"/>
      <c r="CB275" s="68"/>
      <c r="CC275" s="68"/>
      <c r="CD275" s="68"/>
      <c r="CE275" s="68"/>
      <c r="CF275" s="68"/>
      <c r="CG275" s="68"/>
      <c r="CH275" s="68"/>
      <c r="CI275" s="68"/>
      <c r="CJ275" s="68"/>
      <c r="CK275" s="68"/>
      <c r="CL275" s="68"/>
      <c r="CM275" s="68"/>
      <c r="CN275" s="68"/>
      <c r="CO275" s="68"/>
      <c r="CP275" s="68"/>
      <c r="CQ275" s="68"/>
      <c r="CR275" s="68"/>
      <c r="CS275" s="68"/>
      <c r="CT275" s="68"/>
      <c r="CU275" s="68"/>
      <c r="CV275" s="68"/>
      <c r="CW275" s="68"/>
      <c r="CX275" s="68"/>
      <c r="CY275" s="68"/>
      <c r="CZ275" s="68"/>
      <c r="DA275" s="68"/>
      <c r="DB275" s="68"/>
      <c r="DC275" s="68"/>
      <c r="DD275" s="68"/>
      <c r="DE275" s="68"/>
      <c r="DF275" s="68"/>
      <c r="DG275" s="68"/>
      <c r="DH275" s="68"/>
      <c r="DI275" s="68"/>
      <c r="DJ275" s="68"/>
      <c r="DK275" s="68"/>
      <c r="DL275" s="68"/>
      <c r="DM275" s="68"/>
      <c r="DN275" s="68"/>
      <c r="DO275" s="68"/>
      <c r="DP275" s="68"/>
      <c r="DQ275" s="68"/>
      <c r="DR275" s="68"/>
      <c r="DS275" s="68"/>
      <c r="DT275" s="68"/>
    </row>
    <row r="276" spans="1:124" ht="21.75" customHeight="1">
      <c r="A276" s="311"/>
      <c r="B276" s="232"/>
      <c r="C276" s="233"/>
      <c r="D276" s="234"/>
      <c r="E276" s="70"/>
      <c r="F276" s="65"/>
      <c r="G276" s="65"/>
      <c r="H276" s="65"/>
      <c r="I276" s="65"/>
      <c r="J276" s="65"/>
      <c r="K276" s="65"/>
      <c r="L276" s="65"/>
      <c r="M276" s="65"/>
      <c r="N276" s="65"/>
      <c r="O276" s="65"/>
      <c r="P276" s="65"/>
      <c r="Q276" s="65"/>
      <c r="R276" s="65"/>
      <c r="S276" s="65"/>
      <c r="T276" s="65"/>
      <c r="U276" s="65"/>
      <c r="V276" s="65"/>
      <c r="W276" s="70">
        <f>170/0.91</f>
        <v>186.8131868131868</v>
      </c>
      <c r="X276" s="70"/>
      <c r="Y276" s="70"/>
      <c r="Z276" s="70"/>
      <c r="AA276" s="70"/>
      <c r="AB276" s="70"/>
      <c r="AC276" s="70"/>
      <c r="AD276" s="70"/>
      <c r="AE276" s="70"/>
      <c r="AF276" s="70"/>
      <c r="AG276" s="70"/>
      <c r="AH276" s="70"/>
      <c r="AI276" s="70"/>
      <c r="AJ276" s="70"/>
      <c r="AK276" s="70"/>
      <c r="AL276" s="70"/>
      <c r="AM276" s="70"/>
      <c r="AN276" s="70"/>
      <c r="AO276" s="70"/>
      <c r="AP276" s="65"/>
      <c r="AQ276" s="65"/>
      <c r="AR276" s="65"/>
      <c r="AS276" s="70"/>
      <c r="AT276" s="70"/>
      <c r="AU276" s="70"/>
      <c r="AV276" s="70"/>
      <c r="AW276" s="70"/>
      <c r="AX276" s="65"/>
      <c r="AY276" s="65"/>
      <c r="AZ276" s="65"/>
      <c r="BA276" s="65"/>
      <c r="BB276" s="65"/>
      <c r="BC276" s="65"/>
      <c r="BD276" s="65"/>
      <c r="BE276" s="65">
        <f>160/0.91</f>
        <v>175.82417582417582</v>
      </c>
      <c r="BF276" s="65"/>
      <c r="BG276" s="65"/>
      <c r="BH276" s="65">
        <f>170/0.91</f>
        <v>186.8131868131868</v>
      </c>
      <c r="BI276" s="65"/>
      <c r="BJ276" s="65"/>
      <c r="BK276" s="65">
        <f>170/0.91</f>
        <v>186.8131868131868</v>
      </c>
      <c r="BL276" s="65"/>
      <c r="BM276" s="65"/>
      <c r="BN276" s="65">
        <f>170/0.91</f>
        <v>186.8131868131868</v>
      </c>
      <c r="BO276" s="65"/>
      <c r="BP276" s="65"/>
      <c r="BQ276" s="65"/>
      <c r="BR276" s="65"/>
      <c r="BS276" s="65"/>
      <c r="BT276" s="65"/>
      <c r="BU276" s="65"/>
      <c r="BV276" s="65"/>
      <c r="BW276" s="65"/>
      <c r="BX276" s="65"/>
      <c r="BY276" s="65"/>
      <c r="BZ276" s="65"/>
      <c r="CA276" s="65"/>
      <c r="CB276" s="65"/>
      <c r="CC276" s="65"/>
      <c r="CD276" s="65"/>
      <c r="CE276" s="65"/>
      <c r="CF276" s="65"/>
      <c r="CG276" s="65"/>
      <c r="CH276" s="65"/>
      <c r="CI276" s="65"/>
      <c r="CJ276" s="65"/>
      <c r="CK276" s="65"/>
      <c r="CL276" s="65"/>
      <c r="CM276" s="65"/>
      <c r="CN276" s="65"/>
      <c r="CO276" s="65"/>
      <c r="CP276" s="65"/>
      <c r="CQ276" s="65"/>
      <c r="CR276" s="65"/>
      <c r="CS276" s="65"/>
      <c r="CT276" s="65"/>
      <c r="CU276" s="65"/>
      <c r="CV276" s="65"/>
      <c r="CW276" s="65"/>
      <c r="CX276" s="65"/>
      <c r="CY276" s="65"/>
      <c r="CZ276" s="65"/>
      <c r="DA276" s="65"/>
      <c r="DB276" s="65"/>
      <c r="DC276" s="65"/>
      <c r="DD276" s="65"/>
      <c r="DE276" s="65"/>
      <c r="DF276" s="65"/>
      <c r="DG276" s="65"/>
      <c r="DH276" s="65"/>
      <c r="DI276" s="65"/>
      <c r="DJ276" s="65"/>
      <c r="DK276" s="65"/>
      <c r="DL276" s="65"/>
      <c r="DM276" s="65"/>
      <c r="DN276" s="65"/>
      <c r="DO276" s="65"/>
      <c r="DP276" s="65"/>
      <c r="DQ276" s="65"/>
      <c r="DR276" s="65"/>
      <c r="DS276" s="65"/>
      <c r="DT276" s="65"/>
    </row>
    <row r="277" spans="1:124" ht="21.75" customHeight="1">
      <c r="A277" s="311"/>
      <c r="B277" s="229" t="s">
        <v>101</v>
      </c>
      <c r="C277" s="230"/>
      <c r="D277" s="231"/>
      <c r="E277" s="80"/>
      <c r="F277" s="80"/>
      <c r="G277" s="80"/>
      <c r="H277" s="80"/>
      <c r="I277" s="80"/>
      <c r="J277" s="60"/>
      <c r="K277" s="60"/>
      <c r="L277" s="60"/>
      <c r="M277" s="60"/>
      <c r="N277" s="60"/>
      <c r="O277" s="60"/>
      <c r="P277" s="60"/>
      <c r="Q277" s="60"/>
      <c r="R277" s="60"/>
      <c r="S277" s="60"/>
      <c r="T277" s="60"/>
      <c r="U277" s="80"/>
      <c r="V277" s="69"/>
      <c r="W277" s="69"/>
      <c r="X277" s="69"/>
      <c r="Y277" s="69" t="s">
        <v>398</v>
      </c>
      <c r="Z277" s="69"/>
      <c r="AA277" s="69"/>
      <c r="AB277" s="69" t="s">
        <v>398</v>
      </c>
      <c r="AC277" s="69"/>
      <c r="AD277" s="69"/>
      <c r="AE277" s="69"/>
      <c r="AF277" s="69"/>
      <c r="AG277" s="69"/>
      <c r="AH277" s="89"/>
      <c r="AI277" s="60"/>
      <c r="AJ277" s="69"/>
      <c r="AK277" s="69"/>
      <c r="AL277" s="69"/>
      <c r="AM277" s="69"/>
      <c r="AN277" s="69"/>
      <c r="AO277" s="69"/>
      <c r="AP277" s="60"/>
      <c r="AQ277" s="60"/>
      <c r="AR277" s="60"/>
      <c r="AS277" s="60"/>
      <c r="AT277" s="60"/>
      <c r="AU277" s="60"/>
      <c r="AV277" s="60"/>
      <c r="AW277" s="60"/>
      <c r="AX277" s="60"/>
      <c r="AY277" s="60"/>
      <c r="AZ277" s="60"/>
      <c r="BA277" s="60"/>
      <c r="BB277" s="60"/>
      <c r="BC277" s="60"/>
      <c r="BD277" s="60"/>
      <c r="BE277" s="60" t="s">
        <v>376</v>
      </c>
      <c r="BF277" s="60"/>
      <c r="BG277" s="60"/>
      <c r="BH277" s="60"/>
      <c r="BI277" s="60"/>
      <c r="BJ277" s="60"/>
      <c r="BK277" s="60" t="s">
        <v>376</v>
      </c>
      <c r="BL277" s="60"/>
      <c r="BM277" s="60"/>
      <c r="BN277" s="60"/>
      <c r="BO277" s="60"/>
      <c r="BP277" s="60"/>
      <c r="BQ277" s="60"/>
      <c r="BR277" s="60"/>
      <c r="BS277" s="60"/>
      <c r="BT277" s="60"/>
      <c r="BU277" s="60"/>
      <c r="BV277" s="60"/>
      <c r="BW277" s="60"/>
      <c r="BX277" s="60"/>
      <c r="BY277" s="60"/>
      <c r="BZ277" s="60"/>
      <c r="CA277" s="60"/>
      <c r="CB277" s="60"/>
      <c r="CC277" s="60"/>
      <c r="CD277" s="60"/>
      <c r="CE277" s="60"/>
      <c r="CF277" s="60"/>
      <c r="CG277" s="60"/>
      <c r="CH277" s="60"/>
      <c r="CI277" s="60"/>
      <c r="CJ277" s="60"/>
      <c r="CK277" s="60"/>
      <c r="CL277" s="60"/>
      <c r="CM277" s="60"/>
      <c r="CN277" s="60"/>
      <c r="CO277" s="60"/>
      <c r="CP277" s="60"/>
      <c r="CQ277" s="60"/>
      <c r="CR277" s="60"/>
      <c r="CS277" s="60"/>
      <c r="CT277" s="60"/>
      <c r="CU277" s="60"/>
      <c r="CV277" s="60"/>
      <c r="CW277" s="60"/>
      <c r="CX277" s="60"/>
      <c r="CY277" s="60"/>
      <c r="CZ277" s="60"/>
      <c r="DA277" s="60"/>
      <c r="DB277" s="60"/>
      <c r="DC277" s="60"/>
      <c r="DD277" s="60"/>
      <c r="DE277" s="60"/>
      <c r="DF277" s="60"/>
      <c r="DG277" s="60"/>
      <c r="DH277" s="60"/>
      <c r="DI277" s="60"/>
      <c r="DJ277" s="60"/>
      <c r="DK277" s="60"/>
      <c r="DL277" s="60"/>
      <c r="DM277" s="60"/>
      <c r="DN277" s="60"/>
      <c r="DO277" s="60"/>
      <c r="DP277" s="60"/>
      <c r="DQ277" s="60"/>
      <c r="DR277" s="60"/>
      <c r="DS277" s="60"/>
      <c r="DT277" s="60"/>
    </row>
    <row r="278" spans="1:124" ht="21.75" customHeight="1">
      <c r="A278" s="311"/>
      <c r="B278" s="232"/>
      <c r="C278" s="233"/>
      <c r="D278" s="234"/>
      <c r="E278" s="70"/>
      <c r="F278" s="70"/>
      <c r="G278" s="70"/>
      <c r="H278" s="70"/>
      <c r="I278" s="70"/>
      <c r="J278" s="65"/>
      <c r="K278" s="65"/>
      <c r="L278" s="65"/>
      <c r="M278" s="65"/>
      <c r="N278" s="65"/>
      <c r="O278" s="65"/>
      <c r="P278" s="65"/>
      <c r="Q278" s="65"/>
      <c r="R278" s="65"/>
      <c r="S278" s="65"/>
      <c r="T278" s="65"/>
      <c r="U278" s="70"/>
      <c r="V278" s="70"/>
      <c r="W278" s="70"/>
      <c r="X278" s="70"/>
      <c r="Y278" s="70">
        <f>60/0.91</f>
        <v>65.934065934065927</v>
      </c>
      <c r="Z278" s="70"/>
      <c r="AA278" s="70"/>
      <c r="AB278" s="70">
        <f>80/0.91</f>
        <v>87.912087912087912</v>
      </c>
      <c r="AC278" s="70"/>
      <c r="AD278" s="70"/>
      <c r="AE278" s="70"/>
      <c r="AF278" s="70"/>
      <c r="AG278" s="70"/>
      <c r="AH278" s="90"/>
      <c r="AI278" s="65"/>
      <c r="AJ278" s="70"/>
      <c r="AK278" s="70"/>
      <c r="AL278" s="70"/>
      <c r="AM278" s="70"/>
      <c r="AN278" s="70"/>
      <c r="AO278" s="70"/>
      <c r="AP278" s="65"/>
      <c r="AQ278" s="65"/>
      <c r="AR278" s="65"/>
      <c r="AS278" s="65"/>
      <c r="AT278" s="65"/>
      <c r="AU278" s="65"/>
      <c r="AV278" s="65"/>
      <c r="AW278" s="65"/>
      <c r="AX278" s="65"/>
      <c r="AY278" s="65"/>
      <c r="AZ278" s="65"/>
      <c r="BA278" s="65"/>
      <c r="BB278" s="65"/>
      <c r="BC278" s="65"/>
      <c r="BD278" s="65"/>
      <c r="BE278" s="65">
        <f>40/0.91</f>
        <v>43.956043956043956</v>
      </c>
      <c r="BF278" s="65"/>
      <c r="BG278" s="65"/>
      <c r="BH278" s="65"/>
      <c r="BI278" s="65"/>
      <c r="BJ278" s="65"/>
      <c r="BK278" s="65">
        <f>40/0.91</f>
        <v>43.956043956043956</v>
      </c>
      <c r="BL278" s="65"/>
      <c r="BM278" s="65"/>
      <c r="BN278" s="65"/>
      <c r="BO278" s="65"/>
      <c r="BP278" s="65"/>
      <c r="BQ278" s="65"/>
      <c r="BR278" s="65"/>
      <c r="BS278" s="65"/>
      <c r="BT278" s="65"/>
      <c r="BU278" s="65"/>
      <c r="BV278" s="65"/>
      <c r="BW278" s="65"/>
      <c r="BX278" s="65"/>
      <c r="BY278" s="65"/>
      <c r="BZ278" s="65"/>
      <c r="CA278" s="65"/>
      <c r="CB278" s="65"/>
      <c r="CC278" s="65"/>
      <c r="CD278" s="65"/>
      <c r="CE278" s="65"/>
      <c r="CF278" s="65"/>
      <c r="CG278" s="65"/>
      <c r="CH278" s="65"/>
      <c r="CI278" s="65"/>
      <c r="CJ278" s="65"/>
      <c r="CK278" s="65"/>
      <c r="CL278" s="65"/>
      <c r="CM278" s="65"/>
      <c r="CN278" s="65"/>
      <c r="CO278" s="65"/>
      <c r="CP278" s="65"/>
      <c r="CQ278" s="65"/>
      <c r="CR278" s="65"/>
      <c r="CS278" s="65"/>
      <c r="CT278" s="65"/>
      <c r="CU278" s="65"/>
      <c r="CV278" s="65"/>
      <c r="CW278" s="65"/>
      <c r="CX278" s="65"/>
      <c r="CY278" s="65"/>
      <c r="CZ278" s="65"/>
      <c r="DA278" s="65"/>
      <c r="DB278" s="65"/>
      <c r="DC278" s="65"/>
      <c r="DD278" s="65"/>
      <c r="DE278" s="65"/>
      <c r="DF278" s="65"/>
      <c r="DG278" s="65"/>
      <c r="DH278" s="65"/>
      <c r="DI278" s="65"/>
      <c r="DJ278" s="65"/>
      <c r="DK278" s="65"/>
      <c r="DL278" s="65"/>
      <c r="DM278" s="65"/>
      <c r="DN278" s="65"/>
      <c r="DO278" s="65"/>
      <c r="DP278" s="65"/>
      <c r="DQ278" s="65"/>
      <c r="DR278" s="65"/>
      <c r="DS278" s="65"/>
      <c r="DT278" s="65"/>
    </row>
    <row r="279" spans="1:124" ht="21.75" customHeight="1">
      <c r="A279" s="311"/>
      <c r="B279" s="229" t="s">
        <v>496</v>
      </c>
      <c r="C279" s="230"/>
      <c r="D279" s="231"/>
      <c r="E279" s="80"/>
      <c r="F279" s="80"/>
      <c r="G279" s="80"/>
      <c r="H279" s="80"/>
      <c r="I279" s="80"/>
      <c r="J279" s="60"/>
      <c r="K279" s="60"/>
      <c r="L279" s="60"/>
      <c r="M279" s="60"/>
      <c r="N279" s="60"/>
      <c r="O279" s="60"/>
      <c r="P279" s="60"/>
      <c r="Q279" s="60"/>
      <c r="R279" s="60"/>
      <c r="S279" s="60"/>
      <c r="T279" s="60"/>
      <c r="U279" s="80"/>
      <c r="V279" s="69"/>
      <c r="W279" s="69"/>
      <c r="X279" s="69"/>
      <c r="Y279" s="69" t="s">
        <v>398</v>
      </c>
      <c r="Z279" s="69"/>
      <c r="AA279" s="69"/>
      <c r="AB279" s="69" t="s">
        <v>398</v>
      </c>
      <c r="AC279" s="69"/>
      <c r="AD279" s="69"/>
      <c r="AE279" s="69"/>
      <c r="AF279" s="69"/>
      <c r="AG279" s="69"/>
      <c r="AH279" s="89"/>
      <c r="AI279" s="60"/>
      <c r="AJ279" s="69"/>
      <c r="AK279" s="69"/>
      <c r="AL279" s="69"/>
      <c r="AM279" s="69"/>
      <c r="AN279" s="69"/>
      <c r="AO279" s="69"/>
      <c r="AP279" s="60"/>
      <c r="AQ279" s="60"/>
      <c r="AR279" s="60"/>
      <c r="AS279" s="60"/>
      <c r="AT279" s="60"/>
      <c r="AU279" s="60"/>
      <c r="AV279" s="60"/>
      <c r="AW279" s="60"/>
      <c r="AX279" s="60"/>
      <c r="AY279" s="60"/>
      <c r="AZ279" s="60"/>
      <c r="BA279" s="60"/>
      <c r="BB279" s="60"/>
      <c r="BC279" s="60"/>
      <c r="BD279" s="60"/>
      <c r="BE279" s="60"/>
      <c r="BF279" s="60"/>
      <c r="BG279" s="60"/>
      <c r="BH279" s="60"/>
      <c r="BI279" s="60"/>
      <c r="BJ279" s="60"/>
      <c r="BK279" s="60"/>
      <c r="BL279" s="60"/>
      <c r="BM279" s="60"/>
      <c r="BN279" s="60"/>
      <c r="BO279" s="60"/>
      <c r="BP279" s="60"/>
      <c r="BQ279" s="60"/>
      <c r="BR279" s="60"/>
      <c r="BS279" s="60"/>
      <c r="BT279" s="60"/>
      <c r="BU279" s="60"/>
      <c r="BV279" s="60"/>
      <c r="BW279" s="60"/>
      <c r="BX279" s="60"/>
      <c r="BY279" s="60"/>
      <c r="BZ279" s="60"/>
      <c r="CA279" s="60"/>
      <c r="CB279" s="60"/>
      <c r="CC279" s="60"/>
      <c r="CD279" s="60"/>
      <c r="CE279" s="60"/>
      <c r="CF279" s="60"/>
      <c r="CG279" s="60"/>
      <c r="CH279" s="60"/>
      <c r="CI279" s="60"/>
      <c r="CJ279" s="60"/>
      <c r="CK279" s="60"/>
      <c r="CL279" s="60"/>
      <c r="CM279" s="60"/>
      <c r="CN279" s="60"/>
      <c r="CO279" s="60"/>
      <c r="CP279" s="60"/>
      <c r="CQ279" s="60"/>
      <c r="CR279" s="60"/>
      <c r="CS279" s="60"/>
      <c r="CT279" s="60"/>
      <c r="CU279" s="60"/>
      <c r="CV279" s="60"/>
      <c r="CW279" s="60"/>
      <c r="CX279" s="60"/>
      <c r="CY279" s="60"/>
      <c r="CZ279" s="60"/>
      <c r="DA279" s="60"/>
      <c r="DB279" s="60"/>
      <c r="DC279" s="60"/>
      <c r="DD279" s="60"/>
      <c r="DE279" s="60"/>
      <c r="DF279" s="60"/>
      <c r="DG279" s="60"/>
      <c r="DH279" s="60"/>
      <c r="DI279" s="60"/>
      <c r="DJ279" s="60"/>
      <c r="DK279" s="60"/>
      <c r="DL279" s="60"/>
      <c r="DM279" s="60"/>
      <c r="DN279" s="60"/>
      <c r="DO279" s="60"/>
      <c r="DP279" s="60"/>
      <c r="DQ279" s="60"/>
      <c r="DR279" s="60"/>
      <c r="DS279" s="60"/>
      <c r="DT279" s="60"/>
    </row>
    <row r="280" spans="1:124" ht="21.75" customHeight="1">
      <c r="A280" s="311"/>
      <c r="B280" s="232"/>
      <c r="C280" s="233"/>
      <c r="D280" s="234"/>
      <c r="E280" s="70"/>
      <c r="F280" s="70"/>
      <c r="G280" s="70"/>
      <c r="H280" s="70"/>
      <c r="I280" s="70"/>
      <c r="J280" s="65"/>
      <c r="K280" s="65"/>
      <c r="L280" s="65"/>
      <c r="M280" s="65"/>
      <c r="N280" s="65"/>
      <c r="O280" s="65"/>
      <c r="P280" s="65"/>
      <c r="Q280" s="65"/>
      <c r="R280" s="65"/>
      <c r="S280" s="65"/>
      <c r="T280" s="65"/>
      <c r="U280" s="70"/>
      <c r="V280" s="70"/>
      <c r="W280" s="70"/>
      <c r="X280" s="70"/>
      <c r="Y280" s="70">
        <f>60/0.91</f>
        <v>65.934065934065927</v>
      </c>
      <c r="Z280" s="70"/>
      <c r="AA280" s="70"/>
      <c r="AB280" s="70">
        <f>80/0.91</f>
        <v>87.912087912087912</v>
      </c>
      <c r="AC280" s="70"/>
      <c r="AD280" s="70"/>
      <c r="AE280" s="70"/>
      <c r="AF280" s="70"/>
      <c r="AG280" s="70"/>
      <c r="AH280" s="90"/>
      <c r="AI280" s="65"/>
      <c r="AJ280" s="70"/>
      <c r="AK280" s="70"/>
      <c r="AL280" s="70"/>
      <c r="AM280" s="70"/>
      <c r="AN280" s="70"/>
      <c r="AO280" s="70"/>
      <c r="AP280" s="65"/>
      <c r="AQ280" s="65"/>
      <c r="AR280" s="65"/>
      <c r="AS280" s="65"/>
      <c r="AT280" s="65"/>
      <c r="AU280" s="65"/>
      <c r="AV280" s="65"/>
      <c r="AW280" s="65"/>
      <c r="AX280" s="65"/>
      <c r="AY280" s="65"/>
      <c r="AZ280" s="65"/>
      <c r="BA280" s="65"/>
      <c r="BB280" s="65"/>
      <c r="BC280" s="65"/>
      <c r="BD280" s="65"/>
      <c r="BE280" s="65"/>
      <c r="BF280" s="65"/>
      <c r="BG280" s="65"/>
      <c r="BH280" s="65"/>
      <c r="BI280" s="65"/>
      <c r="BJ280" s="65"/>
      <c r="BK280" s="65"/>
      <c r="BL280" s="65"/>
      <c r="BM280" s="65"/>
      <c r="BN280" s="65"/>
      <c r="BO280" s="65"/>
      <c r="BP280" s="65"/>
      <c r="BQ280" s="65"/>
      <c r="BR280" s="65"/>
      <c r="BS280" s="65"/>
      <c r="BT280" s="65"/>
      <c r="BU280" s="65"/>
      <c r="BV280" s="65"/>
      <c r="BW280" s="65"/>
      <c r="BX280" s="65"/>
      <c r="BY280" s="65"/>
      <c r="BZ280" s="65"/>
      <c r="CA280" s="65"/>
      <c r="CB280" s="65"/>
      <c r="CC280" s="65"/>
      <c r="CD280" s="65"/>
      <c r="CE280" s="65"/>
      <c r="CF280" s="65"/>
      <c r="CG280" s="65"/>
      <c r="CH280" s="65"/>
      <c r="CI280" s="65"/>
      <c r="CJ280" s="65"/>
      <c r="CK280" s="65"/>
      <c r="CL280" s="65"/>
      <c r="CM280" s="65"/>
      <c r="CN280" s="65"/>
      <c r="CO280" s="65"/>
      <c r="CP280" s="65"/>
      <c r="CQ280" s="65"/>
      <c r="CR280" s="65"/>
      <c r="CS280" s="65"/>
      <c r="CT280" s="65"/>
      <c r="CU280" s="65"/>
      <c r="CV280" s="65"/>
      <c r="CW280" s="65"/>
      <c r="CX280" s="65"/>
      <c r="CY280" s="65"/>
      <c r="CZ280" s="65"/>
      <c r="DA280" s="65"/>
      <c r="DB280" s="65"/>
      <c r="DC280" s="65"/>
      <c r="DD280" s="65"/>
      <c r="DE280" s="65"/>
      <c r="DF280" s="65"/>
      <c r="DG280" s="65"/>
      <c r="DH280" s="65"/>
      <c r="DI280" s="65"/>
      <c r="DJ280" s="65"/>
      <c r="DK280" s="65"/>
      <c r="DL280" s="65"/>
      <c r="DM280" s="65"/>
      <c r="DN280" s="65"/>
      <c r="DO280" s="65"/>
      <c r="DP280" s="65"/>
      <c r="DQ280" s="65"/>
      <c r="DR280" s="65"/>
      <c r="DS280" s="65"/>
      <c r="DT280" s="65"/>
    </row>
    <row r="281" spans="1:124" ht="21.75" customHeight="1">
      <c r="A281" s="311"/>
      <c r="B281" s="229" t="s">
        <v>453</v>
      </c>
      <c r="C281" s="230"/>
      <c r="D281" s="231"/>
      <c r="E281" s="68"/>
      <c r="F281" s="68"/>
      <c r="G281" s="68"/>
      <c r="H281" s="68"/>
      <c r="I281" s="68"/>
      <c r="J281" s="68"/>
      <c r="K281" s="68"/>
      <c r="L281" s="68"/>
      <c r="M281" s="68"/>
      <c r="N281" s="68"/>
      <c r="O281" s="68"/>
      <c r="P281" s="68"/>
      <c r="Q281" s="68"/>
      <c r="R281" s="68"/>
      <c r="S281" s="68"/>
      <c r="T281" s="68"/>
      <c r="U281" s="68"/>
      <c r="V281" s="68"/>
      <c r="W281" s="68"/>
      <c r="X281" s="68"/>
      <c r="Y281" s="68"/>
      <c r="Z281" s="68"/>
      <c r="AA281" s="68"/>
      <c r="AB281" s="68"/>
      <c r="AC281" s="68"/>
      <c r="AD281" s="68"/>
      <c r="AE281" s="68"/>
      <c r="AF281" s="68"/>
      <c r="AG281" s="68"/>
      <c r="AH281" s="107"/>
      <c r="AI281" s="68"/>
      <c r="AJ281" s="68"/>
      <c r="AK281" s="68"/>
      <c r="AL281" s="68"/>
      <c r="AM281" s="68"/>
      <c r="AN281" s="68"/>
      <c r="AO281" s="68"/>
      <c r="AP281" s="68"/>
      <c r="AQ281" s="68"/>
      <c r="AR281" s="68"/>
      <c r="AS281" s="68"/>
      <c r="AT281" s="68"/>
      <c r="AU281" s="68"/>
      <c r="AV281" s="68"/>
      <c r="AW281" s="68"/>
      <c r="AX281" s="68"/>
      <c r="AY281" s="68"/>
      <c r="AZ281" s="68"/>
      <c r="BA281" s="68"/>
      <c r="BB281" s="68"/>
      <c r="BC281" s="68"/>
      <c r="BD281" s="68"/>
      <c r="BE281" s="68"/>
      <c r="BF281" s="68"/>
      <c r="BG281" s="68" t="s">
        <v>434</v>
      </c>
      <c r="BH281" s="68"/>
      <c r="BI281" s="68"/>
      <c r="BJ281" s="68" t="s">
        <v>394</v>
      </c>
      <c r="BK281" s="68"/>
      <c r="BL281" s="68"/>
      <c r="BM281" s="68"/>
      <c r="BN281" s="68"/>
      <c r="BO281" s="68"/>
      <c r="BP281" s="68"/>
      <c r="BQ281" s="68"/>
      <c r="BR281" s="68"/>
      <c r="BS281" s="68"/>
      <c r="BT281" s="68"/>
      <c r="BU281" s="68"/>
      <c r="BV281" s="68"/>
      <c r="BW281" s="68"/>
      <c r="BX281" s="68"/>
      <c r="BY281" s="68"/>
      <c r="BZ281" s="68"/>
      <c r="CA281" s="68"/>
      <c r="CB281" s="68"/>
      <c r="CC281" s="68"/>
      <c r="CD281" s="68"/>
      <c r="CE281" s="68"/>
      <c r="CF281" s="68"/>
      <c r="CG281" s="68"/>
      <c r="CH281" s="68"/>
      <c r="CI281" s="68"/>
      <c r="CJ281" s="68"/>
      <c r="CK281" s="68"/>
      <c r="CL281" s="68"/>
      <c r="CM281" s="68"/>
      <c r="CN281" s="68"/>
      <c r="CO281" s="68"/>
      <c r="CP281" s="68"/>
      <c r="CQ281" s="68"/>
      <c r="CR281" s="68"/>
      <c r="CS281" s="68"/>
      <c r="CT281" s="68"/>
      <c r="CU281" s="68"/>
      <c r="CV281" s="68"/>
      <c r="CW281" s="68"/>
      <c r="CX281" s="68"/>
      <c r="CY281" s="68"/>
      <c r="CZ281" s="68"/>
      <c r="DA281" s="68"/>
      <c r="DB281" s="68"/>
      <c r="DC281" s="68"/>
      <c r="DD281" s="68"/>
      <c r="DE281" s="68"/>
      <c r="DF281" s="68"/>
      <c r="DG281" s="68"/>
      <c r="DH281" s="68"/>
      <c r="DI281" s="68"/>
      <c r="DJ281" s="68"/>
      <c r="DK281" s="68"/>
      <c r="DL281" s="68"/>
      <c r="DM281" s="68"/>
      <c r="DN281" s="68"/>
      <c r="DO281" s="68"/>
      <c r="DP281" s="68"/>
      <c r="DQ281" s="68"/>
      <c r="DR281" s="68"/>
      <c r="DS281" s="68"/>
      <c r="DT281" s="68"/>
    </row>
    <row r="282" spans="1:124" ht="21.75" customHeight="1">
      <c r="A282" s="311"/>
      <c r="B282" s="232"/>
      <c r="C282" s="233"/>
      <c r="D282" s="234"/>
      <c r="E282" s="65"/>
      <c r="F282" s="65"/>
      <c r="G282" s="65"/>
      <c r="H282" s="65"/>
      <c r="I282" s="65"/>
      <c r="J282" s="65"/>
      <c r="K282" s="65"/>
      <c r="L282" s="65"/>
      <c r="M282" s="65"/>
      <c r="N282" s="65"/>
      <c r="O282" s="65"/>
      <c r="P282" s="65"/>
      <c r="Q282" s="65"/>
      <c r="R282" s="65"/>
      <c r="S282" s="65"/>
      <c r="T282" s="65"/>
      <c r="U282" s="65"/>
      <c r="V282" s="65"/>
      <c r="W282" s="65"/>
      <c r="X282" s="65"/>
      <c r="Y282" s="65"/>
      <c r="Z282" s="65"/>
      <c r="AA282" s="65"/>
      <c r="AB282" s="65"/>
      <c r="AC282" s="65"/>
      <c r="AD282" s="65"/>
      <c r="AE282" s="65"/>
      <c r="AF282" s="65"/>
      <c r="AG282" s="65"/>
      <c r="AH282" s="74"/>
      <c r="AI282" s="65"/>
      <c r="AJ282" s="65"/>
      <c r="AK282" s="65"/>
      <c r="AL282" s="65"/>
      <c r="AM282" s="65"/>
      <c r="AN282" s="65"/>
      <c r="AO282" s="65"/>
      <c r="AP282" s="65"/>
      <c r="AQ282" s="65"/>
      <c r="AR282" s="65"/>
      <c r="AS282" s="65"/>
      <c r="AT282" s="65"/>
      <c r="AU282" s="65"/>
      <c r="AV282" s="65"/>
      <c r="AW282" s="65"/>
      <c r="AX282" s="65"/>
      <c r="AY282" s="65"/>
      <c r="AZ282" s="65"/>
      <c r="BA282" s="65"/>
      <c r="BB282" s="65"/>
      <c r="BC282" s="65"/>
      <c r="BD282" s="65"/>
      <c r="BE282" s="65"/>
      <c r="BF282" s="65"/>
      <c r="BG282" s="65">
        <f>110/0.835</f>
        <v>131.7365269461078</v>
      </c>
      <c r="BH282" s="65"/>
      <c r="BI282" s="65"/>
      <c r="BJ282" s="65">
        <f>110/0.86</f>
        <v>127.90697674418605</v>
      </c>
      <c r="BK282" s="65"/>
      <c r="BL282" s="65"/>
      <c r="BM282" s="65"/>
      <c r="BN282" s="65"/>
      <c r="BO282" s="65"/>
      <c r="BP282" s="65"/>
      <c r="BQ282" s="65"/>
      <c r="BR282" s="65"/>
      <c r="BS282" s="65"/>
      <c r="BT282" s="65"/>
      <c r="BU282" s="65"/>
      <c r="BV282" s="65"/>
      <c r="BW282" s="65"/>
      <c r="BX282" s="65"/>
      <c r="BY282" s="65"/>
      <c r="BZ282" s="65"/>
      <c r="CA282" s="65"/>
      <c r="CB282" s="65"/>
      <c r="CC282" s="65"/>
      <c r="CD282" s="65"/>
      <c r="CE282" s="65"/>
      <c r="CF282" s="65"/>
      <c r="CG282" s="65"/>
      <c r="CH282" s="65"/>
      <c r="CI282" s="65"/>
      <c r="CJ282" s="65"/>
      <c r="CK282" s="65"/>
      <c r="CL282" s="65"/>
      <c r="CM282" s="65"/>
      <c r="CN282" s="65"/>
      <c r="CO282" s="65"/>
      <c r="CP282" s="65"/>
      <c r="CQ282" s="65"/>
      <c r="CR282" s="65"/>
      <c r="CS282" s="65"/>
      <c r="CT282" s="65"/>
      <c r="CU282" s="65"/>
      <c r="CV282" s="65"/>
      <c r="CW282" s="65"/>
      <c r="CX282" s="65"/>
      <c r="CY282" s="65"/>
      <c r="CZ282" s="65"/>
      <c r="DA282" s="65"/>
      <c r="DB282" s="65"/>
      <c r="DC282" s="65"/>
      <c r="DD282" s="65"/>
      <c r="DE282" s="65"/>
      <c r="DF282" s="65"/>
      <c r="DG282" s="65"/>
      <c r="DH282" s="65"/>
      <c r="DI282" s="65"/>
      <c r="DJ282" s="65"/>
      <c r="DK282" s="65"/>
      <c r="DL282" s="65"/>
      <c r="DM282" s="65"/>
      <c r="DN282" s="65"/>
      <c r="DO282" s="65"/>
      <c r="DP282" s="65"/>
      <c r="DQ282" s="65"/>
      <c r="DR282" s="65"/>
      <c r="DS282" s="65"/>
      <c r="DT282" s="65"/>
    </row>
    <row r="283" spans="1:124" ht="21.75" customHeight="1">
      <c r="A283" s="311"/>
      <c r="B283" s="229" t="s">
        <v>53</v>
      </c>
      <c r="C283" s="230"/>
      <c r="D283" s="231"/>
      <c r="E283" s="60"/>
      <c r="F283" s="60"/>
      <c r="G283" s="60"/>
      <c r="H283" s="60"/>
      <c r="I283" s="60"/>
      <c r="J283" s="60"/>
      <c r="K283" s="60"/>
      <c r="L283" s="60"/>
      <c r="M283" s="60"/>
      <c r="N283" s="60" t="s">
        <v>378</v>
      </c>
      <c r="O283" s="60" t="s">
        <v>378</v>
      </c>
      <c r="P283" s="60"/>
      <c r="Q283" s="60"/>
      <c r="R283" s="60"/>
      <c r="S283" s="60"/>
      <c r="T283" s="60"/>
      <c r="U283" s="60"/>
      <c r="V283" s="69"/>
      <c r="W283" s="69"/>
      <c r="X283" s="69"/>
      <c r="Y283" s="69" t="s">
        <v>495</v>
      </c>
      <c r="Z283" s="69"/>
      <c r="AA283" s="69"/>
      <c r="AB283" s="69" t="s">
        <v>495</v>
      </c>
      <c r="AC283" s="69"/>
      <c r="AD283" s="69"/>
      <c r="AE283" s="69"/>
      <c r="AF283" s="69"/>
      <c r="AG283" s="69"/>
      <c r="AH283" s="89"/>
      <c r="AI283" s="60"/>
      <c r="AJ283" s="69"/>
      <c r="AK283" s="69"/>
      <c r="AL283" s="69"/>
      <c r="AM283" s="69"/>
      <c r="AN283" s="69"/>
      <c r="AO283" s="69"/>
      <c r="AP283" s="60"/>
      <c r="AQ283" s="60"/>
      <c r="AR283" s="60"/>
      <c r="AS283" s="60"/>
      <c r="AT283" s="60"/>
      <c r="AU283" s="60"/>
      <c r="AV283" s="60"/>
      <c r="AW283" s="60"/>
      <c r="AX283" s="60"/>
      <c r="AY283" s="60"/>
      <c r="AZ283" s="60"/>
      <c r="BA283" s="60"/>
      <c r="BB283" s="60"/>
      <c r="BC283" s="60"/>
      <c r="BD283" s="60"/>
      <c r="BE283" s="60"/>
      <c r="BF283" s="60"/>
      <c r="BG283" s="60"/>
      <c r="BH283" s="60"/>
      <c r="BI283" s="60"/>
      <c r="BJ283" s="60"/>
      <c r="BK283" s="60"/>
      <c r="BL283" s="60"/>
      <c r="BM283" s="60"/>
      <c r="BN283" s="60"/>
      <c r="BO283" s="60"/>
      <c r="BP283" s="60"/>
      <c r="BQ283" s="60"/>
      <c r="BR283" s="60"/>
      <c r="BS283" s="60"/>
      <c r="BT283" s="60"/>
      <c r="BU283" s="60"/>
      <c r="BV283" s="60"/>
      <c r="BW283" s="60"/>
      <c r="BX283" s="60"/>
      <c r="BY283" s="60"/>
      <c r="BZ283" s="60"/>
      <c r="CA283" s="60"/>
      <c r="CB283" s="60"/>
      <c r="CC283" s="60"/>
      <c r="CD283" s="60"/>
      <c r="CE283" s="60"/>
      <c r="CF283" s="60"/>
      <c r="CG283" s="60"/>
      <c r="CH283" s="60"/>
      <c r="CI283" s="60"/>
      <c r="CJ283" s="60"/>
      <c r="CK283" s="60"/>
      <c r="CL283" s="60"/>
      <c r="CM283" s="60"/>
      <c r="CN283" s="60"/>
      <c r="CO283" s="60"/>
      <c r="CP283" s="60"/>
      <c r="CQ283" s="60"/>
      <c r="CR283" s="60"/>
      <c r="CS283" s="60"/>
      <c r="CT283" s="60"/>
      <c r="CU283" s="60"/>
      <c r="CV283" s="60"/>
      <c r="CW283" s="60"/>
      <c r="CX283" s="60"/>
      <c r="CY283" s="60"/>
      <c r="CZ283" s="60"/>
      <c r="DA283" s="60"/>
      <c r="DB283" s="60"/>
      <c r="DC283" s="60"/>
      <c r="DD283" s="60"/>
      <c r="DE283" s="60"/>
      <c r="DF283" s="60"/>
      <c r="DG283" s="60"/>
      <c r="DH283" s="60"/>
      <c r="DI283" s="60"/>
      <c r="DJ283" s="60"/>
      <c r="DK283" s="60"/>
      <c r="DL283" s="60"/>
      <c r="DM283" s="60"/>
      <c r="DN283" s="60"/>
      <c r="DO283" s="60"/>
      <c r="DP283" s="60"/>
      <c r="DQ283" s="60"/>
      <c r="DR283" s="60"/>
      <c r="DS283" s="60"/>
      <c r="DT283" s="60"/>
    </row>
    <row r="284" spans="1:124" ht="21.75" customHeight="1">
      <c r="A284" s="311"/>
      <c r="B284" s="232"/>
      <c r="C284" s="233"/>
      <c r="D284" s="234"/>
      <c r="E284" s="65"/>
      <c r="F284" s="65"/>
      <c r="G284" s="65"/>
      <c r="H284" s="65"/>
      <c r="I284" s="65"/>
      <c r="J284" s="65"/>
      <c r="K284" s="65"/>
      <c r="L284" s="65"/>
      <c r="M284" s="65"/>
      <c r="N284" s="65">
        <f>130/0.86</f>
        <v>151.16279069767441</v>
      </c>
      <c r="O284" s="65">
        <f>130/0.86</f>
        <v>151.16279069767441</v>
      </c>
      <c r="P284" s="65"/>
      <c r="Q284" s="65"/>
      <c r="R284" s="65"/>
      <c r="S284" s="65"/>
      <c r="T284" s="65"/>
      <c r="U284" s="65"/>
      <c r="V284" s="70"/>
      <c r="W284" s="70"/>
      <c r="X284" s="70"/>
      <c r="Y284" s="70">
        <f>110/0.91</f>
        <v>120.87912087912088</v>
      </c>
      <c r="Z284" s="70"/>
      <c r="AA284" s="70"/>
      <c r="AB284" s="70">
        <f>120/0.91</f>
        <v>131.86813186813185</v>
      </c>
      <c r="AC284" s="70"/>
      <c r="AD284" s="70"/>
      <c r="AE284" s="70"/>
      <c r="AF284" s="70"/>
      <c r="AG284" s="70"/>
      <c r="AH284" s="90"/>
      <c r="AI284" s="65"/>
      <c r="AJ284" s="70"/>
      <c r="AK284" s="70"/>
      <c r="AL284" s="70"/>
      <c r="AM284" s="70"/>
      <c r="AN284" s="70"/>
      <c r="AO284" s="70"/>
      <c r="AP284" s="65"/>
      <c r="AQ284" s="65"/>
      <c r="AR284" s="65"/>
      <c r="AS284" s="65"/>
      <c r="AT284" s="65"/>
      <c r="AU284" s="65"/>
      <c r="AV284" s="65"/>
      <c r="AW284" s="65"/>
      <c r="AX284" s="65"/>
      <c r="AY284" s="65"/>
      <c r="AZ284" s="65"/>
      <c r="BA284" s="65"/>
      <c r="BB284" s="65"/>
      <c r="BC284" s="65"/>
      <c r="BD284" s="65"/>
      <c r="BE284" s="65"/>
      <c r="BF284" s="65"/>
      <c r="BG284" s="65"/>
      <c r="BH284" s="65"/>
      <c r="BI284" s="65"/>
      <c r="BJ284" s="65"/>
      <c r="BK284" s="65"/>
      <c r="BL284" s="65"/>
      <c r="BM284" s="65"/>
      <c r="BN284" s="65"/>
      <c r="BO284" s="65"/>
      <c r="BP284" s="65"/>
      <c r="BQ284" s="65"/>
      <c r="BR284" s="65"/>
      <c r="BS284" s="65"/>
      <c r="BT284" s="65"/>
      <c r="BU284" s="65"/>
      <c r="BV284" s="65"/>
      <c r="BW284" s="65"/>
      <c r="BX284" s="65"/>
      <c r="BY284" s="65"/>
      <c r="BZ284" s="65"/>
      <c r="CA284" s="65"/>
      <c r="CB284" s="65"/>
      <c r="CC284" s="65"/>
      <c r="CD284" s="65"/>
      <c r="CE284" s="65"/>
      <c r="CF284" s="65"/>
      <c r="CG284" s="65"/>
      <c r="CH284" s="65"/>
      <c r="CI284" s="65"/>
      <c r="CJ284" s="65"/>
      <c r="CK284" s="65"/>
      <c r="CL284" s="65"/>
      <c r="CM284" s="65"/>
      <c r="CN284" s="65"/>
      <c r="CO284" s="65"/>
      <c r="CP284" s="65"/>
      <c r="CQ284" s="65"/>
      <c r="CR284" s="65"/>
      <c r="CS284" s="65"/>
      <c r="CT284" s="65"/>
      <c r="CU284" s="65"/>
      <c r="CV284" s="65"/>
      <c r="CW284" s="65"/>
      <c r="CX284" s="65"/>
      <c r="CY284" s="65"/>
      <c r="CZ284" s="65"/>
      <c r="DA284" s="65"/>
      <c r="DB284" s="65"/>
      <c r="DC284" s="65"/>
      <c r="DD284" s="65"/>
      <c r="DE284" s="65"/>
      <c r="DF284" s="65"/>
      <c r="DG284" s="65"/>
      <c r="DH284" s="65"/>
      <c r="DI284" s="65"/>
      <c r="DJ284" s="65"/>
      <c r="DK284" s="65"/>
      <c r="DL284" s="65"/>
      <c r="DM284" s="65"/>
      <c r="DN284" s="65"/>
      <c r="DO284" s="65"/>
      <c r="DP284" s="65"/>
      <c r="DQ284" s="65"/>
      <c r="DR284" s="65"/>
      <c r="DS284" s="65"/>
      <c r="DT284" s="65"/>
    </row>
    <row r="285" spans="1:124" ht="21.75" customHeight="1">
      <c r="A285" s="311"/>
      <c r="B285" s="229" t="s">
        <v>26</v>
      </c>
      <c r="C285" s="230"/>
      <c r="D285" s="231"/>
      <c r="E285" s="60"/>
      <c r="F285" s="62"/>
      <c r="G285" s="62"/>
      <c r="H285" s="62"/>
      <c r="I285" s="60"/>
      <c r="J285" s="60"/>
      <c r="K285" s="60"/>
      <c r="L285" s="60"/>
      <c r="M285" s="60"/>
      <c r="N285" s="60"/>
      <c r="O285" s="60"/>
      <c r="P285" s="60"/>
      <c r="Q285" s="60" t="s">
        <v>384</v>
      </c>
      <c r="R285" s="60"/>
      <c r="S285" s="60"/>
      <c r="T285" s="60"/>
      <c r="U285" s="60"/>
      <c r="V285" s="69"/>
      <c r="W285" s="69"/>
      <c r="X285" s="69"/>
      <c r="Y285" s="69"/>
      <c r="Z285" s="69"/>
      <c r="AA285" s="69"/>
      <c r="AB285" s="69"/>
      <c r="AC285" s="69"/>
      <c r="AD285" s="69" t="s">
        <v>398</v>
      </c>
      <c r="AE285" s="69"/>
      <c r="AF285" s="69" t="s">
        <v>495</v>
      </c>
      <c r="AG285" s="69"/>
      <c r="AH285" s="89"/>
      <c r="AI285" s="60"/>
      <c r="AJ285" s="69" t="s">
        <v>384</v>
      </c>
      <c r="AK285" s="69"/>
      <c r="AL285" s="69"/>
      <c r="AM285" s="69"/>
      <c r="AN285" s="69"/>
      <c r="AO285" s="69" t="s">
        <v>377</v>
      </c>
      <c r="AP285" s="60"/>
      <c r="AQ285" s="60"/>
      <c r="AR285" s="60"/>
      <c r="AS285" s="60"/>
      <c r="AT285" s="60"/>
      <c r="AU285" s="60"/>
      <c r="AV285" s="60"/>
      <c r="AW285" s="60"/>
      <c r="AX285" s="60"/>
      <c r="AY285" s="60"/>
      <c r="AZ285" s="60"/>
      <c r="BA285" s="60"/>
      <c r="BB285" s="60"/>
      <c r="BC285" s="60"/>
      <c r="BD285" s="60"/>
      <c r="BE285" s="60"/>
      <c r="BF285" s="60"/>
      <c r="BG285" s="60"/>
      <c r="BH285" s="60"/>
      <c r="BI285" s="60"/>
      <c r="BJ285" s="60"/>
      <c r="BK285" s="60"/>
      <c r="BL285" s="60"/>
      <c r="BM285" s="60"/>
      <c r="BN285" s="60"/>
      <c r="BO285" s="60"/>
      <c r="BP285" s="60" t="s">
        <v>400</v>
      </c>
      <c r="BQ285" s="60"/>
      <c r="BR285" s="60"/>
      <c r="BS285" s="60" t="s">
        <v>384</v>
      </c>
      <c r="BT285" s="60"/>
      <c r="BU285" s="60"/>
      <c r="BV285" s="62" t="s">
        <v>497</v>
      </c>
      <c r="BW285" s="60"/>
      <c r="BX285" s="60"/>
      <c r="BY285" s="60"/>
      <c r="BZ285" s="60"/>
      <c r="CA285" s="60"/>
      <c r="CB285" s="60"/>
      <c r="CC285" s="60"/>
      <c r="CD285" s="60"/>
      <c r="CE285" s="60"/>
      <c r="CF285" s="60"/>
      <c r="CG285" s="60"/>
      <c r="CH285" s="60"/>
      <c r="CI285" s="60"/>
      <c r="CJ285" s="60"/>
      <c r="CK285" s="60"/>
      <c r="CL285" s="60"/>
      <c r="CM285" s="60"/>
      <c r="CN285" s="60"/>
      <c r="CO285" s="60"/>
      <c r="CP285" s="60"/>
      <c r="CQ285" s="60"/>
      <c r="CR285" s="60"/>
      <c r="CS285" s="60"/>
      <c r="CT285" s="60"/>
      <c r="CU285" s="60"/>
      <c r="CV285" s="60"/>
      <c r="CW285" s="60"/>
      <c r="CX285" s="60"/>
      <c r="CY285" s="60"/>
      <c r="CZ285" s="60"/>
      <c r="DA285" s="60"/>
      <c r="DB285" s="60"/>
      <c r="DC285" s="60"/>
      <c r="DD285" s="60"/>
      <c r="DE285" s="60"/>
      <c r="DF285" s="60"/>
      <c r="DG285" s="60"/>
      <c r="DH285" s="60"/>
      <c r="DI285" s="60"/>
      <c r="DJ285" s="60"/>
      <c r="DK285" s="60"/>
      <c r="DL285" s="60"/>
      <c r="DM285" s="60"/>
      <c r="DN285" s="60"/>
      <c r="DO285" s="60"/>
      <c r="DP285" s="60"/>
      <c r="DQ285" s="60"/>
      <c r="DR285" s="60"/>
      <c r="DS285" s="60"/>
      <c r="DT285" s="60"/>
    </row>
    <row r="286" spans="1:124" ht="21.75" customHeight="1">
      <c r="A286" s="311"/>
      <c r="B286" s="232"/>
      <c r="C286" s="233"/>
      <c r="D286" s="234"/>
      <c r="E286" s="65"/>
      <c r="F286" s="67">
        <v>105</v>
      </c>
      <c r="G286" s="67">
        <v>110</v>
      </c>
      <c r="H286" s="67">
        <v>107.5</v>
      </c>
      <c r="I286" s="65"/>
      <c r="J286" s="65"/>
      <c r="K286" s="65"/>
      <c r="L286" s="65"/>
      <c r="M286" s="65"/>
      <c r="N286" s="65"/>
      <c r="O286" s="65"/>
      <c r="P286" s="65"/>
      <c r="Q286" s="65">
        <f>100/0.91</f>
        <v>109.89010989010988</v>
      </c>
      <c r="R286" s="65"/>
      <c r="S286" s="65"/>
      <c r="T286" s="65"/>
      <c r="U286" s="65"/>
      <c r="V286" s="70"/>
      <c r="W286" s="70"/>
      <c r="X286" s="70"/>
      <c r="Y286" s="70"/>
      <c r="Z286" s="70"/>
      <c r="AA286" s="70"/>
      <c r="AB286" s="70"/>
      <c r="AC286" s="70"/>
      <c r="AD286" s="70">
        <f>95/0.91</f>
        <v>104.39560439560439</v>
      </c>
      <c r="AE286" s="70"/>
      <c r="AF286" s="96" t="s">
        <v>498</v>
      </c>
      <c r="AG286" s="70"/>
      <c r="AH286" s="90"/>
      <c r="AI286" s="65"/>
      <c r="AJ286" s="96">
        <f>100/0.91</f>
        <v>109.89010989010988</v>
      </c>
      <c r="AK286" s="70"/>
      <c r="AL286" s="70"/>
      <c r="AM286" s="70"/>
      <c r="AN286" s="70"/>
      <c r="AO286" s="70">
        <f>100/0.935</f>
        <v>106.951871657754</v>
      </c>
      <c r="AP286" s="65"/>
      <c r="AQ286" s="65"/>
      <c r="AR286" s="65"/>
      <c r="AS286" s="65"/>
      <c r="AT286" s="65"/>
      <c r="AU286" s="65"/>
      <c r="AV286" s="65"/>
      <c r="AW286" s="65"/>
      <c r="AX286" s="65"/>
      <c r="AY286" s="65"/>
      <c r="AZ286" s="65"/>
      <c r="BA286" s="65"/>
      <c r="BB286" s="65"/>
      <c r="BC286" s="65"/>
      <c r="BD286" s="65"/>
      <c r="BE286" s="65"/>
      <c r="BF286" s="65"/>
      <c r="BG286" s="65"/>
      <c r="BH286" s="65"/>
      <c r="BI286" s="65"/>
      <c r="BJ286" s="65"/>
      <c r="BK286" s="65"/>
      <c r="BL286" s="65"/>
      <c r="BM286" s="65"/>
      <c r="BN286" s="65"/>
      <c r="BO286" s="65"/>
      <c r="BP286" s="65">
        <f>100/0.885</f>
        <v>112.99435028248587</v>
      </c>
      <c r="BQ286" s="65"/>
      <c r="BR286" s="65"/>
      <c r="BS286" s="65">
        <f>110/0.91</f>
        <v>120.87912087912088</v>
      </c>
      <c r="BT286" s="65"/>
      <c r="BU286" s="65"/>
      <c r="BV286" s="67">
        <v>105</v>
      </c>
      <c r="BW286" s="108" t="s">
        <v>499</v>
      </c>
      <c r="BX286" s="65"/>
      <c r="BY286" s="65"/>
      <c r="BZ286" s="65"/>
      <c r="CA286" s="65"/>
      <c r="CB286" s="65"/>
      <c r="CC286" s="65"/>
      <c r="CD286" s="65"/>
      <c r="CE286" s="65"/>
      <c r="CF286" s="65"/>
      <c r="CG286" s="65"/>
      <c r="CH286" s="65"/>
      <c r="CI286" s="65"/>
      <c r="CJ286" s="65"/>
      <c r="CK286" s="65"/>
      <c r="CL286" s="65"/>
      <c r="CM286" s="65"/>
      <c r="CN286" s="65"/>
      <c r="CO286" s="65"/>
      <c r="CP286" s="65"/>
      <c r="CQ286" s="65"/>
      <c r="CR286" s="65"/>
      <c r="CS286" s="65"/>
      <c r="CT286" s="65"/>
      <c r="CU286" s="65"/>
      <c r="CV286" s="65"/>
      <c r="CW286" s="65"/>
      <c r="CX286" s="65"/>
      <c r="CY286" s="65"/>
      <c r="CZ286" s="65"/>
      <c r="DA286" s="65"/>
      <c r="DB286" s="65"/>
      <c r="DC286" s="65"/>
      <c r="DD286" s="65"/>
      <c r="DE286" s="65"/>
      <c r="DF286" s="65"/>
      <c r="DG286" s="65"/>
      <c r="DH286" s="65"/>
      <c r="DI286" s="65"/>
      <c r="DJ286" s="65"/>
      <c r="DK286" s="65"/>
      <c r="DL286" s="65"/>
      <c r="DM286" s="65"/>
      <c r="DN286" s="65"/>
      <c r="DO286" s="65"/>
      <c r="DP286" s="65"/>
      <c r="DQ286" s="65"/>
      <c r="DR286" s="65"/>
      <c r="DS286" s="65"/>
      <c r="DT286" s="65"/>
    </row>
    <row r="287" spans="1:124" ht="21.75" customHeight="1">
      <c r="A287" s="311"/>
      <c r="B287" s="229" t="s">
        <v>500</v>
      </c>
      <c r="C287" s="230"/>
      <c r="D287" s="231"/>
      <c r="E287" s="60"/>
      <c r="F287" s="60"/>
      <c r="G287" s="60"/>
      <c r="H287" s="60"/>
      <c r="I287" s="60"/>
      <c r="J287" s="60"/>
      <c r="K287" s="60"/>
      <c r="L287" s="60" t="s">
        <v>396</v>
      </c>
      <c r="M287" s="60"/>
      <c r="N287" s="60"/>
      <c r="O287" s="60"/>
      <c r="P287" s="60"/>
      <c r="Q287" s="60"/>
      <c r="R287" s="60"/>
      <c r="S287" s="109" t="s">
        <v>384</v>
      </c>
      <c r="T287" s="109" t="s">
        <v>405</v>
      </c>
      <c r="U287" s="60"/>
      <c r="V287" s="69"/>
      <c r="W287" s="69"/>
      <c r="X287" s="69"/>
      <c r="Y287" s="69"/>
      <c r="Z287" s="69"/>
      <c r="AA287" s="69"/>
      <c r="AB287" s="69"/>
      <c r="AC287" s="69"/>
      <c r="AD287" s="69"/>
      <c r="AE287" s="69"/>
      <c r="AF287" s="69"/>
      <c r="AG287" s="69"/>
      <c r="AH287" s="89"/>
      <c r="AI287" s="60"/>
      <c r="AJ287" s="69"/>
      <c r="AK287" s="69"/>
      <c r="AL287" s="69" t="s">
        <v>384</v>
      </c>
      <c r="AM287" s="69"/>
      <c r="AN287" s="69"/>
      <c r="AO287" s="69" t="s">
        <v>377</v>
      </c>
      <c r="AP287" s="60"/>
      <c r="AQ287" s="60"/>
      <c r="AR287" s="60"/>
      <c r="AS287" s="60"/>
      <c r="AT287" s="60"/>
      <c r="AU287" s="60"/>
      <c r="AV287" s="60"/>
      <c r="AW287" s="60"/>
      <c r="AX287" s="60"/>
      <c r="AY287" s="60"/>
      <c r="AZ287" s="60"/>
      <c r="BA287" s="60"/>
      <c r="BB287" s="60"/>
      <c r="BC287" s="60"/>
      <c r="BD287" s="60"/>
      <c r="BE287" s="60"/>
      <c r="BF287" s="60"/>
      <c r="BG287" s="60" t="s">
        <v>400</v>
      </c>
      <c r="BH287" s="60"/>
      <c r="BI287" s="60"/>
      <c r="BJ287" s="60" t="s">
        <v>400</v>
      </c>
      <c r="BK287" s="60"/>
      <c r="BL287" s="60"/>
      <c r="BM287" s="60" t="s">
        <v>400</v>
      </c>
      <c r="BN287" s="60"/>
      <c r="BO287" s="60"/>
      <c r="BP287" s="60"/>
      <c r="BQ287" s="60"/>
      <c r="BR287" s="60"/>
      <c r="BS287" s="60"/>
      <c r="BT287" s="60" t="s">
        <v>398</v>
      </c>
      <c r="BU287" s="60"/>
      <c r="BV287" s="60"/>
      <c r="BW287" s="60"/>
      <c r="BX287" s="60"/>
      <c r="BY287" s="60"/>
      <c r="BZ287" s="60"/>
      <c r="CA287" s="60"/>
      <c r="CB287" s="60"/>
      <c r="CC287" s="60"/>
      <c r="CD287" s="60"/>
      <c r="CE287" s="60"/>
      <c r="CF287" s="60"/>
      <c r="CG287" s="60"/>
      <c r="CH287" s="60"/>
      <c r="CI287" s="60"/>
      <c r="CJ287" s="60"/>
      <c r="CK287" s="60"/>
      <c r="CL287" s="60"/>
      <c r="CM287" s="60"/>
      <c r="CN287" s="60"/>
      <c r="CO287" s="60"/>
      <c r="CP287" s="60"/>
      <c r="CQ287" s="60"/>
      <c r="CR287" s="60"/>
      <c r="CS287" s="60"/>
      <c r="CT287" s="60"/>
      <c r="CU287" s="60"/>
      <c r="CV287" s="60"/>
      <c r="CW287" s="60"/>
      <c r="CX287" s="60"/>
      <c r="CY287" s="60"/>
      <c r="CZ287" s="60"/>
      <c r="DA287" s="60"/>
      <c r="DB287" s="60"/>
      <c r="DC287" s="60"/>
      <c r="DD287" s="60"/>
      <c r="DE287" s="60"/>
      <c r="DF287" s="60"/>
      <c r="DG287" s="60"/>
      <c r="DH287" s="60"/>
      <c r="DI287" s="60"/>
      <c r="DJ287" s="60"/>
      <c r="DK287" s="60"/>
      <c r="DL287" s="60"/>
      <c r="DM287" s="60"/>
      <c r="DN287" s="60"/>
      <c r="DO287" s="60"/>
      <c r="DP287" s="60"/>
      <c r="DQ287" s="60"/>
      <c r="DR287" s="60"/>
      <c r="DS287" s="60"/>
      <c r="DT287" s="60"/>
    </row>
    <row r="288" spans="1:124" ht="21.75" customHeight="1">
      <c r="A288" s="311"/>
      <c r="B288" s="232"/>
      <c r="C288" s="233"/>
      <c r="D288" s="234"/>
      <c r="E288" s="65"/>
      <c r="F288" s="65"/>
      <c r="G288" s="65"/>
      <c r="H288" s="65"/>
      <c r="I288" s="65">
        <v>100</v>
      </c>
      <c r="J288" s="65"/>
      <c r="K288" s="65"/>
      <c r="L288" s="65">
        <f>80/0.86</f>
        <v>93.023255813953483</v>
      </c>
      <c r="M288" s="65"/>
      <c r="N288" s="65"/>
      <c r="O288" s="65"/>
      <c r="P288" s="65"/>
      <c r="Q288" s="65"/>
      <c r="R288" s="65"/>
      <c r="S288" s="110">
        <f>100/0.91</f>
        <v>109.89010989010988</v>
      </c>
      <c r="T288" s="110">
        <v>100</v>
      </c>
      <c r="U288" s="71"/>
      <c r="V288" s="70"/>
      <c r="W288" s="70"/>
      <c r="X288" s="70"/>
      <c r="Y288" s="70"/>
      <c r="Z288" s="70"/>
      <c r="AA288" s="70"/>
      <c r="AB288" s="70"/>
      <c r="AC288" s="70"/>
      <c r="AD288" s="70"/>
      <c r="AE288" s="96"/>
      <c r="AF288" s="70"/>
      <c r="AG288" s="70"/>
      <c r="AH288" s="90"/>
      <c r="AI288" s="65"/>
      <c r="AJ288" s="70"/>
      <c r="AK288" s="70"/>
      <c r="AL288" s="70">
        <f>80/0.91</f>
        <v>87.912087912087912</v>
      </c>
      <c r="AM288" s="70"/>
      <c r="AN288" s="70"/>
      <c r="AO288" s="70">
        <f>100/0.935</f>
        <v>106.951871657754</v>
      </c>
      <c r="AP288" s="65"/>
      <c r="AQ288" s="65"/>
      <c r="AR288" s="65"/>
      <c r="AS288" s="65"/>
      <c r="AT288" s="65"/>
      <c r="AU288" s="65"/>
      <c r="AV288" s="65"/>
      <c r="AW288" s="65"/>
      <c r="AX288" s="65"/>
      <c r="AY288" s="65"/>
      <c r="AZ288" s="65"/>
      <c r="BA288" s="65"/>
      <c r="BB288" s="65"/>
      <c r="BC288" s="65"/>
      <c r="BD288" s="65"/>
      <c r="BE288" s="65"/>
      <c r="BF288" s="65"/>
      <c r="BG288" s="65">
        <f>80/0.885</f>
        <v>90.395480225988706</v>
      </c>
      <c r="BH288" s="65"/>
      <c r="BI288" s="65"/>
      <c r="BJ288" s="65">
        <f>90/0.885</f>
        <v>101.69491525423729</v>
      </c>
      <c r="BK288" s="65"/>
      <c r="BL288" s="65"/>
      <c r="BM288" s="65">
        <f>80/0.885</f>
        <v>90.395480225988706</v>
      </c>
      <c r="BN288" s="65"/>
      <c r="BO288" s="65"/>
      <c r="BP288" s="65"/>
      <c r="BQ288" s="65"/>
      <c r="BR288" s="65"/>
      <c r="BS288" s="65"/>
      <c r="BT288" s="65">
        <f>90/0.91</f>
        <v>98.901098901098891</v>
      </c>
      <c r="BU288" s="65"/>
      <c r="BV288" s="65"/>
      <c r="BW288" s="65"/>
      <c r="BX288" s="65"/>
      <c r="BY288" s="65"/>
      <c r="BZ288" s="65"/>
      <c r="CA288" s="65"/>
      <c r="CB288" s="65"/>
      <c r="CC288" s="65"/>
      <c r="CD288" s="65"/>
      <c r="CE288" s="65"/>
      <c r="CF288" s="65"/>
      <c r="CG288" s="65"/>
      <c r="CH288" s="65"/>
      <c r="CI288" s="65"/>
      <c r="CJ288" s="65"/>
      <c r="CK288" s="65"/>
      <c r="CL288" s="65"/>
      <c r="CM288" s="65"/>
      <c r="CN288" s="65"/>
      <c r="CO288" s="65"/>
      <c r="CP288" s="65"/>
      <c r="CQ288" s="65"/>
      <c r="CR288" s="65"/>
      <c r="CS288" s="65"/>
      <c r="CT288" s="65"/>
      <c r="CU288" s="65"/>
      <c r="CV288" s="65"/>
      <c r="CW288" s="65"/>
      <c r="CX288" s="65"/>
      <c r="CY288" s="65"/>
      <c r="CZ288" s="65"/>
      <c r="DA288" s="65"/>
      <c r="DB288" s="65"/>
      <c r="DC288" s="65"/>
      <c r="DD288" s="65"/>
      <c r="DE288" s="65"/>
      <c r="DF288" s="65"/>
      <c r="DG288" s="65"/>
      <c r="DH288" s="65"/>
      <c r="DI288" s="65"/>
      <c r="DJ288" s="65"/>
      <c r="DK288" s="65"/>
      <c r="DL288" s="65"/>
      <c r="DM288" s="65"/>
      <c r="DN288" s="65"/>
      <c r="DO288" s="65"/>
      <c r="DP288" s="65"/>
      <c r="DQ288" s="65"/>
      <c r="DR288" s="65"/>
      <c r="DS288" s="65"/>
      <c r="DT288" s="65"/>
    </row>
    <row r="289" spans="1:124" ht="21.75" customHeight="1">
      <c r="A289" s="311"/>
      <c r="B289" s="229" t="s">
        <v>501</v>
      </c>
      <c r="C289" s="230"/>
      <c r="D289" s="231"/>
      <c r="E289" s="80"/>
      <c r="F289" s="80"/>
      <c r="G289" s="80"/>
      <c r="H289" s="80"/>
      <c r="I289" s="80"/>
      <c r="J289" s="60"/>
      <c r="K289" s="60"/>
      <c r="L289" s="60"/>
      <c r="M289" s="60"/>
      <c r="N289" s="60"/>
      <c r="O289" s="60"/>
      <c r="P289" s="60"/>
      <c r="Q289" s="60"/>
      <c r="R289" s="60"/>
      <c r="S289" s="60"/>
      <c r="T289" s="60"/>
      <c r="U289" s="80"/>
      <c r="V289" s="69"/>
      <c r="W289" s="69"/>
      <c r="X289" s="69"/>
      <c r="Y289" s="69"/>
      <c r="Z289" s="69"/>
      <c r="AA289" s="69"/>
      <c r="AB289" s="69"/>
      <c r="AC289" s="69"/>
      <c r="AD289" s="69"/>
      <c r="AE289" s="69" t="s">
        <v>399</v>
      </c>
      <c r="AF289" s="69"/>
      <c r="AG289" s="69"/>
      <c r="AH289" s="89" t="s">
        <v>376</v>
      </c>
      <c r="AI289" s="60"/>
      <c r="AJ289" s="69"/>
      <c r="AK289" s="69"/>
      <c r="AL289" s="69"/>
      <c r="AM289" s="69"/>
      <c r="AN289" s="69"/>
      <c r="AO289" s="69"/>
      <c r="AP289" s="60"/>
      <c r="AQ289" s="60"/>
      <c r="AR289" s="60"/>
      <c r="AS289" s="60"/>
      <c r="AT289" s="60"/>
      <c r="AU289" s="60"/>
      <c r="AV289" s="60"/>
      <c r="AW289" s="60"/>
      <c r="AX289" s="60"/>
      <c r="AY289" s="60"/>
      <c r="AZ289" s="60"/>
      <c r="BA289" s="60"/>
      <c r="BB289" s="60"/>
      <c r="BC289" s="60"/>
      <c r="BD289" s="60"/>
      <c r="BE289" s="60"/>
      <c r="BF289" s="60"/>
      <c r="BG289" s="60"/>
      <c r="BH289" s="60"/>
      <c r="BI289" s="60"/>
      <c r="BJ289" s="60"/>
      <c r="BK289" s="60"/>
      <c r="BL289" s="60"/>
      <c r="BM289" s="60"/>
      <c r="BN289" s="60"/>
      <c r="BO289" s="60"/>
      <c r="BP289" s="60"/>
      <c r="BQ289" s="60"/>
      <c r="BR289" s="60"/>
      <c r="BS289" s="60"/>
      <c r="BT289" s="60"/>
      <c r="BU289" s="60"/>
      <c r="BV289" s="60"/>
      <c r="BW289" s="60"/>
      <c r="BX289" s="60"/>
      <c r="BY289" s="60"/>
      <c r="BZ289" s="60"/>
      <c r="CA289" s="60"/>
      <c r="CB289" s="60"/>
      <c r="CC289" s="60"/>
      <c r="CD289" s="60"/>
      <c r="CE289" s="60"/>
      <c r="CF289" s="60"/>
      <c r="CG289" s="60"/>
      <c r="CH289" s="60"/>
      <c r="CI289" s="60"/>
      <c r="CJ289" s="60"/>
      <c r="CK289" s="60"/>
      <c r="CL289" s="60"/>
      <c r="CM289" s="60"/>
      <c r="CN289" s="60"/>
      <c r="CO289" s="60"/>
      <c r="CP289" s="60"/>
      <c r="CQ289" s="60"/>
      <c r="CR289" s="60"/>
      <c r="CS289" s="60"/>
      <c r="CT289" s="60"/>
      <c r="CU289" s="60"/>
      <c r="CV289" s="60"/>
      <c r="CW289" s="60"/>
      <c r="CX289" s="60"/>
      <c r="CY289" s="60"/>
      <c r="CZ289" s="60"/>
      <c r="DA289" s="60"/>
      <c r="DB289" s="60"/>
      <c r="DC289" s="60"/>
      <c r="DD289" s="60"/>
      <c r="DE289" s="60"/>
      <c r="DF289" s="60"/>
      <c r="DG289" s="60"/>
      <c r="DH289" s="60"/>
      <c r="DI289" s="60"/>
      <c r="DJ289" s="60"/>
      <c r="DK289" s="60"/>
      <c r="DL289" s="60"/>
      <c r="DM289" s="60"/>
      <c r="DN289" s="60"/>
      <c r="DO289" s="60"/>
      <c r="DP289" s="60"/>
      <c r="DQ289" s="60"/>
      <c r="DR289" s="60"/>
      <c r="DS289" s="60"/>
      <c r="DT289" s="60"/>
    </row>
    <row r="290" spans="1:124" ht="21.75" customHeight="1">
      <c r="A290" s="311"/>
      <c r="B290" s="232"/>
      <c r="C290" s="233"/>
      <c r="D290" s="234"/>
      <c r="E290" s="70"/>
      <c r="F290" s="70"/>
      <c r="G290" s="70"/>
      <c r="H290" s="70"/>
      <c r="I290" s="70"/>
      <c r="J290" s="65"/>
      <c r="K290" s="65"/>
      <c r="L290" s="65"/>
      <c r="M290" s="65"/>
      <c r="N290" s="65"/>
      <c r="O290" s="65"/>
      <c r="P290" s="65"/>
      <c r="Q290" s="65"/>
      <c r="R290" s="65"/>
      <c r="S290" s="65"/>
      <c r="T290" s="65"/>
      <c r="U290" s="70"/>
      <c r="V290" s="70"/>
      <c r="W290" s="70"/>
      <c r="X290" s="70"/>
      <c r="Y290" s="70"/>
      <c r="Z290" s="70"/>
      <c r="AA290" s="70"/>
      <c r="AB290" s="70"/>
      <c r="AC290" s="70"/>
      <c r="AD290" s="70"/>
      <c r="AE290" s="96" t="s">
        <v>502</v>
      </c>
      <c r="AF290" s="70"/>
      <c r="AG290" s="70"/>
      <c r="AH290" s="90">
        <f>85/0.91</f>
        <v>93.406593406593402</v>
      </c>
      <c r="AI290" s="65"/>
      <c r="AJ290" s="70"/>
      <c r="AK290" s="70"/>
      <c r="AL290" s="70"/>
      <c r="AM290" s="70"/>
      <c r="AN290" s="70"/>
      <c r="AO290" s="70"/>
      <c r="AP290" s="65"/>
      <c r="AQ290" s="65"/>
      <c r="AR290" s="65"/>
      <c r="AS290" s="65"/>
      <c r="AT290" s="65"/>
      <c r="AU290" s="65"/>
      <c r="AV290" s="65"/>
      <c r="AW290" s="65"/>
      <c r="AX290" s="65"/>
      <c r="AY290" s="65"/>
      <c r="AZ290" s="65"/>
      <c r="BA290" s="65"/>
      <c r="BB290" s="65"/>
      <c r="BC290" s="65"/>
      <c r="BD290" s="65"/>
      <c r="BE290" s="65"/>
      <c r="BF290" s="65"/>
      <c r="BG290" s="65"/>
      <c r="BH290" s="65"/>
      <c r="BI290" s="65"/>
      <c r="BJ290" s="65"/>
      <c r="BK290" s="65"/>
      <c r="BL290" s="65"/>
      <c r="BM290" s="65"/>
      <c r="BN290" s="65"/>
      <c r="BO290" s="65"/>
      <c r="BP290" s="65"/>
      <c r="BQ290" s="65"/>
      <c r="BR290" s="65"/>
      <c r="BS290" s="65"/>
      <c r="BT290" s="65"/>
      <c r="BU290" s="65"/>
      <c r="BV290" s="65"/>
      <c r="BW290" s="65"/>
      <c r="BX290" s="65"/>
      <c r="BY290" s="65"/>
      <c r="BZ290" s="65"/>
      <c r="CA290" s="65"/>
      <c r="CB290" s="65"/>
      <c r="CC290" s="65"/>
      <c r="CD290" s="65"/>
      <c r="CE290" s="65"/>
      <c r="CF290" s="65"/>
      <c r="CG290" s="65"/>
      <c r="CH290" s="65"/>
      <c r="CI290" s="65"/>
      <c r="CJ290" s="65"/>
      <c r="CK290" s="65"/>
      <c r="CL290" s="65"/>
      <c r="CM290" s="65"/>
      <c r="CN290" s="65"/>
      <c r="CO290" s="65"/>
      <c r="CP290" s="65"/>
      <c r="CQ290" s="65"/>
      <c r="CR290" s="65"/>
      <c r="CS290" s="65"/>
      <c r="CT290" s="65"/>
      <c r="CU290" s="65"/>
      <c r="CV290" s="65"/>
      <c r="CW290" s="65"/>
      <c r="CX290" s="65"/>
      <c r="CY290" s="65"/>
      <c r="CZ290" s="65"/>
      <c r="DA290" s="65"/>
      <c r="DB290" s="65"/>
      <c r="DC290" s="65"/>
      <c r="DD290" s="65"/>
      <c r="DE290" s="65"/>
      <c r="DF290" s="65"/>
      <c r="DG290" s="65"/>
      <c r="DH290" s="65"/>
      <c r="DI290" s="65"/>
      <c r="DJ290" s="65"/>
      <c r="DK290" s="65"/>
      <c r="DL290" s="65"/>
      <c r="DM290" s="65"/>
      <c r="DN290" s="65"/>
      <c r="DO290" s="65"/>
      <c r="DP290" s="65"/>
      <c r="DQ290" s="65"/>
      <c r="DR290" s="65"/>
      <c r="DS290" s="65"/>
      <c r="DT290" s="65"/>
    </row>
    <row r="291" spans="1:124" ht="21.75" customHeight="1">
      <c r="A291" s="311"/>
      <c r="B291" s="229" t="s">
        <v>50</v>
      </c>
      <c r="C291" s="230"/>
      <c r="D291" s="231"/>
      <c r="E291" s="60"/>
      <c r="F291" s="60"/>
      <c r="G291" s="60"/>
      <c r="H291" s="60"/>
      <c r="I291" s="60"/>
      <c r="J291" s="60"/>
      <c r="K291" s="60" t="s">
        <v>384</v>
      </c>
      <c r="L291" s="60"/>
      <c r="M291" s="60"/>
      <c r="N291" s="60"/>
      <c r="O291" s="60"/>
      <c r="P291" s="60"/>
      <c r="Q291" s="60"/>
      <c r="R291" s="60"/>
      <c r="S291" s="60"/>
      <c r="T291" s="60"/>
      <c r="U291" s="60"/>
      <c r="V291" s="69"/>
      <c r="W291" s="69"/>
      <c r="X291" s="69"/>
      <c r="Y291" s="69"/>
      <c r="Z291" s="69"/>
      <c r="AA291" s="69"/>
      <c r="AB291" s="69"/>
      <c r="AC291" s="69"/>
      <c r="AD291" s="69"/>
      <c r="AE291" s="69"/>
      <c r="AF291" s="69"/>
      <c r="AG291" s="69"/>
      <c r="AH291" s="89"/>
      <c r="AI291" s="60"/>
      <c r="AJ291" s="69"/>
      <c r="AK291" s="69"/>
      <c r="AL291" s="69"/>
      <c r="AM291" s="69"/>
      <c r="AN291" s="69"/>
      <c r="AO291" s="69"/>
      <c r="AP291" s="60"/>
      <c r="AQ291" s="60"/>
      <c r="AR291" s="60"/>
      <c r="AS291" s="60"/>
      <c r="AT291" s="60"/>
      <c r="AU291" s="60"/>
      <c r="AV291" s="60"/>
      <c r="AW291" s="60"/>
      <c r="AX291" s="60"/>
      <c r="AY291" s="60"/>
      <c r="AZ291" s="60"/>
      <c r="BA291" s="60"/>
      <c r="BB291" s="60"/>
      <c r="BC291" s="60"/>
      <c r="BD291" s="60"/>
      <c r="BE291" s="60"/>
      <c r="BF291" s="60"/>
      <c r="BG291" s="60"/>
      <c r="BH291" s="60"/>
      <c r="BI291" s="60"/>
      <c r="BJ291" s="60"/>
      <c r="BK291" s="60"/>
      <c r="BL291" s="60"/>
      <c r="BM291" s="60"/>
      <c r="BN291" s="60"/>
      <c r="BO291" s="60"/>
      <c r="BP291" s="60"/>
      <c r="BQ291" s="60"/>
      <c r="BR291" s="60"/>
      <c r="BS291" s="60"/>
      <c r="BT291" s="60"/>
      <c r="BU291" s="60"/>
      <c r="BV291" s="60"/>
      <c r="BW291" s="60"/>
      <c r="BX291" s="60"/>
      <c r="BY291" s="60"/>
      <c r="BZ291" s="60"/>
      <c r="CA291" s="60"/>
      <c r="CB291" s="60"/>
      <c r="CC291" s="60"/>
      <c r="CD291" s="60"/>
      <c r="CE291" s="60"/>
      <c r="CF291" s="60"/>
      <c r="CG291" s="60"/>
      <c r="CH291" s="60"/>
      <c r="CI291" s="60"/>
      <c r="CJ291" s="60"/>
      <c r="CK291" s="60"/>
      <c r="CL291" s="60"/>
      <c r="CM291" s="60"/>
      <c r="CN291" s="60"/>
      <c r="CO291" s="60"/>
      <c r="CP291" s="60"/>
      <c r="CQ291" s="60"/>
      <c r="CR291" s="60"/>
      <c r="CS291" s="60"/>
      <c r="CT291" s="60"/>
      <c r="CU291" s="60"/>
      <c r="CV291" s="60"/>
      <c r="CW291" s="60"/>
      <c r="CX291" s="60"/>
      <c r="CY291" s="60"/>
      <c r="CZ291" s="60"/>
      <c r="DA291" s="60"/>
      <c r="DB291" s="60"/>
      <c r="DC291" s="60"/>
      <c r="DD291" s="60"/>
      <c r="DE291" s="60"/>
      <c r="DF291" s="60"/>
      <c r="DG291" s="60"/>
      <c r="DH291" s="60"/>
      <c r="DI291" s="60"/>
      <c r="DJ291" s="60"/>
      <c r="DK291" s="60"/>
      <c r="DL291" s="60"/>
      <c r="DM291" s="60"/>
      <c r="DN291" s="60"/>
      <c r="DO291" s="60"/>
      <c r="DP291" s="60"/>
      <c r="DQ291" s="60"/>
      <c r="DR291" s="60"/>
      <c r="DS291" s="60"/>
      <c r="DT291" s="60"/>
    </row>
    <row r="292" spans="1:124" ht="21.75" customHeight="1">
      <c r="A292" s="311"/>
      <c r="B292" s="232"/>
      <c r="C292" s="233"/>
      <c r="D292" s="234"/>
      <c r="E292" s="65"/>
      <c r="F292" s="65"/>
      <c r="G292" s="65"/>
      <c r="H292" s="65"/>
      <c r="I292" s="65"/>
      <c r="J292" s="65"/>
      <c r="K292" s="65">
        <f>220/0.91</f>
        <v>241.75824175824175</v>
      </c>
      <c r="L292" s="65"/>
      <c r="M292" s="65"/>
      <c r="N292" s="65"/>
      <c r="O292" s="65"/>
      <c r="P292" s="65"/>
      <c r="Q292" s="65"/>
      <c r="R292" s="65"/>
      <c r="S292" s="65"/>
      <c r="T292" s="65"/>
      <c r="U292" s="65"/>
      <c r="V292" s="70"/>
      <c r="W292" s="70"/>
      <c r="X292" s="70"/>
      <c r="Y292" s="70"/>
      <c r="Z292" s="70"/>
      <c r="AA292" s="70"/>
      <c r="AB292" s="70"/>
      <c r="AC292" s="70"/>
      <c r="AD292" s="70"/>
      <c r="AE292" s="70"/>
      <c r="AF292" s="70"/>
      <c r="AG292" s="70"/>
      <c r="AH292" s="90"/>
      <c r="AI292" s="65"/>
      <c r="AJ292" s="70"/>
      <c r="AK292" s="70"/>
      <c r="AL292" s="70"/>
      <c r="AM292" s="70"/>
      <c r="AN292" s="70"/>
      <c r="AO292" s="70"/>
      <c r="AP292" s="65"/>
      <c r="AQ292" s="65"/>
      <c r="AR292" s="65"/>
      <c r="AS292" s="65"/>
      <c r="AT292" s="65"/>
      <c r="AU292" s="65"/>
      <c r="AV292" s="65"/>
      <c r="AW292" s="65"/>
      <c r="AX292" s="65"/>
      <c r="AY292" s="65"/>
      <c r="AZ292" s="65"/>
      <c r="BA292" s="65"/>
      <c r="BB292" s="65"/>
      <c r="BC292" s="65"/>
      <c r="BD292" s="65"/>
      <c r="BE292" s="65"/>
      <c r="BF292" s="65"/>
      <c r="BG292" s="65"/>
      <c r="BH292" s="65"/>
      <c r="BI292" s="65"/>
      <c r="BJ292" s="65"/>
      <c r="BK292" s="65"/>
      <c r="BL292" s="65"/>
      <c r="BM292" s="65"/>
      <c r="BN292" s="65"/>
      <c r="BO292" s="65"/>
      <c r="BP292" s="65"/>
      <c r="BQ292" s="65"/>
      <c r="BR292" s="65"/>
      <c r="BS292" s="65"/>
      <c r="BT292" s="65"/>
      <c r="BU292" s="65"/>
      <c r="BV292" s="65"/>
      <c r="BW292" s="65"/>
      <c r="BX292" s="65"/>
      <c r="BY292" s="65"/>
      <c r="BZ292" s="65"/>
      <c r="CA292" s="65"/>
      <c r="CB292" s="65"/>
      <c r="CC292" s="65"/>
      <c r="CD292" s="65"/>
      <c r="CE292" s="65"/>
      <c r="CF292" s="65"/>
      <c r="CG292" s="65"/>
      <c r="CH292" s="65"/>
      <c r="CI292" s="65"/>
      <c r="CJ292" s="65"/>
      <c r="CK292" s="65"/>
      <c r="CL292" s="65"/>
      <c r="CM292" s="65"/>
      <c r="CN292" s="65"/>
      <c r="CO292" s="65"/>
      <c r="CP292" s="65"/>
      <c r="CQ292" s="65"/>
      <c r="CR292" s="65"/>
      <c r="CS292" s="65"/>
      <c r="CT292" s="65"/>
      <c r="CU292" s="65"/>
      <c r="CV292" s="65"/>
      <c r="CW292" s="65"/>
      <c r="CX292" s="65"/>
      <c r="CY292" s="65"/>
      <c r="CZ292" s="65"/>
      <c r="DA292" s="65"/>
      <c r="DB292" s="65"/>
      <c r="DC292" s="65"/>
      <c r="DD292" s="65"/>
      <c r="DE292" s="65"/>
      <c r="DF292" s="65"/>
      <c r="DG292" s="65"/>
      <c r="DH292" s="65"/>
      <c r="DI292" s="65"/>
      <c r="DJ292" s="65"/>
      <c r="DK292" s="65"/>
      <c r="DL292" s="65"/>
      <c r="DM292" s="65"/>
      <c r="DN292" s="65"/>
      <c r="DO292" s="65"/>
      <c r="DP292" s="65"/>
      <c r="DQ292" s="65"/>
      <c r="DR292" s="65"/>
      <c r="DS292" s="65"/>
      <c r="DT292" s="65"/>
    </row>
    <row r="293" spans="1:124" ht="21.75" customHeight="1">
      <c r="A293" s="311"/>
      <c r="B293" s="229" t="s">
        <v>67</v>
      </c>
      <c r="C293" s="230"/>
      <c r="D293" s="231"/>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c r="AD293" s="69"/>
      <c r="AE293" s="69"/>
      <c r="AF293" s="69"/>
      <c r="AG293" s="69"/>
      <c r="AH293" s="69"/>
      <c r="AI293" s="69"/>
      <c r="AJ293" s="69"/>
      <c r="AK293" s="69"/>
      <c r="AL293" s="69"/>
      <c r="AM293" s="68"/>
      <c r="AN293" s="68"/>
      <c r="AO293" s="68"/>
      <c r="AP293" s="68"/>
      <c r="AQ293" s="68"/>
      <c r="AR293" s="68"/>
      <c r="AS293" s="68"/>
      <c r="AT293" s="68"/>
      <c r="AU293" s="68"/>
      <c r="AV293" s="68"/>
      <c r="AW293" s="68"/>
      <c r="AX293" s="68"/>
      <c r="AY293" s="68"/>
      <c r="AZ293" s="68"/>
      <c r="BA293" s="68"/>
      <c r="BB293" s="68"/>
      <c r="BC293" s="68"/>
      <c r="BD293" s="68"/>
      <c r="BE293" s="68"/>
      <c r="BF293" s="68"/>
      <c r="BG293" s="68"/>
      <c r="BH293" s="68"/>
      <c r="BI293" s="68"/>
      <c r="BJ293" s="68"/>
      <c r="BK293" s="68"/>
      <c r="BL293" s="68"/>
      <c r="BM293" s="68"/>
      <c r="BN293" s="62" t="s">
        <v>424</v>
      </c>
      <c r="BO293" s="68"/>
      <c r="BP293" s="68"/>
      <c r="BQ293" s="68"/>
      <c r="BR293" s="68"/>
      <c r="BS293" s="68"/>
      <c r="BT293" s="68"/>
      <c r="BU293" s="68"/>
      <c r="BV293" s="68"/>
      <c r="BW293" s="68"/>
      <c r="BX293" s="68"/>
      <c r="BY293" s="68"/>
      <c r="BZ293" s="68"/>
      <c r="CA293" s="68"/>
      <c r="CB293" s="68"/>
      <c r="CC293" s="68"/>
      <c r="CD293" s="68"/>
      <c r="CE293" s="68"/>
      <c r="CF293" s="68"/>
      <c r="CG293" s="68"/>
      <c r="CH293" s="68"/>
      <c r="CI293" s="68"/>
      <c r="CJ293" s="68"/>
      <c r="CK293" s="68"/>
      <c r="CL293" s="68"/>
      <c r="CM293" s="68"/>
      <c r="CN293" s="68"/>
      <c r="CO293" s="68"/>
      <c r="CP293" s="68"/>
      <c r="CQ293" s="68"/>
      <c r="CR293" s="68"/>
      <c r="CS293" s="68"/>
      <c r="CT293" s="68"/>
      <c r="CU293" s="68"/>
      <c r="CV293" s="68"/>
      <c r="CW293" s="68"/>
      <c r="CX293" s="68"/>
      <c r="CY293" s="68"/>
      <c r="CZ293" s="68"/>
      <c r="DA293" s="68"/>
      <c r="DB293" s="68"/>
      <c r="DC293" s="68"/>
      <c r="DD293" s="68"/>
      <c r="DE293" s="68"/>
      <c r="DF293" s="68"/>
      <c r="DG293" s="68"/>
      <c r="DH293" s="68"/>
      <c r="DI293" s="68"/>
      <c r="DJ293" s="68"/>
      <c r="DK293" s="68"/>
      <c r="DL293" s="68"/>
      <c r="DM293" s="68"/>
      <c r="DN293" s="68"/>
      <c r="DO293" s="68"/>
      <c r="DP293" s="68"/>
      <c r="DQ293" s="68"/>
      <c r="DR293" s="68"/>
      <c r="DS293" s="68"/>
      <c r="DT293" s="68"/>
    </row>
    <row r="294" spans="1:124" ht="21.75" customHeight="1">
      <c r="A294" s="311"/>
      <c r="B294" s="232"/>
      <c r="C294" s="233"/>
      <c r="D294" s="234"/>
      <c r="E294" s="70"/>
      <c r="F294" s="70"/>
      <c r="G294" s="70"/>
      <c r="H294" s="70"/>
      <c r="I294" s="70"/>
      <c r="J294" s="70"/>
      <c r="K294" s="70"/>
      <c r="L294" s="70"/>
      <c r="M294" s="70"/>
      <c r="N294" s="70"/>
      <c r="O294" s="70"/>
      <c r="P294" s="70"/>
      <c r="Q294" s="70"/>
      <c r="R294" s="70"/>
      <c r="S294" s="70"/>
      <c r="T294" s="70"/>
      <c r="U294" s="70"/>
      <c r="V294" s="70"/>
      <c r="W294" s="70"/>
      <c r="X294" s="70"/>
      <c r="Y294" s="70"/>
      <c r="Z294" s="70"/>
      <c r="AA294" s="70"/>
      <c r="AB294" s="70"/>
      <c r="AC294" s="70"/>
      <c r="AD294" s="70"/>
      <c r="AE294" s="70"/>
      <c r="AF294" s="70"/>
      <c r="AG294" s="70"/>
      <c r="AH294" s="70"/>
      <c r="AI294" s="70"/>
      <c r="AJ294" s="70"/>
      <c r="AK294" s="70"/>
      <c r="AL294" s="70"/>
      <c r="AM294" s="65"/>
      <c r="AN294" s="65"/>
      <c r="AO294" s="65"/>
      <c r="AP294" s="65"/>
      <c r="AQ294" s="65"/>
      <c r="AR294" s="65"/>
      <c r="AS294" s="65"/>
      <c r="AT294" s="65"/>
      <c r="AU294" s="65"/>
      <c r="AV294" s="65"/>
      <c r="AW294" s="65"/>
      <c r="AX294" s="65"/>
      <c r="AY294" s="65"/>
      <c r="AZ294" s="65"/>
      <c r="BA294" s="65"/>
      <c r="BB294" s="65"/>
      <c r="BC294" s="65"/>
      <c r="BD294" s="65"/>
      <c r="BE294" s="65"/>
      <c r="BF294" s="65"/>
      <c r="BG294" s="65"/>
      <c r="BH294" s="65"/>
      <c r="BI294" s="65"/>
      <c r="BJ294" s="65"/>
      <c r="BK294" s="65"/>
      <c r="BL294" s="65"/>
      <c r="BM294" s="65"/>
      <c r="BN294" s="100" t="s">
        <v>503</v>
      </c>
      <c r="BO294" s="65"/>
      <c r="BP294" s="65"/>
      <c r="BQ294" s="65"/>
      <c r="BR294" s="65"/>
      <c r="BS294" s="65"/>
      <c r="BT294" s="65"/>
      <c r="BU294" s="65"/>
      <c r="BV294" s="65"/>
      <c r="BW294" s="65"/>
      <c r="BX294" s="65"/>
      <c r="BY294" s="65"/>
      <c r="BZ294" s="65"/>
      <c r="CA294" s="65"/>
      <c r="CB294" s="65"/>
      <c r="CC294" s="65"/>
      <c r="CD294" s="65"/>
      <c r="CE294" s="65"/>
      <c r="CF294" s="65"/>
      <c r="CG294" s="65"/>
      <c r="CH294" s="65"/>
      <c r="CI294" s="65"/>
      <c r="CJ294" s="65"/>
      <c r="CK294" s="65"/>
      <c r="CL294" s="65"/>
      <c r="CM294" s="65"/>
      <c r="CN294" s="65"/>
      <c r="CO294" s="65"/>
      <c r="CP294" s="65"/>
      <c r="CQ294" s="65"/>
      <c r="CR294" s="65"/>
      <c r="CS294" s="65"/>
      <c r="CT294" s="65"/>
      <c r="CU294" s="65"/>
      <c r="CV294" s="65"/>
      <c r="CW294" s="65"/>
      <c r="CX294" s="65"/>
      <c r="CY294" s="65"/>
      <c r="CZ294" s="65"/>
      <c r="DA294" s="65"/>
      <c r="DB294" s="65"/>
      <c r="DC294" s="65"/>
      <c r="DD294" s="65"/>
      <c r="DE294" s="65"/>
      <c r="DF294" s="65"/>
      <c r="DG294" s="65"/>
      <c r="DH294" s="65"/>
      <c r="DI294" s="65"/>
      <c r="DJ294" s="65"/>
      <c r="DK294" s="65"/>
      <c r="DL294" s="65"/>
      <c r="DM294" s="65"/>
      <c r="DN294" s="65"/>
      <c r="DO294" s="65"/>
      <c r="DP294" s="65"/>
      <c r="DQ294" s="65"/>
      <c r="DR294" s="65"/>
      <c r="DS294" s="65"/>
      <c r="DT294" s="65"/>
    </row>
    <row r="295" spans="1:124" ht="21.75" customHeight="1">
      <c r="A295" s="311"/>
      <c r="B295" s="229" t="s">
        <v>406</v>
      </c>
      <c r="C295" s="230"/>
      <c r="D295" s="231"/>
      <c r="E295" s="60"/>
      <c r="F295" s="91" t="s">
        <v>436</v>
      </c>
      <c r="G295" s="91" t="s">
        <v>436</v>
      </c>
      <c r="H295" s="91" t="s">
        <v>436</v>
      </c>
      <c r="I295" s="60"/>
      <c r="J295" s="60"/>
      <c r="K295" s="60"/>
      <c r="L295" s="60"/>
      <c r="M295" s="60"/>
      <c r="N295" s="60"/>
      <c r="O295" s="60"/>
      <c r="P295" s="60"/>
      <c r="Q295" s="60" t="s">
        <v>378</v>
      </c>
      <c r="R295" s="60"/>
      <c r="S295" s="60"/>
      <c r="T295" s="60"/>
      <c r="U295" s="60"/>
      <c r="V295" s="69" t="s">
        <v>380</v>
      </c>
      <c r="W295" s="69"/>
      <c r="X295" s="69" t="s">
        <v>380</v>
      </c>
      <c r="Y295" s="69"/>
      <c r="Z295" s="69"/>
      <c r="AA295" s="69" t="s">
        <v>380</v>
      </c>
      <c r="AB295" s="69"/>
      <c r="AC295" s="69"/>
      <c r="AD295" s="69"/>
      <c r="AE295" s="69"/>
      <c r="AF295" s="69"/>
      <c r="AG295" s="69"/>
      <c r="AH295" s="89"/>
      <c r="AI295" s="60"/>
      <c r="AJ295" s="69"/>
      <c r="AK295" s="69"/>
      <c r="AL295" s="69" t="s">
        <v>376</v>
      </c>
      <c r="AM295" s="69"/>
      <c r="AN295" s="69"/>
      <c r="AO295" s="69" t="s">
        <v>384</v>
      </c>
      <c r="AP295" s="60"/>
      <c r="AQ295" s="60"/>
      <c r="AR295" s="60"/>
      <c r="AS295" s="60"/>
      <c r="AT295" s="60"/>
      <c r="AU295" s="60"/>
      <c r="AV295" s="60"/>
      <c r="AW295" s="60"/>
      <c r="AX295" s="60"/>
      <c r="AY295" s="60"/>
      <c r="AZ295" s="60"/>
      <c r="BA295" s="60"/>
      <c r="BB295" s="60"/>
      <c r="BC295" s="60"/>
      <c r="BD295" s="60"/>
      <c r="BE295" s="60"/>
      <c r="BF295" s="60"/>
      <c r="BG295" s="60"/>
      <c r="BH295" s="60"/>
      <c r="BI295" s="60"/>
      <c r="BJ295" s="60"/>
      <c r="BK295" s="60"/>
      <c r="BL295" s="60"/>
      <c r="BM295" s="60"/>
      <c r="BN295" s="60"/>
      <c r="BO295" s="60"/>
      <c r="BP295" s="60"/>
      <c r="BQ295" s="62" t="s">
        <v>424</v>
      </c>
      <c r="BR295" s="60"/>
      <c r="BS295" s="60"/>
      <c r="BT295" s="60"/>
      <c r="BU295" s="60"/>
      <c r="BV295" s="60"/>
      <c r="BW295" s="60"/>
      <c r="BX295" s="60"/>
      <c r="BY295" s="60"/>
      <c r="BZ295" s="60"/>
      <c r="CA295" s="60"/>
      <c r="CB295" s="60"/>
      <c r="CC295" s="60"/>
      <c r="CD295" s="60"/>
      <c r="CE295" s="60"/>
      <c r="CF295" s="60"/>
      <c r="CG295" s="60"/>
      <c r="CH295" s="60"/>
      <c r="CI295" s="60"/>
      <c r="CJ295" s="60"/>
      <c r="CK295" s="60"/>
      <c r="CL295" s="60"/>
      <c r="CM295" s="60"/>
      <c r="CN295" s="60"/>
      <c r="CO295" s="60"/>
      <c r="CP295" s="60"/>
      <c r="CQ295" s="60"/>
      <c r="CR295" s="60"/>
      <c r="CS295" s="60"/>
      <c r="CT295" s="60"/>
      <c r="CU295" s="60"/>
      <c r="CV295" s="60"/>
      <c r="CW295" s="60"/>
      <c r="CX295" s="60"/>
      <c r="CY295" s="60"/>
      <c r="CZ295" s="60"/>
      <c r="DA295" s="60"/>
      <c r="DB295" s="60"/>
      <c r="DC295" s="60"/>
      <c r="DD295" s="60"/>
      <c r="DE295" s="60"/>
      <c r="DF295" s="60"/>
      <c r="DG295" s="60"/>
      <c r="DH295" s="60"/>
      <c r="DI295" s="60"/>
      <c r="DJ295" s="60"/>
      <c r="DK295" s="60"/>
      <c r="DL295" s="60"/>
      <c r="DM295" s="60"/>
      <c r="DN295" s="60"/>
      <c r="DO295" s="60"/>
      <c r="DP295" s="60"/>
      <c r="DQ295" s="60"/>
      <c r="DR295" s="60"/>
      <c r="DS295" s="60"/>
      <c r="DT295" s="60"/>
    </row>
    <row r="296" spans="1:124" ht="21.75" customHeight="1">
      <c r="A296" s="311"/>
      <c r="B296" s="232"/>
      <c r="C296" s="233"/>
      <c r="D296" s="234"/>
      <c r="E296" s="65"/>
      <c r="F296" s="65">
        <f>230/0.935</f>
        <v>245.98930481283421</v>
      </c>
      <c r="G296" s="65">
        <f>240/0.935</f>
        <v>256.68449197860963</v>
      </c>
      <c r="H296" s="65">
        <f>300/0.935</f>
        <v>320.85561497326199</v>
      </c>
      <c r="I296" s="65"/>
      <c r="J296" s="65"/>
      <c r="K296" s="65"/>
      <c r="L296" s="65"/>
      <c r="M296" s="65"/>
      <c r="N296" s="65"/>
      <c r="O296" s="65"/>
      <c r="P296" s="65"/>
      <c r="Q296" s="65">
        <f>160/0.86</f>
        <v>186.04651162790697</v>
      </c>
      <c r="R296" s="65"/>
      <c r="S296" s="65"/>
      <c r="T296" s="65"/>
      <c r="U296" s="65"/>
      <c r="V296" s="70">
        <f>150/0.86</f>
        <v>174.41860465116278</v>
      </c>
      <c r="W296" s="70"/>
      <c r="X296" s="70">
        <f>150/0.86</f>
        <v>174.41860465116278</v>
      </c>
      <c r="Y296" s="70"/>
      <c r="Z296" s="70"/>
      <c r="AA296" s="70">
        <f>190/0.86</f>
        <v>220.93023255813955</v>
      </c>
      <c r="AB296" s="70"/>
      <c r="AC296" s="70"/>
      <c r="AD296" s="70"/>
      <c r="AE296" s="70"/>
      <c r="AF296" s="70"/>
      <c r="AG296" s="70"/>
      <c r="AH296" s="90"/>
      <c r="AI296" s="65"/>
      <c r="AJ296" s="70"/>
      <c r="AK296" s="70"/>
      <c r="AL296" s="70">
        <f>100/0.91</f>
        <v>109.89010989010988</v>
      </c>
      <c r="AM296" s="70"/>
      <c r="AN296" s="70"/>
      <c r="AO296" s="70">
        <f>100/0.91</f>
        <v>109.89010989010988</v>
      </c>
      <c r="AP296" s="65"/>
      <c r="AQ296" s="65"/>
      <c r="AR296" s="65"/>
      <c r="AS296" s="65"/>
      <c r="AT296" s="65"/>
      <c r="AU296" s="65"/>
      <c r="AV296" s="65"/>
      <c r="AW296" s="65"/>
      <c r="AX296" s="65"/>
      <c r="AY296" s="65"/>
      <c r="AZ296" s="65"/>
      <c r="BA296" s="65"/>
      <c r="BB296" s="65"/>
      <c r="BC296" s="65"/>
      <c r="BD296" s="65"/>
      <c r="BE296" s="65"/>
      <c r="BF296" s="65"/>
      <c r="BG296" s="65"/>
      <c r="BH296" s="65"/>
      <c r="BI296" s="65"/>
      <c r="BJ296" s="65"/>
      <c r="BK296" s="65"/>
      <c r="BL296" s="65"/>
      <c r="BM296" s="65"/>
      <c r="BN296" s="65"/>
      <c r="BO296" s="65"/>
      <c r="BP296" s="65"/>
      <c r="BQ296" s="100" t="s">
        <v>504</v>
      </c>
      <c r="BR296" s="65"/>
      <c r="BS296" s="65"/>
      <c r="BT296" s="65"/>
      <c r="BU296" s="65"/>
      <c r="BV296" s="65"/>
      <c r="BW296" s="65"/>
      <c r="BX296" s="65"/>
      <c r="BY296" s="65"/>
      <c r="BZ296" s="65"/>
      <c r="CA296" s="65"/>
      <c r="CB296" s="65"/>
      <c r="CC296" s="65"/>
      <c r="CD296" s="65"/>
      <c r="CE296" s="65"/>
      <c r="CF296" s="65"/>
      <c r="CG296" s="65"/>
      <c r="CH296" s="65"/>
      <c r="CI296" s="65"/>
      <c r="CJ296" s="65"/>
      <c r="CK296" s="65"/>
      <c r="CL296" s="65"/>
      <c r="CM296" s="65"/>
      <c r="CN296" s="65"/>
      <c r="CO296" s="65"/>
      <c r="CP296" s="65"/>
      <c r="CQ296" s="65"/>
      <c r="CR296" s="65"/>
      <c r="CS296" s="65"/>
      <c r="CT296" s="65"/>
      <c r="CU296" s="65"/>
      <c r="CV296" s="65"/>
      <c r="CW296" s="65"/>
      <c r="CX296" s="65"/>
      <c r="CY296" s="65"/>
      <c r="CZ296" s="65"/>
      <c r="DA296" s="65"/>
      <c r="DB296" s="65"/>
      <c r="DC296" s="65"/>
      <c r="DD296" s="65"/>
      <c r="DE296" s="65"/>
      <c r="DF296" s="65"/>
      <c r="DG296" s="65"/>
      <c r="DH296" s="65"/>
      <c r="DI296" s="65"/>
      <c r="DJ296" s="65"/>
      <c r="DK296" s="65"/>
      <c r="DL296" s="65"/>
      <c r="DM296" s="65"/>
      <c r="DN296" s="65"/>
      <c r="DO296" s="65"/>
      <c r="DP296" s="65"/>
      <c r="DQ296" s="65"/>
      <c r="DR296" s="65"/>
      <c r="DS296" s="65"/>
      <c r="DT296" s="65"/>
    </row>
    <row r="297" spans="1:124" ht="21.75" customHeight="1">
      <c r="A297" s="311"/>
      <c r="B297" s="229" t="s">
        <v>505</v>
      </c>
      <c r="C297" s="230"/>
      <c r="D297" s="231"/>
      <c r="E297" s="69"/>
      <c r="F297" s="68"/>
      <c r="G297" s="68"/>
      <c r="H297" s="68"/>
      <c r="I297" s="68"/>
      <c r="J297" s="68"/>
      <c r="K297" s="68"/>
      <c r="L297" s="68"/>
      <c r="M297" s="68"/>
      <c r="N297" s="68"/>
      <c r="O297" s="68"/>
      <c r="P297" s="68"/>
      <c r="Q297" s="68"/>
      <c r="R297" s="68"/>
      <c r="S297" s="68"/>
      <c r="T297" s="68"/>
      <c r="U297" s="68"/>
      <c r="V297" s="68"/>
      <c r="W297" s="68"/>
      <c r="X297" s="69"/>
      <c r="Y297" s="69"/>
      <c r="Z297" s="69"/>
      <c r="AA297" s="69"/>
      <c r="AB297" s="69"/>
      <c r="AC297" s="69"/>
      <c r="AD297" s="69"/>
      <c r="AE297" s="69"/>
      <c r="AF297" s="69"/>
      <c r="AG297" s="69"/>
      <c r="AH297" s="69"/>
      <c r="AI297" s="69"/>
      <c r="AJ297" s="69"/>
      <c r="AK297" s="69"/>
      <c r="AL297" s="69"/>
      <c r="AM297" s="69"/>
      <c r="AN297" s="69"/>
      <c r="AO297" s="69"/>
      <c r="AP297" s="68"/>
      <c r="AQ297" s="68"/>
      <c r="AR297" s="68"/>
      <c r="AS297" s="69"/>
      <c r="AT297" s="69"/>
      <c r="AU297" s="69"/>
      <c r="AV297" s="69"/>
      <c r="AW297" s="69"/>
      <c r="AX297" s="68"/>
      <c r="AY297" s="68"/>
      <c r="AZ297" s="68"/>
      <c r="BA297" s="68"/>
      <c r="BB297" s="68"/>
      <c r="BC297" s="68"/>
      <c r="BD297" s="68"/>
      <c r="BE297" s="68" t="s">
        <v>376</v>
      </c>
      <c r="BF297" s="68"/>
      <c r="BG297" s="68"/>
      <c r="BH297" s="68" t="s">
        <v>376</v>
      </c>
      <c r="BI297" s="68"/>
      <c r="BJ297" s="68"/>
      <c r="BK297" s="68" t="s">
        <v>376</v>
      </c>
      <c r="BL297" s="68"/>
      <c r="BM297" s="68"/>
      <c r="BN297" s="68" t="s">
        <v>376</v>
      </c>
      <c r="BO297" s="68"/>
      <c r="BP297" s="68"/>
      <c r="BQ297" s="68"/>
      <c r="BR297" s="68"/>
      <c r="BS297" s="68"/>
      <c r="BT297" s="68"/>
      <c r="BU297" s="68"/>
      <c r="BV297" s="68"/>
      <c r="BW297" s="68"/>
      <c r="BX297" s="68"/>
      <c r="BY297" s="68"/>
      <c r="BZ297" s="68"/>
      <c r="CA297" s="68"/>
      <c r="CB297" s="68"/>
      <c r="CC297" s="68"/>
      <c r="CD297" s="68"/>
      <c r="CE297" s="68"/>
      <c r="CF297" s="68"/>
      <c r="CG297" s="68"/>
      <c r="CH297" s="68"/>
      <c r="CI297" s="68"/>
      <c r="CJ297" s="68"/>
      <c r="CK297" s="68"/>
      <c r="CL297" s="68"/>
      <c r="CM297" s="68"/>
      <c r="CN297" s="68"/>
      <c r="CO297" s="68"/>
      <c r="CP297" s="68"/>
      <c r="CQ297" s="68"/>
      <c r="CR297" s="68"/>
      <c r="CS297" s="68"/>
      <c r="CT297" s="68"/>
      <c r="CU297" s="68"/>
      <c r="CV297" s="68"/>
      <c r="CW297" s="68"/>
      <c r="CX297" s="68"/>
      <c r="CY297" s="68"/>
      <c r="CZ297" s="68"/>
      <c r="DA297" s="68"/>
      <c r="DB297" s="68"/>
      <c r="DC297" s="68"/>
      <c r="DD297" s="68"/>
      <c r="DE297" s="68"/>
      <c r="DF297" s="68"/>
      <c r="DG297" s="68"/>
      <c r="DH297" s="68"/>
      <c r="DI297" s="68"/>
      <c r="DJ297" s="68"/>
      <c r="DK297" s="68"/>
      <c r="DL297" s="68"/>
      <c r="DM297" s="68"/>
      <c r="DN297" s="68"/>
      <c r="DO297" s="68"/>
      <c r="DP297" s="68"/>
      <c r="DQ297" s="68"/>
      <c r="DR297" s="68"/>
      <c r="DS297" s="68"/>
      <c r="DT297" s="68"/>
    </row>
    <row r="298" spans="1:124" ht="21.75" customHeight="1">
      <c r="A298" s="311"/>
      <c r="B298" s="232"/>
      <c r="C298" s="233"/>
      <c r="D298" s="234"/>
      <c r="E298" s="70"/>
      <c r="F298" s="65"/>
      <c r="G298" s="65"/>
      <c r="H298" s="65"/>
      <c r="I298" s="65"/>
      <c r="J298" s="65"/>
      <c r="K298" s="65"/>
      <c r="L298" s="65"/>
      <c r="M298" s="65"/>
      <c r="N298" s="65"/>
      <c r="O298" s="65"/>
      <c r="P298" s="65"/>
      <c r="Q298" s="65"/>
      <c r="R298" s="65"/>
      <c r="S298" s="65"/>
      <c r="T298" s="65"/>
      <c r="U298" s="65"/>
      <c r="V298" s="65"/>
      <c r="W298" s="65"/>
      <c r="X298" s="70"/>
      <c r="Y298" s="70"/>
      <c r="Z298" s="70"/>
      <c r="AA298" s="70"/>
      <c r="AB298" s="70"/>
      <c r="AC298" s="70"/>
      <c r="AD298" s="70"/>
      <c r="AE298" s="70"/>
      <c r="AF298" s="70"/>
      <c r="AG298" s="70"/>
      <c r="AH298" s="70"/>
      <c r="AI298" s="70"/>
      <c r="AJ298" s="70"/>
      <c r="AK298" s="70"/>
      <c r="AL298" s="70"/>
      <c r="AM298" s="70"/>
      <c r="AN298" s="70"/>
      <c r="AO298" s="70"/>
      <c r="AP298" s="65"/>
      <c r="AQ298" s="65"/>
      <c r="AR298" s="65"/>
      <c r="AS298" s="70"/>
      <c r="AT298" s="70"/>
      <c r="AU298" s="70"/>
      <c r="AV298" s="70"/>
      <c r="AW298" s="70"/>
      <c r="AX298" s="65"/>
      <c r="AY298" s="65"/>
      <c r="AZ298" s="65"/>
      <c r="BA298" s="65"/>
      <c r="BB298" s="65"/>
      <c r="BC298" s="65"/>
      <c r="BD298" s="65"/>
      <c r="BE298" s="65">
        <f>160/0.91</f>
        <v>175.82417582417582</v>
      </c>
      <c r="BF298" s="65"/>
      <c r="BG298" s="65"/>
      <c r="BH298" s="65">
        <f>160/0.91</f>
        <v>175.82417582417582</v>
      </c>
      <c r="BI298" s="65"/>
      <c r="BJ298" s="65"/>
      <c r="BK298" s="65">
        <f>160/0.91</f>
        <v>175.82417582417582</v>
      </c>
      <c r="BL298" s="65"/>
      <c r="BM298" s="65"/>
      <c r="BN298" s="65">
        <f>160/0.91</f>
        <v>175.82417582417582</v>
      </c>
      <c r="BO298" s="65"/>
      <c r="BP298" s="65"/>
      <c r="BQ298" s="65"/>
      <c r="BR298" s="65"/>
      <c r="BS298" s="65"/>
      <c r="BT298" s="65"/>
      <c r="BU298" s="65"/>
      <c r="BV298" s="65"/>
      <c r="BW298" s="65"/>
      <c r="BX298" s="65"/>
      <c r="BY298" s="65"/>
      <c r="BZ298" s="65"/>
      <c r="CA298" s="65"/>
      <c r="CB298" s="65"/>
      <c r="CC298" s="65"/>
      <c r="CD298" s="65"/>
      <c r="CE298" s="65"/>
      <c r="CF298" s="65"/>
      <c r="CG298" s="65"/>
      <c r="CH298" s="65"/>
      <c r="CI298" s="65"/>
      <c r="CJ298" s="65"/>
      <c r="CK298" s="65"/>
      <c r="CL298" s="65"/>
      <c r="CM298" s="65"/>
      <c r="CN298" s="65"/>
      <c r="CO298" s="65"/>
      <c r="CP298" s="65"/>
      <c r="CQ298" s="65"/>
      <c r="CR298" s="65"/>
      <c r="CS298" s="65"/>
      <c r="CT298" s="65"/>
      <c r="CU298" s="65"/>
      <c r="CV298" s="65"/>
      <c r="CW298" s="65"/>
      <c r="CX298" s="65"/>
      <c r="CY298" s="65"/>
      <c r="CZ298" s="65"/>
      <c r="DA298" s="65"/>
      <c r="DB298" s="65"/>
      <c r="DC298" s="65"/>
      <c r="DD298" s="65"/>
      <c r="DE298" s="65"/>
      <c r="DF298" s="65"/>
      <c r="DG298" s="65"/>
      <c r="DH298" s="65"/>
      <c r="DI298" s="65"/>
      <c r="DJ298" s="65"/>
      <c r="DK298" s="65"/>
      <c r="DL298" s="65"/>
      <c r="DM298" s="65"/>
      <c r="DN298" s="65"/>
      <c r="DO298" s="65"/>
      <c r="DP298" s="65"/>
      <c r="DQ298" s="65"/>
      <c r="DR298" s="65"/>
      <c r="DS298" s="65"/>
      <c r="DT298" s="65"/>
    </row>
    <row r="299" spans="1:124" ht="21.75" customHeight="1">
      <c r="A299" s="311"/>
      <c r="B299" s="229" t="s">
        <v>506</v>
      </c>
      <c r="C299" s="230"/>
      <c r="D299" s="231"/>
      <c r="E299" s="60"/>
      <c r="F299" s="60"/>
      <c r="G299" s="60"/>
      <c r="H299" s="60"/>
      <c r="I299" s="60"/>
      <c r="J299" s="60"/>
      <c r="K299" s="60"/>
      <c r="L299" s="60"/>
      <c r="M299" s="60"/>
      <c r="N299" s="60"/>
      <c r="O299" s="60"/>
      <c r="P299" s="60"/>
      <c r="Q299" s="60"/>
      <c r="R299" s="60"/>
      <c r="S299" s="60"/>
      <c r="T299" s="60"/>
      <c r="U299" s="60"/>
      <c r="V299" s="69"/>
      <c r="W299" s="69"/>
      <c r="X299" s="69"/>
      <c r="Y299" s="69"/>
      <c r="Z299" s="69"/>
      <c r="AA299" s="69"/>
      <c r="AB299" s="69"/>
      <c r="AC299" s="69" t="s">
        <v>380</v>
      </c>
      <c r="AD299" s="69"/>
      <c r="AE299" s="69"/>
      <c r="AF299" s="69"/>
      <c r="AG299" s="69"/>
      <c r="AH299" s="89"/>
      <c r="AI299" s="60" t="s">
        <v>507</v>
      </c>
      <c r="AJ299" s="69"/>
      <c r="AK299" s="69"/>
      <c r="AL299" s="69"/>
      <c r="AM299" s="69"/>
      <c r="AN299" s="69"/>
      <c r="AO299" s="69"/>
      <c r="AP299" s="60"/>
      <c r="AQ299" s="60"/>
      <c r="AR299" s="60"/>
      <c r="AS299" s="60"/>
      <c r="AT299" s="60"/>
      <c r="AU299" s="60"/>
      <c r="AV299" s="60"/>
      <c r="AW299" s="60"/>
      <c r="AX299" s="60"/>
      <c r="AY299" s="60"/>
      <c r="AZ299" s="60"/>
      <c r="BA299" s="60"/>
      <c r="BB299" s="60"/>
      <c r="BC299" s="60"/>
      <c r="BD299" s="60"/>
      <c r="BE299" s="60"/>
      <c r="BF299" s="60"/>
      <c r="BG299" s="60"/>
      <c r="BH299" s="60"/>
      <c r="BI299" s="60"/>
      <c r="BJ299" s="60"/>
      <c r="BK299" s="60"/>
      <c r="BL299" s="60"/>
      <c r="BM299" s="60"/>
      <c r="BN299" s="60"/>
      <c r="BO299" s="60"/>
      <c r="BP299" s="60"/>
      <c r="BQ299" s="60"/>
      <c r="BR299" s="60"/>
      <c r="BS299" s="60"/>
      <c r="BT299" s="60"/>
      <c r="BU299" s="60"/>
      <c r="BV299" s="60"/>
      <c r="BW299" s="60"/>
      <c r="BX299" s="60"/>
      <c r="BY299" s="60"/>
      <c r="BZ299" s="60"/>
      <c r="CA299" s="60"/>
      <c r="CB299" s="60"/>
      <c r="CC299" s="60"/>
      <c r="CD299" s="60"/>
      <c r="CE299" s="60"/>
      <c r="CF299" s="60"/>
      <c r="CG299" s="60"/>
      <c r="CH299" s="60"/>
      <c r="CI299" s="60"/>
      <c r="CJ299" s="60"/>
      <c r="CK299" s="60"/>
      <c r="CL299" s="60"/>
      <c r="CM299" s="60"/>
      <c r="CN299" s="60"/>
      <c r="CO299" s="60"/>
      <c r="CP299" s="60"/>
      <c r="CQ299" s="60"/>
      <c r="CR299" s="60"/>
      <c r="CS299" s="60"/>
      <c r="CT299" s="60"/>
      <c r="CU299" s="60"/>
      <c r="CV299" s="60"/>
      <c r="CW299" s="60"/>
      <c r="CX299" s="60"/>
      <c r="CY299" s="60"/>
      <c r="CZ299" s="60"/>
      <c r="DA299" s="60"/>
      <c r="DB299" s="60"/>
      <c r="DC299" s="60"/>
      <c r="DD299" s="60"/>
      <c r="DE299" s="60"/>
      <c r="DF299" s="60"/>
      <c r="DG299" s="60"/>
      <c r="DH299" s="60"/>
      <c r="DI299" s="60"/>
      <c r="DJ299" s="60"/>
      <c r="DK299" s="60"/>
      <c r="DL299" s="60"/>
      <c r="DM299" s="60"/>
      <c r="DN299" s="60"/>
      <c r="DO299" s="60"/>
      <c r="DP299" s="60"/>
      <c r="DQ299" s="60"/>
      <c r="DR299" s="60"/>
      <c r="DS299" s="60"/>
      <c r="DT299" s="60"/>
    </row>
    <row r="300" spans="1:124" ht="21.75" customHeight="1">
      <c r="A300" s="311"/>
      <c r="B300" s="232"/>
      <c r="C300" s="233"/>
      <c r="D300" s="234"/>
      <c r="E300" s="65"/>
      <c r="F300" s="65"/>
      <c r="G300" s="65"/>
      <c r="H300" s="65"/>
      <c r="I300" s="65"/>
      <c r="J300" s="65"/>
      <c r="K300" s="65"/>
      <c r="L300" s="65"/>
      <c r="M300" s="65"/>
      <c r="N300" s="65"/>
      <c r="O300" s="65"/>
      <c r="P300" s="65"/>
      <c r="Q300" s="65"/>
      <c r="R300" s="65"/>
      <c r="S300" s="65"/>
      <c r="T300" s="65"/>
      <c r="U300" s="65"/>
      <c r="V300" s="70"/>
      <c r="W300" s="70"/>
      <c r="X300" s="70"/>
      <c r="Y300" s="70"/>
      <c r="Z300" s="70"/>
      <c r="AA300" s="70"/>
      <c r="AB300" s="70"/>
      <c r="AC300" s="70">
        <f>220/0.86</f>
        <v>255.81395348837211</v>
      </c>
      <c r="AD300" s="70"/>
      <c r="AE300" s="70"/>
      <c r="AF300" s="70"/>
      <c r="AG300" s="70"/>
      <c r="AH300" s="90"/>
      <c r="AI300" s="65">
        <f>250/0.86</f>
        <v>290.69767441860466</v>
      </c>
      <c r="AJ300" s="70"/>
      <c r="AK300" s="70"/>
      <c r="AL300" s="70"/>
      <c r="AM300" s="70"/>
      <c r="AN300" s="70"/>
      <c r="AO300" s="70"/>
      <c r="AP300" s="65"/>
      <c r="AQ300" s="65"/>
      <c r="AR300" s="65"/>
      <c r="AS300" s="65"/>
      <c r="AT300" s="65"/>
      <c r="AU300" s="65"/>
      <c r="AV300" s="65"/>
      <c r="AW300" s="65"/>
      <c r="AX300" s="65"/>
      <c r="AY300" s="65"/>
      <c r="AZ300" s="65"/>
      <c r="BA300" s="65"/>
      <c r="BB300" s="65"/>
      <c r="BC300" s="65"/>
      <c r="BD300" s="65"/>
      <c r="BE300" s="65"/>
      <c r="BF300" s="65"/>
      <c r="BG300" s="65"/>
      <c r="BH300" s="65"/>
      <c r="BI300" s="65"/>
      <c r="BJ300" s="65"/>
      <c r="BK300" s="65"/>
      <c r="BL300" s="65"/>
      <c r="BM300" s="65"/>
      <c r="BN300" s="65"/>
      <c r="BO300" s="65"/>
      <c r="BP300" s="65"/>
      <c r="BQ300" s="65"/>
      <c r="BR300" s="65"/>
      <c r="BS300" s="65"/>
      <c r="BT300" s="65"/>
      <c r="BU300" s="65"/>
      <c r="BV300" s="65"/>
      <c r="BW300" s="65"/>
      <c r="BX300" s="65"/>
      <c r="BY300" s="65"/>
      <c r="BZ300" s="65"/>
      <c r="CA300" s="65"/>
      <c r="CB300" s="65"/>
      <c r="CC300" s="65"/>
      <c r="CD300" s="65"/>
      <c r="CE300" s="65"/>
      <c r="CF300" s="65"/>
      <c r="CG300" s="65"/>
      <c r="CH300" s="65"/>
      <c r="CI300" s="65"/>
      <c r="CJ300" s="65"/>
      <c r="CK300" s="65"/>
      <c r="CL300" s="65"/>
      <c r="CM300" s="65"/>
      <c r="CN300" s="65"/>
      <c r="CO300" s="65"/>
      <c r="CP300" s="65"/>
      <c r="CQ300" s="65"/>
      <c r="CR300" s="65"/>
      <c r="CS300" s="65"/>
      <c r="CT300" s="65"/>
      <c r="CU300" s="65"/>
      <c r="CV300" s="65"/>
      <c r="CW300" s="65"/>
      <c r="CX300" s="65"/>
      <c r="CY300" s="65"/>
      <c r="CZ300" s="65"/>
      <c r="DA300" s="65"/>
      <c r="DB300" s="65"/>
      <c r="DC300" s="65"/>
      <c r="DD300" s="65"/>
      <c r="DE300" s="65"/>
      <c r="DF300" s="65"/>
      <c r="DG300" s="65"/>
      <c r="DH300" s="65"/>
      <c r="DI300" s="65"/>
      <c r="DJ300" s="65"/>
      <c r="DK300" s="65"/>
      <c r="DL300" s="65"/>
      <c r="DM300" s="65"/>
      <c r="DN300" s="65"/>
      <c r="DO300" s="65"/>
      <c r="DP300" s="65"/>
      <c r="DQ300" s="65"/>
      <c r="DR300" s="65"/>
      <c r="DS300" s="65"/>
      <c r="DT300" s="65"/>
    </row>
    <row r="301" spans="1:124" ht="21.75" customHeight="1">
      <c r="A301" s="311"/>
      <c r="B301" s="229" t="s">
        <v>167</v>
      </c>
      <c r="C301" s="230"/>
      <c r="D301" s="231"/>
      <c r="E301" s="69"/>
      <c r="F301" s="68"/>
      <c r="G301" s="68"/>
      <c r="H301" s="68"/>
      <c r="I301" s="68"/>
      <c r="J301" s="68"/>
      <c r="K301" s="68"/>
      <c r="L301" s="68"/>
      <c r="M301" s="68"/>
      <c r="N301" s="68"/>
      <c r="O301" s="68"/>
      <c r="P301" s="68"/>
      <c r="Q301" s="68"/>
      <c r="R301" s="68"/>
      <c r="S301" s="68"/>
      <c r="T301" s="68"/>
      <c r="U301" s="68"/>
      <c r="V301" s="68"/>
      <c r="W301" s="68"/>
      <c r="X301" s="69"/>
      <c r="Y301" s="69"/>
      <c r="Z301" s="69"/>
      <c r="AA301" s="69"/>
      <c r="AB301" s="69"/>
      <c r="AC301" s="69"/>
      <c r="AD301" s="69"/>
      <c r="AE301" s="69"/>
      <c r="AF301" s="69"/>
      <c r="AG301" s="69"/>
      <c r="AH301" s="69"/>
      <c r="AI301" s="69"/>
      <c r="AJ301" s="69"/>
      <c r="AK301" s="69"/>
      <c r="AL301" s="69"/>
      <c r="AM301" s="69"/>
      <c r="AN301" s="69"/>
      <c r="AO301" s="69"/>
      <c r="AP301" s="68"/>
      <c r="AQ301" s="68"/>
      <c r="AR301" s="68"/>
      <c r="AS301" s="69"/>
      <c r="AT301" s="69"/>
      <c r="AU301" s="69"/>
      <c r="AV301" s="69"/>
      <c r="AW301" s="69"/>
      <c r="AX301" s="68"/>
      <c r="AY301" s="68"/>
      <c r="AZ301" s="68"/>
      <c r="BA301" s="68"/>
      <c r="BB301" s="68"/>
      <c r="BC301" s="68"/>
      <c r="BD301" s="68"/>
      <c r="BE301" s="68"/>
      <c r="BF301" s="68"/>
      <c r="BG301" s="68"/>
      <c r="BH301" s="68"/>
      <c r="BI301" s="68"/>
      <c r="BJ301" s="68"/>
      <c r="BK301" s="68"/>
      <c r="BL301" s="68"/>
      <c r="BM301" s="68" t="s">
        <v>401</v>
      </c>
      <c r="BN301" s="68"/>
      <c r="BO301" s="68"/>
      <c r="BP301" s="68" t="s">
        <v>392</v>
      </c>
      <c r="BQ301" s="68"/>
      <c r="BR301" s="68"/>
      <c r="BS301" s="68" t="s">
        <v>392</v>
      </c>
      <c r="BT301" s="68"/>
      <c r="BU301" s="68"/>
      <c r="BV301" s="68"/>
      <c r="BW301" s="68"/>
      <c r="BX301" s="68"/>
      <c r="BY301" s="68"/>
      <c r="BZ301" s="68"/>
      <c r="CA301" s="68"/>
      <c r="CB301" s="68"/>
      <c r="CC301" s="68"/>
      <c r="CD301" s="68"/>
      <c r="CE301" s="68"/>
      <c r="CF301" s="68"/>
      <c r="CG301" s="68"/>
      <c r="CH301" s="68"/>
      <c r="CI301" s="68"/>
      <c r="CJ301" s="68"/>
      <c r="CK301" s="68"/>
      <c r="CL301" s="68"/>
      <c r="CM301" s="68"/>
      <c r="CN301" s="68"/>
      <c r="CO301" s="68"/>
      <c r="CP301" s="68"/>
      <c r="CQ301" s="68"/>
      <c r="CR301" s="68"/>
      <c r="CS301" s="68"/>
      <c r="CT301" s="68"/>
      <c r="CU301" s="68"/>
      <c r="CV301" s="68"/>
      <c r="CW301" s="68"/>
      <c r="CX301" s="68"/>
      <c r="CY301" s="68"/>
      <c r="CZ301" s="68"/>
      <c r="DA301" s="68"/>
      <c r="DB301" s="68"/>
      <c r="DC301" s="68"/>
      <c r="DD301" s="68"/>
      <c r="DE301" s="68"/>
      <c r="DF301" s="68"/>
      <c r="DG301" s="68"/>
      <c r="DH301" s="68"/>
      <c r="DI301" s="68"/>
      <c r="DJ301" s="68"/>
      <c r="DK301" s="68"/>
      <c r="DL301" s="68"/>
      <c r="DM301" s="68"/>
      <c r="DN301" s="68"/>
      <c r="DO301" s="68"/>
      <c r="DP301" s="68"/>
      <c r="DQ301" s="68"/>
      <c r="DR301" s="68"/>
      <c r="DS301" s="68"/>
      <c r="DT301" s="68"/>
    </row>
    <row r="302" spans="1:124" ht="21.75" customHeight="1">
      <c r="A302" s="311"/>
      <c r="B302" s="232"/>
      <c r="C302" s="233"/>
      <c r="D302" s="234"/>
      <c r="E302" s="70"/>
      <c r="F302" s="65"/>
      <c r="G302" s="65"/>
      <c r="H302" s="65"/>
      <c r="I302" s="65"/>
      <c r="J302" s="65"/>
      <c r="K302" s="65"/>
      <c r="L302" s="65"/>
      <c r="M302" s="65"/>
      <c r="N302" s="65"/>
      <c r="O302" s="65"/>
      <c r="P302" s="65"/>
      <c r="Q302" s="65"/>
      <c r="R302" s="65"/>
      <c r="S302" s="65"/>
      <c r="T302" s="65"/>
      <c r="U302" s="65"/>
      <c r="V302" s="65"/>
      <c r="W302" s="65"/>
      <c r="X302" s="70"/>
      <c r="Y302" s="70"/>
      <c r="Z302" s="70"/>
      <c r="AA302" s="70"/>
      <c r="AB302" s="70"/>
      <c r="AC302" s="70"/>
      <c r="AD302" s="70"/>
      <c r="AE302" s="70"/>
      <c r="AF302" s="70"/>
      <c r="AG302" s="70"/>
      <c r="AH302" s="70"/>
      <c r="AI302" s="70"/>
      <c r="AJ302" s="70"/>
      <c r="AK302" s="70"/>
      <c r="AL302" s="70"/>
      <c r="AM302" s="70"/>
      <c r="AN302" s="70"/>
      <c r="AO302" s="70"/>
      <c r="AP302" s="65"/>
      <c r="AQ302" s="65"/>
      <c r="AR302" s="65"/>
      <c r="AS302" s="70"/>
      <c r="AT302" s="70"/>
      <c r="AU302" s="70"/>
      <c r="AV302" s="70"/>
      <c r="AW302" s="70"/>
      <c r="AX302" s="65"/>
      <c r="AY302" s="65"/>
      <c r="AZ302" s="65"/>
      <c r="BA302" s="65"/>
      <c r="BB302" s="65"/>
      <c r="BC302" s="65"/>
      <c r="BD302" s="65"/>
      <c r="BE302" s="65"/>
      <c r="BF302" s="65"/>
      <c r="BG302" s="65"/>
      <c r="BH302" s="65"/>
      <c r="BI302" s="65"/>
      <c r="BJ302" s="65"/>
      <c r="BK302" s="65"/>
      <c r="BL302" s="65"/>
      <c r="BM302" s="65">
        <f>90/0.835</f>
        <v>107.78443113772455</v>
      </c>
      <c r="BN302" s="65"/>
      <c r="BO302" s="65"/>
      <c r="BP302" s="65">
        <f>60/0.835</f>
        <v>71.856287425149702</v>
      </c>
      <c r="BQ302" s="65"/>
      <c r="BR302" s="65"/>
      <c r="BS302" s="65">
        <f>100/0.835</f>
        <v>119.76047904191617</v>
      </c>
      <c r="BT302" s="65"/>
      <c r="BU302" s="65"/>
      <c r="BV302" s="65"/>
      <c r="BW302" s="65"/>
      <c r="BX302" s="65"/>
      <c r="BY302" s="65"/>
      <c r="BZ302" s="65"/>
      <c r="CA302" s="65"/>
      <c r="CB302" s="65"/>
      <c r="CC302" s="65"/>
      <c r="CD302" s="65"/>
      <c r="CE302" s="65"/>
      <c r="CF302" s="65"/>
      <c r="CG302" s="65"/>
      <c r="CH302" s="65"/>
      <c r="CI302" s="65"/>
      <c r="CJ302" s="65"/>
      <c r="CK302" s="65"/>
      <c r="CL302" s="65"/>
      <c r="CM302" s="65"/>
      <c r="CN302" s="65"/>
      <c r="CO302" s="65"/>
      <c r="CP302" s="65"/>
      <c r="CQ302" s="65"/>
      <c r="CR302" s="65"/>
      <c r="CS302" s="65"/>
      <c r="CT302" s="65"/>
      <c r="CU302" s="65"/>
      <c r="CV302" s="65"/>
      <c r="CW302" s="65"/>
      <c r="CX302" s="65"/>
      <c r="CY302" s="65"/>
      <c r="CZ302" s="65"/>
      <c r="DA302" s="65"/>
      <c r="DB302" s="65"/>
      <c r="DC302" s="65"/>
      <c r="DD302" s="65"/>
      <c r="DE302" s="65"/>
      <c r="DF302" s="65"/>
      <c r="DG302" s="65"/>
      <c r="DH302" s="65"/>
      <c r="DI302" s="65"/>
      <c r="DJ302" s="65"/>
      <c r="DK302" s="65"/>
      <c r="DL302" s="65"/>
      <c r="DM302" s="65"/>
      <c r="DN302" s="65"/>
      <c r="DO302" s="65"/>
      <c r="DP302" s="65"/>
      <c r="DQ302" s="65"/>
      <c r="DR302" s="65"/>
      <c r="DS302" s="65"/>
      <c r="DT302" s="65"/>
    </row>
    <row r="303" spans="1:124" ht="21.75" customHeight="1">
      <c r="A303" s="311"/>
      <c r="B303" s="229" t="s">
        <v>458</v>
      </c>
      <c r="C303" s="230"/>
      <c r="D303" s="231"/>
      <c r="E303" s="69"/>
      <c r="F303" s="69"/>
      <c r="G303" s="69"/>
      <c r="H303" s="69"/>
      <c r="I303" s="69"/>
      <c r="J303" s="60"/>
      <c r="K303" s="60"/>
      <c r="L303" s="60"/>
      <c r="M303" s="60"/>
      <c r="N303" s="60" t="s">
        <v>396</v>
      </c>
      <c r="O303" s="60" t="s">
        <v>396</v>
      </c>
      <c r="P303" s="60"/>
      <c r="Q303" s="60"/>
      <c r="R303" s="60"/>
      <c r="S303" s="60"/>
      <c r="T303" s="60"/>
      <c r="U303" s="69"/>
      <c r="V303" s="69"/>
      <c r="W303" s="69"/>
      <c r="X303" s="69"/>
      <c r="Y303" s="69"/>
      <c r="Z303" s="69"/>
      <c r="AA303" s="69"/>
      <c r="AB303" s="69"/>
      <c r="AC303" s="69"/>
      <c r="AD303" s="69"/>
      <c r="AE303" s="69"/>
      <c r="AF303" s="69"/>
      <c r="AG303" s="69"/>
      <c r="AH303" s="69"/>
      <c r="AI303" s="69"/>
      <c r="AJ303" s="69"/>
      <c r="AK303" s="69"/>
      <c r="AL303" s="69"/>
      <c r="AM303" s="69"/>
      <c r="AN303" s="68"/>
      <c r="AO303" s="68"/>
      <c r="AP303" s="68"/>
      <c r="AQ303" s="68"/>
      <c r="AR303" s="68"/>
      <c r="AS303" s="68"/>
      <c r="AT303" s="68"/>
      <c r="AU303" s="68"/>
      <c r="AV303" s="68"/>
      <c r="AW303" s="68"/>
      <c r="AX303" s="68"/>
      <c r="AY303" s="68"/>
      <c r="AZ303" s="68"/>
      <c r="BA303" s="68"/>
      <c r="BB303" s="68"/>
      <c r="BC303" s="68"/>
      <c r="BD303" s="68"/>
      <c r="BE303" s="68"/>
      <c r="BF303" s="68"/>
      <c r="BG303" s="68"/>
      <c r="BH303" s="68"/>
      <c r="BI303" s="68"/>
      <c r="BJ303" s="68"/>
      <c r="BK303" s="68"/>
      <c r="BL303" s="68"/>
      <c r="BM303" s="68"/>
      <c r="BN303" s="68"/>
      <c r="BO303" s="68"/>
      <c r="BP303" s="68"/>
      <c r="BQ303" s="68"/>
      <c r="BR303" s="68"/>
      <c r="BS303" s="68"/>
      <c r="BT303" s="68"/>
      <c r="BU303" s="68"/>
      <c r="BV303" s="68"/>
      <c r="BW303" s="68"/>
      <c r="BX303" s="68"/>
      <c r="BY303" s="68"/>
      <c r="BZ303" s="68"/>
      <c r="CA303" s="68"/>
      <c r="CB303" s="68"/>
      <c r="CC303" s="68"/>
      <c r="CD303" s="68"/>
      <c r="CE303" s="68"/>
      <c r="CF303" s="68"/>
      <c r="CG303" s="68"/>
      <c r="CH303" s="68"/>
      <c r="CI303" s="68"/>
      <c r="CJ303" s="68"/>
      <c r="CK303" s="68"/>
      <c r="CL303" s="68"/>
      <c r="CM303" s="68"/>
      <c r="CN303" s="68"/>
      <c r="CO303" s="68"/>
      <c r="CP303" s="68"/>
      <c r="CQ303" s="68"/>
      <c r="CR303" s="68"/>
      <c r="CS303" s="68"/>
      <c r="CT303" s="68"/>
      <c r="CU303" s="68"/>
      <c r="CV303" s="68"/>
      <c r="CW303" s="68"/>
      <c r="CX303" s="68"/>
      <c r="CY303" s="68"/>
      <c r="CZ303" s="68"/>
      <c r="DA303" s="68"/>
      <c r="DB303" s="68"/>
      <c r="DC303" s="68"/>
      <c r="DD303" s="68"/>
      <c r="DE303" s="68"/>
      <c r="DF303" s="68"/>
      <c r="DG303" s="68"/>
      <c r="DH303" s="68"/>
      <c r="DI303" s="68"/>
      <c r="DJ303" s="68"/>
      <c r="DK303" s="68"/>
      <c r="DL303" s="68"/>
      <c r="DM303" s="68"/>
      <c r="DN303" s="68"/>
      <c r="DO303" s="68"/>
      <c r="DP303" s="68"/>
      <c r="DQ303" s="68"/>
      <c r="DR303" s="68"/>
      <c r="DS303" s="68"/>
      <c r="DT303" s="68"/>
    </row>
    <row r="304" spans="1:124" ht="21.75" customHeight="1">
      <c r="A304" s="311"/>
      <c r="B304" s="232"/>
      <c r="C304" s="233"/>
      <c r="D304" s="234"/>
      <c r="E304" s="70"/>
      <c r="F304" s="70"/>
      <c r="G304" s="70"/>
      <c r="H304" s="70"/>
      <c r="I304" s="70"/>
      <c r="J304" s="65"/>
      <c r="K304" s="65"/>
      <c r="L304" s="65"/>
      <c r="M304" s="65"/>
      <c r="N304" s="65">
        <f>130/0.86</f>
        <v>151.16279069767441</v>
      </c>
      <c r="O304" s="65">
        <f>130/0.86</f>
        <v>151.16279069767441</v>
      </c>
      <c r="P304" s="65"/>
      <c r="Q304" s="65"/>
      <c r="R304" s="65"/>
      <c r="S304" s="65"/>
      <c r="T304" s="65"/>
      <c r="U304" s="70"/>
      <c r="V304" s="70"/>
      <c r="W304" s="70"/>
      <c r="X304" s="70"/>
      <c r="Y304" s="70"/>
      <c r="Z304" s="70"/>
      <c r="AA304" s="70"/>
      <c r="AB304" s="70"/>
      <c r="AC304" s="70"/>
      <c r="AD304" s="70"/>
      <c r="AE304" s="70"/>
      <c r="AF304" s="70"/>
      <c r="AG304" s="70"/>
      <c r="AH304" s="70"/>
      <c r="AI304" s="70"/>
      <c r="AJ304" s="70"/>
      <c r="AK304" s="70"/>
      <c r="AL304" s="70"/>
      <c r="AM304" s="70"/>
      <c r="AN304" s="65"/>
      <c r="AO304" s="65"/>
      <c r="AP304" s="65"/>
      <c r="AQ304" s="65"/>
      <c r="AR304" s="65"/>
      <c r="AS304" s="65"/>
      <c r="AT304" s="65"/>
      <c r="AU304" s="65"/>
      <c r="AV304" s="65"/>
      <c r="AW304" s="65"/>
      <c r="AX304" s="65"/>
      <c r="AY304" s="65"/>
      <c r="AZ304" s="65"/>
      <c r="BA304" s="65"/>
      <c r="BB304" s="65"/>
      <c r="BC304" s="65"/>
      <c r="BD304" s="65"/>
      <c r="BE304" s="65"/>
      <c r="BF304" s="65"/>
      <c r="BG304" s="65"/>
      <c r="BH304" s="65"/>
      <c r="BI304" s="65"/>
      <c r="BJ304" s="65"/>
      <c r="BK304" s="65"/>
      <c r="BL304" s="65"/>
      <c r="BM304" s="65"/>
      <c r="BN304" s="65"/>
      <c r="BO304" s="65"/>
      <c r="BP304" s="65"/>
      <c r="BQ304" s="65"/>
      <c r="BR304" s="65"/>
      <c r="BS304" s="65"/>
      <c r="BT304" s="65"/>
      <c r="BU304" s="65"/>
      <c r="BV304" s="65"/>
      <c r="BW304" s="65"/>
      <c r="BX304" s="65"/>
      <c r="BY304" s="65"/>
      <c r="BZ304" s="65"/>
      <c r="CA304" s="65"/>
      <c r="CB304" s="65"/>
      <c r="CC304" s="65"/>
      <c r="CD304" s="65"/>
      <c r="CE304" s="65"/>
      <c r="CF304" s="65"/>
      <c r="CG304" s="65"/>
      <c r="CH304" s="65"/>
      <c r="CI304" s="65"/>
      <c r="CJ304" s="65"/>
      <c r="CK304" s="65"/>
      <c r="CL304" s="65"/>
      <c r="CM304" s="65"/>
      <c r="CN304" s="65"/>
      <c r="CO304" s="65"/>
      <c r="CP304" s="65"/>
      <c r="CQ304" s="65"/>
      <c r="CR304" s="65"/>
      <c r="CS304" s="65"/>
      <c r="CT304" s="65"/>
      <c r="CU304" s="65"/>
      <c r="CV304" s="65"/>
      <c r="CW304" s="65"/>
      <c r="CX304" s="65"/>
      <c r="CY304" s="65"/>
      <c r="CZ304" s="65"/>
      <c r="DA304" s="65"/>
      <c r="DB304" s="65"/>
      <c r="DC304" s="65"/>
      <c r="DD304" s="65"/>
      <c r="DE304" s="65"/>
      <c r="DF304" s="65"/>
      <c r="DG304" s="65"/>
      <c r="DH304" s="65"/>
      <c r="DI304" s="65"/>
      <c r="DJ304" s="65"/>
      <c r="DK304" s="65"/>
      <c r="DL304" s="65"/>
      <c r="DM304" s="65"/>
      <c r="DN304" s="65"/>
      <c r="DO304" s="65"/>
      <c r="DP304" s="65"/>
      <c r="DQ304" s="65"/>
      <c r="DR304" s="65"/>
      <c r="DS304" s="65"/>
      <c r="DT304" s="65"/>
    </row>
    <row r="305" spans="1:124" ht="21.75" customHeight="1">
      <c r="A305" s="311"/>
      <c r="B305" s="229" t="s">
        <v>440</v>
      </c>
      <c r="C305" s="230"/>
      <c r="D305" s="231"/>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73"/>
      <c r="AI305" s="60"/>
      <c r="AJ305" s="60"/>
      <c r="AK305" s="60"/>
      <c r="AL305" s="60"/>
      <c r="AM305" s="60"/>
      <c r="AN305" s="60"/>
      <c r="AO305" s="60"/>
      <c r="AP305" s="60"/>
      <c r="AQ305" s="60"/>
      <c r="AR305" s="60"/>
      <c r="AS305" s="60"/>
      <c r="AT305" s="60"/>
      <c r="AU305" s="60"/>
      <c r="AV305" s="60"/>
      <c r="AW305" s="60"/>
      <c r="AX305" s="60"/>
      <c r="AY305" s="60"/>
      <c r="AZ305" s="60"/>
      <c r="BA305" s="60"/>
      <c r="BB305" s="60"/>
      <c r="BC305" s="60"/>
      <c r="BD305" s="60"/>
      <c r="BE305" s="60"/>
      <c r="BF305" s="60"/>
      <c r="BG305" s="60"/>
      <c r="BH305" s="60"/>
      <c r="BI305" s="60"/>
      <c r="BJ305" s="60"/>
      <c r="BK305" s="60"/>
      <c r="BL305" s="60"/>
      <c r="BM305" s="60"/>
      <c r="BN305" s="60"/>
      <c r="BO305" s="60"/>
      <c r="BP305" s="60"/>
      <c r="BQ305" s="60"/>
      <c r="BR305" s="60"/>
      <c r="BS305" s="60"/>
      <c r="BT305" s="60"/>
      <c r="BU305" s="60"/>
      <c r="BV305" s="60"/>
      <c r="BW305" s="60"/>
      <c r="BX305" s="60"/>
      <c r="BY305" s="60"/>
      <c r="BZ305" s="60"/>
      <c r="CA305" s="60"/>
      <c r="CB305" s="60"/>
      <c r="CC305" s="60"/>
      <c r="CD305" s="60"/>
      <c r="CE305" s="60"/>
      <c r="CF305" s="60"/>
      <c r="CG305" s="60"/>
      <c r="CH305" s="60"/>
      <c r="CI305" s="60"/>
      <c r="CJ305" s="60"/>
      <c r="CK305" s="60"/>
      <c r="CL305" s="60"/>
      <c r="CM305" s="60"/>
      <c r="CN305" s="60"/>
      <c r="CO305" s="60"/>
      <c r="CP305" s="60"/>
      <c r="CQ305" s="60"/>
      <c r="CR305" s="60"/>
      <c r="CS305" s="60"/>
      <c r="CT305" s="60"/>
      <c r="CU305" s="60"/>
      <c r="CV305" s="60"/>
      <c r="CW305" s="60"/>
      <c r="CX305" s="60"/>
      <c r="CY305" s="60"/>
      <c r="CZ305" s="60"/>
      <c r="DA305" s="60"/>
      <c r="DB305" s="60"/>
      <c r="DC305" s="60"/>
      <c r="DD305" s="60"/>
      <c r="DE305" s="60"/>
      <c r="DF305" s="60"/>
      <c r="DG305" s="60"/>
      <c r="DH305" s="60"/>
      <c r="DI305" s="60"/>
      <c r="DJ305" s="60"/>
      <c r="DK305" s="60"/>
      <c r="DL305" s="60"/>
      <c r="DM305" s="60"/>
      <c r="DN305" s="60"/>
      <c r="DO305" s="60"/>
      <c r="DP305" s="60"/>
      <c r="DQ305" s="60"/>
      <c r="DR305" s="60"/>
      <c r="DS305" s="60"/>
      <c r="DT305" s="60"/>
    </row>
    <row r="306" spans="1:124" ht="21.75" customHeight="1">
      <c r="A306" s="311"/>
      <c r="B306" s="232"/>
      <c r="C306" s="233"/>
      <c r="D306" s="234"/>
      <c r="E306" s="65"/>
      <c r="F306" s="65"/>
      <c r="G306" s="65"/>
      <c r="H306" s="65"/>
      <c r="I306" s="65"/>
      <c r="J306" s="65"/>
      <c r="K306" s="65"/>
      <c r="L306" s="65"/>
      <c r="M306" s="65"/>
      <c r="N306" s="65"/>
      <c r="O306" s="65"/>
      <c r="P306" s="65"/>
      <c r="Q306" s="65"/>
      <c r="R306" s="65"/>
      <c r="S306" s="65"/>
      <c r="T306" s="65"/>
      <c r="U306" s="65"/>
      <c r="V306" s="65"/>
      <c r="W306" s="65"/>
      <c r="X306" s="65"/>
      <c r="Y306" s="65"/>
      <c r="Z306" s="65"/>
      <c r="AA306" s="65"/>
      <c r="AB306" s="65"/>
      <c r="AC306" s="65"/>
      <c r="AD306" s="65"/>
      <c r="AE306" s="65"/>
      <c r="AF306" s="65"/>
      <c r="AG306" s="65"/>
      <c r="AH306" s="74"/>
      <c r="AI306" s="65"/>
      <c r="AJ306" s="65"/>
      <c r="AK306" s="65"/>
      <c r="AL306" s="65"/>
      <c r="AM306" s="65"/>
      <c r="AN306" s="65"/>
      <c r="AO306" s="65"/>
      <c r="AP306" s="65"/>
      <c r="AQ306" s="65"/>
      <c r="AR306" s="65"/>
      <c r="AS306" s="65"/>
      <c r="AT306" s="65"/>
      <c r="AU306" s="65"/>
      <c r="AV306" s="65"/>
      <c r="AW306" s="65"/>
      <c r="AX306" s="65"/>
      <c r="AY306" s="65"/>
      <c r="AZ306" s="65"/>
      <c r="BA306" s="65"/>
      <c r="BB306" s="65"/>
      <c r="BC306" s="65"/>
      <c r="BD306" s="65"/>
      <c r="BE306" s="65"/>
      <c r="BF306" s="65"/>
      <c r="BG306" s="65"/>
      <c r="BH306" s="65"/>
      <c r="BI306" s="65"/>
      <c r="BJ306" s="65"/>
      <c r="BK306" s="65"/>
      <c r="BL306" s="65"/>
      <c r="BM306" s="65"/>
      <c r="BN306" s="65"/>
      <c r="BO306" s="65"/>
      <c r="BP306" s="65"/>
      <c r="BQ306" s="65"/>
      <c r="BR306" s="65"/>
      <c r="BS306" s="65"/>
      <c r="BT306" s="65"/>
      <c r="BU306" s="65"/>
      <c r="BV306" s="65"/>
      <c r="BW306" s="65"/>
      <c r="BX306" s="65"/>
      <c r="BY306" s="65"/>
      <c r="BZ306" s="65"/>
      <c r="CA306" s="65"/>
      <c r="CB306" s="65"/>
      <c r="CC306" s="65"/>
      <c r="CD306" s="65"/>
      <c r="CE306" s="65"/>
      <c r="CF306" s="65"/>
      <c r="CG306" s="65"/>
      <c r="CH306" s="65"/>
      <c r="CI306" s="65"/>
      <c r="CJ306" s="65"/>
      <c r="CK306" s="65"/>
      <c r="CL306" s="65"/>
      <c r="CM306" s="65"/>
      <c r="CN306" s="65"/>
      <c r="CO306" s="65"/>
      <c r="CP306" s="65"/>
      <c r="CQ306" s="65"/>
      <c r="CR306" s="65"/>
      <c r="CS306" s="65"/>
      <c r="CT306" s="65"/>
      <c r="CU306" s="65"/>
      <c r="CV306" s="65"/>
      <c r="CW306" s="65"/>
      <c r="CX306" s="65"/>
      <c r="CY306" s="65"/>
      <c r="CZ306" s="65"/>
      <c r="DA306" s="65"/>
      <c r="DB306" s="65"/>
      <c r="DC306" s="65"/>
      <c r="DD306" s="65"/>
      <c r="DE306" s="65"/>
      <c r="DF306" s="65"/>
      <c r="DG306" s="65"/>
      <c r="DH306" s="65"/>
      <c r="DI306" s="65"/>
      <c r="DJ306" s="65"/>
      <c r="DK306" s="65"/>
      <c r="DL306" s="65"/>
      <c r="DM306" s="65"/>
      <c r="DN306" s="65"/>
      <c r="DO306" s="65"/>
      <c r="DP306" s="65"/>
      <c r="DQ306" s="65"/>
      <c r="DR306" s="65"/>
      <c r="DS306" s="65"/>
      <c r="DT306" s="65"/>
    </row>
    <row r="307" spans="1:124" ht="21.75" customHeight="1">
      <c r="A307" s="311"/>
      <c r="B307" s="229" t="s">
        <v>439</v>
      </c>
      <c r="C307" s="230"/>
      <c r="D307" s="231"/>
      <c r="E307" s="69"/>
      <c r="F307" s="69"/>
      <c r="G307" s="69"/>
      <c r="H307" s="69"/>
      <c r="I307" s="69"/>
      <c r="J307" s="69"/>
      <c r="K307" s="69"/>
      <c r="L307" s="69"/>
      <c r="M307" s="69"/>
      <c r="N307" s="69"/>
      <c r="O307" s="69"/>
      <c r="P307" s="69"/>
      <c r="Q307" s="69"/>
      <c r="R307" s="69"/>
      <c r="S307" s="69"/>
      <c r="T307" s="69"/>
      <c r="U307" s="69"/>
      <c r="V307" s="69"/>
      <c r="W307" s="69"/>
      <c r="X307" s="69"/>
      <c r="Y307" s="69"/>
      <c r="Z307" s="69"/>
      <c r="AA307" s="69"/>
      <c r="AB307" s="69"/>
      <c r="AC307" s="69"/>
      <c r="AD307" s="69"/>
      <c r="AE307" s="69"/>
      <c r="AF307" s="69"/>
      <c r="AG307" s="69"/>
      <c r="AH307" s="69"/>
      <c r="AI307" s="69"/>
      <c r="AJ307" s="69"/>
      <c r="AK307" s="69"/>
      <c r="AL307" s="69"/>
      <c r="AM307" s="68"/>
      <c r="AN307" s="68"/>
      <c r="AO307" s="68"/>
      <c r="AP307" s="68"/>
      <c r="AQ307" s="68"/>
      <c r="AR307" s="68"/>
      <c r="AS307" s="68"/>
      <c r="AT307" s="68"/>
      <c r="AU307" s="68"/>
      <c r="AV307" s="68"/>
      <c r="AW307" s="68"/>
      <c r="AX307" s="68"/>
      <c r="AY307" s="68"/>
      <c r="AZ307" s="68"/>
      <c r="BA307" s="68"/>
      <c r="BB307" s="68"/>
      <c r="BC307" s="68"/>
      <c r="BD307" s="68"/>
      <c r="BE307" s="68"/>
      <c r="BF307" s="68"/>
      <c r="BG307" s="68"/>
      <c r="BH307" s="68"/>
      <c r="BI307" s="68" t="s">
        <v>384</v>
      </c>
      <c r="BJ307" s="68"/>
      <c r="BK307" s="68" t="s">
        <v>384</v>
      </c>
      <c r="BL307" s="68"/>
      <c r="BM307" s="68"/>
      <c r="BN307" s="68"/>
      <c r="BO307" s="68" t="s">
        <v>384</v>
      </c>
      <c r="BP307" s="68"/>
      <c r="BQ307" s="68"/>
      <c r="BR307" s="68" t="s">
        <v>384</v>
      </c>
      <c r="BS307" s="68"/>
      <c r="BT307" s="68"/>
      <c r="BU307" s="68" t="s">
        <v>384</v>
      </c>
      <c r="BV307" s="68"/>
      <c r="BW307" s="68"/>
      <c r="BX307" s="68"/>
      <c r="BY307" s="68"/>
      <c r="BZ307" s="68"/>
      <c r="CA307" s="68"/>
      <c r="CB307" s="68"/>
      <c r="CC307" s="68"/>
      <c r="CD307" s="68"/>
      <c r="CE307" s="68"/>
      <c r="CF307" s="68"/>
      <c r="CG307" s="68"/>
      <c r="CH307" s="68"/>
      <c r="CI307" s="68"/>
      <c r="CJ307" s="68"/>
      <c r="CK307" s="68"/>
      <c r="CL307" s="68"/>
      <c r="CM307" s="68"/>
      <c r="CN307" s="68"/>
      <c r="CO307" s="68"/>
      <c r="CP307" s="68"/>
      <c r="CQ307" s="68"/>
      <c r="CR307" s="68"/>
      <c r="CS307" s="68"/>
      <c r="CT307" s="68"/>
      <c r="CU307" s="68"/>
      <c r="CV307" s="68"/>
      <c r="CW307" s="68"/>
      <c r="CX307" s="68"/>
      <c r="CY307" s="68"/>
      <c r="CZ307" s="68"/>
      <c r="DA307" s="68"/>
      <c r="DB307" s="68"/>
      <c r="DC307" s="68"/>
      <c r="DD307" s="68"/>
      <c r="DE307" s="68"/>
      <c r="DF307" s="68"/>
      <c r="DG307" s="68"/>
      <c r="DH307" s="68"/>
      <c r="DI307" s="68"/>
      <c r="DJ307" s="68"/>
      <c r="DK307" s="68"/>
      <c r="DL307" s="68"/>
      <c r="DM307" s="68"/>
      <c r="DN307" s="68"/>
      <c r="DO307" s="68"/>
      <c r="DP307" s="68"/>
      <c r="DQ307" s="68"/>
      <c r="DR307" s="68"/>
      <c r="DS307" s="68"/>
      <c r="DT307" s="68"/>
    </row>
    <row r="308" spans="1:124" ht="21.75" customHeight="1">
      <c r="A308" s="311"/>
      <c r="B308" s="232"/>
      <c r="C308" s="233"/>
      <c r="D308" s="234"/>
      <c r="E308" s="70"/>
      <c r="F308" s="70"/>
      <c r="G308" s="70"/>
      <c r="H308" s="70"/>
      <c r="I308" s="70"/>
      <c r="J308" s="70"/>
      <c r="K308" s="70"/>
      <c r="L308" s="70"/>
      <c r="M308" s="70"/>
      <c r="N308" s="70"/>
      <c r="O308" s="70"/>
      <c r="P308" s="70"/>
      <c r="Q308" s="70"/>
      <c r="R308" s="70"/>
      <c r="S308" s="70"/>
      <c r="T308" s="70"/>
      <c r="U308" s="70"/>
      <c r="V308" s="70"/>
      <c r="W308" s="70"/>
      <c r="X308" s="70"/>
      <c r="Y308" s="70"/>
      <c r="Z308" s="70"/>
      <c r="AA308" s="70"/>
      <c r="AB308" s="70"/>
      <c r="AC308" s="70"/>
      <c r="AD308" s="70"/>
      <c r="AE308" s="70"/>
      <c r="AF308" s="70"/>
      <c r="AG308" s="70"/>
      <c r="AH308" s="70"/>
      <c r="AI308" s="70"/>
      <c r="AJ308" s="70"/>
      <c r="AK308" s="70"/>
      <c r="AL308" s="70"/>
      <c r="AM308" s="65"/>
      <c r="AN308" s="65"/>
      <c r="AO308" s="65"/>
      <c r="AP308" s="65"/>
      <c r="AQ308" s="65"/>
      <c r="AR308" s="65"/>
      <c r="AS308" s="65"/>
      <c r="AT308" s="65"/>
      <c r="AU308" s="65"/>
      <c r="AV308" s="65"/>
      <c r="AW308" s="65"/>
      <c r="AX308" s="65"/>
      <c r="AY308" s="65"/>
      <c r="AZ308" s="65"/>
      <c r="BA308" s="65"/>
      <c r="BB308" s="65"/>
      <c r="BC308" s="65"/>
      <c r="BD308" s="65"/>
      <c r="BE308" s="65"/>
      <c r="BF308" s="65"/>
      <c r="BG308" s="65"/>
      <c r="BH308" s="65"/>
      <c r="BI308" s="65">
        <f>170/0.91</f>
        <v>186.8131868131868</v>
      </c>
      <c r="BJ308" s="65"/>
      <c r="BK308" s="65">
        <f>190/0.91</f>
        <v>208.79120879120879</v>
      </c>
      <c r="BL308" s="65"/>
      <c r="BM308" s="65"/>
      <c r="BN308" s="65"/>
      <c r="BO308" s="65">
        <f>220/0.91</f>
        <v>241.75824175824175</v>
      </c>
      <c r="BP308" s="65"/>
      <c r="BQ308" s="65"/>
      <c r="BR308" s="65">
        <f>210/0.91</f>
        <v>230.76923076923077</v>
      </c>
      <c r="BS308" s="65"/>
      <c r="BT308" s="65"/>
      <c r="BU308" s="65">
        <f>230/0.91</f>
        <v>252.74725274725273</v>
      </c>
      <c r="BV308" s="65"/>
      <c r="BW308" s="65"/>
      <c r="BX308" s="65"/>
      <c r="BY308" s="65"/>
      <c r="BZ308" s="65"/>
      <c r="CA308" s="65"/>
      <c r="CB308" s="65"/>
      <c r="CC308" s="65"/>
      <c r="CD308" s="65"/>
      <c r="CE308" s="65"/>
      <c r="CF308" s="65"/>
      <c r="CG308" s="65"/>
      <c r="CH308" s="65"/>
      <c r="CI308" s="65"/>
      <c r="CJ308" s="65"/>
      <c r="CK308" s="65"/>
      <c r="CL308" s="65"/>
      <c r="CM308" s="65"/>
      <c r="CN308" s="65"/>
      <c r="CO308" s="65"/>
      <c r="CP308" s="65"/>
      <c r="CQ308" s="65"/>
      <c r="CR308" s="65"/>
      <c r="CS308" s="65"/>
      <c r="CT308" s="65"/>
      <c r="CU308" s="65"/>
      <c r="CV308" s="65"/>
      <c r="CW308" s="65"/>
      <c r="CX308" s="65"/>
      <c r="CY308" s="65"/>
      <c r="CZ308" s="65"/>
      <c r="DA308" s="65"/>
      <c r="DB308" s="65"/>
      <c r="DC308" s="65"/>
      <c r="DD308" s="65"/>
      <c r="DE308" s="65"/>
      <c r="DF308" s="65"/>
      <c r="DG308" s="65"/>
      <c r="DH308" s="65"/>
      <c r="DI308" s="65"/>
      <c r="DJ308" s="65"/>
      <c r="DK308" s="65"/>
      <c r="DL308" s="65"/>
      <c r="DM308" s="65"/>
      <c r="DN308" s="65"/>
      <c r="DO308" s="65"/>
      <c r="DP308" s="65"/>
      <c r="DQ308" s="65"/>
      <c r="DR308" s="65"/>
      <c r="DS308" s="65"/>
      <c r="DT308" s="65"/>
    </row>
    <row r="309" spans="1:124" ht="21.75" customHeight="1">
      <c r="A309" s="311"/>
      <c r="B309" s="229" t="s">
        <v>508</v>
      </c>
      <c r="C309" s="230"/>
      <c r="D309" s="231"/>
      <c r="E309" s="80"/>
      <c r="F309" s="80"/>
      <c r="G309" s="80"/>
      <c r="H309" s="80"/>
      <c r="I309" s="80"/>
      <c r="J309" s="60"/>
      <c r="K309" s="60"/>
      <c r="L309" s="60"/>
      <c r="M309" s="60"/>
      <c r="N309" s="60"/>
      <c r="O309" s="60"/>
      <c r="P309" s="60"/>
      <c r="Q309" s="60"/>
      <c r="R309" s="60"/>
      <c r="S309" s="60"/>
      <c r="T309" s="60"/>
      <c r="U309" s="69" t="s">
        <v>396</v>
      </c>
      <c r="V309" s="69"/>
      <c r="W309" s="69"/>
      <c r="X309" s="69"/>
      <c r="Y309" s="69"/>
      <c r="Z309" s="69" t="s">
        <v>396</v>
      </c>
      <c r="AA309" s="69"/>
      <c r="AB309" s="69"/>
      <c r="AC309" s="69"/>
      <c r="AD309" s="69"/>
      <c r="AE309" s="69"/>
      <c r="AF309" s="69"/>
      <c r="AG309" s="69" t="s">
        <v>396</v>
      </c>
      <c r="AH309" s="89"/>
      <c r="AI309" s="60"/>
      <c r="AJ309" s="69"/>
      <c r="AK309" s="69"/>
      <c r="AL309" s="69"/>
      <c r="AM309" s="69" t="s">
        <v>396</v>
      </c>
      <c r="AN309" s="69"/>
      <c r="AO309" s="69"/>
      <c r="AP309" s="60"/>
      <c r="AQ309" s="60"/>
      <c r="AR309" s="60"/>
      <c r="AS309" s="60"/>
      <c r="AT309" s="60"/>
      <c r="AU309" s="60"/>
      <c r="AV309" s="60"/>
      <c r="AW309" s="60"/>
      <c r="AX309" s="60"/>
      <c r="AY309" s="60"/>
      <c r="AZ309" s="60"/>
      <c r="BA309" s="60"/>
      <c r="BB309" s="60"/>
      <c r="BC309" s="60"/>
      <c r="BD309" s="60"/>
      <c r="BE309" s="60"/>
      <c r="BF309" s="60"/>
      <c r="BG309" s="60"/>
      <c r="BH309" s="60"/>
      <c r="BI309" s="60"/>
      <c r="BJ309" s="60"/>
      <c r="BK309" s="60"/>
      <c r="BL309" s="60"/>
      <c r="BM309" s="60"/>
      <c r="BN309" s="60"/>
      <c r="BO309" s="60"/>
      <c r="BP309" s="60"/>
      <c r="BQ309" s="60"/>
      <c r="BR309" s="60"/>
      <c r="BS309" s="60"/>
      <c r="BT309" s="60"/>
      <c r="BU309" s="60"/>
      <c r="BV309" s="60"/>
      <c r="BW309" s="60"/>
      <c r="BX309" s="60"/>
      <c r="BY309" s="60"/>
      <c r="BZ309" s="60"/>
      <c r="CA309" s="60"/>
      <c r="CB309" s="60"/>
      <c r="CC309" s="60"/>
      <c r="CD309" s="60"/>
      <c r="CE309" s="60"/>
      <c r="CF309" s="60"/>
      <c r="CG309" s="60"/>
      <c r="CH309" s="60"/>
      <c r="CI309" s="60"/>
      <c r="CJ309" s="60"/>
      <c r="CK309" s="60"/>
      <c r="CL309" s="60"/>
      <c r="CM309" s="60"/>
      <c r="CN309" s="60"/>
      <c r="CO309" s="60"/>
      <c r="CP309" s="60"/>
      <c r="CQ309" s="60"/>
      <c r="CR309" s="60"/>
      <c r="CS309" s="60"/>
      <c r="CT309" s="60"/>
      <c r="CU309" s="60"/>
      <c r="CV309" s="60"/>
      <c r="CW309" s="60"/>
      <c r="CX309" s="60"/>
      <c r="CY309" s="60"/>
      <c r="CZ309" s="60"/>
      <c r="DA309" s="60"/>
      <c r="DB309" s="60"/>
      <c r="DC309" s="60"/>
      <c r="DD309" s="60"/>
      <c r="DE309" s="60"/>
      <c r="DF309" s="60"/>
      <c r="DG309" s="60"/>
      <c r="DH309" s="60"/>
      <c r="DI309" s="60"/>
      <c r="DJ309" s="60"/>
      <c r="DK309" s="60"/>
      <c r="DL309" s="60"/>
      <c r="DM309" s="60"/>
      <c r="DN309" s="60"/>
      <c r="DO309" s="60"/>
      <c r="DP309" s="60"/>
      <c r="DQ309" s="60"/>
      <c r="DR309" s="60"/>
      <c r="DS309" s="60"/>
      <c r="DT309" s="60"/>
    </row>
    <row r="310" spans="1:124" ht="21.75" customHeight="1">
      <c r="A310" s="311"/>
      <c r="B310" s="232"/>
      <c r="C310" s="233"/>
      <c r="D310" s="234"/>
      <c r="E310" s="70"/>
      <c r="F310" s="70"/>
      <c r="G310" s="70"/>
      <c r="H310" s="70"/>
      <c r="I310" s="70"/>
      <c r="J310" s="65"/>
      <c r="K310" s="65"/>
      <c r="L310" s="65"/>
      <c r="M310" s="65"/>
      <c r="N310" s="65"/>
      <c r="O310" s="65"/>
      <c r="P310" s="65"/>
      <c r="Q310" s="65"/>
      <c r="R310" s="65"/>
      <c r="S310" s="65"/>
      <c r="T310" s="65"/>
      <c r="U310" s="70">
        <f>80/0.86</f>
        <v>93.023255813953483</v>
      </c>
      <c r="V310" s="70"/>
      <c r="W310" s="70"/>
      <c r="X310" s="70"/>
      <c r="Y310" s="70"/>
      <c r="Z310" s="70">
        <f>110/0.86</f>
        <v>127.90697674418605</v>
      </c>
      <c r="AA310" s="70"/>
      <c r="AB310" s="70"/>
      <c r="AC310" s="70"/>
      <c r="AD310" s="70"/>
      <c r="AE310" s="70"/>
      <c r="AF310" s="70"/>
      <c r="AG310" s="70">
        <f>80/0.86</f>
        <v>93.023255813953483</v>
      </c>
      <c r="AH310" s="90"/>
      <c r="AI310" s="65"/>
      <c r="AJ310" s="70"/>
      <c r="AK310" s="70"/>
      <c r="AL310" s="70"/>
      <c r="AM310" s="70">
        <f>80/0.86</f>
        <v>93.023255813953483</v>
      </c>
      <c r="AN310" s="70"/>
      <c r="AO310" s="70"/>
      <c r="AP310" s="65"/>
      <c r="AQ310" s="65"/>
      <c r="AR310" s="65"/>
      <c r="AS310" s="65"/>
      <c r="AT310" s="65"/>
      <c r="AU310" s="65"/>
      <c r="AV310" s="65"/>
      <c r="AW310" s="65"/>
      <c r="AX310" s="65"/>
      <c r="AY310" s="65"/>
      <c r="AZ310" s="65"/>
      <c r="BA310" s="65"/>
      <c r="BB310" s="65"/>
      <c r="BC310" s="65"/>
      <c r="BD310" s="65"/>
      <c r="BE310" s="65"/>
      <c r="BF310" s="65"/>
      <c r="BG310" s="65"/>
      <c r="BH310" s="65"/>
      <c r="BI310" s="65"/>
      <c r="BJ310" s="65"/>
      <c r="BK310" s="65"/>
      <c r="BL310" s="65"/>
      <c r="BM310" s="65"/>
      <c r="BN310" s="65"/>
      <c r="BO310" s="65"/>
      <c r="BP310" s="65"/>
      <c r="BQ310" s="65"/>
      <c r="BR310" s="65"/>
      <c r="BS310" s="65"/>
      <c r="BT310" s="65"/>
      <c r="BU310" s="65"/>
      <c r="BV310" s="65"/>
      <c r="BW310" s="65"/>
      <c r="BX310" s="65"/>
      <c r="BY310" s="65"/>
      <c r="BZ310" s="65"/>
      <c r="CA310" s="65"/>
      <c r="CB310" s="65"/>
      <c r="CC310" s="65"/>
      <c r="CD310" s="65"/>
      <c r="CE310" s="65"/>
      <c r="CF310" s="65"/>
      <c r="CG310" s="65"/>
      <c r="CH310" s="65"/>
      <c r="CI310" s="65"/>
      <c r="CJ310" s="65"/>
      <c r="CK310" s="65"/>
      <c r="CL310" s="65"/>
      <c r="CM310" s="65"/>
      <c r="CN310" s="65"/>
      <c r="CO310" s="65"/>
      <c r="CP310" s="65"/>
      <c r="CQ310" s="65"/>
      <c r="CR310" s="65"/>
      <c r="CS310" s="65"/>
      <c r="CT310" s="65"/>
      <c r="CU310" s="65"/>
      <c r="CV310" s="65"/>
      <c r="CW310" s="65"/>
      <c r="CX310" s="65"/>
      <c r="CY310" s="65"/>
      <c r="CZ310" s="65"/>
      <c r="DA310" s="65"/>
      <c r="DB310" s="65"/>
      <c r="DC310" s="65"/>
      <c r="DD310" s="65"/>
      <c r="DE310" s="65"/>
      <c r="DF310" s="65"/>
      <c r="DG310" s="65"/>
      <c r="DH310" s="65"/>
      <c r="DI310" s="65"/>
      <c r="DJ310" s="65"/>
      <c r="DK310" s="65"/>
      <c r="DL310" s="65"/>
      <c r="DM310" s="65"/>
      <c r="DN310" s="65"/>
      <c r="DO310" s="65"/>
      <c r="DP310" s="65"/>
      <c r="DQ310" s="65"/>
      <c r="DR310" s="65"/>
      <c r="DS310" s="65"/>
      <c r="DT310" s="65"/>
    </row>
    <row r="311" spans="1:124" ht="21.75" customHeight="1">
      <c r="A311" s="311"/>
      <c r="B311" s="229" t="s">
        <v>414</v>
      </c>
      <c r="C311" s="230"/>
      <c r="D311" s="231"/>
      <c r="E311" s="60"/>
      <c r="F311" s="60"/>
      <c r="G311" s="60"/>
      <c r="H311" s="60"/>
      <c r="I311" s="60"/>
      <c r="J311" s="60"/>
      <c r="K311" s="60"/>
      <c r="L311" s="60"/>
      <c r="M311" s="60"/>
      <c r="N311" s="60"/>
      <c r="O311" s="60"/>
      <c r="P311" s="60"/>
      <c r="Q311" s="60"/>
      <c r="R311" s="60"/>
      <c r="S311" s="60"/>
      <c r="T311" s="60"/>
      <c r="U311" s="60"/>
      <c r="V311" s="69"/>
      <c r="W311" s="69"/>
      <c r="X311" s="69" t="s">
        <v>454</v>
      </c>
      <c r="Y311" s="69"/>
      <c r="Z311" s="69"/>
      <c r="AA311" s="69" t="s">
        <v>454</v>
      </c>
      <c r="AB311" s="69"/>
      <c r="AC311" s="69"/>
      <c r="AD311" s="69"/>
      <c r="AE311" s="69"/>
      <c r="AF311" s="69"/>
      <c r="AG311" s="69"/>
      <c r="AH311" s="89"/>
      <c r="AI311" s="60" t="s">
        <v>376</v>
      </c>
      <c r="AJ311" s="69"/>
      <c r="AK311" s="69"/>
      <c r="AL311" s="69"/>
      <c r="AM311" s="69"/>
      <c r="AN311" s="69"/>
      <c r="AO311" s="69"/>
      <c r="AP311" s="60"/>
      <c r="AQ311" s="60"/>
      <c r="AR311" s="60"/>
      <c r="AS311" s="60"/>
      <c r="AT311" s="60"/>
      <c r="AU311" s="60"/>
      <c r="AV311" s="60"/>
      <c r="AW311" s="60"/>
      <c r="AX311" s="60"/>
      <c r="AY311" s="60"/>
      <c r="AZ311" s="60"/>
      <c r="BA311" s="60"/>
      <c r="BB311" s="60"/>
      <c r="BC311" s="60"/>
      <c r="BD311" s="60"/>
      <c r="BE311" s="60"/>
      <c r="BF311" s="60"/>
      <c r="BG311" s="60" t="s">
        <v>395</v>
      </c>
      <c r="BH311" s="60"/>
      <c r="BI311" s="60"/>
      <c r="BJ311" s="60" t="s">
        <v>509</v>
      </c>
      <c r="BK311" s="60"/>
      <c r="BL311" s="60"/>
      <c r="BM311" s="60" t="s">
        <v>509</v>
      </c>
      <c r="BN311" s="60"/>
      <c r="BO311" s="60"/>
      <c r="BP311" s="60"/>
      <c r="BQ311" s="60"/>
      <c r="BR311" s="60"/>
      <c r="BS311" s="60" t="s">
        <v>509</v>
      </c>
      <c r="BT311" s="60"/>
      <c r="BU311" s="60"/>
      <c r="BV311" s="60"/>
      <c r="BW311" s="60"/>
      <c r="BX311" s="60"/>
      <c r="BY311" s="60"/>
      <c r="BZ311" s="60"/>
      <c r="CA311" s="60"/>
      <c r="CB311" s="60"/>
      <c r="CC311" s="60"/>
      <c r="CD311" s="60"/>
      <c r="CE311" s="60"/>
      <c r="CF311" s="60"/>
      <c r="CG311" s="60"/>
      <c r="CH311" s="60"/>
      <c r="CI311" s="60"/>
      <c r="CJ311" s="60"/>
      <c r="CK311" s="60"/>
      <c r="CL311" s="60"/>
      <c r="CM311" s="60"/>
      <c r="CN311" s="60"/>
      <c r="CO311" s="60"/>
      <c r="CP311" s="60"/>
      <c r="CQ311" s="60"/>
      <c r="CR311" s="60"/>
      <c r="CS311" s="60"/>
      <c r="CT311" s="60"/>
      <c r="CU311" s="60"/>
      <c r="CV311" s="60"/>
      <c r="CW311" s="60"/>
      <c r="CX311" s="60"/>
      <c r="CY311" s="60"/>
      <c r="CZ311" s="60"/>
      <c r="DA311" s="60"/>
      <c r="DB311" s="60"/>
      <c r="DC311" s="60"/>
      <c r="DD311" s="60"/>
      <c r="DE311" s="60"/>
      <c r="DF311" s="60"/>
      <c r="DG311" s="60"/>
      <c r="DH311" s="60"/>
      <c r="DI311" s="60"/>
      <c r="DJ311" s="60"/>
      <c r="DK311" s="60"/>
      <c r="DL311" s="60"/>
      <c r="DM311" s="60"/>
      <c r="DN311" s="60"/>
      <c r="DO311" s="60"/>
      <c r="DP311" s="60"/>
      <c r="DQ311" s="60"/>
      <c r="DR311" s="60"/>
      <c r="DS311" s="60"/>
      <c r="DT311" s="60"/>
    </row>
    <row r="312" spans="1:124" ht="21.75" customHeight="1">
      <c r="A312" s="311"/>
      <c r="B312" s="232"/>
      <c r="C312" s="233"/>
      <c r="D312" s="234"/>
      <c r="E312" s="65"/>
      <c r="F312" s="65"/>
      <c r="G312" s="65"/>
      <c r="H312" s="65"/>
      <c r="I312" s="65"/>
      <c r="J312" s="65"/>
      <c r="K312" s="65"/>
      <c r="L312" s="65"/>
      <c r="M312" s="65"/>
      <c r="N312" s="65"/>
      <c r="O312" s="65"/>
      <c r="P312" s="65"/>
      <c r="Q312" s="65"/>
      <c r="R312" s="65"/>
      <c r="S312" s="65"/>
      <c r="T312" s="65"/>
      <c r="U312" s="65"/>
      <c r="V312" s="70"/>
      <c r="W312" s="70"/>
      <c r="X312" s="70">
        <f>60/0.885</f>
        <v>67.79661016949153</v>
      </c>
      <c r="Y312" s="70"/>
      <c r="Z312" s="70"/>
      <c r="AA312" s="70">
        <f>60/0.885</f>
        <v>67.79661016949153</v>
      </c>
      <c r="AB312" s="70"/>
      <c r="AC312" s="70"/>
      <c r="AD312" s="70"/>
      <c r="AE312" s="70"/>
      <c r="AF312" s="70"/>
      <c r="AG312" s="70"/>
      <c r="AH312" s="90"/>
      <c r="AI312" s="65">
        <f>65/0.91</f>
        <v>71.428571428571431</v>
      </c>
      <c r="AJ312" s="70"/>
      <c r="AK312" s="70"/>
      <c r="AL312" s="70"/>
      <c r="AM312" s="70"/>
      <c r="AN312" s="70"/>
      <c r="AO312" s="70"/>
      <c r="AP312" s="65"/>
      <c r="AQ312" s="65"/>
      <c r="AR312" s="65"/>
      <c r="AS312" s="65"/>
      <c r="AT312" s="65"/>
      <c r="AU312" s="65"/>
      <c r="AV312" s="65"/>
      <c r="AW312" s="65"/>
      <c r="AX312" s="65"/>
      <c r="AY312" s="65"/>
      <c r="AZ312" s="65"/>
      <c r="BA312" s="65"/>
      <c r="BB312" s="65"/>
      <c r="BC312" s="65"/>
      <c r="BD312" s="65"/>
      <c r="BE312" s="65"/>
      <c r="BF312" s="65"/>
      <c r="BG312" s="65">
        <f>54/0.785</f>
        <v>68.789808917197448</v>
      </c>
      <c r="BH312" s="65"/>
      <c r="BI312" s="65"/>
      <c r="BJ312" s="65">
        <f>61/0.785</f>
        <v>77.70700636942675</v>
      </c>
      <c r="BK312" s="65"/>
      <c r="BL312" s="65"/>
      <c r="BM312" s="65">
        <f>64/0.785</f>
        <v>81.528662420382162</v>
      </c>
      <c r="BN312" s="65"/>
      <c r="BO312" s="65"/>
      <c r="BP312" s="65"/>
      <c r="BQ312" s="65"/>
      <c r="BR312" s="65"/>
      <c r="BS312" s="65">
        <f>64/0.785</f>
        <v>81.528662420382162</v>
      </c>
      <c r="BT312" s="65"/>
      <c r="BU312" s="65"/>
      <c r="BV312" s="65"/>
      <c r="BW312" s="65"/>
      <c r="BX312" s="65"/>
      <c r="BY312" s="65"/>
      <c r="BZ312" s="65"/>
      <c r="CA312" s="65"/>
      <c r="CB312" s="65"/>
      <c r="CC312" s="65"/>
      <c r="CD312" s="65"/>
      <c r="CE312" s="65"/>
      <c r="CF312" s="65"/>
      <c r="CG312" s="65"/>
      <c r="CH312" s="65"/>
      <c r="CI312" s="65"/>
      <c r="CJ312" s="65"/>
      <c r="CK312" s="65"/>
      <c r="CL312" s="65"/>
      <c r="CM312" s="65"/>
      <c r="CN312" s="65"/>
      <c r="CO312" s="65"/>
      <c r="CP312" s="65"/>
      <c r="CQ312" s="65"/>
      <c r="CR312" s="65"/>
      <c r="CS312" s="65"/>
      <c r="CT312" s="65"/>
      <c r="CU312" s="65"/>
      <c r="CV312" s="65"/>
      <c r="CW312" s="65"/>
      <c r="CX312" s="65"/>
      <c r="CY312" s="65"/>
      <c r="CZ312" s="65"/>
      <c r="DA312" s="65"/>
      <c r="DB312" s="65"/>
      <c r="DC312" s="65"/>
      <c r="DD312" s="65"/>
      <c r="DE312" s="65"/>
      <c r="DF312" s="65"/>
      <c r="DG312" s="65"/>
      <c r="DH312" s="65"/>
      <c r="DI312" s="65"/>
      <c r="DJ312" s="65"/>
      <c r="DK312" s="65"/>
      <c r="DL312" s="65"/>
      <c r="DM312" s="65"/>
      <c r="DN312" s="65"/>
      <c r="DO312" s="65"/>
      <c r="DP312" s="65"/>
      <c r="DQ312" s="65"/>
      <c r="DR312" s="65"/>
      <c r="DS312" s="65"/>
      <c r="DT312" s="65"/>
    </row>
    <row r="313" spans="1:124" ht="21.75" customHeight="1">
      <c r="A313" s="311"/>
      <c r="B313" s="229" t="s">
        <v>510</v>
      </c>
      <c r="C313" s="230"/>
      <c r="D313" s="231"/>
      <c r="E313" s="80"/>
      <c r="F313" s="80"/>
      <c r="G313" s="80"/>
      <c r="H313" s="80"/>
      <c r="I313" s="80"/>
      <c r="J313" s="60"/>
      <c r="K313" s="60"/>
      <c r="L313" s="60"/>
      <c r="M313" s="60"/>
      <c r="N313" s="60"/>
      <c r="O313" s="60"/>
      <c r="P313" s="60"/>
      <c r="Q313" s="60"/>
      <c r="R313" s="60"/>
      <c r="S313" s="60"/>
      <c r="T313" s="60"/>
      <c r="U313" s="80"/>
      <c r="V313" s="69"/>
      <c r="W313" s="69"/>
      <c r="X313" s="69"/>
      <c r="Y313" s="69"/>
      <c r="Z313" s="69"/>
      <c r="AA313" s="69"/>
      <c r="AB313" s="69"/>
      <c r="AC313" s="69"/>
      <c r="AD313" s="69"/>
      <c r="AE313" s="69" t="s">
        <v>434</v>
      </c>
      <c r="AF313" s="69"/>
      <c r="AG313" s="69"/>
      <c r="AH313" s="89"/>
      <c r="AI313" s="60"/>
      <c r="AJ313" s="69"/>
      <c r="AK313" s="69"/>
      <c r="AL313" s="69"/>
      <c r="AM313" s="69"/>
      <c r="AN313" s="69"/>
      <c r="AO313" s="69"/>
      <c r="AP313" s="60"/>
      <c r="AQ313" s="60"/>
      <c r="AR313" s="60"/>
      <c r="AS313" s="60"/>
      <c r="AT313" s="60"/>
      <c r="AU313" s="60"/>
      <c r="AV313" s="60"/>
      <c r="AW313" s="60"/>
      <c r="AX313" s="60"/>
      <c r="AY313" s="60"/>
      <c r="AZ313" s="60"/>
      <c r="BA313" s="60"/>
      <c r="BB313" s="60"/>
      <c r="BC313" s="60"/>
      <c r="BD313" s="60"/>
      <c r="BE313" s="60"/>
      <c r="BF313" s="60"/>
      <c r="BG313" s="60"/>
      <c r="BH313" s="60"/>
      <c r="BI313" s="60"/>
      <c r="BJ313" s="60"/>
      <c r="BK313" s="60"/>
      <c r="BL313" s="60"/>
      <c r="BM313" s="60"/>
      <c r="BN313" s="60"/>
      <c r="BO313" s="60"/>
      <c r="BP313" s="60"/>
      <c r="BQ313" s="60"/>
      <c r="BR313" s="60"/>
      <c r="BS313" s="60"/>
      <c r="BT313" s="60"/>
      <c r="BU313" s="60"/>
      <c r="BV313" s="60"/>
      <c r="BW313" s="60"/>
      <c r="BX313" s="60"/>
      <c r="BY313" s="60"/>
      <c r="BZ313" s="60"/>
      <c r="CA313" s="60"/>
      <c r="CB313" s="60"/>
      <c r="CC313" s="60"/>
      <c r="CD313" s="60"/>
      <c r="CE313" s="60"/>
      <c r="CF313" s="60"/>
      <c r="CG313" s="60"/>
      <c r="CH313" s="60"/>
      <c r="CI313" s="60"/>
      <c r="CJ313" s="60"/>
      <c r="CK313" s="60"/>
      <c r="CL313" s="60"/>
      <c r="CM313" s="60"/>
      <c r="CN313" s="60"/>
      <c r="CO313" s="60"/>
      <c r="CP313" s="60"/>
      <c r="CQ313" s="60"/>
      <c r="CR313" s="60"/>
      <c r="CS313" s="60"/>
      <c r="CT313" s="60"/>
      <c r="CU313" s="60"/>
      <c r="CV313" s="60"/>
      <c r="CW313" s="60"/>
      <c r="CX313" s="60"/>
      <c r="CY313" s="60"/>
      <c r="CZ313" s="60"/>
      <c r="DA313" s="60"/>
      <c r="DB313" s="60"/>
      <c r="DC313" s="60"/>
      <c r="DD313" s="60"/>
      <c r="DE313" s="60"/>
      <c r="DF313" s="60"/>
      <c r="DG313" s="60"/>
      <c r="DH313" s="60"/>
      <c r="DI313" s="60"/>
      <c r="DJ313" s="60"/>
      <c r="DK313" s="60"/>
      <c r="DL313" s="60"/>
      <c r="DM313" s="60"/>
      <c r="DN313" s="60"/>
      <c r="DO313" s="60"/>
      <c r="DP313" s="60"/>
      <c r="DQ313" s="60"/>
      <c r="DR313" s="60"/>
      <c r="DS313" s="60"/>
      <c r="DT313" s="60"/>
    </row>
    <row r="314" spans="1:124" ht="21.75" customHeight="1">
      <c r="A314" s="311"/>
      <c r="B314" s="232"/>
      <c r="C314" s="233"/>
      <c r="D314" s="234"/>
      <c r="E314" s="70"/>
      <c r="F314" s="70"/>
      <c r="G314" s="70"/>
      <c r="H314" s="70"/>
      <c r="I314" s="70"/>
      <c r="J314" s="65"/>
      <c r="K314" s="65"/>
      <c r="L314" s="65"/>
      <c r="M314" s="65"/>
      <c r="N314" s="65"/>
      <c r="O314" s="65"/>
      <c r="P314" s="65"/>
      <c r="Q314" s="65"/>
      <c r="R314" s="65"/>
      <c r="S314" s="65"/>
      <c r="T314" s="65"/>
      <c r="U314" s="70"/>
      <c r="V314" s="70"/>
      <c r="W314" s="70"/>
      <c r="X314" s="70"/>
      <c r="Y314" s="70"/>
      <c r="Z314" s="70"/>
      <c r="AA314" s="70"/>
      <c r="AB314" s="70"/>
      <c r="AC314" s="70"/>
      <c r="AD314" s="70"/>
      <c r="AE314" s="70">
        <f>65/0.835</f>
        <v>77.844311377245518</v>
      </c>
      <c r="AF314" s="70"/>
      <c r="AG314" s="70"/>
      <c r="AH314" s="90"/>
      <c r="AI314" s="65"/>
      <c r="AJ314" s="70"/>
      <c r="AK314" s="70"/>
      <c r="AL314" s="70"/>
      <c r="AM314" s="70"/>
      <c r="AN314" s="70"/>
      <c r="AO314" s="70"/>
      <c r="AP314" s="65"/>
      <c r="AQ314" s="65"/>
      <c r="AR314" s="65"/>
      <c r="AS314" s="65"/>
      <c r="AT314" s="65"/>
      <c r="AU314" s="65"/>
      <c r="AV314" s="65"/>
      <c r="AW314" s="65"/>
      <c r="AX314" s="65"/>
      <c r="AY314" s="65"/>
      <c r="AZ314" s="65"/>
      <c r="BA314" s="65"/>
      <c r="BB314" s="65"/>
      <c r="BC314" s="65"/>
      <c r="BD314" s="65"/>
      <c r="BE314" s="65"/>
      <c r="BF314" s="65"/>
      <c r="BG314" s="65"/>
      <c r="BH314" s="65"/>
      <c r="BI314" s="65"/>
      <c r="BJ314" s="65"/>
      <c r="BK314" s="65"/>
      <c r="BL314" s="65"/>
      <c r="BM314" s="65"/>
      <c r="BN314" s="65"/>
      <c r="BO314" s="65"/>
      <c r="BP314" s="65"/>
      <c r="BQ314" s="65"/>
      <c r="BR314" s="65"/>
      <c r="BS314" s="65"/>
      <c r="BT314" s="65"/>
      <c r="BU314" s="65"/>
      <c r="BV314" s="65"/>
      <c r="BW314" s="65"/>
      <c r="BX314" s="65"/>
      <c r="BY314" s="65"/>
      <c r="BZ314" s="65"/>
      <c r="CA314" s="65"/>
      <c r="CB314" s="65"/>
      <c r="CC314" s="65"/>
      <c r="CD314" s="65"/>
      <c r="CE314" s="65"/>
      <c r="CF314" s="65"/>
      <c r="CG314" s="65"/>
      <c r="CH314" s="65"/>
      <c r="CI314" s="65"/>
      <c r="CJ314" s="65"/>
      <c r="CK314" s="65"/>
      <c r="CL314" s="65"/>
      <c r="CM314" s="65"/>
      <c r="CN314" s="65"/>
      <c r="CO314" s="65"/>
      <c r="CP314" s="65"/>
      <c r="CQ314" s="65"/>
      <c r="CR314" s="65"/>
      <c r="CS314" s="65"/>
      <c r="CT314" s="65"/>
      <c r="CU314" s="65"/>
      <c r="CV314" s="65"/>
      <c r="CW314" s="65"/>
      <c r="CX314" s="65"/>
      <c r="CY314" s="65"/>
      <c r="CZ314" s="65"/>
      <c r="DA314" s="65"/>
      <c r="DB314" s="65"/>
      <c r="DC314" s="65"/>
      <c r="DD314" s="65"/>
      <c r="DE314" s="65"/>
      <c r="DF314" s="65"/>
      <c r="DG314" s="65"/>
      <c r="DH314" s="65"/>
      <c r="DI314" s="65"/>
      <c r="DJ314" s="65"/>
      <c r="DK314" s="65"/>
      <c r="DL314" s="65"/>
      <c r="DM314" s="65"/>
      <c r="DN314" s="65"/>
      <c r="DO314" s="65"/>
      <c r="DP314" s="65"/>
      <c r="DQ314" s="65"/>
      <c r="DR314" s="65"/>
      <c r="DS314" s="65"/>
      <c r="DT314" s="65"/>
    </row>
    <row r="315" spans="1:124" ht="21.75" customHeight="1">
      <c r="A315" s="311"/>
      <c r="B315" s="229" t="s">
        <v>103</v>
      </c>
      <c r="C315" s="230"/>
      <c r="D315" s="78" t="s">
        <v>415</v>
      </c>
      <c r="E315" s="65"/>
      <c r="F315" s="65"/>
      <c r="G315" s="65"/>
      <c r="H315" s="65"/>
      <c r="I315" s="65"/>
      <c r="J315" s="65"/>
      <c r="K315" s="65"/>
      <c r="L315" s="65"/>
      <c r="M315" s="65"/>
      <c r="N315" s="65"/>
      <c r="O315" s="65"/>
      <c r="P315" s="65"/>
      <c r="Q315" s="65"/>
      <c r="R315" s="65"/>
      <c r="S315" s="65"/>
      <c r="T315" s="65"/>
      <c r="U315" s="65"/>
      <c r="V315" s="65"/>
      <c r="W315" s="65"/>
      <c r="X315" s="65"/>
      <c r="Y315" s="65"/>
      <c r="Z315" s="65"/>
      <c r="AA315" s="65"/>
      <c r="AB315" s="65"/>
      <c r="AC315" s="65"/>
      <c r="AD315" s="65"/>
      <c r="AE315" s="65"/>
      <c r="AF315" s="65"/>
      <c r="AG315" s="65"/>
      <c r="AH315" s="74"/>
      <c r="AI315" s="65"/>
      <c r="AJ315" s="65"/>
      <c r="AK315" s="65"/>
      <c r="AL315" s="65"/>
      <c r="AM315" s="65"/>
      <c r="AN315" s="65"/>
      <c r="AO315" s="65"/>
      <c r="AP315" s="65"/>
      <c r="AQ315" s="65"/>
      <c r="AR315" s="65"/>
      <c r="AS315" s="65"/>
      <c r="AT315" s="65"/>
      <c r="AU315" s="65"/>
      <c r="AV315" s="65"/>
      <c r="AW315" s="65"/>
      <c r="AX315" s="65"/>
      <c r="AY315" s="65"/>
      <c r="AZ315" s="65"/>
      <c r="BA315" s="65"/>
      <c r="BB315" s="65"/>
      <c r="BC315" s="65"/>
      <c r="BD315" s="65"/>
      <c r="BE315" s="65"/>
      <c r="BF315" s="65"/>
      <c r="BG315" s="65"/>
      <c r="BH315" s="65"/>
      <c r="BI315" s="65"/>
      <c r="BJ315" s="65"/>
      <c r="BK315" s="65"/>
      <c r="BL315" s="65"/>
      <c r="BM315" s="65"/>
      <c r="BN315" s="65"/>
      <c r="BO315" s="65"/>
      <c r="BP315" s="65"/>
      <c r="BQ315" s="65"/>
      <c r="BR315" s="65"/>
      <c r="BS315" s="65"/>
      <c r="BT315" s="65"/>
      <c r="BU315" s="65"/>
      <c r="BV315" s="65"/>
      <c r="BW315" s="65"/>
      <c r="BX315" s="65"/>
      <c r="BY315" s="65"/>
      <c r="BZ315" s="65"/>
      <c r="CA315" s="65"/>
      <c r="CB315" s="65"/>
      <c r="CC315" s="65"/>
      <c r="CD315" s="65"/>
      <c r="CE315" s="65"/>
      <c r="CF315" s="65"/>
      <c r="CG315" s="65"/>
      <c r="CH315" s="65"/>
      <c r="CI315" s="65"/>
      <c r="CJ315" s="65"/>
      <c r="CK315" s="65"/>
      <c r="CL315" s="65"/>
      <c r="CM315" s="65"/>
      <c r="CN315" s="65"/>
      <c r="CO315" s="65"/>
      <c r="CP315" s="65"/>
      <c r="CQ315" s="65"/>
      <c r="CR315" s="65"/>
      <c r="CS315" s="65"/>
      <c r="CT315" s="65"/>
      <c r="CU315" s="65"/>
      <c r="CV315" s="65"/>
      <c r="CW315" s="65"/>
      <c r="CX315" s="65"/>
      <c r="CY315" s="65"/>
      <c r="CZ315" s="65"/>
      <c r="DA315" s="65"/>
      <c r="DB315" s="65"/>
      <c r="DC315" s="65"/>
      <c r="DD315" s="65"/>
      <c r="DE315" s="65"/>
      <c r="DF315" s="65"/>
      <c r="DG315" s="65"/>
      <c r="DH315" s="65"/>
      <c r="DI315" s="65"/>
      <c r="DJ315" s="65"/>
      <c r="DK315" s="65"/>
      <c r="DL315" s="65"/>
      <c r="DM315" s="65"/>
      <c r="DN315" s="65"/>
      <c r="DO315" s="65"/>
      <c r="DP315" s="65"/>
      <c r="DQ315" s="65"/>
      <c r="DR315" s="65"/>
      <c r="DS315" s="65"/>
      <c r="DT315" s="65"/>
    </row>
    <row r="316" spans="1:124" ht="21.75" customHeight="1">
      <c r="A316" s="311"/>
      <c r="B316" s="232"/>
      <c r="C316" s="233"/>
      <c r="D316" s="79" t="s">
        <v>418</v>
      </c>
      <c r="E316" s="65"/>
      <c r="F316" s="65"/>
      <c r="G316" s="65"/>
      <c r="H316" s="65"/>
      <c r="I316" s="65"/>
      <c r="J316" s="65"/>
      <c r="K316" s="65"/>
      <c r="L316" s="65"/>
      <c r="M316" s="65"/>
      <c r="N316" s="65"/>
      <c r="O316" s="65"/>
      <c r="P316" s="65"/>
      <c r="Q316" s="65"/>
      <c r="R316" s="65"/>
      <c r="S316" s="65"/>
      <c r="T316" s="65"/>
      <c r="U316" s="65"/>
      <c r="V316" s="65"/>
      <c r="W316" s="65"/>
      <c r="X316" s="65"/>
      <c r="Y316" s="65"/>
      <c r="Z316" s="65"/>
      <c r="AA316" s="65"/>
      <c r="AB316" s="65"/>
      <c r="AC316" s="65"/>
      <c r="AD316" s="65"/>
      <c r="AE316" s="65"/>
      <c r="AF316" s="65"/>
      <c r="AG316" s="65"/>
      <c r="AH316" s="74"/>
      <c r="AI316" s="65"/>
      <c r="AJ316" s="65"/>
      <c r="AK316" s="65"/>
      <c r="AL316" s="65"/>
      <c r="AM316" s="65"/>
      <c r="AN316" s="65"/>
      <c r="AO316" s="65"/>
      <c r="AP316" s="65"/>
      <c r="AQ316" s="65"/>
      <c r="AR316" s="65"/>
      <c r="AS316" s="65"/>
      <c r="AT316" s="65"/>
      <c r="AU316" s="65"/>
      <c r="AV316" s="65"/>
      <c r="AW316" s="65"/>
      <c r="AX316" s="65"/>
      <c r="AY316" s="65"/>
      <c r="AZ316" s="65"/>
      <c r="BA316" s="65"/>
      <c r="BB316" s="65"/>
      <c r="BC316" s="65"/>
      <c r="BD316" s="65"/>
      <c r="BE316" s="65"/>
      <c r="BF316" s="65"/>
      <c r="BG316" s="65"/>
      <c r="BH316" s="65"/>
      <c r="BI316" s="65"/>
      <c r="BJ316" s="65"/>
      <c r="BK316" s="65"/>
      <c r="BL316" s="65"/>
      <c r="BM316" s="65"/>
      <c r="BN316" s="65"/>
      <c r="BO316" s="65"/>
      <c r="BP316" s="65"/>
      <c r="BQ316" s="65"/>
      <c r="BR316" s="65"/>
      <c r="BS316" s="65"/>
      <c r="BT316" s="65"/>
      <c r="BU316" s="65"/>
      <c r="BV316" s="65"/>
      <c r="BW316" s="65"/>
      <c r="BX316" s="65"/>
      <c r="BY316" s="65"/>
      <c r="BZ316" s="65"/>
      <c r="CA316" s="65"/>
      <c r="CB316" s="65"/>
      <c r="CC316" s="65"/>
      <c r="CD316" s="65"/>
      <c r="CE316" s="65"/>
      <c r="CF316" s="65"/>
      <c r="CG316" s="65"/>
      <c r="CH316" s="65"/>
      <c r="CI316" s="65"/>
      <c r="CJ316" s="65"/>
      <c r="CK316" s="65"/>
      <c r="CL316" s="65"/>
      <c r="CM316" s="65"/>
      <c r="CN316" s="65"/>
      <c r="CO316" s="65"/>
      <c r="CP316" s="65"/>
      <c r="CQ316" s="65"/>
      <c r="CR316" s="65"/>
      <c r="CS316" s="65"/>
      <c r="CT316" s="65"/>
      <c r="CU316" s="65"/>
      <c r="CV316" s="65"/>
      <c r="CW316" s="65"/>
      <c r="CX316" s="65"/>
      <c r="CY316" s="65"/>
      <c r="CZ316" s="65"/>
      <c r="DA316" s="65"/>
      <c r="DB316" s="65"/>
      <c r="DC316" s="65"/>
      <c r="DD316" s="65"/>
      <c r="DE316" s="65"/>
      <c r="DF316" s="65"/>
      <c r="DG316" s="65"/>
      <c r="DH316" s="65"/>
      <c r="DI316" s="65"/>
      <c r="DJ316" s="65"/>
      <c r="DK316" s="65"/>
      <c r="DL316" s="65"/>
      <c r="DM316" s="65"/>
      <c r="DN316" s="65"/>
      <c r="DO316" s="65"/>
      <c r="DP316" s="65"/>
      <c r="DQ316" s="65"/>
      <c r="DR316" s="65"/>
      <c r="DS316" s="65"/>
      <c r="DT316" s="65"/>
    </row>
    <row r="317" spans="1:124" ht="21.75" customHeight="1">
      <c r="A317" s="311"/>
      <c r="B317" s="235" t="s">
        <v>25</v>
      </c>
      <c r="C317" s="236"/>
      <c r="D317" s="237"/>
      <c r="E317" s="80"/>
      <c r="F317" s="80"/>
      <c r="G317" s="80"/>
      <c r="H317" s="80"/>
      <c r="I317" s="80"/>
      <c r="J317" s="60"/>
      <c r="K317" s="60"/>
      <c r="L317" s="60"/>
      <c r="M317" s="60"/>
      <c r="N317" s="60"/>
      <c r="O317" s="60"/>
      <c r="P317" s="60"/>
      <c r="Q317" s="60"/>
      <c r="R317" s="60"/>
      <c r="S317" s="60"/>
      <c r="T317" s="60"/>
      <c r="U317" s="80"/>
      <c r="V317" s="80"/>
      <c r="W317" s="80"/>
      <c r="X317" s="80"/>
      <c r="Y317" s="80"/>
      <c r="Z317" s="80"/>
      <c r="AA317" s="80"/>
      <c r="AB317" s="80"/>
      <c r="AC317" s="80"/>
      <c r="AD317" s="80"/>
      <c r="AE317" s="80"/>
      <c r="AF317" s="80"/>
      <c r="AG317" s="80"/>
      <c r="AH317" s="82"/>
      <c r="AI317" s="60"/>
      <c r="AJ317" s="80"/>
      <c r="AK317" s="80"/>
      <c r="AL317" s="80"/>
      <c r="AM317" s="80"/>
      <c r="AN317" s="80"/>
      <c r="AO317" s="80"/>
      <c r="AP317" s="60"/>
      <c r="AQ317" s="60"/>
      <c r="AR317" s="60"/>
      <c r="AS317" s="60"/>
      <c r="AT317" s="60"/>
      <c r="AU317" s="60"/>
      <c r="AV317" s="60"/>
      <c r="AW317" s="60"/>
      <c r="AX317" s="60"/>
      <c r="AY317" s="60"/>
      <c r="AZ317" s="60"/>
      <c r="BA317" s="60"/>
      <c r="BB317" s="60"/>
      <c r="BC317" s="60"/>
      <c r="BD317" s="60"/>
      <c r="BE317" s="60"/>
      <c r="BF317" s="60"/>
      <c r="BG317" s="60"/>
      <c r="BH317" s="60"/>
      <c r="BI317" s="60"/>
      <c r="BJ317" s="60"/>
      <c r="BK317" s="60"/>
      <c r="BL317" s="60"/>
      <c r="BM317" s="60"/>
      <c r="BN317" s="60"/>
      <c r="BO317" s="60"/>
      <c r="BP317" s="60"/>
      <c r="BQ317" s="60"/>
      <c r="BR317" s="60"/>
      <c r="BS317" s="60"/>
      <c r="BT317" s="60"/>
      <c r="BU317" s="60"/>
      <c r="BV317" s="60"/>
      <c r="BW317" s="60"/>
      <c r="BX317" s="60"/>
      <c r="BY317" s="60"/>
      <c r="BZ317" s="60"/>
      <c r="CA317" s="60"/>
      <c r="CB317" s="60"/>
      <c r="CC317" s="60"/>
      <c r="CD317" s="60"/>
      <c r="CE317" s="60"/>
      <c r="CF317" s="60"/>
      <c r="CG317" s="60"/>
      <c r="CH317" s="60"/>
      <c r="CI317" s="60"/>
      <c r="CJ317" s="60"/>
      <c r="CK317" s="60"/>
      <c r="CL317" s="60"/>
      <c r="CM317" s="60"/>
      <c r="CN317" s="60"/>
      <c r="CO317" s="60"/>
      <c r="CP317" s="60"/>
      <c r="CQ317" s="60"/>
      <c r="CR317" s="60"/>
      <c r="CS317" s="60"/>
      <c r="CT317" s="60"/>
      <c r="CU317" s="60"/>
      <c r="CV317" s="60"/>
      <c r="CW317" s="60"/>
      <c r="CX317" s="60"/>
      <c r="CY317" s="60"/>
      <c r="CZ317" s="60"/>
      <c r="DA317" s="60"/>
      <c r="DB317" s="60"/>
      <c r="DC317" s="60"/>
      <c r="DD317" s="60"/>
      <c r="DE317" s="60"/>
      <c r="DF317" s="60"/>
      <c r="DG317" s="60"/>
      <c r="DH317" s="60"/>
      <c r="DI317" s="60"/>
      <c r="DJ317" s="60"/>
      <c r="DK317" s="60"/>
      <c r="DL317" s="60"/>
      <c r="DM317" s="60"/>
      <c r="DN317" s="60"/>
      <c r="DO317" s="60"/>
      <c r="DP317" s="60"/>
      <c r="DQ317" s="60"/>
      <c r="DR317" s="60"/>
      <c r="DS317" s="60"/>
      <c r="DT317" s="60"/>
    </row>
    <row r="318" spans="1:124" ht="21.75" customHeight="1">
      <c r="A318" s="311"/>
      <c r="B318" s="232"/>
      <c r="C318" s="233"/>
      <c r="D318" s="234"/>
      <c r="E318" s="70"/>
      <c r="F318" s="70">
        <v>97.5</v>
      </c>
      <c r="G318" s="70">
        <v>97.5</v>
      </c>
      <c r="H318" s="70">
        <v>97.5</v>
      </c>
      <c r="I318" s="70"/>
      <c r="J318" s="65"/>
      <c r="K318" s="65"/>
      <c r="L318" s="65"/>
      <c r="M318" s="65"/>
      <c r="N318" s="65"/>
      <c r="O318" s="65"/>
      <c r="P318" s="65"/>
      <c r="Q318" s="65"/>
      <c r="R318" s="65"/>
      <c r="S318" s="65"/>
      <c r="T318" s="65"/>
      <c r="U318" s="70"/>
      <c r="V318" s="70"/>
      <c r="W318" s="70"/>
      <c r="X318" s="70"/>
      <c r="Y318" s="70"/>
      <c r="Z318" s="70"/>
      <c r="AA318" s="70"/>
      <c r="AB318" s="70"/>
      <c r="AC318" s="70"/>
      <c r="AD318" s="70"/>
      <c r="AE318" s="70"/>
      <c r="AF318" s="70"/>
      <c r="AG318" s="70"/>
      <c r="AH318" s="90"/>
      <c r="AI318" s="65"/>
      <c r="AJ318" s="70"/>
      <c r="AK318" s="70"/>
      <c r="AL318" s="70"/>
      <c r="AM318" s="70"/>
      <c r="AN318" s="70"/>
      <c r="AO318" s="70"/>
      <c r="AP318" s="65"/>
      <c r="AQ318" s="65"/>
      <c r="AR318" s="65"/>
      <c r="AS318" s="65"/>
      <c r="AT318" s="65"/>
      <c r="AU318" s="65"/>
      <c r="AV318" s="65"/>
      <c r="AW318" s="65"/>
      <c r="AX318" s="65"/>
      <c r="AY318" s="65"/>
      <c r="AZ318" s="65"/>
      <c r="BA318" s="65"/>
      <c r="BB318" s="65"/>
      <c r="BC318" s="65"/>
      <c r="BD318" s="65"/>
      <c r="BE318" s="65"/>
      <c r="BF318" s="65"/>
      <c r="BG318" s="65"/>
      <c r="BH318" s="65"/>
      <c r="BI318" s="65"/>
      <c r="BJ318" s="65"/>
      <c r="BK318" s="65"/>
      <c r="BL318" s="65"/>
      <c r="BM318" s="65"/>
      <c r="BN318" s="65"/>
      <c r="BO318" s="65"/>
      <c r="BP318" s="65"/>
      <c r="BQ318" s="65"/>
      <c r="BR318" s="65"/>
      <c r="BS318" s="65"/>
      <c r="BT318" s="65"/>
      <c r="BU318" s="65"/>
      <c r="BV318" s="65"/>
      <c r="BW318" s="65"/>
      <c r="BX318" s="65"/>
      <c r="BY318" s="65"/>
      <c r="BZ318" s="65"/>
      <c r="CA318" s="65"/>
      <c r="CB318" s="65"/>
      <c r="CC318" s="65"/>
      <c r="CD318" s="65"/>
      <c r="CE318" s="65"/>
      <c r="CF318" s="65"/>
      <c r="CG318" s="65"/>
      <c r="CH318" s="65"/>
      <c r="CI318" s="65"/>
      <c r="CJ318" s="65"/>
      <c r="CK318" s="65"/>
      <c r="CL318" s="65"/>
      <c r="CM318" s="65"/>
      <c r="CN318" s="65"/>
      <c r="CO318" s="65"/>
      <c r="CP318" s="65"/>
      <c r="CQ318" s="65"/>
      <c r="CR318" s="65"/>
      <c r="CS318" s="65"/>
      <c r="CT318" s="65"/>
      <c r="CU318" s="65"/>
      <c r="CV318" s="65"/>
      <c r="CW318" s="65"/>
      <c r="CX318" s="65"/>
      <c r="CY318" s="65"/>
      <c r="CZ318" s="65"/>
      <c r="DA318" s="65"/>
      <c r="DB318" s="65"/>
      <c r="DC318" s="65"/>
      <c r="DD318" s="65"/>
      <c r="DE318" s="65"/>
      <c r="DF318" s="65"/>
      <c r="DG318" s="65"/>
      <c r="DH318" s="65"/>
      <c r="DI318" s="65"/>
      <c r="DJ318" s="65"/>
      <c r="DK318" s="65"/>
      <c r="DL318" s="65"/>
      <c r="DM318" s="65"/>
      <c r="DN318" s="65"/>
      <c r="DO318" s="65"/>
      <c r="DP318" s="65"/>
      <c r="DQ318" s="65"/>
      <c r="DR318" s="65"/>
      <c r="DS318" s="65"/>
      <c r="DT318" s="65"/>
    </row>
    <row r="319" spans="1:124" ht="21.75" customHeight="1">
      <c r="A319" s="311"/>
      <c r="B319" s="229" t="s">
        <v>127</v>
      </c>
      <c r="C319" s="230"/>
      <c r="D319" s="231"/>
      <c r="E319" s="69"/>
      <c r="F319" s="69"/>
      <c r="G319" s="69"/>
      <c r="H319" s="69"/>
      <c r="I319" s="69"/>
      <c r="J319" s="69"/>
      <c r="K319" s="69"/>
      <c r="L319" s="69"/>
      <c r="M319" s="69"/>
      <c r="N319" s="69"/>
      <c r="O319" s="69"/>
      <c r="P319" s="69"/>
      <c r="Q319" s="69"/>
      <c r="R319" s="69"/>
      <c r="S319" s="69"/>
      <c r="T319" s="69"/>
      <c r="U319" s="69"/>
      <c r="V319" s="69"/>
      <c r="W319" s="69"/>
      <c r="X319" s="69"/>
      <c r="Y319" s="69"/>
      <c r="Z319" s="69"/>
      <c r="AA319" s="69"/>
      <c r="AB319" s="69"/>
      <c r="AC319" s="69"/>
      <c r="AD319" s="69"/>
      <c r="AE319" s="69"/>
      <c r="AF319" s="69"/>
      <c r="AG319" s="69"/>
      <c r="AH319" s="69"/>
      <c r="AI319" s="69"/>
      <c r="AJ319" s="69"/>
      <c r="AK319" s="69"/>
      <c r="AL319" s="69"/>
      <c r="AM319" s="69"/>
      <c r="AN319" s="69"/>
      <c r="AO319" s="69"/>
      <c r="AP319" s="68"/>
      <c r="AQ319" s="68"/>
      <c r="AR319" s="68"/>
      <c r="AS319" s="69"/>
      <c r="AT319" s="69"/>
      <c r="AU319" s="69"/>
      <c r="AV319" s="69"/>
      <c r="AW319" s="69"/>
      <c r="AX319" s="69"/>
      <c r="AY319" s="69"/>
      <c r="AZ319" s="69"/>
      <c r="BA319" s="69"/>
      <c r="BB319" s="69"/>
      <c r="BC319" s="69"/>
      <c r="BD319" s="69"/>
      <c r="BE319" s="69"/>
      <c r="BF319" s="69"/>
      <c r="BG319" s="68"/>
      <c r="BH319" s="68"/>
      <c r="BI319" s="68"/>
      <c r="BJ319" s="68"/>
      <c r="BK319" s="68"/>
      <c r="BL319" s="68"/>
      <c r="BM319" s="68"/>
      <c r="BN319" s="68"/>
      <c r="BO319" s="68"/>
      <c r="BP319" s="68"/>
      <c r="BQ319" s="68"/>
      <c r="BR319" s="68"/>
      <c r="BS319" s="68"/>
      <c r="BT319" s="68"/>
      <c r="BU319" s="68"/>
      <c r="BV319" s="68"/>
      <c r="BW319" s="68"/>
      <c r="BX319" s="68"/>
      <c r="BY319" s="68"/>
      <c r="BZ319" s="68"/>
      <c r="CA319" s="68"/>
      <c r="CB319" s="68"/>
      <c r="CC319" s="68"/>
      <c r="CD319" s="68"/>
      <c r="CE319" s="68"/>
      <c r="CF319" s="68"/>
      <c r="CG319" s="68"/>
      <c r="CH319" s="68"/>
      <c r="CI319" s="68"/>
      <c r="CJ319" s="68"/>
      <c r="CK319" s="68"/>
      <c r="CL319" s="68"/>
      <c r="CM319" s="68"/>
      <c r="CN319" s="68"/>
      <c r="CO319" s="68"/>
      <c r="CP319" s="68"/>
      <c r="CQ319" s="68"/>
      <c r="CR319" s="68"/>
      <c r="CS319" s="68"/>
      <c r="CT319" s="68"/>
      <c r="CU319" s="68"/>
      <c r="CV319" s="68"/>
      <c r="CW319" s="68"/>
      <c r="CX319" s="68"/>
      <c r="CY319" s="68"/>
      <c r="CZ319" s="68"/>
      <c r="DA319" s="68"/>
      <c r="DB319" s="68"/>
      <c r="DC319" s="68"/>
      <c r="DD319" s="68"/>
      <c r="DE319" s="68"/>
      <c r="DF319" s="68"/>
      <c r="DG319" s="68"/>
      <c r="DH319" s="68"/>
      <c r="DI319" s="68"/>
      <c r="DJ319" s="68"/>
      <c r="DK319" s="68"/>
      <c r="DL319" s="68"/>
      <c r="DM319" s="68"/>
      <c r="DN319" s="68"/>
      <c r="DO319" s="68"/>
      <c r="DP319" s="68"/>
      <c r="DQ319" s="68"/>
      <c r="DR319" s="68"/>
      <c r="DS319" s="68"/>
      <c r="DT319" s="68"/>
    </row>
    <row r="320" spans="1:124" ht="21.75" customHeight="1">
      <c r="A320" s="311"/>
      <c r="B320" s="232"/>
      <c r="C320" s="233"/>
      <c r="D320" s="234"/>
      <c r="E320" s="70"/>
      <c r="F320" s="70"/>
      <c r="G320" s="70"/>
      <c r="H320" s="70"/>
      <c r="I320" s="70"/>
      <c r="J320" s="70"/>
      <c r="K320" s="70"/>
      <c r="L320" s="70"/>
      <c r="M320" s="70"/>
      <c r="N320" s="70"/>
      <c r="O320" s="70"/>
      <c r="P320" s="70"/>
      <c r="Q320" s="70"/>
      <c r="R320" s="70"/>
      <c r="S320" s="70"/>
      <c r="T320" s="70"/>
      <c r="U320" s="70"/>
      <c r="V320" s="70"/>
      <c r="W320" s="70"/>
      <c r="X320" s="70"/>
      <c r="Y320" s="70"/>
      <c r="Z320" s="70"/>
      <c r="AA320" s="70"/>
      <c r="AB320" s="70"/>
      <c r="AC320" s="70"/>
      <c r="AD320" s="70"/>
      <c r="AE320" s="70"/>
      <c r="AF320" s="70"/>
      <c r="AG320" s="70"/>
      <c r="AH320" s="70"/>
      <c r="AI320" s="70"/>
      <c r="AJ320" s="70"/>
      <c r="AK320" s="70"/>
      <c r="AL320" s="70"/>
      <c r="AM320" s="70"/>
      <c r="AN320" s="70"/>
      <c r="AO320" s="70"/>
      <c r="AP320" s="65"/>
      <c r="AQ320" s="65"/>
      <c r="AR320" s="65"/>
      <c r="AS320" s="70"/>
      <c r="AT320" s="70"/>
      <c r="AU320" s="70"/>
      <c r="AV320" s="70"/>
      <c r="AW320" s="70"/>
      <c r="AX320" s="70"/>
      <c r="AY320" s="70"/>
      <c r="AZ320" s="70"/>
      <c r="BA320" s="70"/>
      <c r="BB320" s="70"/>
      <c r="BC320" s="70"/>
      <c r="BD320" s="70"/>
      <c r="BE320" s="70"/>
      <c r="BF320" s="70"/>
      <c r="BG320" s="65"/>
      <c r="BH320" s="65"/>
      <c r="BI320" s="65"/>
      <c r="BJ320" s="65"/>
      <c r="BK320" s="65"/>
      <c r="BL320" s="65"/>
      <c r="BM320" s="65"/>
      <c r="BN320" s="65"/>
      <c r="BO320" s="65"/>
      <c r="BP320" s="65"/>
      <c r="BQ320" s="65"/>
      <c r="BR320" s="65"/>
      <c r="BS320" s="65"/>
      <c r="BT320" s="65"/>
      <c r="BU320" s="65"/>
      <c r="BV320" s="65"/>
      <c r="BW320" s="65"/>
      <c r="BX320" s="65"/>
      <c r="BY320" s="65"/>
      <c r="BZ320" s="65"/>
      <c r="CA320" s="65"/>
      <c r="CB320" s="65"/>
      <c r="CC320" s="65"/>
      <c r="CD320" s="65"/>
      <c r="CE320" s="65"/>
      <c r="CF320" s="65"/>
      <c r="CG320" s="65"/>
      <c r="CH320" s="65"/>
      <c r="CI320" s="65"/>
      <c r="CJ320" s="65"/>
      <c r="CK320" s="65"/>
      <c r="CL320" s="65"/>
      <c r="CM320" s="65"/>
      <c r="CN320" s="65"/>
      <c r="CO320" s="65"/>
      <c r="CP320" s="65"/>
      <c r="CQ320" s="65"/>
      <c r="CR320" s="65"/>
      <c r="CS320" s="65"/>
      <c r="CT320" s="65"/>
      <c r="CU320" s="65"/>
      <c r="CV320" s="65"/>
      <c r="CW320" s="65"/>
      <c r="CX320" s="65"/>
      <c r="CY320" s="65"/>
      <c r="CZ320" s="65"/>
      <c r="DA320" s="65"/>
      <c r="DB320" s="65"/>
      <c r="DC320" s="65"/>
      <c r="DD320" s="65"/>
      <c r="DE320" s="65"/>
      <c r="DF320" s="65"/>
      <c r="DG320" s="65"/>
      <c r="DH320" s="65"/>
      <c r="DI320" s="65"/>
      <c r="DJ320" s="65"/>
      <c r="DK320" s="65"/>
      <c r="DL320" s="65"/>
      <c r="DM320" s="65"/>
      <c r="DN320" s="65"/>
      <c r="DO320" s="65"/>
      <c r="DP320" s="65"/>
      <c r="DQ320" s="65"/>
      <c r="DR320" s="65"/>
      <c r="DS320" s="65"/>
      <c r="DT320" s="65"/>
    </row>
    <row r="321" spans="1:124" ht="21.75" customHeight="1">
      <c r="A321" s="311"/>
      <c r="B321" s="229" t="s">
        <v>421</v>
      </c>
      <c r="C321" s="230"/>
      <c r="D321" s="231"/>
      <c r="E321" s="69"/>
      <c r="F321" s="69"/>
      <c r="G321" s="69"/>
      <c r="H321" s="69"/>
      <c r="I321" s="69"/>
      <c r="J321" s="69"/>
      <c r="K321" s="69"/>
      <c r="L321" s="69"/>
      <c r="M321" s="69"/>
      <c r="N321" s="69"/>
      <c r="O321" s="69"/>
      <c r="P321" s="69"/>
      <c r="Q321" s="69"/>
      <c r="R321" s="69"/>
      <c r="S321" s="69"/>
      <c r="T321" s="69"/>
      <c r="U321" s="69"/>
      <c r="V321" s="69"/>
      <c r="W321" s="69"/>
      <c r="X321" s="69"/>
      <c r="Y321" s="69"/>
      <c r="Z321" s="69"/>
      <c r="AA321" s="69"/>
      <c r="AB321" s="69"/>
      <c r="AC321" s="69"/>
      <c r="AD321" s="69"/>
      <c r="AE321" s="69"/>
      <c r="AF321" s="69"/>
      <c r="AG321" s="69"/>
      <c r="AH321" s="69"/>
      <c r="AI321" s="69"/>
      <c r="AJ321" s="69"/>
      <c r="AK321" s="69"/>
      <c r="AL321" s="69"/>
      <c r="AM321" s="68"/>
      <c r="AN321" s="68"/>
      <c r="AO321" s="68"/>
      <c r="AP321" s="68"/>
      <c r="AQ321" s="68"/>
      <c r="AR321" s="68"/>
      <c r="AS321" s="68"/>
      <c r="AT321" s="68"/>
      <c r="AU321" s="68"/>
      <c r="AV321" s="68"/>
      <c r="AW321" s="68"/>
      <c r="AX321" s="68"/>
      <c r="AY321" s="68"/>
      <c r="AZ321" s="68"/>
      <c r="BA321" s="68"/>
      <c r="BB321" s="68"/>
      <c r="BC321" s="68"/>
      <c r="BD321" s="68"/>
      <c r="BE321" s="68"/>
      <c r="BF321" s="68"/>
      <c r="BG321" s="68"/>
      <c r="BH321" s="68"/>
      <c r="BI321" s="68"/>
      <c r="BJ321" s="68"/>
      <c r="BK321" s="68"/>
      <c r="BL321" s="68"/>
      <c r="BM321" s="68"/>
      <c r="BN321" s="68"/>
      <c r="BO321" s="68"/>
      <c r="BP321" s="68"/>
      <c r="BQ321" s="68"/>
      <c r="BR321" s="68"/>
      <c r="BS321" s="68"/>
      <c r="BT321" s="68"/>
      <c r="BU321" s="68"/>
      <c r="BV321" s="68"/>
      <c r="BW321" s="68"/>
      <c r="BX321" s="68"/>
      <c r="BY321" s="68"/>
      <c r="BZ321" s="68"/>
      <c r="CA321" s="68"/>
      <c r="CB321" s="68"/>
      <c r="CC321" s="68"/>
      <c r="CD321" s="68"/>
      <c r="CE321" s="68"/>
      <c r="CF321" s="68"/>
      <c r="CG321" s="68"/>
      <c r="CH321" s="68"/>
      <c r="CI321" s="68"/>
      <c r="CJ321" s="68"/>
      <c r="CK321" s="68"/>
      <c r="CL321" s="68"/>
      <c r="CM321" s="68"/>
      <c r="CN321" s="68"/>
      <c r="CO321" s="68"/>
      <c r="CP321" s="68"/>
      <c r="CQ321" s="68"/>
      <c r="CR321" s="68"/>
      <c r="CS321" s="68"/>
      <c r="CT321" s="68"/>
      <c r="CU321" s="68"/>
      <c r="CV321" s="68"/>
      <c r="CW321" s="68"/>
      <c r="CX321" s="68"/>
      <c r="CY321" s="68"/>
      <c r="CZ321" s="68"/>
      <c r="DA321" s="68"/>
      <c r="DB321" s="68"/>
      <c r="DC321" s="68"/>
      <c r="DD321" s="68"/>
      <c r="DE321" s="68"/>
      <c r="DF321" s="68"/>
      <c r="DG321" s="68"/>
      <c r="DH321" s="68"/>
      <c r="DI321" s="68"/>
      <c r="DJ321" s="68"/>
      <c r="DK321" s="68"/>
      <c r="DL321" s="68"/>
      <c r="DM321" s="68"/>
      <c r="DN321" s="68"/>
      <c r="DO321" s="68"/>
      <c r="DP321" s="68"/>
      <c r="DQ321" s="68"/>
      <c r="DR321" s="68"/>
      <c r="DS321" s="68"/>
      <c r="DT321" s="68"/>
    </row>
    <row r="322" spans="1:124" ht="21.75" customHeight="1">
      <c r="A322" s="311"/>
      <c r="B322" s="232"/>
      <c r="C322" s="233"/>
      <c r="D322" s="234"/>
      <c r="E322" s="70"/>
      <c r="F322" s="70"/>
      <c r="G322" s="70"/>
      <c r="H322" s="70"/>
      <c r="I322" s="70"/>
      <c r="J322" s="70"/>
      <c r="K322" s="70"/>
      <c r="L322" s="70"/>
      <c r="M322" s="70"/>
      <c r="N322" s="70"/>
      <c r="O322" s="70"/>
      <c r="P322" s="70"/>
      <c r="Q322" s="70"/>
      <c r="R322" s="70"/>
      <c r="S322" s="70"/>
      <c r="T322" s="70"/>
      <c r="U322" s="70"/>
      <c r="V322" s="70"/>
      <c r="W322" s="70"/>
      <c r="X322" s="70"/>
      <c r="Y322" s="70"/>
      <c r="Z322" s="70"/>
      <c r="AA322" s="70"/>
      <c r="AB322" s="70"/>
      <c r="AC322" s="70"/>
      <c r="AD322" s="70"/>
      <c r="AE322" s="70"/>
      <c r="AF322" s="70"/>
      <c r="AG322" s="70"/>
      <c r="AH322" s="70"/>
      <c r="AI322" s="70"/>
      <c r="AJ322" s="70"/>
      <c r="AK322" s="70"/>
      <c r="AL322" s="70"/>
      <c r="AM322" s="65"/>
      <c r="AN322" s="65"/>
      <c r="AO322" s="65"/>
      <c r="AP322" s="65"/>
      <c r="AQ322" s="65"/>
      <c r="AR322" s="65"/>
      <c r="AS322" s="65"/>
      <c r="AT322" s="65"/>
      <c r="AU322" s="65"/>
      <c r="AV322" s="65"/>
      <c r="AW322" s="65"/>
      <c r="AX322" s="65"/>
      <c r="AY322" s="65"/>
      <c r="AZ322" s="65"/>
      <c r="BA322" s="65"/>
      <c r="BB322" s="65"/>
      <c r="BC322" s="65"/>
      <c r="BD322" s="65"/>
      <c r="BE322" s="65"/>
      <c r="BF322" s="65"/>
      <c r="BG322" s="65"/>
      <c r="BH322" s="65"/>
      <c r="BI322" s="65"/>
      <c r="BJ322" s="65"/>
      <c r="BK322" s="65"/>
      <c r="BL322" s="65"/>
      <c r="BM322" s="65"/>
      <c r="BN322" s="65"/>
      <c r="BO322" s="65"/>
      <c r="BP322" s="65"/>
      <c r="BQ322" s="65"/>
      <c r="BR322" s="65"/>
      <c r="BS322" s="65"/>
      <c r="BT322" s="65"/>
      <c r="BU322" s="65"/>
      <c r="BV322" s="65"/>
      <c r="BW322" s="65"/>
      <c r="BX322" s="65"/>
      <c r="BY322" s="65"/>
      <c r="BZ322" s="65"/>
      <c r="CA322" s="65"/>
      <c r="CB322" s="65"/>
      <c r="CC322" s="65"/>
      <c r="CD322" s="65"/>
      <c r="CE322" s="65"/>
      <c r="CF322" s="65"/>
      <c r="CG322" s="65"/>
      <c r="CH322" s="65"/>
      <c r="CI322" s="65"/>
      <c r="CJ322" s="65"/>
      <c r="CK322" s="65"/>
      <c r="CL322" s="65"/>
      <c r="CM322" s="65"/>
      <c r="CN322" s="65"/>
      <c r="CO322" s="65"/>
      <c r="CP322" s="65"/>
      <c r="CQ322" s="65"/>
      <c r="CR322" s="65"/>
      <c r="CS322" s="65"/>
      <c r="CT322" s="65"/>
      <c r="CU322" s="65"/>
      <c r="CV322" s="65"/>
      <c r="CW322" s="65"/>
      <c r="CX322" s="65"/>
      <c r="CY322" s="65"/>
      <c r="CZ322" s="65"/>
      <c r="DA322" s="65"/>
      <c r="DB322" s="65"/>
      <c r="DC322" s="65"/>
      <c r="DD322" s="65"/>
      <c r="DE322" s="65"/>
      <c r="DF322" s="65"/>
      <c r="DG322" s="65"/>
      <c r="DH322" s="65"/>
      <c r="DI322" s="65"/>
      <c r="DJ322" s="65"/>
      <c r="DK322" s="65"/>
      <c r="DL322" s="65"/>
      <c r="DM322" s="65"/>
      <c r="DN322" s="65"/>
      <c r="DO322" s="65"/>
      <c r="DP322" s="65"/>
      <c r="DQ322" s="65"/>
      <c r="DR322" s="65"/>
      <c r="DS322" s="65"/>
      <c r="DT322" s="65"/>
    </row>
    <row r="323" spans="1:124" ht="21.75" customHeight="1" thickBot="1">
      <c r="A323" s="311"/>
    </row>
    <row r="324" spans="1:124" ht="21.75" customHeight="1">
      <c r="A324" s="313"/>
      <c r="B324" s="176" t="s">
        <v>41</v>
      </c>
      <c r="C324" s="177"/>
      <c r="D324" s="178"/>
      <c r="E324" s="185"/>
      <c r="F324" s="280">
        <v>41456</v>
      </c>
      <c r="G324" s="280">
        <v>41548</v>
      </c>
      <c r="H324" s="186"/>
      <c r="I324" s="186"/>
      <c r="J324" s="186"/>
      <c r="K324" s="186"/>
      <c r="L324" s="186"/>
      <c r="M324" s="186"/>
      <c r="N324" s="186"/>
      <c r="O324" s="186"/>
      <c r="P324" s="186"/>
      <c r="Q324" s="186"/>
      <c r="R324" s="186"/>
      <c r="S324" s="186"/>
      <c r="T324" s="186"/>
      <c r="U324" s="185">
        <v>41652</v>
      </c>
      <c r="V324" s="186"/>
      <c r="W324" s="185">
        <v>41659</v>
      </c>
      <c r="X324" s="185">
        <v>41743</v>
      </c>
      <c r="Y324" s="185">
        <v>41750</v>
      </c>
      <c r="Z324" s="185">
        <v>41754</v>
      </c>
      <c r="AA324" s="185">
        <v>41757</v>
      </c>
      <c r="AB324" s="185">
        <v>41761</v>
      </c>
      <c r="AC324" s="185">
        <v>41764</v>
      </c>
      <c r="AD324" s="185">
        <v>41768</v>
      </c>
      <c r="AE324" s="185">
        <v>41771</v>
      </c>
      <c r="AF324" s="185">
        <v>41773</v>
      </c>
      <c r="AG324" s="185">
        <v>41775</v>
      </c>
      <c r="AH324" s="185">
        <v>41778</v>
      </c>
      <c r="AI324" s="185">
        <v>41780</v>
      </c>
      <c r="AJ324" s="185">
        <v>41782</v>
      </c>
      <c r="AK324" s="185">
        <v>41787</v>
      </c>
      <c r="AL324" s="182"/>
      <c r="AM324" s="182"/>
      <c r="AN324" s="182"/>
      <c r="AO324" s="182"/>
      <c r="AP324" s="186">
        <v>41971</v>
      </c>
      <c r="AQ324" s="186">
        <v>41971</v>
      </c>
      <c r="AR324" s="186">
        <v>41971</v>
      </c>
      <c r="AS324" s="182">
        <v>41876</v>
      </c>
      <c r="AT324" s="182">
        <v>41878</v>
      </c>
      <c r="AU324" s="182">
        <v>41880</v>
      </c>
      <c r="AV324" s="182">
        <v>41883</v>
      </c>
      <c r="AW324" s="182">
        <v>41885</v>
      </c>
      <c r="AX324" s="182">
        <v>41887</v>
      </c>
      <c r="AY324" s="194">
        <v>41890</v>
      </c>
      <c r="AZ324" s="185">
        <v>41892</v>
      </c>
      <c r="BA324" s="185">
        <v>41894</v>
      </c>
      <c r="BB324" s="186">
        <v>41897</v>
      </c>
      <c r="BC324" s="186">
        <v>41899</v>
      </c>
      <c r="BD324" s="186">
        <v>41901</v>
      </c>
      <c r="BE324" s="186">
        <v>41904</v>
      </c>
      <c r="BF324" s="186">
        <v>41906</v>
      </c>
      <c r="BG324" s="186">
        <v>41908</v>
      </c>
      <c r="BH324" s="186">
        <v>41911</v>
      </c>
      <c r="BI324" s="186">
        <v>41913</v>
      </c>
      <c r="BJ324" s="186">
        <v>41915</v>
      </c>
      <c r="BK324" s="186">
        <v>41918</v>
      </c>
      <c r="BL324" s="186">
        <v>41920</v>
      </c>
      <c r="BM324" s="186">
        <v>41922</v>
      </c>
      <c r="BN324" s="186">
        <v>41925</v>
      </c>
      <c r="BO324" s="186">
        <v>41927</v>
      </c>
      <c r="BP324" s="186">
        <v>41929</v>
      </c>
      <c r="BQ324" s="186">
        <v>41932</v>
      </c>
      <c r="BR324" s="186">
        <v>41934</v>
      </c>
      <c r="BS324" s="186">
        <v>41936</v>
      </c>
      <c r="BT324" s="186">
        <v>41939</v>
      </c>
      <c r="BU324" s="186">
        <v>41941</v>
      </c>
      <c r="BV324" s="186">
        <v>41943</v>
      </c>
      <c r="BW324" s="186">
        <v>41946</v>
      </c>
      <c r="BX324" s="186">
        <v>41948</v>
      </c>
      <c r="BY324" s="186">
        <v>41950</v>
      </c>
      <c r="BZ324" s="186">
        <v>41953</v>
      </c>
      <c r="CA324" s="186">
        <v>41955</v>
      </c>
      <c r="CB324" s="186">
        <v>41957</v>
      </c>
      <c r="CC324" s="186">
        <v>41960</v>
      </c>
      <c r="CD324" s="186">
        <v>41962</v>
      </c>
      <c r="CE324" s="186">
        <v>41964</v>
      </c>
      <c r="CF324" s="186">
        <v>41967</v>
      </c>
      <c r="CG324" s="186">
        <v>41969</v>
      </c>
      <c r="CH324" s="186">
        <v>41971</v>
      </c>
      <c r="CI324" s="186">
        <v>41971</v>
      </c>
      <c r="CJ324" s="186">
        <v>41971</v>
      </c>
      <c r="CK324" s="186">
        <v>41971</v>
      </c>
      <c r="CL324" s="186">
        <v>41971</v>
      </c>
      <c r="CM324" s="186">
        <v>41971</v>
      </c>
      <c r="CN324" s="186">
        <v>41971</v>
      </c>
      <c r="CO324" s="186">
        <v>41971</v>
      </c>
      <c r="CP324" s="186">
        <v>41971</v>
      </c>
      <c r="CQ324" s="186">
        <v>41971</v>
      </c>
      <c r="CR324" s="186">
        <v>41971</v>
      </c>
      <c r="CS324" s="186">
        <v>41971</v>
      </c>
      <c r="CT324" s="186">
        <v>41971</v>
      </c>
      <c r="CU324" s="186">
        <v>41971</v>
      </c>
      <c r="CV324" s="186">
        <v>41971</v>
      </c>
      <c r="CW324" s="186">
        <v>41971</v>
      </c>
      <c r="CX324" s="186">
        <v>41971</v>
      </c>
      <c r="CY324" s="186">
        <v>41971</v>
      </c>
      <c r="CZ324" s="186">
        <v>41971</v>
      </c>
      <c r="DA324" s="186">
        <v>41971</v>
      </c>
      <c r="DB324" s="186">
        <v>41971</v>
      </c>
      <c r="DC324" s="186">
        <v>41971</v>
      </c>
      <c r="DD324" s="186">
        <v>41971</v>
      </c>
      <c r="DE324" s="186">
        <v>41971</v>
      </c>
      <c r="DF324" s="186">
        <v>41971</v>
      </c>
      <c r="DG324" s="186">
        <v>41971</v>
      </c>
      <c r="DH324" s="186">
        <v>41971</v>
      </c>
      <c r="DI324" s="186">
        <v>41971</v>
      </c>
      <c r="DJ324" s="186">
        <v>41971</v>
      </c>
      <c r="DK324" s="186">
        <v>41971</v>
      </c>
      <c r="DL324" s="186">
        <v>41971</v>
      </c>
      <c r="DM324" s="186">
        <v>41971</v>
      </c>
      <c r="DN324" s="186">
        <v>41971</v>
      </c>
      <c r="DO324" s="186">
        <v>41971</v>
      </c>
      <c r="DP324" s="186">
        <v>41971</v>
      </c>
      <c r="DQ324" s="186">
        <v>41971</v>
      </c>
      <c r="DR324" s="186">
        <v>41971</v>
      </c>
      <c r="DS324" s="186">
        <v>41971</v>
      </c>
      <c r="DT324" s="186">
        <v>41971</v>
      </c>
    </row>
    <row r="325" spans="1:124" ht="21.75" customHeight="1">
      <c r="A325" s="313"/>
      <c r="B325" s="179"/>
      <c r="C325" s="180"/>
      <c r="D325" s="181"/>
      <c r="E325" s="186"/>
      <c r="F325" s="281"/>
      <c r="G325" s="281"/>
      <c r="H325" s="186"/>
      <c r="I325" s="186"/>
      <c r="J325" s="186"/>
      <c r="K325" s="186"/>
      <c r="L325" s="186"/>
      <c r="M325" s="186"/>
      <c r="N325" s="186"/>
      <c r="O325" s="186"/>
      <c r="P325" s="186"/>
      <c r="Q325" s="186"/>
      <c r="R325" s="186"/>
      <c r="S325" s="186"/>
      <c r="T325" s="186"/>
      <c r="U325" s="186"/>
      <c r="V325" s="186"/>
      <c r="W325" s="186"/>
      <c r="X325" s="186"/>
      <c r="Y325" s="186"/>
      <c r="Z325" s="186"/>
      <c r="AA325" s="186"/>
      <c r="AB325" s="186"/>
      <c r="AC325" s="186"/>
      <c r="AD325" s="186"/>
      <c r="AE325" s="186"/>
      <c r="AF325" s="186"/>
      <c r="AG325" s="186"/>
      <c r="AH325" s="186"/>
      <c r="AI325" s="186"/>
      <c r="AJ325" s="186"/>
      <c r="AK325" s="186"/>
      <c r="AL325" s="183"/>
      <c r="AM325" s="183"/>
      <c r="AN325" s="183"/>
      <c r="AO325" s="183"/>
      <c r="AP325" s="186"/>
      <c r="AQ325" s="186"/>
      <c r="AR325" s="186"/>
      <c r="AS325" s="183"/>
      <c r="AT325" s="183"/>
      <c r="AU325" s="183"/>
      <c r="AV325" s="183"/>
      <c r="AW325" s="183"/>
      <c r="AX325" s="183"/>
      <c r="AY325" s="195"/>
      <c r="AZ325" s="186"/>
      <c r="BA325" s="186"/>
      <c r="BB325" s="186"/>
      <c r="BC325" s="186"/>
      <c r="BD325" s="186"/>
      <c r="BE325" s="186"/>
      <c r="BF325" s="186"/>
      <c r="BG325" s="186"/>
      <c r="BH325" s="186"/>
      <c r="BI325" s="186"/>
      <c r="BJ325" s="186"/>
      <c r="BK325" s="186"/>
      <c r="BL325" s="186"/>
      <c r="BM325" s="186"/>
      <c r="BN325" s="186"/>
      <c r="BO325" s="186"/>
      <c r="BP325" s="186"/>
      <c r="BQ325" s="186"/>
      <c r="BR325" s="186"/>
      <c r="BS325" s="186"/>
      <c r="BT325" s="186"/>
      <c r="BU325" s="186"/>
      <c r="BV325" s="186"/>
      <c r="BW325" s="186"/>
      <c r="BX325" s="186"/>
      <c r="BY325" s="186"/>
      <c r="BZ325" s="186"/>
      <c r="CA325" s="186"/>
      <c r="CB325" s="186"/>
      <c r="CC325" s="186"/>
      <c r="CD325" s="186"/>
      <c r="CE325" s="186"/>
      <c r="CF325" s="186"/>
      <c r="CG325" s="186"/>
      <c r="CH325" s="186"/>
      <c r="CI325" s="186"/>
      <c r="CJ325" s="186"/>
      <c r="CK325" s="186"/>
      <c r="CL325" s="186"/>
      <c r="CM325" s="186"/>
      <c r="CN325" s="186"/>
      <c r="CO325" s="186"/>
      <c r="CP325" s="186"/>
      <c r="CQ325" s="186"/>
      <c r="CR325" s="186"/>
      <c r="CS325" s="186"/>
      <c r="CT325" s="186"/>
      <c r="CU325" s="186"/>
      <c r="CV325" s="186"/>
      <c r="CW325" s="186"/>
      <c r="CX325" s="186"/>
      <c r="CY325" s="186"/>
      <c r="CZ325" s="186"/>
      <c r="DA325" s="186"/>
      <c r="DB325" s="186"/>
      <c r="DC325" s="186"/>
      <c r="DD325" s="186"/>
      <c r="DE325" s="186"/>
      <c r="DF325" s="186"/>
      <c r="DG325" s="186"/>
      <c r="DH325" s="186"/>
      <c r="DI325" s="186"/>
      <c r="DJ325" s="186"/>
      <c r="DK325" s="186"/>
      <c r="DL325" s="186"/>
      <c r="DM325" s="186"/>
      <c r="DN325" s="186"/>
      <c r="DO325" s="186"/>
      <c r="DP325" s="186"/>
      <c r="DQ325" s="186"/>
      <c r="DR325" s="186"/>
      <c r="DS325" s="186"/>
      <c r="DT325" s="186"/>
    </row>
    <row r="326" spans="1:124" ht="21.75" customHeight="1">
      <c r="A326" s="313"/>
      <c r="B326" s="179"/>
      <c r="C326" s="180"/>
      <c r="D326" s="181"/>
      <c r="E326" s="186"/>
      <c r="F326" s="281"/>
      <c r="G326" s="281"/>
      <c r="H326" s="186"/>
      <c r="I326" s="186"/>
      <c r="J326" s="186"/>
      <c r="K326" s="186"/>
      <c r="L326" s="186"/>
      <c r="M326" s="186"/>
      <c r="N326" s="186"/>
      <c r="O326" s="186"/>
      <c r="P326" s="186"/>
      <c r="Q326" s="186"/>
      <c r="R326" s="186"/>
      <c r="S326" s="186"/>
      <c r="T326" s="186"/>
      <c r="U326" s="186"/>
      <c r="V326" s="186"/>
      <c r="W326" s="186"/>
      <c r="X326" s="186"/>
      <c r="Y326" s="186"/>
      <c r="Z326" s="186"/>
      <c r="AA326" s="186"/>
      <c r="AB326" s="186"/>
      <c r="AC326" s="186"/>
      <c r="AD326" s="186"/>
      <c r="AE326" s="186"/>
      <c r="AF326" s="186"/>
      <c r="AG326" s="186"/>
      <c r="AH326" s="186"/>
      <c r="AI326" s="186"/>
      <c r="AJ326" s="186"/>
      <c r="AK326" s="186"/>
      <c r="AL326" s="183"/>
      <c r="AM326" s="183"/>
      <c r="AN326" s="183"/>
      <c r="AO326" s="183"/>
      <c r="AP326" s="186"/>
      <c r="AQ326" s="186"/>
      <c r="AR326" s="186"/>
      <c r="AS326" s="183"/>
      <c r="AT326" s="183"/>
      <c r="AU326" s="183"/>
      <c r="AV326" s="183"/>
      <c r="AW326" s="183"/>
      <c r="AX326" s="183"/>
      <c r="AY326" s="195"/>
      <c r="AZ326" s="186"/>
      <c r="BA326" s="186"/>
      <c r="BB326" s="186"/>
      <c r="BC326" s="186"/>
      <c r="BD326" s="186"/>
      <c r="BE326" s="186"/>
      <c r="BF326" s="186"/>
      <c r="BG326" s="186"/>
      <c r="BH326" s="186"/>
      <c r="BI326" s="186"/>
      <c r="BJ326" s="186"/>
      <c r="BK326" s="186"/>
      <c r="BL326" s="186"/>
      <c r="BM326" s="186"/>
      <c r="BN326" s="186"/>
      <c r="BO326" s="186"/>
      <c r="BP326" s="186"/>
      <c r="BQ326" s="186"/>
      <c r="BR326" s="186"/>
      <c r="BS326" s="186"/>
      <c r="BT326" s="186"/>
      <c r="BU326" s="186"/>
      <c r="BV326" s="186"/>
      <c r="BW326" s="186"/>
      <c r="BX326" s="186"/>
      <c r="BY326" s="186"/>
      <c r="BZ326" s="186"/>
      <c r="CA326" s="186"/>
      <c r="CB326" s="186"/>
      <c r="CC326" s="186"/>
      <c r="CD326" s="186"/>
      <c r="CE326" s="186"/>
      <c r="CF326" s="186"/>
      <c r="CG326" s="186"/>
      <c r="CH326" s="186"/>
      <c r="CI326" s="186"/>
      <c r="CJ326" s="186"/>
      <c r="CK326" s="186"/>
      <c r="CL326" s="186"/>
      <c r="CM326" s="186"/>
      <c r="CN326" s="186"/>
      <c r="CO326" s="186"/>
      <c r="CP326" s="186"/>
      <c r="CQ326" s="186"/>
      <c r="CR326" s="186"/>
      <c r="CS326" s="186"/>
      <c r="CT326" s="186"/>
      <c r="CU326" s="186"/>
      <c r="CV326" s="186"/>
      <c r="CW326" s="186"/>
      <c r="CX326" s="186"/>
      <c r="CY326" s="186"/>
      <c r="CZ326" s="186"/>
      <c r="DA326" s="186"/>
      <c r="DB326" s="186"/>
      <c r="DC326" s="186"/>
      <c r="DD326" s="186"/>
      <c r="DE326" s="186"/>
      <c r="DF326" s="186"/>
      <c r="DG326" s="186"/>
      <c r="DH326" s="186"/>
      <c r="DI326" s="186"/>
      <c r="DJ326" s="186"/>
      <c r="DK326" s="186"/>
      <c r="DL326" s="186"/>
      <c r="DM326" s="186"/>
      <c r="DN326" s="186"/>
      <c r="DO326" s="186"/>
      <c r="DP326" s="186"/>
      <c r="DQ326" s="186"/>
      <c r="DR326" s="186"/>
      <c r="DS326" s="186"/>
      <c r="DT326" s="186"/>
    </row>
    <row r="327" spans="1:124" ht="21.75" customHeight="1">
      <c r="A327" s="313"/>
      <c r="B327" s="179"/>
      <c r="C327" s="180"/>
      <c r="D327" s="181"/>
      <c r="E327" s="186"/>
      <c r="F327" s="281"/>
      <c r="G327" s="281"/>
      <c r="H327" s="186"/>
      <c r="I327" s="186"/>
      <c r="J327" s="186"/>
      <c r="K327" s="186"/>
      <c r="L327" s="186"/>
      <c r="M327" s="186"/>
      <c r="N327" s="186"/>
      <c r="O327" s="186"/>
      <c r="P327" s="186"/>
      <c r="Q327" s="186"/>
      <c r="R327" s="186"/>
      <c r="S327" s="186"/>
      <c r="T327" s="186"/>
      <c r="U327" s="186"/>
      <c r="V327" s="186"/>
      <c r="W327" s="186"/>
      <c r="X327" s="186"/>
      <c r="Y327" s="186"/>
      <c r="Z327" s="186"/>
      <c r="AA327" s="186"/>
      <c r="AB327" s="186"/>
      <c r="AC327" s="186"/>
      <c r="AD327" s="186"/>
      <c r="AE327" s="186"/>
      <c r="AF327" s="186"/>
      <c r="AG327" s="186"/>
      <c r="AH327" s="186"/>
      <c r="AI327" s="186"/>
      <c r="AJ327" s="186"/>
      <c r="AK327" s="186"/>
      <c r="AL327" s="183"/>
      <c r="AM327" s="183"/>
      <c r="AN327" s="183"/>
      <c r="AO327" s="183"/>
      <c r="AP327" s="186"/>
      <c r="AQ327" s="186"/>
      <c r="AR327" s="186"/>
      <c r="AS327" s="183"/>
      <c r="AT327" s="183"/>
      <c r="AU327" s="183"/>
      <c r="AV327" s="183"/>
      <c r="AW327" s="183"/>
      <c r="AX327" s="183"/>
      <c r="AY327" s="195"/>
      <c r="AZ327" s="186"/>
      <c r="BA327" s="186"/>
      <c r="BB327" s="186"/>
      <c r="BC327" s="186"/>
      <c r="BD327" s="186"/>
      <c r="BE327" s="186"/>
      <c r="BF327" s="186"/>
      <c r="BG327" s="186"/>
      <c r="BH327" s="186"/>
      <c r="BI327" s="186"/>
      <c r="BJ327" s="186"/>
      <c r="BK327" s="186"/>
      <c r="BL327" s="186"/>
      <c r="BM327" s="186"/>
      <c r="BN327" s="186"/>
      <c r="BO327" s="186"/>
      <c r="BP327" s="186"/>
      <c r="BQ327" s="186"/>
      <c r="BR327" s="186"/>
      <c r="BS327" s="186"/>
      <c r="BT327" s="186"/>
      <c r="BU327" s="186"/>
      <c r="BV327" s="186"/>
      <c r="BW327" s="186"/>
      <c r="BX327" s="186"/>
      <c r="BY327" s="186"/>
      <c r="BZ327" s="186"/>
      <c r="CA327" s="186"/>
      <c r="CB327" s="186"/>
      <c r="CC327" s="186"/>
      <c r="CD327" s="186"/>
      <c r="CE327" s="186"/>
      <c r="CF327" s="186"/>
      <c r="CG327" s="186"/>
      <c r="CH327" s="186"/>
      <c r="CI327" s="186"/>
      <c r="CJ327" s="186"/>
      <c r="CK327" s="186"/>
      <c r="CL327" s="186"/>
      <c r="CM327" s="186"/>
      <c r="CN327" s="186"/>
      <c r="CO327" s="186"/>
      <c r="CP327" s="186"/>
      <c r="CQ327" s="186"/>
      <c r="CR327" s="186"/>
      <c r="CS327" s="186"/>
      <c r="CT327" s="186"/>
      <c r="CU327" s="186"/>
      <c r="CV327" s="186"/>
      <c r="CW327" s="186"/>
      <c r="CX327" s="186"/>
      <c r="CY327" s="186"/>
      <c r="CZ327" s="186"/>
      <c r="DA327" s="186"/>
      <c r="DB327" s="186"/>
      <c r="DC327" s="186"/>
      <c r="DD327" s="186"/>
      <c r="DE327" s="186"/>
      <c r="DF327" s="186"/>
      <c r="DG327" s="186"/>
      <c r="DH327" s="186"/>
      <c r="DI327" s="186"/>
      <c r="DJ327" s="186"/>
      <c r="DK327" s="186"/>
      <c r="DL327" s="186"/>
      <c r="DM327" s="186"/>
      <c r="DN327" s="186"/>
      <c r="DO327" s="186"/>
      <c r="DP327" s="186"/>
      <c r="DQ327" s="186"/>
      <c r="DR327" s="186"/>
      <c r="DS327" s="186"/>
      <c r="DT327" s="186"/>
    </row>
    <row r="328" spans="1:124" ht="21.75" customHeight="1">
      <c r="A328" s="313"/>
      <c r="B328" s="199" t="s">
        <v>365</v>
      </c>
      <c r="C328" s="200"/>
      <c r="D328" s="201"/>
      <c r="E328" s="186"/>
      <c r="F328" s="281"/>
      <c r="G328" s="281"/>
      <c r="H328" s="186"/>
      <c r="I328" s="186"/>
      <c r="J328" s="186"/>
      <c r="K328" s="186"/>
      <c r="L328" s="186"/>
      <c r="M328" s="186"/>
      <c r="N328" s="186"/>
      <c r="O328" s="186"/>
      <c r="P328" s="186"/>
      <c r="Q328" s="186"/>
      <c r="R328" s="186"/>
      <c r="S328" s="186"/>
      <c r="T328" s="186"/>
      <c r="U328" s="186"/>
      <c r="V328" s="186"/>
      <c r="W328" s="186"/>
      <c r="X328" s="186"/>
      <c r="Y328" s="186"/>
      <c r="Z328" s="186"/>
      <c r="AA328" s="186"/>
      <c r="AB328" s="186"/>
      <c r="AC328" s="186"/>
      <c r="AD328" s="186"/>
      <c r="AE328" s="186"/>
      <c r="AF328" s="186"/>
      <c r="AG328" s="186"/>
      <c r="AH328" s="186"/>
      <c r="AI328" s="186"/>
      <c r="AJ328" s="186"/>
      <c r="AK328" s="186"/>
      <c r="AL328" s="183"/>
      <c r="AM328" s="183"/>
      <c r="AN328" s="183"/>
      <c r="AO328" s="183"/>
      <c r="AP328" s="186"/>
      <c r="AQ328" s="186"/>
      <c r="AR328" s="186"/>
      <c r="AS328" s="183"/>
      <c r="AT328" s="183"/>
      <c r="AU328" s="183"/>
      <c r="AV328" s="183"/>
      <c r="AW328" s="183"/>
      <c r="AX328" s="183"/>
      <c r="AY328" s="195"/>
      <c r="AZ328" s="186"/>
      <c r="BA328" s="186"/>
      <c r="BB328" s="186"/>
      <c r="BC328" s="186"/>
      <c r="BD328" s="186"/>
      <c r="BE328" s="186"/>
      <c r="BF328" s="186"/>
      <c r="BG328" s="186"/>
      <c r="BH328" s="186"/>
      <c r="BI328" s="186"/>
      <c r="BJ328" s="186"/>
      <c r="BK328" s="186"/>
      <c r="BL328" s="186"/>
      <c r="BM328" s="186"/>
      <c r="BN328" s="186"/>
      <c r="BO328" s="186"/>
      <c r="BP328" s="186"/>
      <c r="BQ328" s="186"/>
      <c r="BR328" s="186"/>
      <c r="BS328" s="186"/>
      <c r="BT328" s="186"/>
      <c r="BU328" s="186"/>
      <c r="BV328" s="186"/>
      <c r="BW328" s="186"/>
      <c r="BX328" s="186"/>
      <c r="BY328" s="186"/>
      <c r="BZ328" s="186"/>
      <c r="CA328" s="186"/>
      <c r="CB328" s="186"/>
      <c r="CC328" s="186"/>
      <c r="CD328" s="186"/>
      <c r="CE328" s="186"/>
      <c r="CF328" s="186"/>
      <c r="CG328" s="186"/>
      <c r="CH328" s="186"/>
      <c r="CI328" s="186"/>
      <c r="CJ328" s="186"/>
      <c r="CK328" s="186"/>
      <c r="CL328" s="186"/>
      <c r="CM328" s="186"/>
      <c r="CN328" s="186"/>
      <c r="CO328" s="186"/>
      <c r="CP328" s="186"/>
      <c r="CQ328" s="186"/>
      <c r="CR328" s="186"/>
      <c r="CS328" s="186"/>
      <c r="CT328" s="186"/>
      <c r="CU328" s="186"/>
      <c r="CV328" s="186"/>
      <c r="CW328" s="186"/>
      <c r="CX328" s="186"/>
      <c r="CY328" s="186"/>
      <c r="CZ328" s="186"/>
      <c r="DA328" s="186"/>
      <c r="DB328" s="186"/>
      <c r="DC328" s="186"/>
      <c r="DD328" s="186"/>
      <c r="DE328" s="186"/>
      <c r="DF328" s="186"/>
      <c r="DG328" s="186"/>
      <c r="DH328" s="186"/>
      <c r="DI328" s="186"/>
      <c r="DJ328" s="186"/>
      <c r="DK328" s="186"/>
      <c r="DL328" s="186"/>
      <c r="DM328" s="186"/>
      <c r="DN328" s="186"/>
      <c r="DO328" s="186"/>
      <c r="DP328" s="186"/>
      <c r="DQ328" s="186"/>
      <c r="DR328" s="186"/>
      <c r="DS328" s="186"/>
      <c r="DT328" s="186"/>
    </row>
    <row r="329" spans="1:124" ht="21.75" customHeight="1" thickBot="1">
      <c r="A329" s="313"/>
      <c r="B329" s="202"/>
      <c r="C329" s="203"/>
      <c r="D329" s="204"/>
      <c r="E329" s="187"/>
      <c r="F329" s="282"/>
      <c r="G329" s="282"/>
      <c r="H329" s="187"/>
      <c r="I329" s="187"/>
      <c r="J329" s="187"/>
      <c r="K329" s="187"/>
      <c r="L329" s="187"/>
      <c r="M329" s="187"/>
      <c r="N329" s="187"/>
      <c r="O329" s="187"/>
      <c r="P329" s="187"/>
      <c r="Q329" s="187"/>
      <c r="R329" s="187"/>
      <c r="S329" s="187"/>
      <c r="T329" s="187"/>
      <c r="U329" s="187"/>
      <c r="V329" s="187"/>
      <c r="W329" s="187"/>
      <c r="X329" s="187"/>
      <c r="Y329" s="187"/>
      <c r="Z329" s="187"/>
      <c r="AA329" s="187"/>
      <c r="AB329" s="187"/>
      <c r="AC329" s="187"/>
      <c r="AD329" s="187"/>
      <c r="AE329" s="187"/>
      <c r="AF329" s="187"/>
      <c r="AG329" s="187"/>
      <c r="AH329" s="187"/>
      <c r="AI329" s="187"/>
      <c r="AJ329" s="187"/>
      <c r="AK329" s="187"/>
      <c r="AL329" s="184"/>
      <c r="AM329" s="184"/>
      <c r="AN329" s="184"/>
      <c r="AO329" s="184"/>
      <c r="AP329" s="186"/>
      <c r="AQ329" s="186"/>
      <c r="AR329" s="186"/>
      <c r="AS329" s="184"/>
      <c r="AT329" s="184"/>
      <c r="AU329" s="184"/>
      <c r="AV329" s="184"/>
      <c r="AW329" s="184"/>
      <c r="AX329" s="184"/>
      <c r="AY329" s="196"/>
      <c r="AZ329" s="187"/>
      <c r="BA329" s="187"/>
      <c r="BB329" s="186"/>
      <c r="BC329" s="186"/>
      <c r="BD329" s="186"/>
      <c r="BE329" s="186"/>
      <c r="BF329" s="186"/>
      <c r="BG329" s="186"/>
      <c r="BH329" s="186"/>
      <c r="BI329" s="186"/>
      <c r="BJ329" s="186"/>
      <c r="BK329" s="186"/>
      <c r="BL329" s="186"/>
      <c r="BM329" s="186"/>
      <c r="BN329" s="186"/>
      <c r="BO329" s="186"/>
      <c r="BP329" s="186"/>
      <c r="BQ329" s="186"/>
      <c r="BR329" s="186"/>
      <c r="BS329" s="186"/>
      <c r="BT329" s="186"/>
      <c r="BU329" s="186"/>
      <c r="BV329" s="186"/>
      <c r="BW329" s="186"/>
      <c r="BX329" s="186"/>
      <c r="BY329" s="186"/>
      <c r="BZ329" s="186"/>
      <c r="CA329" s="186"/>
      <c r="CB329" s="186"/>
      <c r="CC329" s="186"/>
      <c r="CD329" s="186"/>
      <c r="CE329" s="186"/>
      <c r="CF329" s="186"/>
      <c r="CG329" s="186"/>
      <c r="CH329" s="186"/>
      <c r="CI329" s="186"/>
      <c r="CJ329" s="186"/>
      <c r="CK329" s="186"/>
      <c r="CL329" s="186"/>
      <c r="CM329" s="186"/>
      <c r="CN329" s="186"/>
      <c r="CO329" s="186"/>
      <c r="CP329" s="186"/>
      <c r="CQ329" s="186"/>
      <c r="CR329" s="186"/>
      <c r="CS329" s="186"/>
      <c r="CT329" s="186"/>
      <c r="CU329" s="186"/>
      <c r="CV329" s="186"/>
      <c r="CW329" s="186"/>
      <c r="CX329" s="186"/>
      <c r="CY329" s="186"/>
      <c r="CZ329" s="186"/>
      <c r="DA329" s="186"/>
      <c r="DB329" s="186"/>
      <c r="DC329" s="186"/>
      <c r="DD329" s="186"/>
      <c r="DE329" s="186"/>
      <c r="DF329" s="186"/>
      <c r="DG329" s="186"/>
      <c r="DH329" s="186"/>
      <c r="DI329" s="186"/>
      <c r="DJ329" s="186"/>
      <c r="DK329" s="186"/>
      <c r="DL329" s="186"/>
      <c r="DM329" s="186"/>
      <c r="DN329" s="186"/>
      <c r="DO329" s="186"/>
      <c r="DP329" s="186"/>
      <c r="DQ329" s="186"/>
      <c r="DR329" s="186"/>
      <c r="DS329" s="186"/>
      <c r="DT329" s="186"/>
    </row>
    <row r="330" spans="1:124" s="55" customFormat="1" ht="21.75" customHeight="1">
      <c r="A330" s="313"/>
      <c r="B330" s="205" t="s">
        <v>366</v>
      </c>
      <c r="C330" s="206"/>
      <c r="D330" s="206"/>
      <c r="E330" s="197"/>
      <c r="F330" s="197" t="s">
        <v>40</v>
      </c>
      <c r="G330" s="197" t="s">
        <v>40</v>
      </c>
      <c r="H330" s="197"/>
      <c r="I330" s="197"/>
      <c r="J330" s="197"/>
      <c r="K330" s="197"/>
      <c r="L330" s="197"/>
      <c r="M330" s="197"/>
      <c r="N330" s="197"/>
      <c r="O330" s="197"/>
      <c r="P330" s="197"/>
      <c r="Q330" s="197"/>
      <c r="R330" s="197"/>
      <c r="S330" s="197"/>
      <c r="T330" s="197"/>
      <c r="U330" s="197"/>
      <c r="V330" s="197"/>
      <c r="W330" s="197"/>
      <c r="X330" s="197"/>
      <c r="Y330" s="197"/>
      <c r="Z330" s="197"/>
      <c r="AA330" s="209" t="s">
        <v>367</v>
      </c>
      <c r="AB330" s="211"/>
      <c r="AC330" s="211"/>
      <c r="AD330" s="211"/>
      <c r="AE330" s="211"/>
      <c r="AF330" s="211"/>
      <c r="AG330" s="211" t="s">
        <v>111</v>
      </c>
      <c r="AH330" s="211" t="s">
        <v>111</v>
      </c>
      <c r="AI330" s="211"/>
      <c r="AJ330" s="197"/>
      <c r="AK330" s="209" t="s">
        <v>58</v>
      </c>
      <c r="AL330" s="197"/>
      <c r="AM330" s="197"/>
      <c r="AN330" s="197"/>
      <c r="AO330" s="197"/>
      <c r="AP330" s="197"/>
      <c r="AQ330" s="197"/>
      <c r="AR330" s="197"/>
      <c r="AS330" s="197"/>
      <c r="AT330" s="197"/>
      <c r="AU330" s="197"/>
      <c r="AV330" s="197"/>
      <c r="AW330" s="197"/>
      <c r="AX330" s="197"/>
      <c r="AY330" s="197"/>
      <c r="AZ330" s="197"/>
      <c r="BA330" s="197"/>
      <c r="BB330" s="215" t="s">
        <v>160</v>
      </c>
      <c r="BC330" s="215" t="s">
        <v>160</v>
      </c>
      <c r="BD330" s="215" t="s">
        <v>160</v>
      </c>
      <c r="BE330" s="197" t="s">
        <v>161</v>
      </c>
      <c r="BF330" s="197"/>
      <c r="BG330" s="197"/>
      <c r="BH330" s="197"/>
      <c r="BI330" s="197"/>
      <c r="BJ330" s="197"/>
      <c r="BK330" s="215" t="s">
        <v>369</v>
      </c>
      <c r="BL330" s="215" t="s">
        <v>369</v>
      </c>
      <c r="BM330" s="215" t="s">
        <v>369</v>
      </c>
      <c r="BN330" s="197"/>
      <c r="BO330" s="197"/>
      <c r="BP330" s="197"/>
      <c r="BQ330" s="197"/>
      <c r="BR330" s="197"/>
      <c r="BS330" s="197"/>
      <c r="BT330" s="197"/>
      <c r="BU330" s="197"/>
      <c r="BV330" s="215" t="s">
        <v>370</v>
      </c>
      <c r="BW330" s="215" t="s">
        <v>370</v>
      </c>
      <c r="BX330" s="215" t="s">
        <v>370</v>
      </c>
      <c r="BY330" s="215" t="s">
        <v>370</v>
      </c>
      <c r="BZ330" s="215" t="s">
        <v>370</v>
      </c>
      <c r="CA330" s="215" t="s">
        <v>370</v>
      </c>
      <c r="CB330" s="197"/>
      <c r="CC330" s="197"/>
      <c r="CD330" s="197"/>
      <c r="CE330" s="197"/>
      <c r="CF330" s="197"/>
      <c r="CG330" s="197"/>
      <c r="CH330" s="197"/>
      <c r="CI330" s="197"/>
      <c r="CJ330" s="197"/>
      <c r="CK330" s="215" t="s">
        <v>371</v>
      </c>
      <c r="CL330" s="215" t="s">
        <v>371</v>
      </c>
      <c r="CM330" s="215" t="s">
        <v>371</v>
      </c>
      <c r="CN330" s="215" t="s">
        <v>371</v>
      </c>
      <c r="CO330" s="215" t="s">
        <v>371</v>
      </c>
      <c r="CP330" s="215" t="s">
        <v>371</v>
      </c>
      <c r="CQ330" s="215" t="s">
        <v>371</v>
      </c>
      <c r="CR330" s="197"/>
      <c r="CS330" s="197"/>
      <c r="CT330" s="197"/>
      <c r="CU330" s="197"/>
      <c r="CV330" s="197"/>
      <c r="CW330" s="197"/>
      <c r="CX330" s="197"/>
      <c r="CY330" s="197"/>
      <c r="CZ330" s="197"/>
      <c r="DA330" s="197"/>
      <c r="DB330" s="197"/>
      <c r="DC330" s="197"/>
      <c r="DD330" s="197"/>
      <c r="DE330" s="197"/>
      <c r="DF330" s="215" t="s">
        <v>372</v>
      </c>
      <c r="DG330" s="215" t="s">
        <v>372</v>
      </c>
      <c r="DH330" s="215" t="s">
        <v>372</v>
      </c>
      <c r="DI330" s="215" t="s">
        <v>372</v>
      </c>
      <c r="DJ330" s="215" t="s">
        <v>372</v>
      </c>
      <c r="DK330" s="215" t="s">
        <v>372</v>
      </c>
      <c r="DL330" s="197"/>
      <c r="DM330" s="197"/>
      <c r="DN330" s="197"/>
      <c r="DO330" s="197"/>
      <c r="DP330" s="197"/>
      <c r="DQ330" s="197"/>
      <c r="DR330" s="197"/>
      <c r="DS330" s="197"/>
      <c r="DT330" s="197"/>
    </row>
    <row r="331" spans="1:124" s="55" customFormat="1" ht="21.75" customHeight="1">
      <c r="A331" s="313"/>
      <c r="B331" s="207"/>
      <c r="C331" s="208"/>
      <c r="D331" s="208"/>
      <c r="E331" s="198"/>
      <c r="F331" s="198"/>
      <c r="G331" s="198"/>
      <c r="H331" s="198"/>
      <c r="I331" s="198"/>
      <c r="J331" s="198"/>
      <c r="K331" s="198"/>
      <c r="L331" s="198"/>
      <c r="M331" s="198"/>
      <c r="N331" s="198"/>
      <c r="O331" s="198"/>
      <c r="P331" s="198"/>
      <c r="Q331" s="198"/>
      <c r="R331" s="198"/>
      <c r="S331" s="198"/>
      <c r="T331" s="198"/>
      <c r="U331" s="198"/>
      <c r="V331" s="198"/>
      <c r="W331" s="198"/>
      <c r="X331" s="198"/>
      <c r="Y331" s="198"/>
      <c r="Z331" s="198"/>
      <c r="AA331" s="210"/>
      <c r="AB331" s="212"/>
      <c r="AC331" s="212"/>
      <c r="AD331" s="212"/>
      <c r="AE331" s="212"/>
      <c r="AF331" s="212"/>
      <c r="AG331" s="212"/>
      <c r="AH331" s="212"/>
      <c r="AI331" s="212"/>
      <c r="AJ331" s="198"/>
      <c r="AK331" s="210"/>
      <c r="AL331" s="198"/>
      <c r="AM331" s="198"/>
      <c r="AN331" s="198"/>
      <c r="AO331" s="198"/>
      <c r="AP331" s="198"/>
      <c r="AQ331" s="198"/>
      <c r="AR331" s="198"/>
      <c r="AS331" s="198"/>
      <c r="AT331" s="198"/>
      <c r="AU331" s="198"/>
      <c r="AV331" s="198"/>
      <c r="AW331" s="198"/>
      <c r="AX331" s="198"/>
      <c r="AY331" s="198"/>
      <c r="AZ331" s="198"/>
      <c r="BA331" s="198"/>
      <c r="BB331" s="216"/>
      <c r="BC331" s="216"/>
      <c r="BD331" s="216"/>
      <c r="BE331" s="198"/>
      <c r="BF331" s="198"/>
      <c r="BG331" s="198"/>
      <c r="BH331" s="198"/>
      <c r="BI331" s="198"/>
      <c r="BJ331" s="198"/>
      <c r="BK331" s="216"/>
      <c r="BL331" s="216"/>
      <c r="BM331" s="216"/>
      <c r="BN331" s="198"/>
      <c r="BO331" s="198"/>
      <c r="BP331" s="198"/>
      <c r="BQ331" s="198"/>
      <c r="BR331" s="198"/>
      <c r="BS331" s="198"/>
      <c r="BT331" s="198"/>
      <c r="BU331" s="198"/>
      <c r="BV331" s="216"/>
      <c r="BW331" s="216"/>
      <c r="BX331" s="216"/>
      <c r="BY331" s="216"/>
      <c r="BZ331" s="216"/>
      <c r="CA331" s="216"/>
      <c r="CB331" s="198"/>
      <c r="CC331" s="198"/>
      <c r="CD331" s="198"/>
      <c r="CE331" s="198"/>
      <c r="CF331" s="198"/>
      <c r="CG331" s="198"/>
      <c r="CH331" s="198"/>
      <c r="CI331" s="198"/>
      <c r="CJ331" s="198"/>
      <c r="CK331" s="216"/>
      <c r="CL331" s="216"/>
      <c r="CM331" s="216"/>
      <c r="CN331" s="216"/>
      <c r="CO331" s="216"/>
      <c r="CP331" s="216"/>
      <c r="CQ331" s="216"/>
      <c r="CR331" s="198"/>
      <c r="CS331" s="198"/>
      <c r="CT331" s="198"/>
      <c r="CU331" s="198"/>
      <c r="CV331" s="198"/>
      <c r="CW331" s="198"/>
      <c r="CX331" s="198"/>
      <c r="CY331" s="198"/>
      <c r="CZ331" s="198"/>
      <c r="DA331" s="198"/>
      <c r="DB331" s="198"/>
      <c r="DC331" s="198"/>
      <c r="DD331" s="198"/>
      <c r="DE331" s="198"/>
      <c r="DF331" s="216"/>
      <c r="DG331" s="216"/>
      <c r="DH331" s="216"/>
      <c r="DI331" s="216"/>
      <c r="DJ331" s="216"/>
      <c r="DK331" s="216"/>
      <c r="DL331" s="198"/>
      <c r="DM331" s="198"/>
      <c r="DN331" s="198"/>
      <c r="DO331" s="198"/>
      <c r="DP331" s="198"/>
      <c r="DQ331" s="198"/>
      <c r="DR331" s="198"/>
      <c r="DS331" s="198"/>
      <c r="DT331" s="198"/>
    </row>
    <row r="332" spans="1:124" ht="21.75" customHeight="1">
      <c r="A332" s="313"/>
      <c r="B332" s="221" t="s">
        <v>12</v>
      </c>
      <c r="C332" s="222"/>
      <c r="D332" s="222"/>
      <c r="E332" s="56"/>
      <c r="F332" s="56"/>
      <c r="G332" s="56"/>
      <c r="H332" s="56"/>
      <c r="I332" s="56"/>
      <c r="J332" s="56"/>
      <c r="K332" s="56"/>
      <c r="L332" s="56"/>
      <c r="M332" s="56"/>
      <c r="N332" s="56"/>
      <c r="O332" s="56"/>
      <c r="P332" s="56"/>
      <c r="Q332" s="56"/>
      <c r="R332" s="56"/>
      <c r="S332" s="56"/>
      <c r="T332" s="56"/>
      <c r="U332" s="56"/>
      <c r="V332" s="56"/>
      <c r="W332" s="56"/>
      <c r="X332" s="56">
        <v>79.2</v>
      </c>
      <c r="Y332" s="56">
        <v>79.400000000000006</v>
      </c>
      <c r="Z332" s="56">
        <v>79</v>
      </c>
      <c r="AA332" s="56">
        <v>96.6</v>
      </c>
      <c r="AB332" s="56">
        <v>78.8</v>
      </c>
      <c r="AC332" s="58">
        <v>78.400000000000006</v>
      </c>
      <c r="AD332" s="56">
        <v>79.7</v>
      </c>
      <c r="AE332" s="56">
        <v>79.2</v>
      </c>
      <c r="AF332" s="56">
        <v>78.8</v>
      </c>
      <c r="AG332" s="56">
        <v>79.400000000000006</v>
      </c>
      <c r="AH332" s="56">
        <v>78.099999999999994</v>
      </c>
      <c r="AI332" s="56"/>
      <c r="AJ332" s="56"/>
      <c r="AK332" s="56">
        <v>79.099999999999994</v>
      </c>
      <c r="AL332" s="56"/>
      <c r="AM332" s="56"/>
      <c r="AN332" s="56"/>
      <c r="AO332" s="56"/>
      <c r="AP332" s="56"/>
      <c r="AQ332" s="56"/>
      <c r="AR332" s="56"/>
      <c r="AS332" s="56">
        <v>78.7</v>
      </c>
      <c r="AT332" s="56">
        <v>78.900000000000006</v>
      </c>
      <c r="AU332" s="56">
        <v>79.3</v>
      </c>
      <c r="AV332" s="56">
        <v>80.2</v>
      </c>
      <c r="AW332" s="56"/>
      <c r="AX332" s="56"/>
      <c r="AY332" s="56"/>
      <c r="AZ332" s="56"/>
      <c r="BA332" s="56"/>
      <c r="BB332" s="56"/>
      <c r="BC332" s="56"/>
      <c r="BD332" s="56"/>
      <c r="BE332" s="56"/>
      <c r="BF332" s="56"/>
      <c r="BG332" s="56"/>
      <c r="BH332" s="56"/>
      <c r="BI332" s="56"/>
      <c r="BJ332" s="56"/>
      <c r="BK332" s="56"/>
      <c r="BL332" s="56"/>
      <c r="BM332" s="56"/>
      <c r="BN332" s="56"/>
      <c r="BO332" s="56"/>
      <c r="BP332" s="56"/>
      <c r="BQ332" s="56"/>
      <c r="BR332" s="56"/>
      <c r="BS332" s="56"/>
      <c r="BT332" s="56"/>
      <c r="BU332" s="56"/>
      <c r="BV332" s="56"/>
      <c r="BW332" s="56"/>
      <c r="BX332" s="56"/>
      <c r="BY332" s="56"/>
      <c r="BZ332" s="56"/>
      <c r="CA332" s="56"/>
      <c r="CB332" s="56"/>
      <c r="CC332" s="56"/>
      <c r="CD332" s="56"/>
      <c r="CE332" s="56"/>
      <c r="CF332" s="56"/>
      <c r="CG332" s="56"/>
      <c r="CH332" s="56"/>
      <c r="CI332" s="56"/>
      <c r="CJ332" s="56"/>
      <c r="CK332" s="56"/>
      <c r="CL332" s="56"/>
      <c r="CM332" s="56"/>
      <c r="CN332" s="56"/>
      <c r="CO332" s="56"/>
      <c r="CP332" s="56"/>
      <c r="CQ332" s="56"/>
      <c r="CR332" s="56"/>
      <c r="CS332" s="56"/>
      <c r="CT332" s="56"/>
      <c r="CU332" s="56"/>
      <c r="CV332" s="56"/>
      <c r="CW332" s="56"/>
      <c r="CX332" s="56"/>
      <c r="CY332" s="56"/>
      <c r="CZ332" s="56"/>
      <c r="DA332" s="56"/>
      <c r="DB332" s="56"/>
      <c r="DC332" s="56"/>
      <c r="DD332" s="56"/>
      <c r="DE332" s="56"/>
      <c r="DF332" s="56"/>
      <c r="DG332" s="56"/>
      <c r="DH332" s="56"/>
      <c r="DI332" s="56"/>
      <c r="DJ332" s="56"/>
      <c r="DK332" s="56"/>
      <c r="DL332" s="56"/>
      <c r="DM332" s="56"/>
      <c r="DN332" s="56"/>
      <c r="DO332" s="56"/>
      <c r="DP332" s="56"/>
      <c r="DQ332" s="56"/>
      <c r="DR332" s="56"/>
      <c r="DS332" s="56"/>
      <c r="DT332" s="56"/>
    </row>
    <row r="333" spans="1:124" ht="21.75" customHeight="1">
      <c r="A333" s="313"/>
      <c r="B333" s="223" t="s">
        <v>373</v>
      </c>
      <c r="C333" s="224"/>
      <c r="D333" s="224"/>
      <c r="E333" s="219" t="e">
        <f>IF((OR(E332=0,MAX(E336,E342,#REF!)=0))=TRUE,"",IFERROR((((MAX(E336,E342,#REF!)+E332)*0.7)-E332),""))</f>
        <v>#REF!</v>
      </c>
      <c r="F333" s="219" t="e">
        <f>IF((OR(F332=0,MAX(F336,F342,#REF!)=0))=TRUE,"",IFERROR((((MAX(F336,F342,#REF!)+F332)*0.7)-F332),""))</f>
        <v>#REF!</v>
      </c>
      <c r="G333" s="219" t="e">
        <f>IF((OR(G332=0,MAX(G336,G342,#REF!)=0))=TRUE,"",IFERROR((((MAX(G336,G342,#REF!)+G332)*0.7)-G332),""))</f>
        <v>#REF!</v>
      </c>
      <c r="H333" s="219" t="e">
        <f>IF((OR(H332=0,MAX(H336,H342,#REF!)=0))=TRUE,"",IFERROR((((MAX(H336,H342,#REF!)+H332)*0.7)-H332),""))</f>
        <v>#REF!</v>
      </c>
      <c r="I333" s="219" t="e">
        <f>IF((OR(I332=0,MAX(I336,I342,#REF!)=0))=TRUE,"",IFERROR((((MAX(I336,I342,#REF!)+I332)*0.7)-I332),""))</f>
        <v>#REF!</v>
      </c>
      <c r="J333" s="219" t="e">
        <f>IF((OR(J332=0,MAX(J336,J342,#REF!)=0))=TRUE,"",IFERROR((((MAX(J336,J342,#REF!)+J332)*0.7)-J332),""))</f>
        <v>#REF!</v>
      </c>
      <c r="K333" s="219" t="e">
        <f>IF((OR(K332=0,MAX(K336,K342,#REF!)=0))=TRUE,"",IFERROR((((MAX(K336,K342,#REF!)+K332)*0.7)-K332),""))</f>
        <v>#REF!</v>
      </c>
      <c r="L333" s="219" t="e">
        <f>IF((OR(L332=0,MAX(L336,L342,#REF!)=0))=TRUE,"",IFERROR((((MAX(L336,L342,#REF!)+L332)*0.7)-L332),""))</f>
        <v>#REF!</v>
      </c>
      <c r="M333" s="219" t="e">
        <f>IF((OR(M332=0,MAX(M336,M342,#REF!)=0))=TRUE,"",IFERROR((((MAX(M336,M342,#REF!)+M332)*0.7)-M332),""))</f>
        <v>#REF!</v>
      </c>
      <c r="N333" s="219" t="e">
        <f>IF((OR(N332=0,MAX(N336,N342,#REF!)=0))=TRUE,"",IFERROR((((MAX(N336,N342,#REF!)+N332)*0.7)-N332),""))</f>
        <v>#REF!</v>
      </c>
      <c r="O333" s="219" t="e">
        <f>IF((OR(O332=0,MAX(O336,O342,#REF!)=0))=TRUE,"",IFERROR((((MAX(O336,O342,#REF!)+O332)*0.7)-O332),""))</f>
        <v>#REF!</v>
      </c>
      <c r="P333" s="219" t="e">
        <f>IF((OR(P332=0,MAX(P336,P342,#REF!)=0))=TRUE,"",IFERROR((((MAX(P336,P342,#REF!)+P332)*0.7)-P332),""))</f>
        <v>#REF!</v>
      </c>
      <c r="Q333" s="219" t="e">
        <f>IF((OR(Q332=0,MAX(Q336,Q342,#REF!)=0))=TRUE,"",IFERROR((((MAX(Q336,Q342,#REF!)+Q332)*0.7)-Q332),""))</f>
        <v>#REF!</v>
      </c>
      <c r="R333" s="219" t="e">
        <f>IF((OR(R332=0,MAX(R336,R342,#REF!)=0))=TRUE,"",IFERROR((((MAX(R336,R342,#REF!)+R332)*0.7)-R332),""))</f>
        <v>#REF!</v>
      </c>
      <c r="S333" s="219" t="e">
        <f>IF((OR(S332=0,MAX(S336,S342,#REF!)=0))=TRUE,"",IFERROR((((MAX(S336,S342,#REF!)+S332)*0.7)-S332),""))</f>
        <v>#REF!</v>
      </c>
      <c r="T333" s="219" t="e">
        <f>IF((OR(T332=0,MAX(T336,T342,#REF!)=0))=TRUE,"",IFERROR((((MAX(T336,T342,#REF!)+T332)*0.7)-T332),""))</f>
        <v>#REF!</v>
      </c>
      <c r="U333" s="219" t="e">
        <f>IF((OR(U332=0,MAX(U336,U342,#REF!)=0))=TRUE,"",IFERROR((((MAX(U336,U342,#REF!)+U332)*0.7)-U332),""))</f>
        <v>#REF!</v>
      </c>
      <c r="V333" s="219" t="e">
        <f>IF((OR(V332=0,MAX(V336,V342,#REF!)=0))=TRUE,"",IFERROR((((MAX(V336,V342,#REF!)+V332)*0.7)-V332),""))</f>
        <v>#REF!</v>
      </c>
      <c r="W333" s="219" t="e">
        <f>IF((OR(W332=0,MAX(W336,W342,#REF!)=0))=TRUE,"",IFERROR((((MAX(W336,W342,#REF!)+W332)*0.7)-W332),""))</f>
        <v>#REF!</v>
      </c>
      <c r="X333" s="219" t="e">
        <f>IF((OR(X332=0,MAX(X336,X342,#REF!)=0))=TRUE,"",IFERROR((((MAX(X336,X342,#REF!)+X332)*0.7)-X332),""))</f>
        <v>#REF!</v>
      </c>
      <c r="Y333" s="219" t="e">
        <f>IF((OR(Y332=0,MAX(Y336,Y342,#REF!)=0))=TRUE,"",IFERROR((((MAX(Y336,Y342,#REF!)+Y332)*0.7)-Y332),""))</f>
        <v>#REF!</v>
      </c>
      <c r="Z333" s="219" t="e">
        <f>IF((OR(Z332=0,MAX(Z336,Z342,#REF!)=0))=TRUE,"",IFERROR((((MAX(Z336,Z342,#REF!)+Z332)*0.7)-Z332),""))</f>
        <v>#REF!</v>
      </c>
      <c r="AA333" s="219" t="e">
        <f>IF((OR(AA332=0,MAX(AA336,AA342,#REF!)=0))=TRUE,"",IFERROR((((MAX(AA336,AA342,#REF!)+AA332)*0.7)-AA332),""))</f>
        <v>#REF!</v>
      </c>
      <c r="AB333" s="219" t="e">
        <f>IF((OR(AB332=0,MAX(AB336,AB342,#REF!)=0))=TRUE,"",IFERROR((((MAX(AB336,AB342,#REF!)+AB332)*0.7)-AB332),""))</f>
        <v>#REF!</v>
      </c>
      <c r="AC333" s="219" t="e">
        <f>IF((OR(AC332=0,MAX(AC336,AC342,#REF!)=0))=TRUE,"",IFERROR((((MAX(AC336,AC342,#REF!)+AC332)*0.7)-AC332),""))</f>
        <v>#REF!</v>
      </c>
      <c r="AD333" s="219" t="e">
        <f>IF((OR(AD332=0,MAX(AD336,AD342,#REF!)=0))=TRUE,"",IFERROR((((MAX(AD336,AD342,#REF!)+AD332)*0.7)-AD332),""))</f>
        <v>#REF!</v>
      </c>
      <c r="AE333" s="219" t="e">
        <f>IF((OR(AE332=0,MAX(AE336,AE342,#REF!)=0))=TRUE,"",IFERROR((((MAX(AE336,AE342,#REF!)+AE332)*0.7)-AE332),""))</f>
        <v>#REF!</v>
      </c>
      <c r="AF333" s="219" t="e">
        <f>IF((OR(AF332=0,MAX(AF336,AF342,#REF!)=0))=TRUE,"",IFERROR((((MAX(AF336,AF342,#REF!)+AF332)*0.7)-AF332),""))</f>
        <v>#REF!</v>
      </c>
      <c r="AG333" s="219" t="e">
        <f>IF((OR(AG332=0,MAX(AG336,AG342,#REF!)=0))=TRUE,"",IFERROR((((MAX(AG336,AG342,#REF!)+AG332)*0.7)-AG332),""))</f>
        <v>#REF!</v>
      </c>
      <c r="AH333" s="219" t="e">
        <f>IF((OR(AH332=0,MAX(AH336,AH342,#REF!)=0))=TRUE,"",IFERROR((((MAX(AH336,AH342,#REF!)+AH332)*0.7)-AH332),""))</f>
        <v>#REF!</v>
      </c>
      <c r="AI333" s="219" t="e">
        <f>IF((OR(AI332=0,MAX(AI336,AI342,#REF!)=0))=TRUE,"",IFERROR((((MAX(AI336,AI342,#REF!)+AI332)*0.7)-AI332),""))</f>
        <v>#REF!</v>
      </c>
      <c r="AJ333" s="219" t="e">
        <f>IF((OR(AJ332=0,MAX(AJ336,AJ342,#REF!)=0))=TRUE,"",IFERROR((((MAX(AJ336,AJ342,#REF!)+AJ332)*0.7)-AJ332),""))</f>
        <v>#REF!</v>
      </c>
      <c r="AK333" s="219" t="e">
        <f>IF((OR(AK332=0,MAX(AK336,AK342,#REF!)=0))=TRUE,"",IFERROR((((MAX(AK336,AK342,#REF!)+AK332)*0.7)-AK332),""))</f>
        <v>#REF!</v>
      </c>
      <c r="AL333" s="219" t="e">
        <f>IF((OR(AL332=0,MAX(AL336,AL342,#REF!)=0))=TRUE,"",IFERROR((((MAX(AL336,AL342,#REF!)+AL332)*0.7)-AL332),""))</f>
        <v>#REF!</v>
      </c>
      <c r="AM333" s="219" t="e">
        <f>IF((OR(AM332=0,MAX(AM336,AM342,#REF!)=0))=TRUE,"",IFERROR((((MAX(AM336,AM342,#REF!)+AM332)*0.7)-AM332),""))</f>
        <v>#REF!</v>
      </c>
      <c r="AN333" s="219" t="e">
        <f>IF((OR(AN332=0,MAX(AN336,AN342,#REF!)=0))=TRUE,"",IFERROR((((MAX(AN336,AN342,#REF!)+AN332)*0.7)-AN332),""))</f>
        <v>#REF!</v>
      </c>
      <c r="AO333" s="219" t="e">
        <f>IF((OR(AO332=0,MAX(AO336,AO342,#REF!)=0))=TRUE,"",IFERROR((((MAX(AO336,AO342,#REF!)+AO332)*0.7)-AO332),""))</f>
        <v>#REF!</v>
      </c>
      <c r="AP333" s="219" t="e">
        <f>IF((OR(AP332=0,MAX(AP336,AP342,#REF!)=0))=TRUE,"",IFERROR((((MAX(AP336,AP342,#REF!)+AP332)*0.7)-AP332),""))</f>
        <v>#REF!</v>
      </c>
      <c r="AQ333" s="219" t="e">
        <f>IF((OR(AQ332=0,MAX(AQ336,AQ342,#REF!)=0))=TRUE,"",IFERROR((((MAX(AQ336,AQ342,#REF!)+AQ332)*0.7)-AQ332),""))</f>
        <v>#REF!</v>
      </c>
      <c r="AR333" s="219" t="e">
        <f>IF((OR(AR332=0,MAX(AR336,AR342,#REF!)=0))=TRUE,"",IFERROR((((MAX(AR336,AR342,#REF!)+AR332)*0.7)-AR332),""))</f>
        <v>#REF!</v>
      </c>
      <c r="AS333" s="219" t="e">
        <f>IF((OR(AS332=0,MAX(AS336,AS342,#REF!)=0))=TRUE,"",IFERROR((((MAX(AS336,AS342,#REF!)+AS332)*0.7)-AS332),""))</f>
        <v>#REF!</v>
      </c>
      <c r="AT333" s="219" t="e">
        <f>IF((OR(AT332=0,MAX(AT336,AT342,#REF!)=0))=TRUE,"",IFERROR((((MAX(AT336,AT342,#REF!)+AT332)*0.7)-AT332),""))</f>
        <v>#REF!</v>
      </c>
      <c r="AU333" s="219" t="e">
        <f>IF((OR(AU332=0,MAX(AU336,AU342,#REF!)=0))=TRUE,"",IFERROR((((MAX(AU336,AU342,#REF!)+AU332)*0.7)-AU332),""))</f>
        <v>#REF!</v>
      </c>
      <c r="AV333" s="219" t="e">
        <f>IF((OR(AV332=0,MAX(AV336,AV342,#REF!)=0))=TRUE,"",IFERROR((((MAX(AV336,AV342,#REF!)+AV332)*0.7)-AV332),""))</f>
        <v>#REF!</v>
      </c>
      <c r="AW333" s="219" t="e">
        <f>IF((OR(AW332=0,MAX(AW336,AW342,#REF!)=0))=TRUE,"",IFERROR((((MAX(AW336,AW342,#REF!)+AW332)*0.7)-AW332),""))</f>
        <v>#REF!</v>
      </c>
      <c r="AX333" s="219" t="e">
        <f>IF((OR(AX332=0,MAX(AX336,AX342,#REF!)=0))=TRUE,"",IFERROR((((MAX(AX336,AX342,#REF!)+AX332)*0.7)-AX332),""))</f>
        <v>#REF!</v>
      </c>
      <c r="AY333" s="219" t="e">
        <f>IF((OR(AY332=0,MAX(AY336,AY342,#REF!)=0))=TRUE,"",IFERROR((((MAX(AY336,AY342,#REF!)+AY332)*0.7)-AY332),""))</f>
        <v>#REF!</v>
      </c>
      <c r="AZ333" s="219" t="e">
        <f>IF((OR(AZ332=0,MAX(AZ336,AZ342,#REF!)=0))=TRUE,"",IFERROR((((MAX(AZ336,AZ342,#REF!)+AZ332)*0.7)-AZ332),""))</f>
        <v>#REF!</v>
      </c>
      <c r="BA333" s="219" t="e">
        <f>IF((OR(BA332=0,MAX(BA336,BA342,#REF!)=0))=TRUE,"",IFERROR((((MAX(BA336,BA342,#REF!)+BA332)*0.7)-BA332),""))</f>
        <v>#REF!</v>
      </c>
      <c r="BB333" s="219" t="e">
        <f>IF((OR(BB332=0,MAX(BB336,BB342,#REF!)=0))=TRUE,"",IFERROR((((MAX(BB336,BB342,#REF!)+BB332)*0.7)-BB332),""))</f>
        <v>#REF!</v>
      </c>
      <c r="BC333" s="219" t="e">
        <f>IF((OR(BC332=0,MAX(BC336,BC342,#REF!)=0))=TRUE,"",IFERROR((((MAX(BC336,BC342,#REF!)+BC332)*0.7)-BC332),""))</f>
        <v>#REF!</v>
      </c>
      <c r="BD333" s="219" t="e">
        <f>IF((OR(BD332=0,MAX(BD336,BD342,#REF!)=0))=TRUE,"",IFERROR((((MAX(BD336,BD342,#REF!)+BD332)*0.7)-BD332),""))</f>
        <v>#REF!</v>
      </c>
      <c r="BE333" s="219" t="e">
        <f>IF((OR(BE332=0,MAX(BE336,BE342,#REF!)=0))=TRUE,"",IFERROR((((MAX(BE336,BE342,#REF!)+BE332)*0.7)-BE332),""))</f>
        <v>#REF!</v>
      </c>
      <c r="BF333" s="219" t="e">
        <f>IF((OR(BF332=0,MAX(BF336,BF342,#REF!)=0))=TRUE,"",IFERROR((((MAX(BF336,BF342,#REF!)+BF332)*0.7)-BF332),""))</f>
        <v>#REF!</v>
      </c>
      <c r="BG333" s="219" t="e">
        <f>IF((OR(BG332=0,MAX(BG336,BG342,#REF!)=0))=TRUE,"",IFERROR((((MAX(BG336,BG342,#REF!)+BG332)*0.7)-BG332),""))</f>
        <v>#REF!</v>
      </c>
      <c r="BH333" s="219" t="e">
        <f>IF((OR(BH332=0,MAX(BH336,BH342,#REF!)=0))=TRUE,"",IFERROR((((MAX(BH336,BH342,#REF!)+BH332)*0.7)-BH332),""))</f>
        <v>#REF!</v>
      </c>
      <c r="BI333" s="219" t="e">
        <f>IF((OR(BI332=0,MAX(BI336,BI342,#REF!)=0))=TRUE,"",IFERROR((((MAX(BI336,BI342,#REF!)+BI332)*0.7)-BI332),""))</f>
        <v>#REF!</v>
      </c>
      <c r="BJ333" s="219" t="e">
        <f>IF((OR(BJ332=0,MAX(BJ336,BJ342,#REF!)=0))=TRUE,"",IFERROR((((MAX(BJ336,BJ342,#REF!)+BJ332)*0.7)-BJ332),""))</f>
        <v>#REF!</v>
      </c>
      <c r="BK333" s="219" t="e">
        <f>IF((OR(BK332=0,MAX(BK336,BK342,#REF!)=0))=TRUE,"",IFERROR((((MAX(BK336,BK342,#REF!)+BK332)*0.7)-BK332),""))</f>
        <v>#REF!</v>
      </c>
      <c r="BL333" s="219" t="e">
        <f>IF((OR(BL332=0,MAX(BL336,BL342,#REF!)=0))=TRUE,"",IFERROR((((MAX(BL336,BL342,#REF!)+BL332)*0.7)-BL332),""))</f>
        <v>#REF!</v>
      </c>
      <c r="BM333" s="219" t="e">
        <f>IF((OR(BM332=0,MAX(BM336,BM342,#REF!)=0))=TRUE,"",IFERROR((((MAX(BM336,BM342,#REF!)+BM332)*0.7)-BM332),""))</f>
        <v>#REF!</v>
      </c>
      <c r="BN333" s="219" t="e">
        <f>IF((OR(BN332=0,MAX(BN336,BN342,#REF!)=0))=TRUE,"",IFERROR((((MAX(BN336,BN342,#REF!)+BN332)*0.7)-BN332),""))</f>
        <v>#REF!</v>
      </c>
      <c r="BO333" s="219" t="e">
        <f>IF((OR(BO332=0,MAX(BO336,BO342,#REF!)=0))=TRUE,"",IFERROR((((MAX(BO336,BO342,#REF!)+BO332)*0.7)-BO332),""))</f>
        <v>#REF!</v>
      </c>
      <c r="BP333" s="219" t="e">
        <f>IF((OR(BP332=0,MAX(BP336,BP342,#REF!)=0))=TRUE,"",IFERROR((((MAX(BP336,BP342,#REF!)+BP332)*0.7)-BP332),""))</f>
        <v>#REF!</v>
      </c>
      <c r="BQ333" s="219" t="e">
        <f>IF((OR(BQ332=0,MAX(BQ336,BQ342,#REF!)=0))=TRUE,"",IFERROR((((MAX(BQ336,BQ342,#REF!)+BQ332)*0.7)-BQ332),""))</f>
        <v>#REF!</v>
      </c>
      <c r="BR333" s="219" t="e">
        <f>IF((OR(BR332=0,MAX(BR336,BR342,#REF!)=0))=TRUE,"",IFERROR((((MAX(BR336,BR342,#REF!)+BR332)*0.7)-BR332),""))</f>
        <v>#REF!</v>
      </c>
      <c r="BS333" s="219" t="e">
        <f>IF((OR(BS332=0,MAX(BS336,BS342,#REF!)=0))=TRUE,"",IFERROR((((MAX(BS336,BS342,#REF!)+BS332)*0.7)-BS332),""))</f>
        <v>#REF!</v>
      </c>
      <c r="BT333" s="219" t="e">
        <f>IF((OR(BT332=0,MAX(BT336,BT342,#REF!)=0))=TRUE,"",IFERROR((((MAX(BT336,BT342,#REF!)+BT332)*0.7)-BT332),""))</f>
        <v>#REF!</v>
      </c>
      <c r="BU333" s="219" t="e">
        <f>IF((OR(BU332=0,MAX(BU336,BU342,#REF!)=0))=TRUE,"",IFERROR((((MAX(BU336,BU342,#REF!)+BU332)*0.7)-BU332),""))</f>
        <v>#REF!</v>
      </c>
      <c r="BV333" s="219" t="e">
        <f>IF((OR(BV332=0,MAX(BV336,BV342,#REF!)=0))=TRUE,"",IFERROR((((MAX(BV336,BV342,#REF!)+BV332)*0.7)-BV332),""))</f>
        <v>#REF!</v>
      </c>
      <c r="BW333" s="219" t="e">
        <f>IF((OR(BW332=0,MAX(BW336,BW342,#REF!)=0))=TRUE,"",IFERROR((((MAX(BW336,BW342,#REF!)+BW332)*0.7)-BW332),""))</f>
        <v>#REF!</v>
      </c>
      <c r="BX333" s="219" t="e">
        <f>IF((OR(BX332=0,MAX(BX336,BX342,#REF!)=0))=TRUE,"",IFERROR((((MAX(BX336,BX342,#REF!)+BX332)*0.7)-BX332),""))</f>
        <v>#REF!</v>
      </c>
      <c r="BY333" s="219" t="e">
        <f>IF((OR(BY332=0,MAX(BY336,BY342,#REF!)=0))=TRUE,"",IFERROR((((MAX(BY336,BY342,#REF!)+BY332)*0.7)-BY332),""))</f>
        <v>#REF!</v>
      </c>
      <c r="BZ333" s="219" t="e">
        <f>IF((OR(BZ332=0,MAX(BZ336,BZ342,#REF!)=0))=TRUE,"",IFERROR((((MAX(BZ336,BZ342,#REF!)+BZ332)*0.7)-BZ332),""))</f>
        <v>#REF!</v>
      </c>
      <c r="CA333" s="219" t="e">
        <f>IF((OR(CA332=0,MAX(CA336,CA342,#REF!)=0))=TRUE,"",IFERROR((((MAX(CA336,CA342,#REF!)+CA332)*0.7)-CA332),""))</f>
        <v>#REF!</v>
      </c>
      <c r="CB333" s="219" t="e">
        <f>IF((OR(CB332=0,MAX(CB336,CB342,#REF!)=0))=TRUE,"",IFERROR((((MAX(CB336,CB342,#REF!)+CB332)*0.7)-CB332),""))</f>
        <v>#REF!</v>
      </c>
      <c r="CC333" s="219" t="e">
        <f>IF((OR(CC332=0,MAX(CC336,CC342,#REF!)=0))=TRUE,"",IFERROR((((MAX(CC336,CC342,#REF!)+CC332)*0.7)-CC332),""))</f>
        <v>#REF!</v>
      </c>
      <c r="CD333" s="219" t="e">
        <f>IF((OR(CD332=0,MAX(CD336,CD342,#REF!)=0))=TRUE,"",IFERROR((((MAX(CD336,CD342,#REF!)+CD332)*0.7)-CD332),""))</f>
        <v>#REF!</v>
      </c>
      <c r="CE333" s="219" t="e">
        <f>IF((OR(CE332=0,MAX(CE336,CE342,#REF!)=0))=TRUE,"",IFERROR((((MAX(CE336,CE342,#REF!)+CE332)*0.7)-CE332),""))</f>
        <v>#REF!</v>
      </c>
      <c r="CF333" s="219" t="e">
        <f>IF((OR(CF332=0,MAX(CF336,CF342,#REF!)=0))=TRUE,"",IFERROR((((MAX(CF336,CF342,#REF!)+CF332)*0.7)-CF332),""))</f>
        <v>#REF!</v>
      </c>
      <c r="CG333" s="219" t="e">
        <f>IF((OR(CG332=0,MAX(CG336,CG342,#REF!)=0))=TRUE,"",IFERROR((((MAX(CG336,CG342,#REF!)+CG332)*0.7)-CG332),""))</f>
        <v>#REF!</v>
      </c>
      <c r="CH333" s="219" t="e">
        <f>IF((OR(CH332=0,MAX(CH336,CH342,#REF!)=0))=TRUE,"",IFERROR((((MAX(CH336,CH342,#REF!)+CH332)*0.7)-CH332),""))</f>
        <v>#REF!</v>
      </c>
      <c r="CI333" s="219" t="e">
        <f>IF((OR(CI332=0,MAX(CI336,CI342,#REF!)=0))=TRUE,"",IFERROR((((MAX(CI336,CI342,#REF!)+CI332)*0.7)-CI332),""))</f>
        <v>#REF!</v>
      </c>
      <c r="CJ333" s="219" t="e">
        <f>IF((OR(CJ332=0,MAX(CJ336,CJ342,#REF!)=0))=TRUE,"",IFERROR((((MAX(CJ336,CJ342,#REF!)+CJ332)*0.7)-CJ332),""))</f>
        <v>#REF!</v>
      </c>
      <c r="CK333" s="219" t="e">
        <f>IF((OR(CK332=0,MAX(CK336,CK342,#REF!)=0))=TRUE,"",IFERROR((((MAX(CK336,CK342,#REF!)+CK332)*0.7)-CK332),""))</f>
        <v>#REF!</v>
      </c>
      <c r="CL333" s="219" t="e">
        <f>IF((OR(CL332=0,MAX(CL336,CL342,#REF!)=0))=TRUE,"",IFERROR((((MAX(CL336,CL342,#REF!)+CL332)*0.7)-CL332),""))</f>
        <v>#REF!</v>
      </c>
      <c r="CM333" s="219" t="e">
        <f>IF((OR(CM332=0,MAX(CM336,CM342,#REF!)=0))=TRUE,"",IFERROR((((MAX(CM336,CM342,#REF!)+CM332)*0.7)-CM332),""))</f>
        <v>#REF!</v>
      </c>
      <c r="CN333" s="219" t="e">
        <f>IF((OR(CN332=0,MAX(CN336,CN342,#REF!)=0))=TRUE,"",IFERROR((((MAX(CN336,CN342,#REF!)+CN332)*0.7)-CN332),""))</f>
        <v>#REF!</v>
      </c>
      <c r="CO333" s="219" t="e">
        <f>IF((OR(CO332=0,MAX(CO336,CO342,#REF!)=0))=TRUE,"",IFERROR((((MAX(CO336,CO342,#REF!)+CO332)*0.7)-CO332),""))</f>
        <v>#REF!</v>
      </c>
      <c r="CP333" s="219" t="e">
        <f>IF((OR(CP332=0,MAX(CP336,CP342,#REF!)=0))=TRUE,"",IFERROR((((MAX(CP336,CP342,#REF!)+CP332)*0.7)-CP332),""))</f>
        <v>#REF!</v>
      </c>
      <c r="CQ333" s="219" t="e">
        <f>IF((OR(CQ332=0,MAX(CQ336,CQ342,#REF!)=0))=TRUE,"",IFERROR((((MAX(CQ336,CQ342,#REF!)+CQ332)*0.7)-CQ332),""))</f>
        <v>#REF!</v>
      </c>
      <c r="CR333" s="219" t="e">
        <f>IF((OR(CR332=0,MAX(CR336,CR342,#REF!)=0))=TRUE,"",IFERROR((((MAX(CR336,CR342,#REF!)+CR332)*0.7)-CR332),""))</f>
        <v>#REF!</v>
      </c>
      <c r="CS333" s="219" t="e">
        <f>IF((OR(CS332=0,MAX(CS336,CS342,#REF!)=0))=TRUE,"",IFERROR((((MAX(CS336,CS342,#REF!)+CS332)*0.7)-CS332),""))</f>
        <v>#REF!</v>
      </c>
      <c r="CT333" s="219" t="e">
        <f>IF((OR(CT332=0,MAX(CT336,CT342,#REF!)=0))=TRUE,"",IFERROR((((MAX(CT336,CT342,#REF!)+CT332)*0.7)-CT332),""))</f>
        <v>#REF!</v>
      </c>
      <c r="CU333" s="219" t="e">
        <f>IF((OR(CU332=0,MAX(CU336,CU342,#REF!)=0))=TRUE,"",IFERROR((((MAX(CU336,CU342,#REF!)+CU332)*0.7)-CU332),""))</f>
        <v>#REF!</v>
      </c>
      <c r="CV333" s="219" t="e">
        <f>IF((OR(CV332=0,MAX(CV336,CV342,#REF!)=0))=TRUE,"",IFERROR((((MAX(CV336,CV342,#REF!)+CV332)*0.7)-CV332),""))</f>
        <v>#REF!</v>
      </c>
      <c r="CW333" s="219" t="e">
        <f>IF((OR(CW332=0,MAX(CW336,CW342,#REF!)=0))=TRUE,"",IFERROR((((MAX(CW336,CW342,#REF!)+CW332)*0.7)-CW332),""))</f>
        <v>#REF!</v>
      </c>
      <c r="CX333" s="219" t="e">
        <f>IF((OR(CX332=0,MAX(CX336,CX342,#REF!)=0))=TRUE,"",IFERROR((((MAX(CX336,CX342,#REF!)+CX332)*0.7)-CX332),""))</f>
        <v>#REF!</v>
      </c>
      <c r="CY333" s="219" t="e">
        <f>IF((OR(CY332=0,MAX(CY336,CY342,#REF!)=0))=TRUE,"",IFERROR((((MAX(CY336,CY342,#REF!)+CY332)*0.7)-CY332),""))</f>
        <v>#REF!</v>
      </c>
      <c r="CZ333" s="219" t="e">
        <f>IF((OR(CZ332=0,MAX(CZ336,CZ342,#REF!)=0))=TRUE,"",IFERROR((((MAX(CZ336,CZ342,#REF!)+CZ332)*0.7)-CZ332),""))</f>
        <v>#REF!</v>
      </c>
      <c r="DA333" s="219" t="e">
        <f>IF((OR(DA332=0,MAX(DA336,DA342,#REF!)=0))=TRUE,"",IFERROR((((MAX(DA336,DA342,#REF!)+DA332)*0.7)-DA332),""))</f>
        <v>#REF!</v>
      </c>
      <c r="DB333" s="219" t="e">
        <f>IF((OR(DB332=0,MAX(DB336,DB342,#REF!)=0))=TRUE,"",IFERROR((((MAX(DB336,DB342,#REF!)+DB332)*0.7)-DB332),""))</f>
        <v>#REF!</v>
      </c>
      <c r="DC333" s="219" t="e">
        <f>IF((OR(DC332=0,MAX(DC336,DC342,#REF!)=0))=TRUE,"",IFERROR((((MAX(DC336,DC342,#REF!)+DC332)*0.7)-DC332),""))</f>
        <v>#REF!</v>
      </c>
      <c r="DD333" s="219" t="e">
        <f>IF((OR(DD332=0,MAX(DD336,DD342,#REF!)=0))=TRUE,"",IFERROR((((MAX(DD336,DD342,#REF!)+DD332)*0.7)-DD332),""))</f>
        <v>#REF!</v>
      </c>
      <c r="DE333" s="219" t="e">
        <f>IF((OR(DE332=0,MAX(DE336,DE342,#REF!)=0))=TRUE,"",IFERROR((((MAX(DE336,DE342,#REF!)+DE332)*0.7)-DE332),""))</f>
        <v>#REF!</v>
      </c>
      <c r="DF333" s="219" t="e">
        <f>IF((OR(DF332=0,MAX(DF336,DF342,#REF!)=0))=TRUE,"",IFERROR((((MAX(DF336,DF342,#REF!)+DF332)*0.7)-DF332),""))</f>
        <v>#REF!</v>
      </c>
      <c r="DG333" s="219" t="e">
        <f>IF((OR(DG332=0,MAX(DG336,DG342,#REF!)=0))=TRUE,"",IFERROR((((MAX(DG336,DG342,#REF!)+DG332)*0.7)-DG332),""))</f>
        <v>#REF!</v>
      </c>
      <c r="DH333" s="219" t="e">
        <f>IF((OR(DH332=0,MAX(DH336,DH342,#REF!)=0))=TRUE,"",IFERROR((((MAX(DH336,DH342,#REF!)+DH332)*0.7)-DH332),""))</f>
        <v>#REF!</v>
      </c>
      <c r="DI333" s="219" t="e">
        <f>IF((OR(DI332=0,MAX(DI336,DI342,#REF!)=0))=TRUE,"",IFERROR((((MAX(DI336,DI342,#REF!)+DI332)*0.7)-DI332),""))</f>
        <v>#REF!</v>
      </c>
      <c r="DJ333" s="219" t="e">
        <f>IF((OR(DJ332=0,MAX(DJ336,DJ342,#REF!)=0))=TRUE,"",IFERROR((((MAX(DJ336,DJ342,#REF!)+DJ332)*0.7)-DJ332),""))</f>
        <v>#REF!</v>
      </c>
      <c r="DK333" s="219" t="e">
        <f>IF((OR(DK332=0,MAX(DK336,DK342,#REF!)=0))=TRUE,"",IFERROR((((MAX(DK336,DK342,#REF!)+DK332)*0.7)-DK332),""))</f>
        <v>#REF!</v>
      </c>
      <c r="DL333" s="219" t="e">
        <f>IF((OR(DL332=0,MAX(DL336,DL342,#REF!)=0))=TRUE,"",IFERROR((((MAX(DL336,DL342,#REF!)+DL332)*0.7)-DL332),""))</f>
        <v>#REF!</v>
      </c>
      <c r="DM333" s="219" t="e">
        <f>IF((OR(DM332=0,MAX(DM336,DM342,#REF!)=0))=TRUE,"",IFERROR((((MAX(DM336,DM342,#REF!)+DM332)*0.7)-DM332),""))</f>
        <v>#REF!</v>
      </c>
      <c r="DN333" s="219" t="e">
        <f>IF((OR(DN332=0,MAX(DN336,DN342,#REF!)=0))=TRUE,"",IFERROR((((MAX(DN336,DN342,#REF!)+DN332)*0.7)-DN332),""))</f>
        <v>#REF!</v>
      </c>
      <c r="DO333" s="219" t="e">
        <f>IF((OR(DO332=0,MAX(DO336,DO342,#REF!)=0))=TRUE,"",IFERROR((((MAX(DO336,DO342,#REF!)+DO332)*0.7)-DO332),""))</f>
        <v>#REF!</v>
      </c>
      <c r="DP333" s="219" t="e">
        <f>IF((OR(DP332=0,MAX(DP336,DP342,#REF!)=0))=TRUE,"",IFERROR((((MAX(DP336,DP342,#REF!)+DP332)*0.7)-DP332),""))</f>
        <v>#REF!</v>
      </c>
      <c r="DQ333" s="219" t="e">
        <f>IF((OR(DQ332=0,MAX(DQ336,DQ342,#REF!)=0))=TRUE,"",IFERROR((((MAX(DQ336,DQ342,#REF!)+DQ332)*0.7)-DQ332),""))</f>
        <v>#REF!</v>
      </c>
      <c r="DR333" s="219" t="e">
        <f>IF((OR(DR332=0,MAX(DR336,DR342,#REF!)=0))=TRUE,"",IFERROR((((MAX(DR336,DR342,#REF!)+DR332)*0.7)-DR332),""))</f>
        <v>#REF!</v>
      </c>
      <c r="DS333" s="219" t="e">
        <f>IF((OR(DS332=0,MAX(DS336,DS342,#REF!)=0))=TRUE,"",IFERROR((((MAX(DS336,DS342,#REF!)+DS332)*0.7)-DS332),""))</f>
        <v>#REF!</v>
      </c>
      <c r="DT333" s="219" t="e">
        <f>IF((OR(DT332=0,MAX(DT336,DT342,#REF!)=0))=TRUE,"",IFERROR((((MAX(DT336,DT342,#REF!)+DT332)*0.7)-DT332),""))</f>
        <v>#REF!</v>
      </c>
    </row>
    <row r="334" spans="1:124" ht="21.75" customHeight="1" thickBot="1">
      <c r="A334" s="313"/>
      <c r="B334" s="225"/>
      <c r="C334" s="226"/>
      <c r="D334" s="226"/>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c r="AA334" s="220"/>
      <c r="AB334" s="220"/>
      <c r="AC334" s="220"/>
      <c r="AD334" s="220"/>
      <c r="AE334" s="220"/>
      <c r="AF334" s="220"/>
      <c r="AG334" s="220"/>
      <c r="AH334" s="220"/>
      <c r="AI334" s="220"/>
      <c r="AJ334" s="220"/>
      <c r="AK334" s="220"/>
      <c r="AL334" s="220"/>
      <c r="AM334" s="220"/>
      <c r="AN334" s="220"/>
      <c r="AO334" s="220"/>
      <c r="AP334" s="220"/>
      <c r="AQ334" s="220"/>
      <c r="AR334" s="220"/>
      <c r="AS334" s="220"/>
      <c r="AT334" s="220"/>
      <c r="AU334" s="220"/>
      <c r="AV334" s="220"/>
      <c r="AW334" s="220"/>
      <c r="AX334" s="220"/>
      <c r="AY334" s="220"/>
      <c r="AZ334" s="220"/>
      <c r="BA334" s="220"/>
      <c r="BB334" s="220"/>
      <c r="BC334" s="220"/>
      <c r="BD334" s="220"/>
      <c r="BE334" s="220"/>
      <c r="BF334" s="220"/>
      <c r="BG334" s="220"/>
      <c r="BH334" s="220"/>
      <c r="BI334" s="220"/>
      <c r="BJ334" s="220"/>
      <c r="BK334" s="220"/>
      <c r="BL334" s="220"/>
      <c r="BM334" s="220"/>
      <c r="BN334" s="220"/>
      <c r="BO334" s="220"/>
      <c r="BP334" s="220"/>
      <c r="BQ334" s="220"/>
      <c r="BR334" s="220"/>
      <c r="BS334" s="220"/>
      <c r="BT334" s="220"/>
      <c r="BU334" s="220"/>
      <c r="BV334" s="220"/>
      <c r="BW334" s="220"/>
      <c r="BX334" s="220"/>
      <c r="BY334" s="220"/>
      <c r="BZ334" s="220"/>
      <c r="CA334" s="220"/>
      <c r="CB334" s="220"/>
      <c r="CC334" s="220"/>
      <c r="CD334" s="220"/>
      <c r="CE334" s="220"/>
      <c r="CF334" s="220"/>
      <c r="CG334" s="220"/>
      <c r="CH334" s="220"/>
      <c r="CI334" s="220"/>
      <c r="CJ334" s="220"/>
      <c r="CK334" s="220"/>
      <c r="CL334" s="220"/>
      <c r="CM334" s="220"/>
      <c r="CN334" s="220"/>
      <c r="CO334" s="220"/>
      <c r="CP334" s="220"/>
      <c r="CQ334" s="220"/>
      <c r="CR334" s="220"/>
      <c r="CS334" s="220"/>
      <c r="CT334" s="220"/>
      <c r="CU334" s="220"/>
      <c r="CV334" s="220"/>
      <c r="CW334" s="220"/>
      <c r="CX334" s="220"/>
      <c r="CY334" s="220"/>
      <c r="CZ334" s="220"/>
      <c r="DA334" s="220"/>
      <c r="DB334" s="220"/>
      <c r="DC334" s="220"/>
      <c r="DD334" s="220"/>
      <c r="DE334" s="220"/>
      <c r="DF334" s="220"/>
      <c r="DG334" s="220"/>
      <c r="DH334" s="220"/>
      <c r="DI334" s="220"/>
      <c r="DJ334" s="220"/>
      <c r="DK334" s="220"/>
      <c r="DL334" s="220"/>
      <c r="DM334" s="220"/>
      <c r="DN334" s="220"/>
      <c r="DO334" s="220"/>
      <c r="DP334" s="220"/>
      <c r="DQ334" s="220"/>
      <c r="DR334" s="220"/>
      <c r="DS334" s="220"/>
      <c r="DT334" s="220"/>
    </row>
    <row r="335" spans="1:124" ht="21.75" customHeight="1">
      <c r="A335" s="313"/>
      <c r="B335" s="235" t="s">
        <v>511</v>
      </c>
      <c r="C335" s="236"/>
      <c r="D335" s="237"/>
      <c r="E335" s="80"/>
      <c r="F335" s="80"/>
      <c r="G335" s="80" t="s">
        <v>301</v>
      </c>
      <c r="H335" s="60"/>
      <c r="I335" s="60"/>
      <c r="J335" s="60"/>
      <c r="K335" s="60"/>
      <c r="L335" s="60"/>
      <c r="M335" s="60"/>
      <c r="N335" s="60"/>
      <c r="O335" s="60"/>
      <c r="P335" s="60"/>
      <c r="Q335" s="60"/>
      <c r="R335" s="60"/>
      <c r="S335" s="60"/>
      <c r="T335" s="60"/>
      <c r="U335" s="80" t="s">
        <v>402</v>
      </c>
      <c r="V335" s="60"/>
      <c r="W335" s="80"/>
      <c r="X335" s="80"/>
      <c r="Y335" s="80"/>
      <c r="Z335" s="80"/>
      <c r="AA335" s="61" t="s">
        <v>497</v>
      </c>
      <c r="AB335" s="80"/>
      <c r="AC335" s="80" t="s">
        <v>382</v>
      </c>
      <c r="AD335" s="80"/>
      <c r="AE335" s="80"/>
      <c r="AF335" s="80"/>
      <c r="AG335" s="80"/>
      <c r="AH335" s="80"/>
      <c r="AI335" s="80"/>
      <c r="AJ335" s="80"/>
      <c r="AK335" s="69"/>
      <c r="AL335" s="80"/>
      <c r="AM335" s="80"/>
      <c r="AN335" s="80"/>
      <c r="AO335" s="80"/>
      <c r="AP335" s="60"/>
      <c r="AQ335" s="60"/>
      <c r="AR335" s="60"/>
      <c r="AS335" s="80"/>
      <c r="AT335" s="80"/>
      <c r="AU335" s="80"/>
      <c r="AV335" s="60"/>
      <c r="AW335" s="60"/>
      <c r="AX335" s="60"/>
      <c r="AY335" s="60"/>
      <c r="AZ335" s="60"/>
      <c r="BA335" s="60"/>
      <c r="BB335" s="60"/>
      <c r="BC335" s="60"/>
      <c r="BD335" s="60"/>
      <c r="BE335" s="60"/>
      <c r="BF335" s="60"/>
      <c r="BG335" s="60"/>
      <c r="BH335" s="60"/>
      <c r="BI335" s="60"/>
      <c r="BJ335" s="60"/>
      <c r="BK335" s="60"/>
      <c r="BL335" s="60"/>
      <c r="BM335" s="60"/>
      <c r="BN335" s="60"/>
      <c r="BO335" s="60"/>
      <c r="BP335" s="60"/>
      <c r="BQ335" s="60"/>
      <c r="BR335" s="60"/>
      <c r="BS335" s="60"/>
      <c r="BT335" s="60"/>
      <c r="BU335" s="60"/>
      <c r="BV335" s="60"/>
      <c r="BW335" s="60"/>
      <c r="BX335" s="60"/>
      <c r="BY335" s="60"/>
      <c r="BZ335" s="60"/>
      <c r="CA335" s="60"/>
      <c r="CB335" s="60"/>
      <c r="CC335" s="60"/>
      <c r="CD335" s="60"/>
      <c r="CE335" s="60"/>
      <c r="CF335" s="60"/>
      <c r="CG335" s="60"/>
      <c r="CH335" s="60"/>
      <c r="CI335" s="60"/>
      <c r="CJ335" s="60"/>
      <c r="CK335" s="60"/>
      <c r="CL335" s="60"/>
      <c r="CM335" s="60"/>
      <c r="CN335" s="60"/>
      <c r="CO335" s="60"/>
      <c r="CP335" s="60"/>
      <c r="CQ335" s="60"/>
      <c r="CR335" s="60"/>
      <c r="CS335" s="60"/>
      <c r="CT335" s="60"/>
      <c r="CU335" s="60"/>
      <c r="CV335" s="60"/>
      <c r="CW335" s="60"/>
      <c r="CX335" s="60"/>
      <c r="CY335" s="60"/>
      <c r="CZ335" s="60"/>
      <c r="DA335" s="60"/>
      <c r="DB335" s="60"/>
      <c r="DC335" s="60"/>
      <c r="DD335" s="60"/>
      <c r="DE335" s="60"/>
      <c r="DF335" s="60"/>
      <c r="DG335" s="60"/>
      <c r="DH335" s="60"/>
      <c r="DI335" s="60"/>
      <c r="DJ335" s="60"/>
      <c r="DK335" s="60"/>
      <c r="DL335" s="60"/>
      <c r="DM335" s="60"/>
      <c r="DN335" s="60"/>
      <c r="DO335" s="60"/>
      <c r="DP335" s="60"/>
      <c r="DQ335" s="60"/>
      <c r="DR335" s="60"/>
      <c r="DS335" s="60"/>
      <c r="DT335" s="60"/>
    </row>
    <row r="336" spans="1:124" ht="21.75" customHeight="1">
      <c r="A336" s="313"/>
      <c r="B336" s="232"/>
      <c r="C336" s="233"/>
      <c r="D336" s="234"/>
      <c r="E336" s="70"/>
      <c r="F336" s="70"/>
      <c r="G336" s="70">
        <v>130</v>
      </c>
      <c r="H336" s="65"/>
      <c r="I336" s="65"/>
      <c r="J336" s="65"/>
      <c r="K336" s="65"/>
      <c r="L336" s="65"/>
      <c r="M336" s="65"/>
      <c r="N336" s="65"/>
      <c r="O336" s="65"/>
      <c r="P336" s="65"/>
      <c r="Q336" s="65"/>
      <c r="R336" s="65"/>
      <c r="S336" s="65"/>
      <c r="T336" s="65"/>
      <c r="U336" s="70">
        <f>130/0.935</f>
        <v>139.03743315508021</v>
      </c>
      <c r="V336" s="65"/>
      <c r="W336" s="70"/>
      <c r="X336" s="70"/>
      <c r="Y336" s="70"/>
      <c r="Z336" s="70"/>
      <c r="AA336" s="72">
        <v>180</v>
      </c>
      <c r="AB336" s="70"/>
      <c r="AC336" s="70">
        <f>160/0.885</f>
        <v>180.79096045197741</v>
      </c>
      <c r="AD336" s="70"/>
      <c r="AE336" s="70"/>
      <c r="AF336" s="70"/>
      <c r="AG336" s="70"/>
      <c r="AH336" s="70"/>
      <c r="AI336" s="70"/>
      <c r="AJ336" s="70"/>
      <c r="AK336" s="70"/>
      <c r="AL336" s="70"/>
      <c r="AM336" s="70"/>
      <c r="AN336" s="70"/>
      <c r="AO336" s="70"/>
      <c r="AP336" s="65"/>
      <c r="AQ336" s="65"/>
      <c r="AR336" s="65"/>
      <c r="AS336" s="70"/>
      <c r="AT336" s="70"/>
      <c r="AU336" s="70"/>
      <c r="AV336" s="65"/>
      <c r="AW336" s="65"/>
      <c r="AX336" s="65"/>
      <c r="AY336" s="65"/>
      <c r="AZ336" s="65"/>
      <c r="BA336" s="65"/>
      <c r="BB336" s="65"/>
      <c r="BC336" s="65"/>
      <c r="BD336" s="65"/>
      <c r="BE336" s="65"/>
      <c r="BF336" s="65"/>
      <c r="BG336" s="65"/>
      <c r="BH336" s="65"/>
      <c r="BI336" s="65"/>
      <c r="BJ336" s="65"/>
      <c r="BK336" s="65"/>
      <c r="BL336" s="65"/>
      <c r="BM336" s="65"/>
      <c r="BN336" s="65"/>
      <c r="BO336" s="65"/>
      <c r="BP336" s="65"/>
      <c r="BQ336" s="65"/>
      <c r="BR336" s="65"/>
      <c r="BS336" s="65"/>
      <c r="BT336" s="65"/>
      <c r="BU336" s="65"/>
      <c r="BV336" s="65"/>
      <c r="BW336" s="65"/>
      <c r="BX336" s="65"/>
      <c r="BY336" s="65"/>
      <c r="BZ336" s="65"/>
      <c r="CA336" s="65"/>
      <c r="CB336" s="65"/>
      <c r="CC336" s="65"/>
      <c r="CD336" s="65"/>
      <c r="CE336" s="65"/>
      <c r="CF336" s="65"/>
      <c r="CG336" s="65"/>
      <c r="CH336" s="65"/>
      <c r="CI336" s="65"/>
      <c r="CJ336" s="65"/>
      <c r="CK336" s="65"/>
      <c r="CL336" s="65"/>
      <c r="CM336" s="65"/>
      <c r="CN336" s="65"/>
      <c r="CO336" s="65"/>
      <c r="CP336" s="65"/>
      <c r="CQ336" s="65"/>
      <c r="CR336" s="65"/>
      <c r="CS336" s="65"/>
      <c r="CT336" s="65"/>
      <c r="CU336" s="65"/>
      <c r="CV336" s="65"/>
      <c r="CW336" s="65"/>
      <c r="CX336" s="65"/>
      <c r="CY336" s="65"/>
      <c r="CZ336" s="65"/>
      <c r="DA336" s="65"/>
      <c r="DB336" s="65"/>
      <c r="DC336" s="65"/>
      <c r="DD336" s="65"/>
      <c r="DE336" s="65"/>
      <c r="DF336" s="65"/>
      <c r="DG336" s="65"/>
      <c r="DH336" s="65"/>
      <c r="DI336" s="65"/>
      <c r="DJ336" s="65"/>
      <c r="DK336" s="65"/>
      <c r="DL336" s="65"/>
      <c r="DM336" s="65"/>
      <c r="DN336" s="65"/>
      <c r="DO336" s="65"/>
      <c r="DP336" s="65"/>
      <c r="DQ336" s="65"/>
      <c r="DR336" s="65"/>
      <c r="DS336" s="65"/>
      <c r="DT336" s="65"/>
    </row>
    <row r="337" spans="1:124" ht="21.75" customHeight="1">
      <c r="A337" s="313"/>
      <c r="B337" s="229" t="s">
        <v>512</v>
      </c>
      <c r="C337" s="230"/>
      <c r="D337" s="231"/>
      <c r="E337" s="69"/>
      <c r="F337" s="69"/>
      <c r="G337" s="69"/>
      <c r="H337" s="68"/>
      <c r="I337" s="68"/>
      <c r="J337" s="68"/>
      <c r="K337" s="68"/>
      <c r="L337" s="68"/>
      <c r="M337" s="68"/>
      <c r="N337" s="68"/>
      <c r="O337" s="68"/>
      <c r="P337" s="68"/>
      <c r="Q337" s="68"/>
      <c r="R337" s="68"/>
      <c r="S337" s="68"/>
      <c r="T337" s="68"/>
      <c r="U337" s="69"/>
      <c r="V337" s="68"/>
      <c r="W337" s="69"/>
      <c r="X337" s="80" t="s">
        <v>396</v>
      </c>
      <c r="Y337" s="69" t="s">
        <v>380</v>
      </c>
      <c r="Z337" s="69"/>
      <c r="AA337" s="69"/>
      <c r="AB337" s="69"/>
      <c r="AC337" s="69"/>
      <c r="AD337" s="69"/>
      <c r="AE337" s="69"/>
      <c r="AF337" s="69"/>
      <c r="AG337" s="69"/>
      <c r="AH337" s="69"/>
      <c r="AI337" s="69"/>
      <c r="AJ337" s="69"/>
      <c r="AK337" s="69"/>
      <c r="AL337" s="69"/>
      <c r="AM337" s="69"/>
      <c r="AN337" s="69"/>
      <c r="AO337" s="69"/>
      <c r="AP337" s="68"/>
      <c r="AQ337" s="68"/>
      <c r="AR337" s="68"/>
      <c r="AS337" s="69"/>
      <c r="AT337" s="69"/>
      <c r="AU337" s="69"/>
      <c r="AV337" s="69"/>
      <c r="AW337" s="69"/>
      <c r="AX337" s="69"/>
      <c r="AY337" s="69"/>
      <c r="AZ337" s="68"/>
      <c r="BA337" s="68"/>
      <c r="BB337" s="68"/>
      <c r="BC337" s="68"/>
      <c r="BD337" s="68"/>
      <c r="BE337" s="68"/>
      <c r="BF337" s="68"/>
      <c r="BG337" s="68"/>
      <c r="BH337" s="68"/>
      <c r="BI337" s="68"/>
      <c r="BJ337" s="68"/>
      <c r="BK337" s="68"/>
      <c r="BL337" s="68"/>
      <c r="BM337" s="68"/>
      <c r="BN337" s="68"/>
      <c r="BO337" s="68"/>
      <c r="BP337" s="68"/>
      <c r="BQ337" s="68"/>
      <c r="BR337" s="68"/>
      <c r="BS337" s="68"/>
      <c r="BT337" s="68"/>
      <c r="BU337" s="68"/>
      <c r="BV337" s="68"/>
      <c r="BW337" s="68"/>
      <c r="BX337" s="68"/>
      <c r="BY337" s="68"/>
      <c r="BZ337" s="68"/>
      <c r="CA337" s="68"/>
      <c r="CB337" s="68"/>
      <c r="CC337" s="68"/>
      <c r="CD337" s="68"/>
      <c r="CE337" s="68"/>
      <c r="CF337" s="68"/>
      <c r="CG337" s="68"/>
      <c r="CH337" s="68"/>
      <c r="CI337" s="68"/>
      <c r="CJ337" s="68"/>
      <c r="CK337" s="68"/>
      <c r="CL337" s="68"/>
      <c r="CM337" s="68"/>
      <c r="CN337" s="68"/>
      <c r="CO337" s="68"/>
      <c r="CP337" s="68"/>
      <c r="CQ337" s="68"/>
      <c r="CR337" s="68"/>
      <c r="CS337" s="68"/>
      <c r="CT337" s="68"/>
      <c r="CU337" s="68"/>
      <c r="CV337" s="68"/>
      <c r="CW337" s="68"/>
      <c r="CX337" s="68"/>
      <c r="CY337" s="68"/>
      <c r="CZ337" s="68"/>
      <c r="DA337" s="68"/>
      <c r="DB337" s="68"/>
      <c r="DC337" s="68"/>
      <c r="DD337" s="68"/>
      <c r="DE337" s="68"/>
      <c r="DF337" s="68"/>
      <c r="DG337" s="68"/>
      <c r="DH337" s="68"/>
      <c r="DI337" s="68"/>
      <c r="DJ337" s="68"/>
      <c r="DK337" s="68"/>
      <c r="DL337" s="68"/>
      <c r="DM337" s="68"/>
      <c r="DN337" s="68"/>
      <c r="DO337" s="68"/>
      <c r="DP337" s="68"/>
      <c r="DQ337" s="68"/>
      <c r="DR337" s="68"/>
      <c r="DS337" s="68"/>
      <c r="DT337" s="68"/>
    </row>
    <row r="338" spans="1:124" ht="21.75" customHeight="1">
      <c r="A338" s="313"/>
      <c r="B338" s="232"/>
      <c r="C338" s="233"/>
      <c r="D338" s="234"/>
      <c r="E338" s="70"/>
      <c r="F338" s="70"/>
      <c r="G338" s="70"/>
      <c r="H338" s="65"/>
      <c r="I338" s="65"/>
      <c r="J338" s="65"/>
      <c r="K338" s="65"/>
      <c r="L338" s="65"/>
      <c r="M338" s="65"/>
      <c r="N338" s="65"/>
      <c r="O338" s="65"/>
      <c r="P338" s="65"/>
      <c r="Q338" s="65"/>
      <c r="R338" s="65"/>
      <c r="S338" s="65"/>
      <c r="T338" s="65"/>
      <c r="U338" s="70"/>
      <c r="V338" s="65"/>
      <c r="W338" s="70"/>
      <c r="X338" s="70">
        <f>130/0.86</f>
        <v>151.16279069767441</v>
      </c>
      <c r="Y338" s="70">
        <f>130/0.86</f>
        <v>151.16279069767441</v>
      </c>
      <c r="Z338" s="70"/>
      <c r="AA338" s="70"/>
      <c r="AB338" s="70"/>
      <c r="AC338" s="70"/>
      <c r="AD338" s="70"/>
      <c r="AE338" s="70"/>
      <c r="AF338" s="70"/>
      <c r="AG338" s="70"/>
      <c r="AH338" s="70"/>
      <c r="AI338" s="70"/>
      <c r="AJ338" s="70"/>
      <c r="AK338" s="70"/>
      <c r="AL338" s="70"/>
      <c r="AM338" s="70"/>
      <c r="AN338" s="70"/>
      <c r="AO338" s="70"/>
      <c r="AP338" s="65"/>
      <c r="AQ338" s="65"/>
      <c r="AR338" s="65"/>
      <c r="AS338" s="70"/>
      <c r="AT338" s="70"/>
      <c r="AU338" s="70"/>
      <c r="AV338" s="70"/>
      <c r="AW338" s="70"/>
      <c r="AX338" s="70"/>
      <c r="AY338" s="70"/>
      <c r="AZ338" s="65"/>
      <c r="BA338" s="65"/>
      <c r="BB338" s="65"/>
      <c r="BC338" s="65"/>
      <c r="BD338" s="65"/>
      <c r="BE338" s="65"/>
      <c r="BF338" s="65"/>
      <c r="BG338" s="65"/>
      <c r="BH338" s="65"/>
      <c r="BI338" s="65"/>
      <c r="BJ338" s="65"/>
      <c r="BK338" s="65"/>
      <c r="BL338" s="65"/>
      <c r="BM338" s="65"/>
      <c r="BN338" s="65"/>
      <c r="BO338" s="65"/>
      <c r="BP338" s="65"/>
      <c r="BQ338" s="65"/>
      <c r="BR338" s="65"/>
      <c r="BS338" s="65"/>
      <c r="BT338" s="65"/>
      <c r="BU338" s="65"/>
      <c r="BV338" s="65"/>
      <c r="BW338" s="65"/>
      <c r="BX338" s="65"/>
      <c r="BY338" s="65"/>
      <c r="BZ338" s="65"/>
      <c r="CA338" s="65"/>
      <c r="CB338" s="65"/>
      <c r="CC338" s="65"/>
      <c r="CD338" s="65"/>
      <c r="CE338" s="65"/>
      <c r="CF338" s="65"/>
      <c r="CG338" s="65"/>
      <c r="CH338" s="65"/>
      <c r="CI338" s="65"/>
      <c r="CJ338" s="65"/>
      <c r="CK338" s="65"/>
      <c r="CL338" s="65"/>
      <c r="CM338" s="65"/>
      <c r="CN338" s="65"/>
      <c r="CO338" s="65"/>
      <c r="CP338" s="65"/>
      <c r="CQ338" s="65"/>
      <c r="CR338" s="65"/>
      <c r="CS338" s="65"/>
      <c r="CT338" s="65"/>
      <c r="CU338" s="65"/>
      <c r="CV338" s="65"/>
      <c r="CW338" s="65"/>
      <c r="CX338" s="65"/>
      <c r="CY338" s="65"/>
      <c r="CZ338" s="65"/>
      <c r="DA338" s="65"/>
      <c r="DB338" s="65"/>
      <c r="DC338" s="65"/>
      <c r="DD338" s="65"/>
      <c r="DE338" s="65"/>
      <c r="DF338" s="65"/>
      <c r="DG338" s="65"/>
      <c r="DH338" s="65"/>
      <c r="DI338" s="65"/>
      <c r="DJ338" s="65"/>
      <c r="DK338" s="65"/>
      <c r="DL338" s="65"/>
      <c r="DM338" s="65"/>
      <c r="DN338" s="65"/>
      <c r="DO338" s="65"/>
      <c r="DP338" s="65"/>
      <c r="DQ338" s="65"/>
      <c r="DR338" s="65"/>
      <c r="DS338" s="65"/>
      <c r="DT338" s="65"/>
    </row>
    <row r="339" spans="1:124" ht="21.75" customHeight="1">
      <c r="A339" s="313"/>
      <c r="B339" s="229" t="s">
        <v>513</v>
      </c>
      <c r="C339" s="230"/>
      <c r="D339" s="231"/>
      <c r="E339" s="69"/>
      <c r="F339" s="69"/>
      <c r="G339" s="69"/>
      <c r="H339" s="68"/>
      <c r="I339" s="68"/>
      <c r="J339" s="68"/>
      <c r="K339" s="68"/>
      <c r="L339" s="68"/>
      <c r="M339" s="68"/>
      <c r="N339" s="68"/>
      <c r="O339" s="68"/>
      <c r="P339" s="68"/>
      <c r="Q339" s="68"/>
      <c r="R339" s="68"/>
      <c r="S339" s="68"/>
      <c r="T339" s="68"/>
      <c r="U339" s="69"/>
      <c r="V339" s="68"/>
      <c r="W339" s="69"/>
      <c r="X339" s="69"/>
      <c r="Y339" s="69"/>
      <c r="Z339" s="69"/>
      <c r="AA339" s="69"/>
      <c r="AB339" s="69"/>
      <c r="AC339" s="69"/>
      <c r="AD339" s="69"/>
      <c r="AE339" s="69"/>
      <c r="AF339" s="69"/>
      <c r="AG339" s="69"/>
      <c r="AH339" s="69"/>
      <c r="AI339" s="69"/>
      <c r="AJ339" s="69"/>
      <c r="AK339" s="69"/>
      <c r="AL339" s="69"/>
      <c r="AM339" s="69"/>
      <c r="AN339" s="69"/>
      <c r="AO339" s="69"/>
      <c r="AP339" s="68"/>
      <c r="AQ339" s="68"/>
      <c r="AR339" s="68"/>
      <c r="AS339" s="69"/>
      <c r="AT339" s="69"/>
      <c r="AU339" s="69"/>
      <c r="AV339" s="69"/>
      <c r="AW339" s="69"/>
      <c r="AX339" s="69"/>
      <c r="AY339" s="62" t="s">
        <v>424</v>
      </c>
      <c r="AZ339" s="68"/>
      <c r="BA339" s="68"/>
      <c r="BB339" s="68"/>
      <c r="BC339" s="68"/>
      <c r="BD339" s="68"/>
      <c r="BE339" s="68"/>
      <c r="BF339" s="68"/>
      <c r="BG339" s="68" t="s">
        <v>396</v>
      </c>
      <c r="BH339" s="68" t="s">
        <v>378</v>
      </c>
      <c r="BI339" s="68"/>
      <c r="BJ339" s="68"/>
      <c r="BK339" s="68"/>
      <c r="BL339" s="68"/>
      <c r="BM339" s="68"/>
      <c r="BN339" s="68"/>
      <c r="BO339" s="68"/>
      <c r="BP339" s="62" t="s">
        <v>424</v>
      </c>
      <c r="BQ339" s="68"/>
      <c r="BR339" s="68"/>
      <c r="BS339" s="68" t="s">
        <v>396</v>
      </c>
      <c r="BT339" s="68"/>
      <c r="BU339" s="68"/>
      <c r="BV339" s="68"/>
      <c r="BW339" s="68"/>
      <c r="BX339" s="68"/>
      <c r="BY339" s="68"/>
      <c r="BZ339" s="68"/>
      <c r="CA339" s="68"/>
      <c r="CB339" s="68"/>
      <c r="CC339" s="68"/>
      <c r="CD339" s="68"/>
      <c r="CE339" s="68"/>
      <c r="CF339" s="68"/>
      <c r="CG339" s="68"/>
      <c r="CH339" s="68"/>
      <c r="CI339" s="68"/>
      <c r="CJ339" s="68"/>
      <c r="CK339" s="68"/>
      <c r="CL339" s="68"/>
      <c r="CM339" s="68"/>
      <c r="CN339" s="68"/>
      <c r="CO339" s="68"/>
      <c r="CP339" s="68"/>
      <c r="CQ339" s="68"/>
      <c r="CR339" s="68"/>
      <c r="CS339" s="68"/>
      <c r="CT339" s="68"/>
      <c r="CU339" s="68"/>
      <c r="CV339" s="68"/>
      <c r="CW339" s="68"/>
      <c r="CX339" s="68"/>
      <c r="CY339" s="68"/>
      <c r="CZ339" s="68"/>
      <c r="DA339" s="68"/>
      <c r="DB339" s="68"/>
      <c r="DC339" s="68"/>
      <c r="DD339" s="68"/>
      <c r="DE339" s="68"/>
      <c r="DF339" s="68"/>
      <c r="DG339" s="68"/>
      <c r="DH339" s="68"/>
      <c r="DI339" s="68"/>
      <c r="DJ339" s="68"/>
      <c r="DK339" s="68"/>
      <c r="DL339" s="68"/>
      <c r="DM339" s="68"/>
      <c r="DN339" s="68"/>
      <c r="DO339" s="68"/>
      <c r="DP339" s="68"/>
      <c r="DQ339" s="68"/>
      <c r="DR339" s="68"/>
      <c r="DS339" s="68"/>
      <c r="DT339" s="68"/>
    </row>
    <row r="340" spans="1:124" ht="21.75" customHeight="1">
      <c r="A340" s="313"/>
      <c r="B340" s="232"/>
      <c r="C340" s="233"/>
      <c r="D340" s="234"/>
      <c r="E340" s="70"/>
      <c r="F340" s="70"/>
      <c r="G340" s="70"/>
      <c r="H340" s="65"/>
      <c r="I340" s="65"/>
      <c r="J340" s="65"/>
      <c r="K340" s="65"/>
      <c r="L340" s="65"/>
      <c r="M340" s="65"/>
      <c r="N340" s="65"/>
      <c r="O340" s="65"/>
      <c r="P340" s="65"/>
      <c r="Q340" s="65"/>
      <c r="R340" s="65"/>
      <c r="S340" s="65"/>
      <c r="T340" s="65"/>
      <c r="U340" s="70"/>
      <c r="V340" s="65"/>
      <c r="W340" s="70"/>
      <c r="X340" s="70"/>
      <c r="Y340" s="70"/>
      <c r="Z340" s="70"/>
      <c r="AA340" s="70"/>
      <c r="AB340" s="70"/>
      <c r="AC340" s="70"/>
      <c r="AD340" s="70"/>
      <c r="AE340" s="70"/>
      <c r="AF340" s="70"/>
      <c r="AG340" s="70"/>
      <c r="AH340" s="70"/>
      <c r="AI340" s="70"/>
      <c r="AJ340" s="70"/>
      <c r="AK340" s="70"/>
      <c r="AL340" s="70"/>
      <c r="AM340" s="70"/>
      <c r="AN340" s="70"/>
      <c r="AO340" s="70"/>
      <c r="AP340" s="65"/>
      <c r="AQ340" s="65"/>
      <c r="AR340" s="65"/>
      <c r="AS340" s="70"/>
      <c r="AT340" s="70"/>
      <c r="AU340" s="70"/>
      <c r="AV340" s="70"/>
      <c r="AW340" s="70"/>
      <c r="AX340" s="70"/>
      <c r="AY340" s="67">
        <f>140/0.935</f>
        <v>149.7326203208556</v>
      </c>
      <c r="AZ340" s="65"/>
      <c r="BA340" s="65"/>
      <c r="BB340" s="65"/>
      <c r="BC340" s="65"/>
      <c r="BD340" s="65"/>
      <c r="BE340" s="65"/>
      <c r="BF340" s="65"/>
      <c r="BG340" s="65">
        <f>130/0.86</f>
        <v>151.16279069767441</v>
      </c>
      <c r="BH340" s="65">
        <f>135/0.86</f>
        <v>156.97674418604652</v>
      </c>
      <c r="BI340" s="65"/>
      <c r="BJ340" s="65"/>
      <c r="BK340" s="65"/>
      <c r="BL340" s="65"/>
      <c r="BM340" s="65"/>
      <c r="BN340" s="65"/>
      <c r="BO340" s="65"/>
      <c r="BP340" s="67">
        <f>130/0.81</f>
        <v>160.49382716049382</v>
      </c>
      <c r="BQ340" s="65"/>
      <c r="BR340" s="65"/>
      <c r="BS340" s="65">
        <f>135/0.86</f>
        <v>156.97674418604652</v>
      </c>
      <c r="BT340" s="65"/>
      <c r="BU340" s="65"/>
      <c r="BV340" s="65"/>
      <c r="BW340" s="65"/>
      <c r="BX340" s="65"/>
      <c r="BY340" s="65"/>
      <c r="BZ340" s="65"/>
      <c r="CA340" s="65"/>
      <c r="CB340" s="65"/>
      <c r="CC340" s="65"/>
      <c r="CD340" s="65"/>
      <c r="CE340" s="65"/>
      <c r="CF340" s="65"/>
      <c r="CG340" s="65"/>
      <c r="CH340" s="65"/>
      <c r="CI340" s="65"/>
      <c r="CJ340" s="65"/>
      <c r="CK340" s="65"/>
      <c r="CL340" s="65"/>
      <c r="CM340" s="65"/>
      <c r="CN340" s="65"/>
      <c r="CO340" s="65"/>
      <c r="CP340" s="65"/>
      <c r="CQ340" s="65"/>
      <c r="CR340" s="65"/>
      <c r="CS340" s="65"/>
      <c r="CT340" s="65"/>
      <c r="CU340" s="65"/>
      <c r="CV340" s="65"/>
      <c r="CW340" s="65"/>
      <c r="CX340" s="65"/>
      <c r="CY340" s="65"/>
      <c r="CZ340" s="65"/>
      <c r="DA340" s="65"/>
      <c r="DB340" s="65"/>
      <c r="DC340" s="65"/>
      <c r="DD340" s="65"/>
      <c r="DE340" s="65"/>
      <c r="DF340" s="65"/>
      <c r="DG340" s="65"/>
      <c r="DH340" s="65"/>
      <c r="DI340" s="65"/>
      <c r="DJ340" s="65"/>
      <c r="DK340" s="65"/>
      <c r="DL340" s="65"/>
      <c r="DM340" s="65"/>
      <c r="DN340" s="65"/>
      <c r="DO340" s="65"/>
      <c r="DP340" s="65"/>
      <c r="DQ340" s="65"/>
      <c r="DR340" s="65"/>
      <c r="DS340" s="65"/>
      <c r="DT340" s="65"/>
    </row>
    <row r="341" spans="1:124" ht="21.75" customHeight="1">
      <c r="A341" s="313"/>
      <c r="B341" s="229" t="s">
        <v>514</v>
      </c>
      <c r="C341" s="230"/>
      <c r="D341" s="231"/>
      <c r="E341" s="69"/>
      <c r="F341" s="69"/>
      <c r="G341" s="69"/>
      <c r="H341" s="68"/>
      <c r="I341" s="68"/>
      <c r="J341" s="68"/>
      <c r="K341" s="68"/>
      <c r="L341" s="68"/>
      <c r="M341" s="68"/>
      <c r="N341" s="68"/>
      <c r="O341" s="68"/>
      <c r="P341" s="68"/>
      <c r="Q341" s="68"/>
      <c r="R341" s="68"/>
      <c r="S341" s="68"/>
      <c r="T341" s="68"/>
      <c r="U341" s="69"/>
      <c r="V341" s="68"/>
      <c r="W341" s="69"/>
      <c r="X341" s="69"/>
      <c r="Y341" s="69"/>
      <c r="Z341" s="69"/>
      <c r="AA341" s="69"/>
      <c r="AB341" s="69"/>
      <c r="AC341" s="69"/>
      <c r="AD341" s="69"/>
      <c r="AE341" s="69" t="s">
        <v>382</v>
      </c>
      <c r="AF341" s="69"/>
      <c r="AG341" s="69"/>
      <c r="AH341" s="69"/>
      <c r="AI341" s="69"/>
      <c r="AJ341" s="69"/>
      <c r="AK341" s="61" t="s">
        <v>11</v>
      </c>
      <c r="AL341" s="69"/>
      <c r="AM341" s="69"/>
      <c r="AN341" s="69"/>
      <c r="AO341" s="69"/>
      <c r="AP341" s="68"/>
      <c r="AQ341" s="68"/>
      <c r="AR341" s="68"/>
      <c r="AS341" s="69"/>
      <c r="AT341" s="69"/>
      <c r="AU341" s="69"/>
      <c r="AV341" s="68"/>
      <c r="AW341" s="68"/>
      <c r="AX341" s="68"/>
      <c r="AY341" s="68"/>
      <c r="AZ341" s="68"/>
      <c r="BA341" s="68"/>
      <c r="BB341" s="68"/>
      <c r="BC341" s="68"/>
      <c r="BD341" s="68"/>
      <c r="BE341" s="68"/>
      <c r="BF341" s="68"/>
      <c r="BG341" s="68"/>
      <c r="BH341" s="68"/>
      <c r="BI341" s="68"/>
      <c r="BJ341" s="68"/>
      <c r="BK341" s="68"/>
      <c r="BL341" s="68"/>
      <c r="BM341" s="68"/>
      <c r="BN341" s="68"/>
      <c r="BO341" s="68"/>
      <c r="BP341" s="68"/>
      <c r="BQ341" s="68"/>
      <c r="BR341" s="68"/>
      <c r="BS341" s="68"/>
      <c r="BT341" s="68"/>
      <c r="BU341" s="68"/>
      <c r="BV341" s="68"/>
      <c r="BW341" s="68"/>
      <c r="BX341" s="68"/>
      <c r="BY341" s="68"/>
      <c r="BZ341" s="68"/>
      <c r="CA341" s="68"/>
      <c r="CB341" s="68"/>
      <c r="CC341" s="68"/>
      <c r="CD341" s="68"/>
      <c r="CE341" s="68"/>
      <c r="CF341" s="68"/>
      <c r="CG341" s="68"/>
      <c r="CH341" s="68"/>
      <c r="CI341" s="68"/>
      <c r="CJ341" s="68"/>
      <c r="CK341" s="68"/>
      <c r="CL341" s="68"/>
      <c r="CM341" s="68"/>
      <c r="CN341" s="68"/>
      <c r="CO341" s="68"/>
      <c r="CP341" s="68"/>
      <c r="CQ341" s="68"/>
      <c r="CR341" s="68"/>
      <c r="CS341" s="68"/>
      <c r="CT341" s="68"/>
      <c r="CU341" s="68"/>
      <c r="CV341" s="68"/>
      <c r="CW341" s="68"/>
      <c r="CX341" s="68"/>
      <c r="CY341" s="68"/>
      <c r="CZ341" s="68"/>
      <c r="DA341" s="68"/>
      <c r="DB341" s="68"/>
      <c r="DC341" s="68"/>
      <c r="DD341" s="68"/>
      <c r="DE341" s="68"/>
      <c r="DF341" s="68"/>
      <c r="DG341" s="68"/>
      <c r="DH341" s="68"/>
      <c r="DI341" s="68"/>
      <c r="DJ341" s="68"/>
      <c r="DK341" s="68"/>
      <c r="DL341" s="68"/>
      <c r="DM341" s="68"/>
      <c r="DN341" s="68"/>
      <c r="DO341" s="68"/>
      <c r="DP341" s="68"/>
      <c r="DQ341" s="68"/>
      <c r="DR341" s="68"/>
      <c r="DS341" s="68"/>
      <c r="DT341" s="68"/>
    </row>
    <row r="342" spans="1:124" ht="21.75" customHeight="1">
      <c r="A342" s="313"/>
      <c r="B342" s="232"/>
      <c r="C342" s="233"/>
      <c r="D342" s="234"/>
      <c r="E342" s="70"/>
      <c r="F342" s="70"/>
      <c r="G342" s="70"/>
      <c r="H342" s="65"/>
      <c r="I342" s="65"/>
      <c r="J342" s="65"/>
      <c r="K342" s="65"/>
      <c r="L342" s="65"/>
      <c r="M342" s="65"/>
      <c r="N342" s="65"/>
      <c r="O342" s="65"/>
      <c r="P342" s="65"/>
      <c r="Q342" s="65"/>
      <c r="R342" s="65"/>
      <c r="S342" s="65"/>
      <c r="T342" s="65"/>
      <c r="U342" s="70"/>
      <c r="V342" s="65"/>
      <c r="W342" s="70"/>
      <c r="X342" s="70"/>
      <c r="Y342" s="70"/>
      <c r="Z342" s="70"/>
      <c r="AA342" s="70"/>
      <c r="AB342" s="70"/>
      <c r="AC342" s="70"/>
      <c r="AD342" s="70"/>
      <c r="AE342" s="70">
        <f>150/0.885</f>
        <v>169.4915254237288</v>
      </c>
      <c r="AF342" s="70"/>
      <c r="AG342" s="70"/>
      <c r="AH342" s="70"/>
      <c r="AI342" s="70"/>
      <c r="AJ342" s="70"/>
      <c r="AK342" s="72">
        <v>150</v>
      </c>
      <c r="AL342" s="70"/>
      <c r="AM342" s="70"/>
      <c r="AN342" s="70"/>
      <c r="AO342" s="70"/>
      <c r="AP342" s="65"/>
      <c r="AQ342" s="65"/>
      <c r="AR342" s="65"/>
      <c r="AS342" s="70"/>
      <c r="AT342" s="70"/>
      <c r="AU342" s="70"/>
      <c r="AV342" s="65"/>
      <c r="AW342" s="65"/>
      <c r="AX342" s="65"/>
      <c r="AY342" s="65"/>
      <c r="AZ342" s="65"/>
      <c r="BA342" s="65"/>
      <c r="BB342" s="65"/>
      <c r="BC342" s="65"/>
      <c r="BD342" s="65"/>
      <c r="BE342" s="65"/>
      <c r="BF342" s="65"/>
      <c r="BG342" s="65"/>
      <c r="BH342" s="65"/>
      <c r="BI342" s="65"/>
      <c r="BJ342" s="65"/>
      <c r="BK342" s="65"/>
      <c r="BL342" s="65"/>
      <c r="BM342" s="65"/>
      <c r="BN342" s="65"/>
      <c r="BO342" s="65"/>
      <c r="BP342" s="65"/>
      <c r="BQ342" s="65"/>
      <c r="BR342" s="65"/>
      <c r="BS342" s="65"/>
      <c r="BT342" s="65"/>
      <c r="BU342" s="65"/>
      <c r="BV342" s="65"/>
      <c r="BW342" s="65"/>
      <c r="BX342" s="65"/>
      <c r="BY342" s="65"/>
      <c r="BZ342" s="65"/>
      <c r="CA342" s="65"/>
      <c r="CB342" s="65"/>
      <c r="CC342" s="65"/>
      <c r="CD342" s="65"/>
      <c r="CE342" s="65"/>
      <c r="CF342" s="65"/>
      <c r="CG342" s="65"/>
      <c r="CH342" s="65"/>
      <c r="CI342" s="65"/>
      <c r="CJ342" s="65"/>
      <c r="CK342" s="65"/>
      <c r="CL342" s="65"/>
      <c r="CM342" s="65"/>
      <c r="CN342" s="65"/>
      <c r="CO342" s="65"/>
      <c r="CP342" s="65"/>
      <c r="CQ342" s="65"/>
      <c r="CR342" s="65"/>
      <c r="CS342" s="65"/>
      <c r="CT342" s="65"/>
      <c r="CU342" s="65"/>
      <c r="CV342" s="65"/>
      <c r="CW342" s="65"/>
      <c r="CX342" s="65"/>
      <c r="CY342" s="65"/>
      <c r="CZ342" s="65"/>
      <c r="DA342" s="65"/>
      <c r="DB342" s="65"/>
      <c r="DC342" s="65"/>
      <c r="DD342" s="65"/>
      <c r="DE342" s="65"/>
      <c r="DF342" s="65"/>
      <c r="DG342" s="65"/>
      <c r="DH342" s="65"/>
      <c r="DI342" s="65"/>
      <c r="DJ342" s="65"/>
      <c r="DK342" s="65"/>
      <c r="DL342" s="65"/>
      <c r="DM342" s="65"/>
      <c r="DN342" s="65"/>
      <c r="DO342" s="65"/>
      <c r="DP342" s="65"/>
      <c r="DQ342" s="65"/>
      <c r="DR342" s="65"/>
      <c r="DS342" s="65"/>
      <c r="DT342" s="65"/>
    </row>
    <row r="343" spans="1:124" ht="21.75" customHeight="1">
      <c r="A343" s="313"/>
      <c r="B343" s="229" t="s">
        <v>515</v>
      </c>
      <c r="C343" s="230"/>
      <c r="D343" s="231"/>
      <c r="E343" s="69"/>
      <c r="F343" s="69"/>
      <c r="G343" s="69"/>
      <c r="H343" s="68"/>
      <c r="I343" s="68"/>
      <c r="J343" s="68"/>
      <c r="K343" s="68"/>
      <c r="L343" s="68"/>
      <c r="M343" s="68"/>
      <c r="N343" s="68"/>
      <c r="O343" s="68"/>
      <c r="P343" s="68"/>
      <c r="Q343" s="68"/>
      <c r="R343" s="68"/>
      <c r="S343" s="68"/>
      <c r="T343" s="68"/>
      <c r="U343" s="69"/>
      <c r="V343" s="68"/>
      <c r="W343" s="69"/>
      <c r="X343" s="69"/>
      <c r="Y343" s="69"/>
      <c r="Z343" s="69"/>
      <c r="AA343" s="69"/>
      <c r="AB343" s="69"/>
      <c r="AC343" s="69"/>
      <c r="AD343" s="69"/>
      <c r="AE343" s="69"/>
      <c r="AF343" s="69"/>
      <c r="AG343" s="69"/>
      <c r="AH343" s="69"/>
      <c r="AI343" s="69"/>
      <c r="AJ343" s="69"/>
      <c r="AK343" s="69"/>
      <c r="AL343" s="69"/>
      <c r="AM343" s="69"/>
      <c r="AN343" s="69"/>
      <c r="AO343" s="69"/>
      <c r="AP343" s="68"/>
      <c r="AQ343" s="68"/>
      <c r="AR343" s="68"/>
      <c r="AS343" s="69"/>
      <c r="AT343" s="69"/>
      <c r="AU343" s="69"/>
      <c r="AV343" s="69"/>
      <c r="AW343" s="69"/>
      <c r="AX343" s="68" t="s">
        <v>166</v>
      </c>
      <c r="AY343" s="69"/>
      <c r="AZ343" s="68"/>
      <c r="BA343" s="68" t="s">
        <v>516</v>
      </c>
      <c r="BB343" s="68"/>
      <c r="BC343" s="68"/>
      <c r="BD343" s="68"/>
      <c r="BE343" s="68"/>
      <c r="BF343" s="68"/>
      <c r="BG343" s="68"/>
      <c r="BH343" s="68" t="s">
        <v>166</v>
      </c>
      <c r="BI343" s="68"/>
      <c r="BJ343" s="68"/>
      <c r="BK343" s="68"/>
      <c r="BL343" s="68"/>
      <c r="BM343" s="68"/>
      <c r="BN343" s="68"/>
      <c r="BO343" s="68"/>
      <c r="BP343" s="68"/>
      <c r="BQ343" s="68"/>
      <c r="BR343" s="68"/>
      <c r="BS343" s="68"/>
      <c r="BT343" s="68"/>
      <c r="BU343" s="68"/>
      <c r="BV343" s="68"/>
      <c r="BW343" s="68"/>
      <c r="BX343" s="68"/>
      <c r="BY343" s="68"/>
      <c r="BZ343" s="68"/>
      <c r="CA343" s="68"/>
      <c r="CB343" s="68"/>
      <c r="CC343" s="68"/>
      <c r="CD343" s="68"/>
      <c r="CE343" s="68"/>
      <c r="CF343" s="68"/>
      <c r="CG343" s="68"/>
      <c r="CH343" s="68"/>
      <c r="CI343" s="68"/>
      <c r="CJ343" s="68"/>
      <c r="CK343" s="68"/>
      <c r="CL343" s="68"/>
      <c r="CM343" s="68"/>
      <c r="CN343" s="68"/>
      <c r="CO343" s="68"/>
      <c r="CP343" s="68"/>
      <c r="CQ343" s="68"/>
      <c r="CR343" s="68"/>
      <c r="CS343" s="68"/>
      <c r="CT343" s="68"/>
      <c r="CU343" s="68"/>
      <c r="CV343" s="68"/>
      <c r="CW343" s="68"/>
      <c r="CX343" s="68"/>
      <c r="CY343" s="68"/>
      <c r="CZ343" s="68"/>
      <c r="DA343" s="68"/>
      <c r="DB343" s="68"/>
      <c r="DC343" s="68"/>
      <c r="DD343" s="68"/>
      <c r="DE343" s="68"/>
      <c r="DF343" s="68"/>
      <c r="DG343" s="68"/>
      <c r="DH343" s="68"/>
      <c r="DI343" s="68"/>
      <c r="DJ343" s="68"/>
      <c r="DK343" s="68"/>
      <c r="DL343" s="68"/>
      <c r="DM343" s="68"/>
      <c r="DN343" s="68"/>
      <c r="DO343" s="68"/>
      <c r="DP343" s="68"/>
      <c r="DQ343" s="68"/>
      <c r="DR343" s="68"/>
      <c r="DS343" s="68"/>
      <c r="DT343" s="68"/>
    </row>
    <row r="344" spans="1:124" ht="21.75" customHeight="1">
      <c r="A344" s="313"/>
      <c r="B344" s="232"/>
      <c r="C344" s="233"/>
      <c r="D344" s="234"/>
      <c r="E344" s="70"/>
      <c r="F344" s="70"/>
      <c r="G344" s="70"/>
      <c r="H344" s="65"/>
      <c r="I344" s="65"/>
      <c r="J344" s="65"/>
      <c r="K344" s="65"/>
      <c r="L344" s="65"/>
      <c r="M344" s="65"/>
      <c r="N344" s="65"/>
      <c r="O344" s="65"/>
      <c r="P344" s="65"/>
      <c r="Q344" s="65"/>
      <c r="R344" s="65"/>
      <c r="S344" s="65"/>
      <c r="T344" s="65"/>
      <c r="U344" s="70"/>
      <c r="V344" s="65"/>
      <c r="W344" s="70"/>
      <c r="X344" s="70"/>
      <c r="Y344" s="70"/>
      <c r="Z344" s="70"/>
      <c r="AA344" s="70"/>
      <c r="AB344" s="70"/>
      <c r="AC344" s="70"/>
      <c r="AD344" s="70"/>
      <c r="AE344" s="70"/>
      <c r="AF344" s="70"/>
      <c r="AG344" s="70"/>
      <c r="AH344" s="70"/>
      <c r="AI344" s="70"/>
      <c r="AJ344" s="70"/>
      <c r="AK344" s="70"/>
      <c r="AL344" s="70"/>
      <c r="AM344" s="70"/>
      <c r="AN344" s="70"/>
      <c r="AO344" s="70"/>
      <c r="AP344" s="65"/>
      <c r="AQ344" s="65"/>
      <c r="AR344" s="65"/>
      <c r="AS344" s="70"/>
      <c r="AT344" s="70"/>
      <c r="AU344" s="70"/>
      <c r="AV344" s="70"/>
      <c r="AW344" s="70"/>
      <c r="AX344" s="70">
        <f>120</f>
        <v>120</v>
      </c>
      <c r="AY344" s="70"/>
      <c r="AZ344" s="65"/>
      <c r="BA344" s="65">
        <v>135</v>
      </c>
      <c r="BB344" s="65"/>
      <c r="BC344" s="65"/>
      <c r="BD344" s="65"/>
      <c r="BE344" s="65"/>
      <c r="BF344" s="65"/>
      <c r="BG344" s="65"/>
      <c r="BH344" s="65">
        <f>130</f>
        <v>130</v>
      </c>
      <c r="BI344" s="65"/>
      <c r="BJ344" s="65"/>
      <c r="BK344" s="65"/>
      <c r="BL344" s="65"/>
      <c r="BM344" s="65"/>
      <c r="BN344" s="65"/>
      <c r="BO344" s="65"/>
      <c r="BP344" s="65"/>
      <c r="BQ344" s="65"/>
      <c r="BR344" s="65"/>
      <c r="BS344" s="65"/>
      <c r="BT344" s="65"/>
      <c r="BU344" s="65"/>
      <c r="BV344" s="65"/>
      <c r="BW344" s="65"/>
      <c r="BX344" s="65"/>
      <c r="BY344" s="65"/>
      <c r="BZ344" s="65"/>
      <c r="CA344" s="65"/>
      <c r="CB344" s="65"/>
      <c r="CC344" s="65"/>
      <c r="CD344" s="65"/>
      <c r="CE344" s="65"/>
      <c r="CF344" s="65"/>
      <c r="CG344" s="65"/>
      <c r="CH344" s="65"/>
      <c r="CI344" s="65"/>
      <c r="CJ344" s="65"/>
      <c r="CK344" s="65"/>
      <c r="CL344" s="65"/>
      <c r="CM344" s="65"/>
      <c r="CN344" s="65"/>
      <c r="CO344" s="65"/>
      <c r="CP344" s="65"/>
      <c r="CQ344" s="65"/>
      <c r="CR344" s="65"/>
      <c r="CS344" s="65"/>
      <c r="CT344" s="65"/>
      <c r="CU344" s="65"/>
      <c r="CV344" s="65"/>
      <c r="CW344" s="65"/>
      <c r="CX344" s="65"/>
      <c r="CY344" s="65"/>
      <c r="CZ344" s="65"/>
      <c r="DA344" s="65"/>
      <c r="DB344" s="65"/>
      <c r="DC344" s="65"/>
      <c r="DD344" s="65"/>
      <c r="DE344" s="65"/>
      <c r="DF344" s="65"/>
      <c r="DG344" s="65"/>
      <c r="DH344" s="65"/>
      <c r="DI344" s="65"/>
      <c r="DJ344" s="65"/>
      <c r="DK344" s="65"/>
      <c r="DL344" s="65"/>
      <c r="DM344" s="65"/>
      <c r="DN344" s="65"/>
      <c r="DO344" s="65"/>
      <c r="DP344" s="65"/>
      <c r="DQ344" s="65"/>
      <c r="DR344" s="65"/>
      <c r="DS344" s="65"/>
      <c r="DT344" s="65"/>
    </row>
    <row r="345" spans="1:124" ht="21.75" customHeight="1">
      <c r="A345" s="313"/>
      <c r="B345" s="229" t="s">
        <v>517</v>
      </c>
      <c r="C345" s="230"/>
      <c r="D345" s="231"/>
      <c r="E345" s="69"/>
      <c r="F345" s="69"/>
      <c r="G345" s="69"/>
      <c r="H345" s="68"/>
      <c r="I345" s="68"/>
      <c r="J345" s="68"/>
      <c r="K345" s="68"/>
      <c r="L345" s="68"/>
      <c r="M345" s="68"/>
      <c r="N345" s="68"/>
      <c r="O345" s="68"/>
      <c r="P345" s="68"/>
      <c r="Q345" s="68"/>
      <c r="R345" s="68"/>
      <c r="S345" s="68"/>
      <c r="T345" s="68"/>
      <c r="U345" s="69"/>
      <c r="V345" s="68"/>
      <c r="W345" s="92" t="s">
        <v>55</v>
      </c>
      <c r="X345" s="69"/>
      <c r="Y345" s="69"/>
      <c r="Z345" s="69"/>
      <c r="AA345" s="69"/>
      <c r="AB345" s="69"/>
      <c r="AC345" s="69"/>
      <c r="AD345" s="69"/>
      <c r="AE345" s="69"/>
      <c r="AF345" s="69"/>
      <c r="AG345" s="69"/>
      <c r="AH345" s="69"/>
      <c r="AI345" s="69"/>
      <c r="AJ345" s="69"/>
      <c r="AK345" s="69"/>
      <c r="AL345" s="69"/>
      <c r="AM345" s="69"/>
      <c r="AN345" s="69"/>
      <c r="AO345" s="69"/>
      <c r="AP345" s="68"/>
      <c r="AQ345" s="68"/>
      <c r="AR345" s="68"/>
      <c r="AS345" s="69"/>
      <c r="AT345" s="69"/>
      <c r="AU345" s="92" t="s">
        <v>518</v>
      </c>
      <c r="AV345" s="69"/>
      <c r="AW345" s="69"/>
      <c r="AX345" s="69"/>
      <c r="AY345" s="69"/>
      <c r="AZ345" s="68"/>
      <c r="BA345" s="68"/>
      <c r="BB345" s="68"/>
      <c r="BC345" s="68"/>
      <c r="BD345" s="68"/>
      <c r="BE345" s="68"/>
      <c r="BF345" s="68"/>
      <c r="BG345" s="68"/>
      <c r="BH345" s="68"/>
      <c r="BI345" s="68"/>
      <c r="BJ345" s="68"/>
      <c r="BK345" s="68"/>
      <c r="BL345" s="68"/>
      <c r="BM345" s="68"/>
      <c r="BN345" s="68"/>
      <c r="BO345" s="68"/>
      <c r="BP345" s="68"/>
      <c r="BQ345" s="68"/>
      <c r="BR345" s="68"/>
      <c r="BS345" s="68"/>
      <c r="BT345" s="68"/>
      <c r="BU345" s="68"/>
      <c r="BV345" s="68"/>
      <c r="BW345" s="68"/>
      <c r="BX345" s="68"/>
      <c r="BY345" s="68"/>
      <c r="BZ345" s="68"/>
      <c r="CA345" s="68"/>
      <c r="CB345" s="68"/>
      <c r="CC345" s="68"/>
      <c r="CD345" s="68"/>
      <c r="CE345" s="68"/>
      <c r="CF345" s="68"/>
      <c r="CG345" s="68"/>
      <c r="CH345" s="68"/>
      <c r="CI345" s="68"/>
      <c r="CJ345" s="68"/>
      <c r="CK345" s="68"/>
      <c r="CL345" s="68"/>
      <c r="CM345" s="68"/>
      <c r="CN345" s="68"/>
      <c r="CO345" s="68"/>
      <c r="CP345" s="68"/>
      <c r="CQ345" s="68"/>
      <c r="CR345" s="68"/>
      <c r="CS345" s="68"/>
      <c r="CT345" s="68"/>
      <c r="CU345" s="68"/>
      <c r="CV345" s="68"/>
      <c r="CW345" s="68"/>
      <c r="CX345" s="68"/>
      <c r="CY345" s="68"/>
      <c r="CZ345" s="68"/>
      <c r="DA345" s="68"/>
      <c r="DB345" s="68"/>
      <c r="DC345" s="68"/>
      <c r="DD345" s="68"/>
      <c r="DE345" s="68"/>
      <c r="DF345" s="68"/>
      <c r="DG345" s="68"/>
      <c r="DH345" s="68"/>
      <c r="DI345" s="68"/>
      <c r="DJ345" s="68"/>
      <c r="DK345" s="68"/>
      <c r="DL345" s="68"/>
      <c r="DM345" s="68"/>
      <c r="DN345" s="68"/>
      <c r="DO345" s="68"/>
      <c r="DP345" s="68"/>
      <c r="DQ345" s="68"/>
      <c r="DR345" s="68"/>
      <c r="DS345" s="68"/>
      <c r="DT345" s="68"/>
    </row>
    <row r="346" spans="1:124" ht="21.75" customHeight="1">
      <c r="A346" s="313"/>
      <c r="B346" s="232"/>
      <c r="C346" s="233"/>
      <c r="D346" s="234"/>
      <c r="E346" s="70"/>
      <c r="F346" s="70"/>
      <c r="G346" s="70"/>
      <c r="H346" s="65"/>
      <c r="I346" s="65"/>
      <c r="J346" s="65"/>
      <c r="K346" s="65"/>
      <c r="L346" s="65"/>
      <c r="M346" s="65"/>
      <c r="N346" s="65"/>
      <c r="O346" s="65"/>
      <c r="P346" s="65"/>
      <c r="Q346" s="65"/>
      <c r="R346" s="65"/>
      <c r="S346" s="65"/>
      <c r="T346" s="65"/>
      <c r="U346" s="70"/>
      <c r="V346" s="65"/>
      <c r="W346" s="70">
        <v>130</v>
      </c>
      <c r="X346" s="70"/>
      <c r="Y346" s="70"/>
      <c r="Z346" s="70"/>
      <c r="AA346" s="70"/>
      <c r="AB346" s="70"/>
      <c r="AC346" s="70"/>
      <c r="AD346" s="70"/>
      <c r="AE346" s="70"/>
      <c r="AF346" s="70"/>
      <c r="AG346" s="70"/>
      <c r="AH346" s="70"/>
      <c r="AI346" s="70"/>
      <c r="AJ346" s="70"/>
      <c r="AK346" s="70"/>
      <c r="AL346" s="70"/>
      <c r="AM346" s="70"/>
      <c r="AN346" s="70"/>
      <c r="AO346" s="70"/>
      <c r="AP346" s="65"/>
      <c r="AQ346" s="65"/>
      <c r="AR346" s="65"/>
      <c r="AS346" s="70"/>
      <c r="AT346" s="70"/>
      <c r="AU346" s="70">
        <v>120</v>
      </c>
      <c r="AV346" s="70"/>
      <c r="AW346" s="70"/>
      <c r="AX346" s="70"/>
      <c r="AY346" s="70"/>
      <c r="AZ346" s="65"/>
      <c r="BA346" s="65"/>
      <c r="BB346" s="65"/>
      <c r="BC346" s="65"/>
      <c r="BD346" s="65"/>
      <c r="BE346" s="65"/>
      <c r="BF346" s="65"/>
      <c r="BG346" s="65"/>
      <c r="BH346" s="65"/>
      <c r="BI346" s="65"/>
      <c r="BJ346" s="65"/>
      <c r="BK346" s="65"/>
      <c r="BL346" s="65"/>
      <c r="BM346" s="65"/>
      <c r="BN346" s="65"/>
      <c r="BO346" s="65"/>
      <c r="BP346" s="65"/>
      <c r="BQ346" s="65"/>
      <c r="BR346" s="65"/>
      <c r="BS346" s="65"/>
      <c r="BT346" s="65"/>
      <c r="BU346" s="65"/>
      <c r="BV346" s="65"/>
      <c r="BW346" s="65"/>
      <c r="BX346" s="65"/>
      <c r="BY346" s="65"/>
      <c r="BZ346" s="65"/>
      <c r="CA346" s="65"/>
      <c r="CB346" s="65"/>
      <c r="CC346" s="65"/>
      <c r="CD346" s="65"/>
      <c r="CE346" s="65"/>
      <c r="CF346" s="65"/>
      <c r="CG346" s="65"/>
      <c r="CH346" s="65"/>
      <c r="CI346" s="65"/>
      <c r="CJ346" s="65"/>
      <c r="CK346" s="65"/>
      <c r="CL346" s="65"/>
      <c r="CM346" s="65"/>
      <c r="CN346" s="65"/>
      <c r="CO346" s="65"/>
      <c r="CP346" s="65"/>
      <c r="CQ346" s="65"/>
      <c r="CR346" s="65"/>
      <c r="CS346" s="65"/>
      <c r="CT346" s="65"/>
      <c r="CU346" s="65"/>
      <c r="CV346" s="65"/>
      <c r="CW346" s="65"/>
      <c r="CX346" s="65"/>
      <c r="CY346" s="65"/>
      <c r="CZ346" s="65"/>
      <c r="DA346" s="65"/>
      <c r="DB346" s="65"/>
      <c r="DC346" s="65"/>
      <c r="DD346" s="65"/>
      <c r="DE346" s="65"/>
      <c r="DF346" s="65"/>
      <c r="DG346" s="65"/>
      <c r="DH346" s="65"/>
      <c r="DI346" s="65"/>
      <c r="DJ346" s="65"/>
      <c r="DK346" s="65"/>
      <c r="DL346" s="65"/>
      <c r="DM346" s="65"/>
      <c r="DN346" s="65"/>
      <c r="DO346" s="65"/>
      <c r="DP346" s="65"/>
      <c r="DQ346" s="65"/>
      <c r="DR346" s="65"/>
      <c r="DS346" s="65"/>
      <c r="DT346" s="65"/>
    </row>
    <row r="347" spans="1:124" ht="21.75" customHeight="1">
      <c r="A347" s="313"/>
      <c r="B347" s="229" t="s">
        <v>391</v>
      </c>
      <c r="C347" s="230"/>
      <c r="D347" s="231"/>
      <c r="E347" s="69"/>
      <c r="F347" s="69"/>
      <c r="G347" s="69"/>
      <c r="H347" s="69"/>
      <c r="I347" s="69"/>
      <c r="J347" s="69"/>
      <c r="K347" s="69"/>
      <c r="L347" s="69"/>
      <c r="M347" s="69"/>
      <c r="N347" s="69"/>
      <c r="O347" s="69"/>
      <c r="P347" s="69"/>
      <c r="Q347" s="69"/>
      <c r="R347" s="69"/>
      <c r="S347" s="69"/>
      <c r="T347" s="69"/>
      <c r="U347" s="69"/>
      <c r="V347" s="69"/>
      <c r="W347" s="69"/>
      <c r="X347" s="69"/>
      <c r="Y347" s="69"/>
      <c r="Z347" s="69"/>
      <c r="AA347" s="69"/>
      <c r="AB347" s="69"/>
      <c r="AC347" s="69"/>
      <c r="AD347" s="69"/>
      <c r="AE347" s="69"/>
      <c r="AF347" s="69"/>
      <c r="AG347" s="69"/>
      <c r="AH347" s="69"/>
      <c r="AI347" s="69"/>
      <c r="AJ347" s="69"/>
      <c r="AK347" s="69"/>
      <c r="AL347" s="69"/>
      <c r="AM347" s="69"/>
      <c r="AN347" s="69"/>
      <c r="AO347" s="69"/>
      <c r="AP347" s="68"/>
      <c r="AQ347" s="68"/>
      <c r="AR347" s="68"/>
      <c r="AS347" s="69"/>
      <c r="AT347" s="69" t="s">
        <v>392</v>
      </c>
      <c r="AU347" s="69"/>
      <c r="AV347" s="69"/>
      <c r="AW347" s="69"/>
      <c r="AX347" s="69"/>
      <c r="AY347" s="69"/>
      <c r="AZ347" s="69"/>
      <c r="BA347" s="69"/>
      <c r="BB347" s="69"/>
      <c r="BC347" s="69"/>
      <c r="BD347" s="69"/>
      <c r="BE347" s="69"/>
      <c r="BF347" s="69"/>
      <c r="BG347" s="68"/>
      <c r="BH347" s="68"/>
      <c r="BI347" s="68"/>
      <c r="BJ347" s="68"/>
      <c r="BK347" s="68"/>
      <c r="BL347" s="68"/>
      <c r="BM347" s="68"/>
      <c r="BN347" s="68"/>
      <c r="BO347" s="68"/>
      <c r="BP347" s="68"/>
      <c r="BQ347" s="68"/>
      <c r="BR347" s="68"/>
      <c r="BS347" s="68"/>
      <c r="BT347" s="68"/>
      <c r="BU347" s="68"/>
      <c r="BV347" s="68"/>
      <c r="BW347" s="68"/>
      <c r="BX347" s="68"/>
      <c r="BY347" s="68"/>
      <c r="BZ347" s="68"/>
      <c r="CA347" s="68"/>
      <c r="CB347" s="68"/>
      <c r="CC347" s="68"/>
      <c r="CD347" s="68"/>
      <c r="CE347" s="68"/>
      <c r="CF347" s="68"/>
      <c r="CG347" s="68"/>
      <c r="CH347" s="68"/>
      <c r="CI347" s="68"/>
      <c r="CJ347" s="68"/>
      <c r="CK347" s="68"/>
      <c r="CL347" s="68"/>
      <c r="CM347" s="68"/>
      <c r="CN347" s="68"/>
      <c r="CO347" s="68"/>
      <c r="CP347" s="68"/>
      <c r="CQ347" s="68"/>
      <c r="CR347" s="68"/>
      <c r="CS347" s="68"/>
      <c r="CT347" s="68"/>
      <c r="CU347" s="68"/>
      <c r="CV347" s="68"/>
      <c r="CW347" s="68"/>
      <c r="CX347" s="68"/>
      <c r="CY347" s="68"/>
      <c r="CZ347" s="68"/>
      <c r="DA347" s="68"/>
      <c r="DB347" s="68"/>
      <c r="DC347" s="68"/>
      <c r="DD347" s="68"/>
      <c r="DE347" s="68"/>
      <c r="DF347" s="68"/>
      <c r="DG347" s="68"/>
      <c r="DH347" s="68"/>
      <c r="DI347" s="68"/>
      <c r="DJ347" s="68"/>
      <c r="DK347" s="68"/>
      <c r="DL347" s="68"/>
      <c r="DM347" s="68"/>
      <c r="DN347" s="68"/>
      <c r="DO347" s="68"/>
      <c r="DP347" s="68"/>
      <c r="DQ347" s="68"/>
      <c r="DR347" s="68"/>
      <c r="DS347" s="68"/>
      <c r="DT347" s="68"/>
    </row>
    <row r="348" spans="1:124" ht="21.75" customHeight="1">
      <c r="A348" s="313"/>
      <c r="B348" s="232"/>
      <c r="C348" s="233"/>
      <c r="D348" s="234"/>
      <c r="E348" s="70"/>
      <c r="F348" s="70"/>
      <c r="G348" s="70"/>
      <c r="H348" s="70"/>
      <c r="I348" s="70"/>
      <c r="J348" s="70"/>
      <c r="K348" s="70"/>
      <c r="L348" s="70"/>
      <c r="M348" s="70"/>
      <c r="N348" s="70"/>
      <c r="O348" s="70"/>
      <c r="P348" s="70"/>
      <c r="Q348" s="70"/>
      <c r="R348" s="70"/>
      <c r="S348" s="70"/>
      <c r="T348" s="70"/>
      <c r="U348" s="70"/>
      <c r="V348" s="70"/>
      <c r="W348" s="70"/>
      <c r="X348" s="70"/>
      <c r="Y348" s="70"/>
      <c r="Z348" s="70"/>
      <c r="AA348" s="70"/>
      <c r="AB348" s="70"/>
      <c r="AC348" s="70"/>
      <c r="AD348" s="70"/>
      <c r="AE348" s="70"/>
      <c r="AF348" s="70"/>
      <c r="AG348" s="70"/>
      <c r="AH348" s="70"/>
      <c r="AI348" s="70"/>
      <c r="AJ348" s="70"/>
      <c r="AK348" s="70"/>
      <c r="AL348" s="70"/>
      <c r="AM348" s="70"/>
      <c r="AN348" s="70"/>
      <c r="AO348" s="70"/>
      <c r="AP348" s="65"/>
      <c r="AQ348" s="65"/>
      <c r="AR348" s="65"/>
      <c r="AS348" s="70"/>
      <c r="AT348" s="70">
        <f>50/0.86</f>
        <v>58.139534883720934</v>
      </c>
      <c r="AU348" s="70"/>
      <c r="AV348" s="70"/>
      <c r="AW348" s="70"/>
      <c r="AX348" s="70"/>
      <c r="AY348" s="70"/>
      <c r="AZ348" s="70"/>
      <c r="BA348" s="70"/>
      <c r="BB348" s="70"/>
      <c r="BC348" s="70"/>
      <c r="BD348" s="70"/>
      <c r="BE348" s="70"/>
      <c r="BF348" s="70"/>
      <c r="BG348" s="65"/>
      <c r="BH348" s="65"/>
      <c r="BI348" s="65"/>
      <c r="BJ348" s="65"/>
      <c r="BK348" s="65"/>
      <c r="BL348" s="65"/>
      <c r="BM348" s="65"/>
      <c r="BN348" s="65"/>
      <c r="BO348" s="65"/>
      <c r="BP348" s="65"/>
      <c r="BQ348" s="65"/>
      <c r="BR348" s="65"/>
      <c r="BS348" s="65"/>
      <c r="BT348" s="65"/>
      <c r="BU348" s="65"/>
      <c r="BV348" s="65"/>
      <c r="BW348" s="65"/>
      <c r="BX348" s="65"/>
      <c r="BY348" s="65"/>
      <c r="BZ348" s="65"/>
      <c r="CA348" s="65"/>
      <c r="CB348" s="65"/>
      <c r="CC348" s="65"/>
      <c r="CD348" s="65"/>
      <c r="CE348" s="65"/>
      <c r="CF348" s="65"/>
      <c r="CG348" s="65"/>
      <c r="CH348" s="65"/>
      <c r="CI348" s="65"/>
      <c r="CJ348" s="65"/>
      <c r="CK348" s="65"/>
      <c r="CL348" s="65"/>
      <c r="CM348" s="65"/>
      <c r="CN348" s="65"/>
      <c r="CO348" s="65"/>
      <c r="CP348" s="65"/>
      <c r="CQ348" s="65"/>
      <c r="CR348" s="65"/>
      <c r="CS348" s="65"/>
      <c r="CT348" s="65"/>
      <c r="CU348" s="65"/>
      <c r="CV348" s="65"/>
      <c r="CW348" s="65"/>
      <c r="CX348" s="65"/>
      <c r="CY348" s="65"/>
      <c r="CZ348" s="65"/>
      <c r="DA348" s="65"/>
      <c r="DB348" s="65"/>
      <c r="DC348" s="65"/>
      <c r="DD348" s="65"/>
      <c r="DE348" s="65"/>
      <c r="DF348" s="65"/>
      <c r="DG348" s="65"/>
      <c r="DH348" s="65"/>
      <c r="DI348" s="65"/>
      <c r="DJ348" s="65"/>
      <c r="DK348" s="65"/>
      <c r="DL348" s="65"/>
      <c r="DM348" s="65"/>
      <c r="DN348" s="65"/>
      <c r="DO348" s="65"/>
      <c r="DP348" s="65"/>
      <c r="DQ348" s="65"/>
      <c r="DR348" s="65"/>
      <c r="DS348" s="65"/>
      <c r="DT348" s="65"/>
    </row>
    <row r="349" spans="1:124" ht="21.75" customHeight="1">
      <c r="A349" s="313"/>
      <c r="B349" s="229" t="s">
        <v>519</v>
      </c>
      <c r="C349" s="230"/>
      <c r="D349" s="231"/>
      <c r="E349" s="69"/>
      <c r="F349" s="69"/>
      <c r="G349" s="69"/>
      <c r="H349" s="68"/>
      <c r="I349" s="68"/>
      <c r="J349" s="68"/>
      <c r="K349" s="68"/>
      <c r="L349" s="68"/>
      <c r="M349" s="68"/>
      <c r="N349" s="68"/>
      <c r="O349" s="68"/>
      <c r="P349" s="68"/>
      <c r="Q349" s="68"/>
      <c r="R349" s="68"/>
      <c r="S349" s="68"/>
      <c r="T349" s="68"/>
      <c r="U349" s="69"/>
      <c r="V349" s="68"/>
      <c r="W349" s="69"/>
      <c r="X349" s="69"/>
      <c r="Y349" s="69"/>
      <c r="Z349" s="69"/>
      <c r="AA349" s="69"/>
      <c r="AB349" s="69"/>
      <c r="AC349" s="69"/>
      <c r="AD349" s="69"/>
      <c r="AE349" s="69"/>
      <c r="AF349" s="69"/>
      <c r="AG349" s="69"/>
      <c r="AH349" s="69"/>
      <c r="AI349" s="69"/>
      <c r="AJ349" s="69"/>
      <c r="AK349" s="69"/>
      <c r="AL349" s="69"/>
      <c r="AM349" s="69"/>
      <c r="AN349" s="69"/>
      <c r="AO349" s="69"/>
      <c r="AP349" s="68"/>
      <c r="AQ349" s="68"/>
      <c r="AR349" s="68"/>
      <c r="AS349" s="69" t="s">
        <v>395</v>
      </c>
      <c r="AT349" s="69"/>
      <c r="AU349" s="69" t="s">
        <v>394</v>
      </c>
      <c r="AV349" s="69"/>
      <c r="AW349" s="69"/>
      <c r="AX349" s="69"/>
      <c r="AY349" s="69"/>
      <c r="AZ349" s="68"/>
      <c r="BA349" s="68"/>
      <c r="BB349" s="68" t="s">
        <v>395</v>
      </c>
      <c r="BC349" s="68"/>
      <c r="BD349" s="68"/>
      <c r="BE349" s="68"/>
      <c r="BF349" s="68"/>
      <c r="BG349" s="68"/>
      <c r="BH349" s="68"/>
      <c r="BI349" s="68"/>
      <c r="BJ349" s="68"/>
      <c r="BK349" s="68"/>
      <c r="BL349" s="68"/>
      <c r="BM349" s="68"/>
      <c r="BN349" s="68"/>
      <c r="BO349" s="68"/>
      <c r="BP349" s="68"/>
      <c r="BQ349" s="68"/>
      <c r="BR349" s="68"/>
      <c r="BS349" s="68"/>
      <c r="BT349" s="68"/>
      <c r="BU349" s="68"/>
      <c r="BV349" s="68"/>
      <c r="BW349" s="68"/>
      <c r="BX349" s="68"/>
      <c r="BY349" s="68"/>
      <c r="BZ349" s="68"/>
      <c r="CA349" s="68"/>
      <c r="CB349" s="68"/>
      <c r="CC349" s="68"/>
      <c r="CD349" s="68"/>
      <c r="CE349" s="68"/>
      <c r="CF349" s="68"/>
      <c r="CG349" s="68"/>
      <c r="CH349" s="68"/>
      <c r="CI349" s="68"/>
      <c r="CJ349" s="68"/>
      <c r="CK349" s="68"/>
      <c r="CL349" s="68"/>
      <c r="CM349" s="68"/>
      <c r="CN349" s="68"/>
      <c r="CO349" s="68"/>
      <c r="CP349" s="68"/>
      <c r="CQ349" s="68"/>
      <c r="CR349" s="68"/>
      <c r="CS349" s="68"/>
      <c r="CT349" s="68"/>
      <c r="CU349" s="68"/>
      <c r="CV349" s="68"/>
      <c r="CW349" s="68"/>
      <c r="CX349" s="68"/>
      <c r="CY349" s="68"/>
      <c r="CZ349" s="68"/>
      <c r="DA349" s="68"/>
      <c r="DB349" s="68"/>
      <c r="DC349" s="68"/>
      <c r="DD349" s="68"/>
      <c r="DE349" s="68"/>
      <c r="DF349" s="68"/>
      <c r="DG349" s="68"/>
      <c r="DH349" s="68"/>
      <c r="DI349" s="68"/>
      <c r="DJ349" s="68"/>
      <c r="DK349" s="68"/>
      <c r="DL349" s="68"/>
      <c r="DM349" s="68"/>
      <c r="DN349" s="68"/>
      <c r="DO349" s="68"/>
      <c r="DP349" s="68"/>
      <c r="DQ349" s="68"/>
      <c r="DR349" s="68"/>
      <c r="DS349" s="68"/>
      <c r="DT349" s="68"/>
    </row>
    <row r="350" spans="1:124" ht="21.75" customHeight="1">
      <c r="A350" s="313"/>
      <c r="B350" s="232"/>
      <c r="C350" s="233"/>
      <c r="D350" s="234"/>
      <c r="E350" s="70"/>
      <c r="F350" s="70"/>
      <c r="G350" s="70"/>
      <c r="H350" s="65"/>
      <c r="I350" s="65"/>
      <c r="J350" s="65"/>
      <c r="K350" s="65"/>
      <c r="L350" s="65"/>
      <c r="M350" s="65"/>
      <c r="N350" s="65"/>
      <c r="O350" s="65"/>
      <c r="P350" s="65"/>
      <c r="Q350" s="65"/>
      <c r="R350" s="65"/>
      <c r="S350" s="65"/>
      <c r="T350" s="65"/>
      <c r="U350" s="70"/>
      <c r="V350" s="65"/>
      <c r="W350" s="70"/>
      <c r="X350" s="70"/>
      <c r="Y350" s="70"/>
      <c r="Z350" s="70"/>
      <c r="AA350" s="70"/>
      <c r="AB350" s="70"/>
      <c r="AC350" s="70"/>
      <c r="AD350" s="70"/>
      <c r="AE350" s="70"/>
      <c r="AF350" s="70"/>
      <c r="AG350" s="70"/>
      <c r="AH350" s="70"/>
      <c r="AI350" s="70"/>
      <c r="AJ350" s="70"/>
      <c r="AK350" s="70"/>
      <c r="AL350" s="70"/>
      <c r="AM350" s="70"/>
      <c r="AN350" s="70"/>
      <c r="AO350" s="70"/>
      <c r="AP350" s="65"/>
      <c r="AQ350" s="65"/>
      <c r="AR350" s="65"/>
      <c r="AS350" s="70">
        <f>60/0.785</f>
        <v>76.43312101910827</v>
      </c>
      <c r="AT350" s="70"/>
      <c r="AU350" s="70">
        <f>75/0.86</f>
        <v>87.20930232558139</v>
      </c>
      <c r="AV350" s="70"/>
      <c r="AW350" s="70"/>
      <c r="AX350" s="70"/>
      <c r="AY350" s="70"/>
      <c r="AZ350" s="65"/>
      <c r="BA350" s="65"/>
      <c r="BB350" s="65">
        <f>80/0.785</f>
        <v>101.9108280254777</v>
      </c>
      <c r="BC350" s="65"/>
      <c r="BD350" s="65"/>
      <c r="BE350" s="65"/>
      <c r="BF350" s="65"/>
      <c r="BG350" s="65"/>
      <c r="BH350" s="65"/>
      <c r="BI350" s="65"/>
      <c r="BJ350" s="65"/>
      <c r="BK350" s="65"/>
      <c r="BL350" s="65"/>
      <c r="BM350" s="65"/>
      <c r="BN350" s="65"/>
      <c r="BO350" s="65"/>
      <c r="BP350" s="65"/>
      <c r="BQ350" s="65"/>
      <c r="BR350" s="65"/>
      <c r="BS350" s="65"/>
      <c r="BT350" s="65"/>
      <c r="BU350" s="65"/>
      <c r="BV350" s="65"/>
      <c r="BW350" s="65"/>
      <c r="BX350" s="65"/>
      <c r="BY350" s="65"/>
      <c r="BZ350" s="65"/>
      <c r="CA350" s="65"/>
      <c r="CB350" s="65"/>
      <c r="CC350" s="65"/>
      <c r="CD350" s="65"/>
      <c r="CE350" s="65"/>
      <c r="CF350" s="65"/>
      <c r="CG350" s="65"/>
      <c r="CH350" s="65"/>
      <c r="CI350" s="65"/>
      <c r="CJ350" s="65"/>
      <c r="CK350" s="65"/>
      <c r="CL350" s="65"/>
      <c r="CM350" s="65"/>
      <c r="CN350" s="65"/>
      <c r="CO350" s="65"/>
      <c r="CP350" s="65"/>
      <c r="CQ350" s="65"/>
      <c r="CR350" s="65"/>
      <c r="CS350" s="65"/>
      <c r="CT350" s="65"/>
      <c r="CU350" s="65"/>
      <c r="CV350" s="65"/>
      <c r="CW350" s="65"/>
      <c r="CX350" s="65"/>
      <c r="CY350" s="65"/>
      <c r="CZ350" s="65"/>
      <c r="DA350" s="65"/>
      <c r="DB350" s="65"/>
      <c r="DC350" s="65"/>
      <c r="DD350" s="65"/>
      <c r="DE350" s="65"/>
      <c r="DF350" s="65"/>
      <c r="DG350" s="65"/>
      <c r="DH350" s="65"/>
      <c r="DI350" s="65"/>
      <c r="DJ350" s="65"/>
      <c r="DK350" s="65"/>
      <c r="DL350" s="65"/>
      <c r="DM350" s="65"/>
      <c r="DN350" s="65"/>
      <c r="DO350" s="65"/>
      <c r="DP350" s="65"/>
      <c r="DQ350" s="65"/>
      <c r="DR350" s="65"/>
      <c r="DS350" s="65"/>
      <c r="DT350" s="65"/>
    </row>
    <row r="351" spans="1:124" ht="21.75" customHeight="1">
      <c r="A351" s="313"/>
      <c r="B351" s="229" t="s">
        <v>195</v>
      </c>
      <c r="C351" s="230"/>
      <c r="D351" s="231"/>
      <c r="E351" s="69"/>
      <c r="F351" s="69"/>
      <c r="G351" s="69"/>
      <c r="H351" s="68"/>
      <c r="I351" s="68"/>
      <c r="J351" s="68"/>
      <c r="K351" s="68"/>
      <c r="L351" s="68"/>
      <c r="M351" s="68"/>
      <c r="N351" s="68"/>
      <c r="O351" s="68"/>
      <c r="P351" s="68"/>
      <c r="Q351" s="68"/>
      <c r="R351" s="68"/>
      <c r="S351" s="68"/>
      <c r="T351" s="68"/>
      <c r="U351" s="69"/>
      <c r="V351" s="68"/>
      <c r="W351" s="69"/>
      <c r="X351" s="69"/>
      <c r="Y351" s="69"/>
      <c r="Z351" s="69"/>
      <c r="AA351" s="69"/>
      <c r="AB351" s="69"/>
      <c r="AC351" s="69"/>
      <c r="AD351" s="69"/>
      <c r="AE351" s="69"/>
      <c r="AF351" s="69"/>
      <c r="AG351" s="69"/>
      <c r="AH351" s="69"/>
      <c r="AI351" s="69"/>
      <c r="AJ351" s="69"/>
      <c r="AK351" s="69"/>
      <c r="AL351" s="69"/>
      <c r="AM351" s="69"/>
      <c r="AN351" s="69"/>
      <c r="AO351" s="69"/>
      <c r="AP351" s="68"/>
      <c r="AQ351" s="68"/>
      <c r="AR351" s="68"/>
      <c r="AS351" s="69"/>
      <c r="AT351" s="69"/>
      <c r="AU351" s="69"/>
      <c r="AV351" s="69"/>
      <c r="AW351" s="69"/>
      <c r="AX351" s="69"/>
      <c r="AY351" s="69"/>
      <c r="AZ351" s="68"/>
      <c r="BA351" s="68"/>
      <c r="BB351" s="68"/>
      <c r="BC351" s="68"/>
      <c r="BD351" s="68"/>
      <c r="BE351" s="68"/>
      <c r="BF351" s="68"/>
      <c r="BG351" s="68"/>
      <c r="BH351" s="68"/>
      <c r="BI351" s="68"/>
      <c r="BJ351" s="68"/>
      <c r="BK351" s="68"/>
      <c r="BL351" s="68"/>
      <c r="BM351" s="68"/>
      <c r="BN351" s="68"/>
      <c r="BO351" s="68"/>
      <c r="BP351" s="68"/>
      <c r="BQ351" s="68"/>
      <c r="BR351" s="68"/>
      <c r="BS351" s="68" t="s">
        <v>396</v>
      </c>
      <c r="BT351" s="68"/>
      <c r="BU351" s="68"/>
      <c r="BV351" s="68"/>
      <c r="BW351" s="68"/>
      <c r="BX351" s="68"/>
      <c r="BY351" s="68"/>
      <c r="BZ351" s="68"/>
      <c r="CA351" s="68"/>
      <c r="CB351" s="68"/>
      <c r="CC351" s="68"/>
      <c r="CD351" s="68"/>
      <c r="CE351" s="68"/>
      <c r="CF351" s="68"/>
      <c r="CG351" s="68"/>
      <c r="CH351" s="68"/>
      <c r="CI351" s="68"/>
      <c r="CJ351" s="68"/>
      <c r="CK351" s="68"/>
      <c r="CL351" s="68"/>
      <c r="CM351" s="68"/>
      <c r="CN351" s="68"/>
      <c r="CO351" s="68"/>
      <c r="CP351" s="68"/>
      <c r="CQ351" s="68"/>
      <c r="CR351" s="68"/>
      <c r="CS351" s="68"/>
      <c r="CT351" s="68"/>
      <c r="CU351" s="68"/>
      <c r="CV351" s="68"/>
      <c r="CW351" s="68"/>
      <c r="CX351" s="68"/>
      <c r="CY351" s="68"/>
      <c r="CZ351" s="68"/>
      <c r="DA351" s="68"/>
      <c r="DB351" s="68"/>
      <c r="DC351" s="68"/>
      <c r="DD351" s="68"/>
      <c r="DE351" s="68"/>
      <c r="DF351" s="68"/>
      <c r="DG351" s="68"/>
      <c r="DH351" s="68"/>
      <c r="DI351" s="68"/>
      <c r="DJ351" s="68"/>
      <c r="DK351" s="68"/>
      <c r="DL351" s="68"/>
      <c r="DM351" s="68"/>
      <c r="DN351" s="68"/>
      <c r="DO351" s="68"/>
      <c r="DP351" s="68"/>
      <c r="DQ351" s="68"/>
      <c r="DR351" s="68"/>
      <c r="DS351" s="68"/>
      <c r="DT351" s="68"/>
    </row>
    <row r="352" spans="1:124" ht="21.75" customHeight="1">
      <c r="A352" s="313"/>
      <c r="B352" s="232"/>
      <c r="C352" s="233"/>
      <c r="D352" s="234"/>
      <c r="E352" s="70"/>
      <c r="F352" s="70"/>
      <c r="G352" s="70"/>
      <c r="H352" s="65"/>
      <c r="I352" s="65"/>
      <c r="J352" s="65"/>
      <c r="K352" s="65"/>
      <c r="L352" s="65"/>
      <c r="M352" s="65"/>
      <c r="N352" s="65"/>
      <c r="O352" s="65"/>
      <c r="P352" s="65"/>
      <c r="Q352" s="65"/>
      <c r="R352" s="65"/>
      <c r="S352" s="65"/>
      <c r="T352" s="65"/>
      <c r="U352" s="70"/>
      <c r="V352" s="65"/>
      <c r="W352" s="70"/>
      <c r="X352" s="70"/>
      <c r="Y352" s="70"/>
      <c r="Z352" s="70"/>
      <c r="AA352" s="70"/>
      <c r="AB352" s="70"/>
      <c r="AC352" s="70"/>
      <c r="AD352" s="70"/>
      <c r="AE352" s="70"/>
      <c r="AF352" s="70"/>
      <c r="AG352" s="70"/>
      <c r="AH352" s="70"/>
      <c r="AI352" s="70"/>
      <c r="AJ352" s="70"/>
      <c r="AK352" s="70"/>
      <c r="AL352" s="70"/>
      <c r="AM352" s="70"/>
      <c r="AN352" s="70"/>
      <c r="AO352" s="70"/>
      <c r="AP352" s="65"/>
      <c r="AQ352" s="65"/>
      <c r="AR352" s="65"/>
      <c r="AS352" s="70"/>
      <c r="AT352" s="70"/>
      <c r="AU352" s="70"/>
      <c r="AV352" s="70"/>
      <c r="AW352" s="70"/>
      <c r="AX352" s="70"/>
      <c r="AY352" s="70"/>
      <c r="AZ352" s="65"/>
      <c r="BA352" s="65"/>
      <c r="BB352" s="65"/>
      <c r="BC352" s="65"/>
      <c r="BD352" s="65"/>
      <c r="BE352" s="65"/>
      <c r="BF352" s="65"/>
      <c r="BG352" s="65"/>
      <c r="BH352" s="65"/>
      <c r="BI352" s="65"/>
      <c r="BJ352" s="65"/>
      <c r="BK352" s="65"/>
      <c r="BL352" s="65"/>
      <c r="BM352" s="65"/>
      <c r="BN352" s="65"/>
      <c r="BO352" s="65"/>
      <c r="BP352" s="65"/>
      <c r="BQ352" s="65"/>
      <c r="BR352" s="65"/>
      <c r="BS352" s="65">
        <f>18/0.86</f>
        <v>20.930232558139537</v>
      </c>
      <c r="BT352" s="65"/>
      <c r="BU352" s="65"/>
      <c r="BV352" s="65"/>
      <c r="BW352" s="65"/>
      <c r="BX352" s="65"/>
      <c r="BY352" s="65"/>
      <c r="BZ352" s="65"/>
      <c r="CA352" s="65"/>
      <c r="CB352" s="65"/>
      <c r="CC352" s="65"/>
      <c r="CD352" s="65"/>
      <c r="CE352" s="65"/>
      <c r="CF352" s="65"/>
      <c r="CG352" s="65"/>
      <c r="CH352" s="65"/>
      <c r="CI352" s="65"/>
      <c r="CJ352" s="65"/>
      <c r="CK352" s="65"/>
      <c r="CL352" s="65"/>
      <c r="CM352" s="65"/>
      <c r="CN352" s="65"/>
      <c r="CO352" s="65"/>
      <c r="CP352" s="65"/>
      <c r="CQ352" s="65"/>
      <c r="CR352" s="65"/>
      <c r="CS352" s="65"/>
      <c r="CT352" s="65"/>
      <c r="CU352" s="65"/>
      <c r="CV352" s="65"/>
      <c r="CW352" s="65"/>
      <c r="CX352" s="65"/>
      <c r="CY352" s="65"/>
      <c r="CZ352" s="65"/>
      <c r="DA352" s="65"/>
      <c r="DB352" s="65"/>
      <c r="DC352" s="65"/>
      <c r="DD352" s="65"/>
      <c r="DE352" s="65"/>
      <c r="DF352" s="65"/>
      <c r="DG352" s="65"/>
      <c r="DH352" s="65"/>
      <c r="DI352" s="65"/>
      <c r="DJ352" s="65"/>
      <c r="DK352" s="65"/>
      <c r="DL352" s="65"/>
      <c r="DM352" s="65"/>
      <c r="DN352" s="65"/>
      <c r="DO352" s="65"/>
      <c r="DP352" s="65"/>
      <c r="DQ352" s="65"/>
      <c r="DR352" s="65"/>
      <c r="DS352" s="65"/>
      <c r="DT352" s="65"/>
    </row>
    <row r="353" spans="1:124" ht="21.75" customHeight="1">
      <c r="A353" s="313"/>
      <c r="B353" s="229" t="s">
        <v>26</v>
      </c>
      <c r="C353" s="230"/>
      <c r="D353" s="231"/>
      <c r="E353" s="69"/>
      <c r="F353" s="69"/>
      <c r="G353" s="69"/>
      <c r="H353" s="68"/>
      <c r="I353" s="68"/>
      <c r="J353" s="68"/>
      <c r="K353" s="68"/>
      <c r="L353" s="68"/>
      <c r="M353" s="68"/>
      <c r="N353" s="68"/>
      <c r="O353" s="68"/>
      <c r="P353" s="68"/>
      <c r="Q353" s="68"/>
      <c r="R353" s="68"/>
      <c r="S353" s="68"/>
      <c r="T353" s="68"/>
      <c r="U353" s="69"/>
      <c r="V353" s="68"/>
      <c r="W353" s="69"/>
      <c r="X353" s="69"/>
      <c r="Y353" s="69"/>
      <c r="Z353" s="69" t="s">
        <v>382</v>
      </c>
      <c r="AA353" s="61" t="s">
        <v>497</v>
      </c>
      <c r="AB353" s="69"/>
      <c r="AC353" s="69"/>
      <c r="AD353" s="69" t="s">
        <v>382</v>
      </c>
      <c r="AE353" s="69"/>
      <c r="AF353" s="69"/>
      <c r="AG353" s="69" t="s">
        <v>520</v>
      </c>
      <c r="AH353" s="69"/>
      <c r="AI353" s="69"/>
      <c r="AJ353" s="69"/>
      <c r="AK353" s="94" t="s">
        <v>11</v>
      </c>
      <c r="AL353" s="69"/>
      <c r="AM353" s="69"/>
      <c r="AN353" s="69"/>
      <c r="AO353" s="69"/>
      <c r="AP353" s="68"/>
      <c r="AQ353" s="68"/>
      <c r="AR353" s="68"/>
      <c r="AS353" s="69"/>
      <c r="AT353" s="69"/>
      <c r="AU353" s="69" t="s">
        <v>384</v>
      </c>
      <c r="AV353" s="68"/>
      <c r="AW353" s="68"/>
      <c r="AX353" s="68" t="s">
        <v>384</v>
      </c>
      <c r="AY353" s="68"/>
      <c r="AZ353" s="68"/>
      <c r="BA353" s="68" t="s">
        <v>521</v>
      </c>
      <c r="BB353" s="68"/>
      <c r="BC353" s="68"/>
      <c r="BD353" s="68"/>
      <c r="BE353" s="68"/>
      <c r="BF353" s="68"/>
      <c r="BG353" s="68"/>
      <c r="BH353" s="68"/>
      <c r="BI353" s="68"/>
      <c r="BJ353" s="68"/>
      <c r="BK353" s="68"/>
      <c r="BL353" s="68"/>
      <c r="BM353" s="68"/>
      <c r="BN353" s="68"/>
      <c r="BO353" s="68"/>
      <c r="BP353" s="68"/>
      <c r="BQ353" s="68" t="s">
        <v>398</v>
      </c>
      <c r="BR353" s="68"/>
      <c r="BS353" s="68"/>
      <c r="BT353" s="68"/>
      <c r="BU353" s="68"/>
      <c r="BV353" s="68"/>
      <c r="BW353" s="68"/>
      <c r="BX353" s="68"/>
      <c r="BY353" s="68"/>
      <c r="BZ353" s="68"/>
      <c r="CA353" s="68"/>
      <c r="CB353" s="68"/>
      <c r="CC353" s="68"/>
      <c r="CD353" s="68"/>
      <c r="CE353" s="68"/>
      <c r="CF353" s="68"/>
      <c r="CG353" s="68"/>
      <c r="CH353" s="68"/>
      <c r="CI353" s="68"/>
      <c r="CJ353" s="68"/>
      <c r="CK353" s="68"/>
      <c r="CL353" s="68"/>
      <c r="CM353" s="68"/>
      <c r="CN353" s="68"/>
      <c r="CO353" s="68"/>
      <c r="CP353" s="68"/>
      <c r="CQ353" s="68"/>
      <c r="CR353" s="68"/>
      <c r="CS353" s="68"/>
      <c r="CT353" s="68"/>
      <c r="CU353" s="68"/>
      <c r="CV353" s="68"/>
      <c r="CW353" s="68"/>
      <c r="CX353" s="68"/>
      <c r="CY353" s="68"/>
      <c r="CZ353" s="68"/>
      <c r="DA353" s="68"/>
      <c r="DB353" s="68"/>
      <c r="DC353" s="68"/>
      <c r="DD353" s="68"/>
      <c r="DE353" s="68"/>
      <c r="DF353" s="68"/>
      <c r="DG353" s="68"/>
      <c r="DH353" s="68"/>
      <c r="DI353" s="68"/>
      <c r="DJ353" s="68"/>
      <c r="DK353" s="68"/>
      <c r="DL353" s="68"/>
      <c r="DM353" s="68"/>
      <c r="DN353" s="68"/>
      <c r="DO353" s="68"/>
      <c r="DP353" s="68"/>
      <c r="DQ353" s="68"/>
      <c r="DR353" s="68"/>
      <c r="DS353" s="68"/>
      <c r="DT353" s="68"/>
    </row>
    <row r="354" spans="1:124" ht="21.75" customHeight="1">
      <c r="A354" s="313"/>
      <c r="B354" s="232"/>
      <c r="C354" s="233"/>
      <c r="D354" s="234"/>
      <c r="E354" s="70"/>
      <c r="F354" s="70"/>
      <c r="G354" s="70">
        <v>75</v>
      </c>
      <c r="H354" s="65"/>
      <c r="I354" s="65"/>
      <c r="J354" s="65"/>
      <c r="K354" s="65"/>
      <c r="L354" s="65"/>
      <c r="M354" s="65"/>
      <c r="N354" s="65"/>
      <c r="O354" s="65"/>
      <c r="P354" s="65"/>
      <c r="Q354" s="65"/>
      <c r="R354" s="65"/>
      <c r="S354" s="65"/>
      <c r="T354" s="65"/>
      <c r="U354" s="70"/>
      <c r="V354" s="65"/>
      <c r="W354" s="70"/>
      <c r="X354" s="70"/>
      <c r="Y354" s="70"/>
      <c r="Z354" s="70">
        <f>60/0.885</f>
        <v>67.79661016949153</v>
      </c>
      <c r="AA354" s="72">
        <v>75</v>
      </c>
      <c r="AB354" s="70"/>
      <c r="AC354" s="70"/>
      <c r="AD354" s="70">
        <f>65/0.885</f>
        <v>73.44632768361582</v>
      </c>
      <c r="AE354" s="70"/>
      <c r="AF354" s="70"/>
      <c r="AG354" s="70">
        <v>70</v>
      </c>
      <c r="AH354" s="70"/>
      <c r="AI354" s="70"/>
      <c r="AJ354" s="70"/>
      <c r="AK354" s="72">
        <v>80</v>
      </c>
      <c r="AL354" s="70"/>
      <c r="AM354" s="70"/>
      <c r="AN354" s="70"/>
      <c r="AO354" s="70"/>
      <c r="AP354" s="65"/>
      <c r="AQ354" s="65"/>
      <c r="AR354" s="65"/>
      <c r="AS354" s="70"/>
      <c r="AT354" s="70"/>
      <c r="AU354" s="70">
        <f>60/0.91</f>
        <v>65.934065934065927</v>
      </c>
      <c r="AV354" s="65"/>
      <c r="AW354" s="65"/>
      <c r="AX354" s="65">
        <f>60/0.91</f>
        <v>65.934065934065927</v>
      </c>
      <c r="AY354" s="65"/>
      <c r="AZ354" s="65"/>
      <c r="BA354" s="65">
        <f>75</f>
        <v>75</v>
      </c>
      <c r="BB354" s="65"/>
      <c r="BC354" s="65"/>
      <c r="BD354" s="65"/>
      <c r="BE354" s="65"/>
      <c r="BF354" s="65"/>
      <c r="BG354" s="65"/>
      <c r="BH354" s="65"/>
      <c r="BI354" s="65"/>
      <c r="BJ354" s="65"/>
      <c r="BK354" s="65"/>
      <c r="BL354" s="65"/>
      <c r="BM354" s="65"/>
      <c r="BN354" s="65"/>
      <c r="BO354" s="65"/>
      <c r="BP354" s="65"/>
      <c r="BQ354" s="65">
        <f>70/0.91</f>
        <v>76.92307692307692</v>
      </c>
      <c r="BR354" s="65"/>
      <c r="BS354" s="65"/>
      <c r="BT354" s="65"/>
      <c r="BU354" s="65"/>
      <c r="BV354" s="65"/>
      <c r="BW354" s="65"/>
      <c r="BX354" s="65"/>
      <c r="BY354" s="65"/>
      <c r="BZ354" s="65"/>
      <c r="CA354" s="65"/>
      <c r="CB354" s="65"/>
      <c r="CC354" s="65"/>
      <c r="CD354" s="65"/>
      <c r="CE354" s="65"/>
      <c r="CF354" s="65"/>
      <c r="CG354" s="65"/>
      <c r="CH354" s="65"/>
      <c r="CI354" s="65"/>
      <c r="CJ354" s="65"/>
      <c r="CK354" s="65"/>
      <c r="CL354" s="65"/>
      <c r="CM354" s="65"/>
      <c r="CN354" s="65"/>
      <c r="CO354" s="65"/>
      <c r="CP354" s="65"/>
      <c r="CQ354" s="65"/>
      <c r="CR354" s="65"/>
      <c r="CS354" s="65"/>
      <c r="CT354" s="65"/>
      <c r="CU354" s="65"/>
      <c r="CV354" s="65"/>
      <c r="CW354" s="65"/>
      <c r="CX354" s="65"/>
      <c r="CY354" s="65"/>
      <c r="CZ354" s="65"/>
      <c r="DA354" s="65"/>
      <c r="DB354" s="65"/>
      <c r="DC354" s="65"/>
      <c r="DD354" s="65"/>
      <c r="DE354" s="65"/>
      <c r="DF354" s="65"/>
      <c r="DG354" s="65"/>
      <c r="DH354" s="65"/>
      <c r="DI354" s="65"/>
      <c r="DJ354" s="65"/>
      <c r="DK354" s="65"/>
      <c r="DL354" s="65"/>
      <c r="DM354" s="65"/>
      <c r="DN354" s="65"/>
      <c r="DO354" s="65"/>
      <c r="DP354" s="65"/>
      <c r="DQ354" s="65"/>
      <c r="DR354" s="65"/>
      <c r="DS354" s="65"/>
      <c r="DT354" s="65"/>
    </row>
    <row r="355" spans="1:124" ht="21.75" customHeight="1">
      <c r="A355" s="313"/>
      <c r="B355" s="229" t="s">
        <v>522</v>
      </c>
      <c r="C355" s="230"/>
      <c r="D355" s="231"/>
      <c r="E355" s="69"/>
      <c r="F355" s="69"/>
      <c r="G355" s="69"/>
      <c r="H355" s="68"/>
      <c r="I355" s="68"/>
      <c r="J355" s="68"/>
      <c r="K355" s="68"/>
      <c r="L355" s="68"/>
      <c r="M355" s="68"/>
      <c r="N355" s="68"/>
      <c r="O355" s="68"/>
      <c r="P355" s="68"/>
      <c r="Q355" s="68"/>
      <c r="R355" s="68"/>
      <c r="S355" s="68"/>
      <c r="T355" s="68"/>
      <c r="U355" s="69"/>
      <c r="V355" s="68"/>
      <c r="W355" s="69"/>
      <c r="X355" s="69"/>
      <c r="Y355" s="69"/>
      <c r="Z355" s="69"/>
      <c r="AA355" s="69"/>
      <c r="AB355" s="69"/>
      <c r="AC355" s="69"/>
      <c r="AD355" s="69"/>
      <c r="AE355" s="69"/>
      <c r="AF355" s="69"/>
      <c r="AG355" s="69"/>
      <c r="AH355" s="69" t="s">
        <v>402</v>
      </c>
      <c r="AI355" s="69"/>
      <c r="AJ355" s="69"/>
      <c r="AK355" s="69"/>
      <c r="AL355" s="69"/>
      <c r="AM355" s="69"/>
      <c r="AN355" s="69"/>
      <c r="AO355" s="69"/>
      <c r="AP355" s="68"/>
      <c r="AQ355" s="68"/>
      <c r="AR355" s="68"/>
      <c r="AS355" s="69"/>
      <c r="AT355" s="69"/>
      <c r="AU355" s="69"/>
      <c r="AV355" s="68"/>
      <c r="AW355" s="68"/>
      <c r="AX355" s="68"/>
      <c r="AY355" s="68"/>
      <c r="AZ355" s="68"/>
      <c r="BA355" s="68"/>
      <c r="BB355" s="68"/>
      <c r="BC355" s="68"/>
      <c r="BD355" s="68"/>
      <c r="BE355" s="68"/>
      <c r="BF355" s="68"/>
      <c r="BG355" s="68"/>
      <c r="BH355" s="68"/>
      <c r="BI355" s="68"/>
      <c r="BJ355" s="68"/>
      <c r="BK355" s="68"/>
      <c r="BL355" s="68"/>
      <c r="BM355" s="68"/>
      <c r="BN355" s="68"/>
      <c r="BO355" s="68"/>
      <c r="BP355" s="68"/>
      <c r="BQ355" s="68"/>
      <c r="BR355" s="68"/>
      <c r="BS355" s="68"/>
      <c r="BT355" s="68"/>
      <c r="BU355" s="68"/>
      <c r="BV355" s="68"/>
      <c r="BW355" s="68"/>
      <c r="BX355" s="68"/>
      <c r="BY355" s="68"/>
      <c r="BZ355" s="68"/>
      <c r="CA355" s="68"/>
      <c r="CB355" s="68"/>
      <c r="CC355" s="68"/>
      <c r="CD355" s="68"/>
      <c r="CE355" s="68"/>
      <c r="CF355" s="68"/>
      <c r="CG355" s="68"/>
      <c r="CH355" s="68"/>
      <c r="CI355" s="68"/>
      <c r="CJ355" s="68"/>
      <c r="CK355" s="68"/>
      <c r="CL355" s="68"/>
      <c r="CM355" s="68"/>
      <c r="CN355" s="68"/>
      <c r="CO355" s="68"/>
      <c r="CP355" s="68"/>
      <c r="CQ355" s="68"/>
      <c r="CR355" s="68"/>
      <c r="CS355" s="68"/>
      <c r="CT355" s="68"/>
      <c r="CU355" s="68"/>
      <c r="CV355" s="68"/>
      <c r="CW355" s="68"/>
      <c r="CX355" s="68"/>
      <c r="CY355" s="68"/>
      <c r="CZ355" s="68"/>
      <c r="DA355" s="68"/>
      <c r="DB355" s="68"/>
      <c r="DC355" s="68"/>
      <c r="DD355" s="68"/>
      <c r="DE355" s="68"/>
      <c r="DF355" s="68"/>
      <c r="DG355" s="68"/>
      <c r="DH355" s="68"/>
      <c r="DI355" s="68"/>
      <c r="DJ355" s="68"/>
      <c r="DK355" s="68"/>
      <c r="DL355" s="68"/>
      <c r="DM355" s="68"/>
      <c r="DN355" s="68"/>
      <c r="DO355" s="68"/>
      <c r="DP355" s="68"/>
      <c r="DQ355" s="68"/>
      <c r="DR355" s="68"/>
      <c r="DS355" s="68"/>
      <c r="DT355" s="68"/>
    </row>
    <row r="356" spans="1:124" ht="21.75" customHeight="1">
      <c r="A356" s="313"/>
      <c r="B356" s="232"/>
      <c r="C356" s="233"/>
      <c r="D356" s="234"/>
      <c r="E356" s="70"/>
      <c r="F356" s="70"/>
      <c r="G356" s="70"/>
      <c r="H356" s="65"/>
      <c r="I356" s="65"/>
      <c r="J356" s="65"/>
      <c r="K356" s="65"/>
      <c r="L356" s="65"/>
      <c r="M356" s="65"/>
      <c r="N356" s="65"/>
      <c r="O356" s="65"/>
      <c r="P356" s="65"/>
      <c r="Q356" s="65"/>
      <c r="R356" s="65"/>
      <c r="S356" s="65"/>
      <c r="T356" s="65"/>
      <c r="U356" s="70"/>
      <c r="V356" s="65"/>
      <c r="W356" s="70"/>
      <c r="X356" s="70"/>
      <c r="Y356" s="70"/>
      <c r="Z356" s="70"/>
      <c r="AA356" s="70"/>
      <c r="AB356" s="70"/>
      <c r="AC356" s="70"/>
      <c r="AD356" s="70"/>
      <c r="AE356" s="70"/>
      <c r="AF356" s="70"/>
      <c r="AG356" s="70"/>
      <c r="AH356" s="70">
        <f>65/0.935</f>
        <v>69.518716577540104</v>
      </c>
      <c r="AI356" s="70"/>
      <c r="AJ356" s="70"/>
      <c r="AK356" s="70"/>
      <c r="AL356" s="70"/>
      <c r="AM356" s="70"/>
      <c r="AN356" s="70"/>
      <c r="AO356" s="70"/>
      <c r="AP356" s="65"/>
      <c r="AQ356" s="65"/>
      <c r="AR356" s="65"/>
      <c r="AS356" s="70"/>
      <c r="AT356" s="70"/>
      <c r="AU356" s="70"/>
      <c r="AV356" s="65"/>
      <c r="AW356" s="65"/>
      <c r="AX356" s="65"/>
      <c r="AY356" s="65"/>
      <c r="AZ356" s="65"/>
      <c r="BA356" s="65"/>
      <c r="BB356" s="65"/>
      <c r="BC356" s="65"/>
      <c r="BD356" s="65"/>
      <c r="BE356" s="65"/>
      <c r="BF356" s="65"/>
      <c r="BG356" s="65"/>
      <c r="BH356" s="65"/>
      <c r="BI356" s="65"/>
      <c r="BJ356" s="65"/>
      <c r="BK356" s="65"/>
      <c r="BL356" s="65"/>
      <c r="BM356" s="65"/>
      <c r="BN356" s="65"/>
      <c r="BO356" s="65"/>
      <c r="BP356" s="65"/>
      <c r="BQ356" s="65"/>
      <c r="BR356" s="65"/>
      <c r="BS356" s="65"/>
      <c r="BT356" s="65"/>
      <c r="BU356" s="65"/>
      <c r="BV356" s="65"/>
      <c r="BW356" s="65"/>
      <c r="BX356" s="65"/>
      <c r="BY356" s="65"/>
      <c r="BZ356" s="65"/>
      <c r="CA356" s="65"/>
      <c r="CB356" s="65"/>
      <c r="CC356" s="65"/>
      <c r="CD356" s="65"/>
      <c r="CE356" s="65"/>
      <c r="CF356" s="65"/>
      <c r="CG356" s="65"/>
      <c r="CH356" s="65"/>
      <c r="CI356" s="65"/>
      <c r="CJ356" s="65"/>
      <c r="CK356" s="65"/>
      <c r="CL356" s="65"/>
      <c r="CM356" s="65"/>
      <c r="CN356" s="65"/>
      <c r="CO356" s="65"/>
      <c r="CP356" s="65"/>
      <c r="CQ356" s="65"/>
      <c r="CR356" s="65"/>
      <c r="CS356" s="65"/>
      <c r="CT356" s="65"/>
      <c r="CU356" s="65"/>
      <c r="CV356" s="65"/>
      <c r="CW356" s="65"/>
      <c r="CX356" s="65"/>
      <c r="CY356" s="65"/>
      <c r="CZ356" s="65"/>
      <c r="DA356" s="65"/>
      <c r="DB356" s="65"/>
      <c r="DC356" s="65"/>
      <c r="DD356" s="65"/>
      <c r="DE356" s="65"/>
      <c r="DF356" s="65"/>
      <c r="DG356" s="65"/>
      <c r="DH356" s="65"/>
      <c r="DI356" s="65"/>
      <c r="DJ356" s="65"/>
      <c r="DK356" s="65"/>
      <c r="DL356" s="65"/>
      <c r="DM356" s="65"/>
      <c r="DN356" s="65"/>
      <c r="DO356" s="65"/>
      <c r="DP356" s="65"/>
      <c r="DQ356" s="65"/>
      <c r="DR356" s="65"/>
      <c r="DS356" s="65"/>
      <c r="DT356" s="65"/>
    </row>
    <row r="357" spans="1:124" ht="21.75" customHeight="1">
      <c r="A357" s="313"/>
      <c r="B357" s="229" t="s">
        <v>53</v>
      </c>
      <c r="C357" s="230"/>
      <c r="D357" s="231"/>
      <c r="E357" s="69"/>
      <c r="F357" s="69"/>
      <c r="G357" s="69"/>
      <c r="H357" s="68"/>
      <c r="I357" s="68"/>
      <c r="J357" s="68"/>
      <c r="K357" s="68"/>
      <c r="L357" s="68"/>
      <c r="M357" s="68"/>
      <c r="N357" s="68"/>
      <c r="O357" s="68"/>
      <c r="P357" s="68"/>
      <c r="Q357" s="68"/>
      <c r="R357" s="68"/>
      <c r="S357" s="68"/>
      <c r="T357" s="68"/>
      <c r="U357" s="69"/>
      <c r="V357" s="68"/>
      <c r="W357" s="69"/>
      <c r="X357" s="69"/>
      <c r="Y357" s="69" t="s">
        <v>400</v>
      </c>
      <c r="Z357" s="69"/>
      <c r="AA357" s="69"/>
      <c r="AB357" s="69"/>
      <c r="AC357" s="69"/>
      <c r="AD357" s="69"/>
      <c r="AE357" s="69"/>
      <c r="AF357" s="69"/>
      <c r="AG357" s="69"/>
      <c r="AH357" s="69"/>
      <c r="AI357" s="69"/>
      <c r="AJ357" s="69"/>
      <c r="AK357" s="69"/>
      <c r="AL357" s="69"/>
      <c r="AM357" s="69"/>
      <c r="AN357" s="69"/>
      <c r="AO357" s="69"/>
      <c r="AP357" s="68"/>
      <c r="AQ357" s="68"/>
      <c r="AR357" s="68"/>
      <c r="AS357" s="69"/>
      <c r="AT357" s="69"/>
      <c r="AU357" s="69" t="s">
        <v>523</v>
      </c>
      <c r="AV357" s="69"/>
      <c r="AW357" s="69"/>
      <c r="AX357" s="69" t="s">
        <v>524</v>
      </c>
      <c r="AY357" s="69"/>
      <c r="AZ357" s="68"/>
      <c r="BA357" s="68"/>
      <c r="BB357" s="68"/>
      <c r="BC357" s="68"/>
      <c r="BD357" s="68"/>
      <c r="BE357" s="68"/>
      <c r="BF357" s="68"/>
      <c r="BG357" s="68"/>
      <c r="BH357" s="68"/>
      <c r="BI357" s="68"/>
      <c r="BJ357" s="68"/>
      <c r="BK357" s="68"/>
      <c r="BL357" s="68"/>
      <c r="BM357" s="68"/>
      <c r="BN357" s="68"/>
      <c r="BO357" s="68"/>
      <c r="BP357" s="68"/>
      <c r="BQ357" s="68"/>
      <c r="BR357" s="68"/>
      <c r="BS357" s="68"/>
      <c r="BT357" s="68"/>
      <c r="BU357" s="68"/>
      <c r="BV357" s="68"/>
      <c r="BW357" s="68"/>
      <c r="BX357" s="68"/>
      <c r="BY357" s="68"/>
      <c r="BZ357" s="68"/>
      <c r="CA357" s="68"/>
      <c r="CB357" s="68"/>
      <c r="CC357" s="68"/>
      <c r="CD357" s="68"/>
      <c r="CE357" s="68"/>
      <c r="CF357" s="68"/>
      <c r="CG357" s="68"/>
      <c r="CH357" s="68"/>
      <c r="CI357" s="68"/>
      <c r="CJ357" s="68"/>
      <c r="CK357" s="68"/>
      <c r="CL357" s="68"/>
      <c r="CM357" s="68"/>
      <c r="CN357" s="68"/>
      <c r="CO357" s="68"/>
      <c r="CP357" s="68"/>
      <c r="CQ357" s="68"/>
      <c r="CR357" s="68"/>
      <c r="CS357" s="68"/>
      <c r="CT357" s="68"/>
      <c r="CU357" s="68"/>
      <c r="CV357" s="68"/>
      <c r="CW357" s="68"/>
      <c r="CX357" s="68"/>
      <c r="CY357" s="68"/>
      <c r="CZ357" s="68"/>
      <c r="DA357" s="68"/>
      <c r="DB357" s="68"/>
      <c r="DC357" s="68"/>
      <c r="DD357" s="68"/>
      <c r="DE357" s="68"/>
      <c r="DF357" s="68"/>
      <c r="DG357" s="68"/>
      <c r="DH357" s="68"/>
      <c r="DI357" s="68"/>
      <c r="DJ357" s="68"/>
      <c r="DK357" s="68"/>
      <c r="DL357" s="68"/>
      <c r="DM357" s="68"/>
      <c r="DN357" s="68"/>
      <c r="DO357" s="68"/>
      <c r="DP357" s="68"/>
      <c r="DQ357" s="68"/>
      <c r="DR357" s="68"/>
      <c r="DS357" s="68"/>
      <c r="DT357" s="68"/>
    </row>
    <row r="358" spans="1:124" ht="21.75" customHeight="1">
      <c r="A358" s="313"/>
      <c r="B358" s="232"/>
      <c r="C358" s="233"/>
      <c r="D358" s="234"/>
      <c r="E358" s="70"/>
      <c r="F358" s="70"/>
      <c r="G358" s="70"/>
      <c r="H358" s="65"/>
      <c r="I358" s="65"/>
      <c r="J358" s="65"/>
      <c r="K358" s="65"/>
      <c r="L358" s="65"/>
      <c r="M358" s="65"/>
      <c r="N358" s="65"/>
      <c r="O358" s="65"/>
      <c r="P358" s="65"/>
      <c r="Q358" s="65"/>
      <c r="R358" s="65"/>
      <c r="S358" s="65"/>
      <c r="T358" s="65"/>
      <c r="U358" s="70"/>
      <c r="V358" s="65"/>
      <c r="W358" s="70"/>
      <c r="X358" s="70"/>
      <c r="Y358" s="70">
        <f>80/0.885</f>
        <v>90.395480225988706</v>
      </c>
      <c r="Z358" s="70"/>
      <c r="AA358" s="70"/>
      <c r="AB358" s="70"/>
      <c r="AC358" s="70"/>
      <c r="AD358" s="70"/>
      <c r="AE358" s="70"/>
      <c r="AF358" s="70"/>
      <c r="AG358" s="70"/>
      <c r="AH358" s="70"/>
      <c r="AI358" s="70"/>
      <c r="AJ358" s="70"/>
      <c r="AK358" s="70"/>
      <c r="AL358" s="70"/>
      <c r="AM358" s="70"/>
      <c r="AN358" s="70"/>
      <c r="AO358" s="70"/>
      <c r="AP358" s="65"/>
      <c r="AQ358" s="65"/>
      <c r="AR358" s="65"/>
      <c r="AS358" s="70"/>
      <c r="AT358" s="70"/>
      <c r="AU358" s="70">
        <f>80/0.86</f>
        <v>93.023255813953483</v>
      </c>
      <c r="AV358" s="70"/>
      <c r="AW358" s="70"/>
      <c r="AX358" s="70">
        <f>75/0.86</f>
        <v>87.20930232558139</v>
      </c>
      <c r="AY358" s="70"/>
      <c r="AZ358" s="65"/>
      <c r="BA358" s="65"/>
      <c r="BB358" s="65"/>
      <c r="BC358" s="65"/>
      <c r="BD358" s="65"/>
      <c r="BE358" s="65"/>
      <c r="BF358" s="65"/>
      <c r="BG358" s="65"/>
      <c r="BH358" s="65"/>
      <c r="BI358" s="65"/>
      <c r="BJ358" s="65"/>
      <c r="BK358" s="65"/>
      <c r="BL358" s="65"/>
      <c r="BM358" s="65"/>
      <c r="BN358" s="65"/>
      <c r="BO358" s="65"/>
      <c r="BP358" s="65"/>
      <c r="BQ358" s="65"/>
      <c r="BR358" s="65"/>
      <c r="BS358" s="65"/>
      <c r="BT358" s="65"/>
      <c r="BU358" s="65"/>
      <c r="BV358" s="65"/>
      <c r="BW358" s="65"/>
      <c r="BX358" s="65"/>
      <c r="BY358" s="65"/>
      <c r="BZ358" s="65"/>
      <c r="CA358" s="65"/>
      <c r="CB358" s="65"/>
      <c r="CC358" s="65"/>
      <c r="CD358" s="65"/>
      <c r="CE358" s="65"/>
      <c r="CF358" s="65"/>
      <c r="CG358" s="65"/>
      <c r="CH358" s="65"/>
      <c r="CI358" s="65"/>
      <c r="CJ358" s="65"/>
      <c r="CK358" s="65"/>
      <c r="CL358" s="65"/>
      <c r="CM358" s="65"/>
      <c r="CN358" s="65"/>
      <c r="CO358" s="65"/>
      <c r="CP358" s="65"/>
      <c r="CQ358" s="65"/>
      <c r="CR358" s="65"/>
      <c r="CS358" s="65"/>
      <c r="CT358" s="65"/>
      <c r="CU358" s="65"/>
      <c r="CV358" s="65"/>
      <c r="CW358" s="65"/>
      <c r="CX358" s="65"/>
      <c r="CY358" s="65"/>
      <c r="CZ358" s="65"/>
      <c r="DA358" s="65"/>
      <c r="DB358" s="65"/>
      <c r="DC358" s="65"/>
      <c r="DD358" s="65"/>
      <c r="DE358" s="65"/>
      <c r="DF358" s="65"/>
      <c r="DG358" s="65"/>
      <c r="DH358" s="65"/>
      <c r="DI358" s="65"/>
      <c r="DJ358" s="65"/>
      <c r="DK358" s="65"/>
      <c r="DL358" s="65"/>
      <c r="DM358" s="65"/>
      <c r="DN358" s="65"/>
      <c r="DO358" s="65"/>
      <c r="DP358" s="65"/>
      <c r="DQ358" s="65"/>
      <c r="DR358" s="65"/>
      <c r="DS358" s="65"/>
      <c r="DT358" s="65"/>
    </row>
    <row r="359" spans="1:124" ht="21.75" customHeight="1">
      <c r="A359" s="313"/>
      <c r="B359" s="229" t="s">
        <v>46</v>
      </c>
      <c r="C359" s="230"/>
      <c r="D359" s="231"/>
      <c r="E359" s="69"/>
      <c r="F359" s="69"/>
      <c r="G359" s="69"/>
      <c r="H359" s="68"/>
      <c r="I359" s="68"/>
      <c r="J359" s="68"/>
      <c r="K359" s="68"/>
      <c r="L359" s="68"/>
      <c r="M359" s="68"/>
      <c r="N359" s="68"/>
      <c r="O359" s="68"/>
      <c r="P359" s="68"/>
      <c r="Q359" s="68"/>
      <c r="R359" s="68"/>
      <c r="S359" s="68"/>
      <c r="T359" s="68"/>
      <c r="U359" s="69"/>
      <c r="V359" s="68"/>
      <c r="W359" s="69"/>
      <c r="X359" s="69"/>
      <c r="Y359" s="69"/>
      <c r="Z359" s="69"/>
      <c r="AA359" s="69"/>
      <c r="AB359" s="69"/>
      <c r="AC359" s="69" t="s">
        <v>384</v>
      </c>
      <c r="AD359" s="69"/>
      <c r="AE359" s="69" t="s">
        <v>376</v>
      </c>
      <c r="AF359" s="69"/>
      <c r="AG359" s="69"/>
      <c r="AH359" s="69"/>
      <c r="AI359" s="69"/>
      <c r="AJ359" s="69"/>
      <c r="AK359" s="69"/>
      <c r="AL359" s="69"/>
      <c r="AM359" s="69"/>
      <c r="AN359" s="69"/>
      <c r="AO359" s="69"/>
      <c r="AP359" s="68"/>
      <c r="AQ359" s="68"/>
      <c r="AR359" s="68"/>
      <c r="AS359" s="69"/>
      <c r="AT359" s="69"/>
      <c r="AU359" s="69"/>
      <c r="AV359" s="68"/>
      <c r="AW359" s="68"/>
      <c r="AX359" s="68"/>
      <c r="AY359" s="68"/>
      <c r="AZ359" s="68"/>
      <c r="BA359" s="68"/>
      <c r="BB359" s="68"/>
      <c r="BC359" s="68"/>
      <c r="BD359" s="68"/>
      <c r="BE359" s="68"/>
      <c r="BF359" s="68"/>
      <c r="BG359" s="68"/>
      <c r="BH359" s="68"/>
      <c r="BI359" s="68"/>
      <c r="BJ359" s="68"/>
      <c r="BK359" s="68"/>
      <c r="BL359" s="68"/>
      <c r="BM359" s="68"/>
      <c r="BN359" s="68"/>
      <c r="BO359" s="68" t="s">
        <v>398</v>
      </c>
      <c r="BP359" s="68"/>
      <c r="BQ359" s="68"/>
      <c r="BR359" s="68"/>
      <c r="BS359" s="68"/>
      <c r="BT359" s="68"/>
      <c r="BU359" s="68"/>
      <c r="BV359" s="68"/>
      <c r="BW359" s="68"/>
      <c r="BX359" s="68"/>
      <c r="BY359" s="68"/>
      <c r="BZ359" s="68"/>
      <c r="CA359" s="68"/>
      <c r="CB359" s="68"/>
      <c r="CC359" s="68"/>
      <c r="CD359" s="68"/>
      <c r="CE359" s="68"/>
      <c r="CF359" s="68"/>
      <c r="CG359" s="68"/>
      <c r="CH359" s="68"/>
      <c r="CI359" s="68"/>
      <c r="CJ359" s="68"/>
      <c r="CK359" s="68"/>
      <c r="CL359" s="68"/>
      <c r="CM359" s="68"/>
      <c r="CN359" s="68"/>
      <c r="CO359" s="68"/>
      <c r="CP359" s="68"/>
      <c r="CQ359" s="68"/>
      <c r="CR359" s="68"/>
      <c r="CS359" s="68"/>
      <c r="CT359" s="68"/>
      <c r="CU359" s="68"/>
      <c r="CV359" s="68"/>
      <c r="CW359" s="68"/>
      <c r="CX359" s="68"/>
      <c r="CY359" s="68"/>
      <c r="CZ359" s="68"/>
      <c r="DA359" s="68"/>
      <c r="DB359" s="68"/>
      <c r="DC359" s="68"/>
      <c r="DD359" s="68"/>
      <c r="DE359" s="68"/>
      <c r="DF359" s="68"/>
      <c r="DG359" s="68"/>
      <c r="DH359" s="68"/>
      <c r="DI359" s="68"/>
      <c r="DJ359" s="68"/>
      <c r="DK359" s="68"/>
      <c r="DL359" s="68"/>
      <c r="DM359" s="68"/>
      <c r="DN359" s="68"/>
      <c r="DO359" s="68"/>
      <c r="DP359" s="68"/>
      <c r="DQ359" s="68"/>
      <c r="DR359" s="68"/>
      <c r="DS359" s="68"/>
      <c r="DT359" s="68"/>
    </row>
    <row r="360" spans="1:124" ht="21.75" customHeight="1">
      <c r="A360" s="313"/>
      <c r="B360" s="232"/>
      <c r="C360" s="233"/>
      <c r="D360" s="234"/>
      <c r="E360" s="70"/>
      <c r="F360" s="70"/>
      <c r="G360" s="70"/>
      <c r="H360" s="65"/>
      <c r="I360" s="65"/>
      <c r="J360" s="65"/>
      <c r="K360" s="65"/>
      <c r="L360" s="65"/>
      <c r="M360" s="65"/>
      <c r="N360" s="65"/>
      <c r="O360" s="65"/>
      <c r="P360" s="65"/>
      <c r="Q360" s="65"/>
      <c r="R360" s="65"/>
      <c r="S360" s="65"/>
      <c r="T360" s="65"/>
      <c r="U360" s="70"/>
      <c r="V360" s="65"/>
      <c r="W360" s="70"/>
      <c r="X360" s="70"/>
      <c r="Y360" s="70"/>
      <c r="Z360" s="70"/>
      <c r="AA360" s="70"/>
      <c r="AB360" s="70"/>
      <c r="AC360" s="70">
        <f>63/0.91</f>
        <v>69.230769230769226</v>
      </c>
      <c r="AD360" s="70"/>
      <c r="AE360" s="70">
        <f>63/0.91</f>
        <v>69.230769230769226</v>
      </c>
      <c r="AF360" s="70"/>
      <c r="AG360" s="70"/>
      <c r="AH360" s="70"/>
      <c r="AI360" s="70"/>
      <c r="AJ360" s="70"/>
      <c r="AK360" s="70"/>
      <c r="AL360" s="70"/>
      <c r="AM360" s="70"/>
      <c r="AN360" s="70"/>
      <c r="AO360" s="70"/>
      <c r="AP360" s="65"/>
      <c r="AQ360" s="65"/>
      <c r="AR360" s="65"/>
      <c r="AS360" s="70"/>
      <c r="AT360" s="70"/>
      <c r="AU360" s="70"/>
      <c r="AV360" s="65"/>
      <c r="AW360" s="65"/>
      <c r="AX360" s="65"/>
      <c r="AY360" s="65"/>
      <c r="AZ360" s="65"/>
      <c r="BA360" s="65"/>
      <c r="BB360" s="65"/>
      <c r="BC360" s="65"/>
      <c r="BD360" s="65"/>
      <c r="BE360" s="65"/>
      <c r="BF360" s="65"/>
      <c r="BG360" s="65"/>
      <c r="BH360" s="65"/>
      <c r="BI360" s="65"/>
      <c r="BJ360" s="65"/>
      <c r="BK360" s="65"/>
      <c r="BL360" s="65"/>
      <c r="BM360" s="65"/>
      <c r="BN360" s="65"/>
      <c r="BO360" s="65">
        <f>65/0.91</f>
        <v>71.428571428571431</v>
      </c>
      <c r="BP360" s="65"/>
      <c r="BQ360" s="65"/>
      <c r="BR360" s="65"/>
      <c r="BS360" s="65"/>
      <c r="BT360" s="65"/>
      <c r="BU360" s="65"/>
      <c r="BV360" s="65"/>
      <c r="BW360" s="65"/>
      <c r="BX360" s="65"/>
      <c r="BY360" s="65"/>
      <c r="BZ360" s="65"/>
      <c r="CA360" s="65"/>
      <c r="CB360" s="65"/>
      <c r="CC360" s="65"/>
      <c r="CD360" s="65"/>
      <c r="CE360" s="65"/>
      <c r="CF360" s="65"/>
      <c r="CG360" s="65"/>
      <c r="CH360" s="65"/>
      <c r="CI360" s="65"/>
      <c r="CJ360" s="65"/>
      <c r="CK360" s="65"/>
      <c r="CL360" s="65"/>
      <c r="CM360" s="65"/>
      <c r="CN360" s="65"/>
      <c r="CO360" s="65"/>
      <c r="CP360" s="65"/>
      <c r="CQ360" s="65"/>
      <c r="CR360" s="65"/>
      <c r="CS360" s="65"/>
      <c r="CT360" s="65"/>
      <c r="CU360" s="65"/>
      <c r="CV360" s="65"/>
      <c r="CW360" s="65"/>
      <c r="CX360" s="65"/>
      <c r="CY360" s="65"/>
      <c r="CZ360" s="65"/>
      <c r="DA360" s="65"/>
      <c r="DB360" s="65"/>
      <c r="DC360" s="65"/>
      <c r="DD360" s="65"/>
      <c r="DE360" s="65"/>
      <c r="DF360" s="65"/>
      <c r="DG360" s="65"/>
      <c r="DH360" s="65"/>
      <c r="DI360" s="65"/>
      <c r="DJ360" s="65"/>
      <c r="DK360" s="65"/>
      <c r="DL360" s="65"/>
      <c r="DM360" s="65"/>
      <c r="DN360" s="65"/>
      <c r="DO360" s="65"/>
      <c r="DP360" s="65"/>
      <c r="DQ360" s="65"/>
      <c r="DR360" s="65"/>
      <c r="DS360" s="65"/>
      <c r="DT360" s="65"/>
    </row>
    <row r="361" spans="1:124" ht="21.75" customHeight="1">
      <c r="A361" s="313"/>
      <c r="B361" s="229" t="s">
        <v>108</v>
      </c>
      <c r="C361" s="230"/>
      <c r="D361" s="231"/>
      <c r="E361" s="69"/>
      <c r="F361" s="69"/>
      <c r="G361" s="69"/>
      <c r="H361" s="68"/>
      <c r="I361" s="68"/>
      <c r="J361" s="68"/>
      <c r="K361" s="68"/>
      <c r="L361" s="68"/>
      <c r="M361" s="68"/>
      <c r="N361" s="68"/>
      <c r="O361" s="68"/>
      <c r="P361" s="68"/>
      <c r="Q361" s="68"/>
      <c r="R361" s="68"/>
      <c r="S361" s="68"/>
      <c r="T361" s="68"/>
      <c r="U361" s="69"/>
      <c r="V361" s="68"/>
      <c r="W361" s="69"/>
      <c r="X361" s="69"/>
      <c r="Y361" s="69"/>
      <c r="Z361" s="69"/>
      <c r="AA361" s="69"/>
      <c r="AB361" s="69"/>
      <c r="AC361" s="69"/>
      <c r="AD361" s="69"/>
      <c r="AE361" s="69"/>
      <c r="AF361" s="69" t="s">
        <v>378</v>
      </c>
      <c r="AG361" s="69"/>
      <c r="AH361" s="69"/>
      <c r="AI361" s="69"/>
      <c r="AJ361" s="69"/>
      <c r="AK361" s="69"/>
      <c r="AL361" s="69"/>
      <c r="AM361" s="69"/>
      <c r="AN361" s="69"/>
      <c r="AO361" s="69"/>
      <c r="AP361" s="68"/>
      <c r="AQ361" s="68"/>
      <c r="AR361" s="68"/>
      <c r="AS361" s="69"/>
      <c r="AT361" s="69"/>
      <c r="AU361" s="69"/>
      <c r="AV361" s="68"/>
      <c r="AW361" s="68"/>
      <c r="AX361" s="68"/>
      <c r="AY361" s="68"/>
      <c r="AZ361" s="68"/>
      <c r="BA361" s="68"/>
      <c r="BB361" s="68"/>
      <c r="BC361" s="68"/>
      <c r="BD361" s="68"/>
      <c r="BE361" s="68"/>
      <c r="BF361" s="68"/>
      <c r="BG361" s="68"/>
      <c r="BH361" s="68"/>
      <c r="BI361" s="68"/>
      <c r="BJ361" s="68"/>
      <c r="BK361" s="68"/>
      <c r="BL361" s="68"/>
      <c r="BM361" s="68"/>
      <c r="BN361" s="68"/>
      <c r="BO361" s="68"/>
      <c r="BP361" s="68"/>
      <c r="BQ361" s="68"/>
      <c r="BR361" s="68"/>
      <c r="BS361" s="68"/>
      <c r="BT361" s="68"/>
      <c r="BU361" s="68"/>
      <c r="BV361" s="68"/>
      <c r="BW361" s="68"/>
      <c r="BX361" s="68"/>
      <c r="BY361" s="68"/>
      <c r="BZ361" s="68"/>
      <c r="CA361" s="68"/>
      <c r="CB361" s="68"/>
      <c r="CC361" s="68"/>
      <c r="CD361" s="68"/>
      <c r="CE361" s="68"/>
      <c r="CF361" s="68"/>
      <c r="CG361" s="68"/>
      <c r="CH361" s="68"/>
      <c r="CI361" s="68"/>
      <c r="CJ361" s="68"/>
      <c r="CK361" s="68"/>
      <c r="CL361" s="68"/>
      <c r="CM361" s="68"/>
      <c r="CN361" s="68"/>
      <c r="CO361" s="68"/>
      <c r="CP361" s="68"/>
      <c r="CQ361" s="68"/>
      <c r="CR361" s="68"/>
      <c r="CS361" s="68"/>
      <c r="CT361" s="68"/>
      <c r="CU361" s="68"/>
      <c r="CV361" s="68"/>
      <c r="CW361" s="68"/>
      <c r="CX361" s="68"/>
      <c r="CY361" s="68"/>
      <c r="CZ361" s="68"/>
      <c r="DA361" s="68"/>
      <c r="DB361" s="68"/>
      <c r="DC361" s="68"/>
      <c r="DD361" s="68"/>
      <c r="DE361" s="68"/>
      <c r="DF361" s="68"/>
      <c r="DG361" s="68"/>
      <c r="DH361" s="68"/>
      <c r="DI361" s="68"/>
      <c r="DJ361" s="68"/>
      <c r="DK361" s="68"/>
      <c r="DL361" s="68"/>
      <c r="DM361" s="68"/>
      <c r="DN361" s="68"/>
      <c r="DO361" s="68"/>
      <c r="DP361" s="68"/>
      <c r="DQ361" s="68"/>
      <c r="DR361" s="68"/>
      <c r="DS361" s="68"/>
      <c r="DT361" s="68"/>
    </row>
    <row r="362" spans="1:124" ht="21.75" customHeight="1">
      <c r="A362" s="313"/>
      <c r="B362" s="232"/>
      <c r="C362" s="233"/>
      <c r="D362" s="234"/>
      <c r="E362" s="70"/>
      <c r="F362" s="70"/>
      <c r="G362" s="70"/>
      <c r="H362" s="65"/>
      <c r="I362" s="65"/>
      <c r="J362" s="65"/>
      <c r="K362" s="65"/>
      <c r="L362" s="65"/>
      <c r="M362" s="65"/>
      <c r="N362" s="65"/>
      <c r="O362" s="65"/>
      <c r="P362" s="65"/>
      <c r="Q362" s="65"/>
      <c r="R362" s="65"/>
      <c r="S362" s="65"/>
      <c r="T362" s="65"/>
      <c r="U362" s="70"/>
      <c r="V362" s="65"/>
      <c r="W362" s="70"/>
      <c r="X362" s="70"/>
      <c r="Y362" s="70"/>
      <c r="Z362" s="70"/>
      <c r="AA362" s="70"/>
      <c r="AB362" s="70"/>
      <c r="AC362" s="70"/>
      <c r="AD362" s="70"/>
      <c r="AE362" s="70"/>
      <c r="AF362" s="70">
        <f>50/0.86</f>
        <v>58.139534883720934</v>
      </c>
      <c r="AG362" s="70"/>
      <c r="AH362" s="70"/>
      <c r="AI362" s="70"/>
      <c r="AJ362" s="70"/>
      <c r="AK362" s="70"/>
      <c r="AL362" s="70"/>
      <c r="AM362" s="70"/>
      <c r="AN362" s="70"/>
      <c r="AO362" s="70"/>
      <c r="AP362" s="65"/>
      <c r="AQ362" s="65"/>
      <c r="AR362" s="65"/>
      <c r="AS362" s="70"/>
      <c r="AT362" s="70"/>
      <c r="AU362" s="70"/>
      <c r="AV362" s="65"/>
      <c r="AW362" s="65"/>
      <c r="AX362" s="65"/>
      <c r="AY362" s="65"/>
      <c r="AZ362" s="65"/>
      <c r="BA362" s="65"/>
      <c r="BB362" s="65"/>
      <c r="BC362" s="65"/>
      <c r="BD362" s="65"/>
      <c r="BE362" s="65"/>
      <c r="BF362" s="65"/>
      <c r="BG362" s="65"/>
      <c r="BH362" s="65"/>
      <c r="BI362" s="65"/>
      <c r="BJ362" s="65"/>
      <c r="BK362" s="65"/>
      <c r="BL362" s="65"/>
      <c r="BM362" s="65"/>
      <c r="BN362" s="65"/>
      <c r="BO362" s="65"/>
      <c r="BP362" s="65"/>
      <c r="BQ362" s="65"/>
      <c r="BR362" s="65"/>
      <c r="BS362" s="65"/>
      <c r="BT362" s="65"/>
      <c r="BU362" s="65"/>
      <c r="BV362" s="65"/>
      <c r="BW362" s="65"/>
      <c r="BX362" s="65"/>
      <c r="BY362" s="65"/>
      <c r="BZ362" s="65"/>
      <c r="CA362" s="65"/>
      <c r="CB362" s="65"/>
      <c r="CC362" s="65"/>
      <c r="CD362" s="65"/>
      <c r="CE362" s="65"/>
      <c r="CF362" s="65"/>
      <c r="CG362" s="65"/>
      <c r="CH362" s="65"/>
      <c r="CI362" s="65"/>
      <c r="CJ362" s="65"/>
      <c r="CK362" s="65"/>
      <c r="CL362" s="65"/>
      <c r="CM362" s="65"/>
      <c r="CN362" s="65"/>
      <c r="CO362" s="65"/>
      <c r="CP362" s="65"/>
      <c r="CQ362" s="65"/>
      <c r="CR362" s="65"/>
      <c r="CS362" s="65"/>
      <c r="CT362" s="65"/>
      <c r="CU362" s="65"/>
      <c r="CV362" s="65"/>
      <c r="CW362" s="65"/>
      <c r="CX362" s="65"/>
      <c r="CY362" s="65"/>
      <c r="CZ362" s="65"/>
      <c r="DA362" s="65"/>
      <c r="DB362" s="65"/>
      <c r="DC362" s="65"/>
      <c r="DD362" s="65"/>
      <c r="DE362" s="65"/>
      <c r="DF362" s="65"/>
      <c r="DG362" s="65"/>
      <c r="DH362" s="65"/>
      <c r="DI362" s="65"/>
      <c r="DJ362" s="65"/>
      <c r="DK362" s="65"/>
      <c r="DL362" s="65"/>
      <c r="DM362" s="65"/>
      <c r="DN362" s="65"/>
      <c r="DO362" s="65"/>
      <c r="DP362" s="65"/>
      <c r="DQ362" s="65"/>
      <c r="DR362" s="65"/>
      <c r="DS362" s="65"/>
      <c r="DT362" s="65"/>
    </row>
    <row r="363" spans="1:124" ht="21.75" customHeight="1">
      <c r="A363" s="313"/>
      <c r="B363" s="229" t="s">
        <v>112</v>
      </c>
      <c r="C363" s="230"/>
      <c r="D363" s="231"/>
      <c r="E363" s="69"/>
      <c r="F363" s="69"/>
      <c r="G363" s="69"/>
      <c r="H363" s="68"/>
      <c r="I363" s="68"/>
      <c r="J363" s="68"/>
      <c r="K363" s="68"/>
      <c r="L363" s="68"/>
      <c r="M363" s="68"/>
      <c r="N363" s="68"/>
      <c r="O363" s="68"/>
      <c r="P363" s="68"/>
      <c r="Q363" s="68"/>
      <c r="R363" s="68"/>
      <c r="S363" s="68"/>
      <c r="T363" s="68"/>
      <c r="U363" s="69"/>
      <c r="V363" s="68"/>
      <c r="W363" s="69"/>
      <c r="X363" s="69"/>
      <c r="Y363" s="69"/>
      <c r="Z363" s="69"/>
      <c r="AA363" s="69"/>
      <c r="AB363" s="69"/>
      <c r="AC363" s="69"/>
      <c r="AD363" s="69"/>
      <c r="AE363" s="69"/>
      <c r="AF363" s="69"/>
      <c r="AG363" s="69" t="s">
        <v>525</v>
      </c>
      <c r="AH363" s="69"/>
      <c r="AI363" s="69"/>
      <c r="AJ363" s="69"/>
      <c r="AK363" s="69"/>
      <c r="AL363" s="69"/>
      <c r="AM363" s="69"/>
      <c r="AN363" s="69"/>
      <c r="AO363" s="69"/>
      <c r="AP363" s="68"/>
      <c r="AQ363" s="68"/>
      <c r="AR363" s="68"/>
      <c r="AS363" s="69"/>
      <c r="AT363" s="69"/>
      <c r="AU363" s="69"/>
      <c r="AV363" s="68"/>
      <c r="AW363" s="68"/>
      <c r="AX363" s="68"/>
      <c r="AY363" s="68"/>
      <c r="AZ363" s="68"/>
      <c r="BA363" s="68"/>
      <c r="BB363" s="68"/>
      <c r="BC363" s="68"/>
      <c r="BD363" s="68"/>
      <c r="BE363" s="68"/>
      <c r="BF363" s="68"/>
      <c r="BG363" s="68"/>
      <c r="BH363" s="68"/>
      <c r="BI363" s="68"/>
      <c r="BJ363" s="68"/>
      <c r="BK363" s="68"/>
      <c r="BL363" s="68"/>
      <c r="BM363" s="68"/>
      <c r="BN363" s="68"/>
      <c r="BO363" s="68"/>
      <c r="BP363" s="68"/>
      <c r="BQ363" s="68"/>
      <c r="BR363" s="68"/>
      <c r="BS363" s="68"/>
      <c r="BT363" s="68"/>
      <c r="BU363" s="68"/>
      <c r="BV363" s="68"/>
      <c r="BW363" s="68"/>
      <c r="BX363" s="68"/>
      <c r="BY363" s="68"/>
      <c r="BZ363" s="68"/>
      <c r="CA363" s="68"/>
      <c r="CB363" s="68"/>
      <c r="CC363" s="68"/>
      <c r="CD363" s="68"/>
      <c r="CE363" s="68"/>
      <c r="CF363" s="68"/>
      <c r="CG363" s="68"/>
      <c r="CH363" s="68"/>
      <c r="CI363" s="68"/>
      <c r="CJ363" s="68"/>
      <c r="CK363" s="68"/>
      <c r="CL363" s="68"/>
      <c r="CM363" s="68"/>
      <c r="CN363" s="68"/>
      <c r="CO363" s="68"/>
      <c r="CP363" s="68"/>
      <c r="CQ363" s="68"/>
      <c r="CR363" s="68"/>
      <c r="CS363" s="68"/>
      <c r="CT363" s="68"/>
      <c r="CU363" s="68"/>
      <c r="CV363" s="68"/>
      <c r="CW363" s="68"/>
      <c r="CX363" s="68"/>
      <c r="CY363" s="68"/>
      <c r="CZ363" s="68"/>
      <c r="DA363" s="68"/>
      <c r="DB363" s="68"/>
      <c r="DC363" s="68"/>
      <c r="DD363" s="68"/>
      <c r="DE363" s="68"/>
      <c r="DF363" s="68"/>
      <c r="DG363" s="68"/>
      <c r="DH363" s="68"/>
      <c r="DI363" s="68"/>
      <c r="DJ363" s="68"/>
      <c r="DK363" s="68"/>
      <c r="DL363" s="68"/>
      <c r="DM363" s="68"/>
      <c r="DN363" s="68"/>
      <c r="DO363" s="68"/>
      <c r="DP363" s="68"/>
      <c r="DQ363" s="68"/>
      <c r="DR363" s="68"/>
      <c r="DS363" s="68"/>
      <c r="DT363" s="68"/>
    </row>
    <row r="364" spans="1:124" ht="21.75" customHeight="1">
      <c r="A364" s="313"/>
      <c r="B364" s="232"/>
      <c r="C364" s="233"/>
      <c r="D364" s="234"/>
      <c r="E364" s="70"/>
      <c r="F364" s="70"/>
      <c r="G364" s="70"/>
      <c r="H364" s="65"/>
      <c r="I364" s="65"/>
      <c r="J364" s="65"/>
      <c r="K364" s="65"/>
      <c r="L364" s="65"/>
      <c r="M364" s="65"/>
      <c r="N364" s="65"/>
      <c r="O364" s="65"/>
      <c r="P364" s="65"/>
      <c r="Q364" s="65"/>
      <c r="R364" s="65"/>
      <c r="S364" s="65"/>
      <c r="T364" s="65"/>
      <c r="U364" s="70"/>
      <c r="V364" s="65"/>
      <c r="W364" s="70"/>
      <c r="X364" s="70"/>
      <c r="Y364" s="70"/>
      <c r="Z364" s="70"/>
      <c r="AA364" s="70"/>
      <c r="AB364" s="70"/>
      <c r="AC364" s="70"/>
      <c r="AD364" s="70"/>
      <c r="AE364" s="70"/>
      <c r="AF364" s="70"/>
      <c r="AG364" s="70">
        <f>50/0.935</f>
        <v>53.475935828876999</v>
      </c>
      <c r="AH364" s="70"/>
      <c r="AI364" s="70"/>
      <c r="AJ364" s="70"/>
      <c r="AK364" s="70"/>
      <c r="AL364" s="70"/>
      <c r="AM364" s="70"/>
      <c r="AN364" s="70"/>
      <c r="AO364" s="70"/>
      <c r="AP364" s="65"/>
      <c r="AQ364" s="65"/>
      <c r="AR364" s="65"/>
      <c r="AS364" s="70"/>
      <c r="AT364" s="70"/>
      <c r="AU364" s="70"/>
      <c r="AV364" s="65"/>
      <c r="AW364" s="65"/>
      <c r="AX364" s="65"/>
      <c r="AY364" s="65"/>
      <c r="AZ364" s="65"/>
      <c r="BA364" s="65"/>
      <c r="BB364" s="65"/>
      <c r="BC364" s="65"/>
      <c r="BD364" s="65"/>
      <c r="BE364" s="65"/>
      <c r="BF364" s="65"/>
      <c r="BG364" s="65"/>
      <c r="BH364" s="65"/>
      <c r="BI364" s="65"/>
      <c r="BJ364" s="65"/>
      <c r="BK364" s="65"/>
      <c r="BL364" s="65"/>
      <c r="BM364" s="65"/>
      <c r="BN364" s="65"/>
      <c r="BO364" s="65"/>
      <c r="BP364" s="65"/>
      <c r="BQ364" s="65"/>
      <c r="BR364" s="65"/>
      <c r="BS364" s="65"/>
      <c r="BT364" s="65"/>
      <c r="BU364" s="65"/>
      <c r="BV364" s="65"/>
      <c r="BW364" s="65"/>
      <c r="BX364" s="65"/>
      <c r="BY364" s="65"/>
      <c r="BZ364" s="65"/>
      <c r="CA364" s="65"/>
      <c r="CB364" s="65"/>
      <c r="CC364" s="65"/>
      <c r="CD364" s="65"/>
      <c r="CE364" s="65"/>
      <c r="CF364" s="65"/>
      <c r="CG364" s="65"/>
      <c r="CH364" s="65"/>
      <c r="CI364" s="65"/>
      <c r="CJ364" s="65"/>
      <c r="CK364" s="65"/>
      <c r="CL364" s="65"/>
      <c r="CM364" s="65"/>
      <c r="CN364" s="65"/>
      <c r="CO364" s="65"/>
      <c r="CP364" s="65"/>
      <c r="CQ364" s="65"/>
      <c r="CR364" s="65"/>
      <c r="CS364" s="65"/>
      <c r="CT364" s="65"/>
      <c r="CU364" s="65"/>
      <c r="CV364" s="65"/>
      <c r="CW364" s="65"/>
      <c r="CX364" s="65"/>
      <c r="CY364" s="65"/>
      <c r="CZ364" s="65"/>
      <c r="DA364" s="65"/>
      <c r="DB364" s="65"/>
      <c r="DC364" s="65"/>
      <c r="DD364" s="65"/>
      <c r="DE364" s="65"/>
      <c r="DF364" s="65"/>
      <c r="DG364" s="65"/>
      <c r="DH364" s="65"/>
      <c r="DI364" s="65"/>
      <c r="DJ364" s="65"/>
      <c r="DK364" s="65"/>
      <c r="DL364" s="65"/>
      <c r="DM364" s="65"/>
      <c r="DN364" s="65"/>
      <c r="DO364" s="65"/>
      <c r="DP364" s="65"/>
      <c r="DQ364" s="65"/>
      <c r="DR364" s="65"/>
      <c r="DS364" s="65"/>
      <c r="DT364" s="65"/>
    </row>
    <row r="365" spans="1:124" ht="21.75" customHeight="1">
      <c r="A365" s="313"/>
      <c r="B365" s="229" t="s">
        <v>50</v>
      </c>
      <c r="C365" s="230"/>
      <c r="D365" s="231"/>
      <c r="E365" s="69"/>
      <c r="F365" s="69"/>
      <c r="G365" s="69"/>
      <c r="H365" s="68"/>
      <c r="I365" s="68"/>
      <c r="J365" s="68"/>
      <c r="K365" s="68"/>
      <c r="L365" s="68"/>
      <c r="M365" s="68"/>
      <c r="N365" s="68"/>
      <c r="O365" s="68"/>
      <c r="P365" s="68"/>
      <c r="Q365" s="68"/>
      <c r="R365" s="68"/>
      <c r="S365" s="68"/>
      <c r="T365" s="68"/>
      <c r="U365" s="69"/>
      <c r="V365" s="68"/>
      <c r="W365" s="69"/>
      <c r="X365" s="69"/>
      <c r="Y365" s="69"/>
      <c r="Z365" s="69"/>
      <c r="AA365" s="69"/>
      <c r="AB365" s="69" t="s">
        <v>396</v>
      </c>
      <c r="AC365" s="69"/>
      <c r="AD365" s="69"/>
      <c r="AE365" s="69"/>
      <c r="AF365" s="69"/>
      <c r="AG365" s="69"/>
      <c r="AH365" s="69"/>
      <c r="AI365" s="69"/>
      <c r="AJ365" s="69"/>
      <c r="AK365" s="69"/>
      <c r="AL365" s="69"/>
      <c r="AM365" s="69"/>
      <c r="AN365" s="69"/>
      <c r="AO365" s="69"/>
      <c r="AP365" s="68"/>
      <c r="AQ365" s="68"/>
      <c r="AR365" s="68"/>
      <c r="AS365" s="69"/>
      <c r="AT365" s="69"/>
      <c r="AU365" s="69"/>
      <c r="AV365" s="68"/>
      <c r="AW365" s="68"/>
      <c r="AX365" s="68"/>
      <c r="AY365" s="68"/>
      <c r="AZ365" s="68"/>
      <c r="BA365" s="68"/>
      <c r="BB365" s="68"/>
      <c r="BC365" s="68"/>
      <c r="BD365" s="68"/>
      <c r="BE365" s="68"/>
      <c r="BF365" s="68"/>
      <c r="BG365" s="68"/>
      <c r="BH365" s="68"/>
      <c r="BI365" s="68"/>
      <c r="BJ365" s="68"/>
      <c r="BK365" s="68"/>
      <c r="BL365" s="68"/>
      <c r="BM365" s="68"/>
      <c r="BN365" s="68"/>
      <c r="BO365" s="68"/>
      <c r="BP365" s="68"/>
      <c r="BQ365" s="68"/>
      <c r="BR365" s="68"/>
      <c r="BS365" s="68"/>
      <c r="BT365" s="68"/>
      <c r="BU365" s="68"/>
      <c r="BV365" s="68"/>
      <c r="BW365" s="68"/>
      <c r="BX365" s="68"/>
      <c r="BY365" s="68"/>
      <c r="BZ365" s="68"/>
      <c r="CA365" s="68"/>
      <c r="CB365" s="68"/>
      <c r="CC365" s="68"/>
      <c r="CD365" s="68"/>
      <c r="CE365" s="68"/>
      <c r="CF365" s="68"/>
      <c r="CG365" s="68"/>
      <c r="CH365" s="68"/>
      <c r="CI365" s="68"/>
      <c r="CJ365" s="68"/>
      <c r="CK365" s="68"/>
      <c r="CL365" s="68"/>
      <c r="CM365" s="68"/>
      <c r="CN365" s="68"/>
      <c r="CO365" s="68"/>
      <c r="CP365" s="68"/>
      <c r="CQ365" s="68"/>
      <c r="CR365" s="68"/>
      <c r="CS365" s="68"/>
      <c r="CT365" s="68"/>
      <c r="CU365" s="68"/>
      <c r="CV365" s="68"/>
      <c r="CW365" s="68"/>
      <c r="CX365" s="68"/>
      <c r="CY365" s="68"/>
      <c r="CZ365" s="68"/>
      <c r="DA365" s="68"/>
      <c r="DB365" s="68"/>
      <c r="DC365" s="68"/>
      <c r="DD365" s="68"/>
      <c r="DE365" s="68"/>
      <c r="DF365" s="68"/>
      <c r="DG365" s="68"/>
      <c r="DH365" s="68"/>
      <c r="DI365" s="68"/>
      <c r="DJ365" s="68"/>
      <c r="DK365" s="68"/>
      <c r="DL365" s="68"/>
      <c r="DM365" s="68"/>
      <c r="DN365" s="68"/>
      <c r="DO365" s="68"/>
      <c r="DP365" s="68"/>
      <c r="DQ365" s="68"/>
      <c r="DR365" s="68"/>
      <c r="DS365" s="68"/>
      <c r="DT365" s="68"/>
    </row>
    <row r="366" spans="1:124" ht="21.75" customHeight="1">
      <c r="A366" s="313"/>
      <c r="B366" s="232"/>
      <c r="C366" s="233"/>
      <c r="D366" s="234"/>
      <c r="E366" s="70"/>
      <c r="F366" s="70"/>
      <c r="G366" s="70"/>
      <c r="H366" s="65"/>
      <c r="I366" s="65"/>
      <c r="J366" s="65"/>
      <c r="K366" s="65"/>
      <c r="L366" s="65"/>
      <c r="M366" s="65"/>
      <c r="N366" s="65"/>
      <c r="O366" s="65"/>
      <c r="P366" s="65"/>
      <c r="Q366" s="65"/>
      <c r="R366" s="65"/>
      <c r="S366" s="65"/>
      <c r="T366" s="65"/>
      <c r="U366" s="70"/>
      <c r="V366" s="65"/>
      <c r="W366" s="70"/>
      <c r="X366" s="70"/>
      <c r="Y366" s="70"/>
      <c r="Z366" s="70"/>
      <c r="AA366" s="70"/>
      <c r="AB366" s="70">
        <f>150/0.86</f>
        <v>174.41860465116278</v>
      </c>
      <c r="AC366" s="70"/>
      <c r="AD366" s="70"/>
      <c r="AE366" s="70"/>
      <c r="AF366" s="70"/>
      <c r="AG366" s="70"/>
      <c r="AH366" s="70"/>
      <c r="AI366" s="70"/>
      <c r="AJ366" s="70"/>
      <c r="AK366" s="70"/>
      <c r="AL366" s="70"/>
      <c r="AM366" s="70"/>
      <c r="AN366" s="70"/>
      <c r="AO366" s="70"/>
      <c r="AP366" s="65"/>
      <c r="AQ366" s="65"/>
      <c r="AR366" s="65"/>
      <c r="AS366" s="70"/>
      <c r="AT366" s="70"/>
      <c r="AU366" s="70"/>
      <c r="AV366" s="65"/>
      <c r="AW366" s="65"/>
      <c r="AX366" s="65"/>
      <c r="AY366" s="65"/>
      <c r="AZ366" s="65"/>
      <c r="BA366" s="65"/>
      <c r="BB366" s="65"/>
      <c r="BC366" s="65"/>
      <c r="BD366" s="65"/>
      <c r="BE366" s="65"/>
      <c r="BF366" s="65"/>
      <c r="BG366" s="65"/>
      <c r="BH366" s="65"/>
      <c r="BI366" s="65"/>
      <c r="BJ366" s="65"/>
      <c r="BK366" s="65"/>
      <c r="BL366" s="65"/>
      <c r="BM366" s="65"/>
      <c r="BN366" s="65"/>
      <c r="BO366" s="65"/>
      <c r="BP366" s="65"/>
      <c r="BQ366" s="65"/>
      <c r="BR366" s="65"/>
      <c r="BS366" s="65"/>
      <c r="BT366" s="65"/>
      <c r="BU366" s="65"/>
      <c r="BV366" s="65"/>
      <c r="BW366" s="65"/>
      <c r="BX366" s="65"/>
      <c r="BY366" s="65"/>
      <c r="BZ366" s="65"/>
      <c r="CA366" s="65"/>
      <c r="CB366" s="65"/>
      <c r="CC366" s="65"/>
      <c r="CD366" s="65"/>
      <c r="CE366" s="65"/>
      <c r="CF366" s="65"/>
      <c r="CG366" s="65"/>
      <c r="CH366" s="65"/>
      <c r="CI366" s="65"/>
      <c r="CJ366" s="65"/>
      <c r="CK366" s="65"/>
      <c r="CL366" s="65"/>
      <c r="CM366" s="65"/>
      <c r="CN366" s="65"/>
      <c r="CO366" s="65"/>
      <c r="CP366" s="65"/>
      <c r="CQ366" s="65"/>
      <c r="CR366" s="65"/>
      <c r="CS366" s="65"/>
      <c r="CT366" s="65"/>
      <c r="CU366" s="65"/>
      <c r="CV366" s="65"/>
      <c r="CW366" s="65"/>
      <c r="CX366" s="65"/>
      <c r="CY366" s="65"/>
      <c r="CZ366" s="65"/>
      <c r="DA366" s="65"/>
      <c r="DB366" s="65"/>
      <c r="DC366" s="65"/>
      <c r="DD366" s="65"/>
      <c r="DE366" s="65"/>
      <c r="DF366" s="65"/>
      <c r="DG366" s="65"/>
      <c r="DH366" s="65"/>
      <c r="DI366" s="65"/>
      <c r="DJ366" s="65"/>
      <c r="DK366" s="65"/>
      <c r="DL366" s="65"/>
      <c r="DM366" s="65"/>
      <c r="DN366" s="65"/>
      <c r="DO366" s="65"/>
      <c r="DP366" s="65"/>
      <c r="DQ366" s="65"/>
      <c r="DR366" s="65"/>
      <c r="DS366" s="65"/>
      <c r="DT366" s="65"/>
    </row>
    <row r="367" spans="1:124" ht="21.75" customHeight="1">
      <c r="A367" s="313"/>
      <c r="B367" s="229" t="s">
        <v>406</v>
      </c>
      <c r="C367" s="230"/>
      <c r="D367" s="231"/>
      <c r="E367" s="69"/>
      <c r="F367" s="69"/>
      <c r="G367" s="69"/>
      <c r="H367" s="68"/>
      <c r="I367" s="68"/>
      <c r="J367" s="68"/>
      <c r="K367" s="68"/>
      <c r="L367" s="68"/>
      <c r="M367" s="68"/>
      <c r="N367" s="68"/>
      <c r="O367" s="68"/>
      <c r="P367" s="68"/>
      <c r="Q367" s="68"/>
      <c r="R367" s="68"/>
      <c r="S367" s="68"/>
      <c r="T367" s="68"/>
      <c r="U367" s="69"/>
      <c r="V367" s="68"/>
      <c r="W367" s="69"/>
      <c r="X367" s="69"/>
      <c r="Y367" s="69"/>
      <c r="Z367" s="69"/>
      <c r="AA367" s="69"/>
      <c r="AB367" s="69"/>
      <c r="AC367" s="69"/>
      <c r="AD367" s="69"/>
      <c r="AE367" s="69"/>
      <c r="AF367" s="69"/>
      <c r="AG367" s="69"/>
      <c r="AH367" s="69"/>
      <c r="AI367" s="69"/>
      <c r="AJ367" s="69"/>
      <c r="AK367" s="69"/>
      <c r="AL367" s="69"/>
      <c r="AM367" s="69"/>
      <c r="AN367" s="69"/>
      <c r="AO367" s="69"/>
      <c r="AP367" s="68"/>
      <c r="AQ367" s="68"/>
      <c r="AR367" s="68"/>
      <c r="AS367" s="69"/>
      <c r="AT367" s="69"/>
      <c r="AU367" s="69" t="s">
        <v>407</v>
      </c>
      <c r="AV367" s="68"/>
      <c r="AW367" s="68"/>
      <c r="AX367" s="68" t="s">
        <v>384</v>
      </c>
      <c r="AY367" s="76" t="s">
        <v>526</v>
      </c>
      <c r="AZ367" s="76" t="s">
        <v>527</v>
      </c>
      <c r="BA367" s="68"/>
      <c r="BB367" s="68"/>
      <c r="BC367" s="68"/>
      <c r="BD367" s="68"/>
      <c r="BE367" s="68"/>
      <c r="BF367" s="68"/>
      <c r="BG367" s="68"/>
      <c r="BH367" s="68"/>
      <c r="BI367" s="68"/>
      <c r="BJ367" s="68"/>
      <c r="BK367" s="68"/>
      <c r="BL367" s="68"/>
      <c r="BM367" s="68"/>
      <c r="BN367" s="68"/>
      <c r="BO367" s="68"/>
      <c r="BP367" s="68" t="s">
        <v>401</v>
      </c>
      <c r="BQ367" s="68"/>
      <c r="BR367" s="68"/>
      <c r="BS367" s="68" t="s">
        <v>401</v>
      </c>
      <c r="BT367" s="68"/>
      <c r="BU367" s="68"/>
      <c r="BV367" s="68"/>
      <c r="BW367" s="68"/>
      <c r="BX367" s="68"/>
      <c r="BY367" s="68"/>
      <c r="BZ367" s="68"/>
      <c r="CA367" s="68"/>
      <c r="CB367" s="68"/>
      <c r="CC367" s="68"/>
      <c r="CD367" s="68"/>
      <c r="CE367" s="68"/>
      <c r="CF367" s="68"/>
      <c r="CG367" s="68"/>
      <c r="CH367" s="68"/>
      <c r="CI367" s="68"/>
      <c r="CJ367" s="68"/>
      <c r="CK367" s="68"/>
      <c r="CL367" s="68"/>
      <c r="CM367" s="68"/>
      <c r="CN367" s="68"/>
      <c r="CO367" s="68"/>
      <c r="CP367" s="68"/>
      <c r="CQ367" s="68"/>
      <c r="CR367" s="68"/>
      <c r="CS367" s="68"/>
      <c r="CT367" s="68"/>
      <c r="CU367" s="68"/>
      <c r="CV367" s="68"/>
      <c r="CW367" s="68"/>
      <c r="CX367" s="68"/>
      <c r="CY367" s="68"/>
      <c r="CZ367" s="68"/>
      <c r="DA367" s="68"/>
      <c r="DB367" s="68"/>
      <c r="DC367" s="68"/>
      <c r="DD367" s="68"/>
      <c r="DE367" s="68"/>
      <c r="DF367" s="68"/>
      <c r="DG367" s="68"/>
      <c r="DH367" s="68"/>
      <c r="DI367" s="68"/>
      <c r="DJ367" s="68"/>
      <c r="DK367" s="68"/>
      <c r="DL367" s="68"/>
      <c r="DM367" s="68"/>
      <c r="DN367" s="68"/>
      <c r="DO367" s="68"/>
      <c r="DP367" s="68"/>
      <c r="DQ367" s="68"/>
      <c r="DR367" s="68"/>
      <c r="DS367" s="68"/>
      <c r="DT367" s="68"/>
    </row>
    <row r="368" spans="1:124" ht="21.75" customHeight="1">
      <c r="A368" s="313"/>
      <c r="B368" s="232"/>
      <c r="C368" s="233"/>
      <c r="D368" s="234"/>
      <c r="E368" s="70"/>
      <c r="F368" s="70">
        <v>172</v>
      </c>
      <c r="G368" s="70"/>
      <c r="H368" s="65"/>
      <c r="I368" s="65"/>
      <c r="J368" s="65"/>
      <c r="K368" s="65"/>
      <c r="L368" s="65"/>
      <c r="M368" s="65"/>
      <c r="N368" s="65"/>
      <c r="O368" s="65"/>
      <c r="P368" s="65"/>
      <c r="Q368" s="65"/>
      <c r="R368" s="65"/>
      <c r="S368" s="65"/>
      <c r="T368" s="65"/>
      <c r="U368" s="70"/>
      <c r="V368" s="65"/>
      <c r="W368" s="70"/>
      <c r="X368" s="70"/>
      <c r="Y368" s="70"/>
      <c r="Z368" s="70"/>
      <c r="AA368" s="70"/>
      <c r="AB368" s="70"/>
      <c r="AC368" s="70"/>
      <c r="AD368" s="70"/>
      <c r="AE368" s="70"/>
      <c r="AF368" s="70"/>
      <c r="AG368" s="70"/>
      <c r="AH368" s="70"/>
      <c r="AI368" s="70"/>
      <c r="AJ368" s="70"/>
      <c r="AK368" s="70"/>
      <c r="AL368" s="70"/>
      <c r="AM368" s="70"/>
      <c r="AN368" s="70"/>
      <c r="AO368" s="70"/>
      <c r="AP368" s="65"/>
      <c r="AQ368" s="65"/>
      <c r="AR368" s="65"/>
      <c r="AS368" s="70"/>
      <c r="AT368" s="70"/>
      <c r="AU368" s="70">
        <f>120/0.735</f>
        <v>163.26530612244898</v>
      </c>
      <c r="AV368" s="65"/>
      <c r="AW368" s="65"/>
      <c r="AX368" s="65">
        <f>140/0.885</f>
        <v>158.19209039548022</v>
      </c>
      <c r="AY368" s="67">
        <f>150/0.835</f>
        <v>179.64071856287427</v>
      </c>
      <c r="AZ368" s="67">
        <f>150/0.81</f>
        <v>185.18518518518516</v>
      </c>
      <c r="BA368" s="65"/>
      <c r="BB368" s="65"/>
      <c r="BC368" s="65"/>
      <c r="BD368" s="65"/>
      <c r="BE368" s="65"/>
      <c r="BF368" s="65"/>
      <c r="BG368" s="65"/>
      <c r="BH368" s="65"/>
      <c r="BI368" s="65"/>
      <c r="BJ368" s="65"/>
      <c r="BK368" s="65"/>
      <c r="BL368" s="65"/>
      <c r="BM368" s="65"/>
      <c r="BN368" s="65"/>
      <c r="BO368" s="65"/>
      <c r="BP368" s="65">
        <f>135/0.835</f>
        <v>161.67664670658684</v>
      </c>
      <c r="BQ368" s="65"/>
      <c r="BR368" s="65"/>
      <c r="BS368" s="65">
        <f>135/0.835</f>
        <v>161.67664670658684</v>
      </c>
      <c r="BT368" s="65"/>
      <c r="BU368" s="65"/>
      <c r="BV368" s="65"/>
      <c r="BW368" s="65"/>
      <c r="BX368" s="65"/>
      <c r="BY368" s="65"/>
      <c r="BZ368" s="65"/>
      <c r="CA368" s="65"/>
      <c r="CB368" s="65"/>
      <c r="CC368" s="65"/>
      <c r="CD368" s="65"/>
      <c r="CE368" s="65"/>
      <c r="CF368" s="65"/>
      <c r="CG368" s="65"/>
      <c r="CH368" s="65"/>
      <c r="CI368" s="65"/>
      <c r="CJ368" s="65"/>
      <c r="CK368" s="65"/>
      <c r="CL368" s="65"/>
      <c r="CM368" s="65"/>
      <c r="CN368" s="65"/>
      <c r="CO368" s="65"/>
      <c r="CP368" s="65"/>
      <c r="CQ368" s="65"/>
      <c r="CR368" s="65"/>
      <c r="CS368" s="65"/>
      <c r="CT368" s="65"/>
      <c r="CU368" s="65"/>
      <c r="CV368" s="65"/>
      <c r="CW368" s="65"/>
      <c r="CX368" s="65"/>
      <c r="CY368" s="65"/>
      <c r="CZ368" s="65"/>
      <c r="DA368" s="65"/>
      <c r="DB368" s="65"/>
      <c r="DC368" s="65"/>
      <c r="DD368" s="65"/>
      <c r="DE368" s="65"/>
      <c r="DF368" s="65"/>
      <c r="DG368" s="65"/>
      <c r="DH368" s="65"/>
      <c r="DI368" s="65"/>
      <c r="DJ368" s="65"/>
      <c r="DK368" s="65"/>
      <c r="DL368" s="65"/>
      <c r="DM368" s="65"/>
      <c r="DN368" s="65"/>
      <c r="DO368" s="65"/>
      <c r="DP368" s="65"/>
      <c r="DQ368" s="65"/>
      <c r="DR368" s="65"/>
      <c r="DS368" s="65"/>
      <c r="DT368" s="65"/>
    </row>
    <row r="369" spans="1:124" ht="21.75" customHeight="1">
      <c r="A369" s="313"/>
      <c r="B369" s="229" t="s">
        <v>67</v>
      </c>
      <c r="C369" s="230"/>
      <c r="D369" s="231"/>
      <c r="E369" s="69"/>
      <c r="F369" s="69"/>
      <c r="G369" s="69"/>
      <c r="H369" s="68"/>
      <c r="I369" s="68"/>
      <c r="J369" s="68"/>
      <c r="K369" s="68"/>
      <c r="L369" s="68"/>
      <c r="M369" s="68"/>
      <c r="N369" s="68"/>
      <c r="O369" s="68"/>
      <c r="P369" s="68"/>
      <c r="Q369" s="68"/>
      <c r="R369" s="68"/>
      <c r="S369" s="68"/>
      <c r="T369" s="68"/>
      <c r="U369" s="69"/>
      <c r="V369" s="68"/>
      <c r="W369" s="69"/>
      <c r="X369" s="69"/>
      <c r="Y369" s="69" t="s">
        <v>380</v>
      </c>
      <c r="Z369" s="69"/>
      <c r="AA369" s="69"/>
      <c r="AB369" s="69"/>
      <c r="AC369" s="69"/>
      <c r="AD369" s="69"/>
      <c r="AE369" s="69"/>
      <c r="AF369" s="69"/>
      <c r="AG369" s="69"/>
      <c r="AH369" s="69"/>
      <c r="AI369" s="69"/>
      <c r="AJ369" s="69"/>
      <c r="AK369" s="69"/>
      <c r="AL369" s="69"/>
      <c r="AM369" s="69"/>
      <c r="AN369" s="69"/>
      <c r="AO369" s="69"/>
      <c r="AP369" s="68"/>
      <c r="AQ369" s="68"/>
      <c r="AR369" s="68"/>
      <c r="AS369" s="69" t="s">
        <v>407</v>
      </c>
      <c r="AT369" s="69"/>
      <c r="AU369" s="69"/>
      <c r="AV369" s="76" t="s">
        <v>411</v>
      </c>
      <c r="AW369" s="69"/>
      <c r="AX369" s="69"/>
      <c r="AY369" s="69"/>
      <c r="AZ369" s="68"/>
      <c r="BA369" s="68"/>
      <c r="BB369" s="68" t="s">
        <v>401</v>
      </c>
      <c r="BC369" s="68"/>
      <c r="BD369" s="68"/>
      <c r="BE369" s="68" t="s">
        <v>392</v>
      </c>
      <c r="BF369" s="68"/>
      <c r="BG369" s="68"/>
      <c r="BH369" s="68"/>
      <c r="BI369" s="68"/>
      <c r="BJ369" s="68"/>
      <c r="BK369" s="68"/>
      <c r="BL369" s="68"/>
      <c r="BM369" s="68"/>
      <c r="BN369" s="68"/>
      <c r="BO369" s="68"/>
      <c r="BP369" s="68"/>
      <c r="BQ369" s="68"/>
      <c r="BR369" s="68"/>
      <c r="BS369" s="68"/>
      <c r="BT369" s="68"/>
      <c r="BU369" s="68"/>
      <c r="BV369" s="68"/>
      <c r="BW369" s="68"/>
      <c r="BX369" s="68"/>
      <c r="BY369" s="68"/>
      <c r="BZ369" s="68"/>
      <c r="CA369" s="68"/>
      <c r="CB369" s="68"/>
      <c r="CC369" s="68"/>
      <c r="CD369" s="68"/>
      <c r="CE369" s="68"/>
      <c r="CF369" s="68"/>
      <c r="CG369" s="68"/>
      <c r="CH369" s="68"/>
      <c r="CI369" s="68"/>
      <c r="CJ369" s="68"/>
      <c r="CK369" s="68"/>
      <c r="CL369" s="68"/>
      <c r="CM369" s="68"/>
      <c r="CN369" s="68"/>
      <c r="CO369" s="68"/>
      <c r="CP369" s="68"/>
      <c r="CQ369" s="68"/>
      <c r="CR369" s="68"/>
      <c r="CS369" s="68"/>
      <c r="CT369" s="68"/>
      <c r="CU369" s="68"/>
      <c r="CV369" s="68"/>
      <c r="CW369" s="68"/>
      <c r="CX369" s="68"/>
      <c r="CY369" s="68"/>
      <c r="CZ369" s="68"/>
      <c r="DA369" s="68"/>
      <c r="DB369" s="68"/>
      <c r="DC369" s="68"/>
      <c r="DD369" s="68"/>
      <c r="DE369" s="68"/>
      <c r="DF369" s="68"/>
      <c r="DG369" s="68"/>
      <c r="DH369" s="68"/>
      <c r="DI369" s="68"/>
      <c r="DJ369" s="68"/>
      <c r="DK369" s="68"/>
      <c r="DL369" s="68"/>
      <c r="DM369" s="68"/>
      <c r="DN369" s="68"/>
      <c r="DO369" s="68"/>
      <c r="DP369" s="68"/>
      <c r="DQ369" s="68"/>
      <c r="DR369" s="68"/>
      <c r="DS369" s="68"/>
      <c r="DT369" s="68"/>
    </row>
    <row r="370" spans="1:124" ht="21.75" customHeight="1">
      <c r="A370" s="313"/>
      <c r="B370" s="232"/>
      <c r="C370" s="233"/>
      <c r="D370" s="234"/>
      <c r="E370" s="70"/>
      <c r="F370" s="70"/>
      <c r="G370" s="70"/>
      <c r="H370" s="65"/>
      <c r="I370" s="65"/>
      <c r="J370" s="65"/>
      <c r="K370" s="65"/>
      <c r="L370" s="65"/>
      <c r="M370" s="65"/>
      <c r="N370" s="65"/>
      <c r="O370" s="65"/>
      <c r="P370" s="65"/>
      <c r="Q370" s="65"/>
      <c r="R370" s="65"/>
      <c r="S370" s="65"/>
      <c r="T370" s="65"/>
      <c r="U370" s="70"/>
      <c r="V370" s="65"/>
      <c r="W370" s="70"/>
      <c r="X370" s="70"/>
      <c r="Y370" s="70">
        <f>320/0.86</f>
        <v>372.09302325581393</v>
      </c>
      <c r="Z370" s="70"/>
      <c r="AA370" s="70"/>
      <c r="AB370" s="70"/>
      <c r="AC370" s="70"/>
      <c r="AD370" s="70"/>
      <c r="AE370" s="70"/>
      <c r="AF370" s="70"/>
      <c r="AG370" s="70"/>
      <c r="AH370" s="70"/>
      <c r="AI370" s="70"/>
      <c r="AJ370" s="70"/>
      <c r="AK370" s="70"/>
      <c r="AL370" s="70"/>
      <c r="AM370" s="70"/>
      <c r="AN370" s="70"/>
      <c r="AO370" s="70"/>
      <c r="AP370" s="65"/>
      <c r="AQ370" s="65"/>
      <c r="AR370" s="65"/>
      <c r="AS370" s="70">
        <f>250/0.735</f>
        <v>340.13605442176873</v>
      </c>
      <c r="AT370" s="70"/>
      <c r="AU370" s="70"/>
      <c r="AV370" s="77" t="s">
        <v>528</v>
      </c>
      <c r="AW370" s="70">
        <f>290/0.785</f>
        <v>369.42675159235665</v>
      </c>
      <c r="AX370" s="70"/>
      <c r="AY370" s="70"/>
      <c r="AZ370" s="65"/>
      <c r="BA370" s="65"/>
      <c r="BB370" s="65">
        <f>280/0.86</f>
        <v>325.58139534883719</v>
      </c>
      <c r="BC370" s="65"/>
      <c r="BD370" s="65"/>
      <c r="BE370" s="71">
        <f>290/0.835</f>
        <v>347.30538922155688</v>
      </c>
      <c r="BF370" s="65"/>
      <c r="BG370" s="65"/>
      <c r="BH370" s="65"/>
      <c r="BI370" s="65"/>
      <c r="BJ370" s="65"/>
      <c r="BK370" s="65"/>
      <c r="BL370" s="65"/>
      <c r="BM370" s="65"/>
      <c r="BN370" s="65"/>
      <c r="BO370" s="65"/>
      <c r="BP370" s="65"/>
      <c r="BQ370" s="65"/>
      <c r="BR370" s="65"/>
      <c r="BS370" s="65"/>
      <c r="BT370" s="65"/>
      <c r="BU370" s="65"/>
      <c r="BV370" s="65"/>
      <c r="BW370" s="65"/>
      <c r="BX370" s="65"/>
      <c r="BY370" s="65"/>
      <c r="BZ370" s="65"/>
      <c r="CA370" s="65"/>
      <c r="CB370" s="65"/>
      <c r="CC370" s="65"/>
      <c r="CD370" s="65"/>
      <c r="CE370" s="65"/>
      <c r="CF370" s="65"/>
      <c r="CG370" s="65"/>
      <c r="CH370" s="65"/>
      <c r="CI370" s="65"/>
      <c r="CJ370" s="65"/>
      <c r="CK370" s="65"/>
      <c r="CL370" s="65"/>
      <c r="CM370" s="65"/>
      <c r="CN370" s="65"/>
      <c r="CO370" s="65"/>
      <c r="CP370" s="65"/>
      <c r="CQ370" s="65"/>
      <c r="CR370" s="65"/>
      <c r="CS370" s="65"/>
      <c r="CT370" s="65"/>
      <c r="CU370" s="65"/>
      <c r="CV370" s="65"/>
      <c r="CW370" s="65"/>
      <c r="CX370" s="65"/>
      <c r="CY370" s="65"/>
      <c r="CZ370" s="65"/>
      <c r="DA370" s="65"/>
      <c r="DB370" s="65"/>
      <c r="DC370" s="65"/>
      <c r="DD370" s="65"/>
      <c r="DE370" s="65"/>
      <c r="DF370" s="65"/>
      <c r="DG370" s="65"/>
      <c r="DH370" s="65"/>
      <c r="DI370" s="65"/>
      <c r="DJ370" s="65"/>
      <c r="DK370" s="65"/>
      <c r="DL370" s="65"/>
      <c r="DM370" s="65"/>
      <c r="DN370" s="65"/>
      <c r="DO370" s="65"/>
      <c r="DP370" s="65"/>
      <c r="DQ370" s="65"/>
      <c r="DR370" s="65"/>
      <c r="DS370" s="65"/>
      <c r="DT370" s="65"/>
    </row>
    <row r="371" spans="1:124" ht="21.75" customHeight="1">
      <c r="A371" s="313"/>
      <c r="B371" s="229" t="s">
        <v>43</v>
      </c>
      <c r="C371" s="230"/>
      <c r="D371" s="231"/>
      <c r="E371" s="69"/>
      <c r="F371" s="69"/>
      <c r="G371" s="69"/>
      <c r="H371" s="68"/>
      <c r="I371" s="68"/>
      <c r="J371" s="68"/>
      <c r="K371" s="68"/>
      <c r="L371" s="68"/>
      <c r="M371" s="68"/>
      <c r="N371" s="68"/>
      <c r="O371" s="68"/>
      <c r="P371" s="68"/>
      <c r="Q371" s="68"/>
      <c r="R371" s="68"/>
      <c r="S371" s="68"/>
      <c r="T371" s="68"/>
      <c r="U371" s="69"/>
      <c r="V371" s="68"/>
      <c r="W371" s="69"/>
      <c r="X371" s="69"/>
      <c r="Y371" s="69"/>
      <c r="Z371" s="69"/>
      <c r="AA371" s="69"/>
      <c r="AB371" s="69"/>
      <c r="AC371" s="69"/>
      <c r="AD371" s="69"/>
      <c r="AE371" s="69"/>
      <c r="AF371" s="69"/>
      <c r="AG371" s="69"/>
      <c r="AH371" s="69"/>
      <c r="AI371" s="69"/>
      <c r="AJ371" s="69"/>
      <c r="AK371" s="69"/>
      <c r="AL371" s="69"/>
      <c r="AM371" s="69"/>
      <c r="AN371" s="69"/>
      <c r="AO371" s="69"/>
      <c r="AP371" s="68"/>
      <c r="AQ371" s="68"/>
      <c r="AR371" s="68"/>
      <c r="AS371" s="69"/>
      <c r="AT371" s="69"/>
      <c r="AU371" s="69"/>
      <c r="AV371" s="69"/>
      <c r="AW371" s="69"/>
      <c r="AX371" s="69"/>
      <c r="AY371" s="69" t="s">
        <v>376</v>
      </c>
      <c r="AZ371" s="68"/>
      <c r="BA371" s="68"/>
      <c r="BB371" s="68"/>
      <c r="BC371" s="68"/>
      <c r="BD371" s="68"/>
      <c r="BE371" s="68"/>
      <c r="BF371" s="68"/>
      <c r="BG371" s="68"/>
      <c r="BH371" s="68"/>
      <c r="BI371" s="68" t="s">
        <v>398</v>
      </c>
      <c r="BJ371" s="68"/>
      <c r="BK371" s="68"/>
      <c r="BL371" s="68"/>
      <c r="BM371" s="68"/>
      <c r="BN371" s="68"/>
      <c r="BO371" s="68"/>
      <c r="BP371" s="68"/>
      <c r="BQ371" s="68"/>
      <c r="BR371" s="68"/>
      <c r="BS371" s="68"/>
      <c r="BT371" s="68"/>
      <c r="BU371" s="68"/>
      <c r="BV371" s="68"/>
      <c r="BW371" s="68"/>
      <c r="BX371" s="68"/>
      <c r="BY371" s="68"/>
      <c r="BZ371" s="68"/>
      <c r="CA371" s="68"/>
      <c r="CB371" s="68"/>
      <c r="CC371" s="68"/>
      <c r="CD371" s="68"/>
      <c r="CE371" s="68"/>
      <c r="CF371" s="68"/>
      <c r="CG371" s="68"/>
      <c r="CH371" s="68"/>
      <c r="CI371" s="68"/>
      <c r="CJ371" s="68"/>
      <c r="CK371" s="68"/>
      <c r="CL371" s="68"/>
      <c r="CM371" s="68"/>
      <c r="CN371" s="68"/>
      <c r="CO371" s="68"/>
      <c r="CP371" s="68"/>
      <c r="CQ371" s="68"/>
      <c r="CR371" s="68"/>
      <c r="CS371" s="68"/>
      <c r="CT371" s="68"/>
      <c r="CU371" s="68"/>
      <c r="CV371" s="68"/>
      <c r="CW371" s="68"/>
      <c r="CX371" s="68"/>
      <c r="CY371" s="68"/>
      <c r="CZ371" s="68"/>
      <c r="DA371" s="68"/>
      <c r="DB371" s="68"/>
      <c r="DC371" s="68"/>
      <c r="DD371" s="68"/>
      <c r="DE371" s="68"/>
      <c r="DF371" s="68"/>
      <c r="DG371" s="68"/>
      <c r="DH371" s="68"/>
      <c r="DI371" s="68"/>
      <c r="DJ371" s="68"/>
      <c r="DK371" s="68"/>
      <c r="DL371" s="68"/>
      <c r="DM371" s="68"/>
      <c r="DN371" s="68"/>
      <c r="DO371" s="68"/>
      <c r="DP371" s="68"/>
      <c r="DQ371" s="68"/>
      <c r="DR371" s="68"/>
      <c r="DS371" s="68"/>
      <c r="DT371" s="68"/>
    </row>
    <row r="372" spans="1:124" ht="21.75" customHeight="1">
      <c r="A372" s="313"/>
      <c r="B372" s="232"/>
      <c r="C372" s="233"/>
      <c r="D372" s="234"/>
      <c r="E372" s="70"/>
      <c r="F372" s="70"/>
      <c r="G372" s="70"/>
      <c r="H372" s="65"/>
      <c r="I372" s="65"/>
      <c r="J372" s="65"/>
      <c r="K372" s="65"/>
      <c r="L372" s="65"/>
      <c r="M372" s="65"/>
      <c r="N372" s="65"/>
      <c r="O372" s="65"/>
      <c r="P372" s="65"/>
      <c r="Q372" s="65"/>
      <c r="R372" s="65"/>
      <c r="S372" s="65"/>
      <c r="T372" s="65"/>
      <c r="U372" s="70"/>
      <c r="V372" s="65"/>
      <c r="W372" s="70"/>
      <c r="X372" s="70"/>
      <c r="Y372" s="70"/>
      <c r="Z372" s="70"/>
      <c r="AA372" s="70"/>
      <c r="AB372" s="70"/>
      <c r="AC372" s="70"/>
      <c r="AD372" s="70"/>
      <c r="AE372" s="70"/>
      <c r="AF372" s="70"/>
      <c r="AG372" s="70"/>
      <c r="AH372" s="70"/>
      <c r="AI372" s="70"/>
      <c r="AJ372" s="70"/>
      <c r="AK372" s="70"/>
      <c r="AL372" s="70"/>
      <c r="AM372" s="70"/>
      <c r="AN372" s="70"/>
      <c r="AO372" s="70"/>
      <c r="AP372" s="65"/>
      <c r="AQ372" s="65"/>
      <c r="AR372" s="65"/>
      <c r="AS372" s="70"/>
      <c r="AT372" s="70"/>
      <c r="AU372" s="70"/>
      <c r="AV372" s="70"/>
      <c r="AW372" s="70"/>
      <c r="AX372" s="70"/>
      <c r="AY372" s="70">
        <f>120/0.91</f>
        <v>131.86813186813185</v>
      </c>
      <c r="AZ372" s="65"/>
      <c r="BA372" s="65"/>
      <c r="BB372" s="65"/>
      <c r="BC372" s="65"/>
      <c r="BD372" s="65"/>
      <c r="BE372" s="65"/>
      <c r="BF372" s="65"/>
      <c r="BG372" s="65"/>
      <c r="BH372" s="65"/>
      <c r="BI372" s="65">
        <f>120/0.91</f>
        <v>131.86813186813185</v>
      </c>
      <c r="BJ372" s="65"/>
      <c r="BK372" s="65"/>
      <c r="BL372" s="65"/>
      <c r="BM372" s="65"/>
      <c r="BN372" s="65"/>
      <c r="BO372" s="65"/>
      <c r="BP372" s="65"/>
      <c r="BQ372" s="65"/>
      <c r="BR372" s="65"/>
      <c r="BS372" s="65"/>
      <c r="BT372" s="65"/>
      <c r="BU372" s="65"/>
      <c r="BV372" s="65"/>
      <c r="BW372" s="65"/>
      <c r="BX372" s="65"/>
      <c r="BY372" s="65"/>
      <c r="BZ372" s="65"/>
      <c r="CA372" s="65"/>
      <c r="CB372" s="65"/>
      <c r="CC372" s="65"/>
      <c r="CD372" s="65"/>
      <c r="CE372" s="65"/>
      <c r="CF372" s="65"/>
      <c r="CG372" s="65"/>
      <c r="CH372" s="65"/>
      <c r="CI372" s="65"/>
      <c r="CJ372" s="65"/>
      <c r="CK372" s="65"/>
      <c r="CL372" s="65"/>
      <c r="CM372" s="65"/>
      <c r="CN372" s="65"/>
      <c r="CO372" s="65"/>
      <c r="CP372" s="65"/>
      <c r="CQ372" s="65"/>
      <c r="CR372" s="65"/>
      <c r="CS372" s="65"/>
      <c r="CT372" s="65"/>
      <c r="CU372" s="65"/>
      <c r="CV372" s="65"/>
      <c r="CW372" s="65"/>
      <c r="CX372" s="65"/>
      <c r="CY372" s="65"/>
      <c r="CZ372" s="65"/>
      <c r="DA372" s="65"/>
      <c r="DB372" s="65"/>
      <c r="DC372" s="65"/>
      <c r="DD372" s="65"/>
      <c r="DE372" s="65"/>
      <c r="DF372" s="65"/>
      <c r="DG372" s="65"/>
      <c r="DH372" s="65"/>
      <c r="DI372" s="65"/>
      <c r="DJ372" s="65"/>
      <c r="DK372" s="65"/>
      <c r="DL372" s="65"/>
      <c r="DM372" s="65"/>
      <c r="DN372" s="65"/>
      <c r="DO372" s="65"/>
      <c r="DP372" s="65"/>
      <c r="DQ372" s="65"/>
      <c r="DR372" s="65"/>
      <c r="DS372" s="65"/>
      <c r="DT372" s="65"/>
    </row>
    <row r="373" spans="1:124" ht="21.75" customHeight="1">
      <c r="A373" s="313"/>
      <c r="B373" s="229" t="s">
        <v>440</v>
      </c>
      <c r="C373" s="230"/>
      <c r="D373" s="231"/>
      <c r="E373" s="69"/>
      <c r="F373" s="69" t="s">
        <v>529</v>
      </c>
      <c r="G373" s="69"/>
      <c r="H373" s="68"/>
      <c r="I373" s="68"/>
      <c r="J373" s="68"/>
      <c r="K373" s="68"/>
      <c r="L373" s="68"/>
      <c r="M373" s="68"/>
      <c r="N373" s="68"/>
      <c r="O373" s="68"/>
      <c r="P373" s="68"/>
      <c r="Q373" s="68"/>
      <c r="R373" s="68"/>
      <c r="S373" s="68"/>
      <c r="T373" s="68"/>
      <c r="U373" s="69"/>
      <c r="V373" s="68"/>
      <c r="W373" s="69"/>
      <c r="X373" s="69"/>
      <c r="Y373" s="69"/>
      <c r="Z373" s="69"/>
      <c r="AA373" s="69"/>
      <c r="AB373" s="69"/>
      <c r="AC373" s="69"/>
      <c r="AD373" s="69"/>
      <c r="AE373" s="69"/>
      <c r="AF373" s="69"/>
      <c r="AG373" s="69"/>
      <c r="AH373" s="69"/>
      <c r="AI373" s="69"/>
      <c r="AJ373" s="69"/>
      <c r="AK373" s="69"/>
      <c r="AL373" s="69"/>
      <c r="AM373" s="69"/>
      <c r="AN373" s="69"/>
      <c r="AO373" s="69"/>
      <c r="AP373" s="68"/>
      <c r="AQ373" s="68"/>
      <c r="AR373" s="68"/>
      <c r="AS373" s="69"/>
      <c r="AT373" s="69"/>
      <c r="AU373" s="69"/>
      <c r="AV373" s="68"/>
      <c r="AW373" s="68"/>
      <c r="AX373" s="68"/>
      <c r="AY373" s="68"/>
      <c r="AZ373" s="68"/>
      <c r="BA373" s="68"/>
      <c r="BB373" s="68"/>
      <c r="BC373" s="68"/>
      <c r="BD373" s="68"/>
      <c r="BE373" s="68"/>
      <c r="BF373" s="68"/>
      <c r="BG373" s="68"/>
      <c r="BH373" s="68"/>
      <c r="BI373" s="68"/>
      <c r="BJ373" s="68"/>
      <c r="BK373" s="68"/>
      <c r="BL373" s="68"/>
      <c r="BM373" s="68"/>
      <c r="BN373" s="68"/>
      <c r="BO373" s="68"/>
      <c r="BP373" s="68"/>
      <c r="BQ373" s="68"/>
      <c r="BR373" s="68"/>
      <c r="BS373" s="68"/>
      <c r="BT373" s="68"/>
      <c r="BU373" s="68"/>
      <c r="BV373" s="68"/>
      <c r="BW373" s="68"/>
      <c r="BX373" s="68"/>
      <c r="BY373" s="68"/>
      <c r="BZ373" s="68"/>
      <c r="CA373" s="68"/>
      <c r="CB373" s="68"/>
      <c r="CC373" s="68"/>
      <c r="CD373" s="68"/>
      <c r="CE373" s="68"/>
      <c r="CF373" s="68"/>
      <c r="CG373" s="68"/>
      <c r="CH373" s="68"/>
      <c r="CI373" s="68"/>
      <c r="CJ373" s="68"/>
      <c r="CK373" s="68"/>
      <c r="CL373" s="68"/>
      <c r="CM373" s="68"/>
      <c r="CN373" s="68"/>
      <c r="CO373" s="68"/>
      <c r="CP373" s="68"/>
      <c r="CQ373" s="68"/>
      <c r="CR373" s="68"/>
      <c r="CS373" s="68"/>
      <c r="CT373" s="68"/>
      <c r="CU373" s="68"/>
      <c r="CV373" s="68"/>
      <c r="CW373" s="68"/>
      <c r="CX373" s="68"/>
      <c r="CY373" s="68"/>
      <c r="CZ373" s="68"/>
      <c r="DA373" s="68"/>
      <c r="DB373" s="68"/>
      <c r="DC373" s="68"/>
      <c r="DD373" s="68"/>
      <c r="DE373" s="68"/>
      <c r="DF373" s="68"/>
      <c r="DG373" s="68"/>
      <c r="DH373" s="68"/>
      <c r="DI373" s="68"/>
      <c r="DJ373" s="68"/>
      <c r="DK373" s="68"/>
      <c r="DL373" s="68"/>
      <c r="DM373" s="68"/>
      <c r="DN373" s="68"/>
      <c r="DO373" s="68"/>
      <c r="DP373" s="68"/>
      <c r="DQ373" s="68"/>
      <c r="DR373" s="68"/>
      <c r="DS373" s="68"/>
      <c r="DT373" s="68"/>
    </row>
    <row r="374" spans="1:124" ht="21.75" customHeight="1">
      <c r="A374" s="313"/>
      <c r="B374" s="232"/>
      <c r="C374" s="233"/>
      <c r="D374" s="234"/>
      <c r="E374" s="70"/>
      <c r="F374" s="70">
        <v>110</v>
      </c>
      <c r="G374" s="70"/>
      <c r="H374" s="65"/>
      <c r="I374" s="65"/>
      <c r="J374" s="65"/>
      <c r="K374" s="65"/>
      <c r="L374" s="65"/>
      <c r="M374" s="65"/>
      <c r="N374" s="65"/>
      <c r="O374" s="65"/>
      <c r="P374" s="65"/>
      <c r="Q374" s="65"/>
      <c r="R374" s="65"/>
      <c r="S374" s="65"/>
      <c r="T374" s="65"/>
      <c r="U374" s="70"/>
      <c r="V374" s="65"/>
      <c r="W374" s="70"/>
      <c r="X374" s="70"/>
      <c r="Y374" s="70"/>
      <c r="Z374" s="70"/>
      <c r="AA374" s="70"/>
      <c r="AB374" s="70"/>
      <c r="AC374" s="70"/>
      <c r="AD374" s="70"/>
      <c r="AE374" s="70"/>
      <c r="AF374" s="70"/>
      <c r="AG374" s="70"/>
      <c r="AH374" s="70"/>
      <c r="AI374" s="70"/>
      <c r="AJ374" s="70"/>
      <c r="AK374" s="70"/>
      <c r="AL374" s="70"/>
      <c r="AM374" s="70"/>
      <c r="AN374" s="70"/>
      <c r="AO374" s="70"/>
      <c r="AP374" s="65"/>
      <c r="AQ374" s="65"/>
      <c r="AR374" s="65"/>
      <c r="AS374" s="70"/>
      <c r="AT374" s="70"/>
      <c r="AU374" s="70"/>
      <c r="AV374" s="65"/>
      <c r="AW374" s="65"/>
      <c r="AX374" s="65"/>
      <c r="AY374" s="65"/>
      <c r="AZ374" s="65"/>
      <c r="BA374" s="65"/>
      <c r="BB374" s="65"/>
      <c r="BC374" s="65"/>
      <c r="BD374" s="65"/>
      <c r="BE374" s="65"/>
      <c r="BF374" s="65"/>
      <c r="BG374" s="65"/>
      <c r="BH374" s="65"/>
      <c r="BI374" s="65"/>
      <c r="BJ374" s="65"/>
      <c r="BK374" s="65"/>
      <c r="BL374" s="65"/>
      <c r="BM374" s="65"/>
      <c r="BN374" s="65"/>
      <c r="BO374" s="65"/>
      <c r="BP374" s="65"/>
      <c r="BQ374" s="65"/>
      <c r="BR374" s="65"/>
      <c r="BS374" s="65"/>
      <c r="BT374" s="65"/>
      <c r="BU374" s="65"/>
      <c r="BV374" s="65"/>
      <c r="BW374" s="65"/>
      <c r="BX374" s="65"/>
      <c r="BY374" s="65"/>
      <c r="BZ374" s="65"/>
      <c r="CA374" s="65"/>
      <c r="CB374" s="65"/>
      <c r="CC374" s="65"/>
      <c r="CD374" s="65"/>
      <c r="CE374" s="65"/>
      <c r="CF374" s="65"/>
      <c r="CG374" s="65"/>
      <c r="CH374" s="65"/>
      <c r="CI374" s="65"/>
      <c r="CJ374" s="65"/>
      <c r="CK374" s="65"/>
      <c r="CL374" s="65"/>
      <c r="CM374" s="65"/>
      <c r="CN374" s="65"/>
      <c r="CO374" s="65"/>
      <c r="CP374" s="65"/>
      <c r="CQ374" s="65"/>
      <c r="CR374" s="65"/>
      <c r="CS374" s="65"/>
      <c r="CT374" s="65"/>
      <c r="CU374" s="65"/>
      <c r="CV374" s="65"/>
      <c r="CW374" s="65"/>
      <c r="CX374" s="65"/>
      <c r="CY374" s="65"/>
      <c r="CZ374" s="65"/>
      <c r="DA374" s="65"/>
      <c r="DB374" s="65"/>
      <c r="DC374" s="65"/>
      <c r="DD374" s="65"/>
      <c r="DE374" s="65"/>
      <c r="DF374" s="65"/>
      <c r="DG374" s="65"/>
      <c r="DH374" s="65"/>
      <c r="DI374" s="65"/>
      <c r="DJ374" s="65"/>
      <c r="DK374" s="65"/>
      <c r="DL374" s="65"/>
      <c r="DM374" s="65"/>
      <c r="DN374" s="65"/>
      <c r="DO374" s="65"/>
      <c r="DP374" s="65"/>
      <c r="DQ374" s="65"/>
      <c r="DR374" s="65"/>
      <c r="DS374" s="65"/>
      <c r="DT374" s="65"/>
    </row>
    <row r="375" spans="1:124" ht="21.75" customHeight="1">
      <c r="A375" s="313"/>
      <c r="B375" s="229" t="s">
        <v>133</v>
      </c>
      <c r="C375" s="230"/>
      <c r="D375" s="231"/>
      <c r="E375" s="69"/>
      <c r="F375" s="69"/>
      <c r="G375" s="69"/>
      <c r="H375" s="68"/>
      <c r="I375" s="68"/>
      <c r="J375" s="68"/>
      <c r="K375" s="68"/>
      <c r="L375" s="68"/>
      <c r="M375" s="68"/>
      <c r="N375" s="68"/>
      <c r="O375" s="68"/>
      <c r="P375" s="68"/>
      <c r="Q375" s="68"/>
      <c r="R375" s="68"/>
      <c r="S375" s="68"/>
      <c r="T375" s="68"/>
      <c r="U375" s="69"/>
      <c r="V375" s="68"/>
      <c r="W375" s="69"/>
      <c r="X375" s="69"/>
      <c r="Y375" s="69"/>
      <c r="Z375" s="69"/>
      <c r="AA375" s="69"/>
      <c r="AB375" s="69"/>
      <c r="AC375" s="69"/>
      <c r="AD375" s="69"/>
      <c r="AE375" s="69"/>
      <c r="AF375" s="69"/>
      <c r="AG375" s="69"/>
      <c r="AH375" s="69"/>
      <c r="AI375" s="69"/>
      <c r="AJ375" s="69"/>
      <c r="AK375" s="69"/>
      <c r="AL375" s="69"/>
      <c r="AM375" s="69"/>
      <c r="AN375" s="69"/>
      <c r="AO375" s="69"/>
      <c r="AP375" s="68"/>
      <c r="AQ375" s="68"/>
      <c r="AR375" s="68"/>
      <c r="AS375" s="69"/>
      <c r="AT375" s="69"/>
      <c r="AU375" s="69"/>
      <c r="AV375" s="69"/>
      <c r="AW375" s="69"/>
      <c r="AX375" s="69"/>
      <c r="AY375" s="69"/>
      <c r="AZ375" s="68"/>
      <c r="BA375" s="62" t="s">
        <v>424</v>
      </c>
      <c r="BB375" s="68" t="s">
        <v>392</v>
      </c>
      <c r="BC375" s="68"/>
      <c r="BD375" s="68"/>
      <c r="BE375" s="68"/>
      <c r="BF375" s="68"/>
      <c r="BG375" s="68"/>
      <c r="BH375" s="68"/>
      <c r="BI375" s="68"/>
      <c r="BJ375" s="68"/>
      <c r="BK375" s="68"/>
      <c r="BL375" s="68"/>
      <c r="BM375" s="68"/>
      <c r="BN375" s="68"/>
      <c r="BO375" s="68"/>
      <c r="BP375" s="68" t="s">
        <v>392</v>
      </c>
      <c r="BQ375" s="68"/>
      <c r="BR375" s="68"/>
      <c r="BS375" s="68" t="s">
        <v>392</v>
      </c>
      <c r="BT375" s="68"/>
      <c r="BU375" s="68"/>
      <c r="BV375" s="68"/>
      <c r="BW375" s="68"/>
      <c r="BX375" s="68"/>
      <c r="BY375" s="68"/>
      <c r="BZ375" s="68"/>
      <c r="CA375" s="68"/>
      <c r="CB375" s="68"/>
      <c r="CC375" s="68"/>
      <c r="CD375" s="68"/>
      <c r="CE375" s="68"/>
      <c r="CF375" s="68"/>
      <c r="CG375" s="68"/>
      <c r="CH375" s="68"/>
      <c r="CI375" s="68"/>
      <c r="CJ375" s="68"/>
      <c r="CK375" s="68"/>
      <c r="CL375" s="68"/>
      <c r="CM375" s="68"/>
      <c r="CN375" s="68"/>
      <c r="CO375" s="68"/>
      <c r="CP375" s="68"/>
      <c r="CQ375" s="68"/>
      <c r="CR375" s="68"/>
      <c r="CS375" s="68"/>
      <c r="CT375" s="68"/>
      <c r="CU375" s="68"/>
      <c r="CV375" s="68"/>
      <c r="CW375" s="68"/>
      <c r="CX375" s="68"/>
      <c r="CY375" s="68"/>
      <c r="CZ375" s="68"/>
      <c r="DA375" s="68"/>
      <c r="DB375" s="68"/>
      <c r="DC375" s="68"/>
      <c r="DD375" s="68"/>
      <c r="DE375" s="68"/>
      <c r="DF375" s="68"/>
      <c r="DG375" s="68"/>
      <c r="DH375" s="68"/>
      <c r="DI375" s="68"/>
      <c r="DJ375" s="68"/>
      <c r="DK375" s="68"/>
      <c r="DL375" s="68"/>
      <c r="DM375" s="68"/>
      <c r="DN375" s="68"/>
      <c r="DO375" s="68"/>
      <c r="DP375" s="68"/>
      <c r="DQ375" s="68"/>
      <c r="DR375" s="68"/>
      <c r="DS375" s="68"/>
      <c r="DT375" s="68"/>
    </row>
    <row r="376" spans="1:124" ht="21.75" customHeight="1">
      <c r="A376" s="313"/>
      <c r="B376" s="232"/>
      <c r="C376" s="233"/>
      <c r="D376" s="234"/>
      <c r="E376" s="70"/>
      <c r="F376" s="70"/>
      <c r="G376" s="70"/>
      <c r="H376" s="65"/>
      <c r="I376" s="65"/>
      <c r="J376" s="65"/>
      <c r="K376" s="65"/>
      <c r="L376" s="65"/>
      <c r="M376" s="65"/>
      <c r="N376" s="65"/>
      <c r="O376" s="65"/>
      <c r="P376" s="65"/>
      <c r="Q376" s="65"/>
      <c r="R376" s="65"/>
      <c r="S376" s="65"/>
      <c r="T376" s="65"/>
      <c r="U376" s="70"/>
      <c r="V376" s="65"/>
      <c r="W376" s="70"/>
      <c r="X376" s="70"/>
      <c r="Y376" s="70"/>
      <c r="Z376" s="70"/>
      <c r="AA376" s="70"/>
      <c r="AB376" s="70"/>
      <c r="AC376" s="70"/>
      <c r="AD376" s="70"/>
      <c r="AE376" s="70"/>
      <c r="AF376" s="70"/>
      <c r="AG376" s="70"/>
      <c r="AH376" s="70"/>
      <c r="AI376" s="70"/>
      <c r="AJ376" s="70"/>
      <c r="AK376" s="70"/>
      <c r="AL376" s="70"/>
      <c r="AM376" s="70"/>
      <c r="AN376" s="70"/>
      <c r="AO376" s="70"/>
      <c r="AP376" s="65"/>
      <c r="AQ376" s="65"/>
      <c r="AR376" s="65"/>
      <c r="AS376" s="70"/>
      <c r="AT376" s="70"/>
      <c r="AU376" s="70"/>
      <c r="AV376" s="70"/>
      <c r="AW376" s="70"/>
      <c r="AX376" s="70"/>
      <c r="AY376" s="70"/>
      <c r="AZ376" s="65"/>
      <c r="BA376" s="67">
        <f>68/0.785</f>
        <v>86.624203821656053</v>
      </c>
      <c r="BB376" s="65">
        <f>64/0.86</f>
        <v>74.418604651162795</v>
      </c>
      <c r="BC376" s="65"/>
      <c r="BD376" s="65"/>
      <c r="BE376" s="65"/>
      <c r="BF376" s="65"/>
      <c r="BG376" s="65"/>
      <c r="BH376" s="65"/>
      <c r="BI376" s="65"/>
      <c r="BJ376" s="65"/>
      <c r="BK376" s="65"/>
      <c r="BL376" s="65"/>
      <c r="BM376" s="65"/>
      <c r="BN376" s="65"/>
      <c r="BO376" s="65"/>
      <c r="BP376" s="65">
        <f>68/0.835</f>
        <v>81.437125748502993</v>
      </c>
      <c r="BQ376" s="65"/>
      <c r="BR376" s="65"/>
      <c r="BS376" s="65">
        <f>61/0.835</f>
        <v>73.053892215568865</v>
      </c>
      <c r="BT376" s="65"/>
      <c r="BU376" s="65"/>
      <c r="BV376" s="65"/>
      <c r="BW376" s="65"/>
      <c r="BX376" s="65"/>
      <c r="BY376" s="65"/>
      <c r="BZ376" s="65"/>
      <c r="CA376" s="65"/>
      <c r="CB376" s="65"/>
      <c r="CC376" s="65"/>
      <c r="CD376" s="65"/>
      <c r="CE376" s="65"/>
      <c r="CF376" s="65"/>
      <c r="CG376" s="65"/>
      <c r="CH376" s="65"/>
      <c r="CI376" s="65"/>
      <c r="CJ376" s="65"/>
      <c r="CK376" s="65"/>
      <c r="CL376" s="65"/>
      <c r="CM376" s="65"/>
      <c r="CN376" s="65"/>
      <c r="CO376" s="65"/>
      <c r="CP376" s="65"/>
      <c r="CQ376" s="65"/>
      <c r="CR376" s="65"/>
      <c r="CS376" s="65"/>
      <c r="CT376" s="65"/>
      <c r="CU376" s="65"/>
      <c r="CV376" s="65"/>
      <c r="CW376" s="65"/>
      <c r="CX376" s="65"/>
      <c r="CY376" s="65"/>
      <c r="CZ376" s="65"/>
      <c r="DA376" s="65"/>
      <c r="DB376" s="65"/>
      <c r="DC376" s="65"/>
      <c r="DD376" s="65"/>
      <c r="DE376" s="65"/>
      <c r="DF376" s="65"/>
      <c r="DG376" s="65"/>
      <c r="DH376" s="65"/>
      <c r="DI376" s="65"/>
      <c r="DJ376" s="65"/>
      <c r="DK376" s="65"/>
      <c r="DL376" s="65"/>
      <c r="DM376" s="65"/>
      <c r="DN376" s="65"/>
      <c r="DO376" s="65"/>
      <c r="DP376" s="65"/>
      <c r="DQ376" s="65"/>
      <c r="DR376" s="65"/>
      <c r="DS376" s="65"/>
      <c r="DT376" s="65"/>
    </row>
    <row r="377" spans="1:124" ht="21.75" customHeight="1">
      <c r="A377" s="313"/>
      <c r="B377" s="229" t="s">
        <v>414</v>
      </c>
      <c r="C377" s="230"/>
      <c r="D377" s="231"/>
      <c r="E377" s="69"/>
      <c r="F377" s="69"/>
      <c r="G377" s="69"/>
      <c r="H377" s="68"/>
      <c r="I377" s="68"/>
      <c r="J377" s="68"/>
      <c r="K377" s="68"/>
      <c r="L377" s="68"/>
      <c r="M377" s="68"/>
      <c r="N377" s="68"/>
      <c r="O377" s="68"/>
      <c r="P377" s="68"/>
      <c r="Q377" s="68"/>
      <c r="R377" s="68"/>
      <c r="S377" s="68"/>
      <c r="T377" s="68"/>
      <c r="U377" s="69"/>
      <c r="V377" s="68"/>
      <c r="W377" s="69"/>
      <c r="X377" s="69" t="s">
        <v>407</v>
      </c>
      <c r="Y377" s="69"/>
      <c r="Z377" s="69"/>
      <c r="AA377" s="69"/>
      <c r="AB377" s="69"/>
      <c r="AC377" s="69"/>
      <c r="AD377" s="69"/>
      <c r="AE377" s="69"/>
      <c r="AF377" s="69"/>
      <c r="AG377" s="69"/>
      <c r="AH377" s="69"/>
      <c r="AI377" s="69"/>
      <c r="AJ377" s="69"/>
      <c r="AK377" s="69"/>
      <c r="AL377" s="69"/>
      <c r="AM377" s="69"/>
      <c r="AN377" s="69"/>
      <c r="AO377" s="69"/>
      <c r="AP377" s="68"/>
      <c r="AQ377" s="68"/>
      <c r="AR377" s="68"/>
      <c r="AS377" s="69" t="s">
        <v>403</v>
      </c>
      <c r="AT377" s="69"/>
      <c r="AU377" s="69"/>
      <c r="AV377" s="69" t="s">
        <v>403</v>
      </c>
      <c r="AW377" s="68"/>
      <c r="AX377" s="68" t="s">
        <v>403</v>
      </c>
      <c r="AY377" s="68"/>
      <c r="AZ377" s="68"/>
      <c r="BA377" s="68"/>
      <c r="BB377" s="68"/>
      <c r="BC377" s="68"/>
      <c r="BD377" s="68"/>
      <c r="BE377" s="68"/>
      <c r="BF377" s="68"/>
      <c r="BG377" s="68"/>
      <c r="BH377" s="68"/>
      <c r="BI377" s="68"/>
      <c r="BJ377" s="68"/>
      <c r="BK377" s="68"/>
      <c r="BL377" s="68"/>
      <c r="BM377" s="68"/>
      <c r="BN377" s="68"/>
      <c r="BO377" s="68"/>
      <c r="BP377" s="68"/>
      <c r="BQ377" s="68"/>
      <c r="BR377" s="68"/>
      <c r="BS377" s="68"/>
      <c r="BT377" s="68"/>
      <c r="BU377" s="68"/>
      <c r="BV377" s="68"/>
      <c r="BW377" s="68"/>
      <c r="BX377" s="68"/>
      <c r="BY377" s="68"/>
      <c r="BZ377" s="68"/>
      <c r="CA377" s="68"/>
      <c r="CB377" s="68"/>
      <c r="CC377" s="68"/>
      <c r="CD377" s="68"/>
      <c r="CE377" s="68"/>
      <c r="CF377" s="68"/>
      <c r="CG377" s="68"/>
      <c r="CH377" s="68"/>
      <c r="CI377" s="68"/>
      <c r="CJ377" s="68"/>
      <c r="CK377" s="68"/>
      <c r="CL377" s="68"/>
      <c r="CM377" s="68"/>
      <c r="CN377" s="68"/>
      <c r="CO377" s="68"/>
      <c r="CP377" s="68"/>
      <c r="CQ377" s="68"/>
      <c r="CR377" s="68"/>
      <c r="CS377" s="68"/>
      <c r="CT377" s="68"/>
      <c r="CU377" s="68"/>
      <c r="CV377" s="68"/>
      <c r="CW377" s="68"/>
      <c r="CX377" s="68"/>
      <c r="CY377" s="68"/>
      <c r="CZ377" s="68"/>
      <c r="DA377" s="68"/>
      <c r="DB377" s="68"/>
      <c r="DC377" s="68"/>
      <c r="DD377" s="68"/>
      <c r="DE377" s="68"/>
      <c r="DF377" s="68"/>
      <c r="DG377" s="68"/>
      <c r="DH377" s="68"/>
      <c r="DI377" s="68"/>
      <c r="DJ377" s="68"/>
      <c r="DK377" s="68"/>
      <c r="DL377" s="68"/>
      <c r="DM377" s="68"/>
      <c r="DN377" s="68"/>
      <c r="DO377" s="68"/>
      <c r="DP377" s="68"/>
      <c r="DQ377" s="68"/>
      <c r="DR377" s="68"/>
      <c r="DS377" s="68"/>
      <c r="DT377" s="68"/>
    </row>
    <row r="378" spans="1:124" ht="21.75" customHeight="1">
      <c r="A378" s="313"/>
      <c r="B378" s="232"/>
      <c r="C378" s="233"/>
      <c r="D378" s="234"/>
      <c r="E378" s="70"/>
      <c r="F378" s="70"/>
      <c r="G378" s="70"/>
      <c r="H378" s="65"/>
      <c r="I378" s="65"/>
      <c r="J378" s="65"/>
      <c r="K378" s="65"/>
      <c r="L378" s="65"/>
      <c r="M378" s="65"/>
      <c r="N378" s="65"/>
      <c r="O378" s="65"/>
      <c r="P378" s="65"/>
      <c r="Q378" s="65"/>
      <c r="R378" s="65"/>
      <c r="S378" s="65"/>
      <c r="T378" s="65"/>
      <c r="U378" s="70"/>
      <c r="V378" s="65"/>
      <c r="W378" s="70"/>
      <c r="X378" s="70">
        <f>19/0.735</f>
        <v>25.850340136054424</v>
      </c>
      <c r="Y378" s="70"/>
      <c r="Z378" s="70"/>
      <c r="AA378" s="70"/>
      <c r="AB378" s="70"/>
      <c r="AC378" s="70"/>
      <c r="AD378" s="70"/>
      <c r="AE378" s="70"/>
      <c r="AF378" s="70"/>
      <c r="AG378" s="70"/>
      <c r="AH378" s="70"/>
      <c r="AI378" s="70"/>
      <c r="AJ378" s="70"/>
      <c r="AK378" s="70"/>
      <c r="AL378" s="70"/>
      <c r="AM378" s="70"/>
      <c r="AN378" s="70"/>
      <c r="AO378" s="70"/>
      <c r="AP378" s="65"/>
      <c r="AQ378" s="65"/>
      <c r="AR378" s="65"/>
      <c r="AS378" s="70">
        <f>25/0.735</f>
        <v>34.013605442176875</v>
      </c>
      <c r="AT378" s="70"/>
      <c r="AU378" s="70"/>
      <c r="AV378" s="70">
        <f>25/0.735</f>
        <v>34.013605442176875</v>
      </c>
      <c r="AW378" s="65"/>
      <c r="AX378" s="65">
        <f>26/0.735</f>
        <v>35.374149659863946</v>
      </c>
      <c r="AY378" s="65"/>
      <c r="AZ378" s="65"/>
      <c r="BA378" s="65"/>
      <c r="BB378" s="65"/>
      <c r="BC378" s="65"/>
      <c r="BD378" s="65"/>
      <c r="BE378" s="65"/>
      <c r="BF378" s="65"/>
      <c r="BG378" s="65"/>
      <c r="BH378" s="65"/>
      <c r="BI378" s="65"/>
      <c r="BJ378" s="65"/>
      <c r="BK378" s="65"/>
      <c r="BL378" s="65"/>
      <c r="BM378" s="65"/>
      <c r="BN378" s="65"/>
      <c r="BO378" s="65"/>
      <c r="BP378" s="65"/>
      <c r="BQ378" s="65"/>
      <c r="BR378" s="65"/>
      <c r="BS378" s="65"/>
      <c r="BT378" s="65"/>
      <c r="BU378" s="65"/>
      <c r="BV378" s="65"/>
      <c r="BW378" s="65"/>
      <c r="BX378" s="65"/>
      <c r="BY378" s="65"/>
      <c r="BZ378" s="65"/>
      <c r="CA378" s="65"/>
      <c r="CB378" s="65"/>
      <c r="CC378" s="65"/>
      <c r="CD378" s="65"/>
      <c r="CE378" s="65"/>
      <c r="CF378" s="65"/>
      <c r="CG378" s="65"/>
      <c r="CH378" s="65"/>
      <c r="CI378" s="65"/>
      <c r="CJ378" s="65"/>
      <c r="CK378" s="65"/>
      <c r="CL378" s="65"/>
      <c r="CM378" s="65"/>
      <c r="CN378" s="65"/>
      <c r="CO378" s="65"/>
      <c r="CP378" s="65"/>
      <c r="CQ378" s="65"/>
      <c r="CR378" s="65"/>
      <c r="CS378" s="65"/>
      <c r="CT378" s="65"/>
      <c r="CU378" s="65"/>
      <c r="CV378" s="65"/>
      <c r="CW378" s="65"/>
      <c r="CX378" s="65"/>
      <c r="CY378" s="65"/>
      <c r="CZ378" s="65"/>
      <c r="DA378" s="65"/>
      <c r="DB378" s="65"/>
      <c r="DC378" s="65"/>
      <c r="DD378" s="65"/>
      <c r="DE378" s="65"/>
      <c r="DF378" s="65"/>
      <c r="DG378" s="65"/>
      <c r="DH378" s="65"/>
      <c r="DI378" s="65"/>
      <c r="DJ378" s="65"/>
      <c r="DK378" s="65"/>
      <c r="DL378" s="65"/>
      <c r="DM378" s="65"/>
      <c r="DN378" s="65"/>
      <c r="DO378" s="65"/>
      <c r="DP378" s="65"/>
      <c r="DQ378" s="65"/>
      <c r="DR378" s="65"/>
      <c r="DS378" s="65"/>
      <c r="DT378" s="65"/>
    </row>
    <row r="379" spans="1:124" ht="21.75" customHeight="1">
      <c r="A379" s="313"/>
      <c r="B379" s="229" t="s">
        <v>103</v>
      </c>
      <c r="C379" s="230"/>
      <c r="D379" s="78" t="s">
        <v>415</v>
      </c>
      <c r="E379" s="70"/>
      <c r="F379" s="70"/>
      <c r="G379" s="70"/>
      <c r="H379" s="65"/>
      <c r="I379" s="65"/>
      <c r="J379" s="65"/>
      <c r="K379" s="65"/>
      <c r="L379" s="65"/>
      <c r="M379" s="65"/>
      <c r="N379" s="65"/>
      <c r="O379" s="65"/>
      <c r="P379" s="65"/>
      <c r="Q379" s="65"/>
      <c r="R379" s="65"/>
      <c r="S379" s="65"/>
      <c r="T379" s="65"/>
      <c r="U379" s="70"/>
      <c r="V379" s="65"/>
      <c r="W379" s="70"/>
      <c r="X379" s="70"/>
      <c r="Y379" s="70"/>
      <c r="Z379" s="70"/>
      <c r="AA379" s="70"/>
      <c r="AB379" s="70"/>
      <c r="AC379" s="70"/>
      <c r="AD379" s="70"/>
      <c r="AE379" s="70"/>
      <c r="AF379" s="96" t="s">
        <v>530</v>
      </c>
      <c r="AG379" s="70"/>
      <c r="AH379" s="70"/>
      <c r="AI379" s="70"/>
      <c r="AJ379" s="70"/>
      <c r="AK379" s="70"/>
      <c r="AL379" s="70"/>
      <c r="AM379" s="70"/>
      <c r="AN379" s="70"/>
      <c r="AO379" s="70"/>
      <c r="AP379" s="65"/>
      <c r="AQ379" s="65"/>
      <c r="AR379" s="65"/>
      <c r="AS379" s="70"/>
      <c r="AT379" s="70"/>
      <c r="AU379" s="70"/>
      <c r="AV379" s="65"/>
      <c r="AW379" s="65"/>
      <c r="AX379" s="65"/>
      <c r="AY379" s="65"/>
      <c r="AZ379" s="65"/>
      <c r="BA379" s="65"/>
      <c r="BB379" s="65"/>
      <c r="BC379" s="65"/>
      <c r="BD379" s="65"/>
      <c r="BE379" s="65"/>
      <c r="BF379" s="65"/>
      <c r="BG379" s="65"/>
      <c r="BH379" s="65"/>
      <c r="BI379" s="65"/>
      <c r="BJ379" s="65"/>
      <c r="BK379" s="65"/>
      <c r="BL379" s="65"/>
      <c r="BM379" s="65"/>
      <c r="BN379" s="65"/>
      <c r="BO379" s="65"/>
      <c r="BP379" s="65"/>
      <c r="BQ379" s="65"/>
      <c r="BR379" s="65"/>
      <c r="BS379" s="65"/>
      <c r="BT379" s="65"/>
      <c r="BU379" s="65"/>
      <c r="BV379" s="65"/>
      <c r="BW379" s="65"/>
      <c r="BX379" s="65"/>
      <c r="BY379" s="65"/>
      <c r="BZ379" s="65"/>
      <c r="CA379" s="65"/>
      <c r="CB379" s="65"/>
      <c r="CC379" s="65"/>
      <c r="CD379" s="65"/>
      <c r="CE379" s="65"/>
      <c r="CF379" s="65"/>
      <c r="CG379" s="65"/>
      <c r="CH379" s="65"/>
      <c r="CI379" s="65"/>
      <c r="CJ379" s="65"/>
      <c r="CK379" s="65"/>
      <c r="CL379" s="65"/>
      <c r="CM379" s="65"/>
      <c r="CN379" s="65"/>
      <c r="CO379" s="65"/>
      <c r="CP379" s="65"/>
      <c r="CQ379" s="65"/>
      <c r="CR379" s="65"/>
      <c r="CS379" s="65"/>
      <c r="CT379" s="65"/>
      <c r="CU379" s="65"/>
      <c r="CV379" s="65"/>
      <c r="CW379" s="65"/>
      <c r="CX379" s="65"/>
      <c r="CY379" s="65"/>
      <c r="CZ379" s="65"/>
      <c r="DA379" s="65"/>
      <c r="DB379" s="65"/>
      <c r="DC379" s="65"/>
      <c r="DD379" s="65"/>
      <c r="DE379" s="65"/>
      <c r="DF379" s="65"/>
      <c r="DG379" s="65"/>
      <c r="DH379" s="65"/>
      <c r="DI379" s="65"/>
      <c r="DJ379" s="65"/>
      <c r="DK379" s="65"/>
      <c r="DL379" s="65"/>
      <c r="DM379" s="65"/>
      <c r="DN379" s="65"/>
      <c r="DO379" s="65"/>
      <c r="DP379" s="65"/>
      <c r="DQ379" s="65"/>
      <c r="DR379" s="65"/>
      <c r="DS379" s="65"/>
      <c r="DT379" s="65"/>
    </row>
    <row r="380" spans="1:124" ht="21.75" customHeight="1">
      <c r="A380" s="313"/>
      <c r="B380" s="232"/>
      <c r="C380" s="233"/>
      <c r="D380" s="79" t="s">
        <v>418</v>
      </c>
      <c r="E380" s="70"/>
      <c r="F380" s="70"/>
      <c r="G380" s="70"/>
      <c r="H380" s="65"/>
      <c r="I380" s="65"/>
      <c r="J380" s="65"/>
      <c r="K380" s="65"/>
      <c r="L380" s="65"/>
      <c r="M380" s="65"/>
      <c r="N380" s="65"/>
      <c r="O380" s="65"/>
      <c r="P380" s="65"/>
      <c r="Q380" s="65"/>
      <c r="R380" s="65"/>
      <c r="S380" s="65"/>
      <c r="T380" s="65"/>
      <c r="U380" s="70"/>
      <c r="V380" s="65"/>
      <c r="W380" s="70"/>
      <c r="X380" s="70"/>
      <c r="Y380" s="70"/>
      <c r="Z380" s="70"/>
      <c r="AA380" s="70"/>
      <c r="AB380" s="70"/>
      <c r="AC380" s="70"/>
      <c r="AD380" s="70"/>
      <c r="AE380" s="70"/>
      <c r="AF380" s="96" t="s">
        <v>531</v>
      </c>
      <c r="AG380" s="70"/>
      <c r="AH380" s="70"/>
      <c r="AI380" s="70"/>
      <c r="AJ380" s="70"/>
      <c r="AK380" s="70"/>
      <c r="AL380" s="70"/>
      <c r="AM380" s="70"/>
      <c r="AN380" s="70"/>
      <c r="AO380" s="70"/>
      <c r="AP380" s="65"/>
      <c r="AQ380" s="65"/>
      <c r="AR380" s="65"/>
      <c r="AS380" s="70"/>
      <c r="AT380" s="70"/>
      <c r="AU380" s="70"/>
      <c r="AV380" s="65"/>
      <c r="AW380" s="65"/>
      <c r="AX380" s="65"/>
      <c r="AY380" s="65"/>
      <c r="AZ380" s="65"/>
      <c r="BA380" s="65"/>
      <c r="BB380" s="65"/>
      <c r="BC380" s="65"/>
      <c r="BD380" s="65"/>
      <c r="BE380" s="65"/>
      <c r="BF380" s="65"/>
      <c r="BG380" s="65"/>
      <c r="BH380" s="65"/>
      <c r="BI380" s="65"/>
      <c r="BJ380" s="65"/>
      <c r="BK380" s="65"/>
      <c r="BL380" s="65"/>
      <c r="BM380" s="65"/>
      <c r="BN380" s="65"/>
      <c r="BO380" s="65"/>
      <c r="BP380" s="65"/>
      <c r="BQ380" s="65"/>
      <c r="BR380" s="65"/>
      <c r="BS380" s="65"/>
      <c r="BT380" s="65"/>
      <c r="BU380" s="65"/>
      <c r="BV380" s="65"/>
      <c r="BW380" s="65"/>
      <c r="BX380" s="65"/>
      <c r="BY380" s="65"/>
      <c r="BZ380" s="65"/>
      <c r="CA380" s="65"/>
      <c r="CB380" s="65"/>
      <c r="CC380" s="65"/>
      <c r="CD380" s="65"/>
      <c r="CE380" s="65"/>
      <c r="CF380" s="65"/>
      <c r="CG380" s="65"/>
      <c r="CH380" s="65"/>
      <c r="CI380" s="65"/>
      <c r="CJ380" s="65"/>
      <c r="CK380" s="65"/>
      <c r="CL380" s="65"/>
      <c r="CM380" s="65"/>
      <c r="CN380" s="65"/>
      <c r="CO380" s="65"/>
      <c r="CP380" s="65"/>
      <c r="CQ380" s="65"/>
      <c r="CR380" s="65"/>
      <c r="CS380" s="65"/>
      <c r="CT380" s="65"/>
      <c r="CU380" s="65"/>
      <c r="CV380" s="65"/>
      <c r="CW380" s="65"/>
      <c r="CX380" s="65"/>
      <c r="CY380" s="65"/>
      <c r="CZ380" s="65"/>
      <c r="DA380" s="65"/>
      <c r="DB380" s="65"/>
      <c r="DC380" s="65"/>
      <c r="DD380" s="65"/>
      <c r="DE380" s="65"/>
      <c r="DF380" s="65"/>
      <c r="DG380" s="65"/>
      <c r="DH380" s="65"/>
      <c r="DI380" s="65"/>
      <c r="DJ380" s="65"/>
      <c r="DK380" s="65"/>
      <c r="DL380" s="65"/>
      <c r="DM380" s="65"/>
      <c r="DN380" s="65"/>
      <c r="DO380" s="65"/>
      <c r="DP380" s="65"/>
      <c r="DQ380" s="65"/>
      <c r="DR380" s="65"/>
      <c r="DS380" s="65"/>
      <c r="DT380" s="65"/>
    </row>
    <row r="381" spans="1:124" ht="21.75" customHeight="1">
      <c r="A381" s="313"/>
      <c r="B381" s="229" t="s">
        <v>532</v>
      </c>
      <c r="C381" s="230"/>
      <c r="D381" s="231"/>
      <c r="E381" s="111"/>
      <c r="F381" s="111"/>
      <c r="G381" s="111"/>
      <c r="H381" s="112"/>
      <c r="I381" s="112"/>
      <c r="J381" s="112"/>
      <c r="K381" s="112"/>
      <c r="L381" s="112"/>
      <c r="M381" s="112"/>
      <c r="N381" s="112"/>
      <c r="O381" s="112"/>
      <c r="P381" s="112"/>
      <c r="Q381" s="112"/>
      <c r="R381" s="112"/>
      <c r="S381" s="112"/>
      <c r="T381" s="112"/>
      <c r="U381" s="111"/>
      <c r="V381" s="112"/>
      <c r="W381" s="111"/>
      <c r="X381" s="111"/>
      <c r="Y381" s="111"/>
      <c r="Z381" s="111"/>
      <c r="AA381" s="111"/>
      <c r="AB381" s="111"/>
      <c r="AC381" s="111"/>
      <c r="AD381" s="111"/>
      <c r="AE381" s="111"/>
      <c r="AF381" s="111"/>
      <c r="AG381" s="111"/>
      <c r="AH381" s="111"/>
      <c r="AI381" s="111"/>
      <c r="AJ381" s="111"/>
      <c r="AK381" s="111"/>
      <c r="AL381" s="111"/>
      <c r="AM381" s="111"/>
      <c r="AN381" s="111"/>
      <c r="AO381" s="111"/>
      <c r="AP381" s="112"/>
      <c r="AQ381" s="112"/>
      <c r="AR381" s="112"/>
      <c r="AS381" s="111"/>
      <c r="AT381" s="111"/>
      <c r="AU381" s="111"/>
      <c r="AV381" s="112"/>
      <c r="AW381" s="112"/>
      <c r="AX381" s="112"/>
      <c r="AY381" s="112"/>
      <c r="AZ381" s="112"/>
      <c r="BA381" s="112"/>
      <c r="BB381" s="112"/>
      <c r="BC381" s="112"/>
      <c r="BD381" s="112"/>
      <c r="BE381" s="112"/>
      <c r="BF381" s="112"/>
      <c r="BG381" s="112"/>
      <c r="BH381" s="112"/>
      <c r="BI381" s="112"/>
      <c r="BJ381" s="112"/>
      <c r="BK381" s="112"/>
      <c r="BL381" s="112"/>
      <c r="BM381" s="112"/>
      <c r="BN381" s="112"/>
      <c r="BO381" s="112"/>
      <c r="BP381" s="112"/>
      <c r="BQ381" s="112"/>
      <c r="BR381" s="112"/>
      <c r="BS381" s="112"/>
      <c r="BT381" s="112"/>
      <c r="BU381" s="112"/>
      <c r="BV381" s="112"/>
      <c r="BW381" s="112"/>
      <c r="BX381" s="112"/>
      <c r="BY381" s="112"/>
      <c r="BZ381" s="112"/>
      <c r="CA381" s="112"/>
      <c r="CB381" s="112"/>
      <c r="CC381" s="112"/>
      <c r="CD381" s="112"/>
      <c r="CE381" s="112"/>
      <c r="CF381" s="112"/>
      <c r="CG381" s="112"/>
      <c r="CH381" s="112"/>
      <c r="CI381" s="112"/>
      <c r="CJ381" s="112"/>
      <c r="CK381" s="112"/>
      <c r="CL381" s="112"/>
      <c r="CM381" s="112"/>
      <c r="CN381" s="112"/>
      <c r="CO381" s="112"/>
      <c r="CP381" s="112"/>
      <c r="CQ381" s="112"/>
      <c r="CR381" s="112"/>
      <c r="CS381" s="112"/>
      <c r="CT381" s="112"/>
      <c r="CU381" s="112"/>
      <c r="CV381" s="112"/>
      <c r="CW381" s="112"/>
      <c r="CX381" s="112"/>
      <c r="CY381" s="112"/>
      <c r="CZ381" s="112"/>
      <c r="DA381" s="112"/>
      <c r="DB381" s="112"/>
      <c r="DC381" s="112"/>
      <c r="DD381" s="112"/>
      <c r="DE381" s="112"/>
      <c r="DF381" s="112"/>
      <c r="DG381" s="112"/>
      <c r="DH381" s="112"/>
      <c r="DI381" s="112"/>
      <c r="DJ381" s="112"/>
      <c r="DK381" s="112"/>
      <c r="DL381" s="112"/>
      <c r="DM381" s="112"/>
      <c r="DN381" s="112"/>
      <c r="DO381" s="112"/>
      <c r="DP381" s="112"/>
      <c r="DQ381" s="112"/>
      <c r="DR381" s="112"/>
      <c r="DS381" s="112"/>
      <c r="DT381" s="112"/>
    </row>
    <row r="382" spans="1:124" ht="21.75" customHeight="1">
      <c r="A382" s="313"/>
      <c r="B382" s="232"/>
      <c r="C382" s="233"/>
      <c r="D382" s="234"/>
      <c r="E382" s="111"/>
      <c r="F382" s="111"/>
      <c r="G382" s="111"/>
      <c r="H382" s="112"/>
      <c r="I382" s="112"/>
      <c r="J382" s="112"/>
      <c r="K382" s="112"/>
      <c r="L382" s="112"/>
      <c r="M382" s="112"/>
      <c r="N382" s="112"/>
      <c r="O382" s="112"/>
      <c r="P382" s="112"/>
      <c r="Q382" s="112"/>
      <c r="R382" s="112"/>
      <c r="S382" s="112"/>
      <c r="T382" s="112"/>
      <c r="U382" s="111"/>
      <c r="V382" s="112"/>
      <c r="W382" s="111"/>
      <c r="X382" s="111"/>
      <c r="Y382" s="111"/>
      <c r="Z382" s="111"/>
      <c r="AA382" s="111"/>
      <c r="AB382" s="111"/>
      <c r="AC382" s="111"/>
      <c r="AD382" s="111"/>
      <c r="AE382" s="111"/>
      <c r="AF382" s="111"/>
      <c r="AG382" s="111"/>
      <c r="AH382" s="111"/>
      <c r="AI382" s="111"/>
      <c r="AJ382" s="111"/>
      <c r="AK382" s="111"/>
      <c r="AL382" s="111"/>
      <c r="AM382" s="111"/>
      <c r="AN382" s="111"/>
      <c r="AO382" s="111"/>
      <c r="AP382" s="112"/>
      <c r="AQ382" s="112"/>
      <c r="AR382" s="112"/>
      <c r="AS382" s="111"/>
      <c r="AT382" s="111"/>
      <c r="AU382" s="111"/>
      <c r="AV382" s="112"/>
      <c r="AW382" s="112"/>
      <c r="AX382" s="112"/>
      <c r="AY382" s="112"/>
      <c r="AZ382" s="112"/>
      <c r="BA382" s="112"/>
      <c r="BB382" s="112"/>
      <c r="BC382" s="112"/>
      <c r="BD382" s="112"/>
      <c r="BE382" s="112"/>
      <c r="BF382" s="112"/>
      <c r="BG382" s="112"/>
      <c r="BH382" s="112"/>
      <c r="BI382" s="112"/>
      <c r="BJ382" s="112"/>
      <c r="BK382" s="112"/>
      <c r="BL382" s="112"/>
      <c r="BM382" s="112"/>
      <c r="BN382" s="112"/>
      <c r="BO382" s="112"/>
      <c r="BP382" s="112"/>
      <c r="BQ382" s="112"/>
      <c r="BR382" s="112"/>
      <c r="BS382" s="112"/>
      <c r="BT382" s="112"/>
      <c r="BU382" s="112"/>
      <c r="BV382" s="112"/>
      <c r="BW382" s="112"/>
      <c r="BX382" s="112"/>
      <c r="BY382" s="112"/>
      <c r="BZ382" s="112"/>
      <c r="CA382" s="112"/>
      <c r="CB382" s="112"/>
      <c r="CC382" s="112"/>
      <c r="CD382" s="112"/>
      <c r="CE382" s="112"/>
      <c r="CF382" s="112"/>
      <c r="CG382" s="112"/>
      <c r="CH382" s="112"/>
      <c r="CI382" s="112"/>
      <c r="CJ382" s="112"/>
      <c r="CK382" s="112"/>
      <c r="CL382" s="112"/>
      <c r="CM382" s="112"/>
      <c r="CN382" s="112"/>
      <c r="CO382" s="112"/>
      <c r="CP382" s="112"/>
      <c r="CQ382" s="112"/>
      <c r="CR382" s="112"/>
      <c r="CS382" s="112"/>
      <c r="CT382" s="112"/>
      <c r="CU382" s="112"/>
      <c r="CV382" s="112"/>
      <c r="CW382" s="112"/>
      <c r="CX382" s="112"/>
      <c r="CY382" s="112"/>
      <c r="CZ382" s="112"/>
      <c r="DA382" s="112"/>
      <c r="DB382" s="112"/>
      <c r="DC382" s="112"/>
      <c r="DD382" s="112"/>
      <c r="DE382" s="112"/>
      <c r="DF382" s="112"/>
      <c r="DG382" s="112"/>
      <c r="DH382" s="112"/>
      <c r="DI382" s="112"/>
      <c r="DJ382" s="112"/>
      <c r="DK382" s="112"/>
      <c r="DL382" s="112"/>
      <c r="DM382" s="112"/>
      <c r="DN382" s="112"/>
      <c r="DO382" s="112"/>
      <c r="DP382" s="112"/>
      <c r="DQ382" s="112"/>
      <c r="DR382" s="112"/>
      <c r="DS382" s="112"/>
      <c r="DT382" s="112"/>
    </row>
    <row r="383" spans="1:124" ht="21.75" customHeight="1">
      <c r="A383" s="313"/>
      <c r="B383" s="235" t="s">
        <v>127</v>
      </c>
      <c r="C383" s="236"/>
      <c r="D383" s="237"/>
      <c r="E383" s="80"/>
      <c r="F383" s="80"/>
      <c r="G383" s="80"/>
      <c r="H383" s="80"/>
      <c r="I383" s="80"/>
      <c r="J383" s="80"/>
      <c r="K383" s="80"/>
      <c r="L383" s="80"/>
      <c r="M383" s="80"/>
      <c r="N383" s="80"/>
      <c r="O383" s="80"/>
      <c r="P383" s="80"/>
      <c r="Q383" s="80"/>
      <c r="R383" s="80"/>
      <c r="S383" s="80"/>
      <c r="T383" s="80"/>
      <c r="U383" s="80"/>
      <c r="V383" s="80"/>
      <c r="W383" s="80"/>
      <c r="X383" s="80"/>
      <c r="Y383" s="80"/>
      <c r="Z383" s="80"/>
      <c r="AA383" s="80"/>
      <c r="AB383" s="80"/>
      <c r="AC383" s="80"/>
      <c r="AD383" s="80"/>
      <c r="AE383" s="80"/>
      <c r="AF383" s="80"/>
      <c r="AG383" s="80"/>
      <c r="AH383" s="80"/>
      <c r="AI383" s="80"/>
      <c r="AJ383" s="80"/>
      <c r="AK383" s="80"/>
      <c r="AL383" s="80"/>
      <c r="AM383" s="80"/>
      <c r="AN383" s="80"/>
      <c r="AO383" s="80"/>
      <c r="AP383" s="68"/>
      <c r="AQ383" s="68"/>
      <c r="AR383" s="68"/>
      <c r="AS383" s="80" t="s">
        <v>407</v>
      </c>
      <c r="AT383" s="80"/>
      <c r="AU383" s="80"/>
      <c r="AV383" s="80"/>
      <c r="AW383" s="80"/>
      <c r="AX383" s="80"/>
      <c r="AY383" s="80"/>
      <c r="AZ383" s="80"/>
      <c r="BA383" s="80"/>
      <c r="BB383" s="80"/>
      <c r="BC383" s="80"/>
      <c r="BD383" s="80"/>
      <c r="BE383" s="80"/>
      <c r="BF383" s="69"/>
      <c r="BG383" s="68"/>
      <c r="BH383" s="68"/>
      <c r="BI383" s="68"/>
      <c r="BJ383" s="68"/>
      <c r="BK383" s="68"/>
      <c r="BL383" s="68"/>
      <c r="BM383" s="68"/>
      <c r="BN383" s="68"/>
      <c r="BO383" s="68"/>
      <c r="BP383" s="68"/>
      <c r="BQ383" s="68"/>
      <c r="BR383" s="68"/>
      <c r="BS383" s="68"/>
      <c r="BT383" s="68"/>
      <c r="BU383" s="68"/>
      <c r="BV383" s="68"/>
      <c r="BW383" s="68"/>
      <c r="BX383" s="68"/>
      <c r="BY383" s="68"/>
      <c r="BZ383" s="68"/>
      <c r="CA383" s="68"/>
      <c r="CB383" s="68"/>
      <c r="CC383" s="68"/>
      <c r="CD383" s="68"/>
      <c r="CE383" s="68"/>
      <c r="CF383" s="68"/>
      <c r="CG383" s="68"/>
      <c r="CH383" s="68"/>
      <c r="CI383" s="68"/>
      <c r="CJ383" s="68"/>
      <c r="CK383" s="68"/>
      <c r="CL383" s="68"/>
      <c r="CM383" s="68"/>
      <c r="CN383" s="68"/>
      <c r="CO383" s="68"/>
      <c r="CP383" s="68"/>
      <c r="CQ383" s="68"/>
      <c r="CR383" s="68"/>
      <c r="CS383" s="68"/>
      <c r="CT383" s="68"/>
      <c r="CU383" s="68"/>
      <c r="CV383" s="68"/>
      <c r="CW383" s="68"/>
      <c r="CX383" s="68"/>
      <c r="CY383" s="68"/>
      <c r="CZ383" s="68"/>
      <c r="DA383" s="68"/>
      <c r="DB383" s="68"/>
      <c r="DC383" s="68"/>
      <c r="DD383" s="68"/>
      <c r="DE383" s="68"/>
      <c r="DF383" s="68"/>
      <c r="DG383" s="68"/>
      <c r="DH383" s="68"/>
      <c r="DI383" s="68"/>
      <c r="DJ383" s="68"/>
      <c r="DK383" s="68"/>
      <c r="DL383" s="68"/>
      <c r="DM383" s="68"/>
      <c r="DN383" s="68"/>
      <c r="DO383" s="68"/>
      <c r="DP383" s="68"/>
      <c r="DQ383" s="68"/>
      <c r="DR383" s="68"/>
      <c r="DS383" s="68"/>
      <c r="DT383" s="68"/>
    </row>
    <row r="384" spans="1:124" ht="21.75" customHeight="1">
      <c r="A384" s="313"/>
      <c r="B384" s="232"/>
      <c r="C384" s="233"/>
      <c r="D384" s="234"/>
      <c r="E384" s="70"/>
      <c r="F384" s="70"/>
      <c r="G384" s="70"/>
      <c r="H384" s="70"/>
      <c r="I384" s="70"/>
      <c r="J384" s="70"/>
      <c r="K384" s="70"/>
      <c r="L384" s="70"/>
      <c r="M384" s="70"/>
      <c r="N384" s="70"/>
      <c r="O384" s="70"/>
      <c r="P384" s="70"/>
      <c r="Q384" s="70"/>
      <c r="R384" s="70"/>
      <c r="S384" s="70"/>
      <c r="T384" s="70"/>
      <c r="U384" s="70"/>
      <c r="V384" s="70"/>
      <c r="W384" s="70"/>
      <c r="X384" s="70"/>
      <c r="Y384" s="70"/>
      <c r="Z384" s="70"/>
      <c r="AA384" s="70"/>
      <c r="AB384" s="70"/>
      <c r="AC384" s="70"/>
      <c r="AD384" s="70"/>
      <c r="AE384" s="70"/>
      <c r="AF384" s="70"/>
      <c r="AG384" s="70"/>
      <c r="AH384" s="70"/>
      <c r="AI384" s="70"/>
      <c r="AJ384" s="70"/>
      <c r="AK384" s="70"/>
      <c r="AL384" s="70"/>
      <c r="AM384" s="70"/>
      <c r="AN384" s="70"/>
      <c r="AO384" s="70"/>
      <c r="AP384" s="65"/>
      <c r="AQ384" s="65"/>
      <c r="AR384" s="65"/>
      <c r="AS384" s="70">
        <f>15/0.735</f>
        <v>20.408163265306122</v>
      </c>
      <c r="AT384" s="70"/>
      <c r="AU384" s="70"/>
      <c r="AV384" s="70"/>
      <c r="AW384" s="70"/>
      <c r="AX384" s="70"/>
      <c r="AY384" s="70"/>
      <c r="AZ384" s="70"/>
      <c r="BA384" s="70"/>
      <c r="BB384" s="70"/>
      <c r="BC384" s="70"/>
      <c r="BD384" s="70"/>
      <c r="BE384" s="70"/>
      <c r="BF384" s="70"/>
      <c r="BG384" s="65"/>
      <c r="BH384" s="65"/>
      <c r="BI384" s="65"/>
      <c r="BJ384" s="65"/>
      <c r="BK384" s="65"/>
      <c r="BL384" s="65"/>
      <c r="BM384" s="65"/>
      <c r="BN384" s="65"/>
      <c r="BO384" s="65"/>
      <c r="BP384" s="65"/>
      <c r="BQ384" s="65"/>
      <c r="BR384" s="65"/>
      <c r="BS384" s="65"/>
      <c r="BT384" s="65"/>
      <c r="BU384" s="65"/>
      <c r="BV384" s="65"/>
      <c r="BW384" s="65"/>
      <c r="BX384" s="65"/>
      <c r="BY384" s="65"/>
      <c r="BZ384" s="65"/>
      <c r="CA384" s="65"/>
      <c r="CB384" s="65"/>
      <c r="CC384" s="65"/>
      <c r="CD384" s="65"/>
      <c r="CE384" s="65"/>
      <c r="CF384" s="65"/>
      <c r="CG384" s="65"/>
      <c r="CH384" s="65"/>
      <c r="CI384" s="65"/>
      <c r="CJ384" s="65"/>
      <c r="CK384" s="65"/>
      <c r="CL384" s="65"/>
      <c r="CM384" s="65"/>
      <c r="CN384" s="65"/>
      <c r="CO384" s="65"/>
      <c r="CP384" s="65"/>
      <c r="CQ384" s="65"/>
      <c r="CR384" s="65"/>
      <c r="CS384" s="65"/>
      <c r="CT384" s="65"/>
      <c r="CU384" s="65"/>
      <c r="CV384" s="65"/>
      <c r="CW384" s="65"/>
      <c r="CX384" s="65"/>
      <c r="CY384" s="65"/>
      <c r="CZ384" s="65"/>
      <c r="DA384" s="65"/>
      <c r="DB384" s="65"/>
      <c r="DC384" s="65"/>
      <c r="DD384" s="65"/>
      <c r="DE384" s="65"/>
      <c r="DF384" s="65"/>
      <c r="DG384" s="65"/>
      <c r="DH384" s="65"/>
      <c r="DI384" s="65"/>
      <c r="DJ384" s="65"/>
      <c r="DK384" s="65"/>
      <c r="DL384" s="65"/>
      <c r="DM384" s="65"/>
      <c r="DN384" s="65"/>
      <c r="DO384" s="65"/>
      <c r="DP384" s="65"/>
      <c r="DQ384" s="65"/>
      <c r="DR384" s="65"/>
      <c r="DS384" s="65"/>
      <c r="DT384" s="65"/>
    </row>
    <row r="385" spans="1:124" ht="21.75" customHeight="1">
      <c r="A385" s="313"/>
      <c r="B385" s="229" t="s">
        <v>421</v>
      </c>
      <c r="C385" s="230"/>
      <c r="D385" s="231"/>
      <c r="E385" s="69"/>
      <c r="F385" s="69"/>
      <c r="G385" s="69"/>
      <c r="H385" s="68"/>
      <c r="I385" s="68"/>
      <c r="J385" s="68"/>
      <c r="K385" s="68"/>
      <c r="L385" s="68"/>
      <c r="M385" s="68"/>
      <c r="N385" s="68"/>
      <c r="O385" s="68"/>
      <c r="P385" s="68"/>
      <c r="Q385" s="68"/>
      <c r="R385" s="68"/>
      <c r="S385" s="68"/>
      <c r="T385" s="68"/>
      <c r="U385" s="69"/>
      <c r="V385" s="68"/>
      <c r="W385" s="69"/>
      <c r="X385" s="69"/>
      <c r="Y385" s="69"/>
      <c r="Z385" s="69"/>
      <c r="AA385" s="69"/>
      <c r="AB385" s="69"/>
      <c r="AC385" s="69"/>
      <c r="AD385" s="69"/>
      <c r="AE385" s="69"/>
      <c r="AF385" s="69"/>
      <c r="AG385" s="69"/>
      <c r="AH385" s="69"/>
      <c r="AI385" s="69"/>
      <c r="AJ385" s="69"/>
      <c r="AK385" s="69"/>
      <c r="AL385" s="69"/>
      <c r="AM385" s="69"/>
      <c r="AN385" s="69"/>
      <c r="AO385" s="69"/>
      <c r="AP385" s="68"/>
      <c r="AQ385" s="68"/>
      <c r="AR385" s="68"/>
      <c r="AS385" s="69"/>
      <c r="AT385" s="69"/>
      <c r="AU385" s="69"/>
      <c r="AV385" s="69"/>
      <c r="AW385" s="69"/>
      <c r="AX385" s="69"/>
      <c r="AY385" s="69"/>
      <c r="AZ385" s="68"/>
      <c r="BA385" s="68"/>
      <c r="BB385" s="68"/>
      <c r="BC385" s="68"/>
      <c r="BD385" s="68"/>
      <c r="BE385" s="68"/>
      <c r="BF385" s="68"/>
      <c r="BG385" s="68"/>
      <c r="BH385" s="68"/>
      <c r="BI385" s="68"/>
      <c r="BJ385" s="68"/>
      <c r="BK385" s="68"/>
      <c r="BL385" s="68"/>
      <c r="BM385" s="68"/>
      <c r="BN385" s="68"/>
      <c r="BO385" s="68"/>
      <c r="BP385" s="68"/>
      <c r="BQ385" s="68"/>
      <c r="BR385" s="68"/>
      <c r="BS385" s="68"/>
      <c r="BT385" s="68"/>
      <c r="BU385" s="68"/>
      <c r="BV385" s="68"/>
      <c r="BW385" s="68"/>
      <c r="BX385" s="68"/>
      <c r="BY385" s="68"/>
      <c r="BZ385" s="68"/>
      <c r="CA385" s="68"/>
      <c r="CB385" s="68"/>
      <c r="CC385" s="68"/>
      <c r="CD385" s="68"/>
      <c r="CE385" s="68"/>
      <c r="CF385" s="68"/>
      <c r="CG385" s="68"/>
      <c r="CH385" s="68"/>
      <c r="CI385" s="68"/>
      <c r="CJ385" s="68"/>
      <c r="CK385" s="68"/>
      <c r="CL385" s="68"/>
      <c r="CM385" s="68"/>
      <c r="CN385" s="68"/>
      <c r="CO385" s="68"/>
      <c r="CP385" s="68"/>
      <c r="CQ385" s="68"/>
      <c r="CR385" s="68"/>
      <c r="CS385" s="68"/>
      <c r="CT385" s="68"/>
      <c r="CU385" s="68"/>
      <c r="CV385" s="68"/>
      <c r="CW385" s="68"/>
      <c r="CX385" s="68"/>
      <c r="CY385" s="68"/>
      <c r="CZ385" s="68"/>
      <c r="DA385" s="68"/>
      <c r="DB385" s="68"/>
      <c r="DC385" s="68"/>
      <c r="DD385" s="68"/>
      <c r="DE385" s="68"/>
      <c r="DF385" s="68"/>
      <c r="DG385" s="68"/>
      <c r="DH385" s="68"/>
      <c r="DI385" s="68"/>
      <c r="DJ385" s="68"/>
      <c r="DK385" s="68"/>
      <c r="DL385" s="68"/>
      <c r="DM385" s="68"/>
      <c r="DN385" s="68"/>
      <c r="DO385" s="68"/>
      <c r="DP385" s="68"/>
      <c r="DQ385" s="68"/>
      <c r="DR385" s="68"/>
      <c r="DS385" s="68"/>
      <c r="DT385" s="68"/>
    </row>
    <row r="386" spans="1:124" ht="21.75" customHeight="1">
      <c r="A386" s="313"/>
      <c r="B386" s="232"/>
      <c r="C386" s="233"/>
      <c r="D386" s="234"/>
      <c r="E386" s="70"/>
      <c r="F386" s="70"/>
      <c r="G386" s="70"/>
      <c r="H386" s="65"/>
      <c r="I386" s="65"/>
      <c r="J386" s="65"/>
      <c r="K386" s="65"/>
      <c r="L386" s="65"/>
      <c r="M386" s="65"/>
      <c r="N386" s="65"/>
      <c r="O386" s="65"/>
      <c r="P386" s="65"/>
      <c r="Q386" s="65"/>
      <c r="R386" s="65"/>
      <c r="S386" s="65"/>
      <c r="T386" s="65"/>
      <c r="U386" s="70"/>
      <c r="V386" s="65"/>
      <c r="W386" s="70"/>
      <c r="X386" s="70"/>
      <c r="Y386" s="70"/>
      <c r="Z386" s="70"/>
      <c r="AA386" s="70"/>
      <c r="AB386" s="70"/>
      <c r="AC386" s="70"/>
      <c r="AD386" s="70"/>
      <c r="AE386" s="70"/>
      <c r="AF386" s="70"/>
      <c r="AG386" s="70"/>
      <c r="AH386" s="70"/>
      <c r="AI386" s="70"/>
      <c r="AJ386" s="70"/>
      <c r="AK386" s="70"/>
      <c r="AL386" s="70"/>
      <c r="AM386" s="70"/>
      <c r="AN386" s="70"/>
      <c r="AO386" s="70"/>
      <c r="AP386" s="65"/>
      <c r="AQ386" s="65"/>
      <c r="AR386" s="65"/>
      <c r="AS386" s="70"/>
      <c r="AT386" s="70"/>
      <c r="AU386" s="70"/>
      <c r="AV386" s="70"/>
      <c r="AW386" s="70"/>
      <c r="AX386" s="70"/>
      <c r="AY386" s="70"/>
      <c r="AZ386" s="65"/>
      <c r="BA386" s="65"/>
      <c r="BB386" s="65"/>
      <c r="BC386" s="65"/>
      <c r="BD386" s="65"/>
      <c r="BE386" s="65"/>
      <c r="BF386" s="65"/>
      <c r="BG386" s="65"/>
      <c r="BH386" s="65"/>
      <c r="BI386" s="65"/>
      <c r="BJ386" s="65"/>
      <c r="BK386" s="65"/>
      <c r="BL386" s="65"/>
      <c r="BM386" s="65"/>
      <c r="BN386" s="65"/>
      <c r="BO386" s="65"/>
      <c r="BP386" s="65"/>
      <c r="BQ386" s="65"/>
      <c r="BR386" s="65"/>
      <c r="BS386" s="65"/>
      <c r="BT386" s="65"/>
      <c r="BU386" s="65"/>
      <c r="BV386" s="65"/>
      <c r="BW386" s="65"/>
      <c r="BX386" s="65"/>
      <c r="BY386" s="65"/>
      <c r="BZ386" s="65"/>
      <c r="CA386" s="65"/>
      <c r="CB386" s="65"/>
      <c r="CC386" s="65"/>
      <c r="CD386" s="65"/>
      <c r="CE386" s="65"/>
      <c r="CF386" s="65"/>
      <c r="CG386" s="65"/>
      <c r="CH386" s="65"/>
      <c r="CI386" s="65"/>
      <c r="CJ386" s="65"/>
      <c r="CK386" s="65"/>
      <c r="CL386" s="65"/>
      <c r="CM386" s="65"/>
      <c r="CN386" s="65"/>
      <c r="CO386" s="65"/>
      <c r="CP386" s="65"/>
      <c r="CQ386" s="65"/>
      <c r="CR386" s="65"/>
      <c r="CS386" s="65"/>
      <c r="CT386" s="65"/>
      <c r="CU386" s="65"/>
      <c r="CV386" s="65"/>
      <c r="CW386" s="65"/>
      <c r="CX386" s="65"/>
      <c r="CY386" s="65"/>
      <c r="CZ386" s="65"/>
      <c r="DA386" s="65"/>
      <c r="DB386" s="65"/>
      <c r="DC386" s="65"/>
      <c r="DD386" s="65"/>
      <c r="DE386" s="65"/>
      <c r="DF386" s="65"/>
      <c r="DG386" s="65"/>
      <c r="DH386" s="65"/>
      <c r="DI386" s="65"/>
      <c r="DJ386" s="65"/>
      <c r="DK386" s="65"/>
      <c r="DL386" s="65"/>
      <c r="DM386" s="65"/>
      <c r="DN386" s="65"/>
      <c r="DO386" s="65"/>
      <c r="DP386" s="65"/>
      <c r="DQ386" s="65"/>
      <c r="DR386" s="65"/>
      <c r="DS386" s="65"/>
      <c r="DT386" s="65"/>
    </row>
    <row r="387" spans="1:124" ht="21.75" customHeight="1" thickBot="1">
      <c r="A387" s="313"/>
    </row>
    <row r="388" spans="1:124" ht="21.75" customHeight="1">
      <c r="A388" s="311"/>
      <c r="B388" s="176" t="s">
        <v>38</v>
      </c>
      <c r="C388" s="177"/>
      <c r="D388" s="178"/>
      <c r="E388" s="185"/>
      <c r="F388" s="280">
        <v>41426</v>
      </c>
      <c r="G388" s="280">
        <v>41518</v>
      </c>
      <c r="H388" s="280">
        <v>41548</v>
      </c>
      <c r="I388" s="185">
        <v>41659</v>
      </c>
      <c r="J388" s="185">
        <v>41666</v>
      </c>
      <c r="K388" s="185">
        <v>41699</v>
      </c>
      <c r="L388" s="186"/>
      <c r="M388" s="186"/>
      <c r="N388" s="186"/>
      <c r="O388" s="186"/>
      <c r="P388" s="186"/>
      <c r="Q388" s="186"/>
      <c r="R388" s="186"/>
      <c r="S388" s="186"/>
      <c r="T388" s="186"/>
      <c r="U388" s="186"/>
      <c r="V388" s="186"/>
      <c r="W388" s="186"/>
      <c r="X388" s="185">
        <v>41743</v>
      </c>
      <c r="Y388" s="185">
        <v>41747</v>
      </c>
      <c r="Z388" s="185">
        <v>41748</v>
      </c>
      <c r="AA388" s="185">
        <v>41750</v>
      </c>
      <c r="AB388" s="185">
        <v>41752</v>
      </c>
      <c r="AC388" s="185">
        <v>41754</v>
      </c>
      <c r="AD388" s="185">
        <v>41757</v>
      </c>
      <c r="AE388" s="185">
        <v>41761</v>
      </c>
      <c r="AF388" s="185">
        <v>41764</v>
      </c>
      <c r="AG388" s="185">
        <v>41766</v>
      </c>
      <c r="AH388" s="185">
        <v>41768</v>
      </c>
      <c r="AI388" s="185">
        <v>41771</v>
      </c>
      <c r="AJ388" s="185">
        <v>41773</v>
      </c>
      <c r="AK388" s="185">
        <v>41775</v>
      </c>
      <c r="AL388" s="185">
        <v>41778</v>
      </c>
      <c r="AM388" s="185">
        <v>41780</v>
      </c>
      <c r="AN388" s="185">
        <v>41782</v>
      </c>
      <c r="AO388" s="185">
        <v>41787</v>
      </c>
      <c r="AP388" s="186">
        <v>41789</v>
      </c>
      <c r="AQ388" s="186">
        <v>41793</v>
      </c>
      <c r="AR388" s="186">
        <v>41795</v>
      </c>
      <c r="AS388" s="182">
        <v>41876</v>
      </c>
      <c r="AT388" s="182">
        <v>41878</v>
      </c>
      <c r="AU388" s="182">
        <v>41880</v>
      </c>
      <c r="AV388" s="182">
        <v>41883</v>
      </c>
      <c r="AW388" s="182">
        <v>41885</v>
      </c>
      <c r="AX388" s="182">
        <v>41887</v>
      </c>
      <c r="AY388" s="194">
        <v>41890</v>
      </c>
      <c r="AZ388" s="185">
        <v>41892</v>
      </c>
      <c r="BA388" s="185">
        <v>41894</v>
      </c>
      <c r="BB388" s="186">
        <v>41897</v>
      </c>
      <c r="BC388" s="186">
        <v>41899</v>
      </c>
      <c r="BD388" s="186">
        <v>41901</v>
      </c>
      <c r="BE388" s="186">
        <v>41904</v>
      </c>
      <c r="BF388" s="186">
        <v>41906</v>
      </c>
      <c r="BG388" s="186">
        <v>41908</v>
      </c>
      <c r="BH388" s="186">
        <v>41911</v>
      </c>
      <c r="BI388" s="186">
        <v>41913</v>
      </c>
      <c r="BJ388" s="186">
        <v>41915</v>
      </c>
      <c r="BK388" s="186">
        <v>41918</v>
      </c>
      <c r="BL388" s="186">
        <v>41920</v>
      </c>
      <c r="BM388" s="186">
        <v>41922</v>
      </c>
      <c r="BN388" s="186">
        <v>41925</v>
      </c>
      <c r="BO388" s="186">
        <v>41927</v>
      </c>
      <c r="BP388" s="186">
        <v>41929</v>
      </c>
      <c r="BQ388" s="186">
        <v>41932</v>
      </c>
      <c r="BR388" s="186">
        <v>41934</v>
      </c>
      <c r="BS388" s="186">
        <v>41936</v>
      </c>
      <c r="BT388" s="186">
        <v>41939</v>
      </c>
      <c r="BU388" s="186">
        <v>41941</v>
      </c>
      <c r="BV388" s="186">
        <v>41943</v>
      </c>
      <c r="BW388" s="186">
        <v>41946</v>
      </c>
      <c r="BX388" s="186">
        <v>41948</v>
      </c>
      <c r="BY388" s="186">
        <v>41950</v>
      </c>
      <c r="BZ388" s="186">
        <v>41953</v>
      </c>
      <c r="CA388" s="186">
        <v>41955</v>
      </c>
      <c r="CB388" s="186">
        <v>41957</v>
      </c>
      <c r="CC388" s="186">
        <v>41960</v>
      </c>
      <c r="CD388" s="186">
        <v>41962</v>
      </c>
      <c r="CE388" s="186">
        <v>41964</v>
      </c>
      <c r="CF388" s="186">
        <v>41967</v>
      </c>
      <c r="CG388" s="186">
        <v>41969</v>
      </c>
      <c r="CH388" s="186">
        <v>41971</v>
      </c>
      <c r="CI388" s="186">
        <v>41971</v>
      </c>
      <c r="CJ388" s="186">
        <v>41971</v>
      </c>
      <c r="CK388" s="186">
        <v>41971</v>
      </c>
      <c r="CL388" s="186">
        <v>41971</v>
      </c>
      <c r="CM388" s="186">
        <v>41971</v>
      </c>
      <c r="CN388" s="186">
        <v>41971</v>
      </c>
      <c r="CO388" s="186">
        <v>41971</v>
      </c>
      <c r="CP388" s="186">
        <v>41971</v>
      </c>
      <c r="CQ388" s="186">
        <v>41971</v>
      </c>
      <c r="CR388" s="186">
        <v>41971</v>
      </c>
      <c r="CS388" s="186">
        <v>41971</v>
      </c>
      <c r="CT388" s="186">
        <v>41971</v>
      </c>
      <c r="CU388" s="186">
        <v>41971</v>
      </c>
      <c r="CV388" s="186">
        <v>41971</v>
      </c>
      <c r="CW388" s="186">
        <v>41971</v>
      </c>
      <c r="CX388" s="186">
        <v>41971</v>
      </c>
      <c r="CY388" s="186">
        <v>41971</v>
      </c>
      <c r="CZ388" s="186">
        <v>41971</v>
      </c>
      <c r="DA388" s="186">
        <v>41971</v>
      </c>
      <c r="DB388" s="186">
        <v>41971</v>
      </c>
      <c r="DC388" s="186">
        <v>41971</v>
      </c>
      <c r="DD388" s="186">
        <v>41971</v>
      </c>
      <c r="DE388" s="186">
        <v>41971</v>
      </c>
      <c r="DF388" s="186">
        <v>41971</v>
      </c>
      <c r="DG388" s="186">
        <v>41971</v>
      </c>
      <c r="DH388" s="186">
        <v>41971</v>
      </c>
      <c r="DI388" s="186">
        <v>41971</v>
      </c>
      <c r="DJ388" s="186">
        <v>41971</v>
      </c>
      <c r="DK388" s="186">
        <v>41971</v>
      </c>
      <c r="DL388" s="186">
        <v>41971</v>
      </c>
      <c r="DM388" s="186">
        <v>41971</v>
      </c>
      <c r="DN388" s="186">
        <v>41971</v>
      </c>
      <c r="DO388" s="186">
        <v>41971</v>
      </c>
      <c r="DP388" s="186">
        <v>41971</v>
      </c>
      <c r="DQ388" s="186">
        <v>41971</v>
      </c>
      <c r="DR388" s="186">
        <v>41971</v>
      </c>
      <c r="DS388" s="186">
        <v>41971</v>
      </c>
      <c r="DT388" s="186">
        <v>41971</v>
      </c>
    </row>
    <row r="389" spans="1:124" ht="21.75" customHeight="1">
      <c r="A389" s="311"/>
      <c r="B389" s="179"/>
      <c r="C389" s="180"/>
      <c r="D389" s="181"/>
      <c r="E389" s="186"/>
      <c r="F389" s="281"/>
      <c r="G389" s="281"/>
      <c r="H389" s="281"/>
      <c r="I389" s="186"/>
      <c r="J389" s="186"/>
      <c r="K389" s="186"/>
      <c r="L389" s="186"/>
      <c r="M389" s="186"/>
      <c r="N389" s="186"/>
      <c r="O389" s="186"/>
      <c r="P389" s="186"/>
      <c r="Q389" s="186"/>
      <c r="R389" s="186"/>
      <c r="S389" s="186"/>
      <c r="T389" s="186"/>
      <c r="U389" s="186"/>
      <c r="V389" s="186"/>
      <c r="W389" s="186"/>
      <c r="X389" s="186"/>
      <c r="Y389" s="186"/>
      <c r="Z389" s="186"/>
      <c r="AA389" s="186"/>
      <c r="AB389" s="186"/>
      <c r="AC389" s="186"/>
      <c r="AD389" s="186"/>
      <c r="AE389" s="186"/>
      <c r="AF389" s="186"/>
      <c r="AG389" s="186"/>
      <c r="AH389" s="186"/>
      <c r="AI389" s="186"/>
      <c r="AJ389" s="186"/>
      <c r="AK389" s="186"/>
      <c r="AL389" s="186"/>
      <c r="AM389" s="186"/>
      <c r="AN389" s="186"/>
      <c r="AO389" s="186"/>
      <c r="AP389" s="186"/>
      <c r="AQ389" s="186"/>
      <c r="AR389" s="186"/>
      <c r="AS389" s="183"/>
      <c r="AT389" s="183"/>
      <c r="AU389" s="183"/>
      <c r="AV389" s="183"/>
      <c r="AW389" s="183"/>
      <c r="AX389" s="183"/>
      <c r="AY389" s="195"/>
      <c r="AZ389" s="186"/>
      <c r="BA389" s="186"/>
      <c r="BB389" s="186"/>
      <c r="BC389" s="186"/>
      <c r="BD389" s="186"/>
      <c r="BE389" s="186"/>
      <c r="BF389" s="186"/>
      <c r="BG389" s="186"/>
      <c r="BH389" s="186"/>
      <c r="BI389" s="186"/>
      <c r="BJ389" s="186"/>
      <c r="BK389" s="186"/>
      <c r="BL389" s="186"/>
      <c r="BM389" s="186"/>
      <c r="BN389" s="186"/>
      <c r="BO389" s="186"/>
      <c r="BP389" s="186"/>
      <c r="BQ389" s="186"/>
      <c r="BR389" s="186"/>
      <c r="BS389" s="186"/>
      <c r="BT389" s="186"/>
      <c r="BU389" s="186"/>
      <c r="BV389" s="186"/>
      <c r="BW389" s="186"/>
      <c r="BX389" s="186"/>
      <c r="BY389" s="186"/>
      <c r="BZ389" s="186"/>
      <c r="CA389" s="186"/>
      <c r="CB389" s="186"/>
      <c r="CC389" s="186"/>
      <c r="CD389" s="186"/>
      <c r="CE389" s="186"/>
      <c r="CF389" s="186"/>
      <c r="CG389" s="186"/>
      <c r="CH389" s="186"/>
      <c r="CI389" s="186"/>
      <c r="CJ389" s="186"/>
      <c r="CK389" s="186"/>
      <c r="CL389" s="186"/>
      <c r="CM389" s="186"/>
      <c r="CN389" s="186"/>
      <c r="CO389" s="186"/>
      <c r="CP389" s="186"/>
      <c r="CQ389" s="186"/>
      <c r="CR389" s="186"/>
      <c r="CS389" s="186"/>
      <c r="CT389" s="186"/>
      <c r="CU389" s="186"/>
      <c r="CV389" s="186"/>
      <c r="CW389" s="186"/>
      <c r="CX389" s="186"/>
      <c r="CY389" s="186"/>
      <c r="CZ389" s="186"/>
      <c r="DA389" s="186"/>
      <c r="DB389" s="186"/>
      <c r="DC389" s="186"/>
      <c r="DD389" s="186"/>
      <c r="DE389" s="186"/>
      <c r="DF389" s="186"/>
      <c r="DG389" s="186"/>
      <c r="DH389" s="186"/>
      <c r="DI389" s="186"/>
      <c r="DJ389" s="186"/>
      <c r="DK389" s="186"/>
      <c r="DL389" s="186"/>
      <c r="DM389" s="186"/>
      <c r="DN389" s="186"/>
      <c r="DO389" s="186"/>
      <c r="DP389" s="186"/>
      <c r="DQ389" s="186"/>
      <c r="DR389" s="186"/>
      <c r="DS389" s="186"/>
      <c r="DT389" s="186"/>
    </row>
    <row r="390" spans="1:124" ht="21.75" customHeight="1">
      <c r="A390" s="311"/>
      <c r="B390" s="179"/>
      <c r="C390" s="180"/>
      <c r="D390" s="181"/>
      <c r="E390" s="186"/>
      <c r="F390" s="281"/>
      <c r="G390" s="281"/>
      <c r="H390" s="281"/>
      <c r="I390" s="186"/>
      <c r="J390" s="186"/>
      <c r="K390" s="186"/>
      <c r="L390" s="186"/>
      <c r="M390" s="186"/>
      <c r="N390" s="186"/>
      <c r="O390" s="186"/>
      <c r="P390" s="186"/>
      <c r="Q390" s="186"/>
      <c r="R390" s="186"/>
      <c r="S390" s="186"/>
      <c r="T390" s="186"/>
      <c r="U390" s="186"/>
      <c r="V390" s="186"/>
      <c r="W390" s="186"/>
      <c r="X390" s="186"/>
      <c r="Y390" s="186"/>
      <c r="Z390" s="186"/>
      <c r="AA390" s="186"/>
      <c r="AB390" s="186"/>
      <c r="AC390" s="186"/>
      <c r="AD390" s="186"/>
      <c r="AE390" s="186"/>
      <c r="AF390" s="186"/>
      <c r="AG390" s="186"/>
      <c r="AH390" s="186"/>
      <c r="AI390" s="186"/>
      <c r="AJ390" s="186"/>
      <c r="AK390" s="186"/>
      <c r="AL390" s="186"/>
      <c r="AM390" s="186"/>
      <c r="AN390" s="186"/>
      <c r="AO390" s="186"/>
      <c r="AP390" s="186"/>
      <c r="AQ390" s="186"/>
      <c r="AR390" s="186"/>
      <c r="AS390" s="183"/>
      <c r="AT390" s="183"/>
      <c r="AU390" s="183"/>
      <c r="AV390" s="183"/>
      <c r="AW390" s="183"/>
      <c r="AX390" s="183"/>
      <c r="AY390" s="195"/>
      <c r="AZ390" s="186"/>
      <c r="BA390" s="186"/>
      <c r="BB390" s="186"/>
      <c r="BC390" s="186"/>
      <c r="BD390" s="186"/>
      <c r="BE390" s="186"/>
      <c r="BF390" s="186"/>
      <c r="BG390" s="186"/>
      <c r="BH390" s="186"/>
      <c r="BI390" s="186"/>
      <c r="BJ390" s="186"/>
      <c r="BK390" s="186"/>
      <c r="BL390" s="186"/>
      <c r="BM390" s="186"/>
      <c r="BN390" s="186"/>
      <c r="BO390" s="186"/>
      <c r="BP390" s="186"/>
      <c r="BQ390" s="186"/>
      <c r="BR390" s="186"/>
      <c r="BS390" s="186"/>
      <c r="BT390" s="186"/>
      <c r="BU390" s="186"/>
      <c r="BV390" s="186"/>
      <c r="BW390" s="186"/>
      <c r="BX390" s="186"/>
      <c r="BY390" s="186"/>
      <c r="BZ390" s="186"/>
      <c r="CA390" s="186"/>
      <c r="CB390" s="186"/>
      <c r="CC390" s="186"/>
      <c r="CD390" s="186"/>
      <c r="CE390" s="186"/>
      <c r="CF390" s="186"/>
      <c r="CG390" s="186"/>
      <c r="CH390" s="186"/>
      <c r="CI390" s="186"/>
      <c r="CJ390" s="186"/>
      <c r="CK390" s="186"/>
      <c r="CL390" s="186"/>
      <c r="CM390" s="186"/>
      <c r="CN390" s="186"/>
      <c r="CO390" s="186"/>
      <c r="CP390" s="186"/>
      <c r="CQ390" s="186"/>
      <c r="CR390" s="186"/>
      <c r="CS390" s="186"/>
      <c r="CT390" s="186"/>
      <c r="CU390" s="186"/>
      <c r="CV390" s="186"/>
      <c r="CW390" s="186"/>
      <c r="CX390" s="186"/>
      <c r="CY390" s="186"/>
      <c r="CZ390" s="186"/>
      <c r="DA390" s="186"/>
      <c r="DB390" s="186"/>
      <c r="DC390" s="186"/>
      <c r="DD390" s="186"/>
      <c r="DE390" s="186"/>
      <c r="DF390" s="186"/>
      <c r="DG390" s="186"/>
      <c r="DH390" s="186"/>
      <c r="DI390" s="186"/>
      <c r="DJ390" s="186"/>
      <c r="DK390" s="186"/>
      <c r="DL390" s="186"/>
      <c r="DM390" s="186"/>
      <c r="DN390" s="186"/>
      <c r="DO390" s="186"/>
      <c r="DP390" s="186"/>
      <c r="DQ390" s="186"/>
      <c r="DR390" s="186"/>
      <c r="DS390" s="186"/>
      <c r="DT390" s="186"/>
    </row>
    <row r="391" spans="1:124" ht="21.75" customHeight="1">
      <c r="A391" s="311"/>
      <c r="B391" s="179"/>
      <c r="C391" s="180"/>
      <c r="D391" s="181"/>
      <c r="E391" s="186"/>
      <c r="F391" s="281"/>
      <c r="G391" s="281"/>
      <c r="H391" s="281"/>
      <c r="I391" s="186"/>
      <c r="J391" s="186"/>
      <c r="K391" s="186"/>
      <c r="L391" s="186"/>
      <c r="M391" s="186"/>
      <c r="N391" s="186"/>
      <c r="O391" s="186"/>
      <c r="P391" s="186"/>
      <c r="Q391" s="186"/>
      <c r="R391" s="186"/>
      <c r="S391" s="186"/>
      <c r="T391" s="186"/>
      <c r="U391" s="186"/>
      <c r="V391" s="186"/>
      <c r="W391" s="186"/>
      <c r="X391" s="186"/>
      <c r="Y391" s="186"/>
      <c r="Z391" s="186"/>
      <c r="AA391" s="186"/>
      <c r="AB391" s="186"/>
      <c r="AC391" s="186"/>
      <c r="AD391" s="186"/>
      <c r="AE391" s="186"/>
      <c r="AF391" s="186"/>
      <c r="AG391" s="186"/>
      <c r="AH391" s="186"/>
      <c r="AI391" s="186"/>
      <c r="AJ391" s="186"/>
      <c r="AK391" s="186"/>
      <c r="AL391" s="186"/>
      <c r="AM391" s="186"/>
      <c r="AN391" s="186"/>
      <c r="AO391" s="186"/>
      <c r="AP391" s="186"/>
      <c r="AQ391" s="186"/>
      <c r="AR391" s="186"/>
      <c r="AS391" s="183"/>
      <c r="AT391" s="183"/>
      <c r="AU391" s="183"/>
      <c r="AV391" s="183"/>
      <c r="AW391" s="183"/>
      <c r="AX391" s="183"/>
      <c r="AY391" s="195"/>
      <c r="AZ391" s="186"/>
      <c r="BA391" s="186"/>
      <c r="BB391" s="186"/>
      <c r="BC391" s="186"/>
      <c r="BD391" s="186"/>
      <c r="BE391" s="186"/>
      <c r="BF391" s="186"/>
      <c r="BG391" s="186"/>
      <c r="BH391" s="186"/>
      <c r="BI391" s="186"/>
      <c r="BJ391" s="186"/>
      <c r="BK391" s="186"/>
      <c r="BL391" s="186"/>
      <c r="BM391" s="186"/>
      <c r="BN391" s="186"/>
      <c r="BO391" s="186"/>
      <c r="BP391" s="186"/>
      <c r="BQ391" s="186"/>
      <c r="BR391" s="186"/>
      <c r="BS391" s="186"/>
      <c r="BT391" s="186"/>
      <c r="BU391" s="186"/>
      <c r="BV391" s="186"/>
      <c r="BW391" s="186"/>
      <c r="BX391" s="186"/>
      <c r="BY391" s="186"/>
      <c r="BZ391" s="186"/>
      <c r="CA391" s="186"/>
      <c r="CB391" s="186"/>
      <c r="CC391" s="186"/>
      <c r="CD391" s="186"/>
      <c r="CE391" s="186"/>
      <c r="CF391" s="186"/>
      <c r="CG391" s="186"/>
      <c r="CH391" s="186"/>
      <c r="CI391" s="186"/>
      <c r="CJ391" s="186"/>
      <c r="CK391" s="186"/>
      <c r="CL391" s="186"/>
      <c r="CM391" s="186"/>
      <c r="CN391" s="186"/>
      <c r="CO391" s="186"/>
      <c r="CP391" s="186"/>
      <c r="CQ391" s="186"/>
      <c r="CR391" s="186"/>
      <c r="CS391" s="186"/>
      <c r="CT391" s="186"/>
      <c r="CU391" s="186"/>
      <c r="CV391" s="186"/>
      <c r="CW391" s="186"/>
      <c r="CX391" s="186"/>
      <c r="CY391" s="186"/>
      <c r="CZ391" s="186"/>
      <c r="DA391" s="186"/>
      <c r="DB391" s="186"/>
      <c r="DC391" s="186"/>
      <c r="DD391" s="186"/>
      <c r="DE391" s="186"/>
      <c r="DF391" s="186"/>
      <c r="DG391" s="186"/>
      <c r="DH391" s="186"/>
      <c r="DI391" s="186"/>
      <c r="DJ391" s="186"/>
      <c r="DK391" s="186"/>
      <c r="DL391" s="186"/>
      <c r="DM391" s="186"/>
      <c r="DN391" s="186"/>
      <c r="DO391" s="186"/>
      <c r="DP391" s="186"/>
      <c r="DQ391" s="186"/>
      <c r="DR391" s="186"/>
      <c r="DS391" s="186"/>
      <c r="DT391" s="186"/>
    </row>
    <row r="392" spans="1:124" ht="21.75" customHeight="1">
      <c r="A392" s="311"/>
      <c r="B392" s="199" t="s">
        <v>365</v>
      </c>
      <c r="C392" s="200"/>
      <c r="D392" s="201"/>
      <c r="E392" s="186"/>
      <c r="F392" s="281"/>
      <c r="G392" s="281"/>
      <c r="H392" s="281"/>
      <c r="I392" s="186"/>
      <c r="J392" s="186"/>
      <c r="K392" s="186"/>
      <c r="L392" s="186"/>
      <c r="M392" s="186"/>
      <c r="N392" s="186"/>
      <c r="O392" s="186"/>
      <c r="P392" s="186"/>
      <c r="Q392" s="186"/>
      <c r="R392" s="186"/>
      <c r="S392" s="186"/>
      <c r="T392" s="186"/>
      <c r="U392" s="186"/>
      <c r="V392" s="186"/>
      <c r="W392" s="186"/>
      <c r="X392" s="186"/>
      <c r="Y392" s="186"/>
      <c r="Z392" s="186"/>
      <c r="AA392" s="186"/>
      <c r="AB392" s="186"/>
      <c r="AC392" s="186"/>
      <c r="AD392" s="186"/>
      <c r="AE392" s="186"/>
      <c r="AF392" s="186"/>
      <c r="AG392" s="186"/>
      <c r="AH392" s="186"/>
      <c r="AI392" s="186"/>
      <c r="AJ392" s="186"/>
      <c r="AK392" s="186"/>
      <c r="AL392" s="186"/>
      <c r="AM392" s="186"/>
      <c r="AN392" s="186"/>
      <c r="AO392" s="186"/>
      <c r="AP392" s="186"/>
      <c r="AQ392" s="186"/>
      <c r="AR392" s="186"/>
      <c r="AS392" s="183"/>
      <c r="AT392" s="183"/>
      <c r="AU392" s="183"/>
      <c r="AV392" s="183"/>
      <c r="AW392" s="183"/>
      <c r="AX392" s="183"/>
      <c r="AY392" s="195"/>
      <c r="AZ392" s="186"/>
      <c r="BA392" s="186"/>
      <c r="BB392" s="186"/>
      <c r="BC392" s="186"/>
      <c r="BD392" s="186"/>
      <c r="BE392" s="186"/>
      <c r="BF392" s="186"/>
      <c r="BG392" s="186"/>
      <c r="BH392" s="186"/>
      <c r="BI392" s="186"/>
      <c r="BJ392" s="186"/>
      <c r="BK392" s="186"/>
      <c r="BL392" s="186"/>
      <c r="BM392" s="186"/>
      <c r="BN392" s="186"/>
      <c r="BO392" s="186"/>
      <c r="BP392" s="186"/>
      <c r="BQ392" s="186"/>
      <c r="BR392" s="186"/>
      <c r="BS392" s="186"/>
      <c r="BT392" s="186"/>
      <c r="BU392" s="186"/>
      <c r="BV392" s="186"/>
      <c r="BW392" s="186"/>
      <c r="BX392" s="186"/>
      <c r="BY392" s="186"/>
      <c r="BZ392" s="186"/>
      <c r="CA392" s="186"/>
      <c r="CB392" s="186"/>
      <c r="CC392" s="186"/>
      <c r="CD392" s="186"/>
      <c r="CE392" s="186"/>
      <c r="CF392" s="186"/>
      <c r="CG392" s="186"/>
      <c r="CH392" s="186"/>
      <c r="CI392" s="186"/>
      <c r="CJ392" s="186"/>
      <c r="CK392" s="186"/>
      <c r="CL392" s="186"/>
      <c r="CM392" s="186"/>
      <c r="CN392" s="186"/>
      <c r="CO392" s="186"/>
      <c r="CP392" s="186"/>
      <c r="CQ392" s="186"/>
      <c r="CR392" s="186"/>
      <c r="CS392" s="186"/>
      <c r="CT392" s="186"/>
      <c r="CU392" s="186"/>
      <c r="CV392" s="186"/>
      <c r="CW392" s="186"/>
      <c r="CX392" s="186"/>
      <c r="CY392" s="186"/>
      <c r="CZ392" s="186"/>
      <c r="DA392" s="186"/>
      <c r="DB392" s="186"/>
      <c r="DC392" s="186"/>
      <c r="DD392" s="186"/>
      <c r="DE392" s="186"/>
      <c r="DF392" s="186"/>
      <c r="DG392" s="186"/>
      <c r="DH392" s="186"/>
      <c r="DI392" s="186"/>
      <c r="DJ392" s="186"/>
      <c r="DK392" s="186"/>
      <c r="DL392" s="186"/>
      <c r="DM392" s="186"/>
      <c r="DN392" s="186"/>
      <c r="DO392" s="186"/>
      <c r="DP392" s="186"/>
      <c r="DQ392" s="186"/>
      <c r="DR392" s="186"/>
      <c r="DS392" s="186"/>
      <c r="DT392" s="186"/>
    </row>
    <row r="393" spans="1:124" ht="21.75" customHeight="1" thickBot="1">
      <c r="A393" s="311"/>
      <c r="B393" s="202"/>
      <c r="C393" s="203"/>
      <c r="D393" s="204"/>
      <c r="E393" s="187"/>
      <c r="F393" s="282"/>
      <c r="G393" s="282"/>
      <c r="H393" s="282"/>
      <c r="I393" s="187"/>
      <c r="J393" s="187"/>
      <c r="K393" s="187"/>
      <c r="L393" s="187"/>
      <c r="M393" s="187"/>
      <c r="N393" s="187"/>
      <c r="O393" s="187"/>
      <c r="P393" s="187"/>
      <c r="Q393" s="187"/>
      <c r="R393" s="187"/>
      <c r="S393" s="187"/>
      <c r="T393" s="187"/>
      <c r="U393" s="187"/>
      <c r="V393" s="187"/>
      <c r="W393" s="187"/>
      <c r="X393" s="187"/>
      <c r="Y393" s="187"/>
      <c r="Z393" s="187"/>
      <c r="AA393" s="187"/>
      <c r="AB393" s="187"/>
      <c r="AC393" s="187"/>
      <c r="AD393" s="187"/>
      <c r="AE393" s="187"/>
      <c r="AF393" s="187"/>
      <c r="AG393" s="187"/>
      <c r="AH393" s="187"/>
      <c r="AI393" s="187"/>
      <c r="AJ393" s="187"/>
      <c r="AK393" s="187"/>
      <c r="AL393" s="187"/>
      <c r="AM393" s="187"/>
      <c r="AN393" s="187"/>
      <c r="AO393" s="187"/>
      <c r="AP393" s="186"/>
      <c r="AQ393" s="186"/>
      <c r="AR393" s="186"/>
      <c r="AS393" s="184"/>
      <c r="AT393" s="184"/>
      <c r="AU393" s="184"/>
      <c r="AV393" s="184"/>
      <c r="AW393" s="184"/>
      <c r="AX393" s="184"/>
      <c r="AY393" s="196"/>
      <c r="AZ393" s="187"/>
      <c r="BA393" s="187"/>
      <c r="BB393" s="186"/>
      <c r="BC393" s="186"/>
      <c r="BD393" s="186"/>
      <c r="BE393" s="186"/>
      <c r="BF393" s="186"/>
      <c r="BG393" s="186"/>
      <c r="BH393" s="186"/>
      <c r="BI393" s="186"/>
      <c r="BJ393" s="186"/>
      <c r="BK393" s="186"/>
      <c r="BL393" s="186"/>
      <c r="BM393" s="186"/>
      <c r="BN393" s="186"/>
      <c r="BO393" s="186"/>
      <c r="BP393" s="186"/>
      <c r="BQ393" s="186"/>
      <c r="BR393" s="186"/>
      <c r="BS393" s="186"/>
      <c r="BT393" s="186"/>
      <c r="BU393" s="186"/>
      <c r="BV393" s="186"/>
      <c r="BW393" s="186"/>
      <c r="BX393" s="186"/>
      <c r="BY393" s="186"/>
      <c r="BZ393" s="186"/>
      <c r="CA393" s="186"/>
      <c r="CB393" s="186"/>
      <c r="CC393" s="186"/>
      <c r="CD393" s="186"/>
      <c r="CE393" s="186"/>
      <c r="CF393" s="186"/>
      <c r="CG393" s="186"/>
      <c r="CH393" s="186"/>
      <c r="CI393" s="186"/>
      <c r="CJ393" s="186"/>
      <c r="CK393" s="186"/>
      <c r="CL393" s="186"/>
      <c r="CM393" s="186"/>
      <c r="CN393" s="186"/>
      <c r="CO393" s="186"/>
      <c r="CP393" s="186"/>
      <c r="CQ393" s="186"/>
      <c r="CR393" s="186"/>
      <c r="CS393" s="186"/>
      <c r="CT393" s="186"/>
      <c r="CU393" s="186"/>
      <c r="CV393" s="186"/>
      <c r="CW393" s="186"/>
      <c r="CX393" s="186"/>
      <c r="CY393" s="186"/>
      <c r="CZ393" s="186"/>
      <c r="DA393" s="186"/>
      <c r="DB393" s="186"/>
      <c r="DC393" s="186"/>
      <c r="DD393" s="186"/>
      <c r="DE393" s="186"/>
      <c r="DF393" s="186"/>
      <c r="DG393" s="186"/>
      <c r="DH393" s="186"/>
      <c r="DI393" s="186"/>
      <c r="DJ393" s="186"/>
      <c r="DK393" s="186"/>
      <c r="DL393" s="186"/>
      <c r="DM393" s="186"/>
      <c r="DN393" s="186"/>
      <c r="DO393" s="186"/>
      <c r="DP393" s="186"/>
      <c r="DQ393" s="186"/>
      <c r="DR393" s="186"/>
      <c r="DS393" s="186"/>
      <c r="DT393" s="186"/>
    </row>
    <row r="394" spans="1:124" s="55" customFormat="1" ht="21.75" customHeight="1">
      <c r="A394" s="311"/>
      <c r="B394" s="205" t="s">
        <v>366</v>
      </c>
      <c r="C394" s="206"/>
      <c r="D394" s="206"/>
      <c r="E394" s="197"/>
      <c r="F394" s="197" t="s">
        <v>40</v>
      </c>
      <c r="G394" s="197" t="s">
        <v>40</v>
      </c>
      <c r="H394" s="197" t="s">
        <v>40</v>
      </c>
      <c r="I394" s="197" t="s">
        <v>57</v>
      </c>
      <c r="J394" s="197" t="s">
        <v>57</v>
      </c>
      <c r="K394" s="197" t="s">
        <v>57</v>
      </c>
      <c r="L394" s="197"/>
      <c r="M394" s="197"/>
      <c r="N394" s="197"/>
      <c r="O394" s="197"/>
      <c r="P394" s="197"/>
      <c r="Q394" s="197"/>
      <c r="R394" s="197"/>
      <c r="S394" s="197"/>
      <c r="T394" s="197"/>
      <c r="U394" s="197"/>
      <c r="V394" s="197"/>
      <c r="W394" s="197"/>
      <c r="X394" s="197"/>
      <c r="Y394" s="197"/>
      <c r="Z394" s="197"/>
      <c r="AA394" s="197"/>
      <c r="AB394" s="197"/>
      <c r="AC394" s="197"/>
      <c r="AD394" s="209" t="s">
        <v>58</v>
      </c>
      <c r="AE394" s="211"/>
      <c r="AF394" s="211"/>
      <c r="AG394" s="197"/>
      <c r="AH394" s="211"/>
      <c r="AI394" s="211"/>
      <c r="AJ394" s="211"/>
      <c r="AK394" s="211"/>
      <c r="AL394" s="211"/>
      <c r="AM394" s="211"/>
      <c r="AN394" s="197"/>
      <c r="AO394" s="209" t="s">
        <v>58</v>
      </c>
      <c r="AP394" s="197"/>
      <c r="AQ394" s="197"/>
      <c r="AR394" s="197"/>
      <c r="AS394" s="197"/>
      <c r="AT394" s="197"/>
      <c r="AU394" s="197"/>
      <c r="AV394" s="197"/>
      <c r="AW394" s="197"/>
      <c r="AX394" s="197"/>
      <c r="AY394" s="197"/>
      <c r="AZ394" s="197"/>
      <c r="BA394" s="197"/>
      <c r="BB394" s="283" t="s">
        <v>160</v>
      </c>
      <c r="BC394" s="283" t="s">
        <v>160</v>
      </c>
      <c r="BD394" s="283" t="s">
        <v>160</v>
      </c>
      <c r="BE394" s="257"/>
      <c r="BF394" s="257"/>
      <c r="BG394" s="257"/>
      <c r="BH394" s="257"/>
      <c r="BI394" s="257"/>
      <c r="BJ394" s="257"/>
      <c r="BK394" s="257"/>
      <c r="BL394" s="257"/>
      <c r="BM394" s="257"/>
      <c r="BN394" s="257"/>
      <c r="BO394" s="257"/>
      <c r="BP394" s="257"/>
      <c r="BQ394" s="257"/>
      <c r="BR394" s="257"/>
      <c r="BS394" s="257"/>
      <c r="BT394" s="257"/>
      <c r="BU394" s="257"/>
      <c r="BV394" s="257"/>
      <c r="BW394" s="257"/>
      <c r="BX394" s="257"/>
      <c r="BY394" s="257"/>
      <c r="BZ394" s="257"/>
      <c r="CA394" s="257"/>
      <c r="CB394" s="257"/>
      <c r="CC394" s="257"/>
      <c r="CD394" s="257"/>
      <c r="CE394" s="257"/>
      <c r="CF394" s="257"/>
      <c r="CG394" s="257"/>
      <c r="CH394" s="257"/>
      <c r="CI394" s="257"/>
      <c r="CJ394" s="257"/>
      <c r="CK394" s="257"/>
      <c r="CL394" s="257"/>
      <c r="CM394" s="257"/>
      <c r="CN394" s="257"/>
      <c r="CO394" s="257"/>
      <c r="CP394" s="257"/>
      <c r="CQ394" s="257"/>
      <c r="CR394" s="257"/>
      <c r="CS394" s="257"/>
      <c r="CT394" s="257"/>
      <c r="CU394" s="257"/>
      <c r="CV394" s="257"/>
      <c r="CW394" s="257"/>
      <c r="CX394" s="257"/>
      <c r="CY394" s="257"/>
      <c r="CZ394" s="257"/>
      <c r="DA394" s="257"/>
      <c r="DB394" s="257"/>
      <c r="DC394" s="257"/>
      <c r="DD394" s="257"/>
      <c r="DE394" s="257"/>
      <c r="DF394" s="257"/>
      <c r="DG394" s="257"/>
      <c r="DH394" s="257"/>
      <c r="DI394" s="257"/>
      <c r="DJ394" s="257"/>
      <c r="DK394" s="257"/>
      <c r="DL394" s="257"/>
      <c r="DM394" s="257"/>
      <c r="DN394" s="257"/>
      <c r="DO394" s="197"/>
      <c r="DP394" s="197"/>
      <c r="DQ394" s="197"/>
      <c r="DR394" s="197"/>
      <c r="DS394" s="197"/>
      <c r="DT394" s="197"/>
    </row>
    <row r="395" spans="1:124" s="55" customFormat="1" ht="21.75" customHeight="1">
      <c r="A395" s="311"/>
      <c r="B395" s="207"/>
      <c r="C395" s="208"/>
      <c r="D395" s="208"/>
      <c r="E395" s="198"/>
      <c r="F395" s="198"/>
      <c r="G395" s="198"/>
      <c r="H395" s="198"/>
      <c r="I395" s="198"/>
      <c r="J395" s="198"/>
      <c r="K395" s="198"/>
      <c r="L395" s="198"/>
      <c r="M395" s="198"/>
      <c r="N395" s="198"/>
      <c r="O395" s="198"/>
      <c r="P395" s="198"/>
      <c r="Q395" s="198"/>
      <c r="R395" s="198"/>
      <c r="S395" s="198"/>
      <c r="T395" s="198"/>
      <c r="U395" s="198"/>
      <c r="V395" s="198"/>
      <c r="W395" s="198"/>
      <c r="X395" s="198"/>
      <c r="Y395" s="198"/>
      <c r="Z395" s="198"/>
      <c r="AA395" s="198"/>
      <c r="AB395" s="198"/>
      <c r="AC395" s="198"/>
      <c r="AD395" s="210"/>
      <c r="AE395" s="212"/>
      <c r="AF395" s="212"/>
      <c r="AG395" s="198"/>
      <c r="AH395" s="212"/>
      <c r="AI395" s="212"/>
      <c r="AJ395" s="212"/>
      <c r="AK395" s="212"/>
      <c r="AL395" s="212"/>
      <c r="AM395" s="212"/>
      <c r="AN395" s="198"/>
      <c r="AO395" s="210"/>
      <c r="AP395" s="198"/>
      <c r="AQ395" s="198"/>
      <c r="AR395" s="198"/>
      <c r="AS395" s="198"/>
      <c r="AT395" s="198"/>
      <c r="AU395" s="198"/>
      <c r="AV395" s="198"/>
      <c r="AW395" s="198"/>
      <c r="AX395" s="198"/>
      <c r="AY395" s="198"/>
      <c r="AZ395" s="198"/>
      <c r="BA395" s="198"/>
      <c r="BB395" s="284"/>
      <c r="BC395" s="284"/>
      <c r="BD395" s="284"/>
      <c r="BE395" s="258"/>
      <c r="BF395" s="258"/>
      <c r="BG395" s="258"/>
      <c r="BH395" s="258"/>
      <c r="BI395" s="258"/>
      <c r="BJ395" s="258"/>
      <c r="BK395" s="258"/>
      <c r="BL395" s="258"/>
      <c r="BM395" s="258"/>
      <c r="BN395" s="258"/>
      <c r="BO395" s="258"/>
      <c r="BP395" s="258"/>
      <c r="BQ395" s="258"/>
      <c r="BR395" s="258"/>
      <c r="BS395" s="258"/>
      <c r="BT395" s="258"/>
      <c r="BU395" s="258"/>
      <c r="BV395" s="258"/>
      <c r="BW395" s="258"/>
      <c r="BX395" s="258"/>
      <c r="BY395" s="258"/>
      <c r="BZ395" s="258"/>
      <c r="CA395" s="258"/>
      <c r="CB395" s="258"/>
      <c r="CC395" s="258"/>
      <c r="CD395" s="258"/>
      <c r="CE395" s="258"/>
      <c r="CF395" s="258"/>
      <c r="CG395" s="258"/>
      <c r="CH395" s="258"/>
      <c r="CI395" s="258"/>
      <c r="CJ395" s="258"/>
      <c r="CK395" s="258"/>
      <c r="CL395" s="258"/>
      <c r="CM395" s="258"/>
      <c r="CN395" s="258"/>
      <c r="CO395" s="258"/>
      <c r="CP395" s="258"/>
      <c r="CQ395" s="258"/>
      <c r="CR395" s="258"/>
      <c r="CS395" s="258"/>
      <c r="CT395" s="258"/>
      <c r="CU395" s="258"/>
      <c r="CV395" s="258"/>
      <c r="CW395" s="258"/>
      <c r="CX395" s="258"/>
      <c r="CY395" s="258"/>
      <c r="CZ395" s="258"/>
      <c r="DA395" s="258"/>
      <c r="DB395" s="258"/>
      <c r="DC395" s="258"/>
      <c r="DD395" s="258"/>
      <c r="DE395" s="258"/>
      <c r="DF395" s="258"/>
      <c r="DG395" s="258"/>
      <c r="DH395" s="258"/>
      <c r="DI395" s="258"/>
      <c r="DJ395" s="258"/>
      <c r="DK395" s="258"/>
      <c r="DL395" s="258"/>
      <c r="DM395" s="258"/>
      <c r="DN395" s="258"/>
      <c r="DO395" s="198"/>
      <c r="DP395" s="198"/>
      <c r="DQ395" s="198"/>
      <c r="DR395" s="198"/>
      <c r="DS395" s="198"/>
      <c r="DT395" s="198"/>
    </row>
    <row r="396" spans="1:124" ht="21.75" customHeight="1">
      <c r="A396" s="311"/>
      <c r="B396" s="221" t="s">
        <v>12</v>
      </c>
      <c r="C396" s="222"/>
      <c r="D396" s="222"/>
      <c r="E396" s="56"/>
      <c r="F396" s="56"/>
      <c r="G396" s="56"/>
      <c r="H396" s="56"/>
      <c r="I396" s="56"/>
      <c r="J396" s="56"/>
      <c r="K396" s="56"/>
      <c r="L396" s="56"/>
      <c r="M396" s="56"/>
      <c r="N396" s="56"/>
      <c r="O396" s="56"/>
      <c r="P396" s="56"/>
      <c r="Q396" s="56"/>
      <c r="R396" s="56"/>
      <c r="S396" s="56"/>
      <c r="T396" s="56"/>
      <c r="U396" s="56"/>
      <c r="V396" s="56"/>
      <c r="W396" s="56"/>
      <c r="X396" s="56">
        <v>79</v>
      </c>
      <c r="Y396" s="56">
        <v>79.099999999999994</v>
      </c>
      <c r="Z396" s="56">
        <v>78.7</v>
      </c>
      <c r="AA396" s="56">
        <v>79.5</v>
      </c>
      <c r="AB396" s="56">
        <v>79.099999999999994</v>
      </c>
      <c r="AC396" s="56">
        <v>79.599999999999994</v>
      </c>
      <c r="AD396" s="57">
        <v>79</v>
      </c>
      <c r="AE396" s="56">
        <v>79.599999999999994</v>
      </c>
      <c r="AF396" s="58">
        <v>79.8</v>
      </c>
      <c r="AG396" s="56">
        <v>80.400000000000006</v>
      </c>
      <c r="AH396" s="56">
        <v>80.599999999999994</v>
      </c>
      <c r="AI396" s="56">
        <v>81.2</v>
      </c>
      <c r="AJ396" s="56">
        <v>82</v>
      </c>
      <c r="AK396" s="56">
        <v>81.400000000000006</v>
      </c>
      <c r="AL396" s="56">
        <v>81.099999999999994</v>
      </c>
      <c r="AM396" s="56">
        <v>82.1</v>
      </c>
      <c r="AN396" s="56">
        <v>82.7</v>
      </c>
      <c r="AO396" s="56">
        <v>81.5</v>
      </c>
      <c r="AP396" s="56"/>
      <c r="AQ396" s="56"/>
      <c r="AR396" s="56"/>
      <c r="AS396" s="56">
        <v>82</v>
      </c>
      <c r="AT396" s="56">
        <v>81.5</v>
      </c>
      <c r="AU396" s="56">
        <v>82.6</v>
      </c>
      <c r="AV396" s="56">
        <v>82.1</v>
      </c>
      <c r="AW396" s="56"/>
      <c r="AX396" s="56"/>
      <c r="AY396" s="56"/>
      <c r="AZ396" s="56"/>
      <c r="BA396" s="56"/>
      <c r="BB396" s="56"/>
      <c r="BC396" s="56"/>
      <c r="BD396" s="56"/>
      <c r="BE396" s="56"/>
      <c r="BF396" s="56"/>
      <c r="BG396" s="56"/>
      <c r="BH396" s="56"/>
      <c r="BI396" s="56"/>
      <c r="BJ396" s="56"/>
      <c r="BK396" s="56"/>
      <c r="BL396" s="56"/>
      <c r="BM396" s="56"/>
      <c r="BN396" s="56"/>
      <c r="BO396" s="56"/>
      <c r="BP396" s="56"/>
      <c r="BQ396" s="56"/>
      <c r="BR396" s="56"/>
      <c r="BS396" s="56"/>
      <c r="BT396" s="56"/>
      <c r="BU396" s="56"/>
      <c r="BV396" s="56"/>
      <c r="BW396" s="56"/>
      <c r="BX396" s="56"/>
      <c r="BY396" s="56"/>
      <c r="BZ396" s="56"/>
      <c r="CA396" s="56"/>
      <c r="CB396" s="56"/>
      <c r="CC396" s="56"/>
      <c r="CD396" s="56"/>
      <c r="CE396" s="56"/>
      <c r="CF396" s="56"/>
      <c r="CG396" s="56"/>
      <c r="CH396" s="56"/>
      <c r="CI396" s="56"/>
      <c r="CJ396" s="56"/>
      <c r="CK396" s="56"/>
      <c r="CL396" s="56"/>
      <c r="CM396" s="56"/>
      <c r="CN396" s="56"/>
      <c r="CO396" s="56"/>
      <c r="CP396" s="56"/>
      <c r="CQ396" s="56"/>
      <c r="CR396" s="56"/>
      <c r="CS396" s="56"/>
      <c r="CT396" s="56"/>
      <c r="CU396" s="56"/>
      <c r="CV396" s="56"/>
      <c r="CW396" s="56"/>
      <c r="CX396" s="56"/>
      <c r="CY396" s="56"/>
      <c r="CZ396" s="56"/>
      <c r="DA396" s="56"/>
      <c r="DB396" s="56"/>
      <c r="DC396" s="56"/>
      <c r="DD396" s="56"/>
      <c r="DE396" s="56"/>
      <c r="DF396" s="56"/>
      <c r="DG396" s="56"/>
      <c r="DH396" s="56"/>
      <c r="DI396" s="56"/>
      <c r="DJ396" s="56"/>
      <c r="DK396" s="56"/>
      <c r="DL396" s="56"/>
      <c r="DM396" s="56"/>
      <c r="DN396" s="56"/>
      <c r="DO396" s="56"/>
      <c r="DP396" s="56"/>
      <c r="DQ396" s="56"/>
      <c r="DR396" s="56"/>
      <c r="DS396" s="56"/>
      <c r="DT396" s="56"/>
    </row>
    <row r="397" spans="1:124" ht="21.75" customHeight="1">
      <c r="A397" s="311"/>
      <c r="B397" s="223" t="s">
        <v>373</v>
      </c>
      <c r="C397" s="224"/>
      <c r="D397" s="224"/>
      <c r="E397" s="219" t="str">
        <f t="shared" ref="E397:BP397" si="11">IF((OR(E396=0,MAX(E400,E402,E406,E410)=0))=TRUE,"",IFERROR((((MAX(E400,E402,E406,E410)+E396)*0.7)-E396),""))</f>
        <v/>
      </c>
      <c r="F397" s="219" t="str">
        <f t="shared" si="11"/>
        <v/>
      </c>
      <c r="G397" s="219" t="str">
        <f t="shared" si="11"/>
        <v/>
      </c>
      <c r="H397" s="219" t="str">
        <f t="shared" si="11"/>
        <v/>
      </c>
      <c r="I397" s="219" t="str">
        <f t="shared" si="11"/>
        <v/>
      </c>
      <c r="J397" s="219" t="str">
        <f t="shared" si="11"/>
        <v/>
      </c>
      <c r="K397" s="219" t="str">
        <f t="shared" si="11"/>
        <v/>
      </c>
      <c r="L397" s="219" t="str">
        <f t="shared" si="11"/>
        <v/>
      </c>
      <c r="M397" s="219" t="str">
        <f t="shared" si="11"/>
        <v/>
      </c>
      <c r="N397" s="219" t="str">
        <f t="shared" si="11"/>
        <v/>
      </c>
      <c r="O397" s="219" t="str">
        <f t="shared" si="11"/>
        <v/>
      </c>
      <c r="P397" s="219" t="str">
        <f t="shared" si="11"/>
        <v/>
      </c>
      <c r="Q397" s="219" t="str">
        <f t="shared" si="11"/>
        <v/>
      </c>
      <c r="R397" s="219" t="str">
        <f t="shared" si="11"/>
        <v/>
      </c>
      <c r="S397" s="219" t="str">
        <f t="shared" si="11"/>
        <v/>
      </c>
      <c r="T397" s="219" t="str">
        <f t="shared" si="11"/>
        <v/>
      </c>
      <c r="U397" s="219" t="str">
        <f t="shared" si="11"/>
        <v/>
      </c>
      <c r="V397" s="219" t="str">
        <f t="shared" si="11"/>
        <v/>
      </c>
      <c r="W397" s="219" t="str">
        <f t="shared" si="11"/>
        <v/>
      </c>
      <c r="X397" s="219" t="str">
        <f t="shared" si="11"/>
        <v/>
      </c>
      <c r="Y397" s="219" t="str">
        <f t="shared" si="11"/>
        <v/>
      </c>
      <c r="Z397" s="219" t="str">
        <f t="shared" si="11"/>
        <v/>
      </c>
      <c r="AA397" s="219" t="str">
        <f t="shared" si="11"/>
        <v/>
      </c>
      <c r="AB397" s="219" t="str">
        <f t="shared" si="11"/>
        <v/>
      </c>
      <c r="AC397" s="219" t="str">
        <f t="shared" si="11"/>
        <v/>
      </c>
      <c r="AD397" s="219">
        <f t="shared" si="11"/>
        <v>61.765116279069758</v>
      </c>
      <c r="AE397" s="219" t="str">
        <f t="shared" si="11"/>
        <v/>
      </c>
      <c r="AF397" s="219">
        <f t="shared" si="11"/>
        <v>86.79446327683614</v>
      </c>
      <c r="AG397" s="219" t="str">
        <f t="shared" si="11"/>
        <v/>
      </c>
      <c r="AH397" s="219" t="str">
        <f t="shared" si="11"/>
        <v/>
      </c>
      <c r="AI397" s="219">
        <f t="shared" si="11"/>
        <v>94.284067796610159</v>
      </c>
      <c r="AJ397" s="219" t="str">
        <f t="shared" si="11"/>
        <v/>
      </c>
      <c r="AK397" s="219" t="str">
        <f t="shared" si="11"/>
        <v/>
      </c>
      <c r="AL397" s="219">
        <f t="shared" si="11"/>
        <v>102.94272727272724</v>
      </c>
      <c r="AM397" s="219" t="str">
        <f t="shared" si="11"/>
        <v/>
      </c>
      <c r="AN397" s="219">
        <f t="shared" si="11"/>
        <v>109.94935828877003</v>
      </c>
      <c r="AO397" s="219">
        <f t="shared" si="11"/>
        <v>72.149999999999977</v>
      </c>
      <c r="AP397" s="219" t="str">
        <f t="shared" si="11"/>
        <v/>
      </c>
      <c r="AQ397" s="219" t="str">
        <f t="shared" si="11"/>
        <v/>
      </c>
      <c r="AR397" s="219" t="str">
        <f t="shared" si="11"/>
        <v/>
      </c>
      <c r="AS397" s="219" t="str">
        <f t="shared" si="11"/>
        <v/>
      </c>
      <c r="AT397" s="219" t="str">
        <f t="shared" si="11"/>
        <v/>
      </c>
      <c r="AU397" s="219" t="str">
        <f t="shared" si="11"/>
        <v/>
      </c>
      <c r="AV397" s="219">
        <f t="shared" si="11"/>
        <v>76.439518716577538</v>
      </c>
      <c r="AW397" s="219" t="str">
        <f t="shared" si="11"/>
        <v/>
      </c>
      <c r="AX397" s="219" t="str">
        <f t="shared" si="11"/>
        <v/>
      </c>
      <c r="AY397" s="219" t="str">
        <f t="shared" si="11"/>
        <v/>
      </c>
      <c r="AZ397" s="219" t="str">
        <f t="shared" si="11"/>
        <v/>
      </c>
      <c r="BA397" s="219" t="str">
        <f t="shared" si="11"/>
        <v/>
      </c>
      <c r="BB397" s="219" t="str">
        <f t="shared" si="11"/>
        <v/>
      </c>
      <c r="BC397" s="219" t="str">
        <f t="shared" si="11"/>
        <v/>
      </c>
      <c r="BD397" s="219" t="str">
        <f t="shared" si="11"/>
        <v/>
      </c>
      <c r="BE397" s="219" t="str">
        <f t="shared" si="11"/>
        <v/>
      </c>
      <c r="BF397" s="219" t="str">
        <f t="shared" si="11"/>
        <v/>
      </c>
      <c r="BG397" s="219" t="str">
        <f t="shared" si="11"/>
        <v/>
      </c>
      <c r="BH397" s="219" t="str">
        <f t="shared" si="11"/>
        <v/>
      </c>
      <c r="BI397" s="219" t="str">
        <f t="shared" si="11"/>
        <v/>
      </c>
      <c r="BJ397" s="219" t="str">
        <f t="shared" si="11"/>
        <v/>
      </c>
      <c r="BK397" s="219" t="str">
        <f t="shared" si="11"/>
        <v/>
      </c>
      <c r="BL397" s="219" t="str">
        <f t="shared" si="11"/>
        <v/>
      </c>
      <c r="BM397" s="219" t="str">
        <f t="shared" si="11"/>
        <v/>
      </c>
      <c r="BN397" s="219" t="str">
        <f t="shared" si="11"/>
        <v/>
      </c>
      <c r="BO397" s="219" t="str">
        <f t="shared" si="11"/>
        <v/>
      </c>
      <c r="BP397" s="219" t="str">
        <f t="shared" si="11"/>
        <v/>
      </c>
      <c r="BQ397" s="219" t="str">
        <f t="shared" ref="BQ397:DT397" si="12">IF((OR(BQ396=0,MAX(BQ400,BQ402,BQ406,BQ410)=0))=TRUE,"",IFERROR((((MAX(BQ400,BQ402,BQ406,BQ410)+BQ396)*0.7)-BQ396),""))</f>
        <v/>
      </c>
      <c r="BR397" s="219" t="str">
        <f t="shared" si="12"/>
        <v/>
      </c>
      <c r="BS397" s="219" t="str">
        <f t="shared" si="12"/>
        <v/>
      </c>
      <c r="BT397" s="219" t="str">
        <f t="shared" si="12"/>
        <v/>
      </c>
      <c r="BU397" s="219" t="str">
        <f t="shared" si="12"/>
        <v/>
      </c>
      <c r="BV397" s="219" t="str">
        <f t="shared" si="12"/>
        <v/>
      </c>
      <c r="BW397" s="219" t="str">
        <f t="shared" si="12"/>
        <v/>
      </c>
      <c r="BX397" s="219" t="str">
        <f t="shared" si="12"/>
        <v/>
      </c>
      <c r="BY397" s="219" t="str">
        <f t="shared" si="12"/>
        <v/>
      </c>
      <c r="BZ397" s="219" t="str">
        <f t="shared" si="12"/>
        <v/>
      </c>
      <c r="CA397" s="219" t="str">
        <f t="shared" si="12"/>
        <v/>
      </c>
      <c r="CB397" s="219" t="str">
        <f t="shared" si="12"/>
        <v/>
      </c>
      <c r="CC397" s="219" t="str">
        <f t="shared" si="12"/>
        <v/>
      </c>
      <c r="CD397" s="219" t="str">
        <f t="shared" si="12"/>
        <v/>
      </c>
      <c r="CE397" s="219" t="str">
        <f t="shared" si="12"/>
        <v/>
      </c>
      <c r="CF397" s="219" t="str">
        <f t="shared" si="12"/>
        <v/>
      </c>
      <c r="CG397" s="219" t="str">
        <f t="shared" si="12"/>
        <v/>
      </c>
      <c r="CH397" s="219" t="str">
        <f t="shared" si="12"/>
        <v/>
      </c>
      <c r="CI397" s="219" t="str">
        <f t="shared" si="12"/>
        <v/>
      </c>
      <c r="CJ397" s="219" t="str">
        <f t="shared" si="12"/>
        <v/>
      </c>
      <c r="CK397" s="219" t="str">
        <f t="shared" si="12"/>
        <v/>
      </c>
      <c r="CL397" s="219" t="str">
        <f t="shared" si="12"/>
        <v/>
      </c>
      <c r="CM397" s="219" t="str">
        <f t="shared" si="12"/>
        <v/>
      </c>
      <c r="CN397" s="219" t="str">
        <f t="shared" si="12"/>
        <v/>
      </c>
      <c r="CO397" s="219" t="str">
        <f t="shared" si="12"/>
        <v/>
      </c>
      <c r="CP397" s="219" t="str">
        <f t="shared" si="12"/>
        <v/>
      </c>
      <c r="CQ397" s="219" t="str">
        <f t="shared" si="12"/>
        <v/>
      </c>
      <c r="CR397" s="219" t="str">
        <f t="shared" si="12"/>
        <v/>
      </c>
      <c r="CS397" s="219" t="str">
        <f t="shared" si="12"/>
        <v/>
      </c>
      <c r="CT397" s="219" t="str">
        <f t="shared" si="12"/>
        <v/>
      </c>
      <c r="CU397" s="219" t="str">
        <f t="shared" si="12"/>
        <v/>
      </c>
      <c r="CV397" s="219" t="str">
        <f t="shared" si="12"/>
        <v/>
      </c>
      <c r="CW397" s="219" t="str">
        <f t="shared" si="12"/>
        <v/>
      </c>
      <c r="CX397" s="219" t="str">
        <f t="shared" si="12"/>
        <v/>
      </c>
      <c r="CY397" s="219" t="str">
        <f t="shared" si="12"/>
        <v/>
      </c>
      <c r="CZ397" s="219" t="str">
        <f t="shared" si="12"/>
        <v/>
      </c>
      <c r="DA397" s="219" t="str">
        <f t="shared" si="12"/>
        <v/>
      </c>
      <c r="DB397" s="219" t="str">
        <f t="shared" si="12"/>
        <v/>
      </c>
      <c r="DC397" s="219" t="str">
        <f t="shared" si="12"/>
        <v/>
      </c>
      <c r="DD397" s="219" t="str">
        <f t="shared" si="12"/>
        <v/>
      </c>
      <c r="DE397" s="219" t="str">
        <f t="shared" si="12"/>
        <v/>
      </c>
      <c r="DF397" s="219" t="str">
        <f t="shared" si="12"/>
        <v/>
      </c>
      <c r="DG397" s="219" t="str">
        <f t="shared" si="12"/>
        <v/>
      </c>
      <c r="DH397" s="219" t="str">
        <f t="shared" si="12"/>
        <v/>
      </c>
      <c r="DI397" s="219" t="str">
        <f t="shared" si="12"/>
        <v/>
      </c>
      <c r="DJ397" s="219" t="str">
        <f t="shared" si="12"/>
        <v/>
      </c>
      <c r="DK397" s="219" t="str">
        <f t="shared" si="12"/>
        <v/>
      </c>
      <c r="DL397" s="219" t="str">
        <f t="shared" si="12"/>
        <v/>
      </c>
      <c r="DM397" s="219" t="str">
        <f t="shared" si="12"/>
        <v/>
      </c>
      <c r="DN397" s="219" t="str">
        <f t="shared" si="12"/>
        <v/>
      </c>
      <c r="DO397" s="219" t="str">
        <f t="shared" si="12"/>
        <v/>
      </c>
      <c r="DP397" s="219" t="str">
        <f t="shared" si="12"/>
        <v/>
      </c>
      <c r="DQ397" s="219" t="str">
        <f t="shared" si="12"/>
        <v/>
      </c>
      <c r="DR397" s="219" t="str">
        <f t="shared" si="12"/>
        <v/>
      </c>
      <c r="DS397" s="219" t="str">
        <f t="shared" si="12"/>
        <v/>
      </c>
      <c r="DT397" s="219" t="str">
        <f t="shared" si="12"/>
        <v/>
      </c>
    </row>
    <row r="398" spans="1:124" ht="21.75" customHeight="1" thickBot="1">
      <c r="A398" s="311"/>
      <c r="B398" s="225"/>
      <c r="C398" s="226"/>
      <c r="D398" s="226"/>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c r="AA398" s="220"/>
      <c r="AB398" s="220"/>
      <c r="AC398" s="220"/>
      <c r="AD398" s="220"/>
      <c r="AE398" s="220"/>
      <c r="AF398" s="220"/>
      <c r="AG398" s="220"/>
      <c r="AH398" s="220"/>
      <c r="AI398" s="220"/>
      <c r="AJ398" s="220"/>
      <c r="AK398" s="220"/>
      <c r="AL398" s="220"/>
      <c r="AM398" s="220"/>
      <c r="AN398" s="220"/>
      <c r="AO398" s="220"/>
      <c r="AP398" s="220"/>
      <c r="AQ398" s="220"/>
      <c r="AR398" s="220"/>
      <c r="AS398" s="220"/>
      <c r="AT398" s="220"/>
      <c r="AU398" s="220"/>
      <c r="AV398" s="220"/>
      <c r="AW398" s="220"/>
      <c r="AX398" s="220"/>
      <c r="AY398" s="220"/>
      <c r="AZ398" s="220"/>
      <c r="BA398" s="220"/>
      <c r="BB398" s="220"/>
      <c r="BC398" s="220"/>
      <c r="BD398" s="220"/>
      <c r="BE398" s="220"/>
      <c r="BF398" s="220"/>
      <c r="BG398" s="220"/>
      <c r="BH398" s="220"/>
      <c r="BI398" s="220"/>
      <c r="BJ398" s="220"/>
      <c r="BK398" s="220"/>
      <c r="BL398" s="220"/>
      <c r="BM398" s="220"/>
      <c r="BN398" s="220"/>
      <c r="BO398" s="220"/>
      <c r="BP398" s="220"/>
      <c r="BQ398" s="220"/>
      <c r="BR398" s="220"/>
      <c r="BS398" s="220"/>
      <c r="BT398" s="220"/>
      <c r="BU398" s="220"/>
      <c r="BV398" s="220"/>
      <c r="BW398" s="220"/>
      <c r="BX398" s="220"/>
      <c r="BY398" s="220"/>
      <c r="BZ398" s="220"/>
      <c r="CA398" s="220"/>
      <c r="CB398" s="220"/>
      <c r="CC398" s="220"/>
      <c r="CD398" s="220"/>
      <c r="CE398" s="220"/>
      <c r="CF398" s="220"/>
      <c r="CG398" s="220"/>
      <c r="CH398" s="220"/>
      <c r="CI398" s="220"/>
      <c r="CJ398" s="220"/>
      <c r="CK398" s="220"/>
      <c r="CL398" s="220"/>
      <c r="CM398" s="220"/>
      <c r="CN398" s="220"/>
      <c r="CO398" s="220"/>
      <c r="CP398" s="220"/>
      <c r="CQ398" s="220"/>
      <c r="CR398" s="220"/>
      <c r="CS398" s="220"/>
      <c r="CT398" s="220"/>
      <c r="CU398" s="220"/>
      <c r="CV398" s="220"/>
      <c r="CW398" s="220"/>
      <c r="CX398" s="220"/>
      <c r="CY398" s="220"/>
      <c r="CZ398" s="220"/>
      <c r="DA398" s="220"/>
      <c r="DB398" s="220"/>
      <c r="DC398" s="220"/>
      <c r="DD398" s="220"/>
      <c r="DE398" s="220"/>
      <c r="DF398" s="220"/>
      <c r="DG398" s="220"/>
      <c r="DH398" s="220"/>
      <c r="DI398" s="220"/>
      <c r="DJ398" s="220"/>
      <c r="DK398" s="220"/>
      <c r="DL398" s="220"/>
      <c r="DM398" s="220"/>
      <c r="DN398" s="220"/>
      <c r="DO398" s="220"/>
      <c r="DP398" s="220"/>
      <c r="DQ398" s="220"/>
      <c r="DR398" s="220"/>
      <c r="DS398" s="220"/>
      <c r="DT398" s="220"/>
    </row>
    <row r="399" spans="1:124" ht="21.75" customHeight="1">
      <c r="A399" s="311"/>
      <c r="B399" s="235" t="s">
        <v>511</v>
      </c>
      <c r="C399" s="236"/>
      <c r="D399" s="237"/>
      <c r="E399" s="69"/>
      <c r="F399" s="69" t="s">
        <v>533</v>
      </c>
      <c r="G399" s="69" t="s">
        <v>533</v>
      </c>
      <c r="H399" s="69" t="s">
        <v>533</v>
      </c>
      <c r="I399" s="69" t="s">
        <v>402</v>
      </c>
      <c r="J399" s="69" t="s">
        <v>11</v>
      </c>
      <c r="K399" s="69" t="s">
        <v>11</v>
      </c>
      <c r="L399" s="68"/>
      <c r="M399" s="68"/>
      <c r="N399" s="68"/>
      <c r="O399" s="68"/>
      <c r="P399" s="68"/>
      <c r="Q399" s="68"/>
      <c r="R399" s="68"/>
      <c r="S399" s="68"/>
      <c r="T399" s="68"/>
      <c r="U399" s="68"/>
      <c r="V399" s="68"/>
      <c r="W399" s="68"/>
      <c r="X399" s="69"/>
      <c r="Y399" s="69"/>
      <c r="Z399" s="69"/>
      <c r="AA399" s="69"/>
      <c r="AB399" s="69"/>
      <c r="AC399" s="69"/>
      <c r="AD399" s="69"/>
      <c r="AE399" s="69"/>
      <c r="AF399" s="69"/>
      <c r="AG399" s="69"/>
      <c r="AH399" s="69"/>
      <c r="AI399" s="69"/>
      <c r="AJ399" s="69"/>
      <c r="AK399" s="69"/>
      <c r="AL399" s="80" t="s">
        <v>402</v>
      </c>
      <c r="AM399" s="69"/>
      <c r="AN399" s="69" t="s">
        <v>402</v>
      </c>
      <c r="AO399" s="69"/>
      <c r="AP399" s="68"/>
      <c r="AQ399" s="68" t="s">
        <v>402</v>
      </c>
      <c r="AR399" s="68"/>
      <c r="AS399" s="69"/>
      <c r="AT399" s="69"/>
      <c r="AU399" s="69"/>
      <c r="AV399" s="69"/>
      <c r="AW399" s="69"/>
      <c r="AX399" s="69"/>
      <c r="AY399" s="68"/>
      <c r="AZ399" s="68"/>
      <c r="BA399" s="68"/>
      <c r="BB399" s="68"/>
      <c r="BC399" s="68"/>
      <c r="BD399" s="68"/>
      <c r="BE399" s="68"/>
      <c r="BF399" s="68"/>
      <c r="BG399" s="68"/>
      <c r="BH399" s="68"/>
      <c r="BI399" s="68"/>
      <c r="BJ399" s="68"/>
      <c r="BK399" s="68"/>
      <c r="BL399" s="68"/>
      <c r="BM399" s="68"/>
      <c r="BN399" s="68"/>
      <c r="BO399" s="68"/>
      <c r="BP399" s="68"/>
      <c r="BQ399" s="68"/>
      <c r="BR399" s="68"/>
      <c r="BS399" s="68"/>
      <c r="BT399" s="68"/>
      <c r="BU399" s="68"/>
      <c r="BV399" s="68"/>
      <c r="BW399" s="68"/>
      <c r="BX399" s="68"/>
      <c r="BY399" s="68"/>
      <c r="BZ399" s="68"/>
      <c r="CA399" s="68"/>
      <c r="CB399" s="68"/>
      <c r="CC399" s="68"/>
      <c r="CD399" s="68"/>
      <c r="CE399" s="68"/>
      <c r="CF399" s="68"/>
      <c r="CG399" s="68"/>
      <c r="CH399" s="68"/>
      <c r="CI399" s="68"/>
      <c r="CJ399" s="68"/>
      <c r="CK399" s="68"/>
      <c r="CL399" s="68"/>
      <c r="CM399" s="68"/>
      <c r="CN399" s="68"/>
      <c r="CO399" s="68"/>
      <c r="CP399" s="68"/>
      <c r="CQ399" s="68"/>
      <c r="CR399" s="68"/>
      <c r="CS399" s="68"/>
      <c r="CT399" s="68"/>
      <c r="CU399" s="68"/>
      <c r="CV399" s="68"/>
      <c r="CW399" s="68"/>
      <c r="CX399" s="68"/>
      <c r="CY399" s="68"/>
      <c r="CZ399" s="68"/>
      <c r="DA399" s="68"/>
      <c r="DB399" s="68"/>
      <c r="DC399" s="68"/>
      <c r="DD399" s="68"/>
      <c r="DE399" s="68"/>
      <c r="DF399" s="68"/>
      <c r="DG399" s="68"/>
      <c r="DH399" s="68"/>
      <c r="DI399" s="68"/>
      <c r="DJ399" s="68"/>
      <c r="DK399" s="68"/>
      <c r="DL399" s="68"/>
      <c r="DM399" s="68"/>
      <c r="DN399" s="68"/>
      <c r="DO399" s="68"/>
      <c r="DP399" s="68"/>
      <c r="DQ399" s="68"/>
      <c r="DR399" s="68"/>
      <c r="DS399" s="68"/>
      <c r="DT399" s="68"/>
    </row>
    <row r="400" spans="1:124" ht="21.75" customHeight="1">
      <c r="A400" s="311"/>
      <c r="B400" s="232"/>
      <c r="C400" s="233"/>
      <c r="D400" s="234"/>
      <c r="E400" s="70"/>
      <c r="F400" s="70"/>
      <c r="G400" s="70"/>
      <c r="H400" s="70"/>
      <c r="I400" s="70">
        <f>130/0.935</f>
        <v>139.03743315508021</v>
      </c>
      <c r="J400" s="70">
        <v>140</v>
      </c>
      <c r="K400" s="70">
        <v>150</v>
      </c>
      <c r="L400" s="65"/>
      <c r="M400" s="65"/>
      <c r="N400" s="65"/>
      <c r="O400" s="65"/>
      <c r="P400" s="65"/>
      <c r="Q400" s="65"/>
      <c r="R400" s="65"/>
      <c r="S400" s="65"/>
      <c r="T400" s="65"/>
      <c r="U400" s="65"/>
      <c r="V400" s="65"/>
      <c r="W400" s="65"/>
      <c r="X400" s="70"/>
      <c r="Y400" s="70"/>
      <c r="Z400" s="70"/>
      <c r="AA400" s="70"/>
      <c r="AB400" s="70"/>
      <c r="AC400" s="70"/>
      <c r="AD400" s="70"/>
      <c r="AE400" s="70"/>
      <c r="AF400" s="70"/>
      <c r="AG400" s="70"/>
      <c r="AH400" s="70"/>
      <c r="AI400" s="70"/>
      <c r="AJ400" s="70"/>
      <c r="AK400" s="70"/>
      <c r="AL400" s="70">
        <f>170/0.935</f>
        <v>181.81818181818181</v>
      </c>
      <c r="AM400" s="70"/>
      <c r="AN400" s="70">
        <f>180/0.935</f>
        <v>192.51336898395721</v>
      </c>
      <c r="AO400" s="70"/>
      <c r="AP400" s="65"/>
      <c r="AQ400" s="65">
        <f>170/0.935</f>
        <v>181.81818181818181</v>
      </c>
      <c r="AR400" s="65"/>
      <c r="AS400" s="70"/>
      <c r="AT400" s="70"/>
      <c r="AU400" s="70"/>
      <c r="AV400" s="70"/>
      <c r="AW400" s="70"/>
      <c r="AX400" s="70"/>
      <c r="AY400" s="65"/>
      <c r="AZ400" s="65"/>
      <c r="BA400" s="65"/>
      <c r="BB400" s="65"/>
      <c r="BC400" s="65"/>
      <c r="BD400" s="65"/>
      <c r="BE400" s="65"/>
      <c r="BF400" s="65"/>
      <c r="BG400" s="65"/>
      <c r="BH400" s="65"/>
      <c r="BI400" s="65"/>
      <c r="BJ400" s="65"/>
      <c r="BK400" s="65"/>
      <c r="BL400" s="65"/>
      <c r="BM400" s="65"/>
      <c r="BN400" s="65"/>
      <c r="BO400" s="65"/>
      <c r="BP400" s="65"/>
      <c r="BQ400" s="65"/>
      <c r="BR400" s="65"/>
      <c r="BS400" s="65"/>
      <c r="BT400" s="65"/>
      <c r="BU400" s="65"/>
      <c r="BV400" s="65"/>
      <c r="BW400" s="65"/>
      <c r="BX400" s="65"/>
      <c r="BY400" s="65"/>
      <c r="BZ400" s="65"/>
      <c r="CA400" s="65"/>
      <c r="CB400" s="65"/>
      <c r="CC400" s="65"/>
      <c r="CD400" s="65"/>
      <c r="CE400" s="65"/>
      <c r="CF400" s="65"/>
      <c r="CG400" s="65"/>
      <c r="CH400" s="65"/>
      <c r="CI400" s="65"/>
      <c r="CJ400" s="65"/>
      <c r="CK400" s="65"/>
      <c r="CL400" s="65"/>
      <c r="CM400" s="65"/>
      <c r="CN400" s="65"/>
      <c r="CO400" s="65"/>
      <c r="CP400" s="65"/>
      <c r="CQ400" s="65"/>
      <c r="CR400" s="65"/>
      <c r="CS400" s="65"/>
      <c r="CT400" s="65"/>
      <c r="CU400" s="65"/>
      <c r="CV400" s="65"/>
      <c r="CW400" s="65"/>
      <c r="CX400" s="65"/>
      <c r="CY400" s="65"/>
      <c r="CZ400" s="65"/>
      <c r="DA400" s="65"/>
      <c r="DB400" s="65"/>
      <c r="DC400" s="65"/>
      <c r="DD400" s="65"/>
      <c r="DE400" s="65"/>
      <c r="DF400" s="65"/>
      <c r="DG400" s="65"/>
      <c r="DH400" s="65"/>
      <c r="DI400" s="65"/>
      <c r="DJ400" s="65"/>
      <c r="DK400" s="65"/>
      <c r="DL400" s="65"/>
      <c r="DM400" s="65"/>
      <c r="DN400" s="65"/>
      <c r="DO400" s="65"/>
      <c r="DP400" s="65"/>
      <c r="DQ400" s="65"/>
      <c r="DR400" s="65"/>
      <c r="DS400" s="65"/>
      <c r="DT400" s="65"/>
    </row>
    <row r="401" spans="1:124" ht="21.75" customHeight="1">
      <c r="A401" s="311"/>
      <c r="B401" s="235" t="s">
        <v>512</v>
      </c>
      <c r="C401" s="236"/>
      <c r="D401" s="237"/>
      <c r="E401" s="69"/>
      <c r="F401" s="69"/>
      <c r="G401" s="69"/>
      <c r="H401" s="69"/>
      <c r="I401" s="69"/>
      <c r="J401" s="69"/>
      <c r="K401" s="69"/>
      <c r="L401" s="68"/>
      <c r="M401" s="68"/>
      <c r="N401" s="68"/>
      <c r="O401" s="68"/>
      <c r="P401" s="68"/>
      <c r="Q401" s="68"/>
      <c r="R401" s="68"/>
      <c r="S401" s="68"/>
      <c r="T401" s="68"/>
      <c r="U401" s="68"/>
      <c r="V401" s="68"/>
      <c r="W401" s="68"/>
      <c r="X401" s="69"/>
      <c r="Y401" s="69"/>
      <c r="Z401" s="69"/>
      <c r="AA401" s="69"/>
      <c r="AB401" s="69"/>
      <c r="AC401" s="69"/>
      <c r="AD401" s="69"/>
      <c r="AE401" s="69"/>
      <c r="AF401" s="80" t="s">
        <v>400</v>
      </c>
      <c r="AG401" s="69"/>
      <c r="AH401" s="69"/>
      <c r="AI401" s="80" t="s">
        <v>382</v>
      </c>
      <c r="AJ401" s="69"/>
      <c r="AK401" s="69"/>
      <c r="AL401" s="69"/>
      <c r="AM401" s="69"/>
      <c r="AN401" s="69"/>
      <c r="AO401" s="69"/>
      <c r="AP401" s="68"/>
      <c r="AQ401" s="68"/>
      <c r="AR401" s="68"/>
      <c r="AS401" s="69"/>
      <c r="AT401" s="69"/>
      <c r="AU401" s="69"/>
      <c r="AV401" s="69" t="s">
        <v>402</v>
      </c>
      <c r="AW401" s="69"/>
      <c r="AX401" s="69"/>
      <c r="AY401" s="68" t="s">
        <v>400</v>
      </c>
      <c r="AZ401" s="68"/>
      <c r="BA401" s="68"/>
      <c r="BB401" s="68" t="s">
        <v>382</v>
      </c>
      <c r="BC401" s="68"/>
      <c r="BD401" s="68"/>
      <c r="BE401" s="68"/>
      <c r="BF401" s="68"/>
      <c r="BG401" s="68"/>
      <c r="BH401" s="68"/>
      <c r="BI401" s="68"/>
      <c r="BJ401" s="68"/>
      <c r="BK401" s="68"/>
      <c r="BL401" s="68"/>
      <c r="BM401" s="68"/>
      <c r="BN401" s="68"/>
      <c r="BO401" s="68"/>
      <c r="BP401" s="68"/>
      <c r="BQ401" s="68"/>
      <c r="BR401" s="68"/>
      <c r="BS401" s="68"/>
      <c r="BT401" s="68"/>
      <c r="BU401" s="68"/>
      <c r="BV401" s="68"/>
      <c r="BW401" s="68"/>
      <c r="BX401" s="68"/>
      <c r="BY401" s="68"/>
      <c r="BZ401" s="68"/>
      <c r="CA401" s="68"/>
      <c r="CB401" s="68"/>
      <c r="CC401" s="68"/>
      <c r="CD401" s="68"/>
      <c r="CE401" s="68"/>
      <c r="CF401" s="68"/>
      <c r="CG401" s="68"/>
      <c r="CH401" s="68"/>
      <c r="CI401" s="68"/>
      <c r="CJ401" s="68"/>
      <c r="CK401" s="68"/>
      <c r="CL401" s="68"/>
      <c r="CM401" s="68"/>
      <c r="CN401" s="68"/>
      <c r="CO401" s="68"/>
      <c r="CP401" s="68"/>
      <c r="CQ401" s="68"/>
      <c r="CR401" s="68"/>
      <c r="CS401" s="68"/>
      <c r="CT401" s="68"/>
      <c r="CU401" s="68"/>
      <c r="CV401" s="68"/>
      <c r="CW401" s="68"/>
      <c r="CX401" s="68"/>
      <c r="CY401" s="68"/>
      <c r="CZ401" s="68"/>
      <c r="DA401" s="68"/>
      <c r="DB401" s="68"/>
      <c r="DC401" s="68"/>
      <c r="DD401" s="68"/>
      <c r="DE401" s="68"/>
      <c r="DF401" s="68"/>
      <c r="DG401" s="68"/>
      <c r="DH401" s="68"/>
      <c r="DI401" s="68"/>
      <c r="DJ401" s="68"/>
      <c r="DK401" s="68"/>
      <c r="DL401" s="68"/>
      <c r="DM401" s="68"/>
      <c r="DN401" s="68"/>
      <c r="DO401" s="68"/>
      <c r="DP401" s="68"/>
      <c r="DQ401" s="68"/>
      <c r="DR401" s="68"/>
      <c r="DS401" s="68"/>
      <c r="DT401" s="68"/>
    </row>
    <row r="402" spans="1:124" ht="21.75" customHeight="1">
      <c r="A402" s="311"/>
      <c r="B402" s="232"/>
      <c r="C402" s="233"/>
      <c r="D402" s="234"/>
      <c r="E402" s="70"/>
      <c r="F402" s="70"/>
      <c r="G402" s="70"/>
      <c r="H402" s="70"/>
      <c r="I402" s="70"/>
      <c r="J402" s="70"/>
      <c r="K402" s="70"/>
      <c r="L402" s="65"/>
      <c r="M402" s="65"/>
      <c r="N402" s="65"/>
      <c r="O402" s="65"/>
      <c r="P402" s="65"/>
      <c r="Q402" s="65"/>
      <c r="R402" s="65"/>
      <c r="S402" s="65"/>
      <c r="T402" s="65"/>
      <c r="U402" s="65"/>
      <c r="V402" s="65"/>
      <c r="W402" s="65"/>
      <c r="X402" s="70"/>
      <c r="Y402" s="70"/>
      <c r="Z402" s="70"/>
      <c r="AA402" s="70"/>
      <c r="AB402" s="70"/>
      <c r="AC402" s="70"/>
      <c r="AD402" s="70"/>
      <c r="AE402" s="70"/>
      <c r="AF402" s="70">
        <f>140/0.885</f>
        <v>158.19209039548022</v>
      </c>
      <c r="AG402" s="70"/>
      <c r="AH402" s="70"/>
      <c r="AI402" s="70">
        <f>150/0.885</f>
        <v>169.4915254237288</v>
      </c>
      <c r="AJ402" s="70"/>
      <c r="AK402" s="70"/>
      <c r="AL402" s="70"/>
      <c r="AM402" s="70"/>
      <c r="AN402" s="70"/>
      <c r="AO402" s="70"/>
      <c r="AP402" s="65"/>
      <c r="AQ402" s="65"/>
      <c r="AR402" s="65"/>
      <c r="AS402" s="70"/>
      <c r="AT402" s="70"/>
      <c r="AU402" s="70"/>
      <c r="AV402" s="70">
        <f>135/0.935</f>
        <v>144.38502673796791</v>
      </c>
      <c r="AW402" s="70"/>
      <c r="AX402" s="70"/>
      <c r="AY402" s="65">
        <f>140/0.885</f>
        <v>158.19209039548022</v>
      </c>
      <c r="AZ402" s="65"/>
      <c r="BA402" s="65"/>
      <c r="BB402" s="65">
        <f>150/0.935</f>
        <v>160.427807486631</v>
      </c>
      <c r="BC402" s="65"/>
      <c r="BD402" s="65"/>
      <c r="BE402" s="65"/>
      <c r="BF402" s="65"/>
      <c r="BG402" s="65"/>
      <c r="BH402" s="65"/>
      <c r="BI402" s="65"/>
      <c r="BJ402" s="65"/>
      <c r="BK402" s="65"/>
      <c r="BL402" s="65"/>
      <c r="BM402" s="65"/>
      <c r="BN402" s="65"/>
      <c r="BO402" s="65"/>
      <c r="BP402" s="65"/>
      <c r="BQ402" s="65"/>
      <c r="BR402" s="65"/>
      <c r="BS402" s="65"/>
      <c r="BT402" s="65"/>
      <c r="BU402" s="65"/>
      <c r="BV402" s="65"/>
      <c r="BW402" s="65"/>
      <c r="BX402" s="65"/>
      <c r="BY402" s="65"/>
      <c r="BZ402" s="65"/>
      <c r="CA402" s="65"/>
      <c r="CB402" s="65"/>
      <c r="CC402" s="65"/>
      <c r="CD402" s="65"/>
      <c r="CE402" s="65"/>
      <c r="CF402" s="65"/>
      <c r="CG402" s="65"/>
      <c r="CH402" s="65"/>
      <c r="CI402" s="65"/>
      <c r="CJ402" s="65"/>
      <c r="CK402" s="65"/>
      <c r="CL402" s="65"/>
      <c r="CM402" s="65"/>
      <c r="CN402" s="65"/>
      <c r="CO402" s="65"/>
      <c r="CP402" s="65"/>
      <c r="CQ402" s="65"/>
      <c r="CR402" s="65"/>
      <c r="CS402" s="65"/>
      <c r="CT402" s="65"/>
      <c r="CU402" s="65"/>
      <c r="CV402" s="65"/>
      <c r="CW402" s="65"/>
      <c r="CX402" s="65"/>
      <c r="CY402" s="65"/>
      <c r="CZ402" s="65"/>
      <c r="DA402" s="65"/>
      <c r="DB402" s="65"/>
      <c r="DC402" s="65"/>
      <c r="DD402" s="65"/>
      <c r="DE402" s="65"/>
      <c r="DF402" s="65"/>
      <c r="DG402" s="65"/>
      <c r="DH402" s="65"/>
      <c r="DI402" s="65"/>
      <c r="DJ402" s="65"/>
      <c r="DK402" s="65"/>
      <c r="DL402" s="65"/>
      <c r="DM402" s="65"/>
      <c r="DN402" s="65"/>
      <c r="DO402" s="65"/>
      <c r="DP402" s="65"/>
      <c r="DQ402" s="65"/>
      <c r="DR402" s="65"/>
      <c r="DS402" s="65"/>
      <c r="DT402" s="65"/>
    </row>
    <row r="403" spans="1:124" ht="21.75" customHeight="1">
      <c r="A403" s="311"/>
      <c r="B403" s="235" t="s">
        <v>514</v>
      </c>
      <c r="C403" s="236"/>
      <c r="D403" s="237"/>
      <c r="E403" s="69"/>
      <c r="F403" s="69"/>
      <c r="G403" s="69"/>
      <c r="H403" s="69"/>
      <c r="I403" s="69"/>
      <c r="J403" s="69"/>
      <c r="K403" s="69"/>
      <c r="L403" s="68"/>
      <c r="M403" s="68"/>
      <c r="N403" s="68"/>
      <c r="O403" s="68"/>
      <c r="P403" s="68"/>
      <c r="Q403" s="68"/>
      <c r="R403" s="68"/>
      <c r="S403" s="68"/>
      <c r="T403" s="68"/>
      <c r="U403" s="68"/>
      <c r="V403" s="68"/>
      <c r="W403" s="68"/>
      <c r="X403" s="69"/>
      <c r="Y403" s="69"/>
      <c r="Z403" s="69"/>
      <c r="AA403" s="69"/>
      <c r="AB403" s="69"/>
      <c r="AC403" s="69"/>
      <c r="AD403" s="69"/>
      <c r="AE403" s="69"/>
      <c r="AF403" s="69"/>
      <c r="AG403" s="69"/>
      <c r="AH403" s="69"/>
      <c r="AI403" s="69"/>
      <c r="AJ403" s="69"/>
      <c r="AK403" s="69"/>
      <c r="AL403" s="69"/>
      <c r="AM403" s="69"/>
      <c r="AN403" s="69"/>
      <c r="AO403" s="69"/>
      <c r="AP403" s="68"/>
      <c r="AQ403" s="68"/>
      <c r="AR403" s="68"/>
      <c r="AS403" s="69"/>
      <c r="AT403" s="69"/>
      <c r="AU403" s="69"/>
      <c r="AV403" s="69"/>
      <c r="AW403" s="69"/>
      <c r="AX403" s="69"/>
      <c r="AY403" s="68"/>
      <c r="AZ403" s="68"/>
      <c r="BA403" s="68"/>
      <c r="BB403" s="68"/>
      <c r="BC403" s="68"/>
      <c r="BD403" s="68"/>
      <c r="BE403" s="68"/>
      <c r="BF403" s="68"/>
      <c r="BG403" s="68" t="s">
        <v>401</v>
      </c>
      <c r="BH403" s="68"/>
      <c r="BI403" s="68"/>
      <c r="BJ403" s="68" t="s">
        <v>401</v>
      </c>
      <c r="BK403" s="68"/>
      <c r="BL403" s="68"/>
      <c r="BM403" s="68" t="s">
        <v>392</v>
      </c>
      <c r="BN403" s="68"/>
      <c r="BO403" s="68"/>
      <c r="BP403" s="68" t="s">
        <v>392</v>
      </c>
      <c r="BQ403" s="68"/>
      <c r="BR403" s="68"/>
      <c r="BS403" s="68"/>
      <c r="BT403" s="68"/>
      <c r="BU403" s="68"/>
      <c r="BV403" s="68"/>
      <c r="BW403" s="68"/>
      <c r="BX403" s="68"/>
      <c r="BY403" s="68"/>
      <c r="BZ403" s="68"/>
      <c r="CA403" s="68"/>
      <c r="CB403" s="68"/>
      <c r="CC403" s="68"/>
      <c r="CD403" s="68"/>
      <c r="CE403" s="68"/>
      <c r="CF403" s="68"/>
      <c r="CG403" s="68"/>
      <c r="CH403" s="68"/>
      <c r="CI403" s="68"/>
      <c r="CJ403" s="68"/>
      <c r="CK403" s="68"/>
      <c r="CL403" s="68"/>
      <c r="CM403" s="68"/>
      <c r="CN403" s="68"/>
      <c r="CO403" s="68"/>
      <c r="CP403" s="68"/>
      <c r="CQ403" s="68"/>
      <c r="CR403" s="68"/>
      <c r="CS403" s="68"/>
      <c r="CT403" s="68"/>
      <c r="CU403" s="68"/>
      <c r="CV403" s="68"/>
      <c r="CW403" s="68"/>
      <c r="CX403" s="68"/>
      <c r="CY403" s="68"/>
      <c r="CZ403" s="68"/>
      <c r="DA403" s="68"/>
      <c r="DB403" s="68"/>
      <c r="DC403" s="68"/>
      <c r="DD403" s="68"/>
      <c r="DE403" s="68"/>
      <c r="DF403" s="68"/>
      <c r="DG403" s="68"/>
      <c r="DH403" s="68"/>
      <c r="DI403" s="68"/>
      <c r="DJ403" s="68"/>
      <c r="DK403" s="68"/>
      <c r="DL403" s="68"/>
      <c r="DM403" s="68"/>
      <c r="DN403" s="68"/>
      <c r="DO403" s="68"/>
      <c r="DP403" s="68"/>
      <c r="DQ403" s="68"/>
      <c r="DR403" s="68"/>
      <c r="DS403" s="68"/>
      <c r="DT403" s="68"/>
    </row>
    <row r="404" spans="1:124" ht="21.75" customHeight="1">
      <c r="A404" s="311"/>
      <c r="B404" s="232"/>
      <c r="C404" s="233"/>
      <c r="D404" s="234"/>
      <c r="E404" s="70"/>
      <c r="F404" s="70"/>
      <c r="G404" s="70"/>
      <c r="H404" s="70"/>
      <c r="I404" s="70"/>
      <c r="J404" s="70"/>
      <c r="K404" s="70"/>
      <c r="L404" s="65"/>
      <c r="M404" s="65"/>
      <c r="N404" s="65"/>
      <c r="O404" s="65"/>
      <c r="P404" s="65"/>
      <c r="Q404" s="65"/>
      <c r="R404" s="65"/>
      <c r="S404" s="65"/>
      <c r="T404" s="65"/>
      <c r="U404" s="65"/>
      <c r="V404" s="65"/>
      <c r="W404" s="65"/>
      <c r="X404" s="70"/>
      <c r="Y404" s="70"/>
      <c r="Z404" s="70"/>
      <c r="AA404" s="70"/>
      <c r="AB404" s="70"/>
      <c r="AC404" s="70"/>
      <c r="AD404" s="70"/>
      <c r="AE404" s="70"/>
      <c r="AF404" s="70"/>
      <c r="AG404" s="70"/>
      <c r="AH404" s="70"/>
      <c r="AI404" s="70"/>
      <c r="AJ404" s="70"/>
      <c r="AK404" s="70"/>
      <c r="AL404" s="70"/>
      <c r="AM404" s="70"/>
      <c r="AN404" s="70"/>
      <c r="AO404" s="70"/>
      <c r="AP404" s="65"/>
      <c r="AQ404" s="65"/>
      <c r="AR404" s="65"/>
      <c r="AS404" s="70"/>
      <c r="AT404" s="70"/>
      <c r="AU404" s="70"/>
      <c r="AV404" s="70"/>
      <c r="AW404" s="70"/>
      <c r="AX404" s="70"/>
      <c r="AY404" s="65"/>
      <c r="AZ404" s="65"/>
      <c r="BA404" s="65"/>
      <c r="BB404" s="65"/>
      <c r="BC404" s="65"/>
      <c r="BD404" s="65"/>
      <c r="BE404" s="65"/>
      <c r="BF404" s="65"/>
      <c r="BG404" s="65">
        <f>90/0.835</f>
        <v>107.78443113772455</v>
      </c>
      <c r="BH404" s="65"/>
      <c r="BI404" s="65"/>
      <c r="BJ404" s="65">
        <f>100/0.835</f>
        <v>119.76047904191617</v>
      </c>
      <c r="BK404" s="65"/>
      <c r="BL404" s="65"/>
      <c r="BM404" s="65">
        <f>110/0.835</f>
        <v>131.7365269461078</v>
      </c>
      <c r="BN404" s="65"/>
      <c r="BO404" s="65"/>
      <c r="BP404" s="71">
        <f>120/0.835</f>
        <v>143.7125748502994</v>
      </c>
      <c r="BQ404" s="65"/>
      <c r="BR404" s="65"/>
      <c r="BS404" s="65"/>
      <c r="BT404" s="65"/>
      <c r="BU404" s="65"/>
      <c r="BV404" s="65"/>
      <c r="BW404" s="65"/>
      <c r="BX404" s="65"/>
      <c r="BY404" s="65"/>
      <c r="BZ404" s="65"/>
      <c r="CA404" s="65"/>
      <c r="CB404" s="65"/>
      <c r="CC404" s="65"/>
      <c r="CD404" s="65"/>
      <c r="CE404" s="65"/>
      <c r="CF404" s="65"/>
      <c r="CG404" s="65"/>
      <c r="CH404" s="65"/>
      <c r="CI404" s="65"/>
      <c r="CJ404" s="65"/>
      <c r="CK404" s="65"/>
      <c r="CL404" s="65"/>
      <c r="CM404" s="65"/>
      <c r="CN404" s="65"/>
      <c r="CO404" s="65"/>
      <c r="CP404" s="65"/>
      <c r="CQ404" s="65"/>
      <c r="CR404" s="65"/>
      <c r="CS404" s="65"/>
      <c r="CT404" s="65"/>
      <c r="CU404" s="65"/>
      <c r="CV404" s="65"/>
      <c r="CW404" s="65"/>
      <c r="CX404" s="65"/>
      <c r="CY404" s="65"/>
      <c r="CZ404" s="65"/>
      <c r="DA404" s="65"/>
      <c r="DB404" s="65"/>
      <c r="DC404" s="65"/>
      <c r="DD404" s="65"/>
      <c r="DE404" s="65"/>
      <c r="DF404" s="65"/>
      <c r="DG404" s="65"/>
      <c r="DH404" s="65"/>
      <c r="DI404" s="65"/>
      <c r="DJ404" s="65"/>
      <c r="DK404" s="65"/>
      <c r="DL404" s="65"/>
      <c r="DM404" s="65"/>
      <c r="DN404" s="65"/>
      <c r="DO404" s="65"/>
      <c r="DP404" s="65"/>
      <c r="DQ404" s="65"/>
      <c r="DR404" s="65"/>
      <c r="DS404" s="65"/>
      <c r="DT404" s="65"/>
    </row>
    <row r="405" spans="1:124" ht="21.75" customHeight="1">
      <c r="A405" s="311"/>
      <c r="B405" s="235" t="s">
        <v>374</v>
      </c>
      <c r="C405" s="236"/>
      <c r="D405" s="237"/>
      <c r="E405" s="80"/>
      <c r="F405" s="80"/>
      <c r="G405" s="80"/>
      <c r="H405" s="80"/>
      <c r="I405" s="80"/>
      <c r="J405" s="80"/>
      <c r="K405" s="80"/>
      <c r="L405" s="60"/>
      <c r="M405" s="60"/>
      <c r="N405" s="60"/>
      <c r="O405" s="60"/>
      <c r="P405" s="60"/>
      <c r="Q405" s="60"/>
      <c r="R405" s="60"/>
      <c r="S405" s="60"/>
      <c r="T405" s="60"/>
      <c r="U405" s="60"/>
      <c r="V405" s="60"/>
      <c r="W405" s="60"/>
      <c r="X405" s="80"/>
      <c r="Y405" s="80"/>
      <c r="Z405" s="80"/>
      <c r="AA405" s="80"/>
      <c r="AB405" s="80"/>
      <c r="AC405" s="80"/>
      <c r="AD405" s="61" t="s">
        <v>534</v>
      </c>
      <c r="AE405" s="80"/>
      <c r="AF405" s="69"/>
      <c r="AG405" s="80"/>
      <c r="AH405" s="80"/>
      <c r="AI405" s="69"/>
      <c r="AJ405" s="80"/>
      <c r="AK405" s="80"/>
      <c r="AL405" s="80"/>
      <c r="AM405" s="80"/>
      <c r="AN405" s="80"/>
      <c r="AO405" s="61" t="s">
        <v>535</v>
      </c>
      <c r="AP405" s="60"/>
      <c r="AQ405" s="60"/>
      <c r="AR405" s="60"/>
      <c r="AS405" s="80"/>
      <c r="AT405" s="80"/>
      <c r="AU405" s="80"/>
      <c r="AV405" s="80"/>
      <c r="AW405" s="80"/>
      <c r="AX405" s="80"/>
      <c r="AY405" s="60"/>
      <c r="AZ405" s="60"/>
      <c r="BA405" s="60"/>
      <c r="BB405" s="60"/>
      <c r="BC405" s="60"/>
      <c r="BD405" s="60"/>
      <c r="BE405" s="60"/>
      <c r="BF405" s="60"/>
      <c r="BG405" s="60"/>
      <c r="BH405" s="60"/>
      <c r="BI405" s="60"/>
      <c r="BJ405" s="60"/>
      <c r="BK405" s="60"/>
      <c r="BL405" s="60"/>
      <c r="BM405" s="60"/>
      <c r="BN405" s="60"/>
      <c r="BO405" s="60"/>
      <c r="BP405" s="60"/>
      <c r="BQ405" s="62" t="s">
        <v>424</v>
      </c>
      <c r="BR405" s="60"/>
      <c r="BS405" s="60"/>
      <c r="BT405" s="60"/>
      <c r="BU405" s="60"/>
      <c r="BV405" s="62" t="s">
        <v>423</v>
      </c>
      <c r="BW405" s="60"/>
      <c r="BX405" s="60"/>
      <c r="BY405" s="60"/>
      <c r="BZ405" s="60"/>
      <c r="CA405" s="60"/>
      <c r="CB405" s="60"/>
      <c r="CC405" s="60"/>
      <c r="CD405" s="60"/>
      <c r="CE405" s="60"/>
      <c r="CF405" s="60"/>
      <c r="CG405" s="60"/>
      <c r="CH405" s="60"/>
      <c r="CI405" s="60"/>
      <c r="CJ405" s="60"/>
      <c r="CK405" s="60"/>
      <c r="CL405" s="60"/>
      <c r="CM405" s="60"/>
      <c r="CN405" s="60"/>
      <c r="CO405" s="60"/>
      <c r="CP405" s="60"/>
      <c r="CQ405" s="60"/>
      <c r="CR405" s="60"/>
      <c r="CS405" s="60"/>
      <c r="CT405" s="60"/>
      <c r="CU405" s="60"/>
      <c r="CV405" s="60"/>
      <c r="CW405" s="60"/>
      <c r="CX405" s="60"/>
      <c r="CY405" s="60"/>
      <c r="CZ405" s="60"/>
      <c r="DA405" s="60"/>
      <c r="DB405" s="60"/>
      <c r="DC405" s="60"/>
      <c r="DD405" s="60"/>
      <c r="DE405" s="60"/>
      <c r="DF405" s="60"/>
      <c r="DG405" s="60"/>
      <c r="DH405" s="60"/>
      <c r="DI405" s="60"/>
      <c r="DJ405" s="60"/>
      <c r="DK405" s="60"/>
      <c r="DL405" s="60"/>
      <c r="DM405" s="60"/>
      <c r="DN405" s="60"/>
      <c r="DO405" s="60"/>
      <c r="DP405" s="60"/>
      <c r="DQ405" s="60"/>
      <c r="DR405" s="60"/>
      <c r="DS405" s="60"/>
      <c r="DT405" s="60"/>
    </row>
    <row r="406" spans="1:124" ht="21.75" customHeight="1">
      <c r="A406" s="311"/>
      <c r="B406" s="232"/>
      <c r="C406" s="233"/>
      <c r="D406" s="234"/>
      <c r="E406" s="70"/>
      <c r="F406" s="70"/>
      <c r="G406" s="70"/>
      <c r="H406" s="70"/>
      <c r="I406" s="70"/>
      <c r="J406" s="70"/>
      <c r="K406" s="70"/>
      <c r="L406" s="65"/>
      <c r="M406" s="65"/>
      <c r="N406" s="65"/>
      <c r="O406" s="65"/>
      <c r="P406" s="65"/>
      <c r="Q406" s="65"/>
      <c r="R406" s="65"/>
      <c r="S406" s="65"/>
      <c r="T406" s="65"/>
      <c r="U406" s="65"/>
      <c r="V406" s="65"/>
      <c r="W406" s="65"/>
      <c r="X406" s="70"/>
      <c r="Y406" s="70"/>
      <c r="Z406" s="70"/>
      <c r="AA406" s="70"/>
      <c r="AB406" s="70"/>
      <c r="AC406" s="70"/>
      <c r="AD406" s="72">
        <f>105/0.86</f>
        <v>122.09302325581396</v>
      </c>
      <c r="AE406" s="70"/>
      <c r="AF406" s="70"/>
      <c r="AG406" s="70"/>
      <c r="AH406" s="70"/>
      <c r="AI406" s="70"/>
      <c r="AJ406" s="70"/>
      <c r="AK406" s="70"/>
      <c r="AL406" s="70"/>
      <c r="AM406" s="70"/>
      <c r="AN406" s="70"/>
      <c r="AO406" s="72">
        <v>138</v>
      </c>
      <c r="AP406" s="65"/>
      <c r="AQ406" s="65"/>
      <c r="AR406" s="65"/>
      <c r="AS406" s="70"/>
      <c r="AT406" s="70"/>
      <c r="AU406" s="70"/>
      <c r="AV406" s="70"/>
      <c r="AW406" s="70"/>
      <c r="AX406" s="70"/>
      <c r="AY406" s="65"/>
      <c r="AZ406" s="65"/>
      <c r="BA406" s="65"/>
      <c r="BB406" s="65"/>
      <c r="BC406" s="65"/>
      <c r="BD406" s="65"/>
      <c r="BE406" s="65"/>
      <c r="BF406" s="65"/>
      <c r="BG406" s="65"/>
      <c r="BH406" s="65"/>
      <c r="BI406" s="65"/>
      <c r="BJ406" s="65"/>
      <c r="BK406" s="65"/>
      <c r="BL406" s="65"/>
      <c r="BM406" s="65"/>
      <c r="BN406" s="65"/>
      <c r="BO406" s="65"/>
      <c r="BP406" s="65"/>
      <c r="BQ406" s="67">
        <f>120/0.885</f>
        <v>135.59322033898306</v>
      </c>
      <c r="BR406" s="65"/>
      <c r="BS406" s="65"/>
      <c r="BT406" s="65"/>
      <c r="BU406" s="65"/>
      <c r="BV406" s="67">
        <f>140/0.935</f>
        <v>149.7326203208556</v>
      </c>
      <c r="BW406" s="65"/>
      <c r="BX406" s="65"/>
      <c r="BY406" s="65"/>
      <c r="BZ406" s="65"/>
      <c r="CA406" s="65"/>
      <c r="CB406" s="65"/>
      <c r="CC406" s="65"/>
      <c r="CD406" s="65"/>
      <c r="CE406" s="65"/>
      <c r="CF406" s="65"/>
      <c r="CG406" s="65"/>
      <c r="CH406" s="65"/>
      <c r="CI406" s="65"/>
      <c r="CJ406" s="65"/>
      <c r="CK406" s="65"/>
      <c r="CL406" s="65"/>
      <c r="CM406" s="65"/>
      <c r="CN406" s="65"/>
      <c r="CO406" s="65"/>
      <c r="CP406" s="65"/>
      <c r="CQ406" s="65"/>
      <c r="CR406" s="65"/>
      <c r="CS406" s="65"/>
      <c r="CT406" s="65"/>
      <c r="CU406" s="65"/>
      <c r="CV406" s="65"/>
      <c r="CW406" s="65"/>
      <c r="CX406" s="65"/>
      <c r="CY406" s="65"/>
      <c r="CZ406" s="65"/>
      <c r="DA406" s="65"/>
      <c r="DB406" s="65"/>
      <c r="DC406" s="65"/>
      <c r="DD406" s="65"/>
      <c r="DE406" s="65"/>
      <c r="DF406" s="65"/>
      <c r="DG406" s="65"/>
      <c r="DH406" s="65"/>
      <c r="DI406" s="65"/>
      <c r="DJ406" s="65"/>
      <c r="DK406" s="65"/>
      <c r="DL406" s="65"/>
      <c r="DM406" s="65"/>
      <c r="DN406" s="65"/>
      <c r="DO406" s="65"/>
      <c r="DP406" s="65"/>
      <c r="DQ406" s="65"/>
      <c r="DR406" s="65"/>
      <c r="DS406" s="65"/>
      <c r="DT406" s="65"/>
    </row>
    <row r="407" spans="1:124" ht="21.75" customHeight="1">
      <c r="A407" s="311"/>
      <c r="B407" s="235" t="s">
        <v>381</v>
      </c>
      <c r="C407" s="236"/>
      <c r="D407" s="237"/>
      <c r="E407" s="69"/>
      <c r="F407" s="69"/>
      <c r="G407" s="69"/>
      <c r="H407" s="69"/>
      <c r="I407" s="69"/>
      <c r="J407" s="69"/>
      <c r="K407" s="69"/>
      <c r="L407" s="68"/>
      <c r="M407" s="68"/>
      <c r="N407" s="68"/>
      <c r="O407" s="68"/>
      <c r="P407" s="68"/>
      <c r="Q407" s="68"/>
      <c r="R407" s="68"/>
      <c r="S407" s="68"/>
      <c r="T407" s="68"/>
      <c r="U407" s="68"/>
      <c r="V407" s="68"/>
      <c r="W407" s="68"/>
      <c r="X407" s="69" t="s">
        <v>396</v>
      </c>
      <c r="Y407" s="69"/>
      <c r="Z407" s="69"/>
      <c r="AA407" s="69" t="s">
        <v>378</v>
      </c>
      <c r="AB407" s="69"/>
      <c r="AC407" s="69"/>
      <c r="AD407" s="69"/>
      <c r="AE407" s="69"/>
      <c r="AF407" s="69"/>
      <c r="AG407" s="69"/>
      <c r="AH407" s="69"/>
      <c r="AI407" s="69"/>
      <c r="AJ407" s="69"/>
      <c r="AK407" s="69"/>
      <c r="AL407" s="69"/>
      <c r="AM407" s="69"/>
      <c r="AN407" s="69"/>
      <c r="AO407" s="69"/>
      <c r="AP407" s="68"/>
      <c r="AQ407" s="68"/>
      <c r="AR407" s="68"/>
      <c r="AS407" s="69"/>
      <c r="AT407" s="69"/>
      <c r="AU407" s="69"/>
      <c r="AV407" s="69"/>
      <c r="AW407" s="69"/>
      <c r="AX407" s="69"/>
      <c r="AY407" s="68"/>
      <c r="AZ407" s="68"/>
      <c r="BA407" s="68"/>
      <c r="BB407" s="68"/>
      <c r="BC407" s="68"/>
      <c r="BD407" s="68"/>
      <c r="BE407" s="68"/>
      <c r="BF407" s="68"/>
      <c r="BG407" s="68"/>
      <c r="BH407" s="68"/>
      <c r="BI407" s="68"/>
      <c r="BJ407" s="68"/>
      <c r="BK407" s="68"/>
      <c r="BL407" s="68"/>
      <c r="BM407" s="68"/>
      <c r="BN407" s="68"/>
      <c r="BO407" s="68"/>
      <c r="BP407" s="68"/>
      <c r="BQ407" s="68"/>
      <c r="BR407" s="68"/>
      <c r="BS407" s="68"/>
      <c r="BT407" s="68"/>
      <c r="BU407" s="68"/>
      <c r="BV407" s="68"/>
      <c r="BW407" s="68"/>
      <c r="BX407" s="68"/>
      <c r="BY407" s="68"/>
      <c r="BZ407" s="68"/>
      <c r="CA407" s="68"/>
      <c r="CB407" s="68"/>
      <c r="CC407" s="68"/>
      <c r="CD407" s="68"/>
      <c r="CE407" s="68"/>
      <c r="CF407" s="68"/>
      <c r="CG407" s="68"/>
      <c r="CH407" s="68"/>
      <c r="CI407" s="68"/>
      <c r="CJ407" s="68"/>
      <c r="CK407" s="68"/>
      <c r="CL407" s="68"/>
      <c r="CM407" s="68"/>
      <c r="CN407" s="68"/>
      <c r="CO407" s="68"/>
      <c r="CP407" s="68"/>
      <c r="CQ407" s="68"/>
      <c r="CR407" s="68"/>
      <c r="CS407" s="68"/>
      <c r="CT407" s="68"/>
      <c r="CU407" s="68"/>
      <c r="CV407" s="68"/>
      <c r="CW407" s="68"/>
      <c r="CX407" s="68"/>
      <c r="CY407" s="68"/>
      <c r="CZ407" s="68"/>
      <c r="DA407" s="68"/>
      <c r="DB407" s="68"/>
      <c r="DC407" s="68"/>
      <c r="DD407" s="68"/>
      <c r="DE407" s="68"/>
      <c r="DF407" s="68"/>
      <c r="DG407" s="68"/>
      <c r="DH407" s="68"/>
      <c r="DI407" s="68"/>
      <c r="DJ407" s="68"/>
      <c r="DK407" s="68"/>
      <c r="DL407" s="68"/>
      <c r="DM407" s="68"/>
      <c r="DN407" s="68"/>
      <c r="DO407" s="68"/>
      <c r="DP407" s="68"/>
      <c r="DQ407" s="68"/>
      <c r="DR407" s="68"/>
      <c r="DS407" s="68"/>
      <c r="DT407" s="68"/>
    </row>
    <row r="408" spans="1:124" ht="21.75" customHeight="1">
      <c r="A408" s="311"/>
      <c r="B408" s="232"/>
      <c r="C408" s="233"/>
      <c r="D408" s="234"/>
      <c r="E408" s="70"/>
      <c r="F408" s="70"/>
      <c r="G408" s="70"/>
      <c r="H408" s="70"/>
      <c r="I408" s="70"/>
      <c r="J408" s="70"/>
      <c r="K408" s="70"/>
      <c r="L408" s="65"/>
      <c r="M408" s="65"/>
      <c r="N408" s="65"/>
      <c r="O408" s="65"/>
      <c r="P408" s="65"/>
      <c r="Q408" s="65"/>
      <c r="R408" s="65"/>
      <c r="S408" s="65"/>
      <c r="T408" s="65"/>
      <c r="U408" s="65"/>
      <c r="V408" s="65"/>
      <c r="W408" s="65"/>
      <c r="X408" s="70">
        <f>95/0.86</f>
        <v>110.46511627906978</v>
      </c>
      <c r="Y408" s="70"/>
      <c r="Z408" s="70"/>
      <c r="AA408" s="70">
        <f>95/0.86</f>
        <v>110.46511627906978</v>
      </c>
      <c r="AB408" s="70"/>
      <c r="AC408" s="70"/>
      <c r="AD408" s="70"/>
      <c r="AE408" s="70"/>
      <c r="AF408" s="70"/>
      <c r="AG408" s="70"/>
      <c r="AH408" s="70"/>
      <c r="AI408" s="70"/>
      <c r="AJ408" s="70"/>
      <c r="AK408" s="70"/>
      <c r="AL408" s="70"/>
      <c r="AM408" s="70"/>
      <c r="AN408" s="70"/>
      <c r="AO408" s="70"/>
      <c r="AP408" s="65"/>
      <c r="AQ408" s="65"/>
      <c r="AR408" s="65"/>
      <c r="AS408" s="70"/>
      <c r="AT408" s="70"/>
      <c r="AU408" s="70"/>
      <c r="AV408" s="70"/>
      <c r="AW408" s="70"/>
      <c r="AX408" s="70"/>
      <c r="AY408" s="65"/>
      <c r="AZ408" s="65"/>
      <c r="BA408" s="65"/>
      <c r="BB408" s="65"/>
      <c r="BC408" s="65"/>
      <c r="BD408" s="65"/>
      <c r="BE408" s="65"/>
      <c r="BF408" s="65"/>
      <c r="BG408" s="65"/>
      <c r="BH408" s="65"/>
      <c r="BI408" s="65"/>
      <c r="BJ408" s="65"/>
      <c r="BK408" s="65"/>
      <c r="BL408" s="65"/>
      <c r="BM408" s="65"/>
      <c r="BN408" s="65"/>
      <c r="BO408" s="65"/>
      <c r="BP408" s="65"/>
      <c r="BQ408" s="65"/>
      <c r="BR408" s="65"/>
      <c r="BS408" s="65"/>
      <c r="BT408" s="65"/>
      <c r="BU408" s="65"/>
      <c r="BV408" s="65"/>
      <c r="BW408" s="65"/>
      <c r="BX408" s="65"/>
      <c r="BY408" s="65"/>
      <c r="BZ408" s="65"/>
      <c r="CA408" s="65"/>
      <c r="CB408" s="65"/>
      <c r="CC408" s="65"/>
      <c r="CD408" s="65"/>
      <c r="CE408" s="65"/>
      <c r="CF408" s="65"/>
      <c r="CG408" s="65"/>
      <c r="CH408" s="65"/>
      <c r="CI408" s="65"/>
      <c r="CJ408" s="65"/>
      <c r="CK408" s="65"/>
      <c r="CL408" s="65"/>
      <c r="CM408" s="65"/>
      <c r="CN408" s="65"/>
      <c r="CO408" s="65"/>
      <c r="CP408" s="65"/>
      <c r="CQ408" s="65"/>
      <c r="CR408" s="65"/>
      <c r="CS408" s="65"/>
      <c r="CT408" s="65"/>
      <c r="CU408" s="65"/>
      <c r="CV408" s="65"/>
      <c r="CW408" s="65"/>
      <c r="CX408" s="65"/>
      <c r="CY408" s="65"/>
      <c r="CZ408" s="65"/>
      <c r="DA408" s="65"/>
      <c r="DB408" s="65"/>
      <c r="DC408" s="65"/>
      <c r="DD408" s="65"/>
      <c r="DE408" s="65"/>
      <c r="DF408" s="65"/>
      <c r="DG408" s="65"/>
      <c r="DH408" s="65"/>
      <c r="DI408" s="65"/>
      <c r="DJ408" s="65"/>
      <c r="DK408" s="65"/>
      <c r="DL408" s="65"/>
      <c r="DM408" s="65"/>
      <c r="DN408" s="65"/>
      <c r="DO408" s="65"/>
      <c r="DP408" s="65"/>
      <c r="DQ408" s="65"/>
      <c r="DR408" s="65"/>
      <c r="DS408" s="65"/>
      <c r="DT408" s="65"/>
    </row>
    <row r="409" spans="1:124" ht="21.75" customHeight="1">
      <c r="A409" s="311"/>
      <c r="B409" s="229" t="s">
        <v>451</v>
      </c>
      <c r="C409" s="230"/>
      <c r="D409" s="231"/>
      <c r="E409" s="113"/>
      <c r="F409" s="113"/>
      <c r="G409" s="113"/>
      <c r="H409" s="113"/>
      <c r="I409" s="113"/>
      <c r="J409" s="113"/>
      <c r="K409" s="113"/>
      <c r="L409" s="114"/>
      <c r="M409" s="114"/>
      <c r="N409" s="114"/>
      <c r="O409" s="114"/>
      <c r="P409" s="114"/>
      <c r="Q409" s="114"/>
      <c r="R409" s="114"/>
      <c r="S409" s="114"/>
      <c r="T409" s="114"/>
      <c r="U409" s="114"/>
      <c r="V409" s="114"/>
      <c r="W409" s="114"/>
      <c r="X409" s="113"/>
      <c r="Y409" s="113"/>
      <c r="Z409" s="113"/>
      <c r="AA409" s="113"/>
      <c r="AB409" s="113"/>
      <c r="AC409" s="113"/>
      <c r="AD409" s="113"/>
      <c r="AE409" s="113"/>
      <c r="AF409" s="113"/>
      <c r="AG409" s="113"/>
      <c r="AH409" s="113"/>
      <c r="AI409" s="113"/>
      <c r="AJ409" s="113"/>
      <c r="AK409" s="113"/>
      <c r="AL409" s="113"/>
      <c r="AM409" s="113"/>
      <c r="AN409" s="113"/>
      <c r="AO409" s="113"/>
      <c r="AP409" s="114"/>
      <c r="AQ409" s="114"/>
      <c r="AR409" s="114"/>
      <c r="AS409" s="113"/>
      <c r="AT409" s="113"/>
      <c r="AU409" s="113"/>
      <c r="AV409" s="113"/>
      <c r="AW409" s="113"/>
      <c r="AX409" s="113"/>
      <c r="AY409" s="114"/>
      <c r="AZ409" s="114"/>
      <c r="BA409" s="114"/>
      <c r="BB409" s="114"/>
      <c r="BC409" s="114"/>
      <c r="BD409" s="114"/>
      <c r="BE409" s="114"/>
      <c r="BF409" s="114"/>
      <c r="BG409" s="114"/>
      <c r="BH409" s="114"/>
      <c r="BI409" s="114"/>
      <c r="BJ409" s="114"/>
      <c r="BK409" s="114"/>
      <c r="BL409" s="114"/>
      <c r="BM409" s="114"/>
      <c r="BN409" s="114"/>
      <c r="BO409" s="114"/>
      <c r="BP409" s="114"/>
      <c r="BQ409" s="114"/>
      <c r="BR409" s="114"/>
      <c r="BS409" s="114"/>
      <c r="BT409" s="114"/>
      <c r="BU409" s="114"/>
      <c r="BV409" s="114"/>
      <c r="BW409" s="114"/>
      <c r="BX409" s="114"/>
      <c r="BY409" s="114"/>
      <c r="BZ409" s="114"/>
      <c r="CA409" s="114"/>
      <c r="CB409" s="114"/>
      <c r="CC409" s="114"/>
      <c r="CD409" s="114"/>
      <c r="CE409" s="114"/>
      <c r="CF409" s="114"/>
      <c r="CG409" s="114"/>
      <c r="CH409" s="114"/>
      <c r="CI409" s="114"/>
      <c r="CJ409" s="114"/>
      <c r="CK409" s="114"/>
      <c r="CL409" s="114"/>
      <c r="CM409" s="114"/>
      <c r="CN409" s="114"/>
      <c r="CO409" s="114"/>
      <c r="CP409" s="114"/>
      <c r="CQ409" s="114"/>
      <c r="CR409" s="114"/>
      <c r="CS409" s="114"/>
      <c r="CT409" s="114"/>
      <c r="CU409" s="114"/>
      <c r="CV409" s="114"/>
      <c r="CW409" s="114"/>
      <c r="CX409" s="114"/>
      <c r="CY409" s="114"/>
      <c r="CZ409" s="114"/>
      <c r="DA409" s="114"/>
      <c r="DB409" s="114"/>
      <c r="DC409" s="114"/>
      <c r="DD409" s="114"/>
      <c r="DE409" s="114"/>
      <c r="DF409" s="114"/>
      <c r="DG409" s="114"/>
      <c r="DH409" s="114"/>
      <c r="DI409" s="114"/>
      <c r="DJ409" s="114"/>
      <c r="DK409" s="114"/>
      <c r="DL409" s="114"/>
      <c r="DM409" s="114"/>
      <c r="DN409" s="114"/>
      <c r="DO409" s="114"/>
      <c r="DP409" s="114"/>
      <c r="DQ409" s="114"/>
      <c r="DR409" s="114"/>
      <c r="DS409" s="114"/>
      <c r="DT409" s="114"/>
    </row>
    <row r="410" spans="1:124" ht="21.75" customHeight="1">
      <c r="A410" s="311"/>
      <c r="B410" s="232"/>
      <c r="C410" s="233"/>
      <c r="D410" s="234"/>
      <c r="E410" s="113"/>
      <c r="F410" s="113"/>
      <c r="G410" s="113"/>
      <c r="H410" s="113"/>
      <c r="I410" s="113"/>
      <c r="J410" s="113"/>
      <c r="K410" s="113"/>
      <c r="L410" s="114"/>
      <c r="M410" s="114"/>
      <c r="N410" s="114"/>
      <c r="O410" s="114"/>
      <c r="P410" s="114"/>
      <c r="Q410" s="114"/>
      <c r="R410" s="114"/>
      <c r="S410" s="114"/>
      <c r="T410" s="114"/>
      <c r="U410" s="114"/>
      <c r="V410" s="114"/>
      <c r="W410" s="114"/>
      <c r="X410" s="113"/>
      <c r="Y410" s="113"/>
      <c r="Z410" s="113"/>
      <c r="AA410" s="113"/>
      <c r="AB410" s="113"/>
      <c r="AC410" s="113"/>
      <c r="AD410" s="113"/>
      <c r="AE410" s="113"/>
      <c r="AF410" s="113"/>
      <c r="AG410" s="113"/>
      <c r="AH410" s="113"/>
      <c r="AI410" s="113"/>
      <c r="AJ410" s="113"/>
      <c r="AK410" s="113"/>
      <c r="AL410" s="113"/>
      <c r="AM410" s="113"/>
      <c r="AN410" s="113"/>
      <c r="AO410" s="113"/>
      <c r="AP410" s="114"/>
      <c r="AQ410" s="114"/>
      <c r="AR410" s="114"/>
      <c r="AS410" s="113"/>
      <c r="AT410" s="113"/>
      <c r="AU410" s="113"/>
      <c r="AV410" s="113"/>
      <c r="AW410" s="113"/>
      <c r="AX410" s="113"/>
      <c r="AY410" s="114"/>
      <c r="AZ410" s="114"/>
      <c r="BA410" s="114"/>
      <c r="BB410" s="114"/>
      <c r="BC410" s="114"/>
      <c r="BD410" s="114"/>
      <c r="BE410" s="114"/>
      <c r="BF410" s="114"/>
      <c r="BG410" s="114"/>
      <c r="BH410" s="114"/>
      <c r="BI410" s="114"/>
      <c r="BJ410" s="114"/>
      <c r="BK410" s="114"/>
      <c r="BL410" s="114"/>
      <c r="BM410" s="114"/>
      <c r="BN410" s="114"/>
      <c r="BO410" s="114"/>
      <c r="BP410" s="114"/>
      <c r="BQ410" s="114"/>
      <c r="BR410" s="114"/>
      <c r="BS410" s="114"/>
      <c r="BT410" s="114"/>
      <c r="BU410" s="114"/>
      <c r="BV410" s="114"/>
      <c r="BW410" s="114"/>
      <c r="BX410" s="114"/>
      <c r="BY410" s="114"/>
      <c r="BZ410" s="114"/>
      <c r="CA410" s="114"/>
      <c r="CB410" s="114"/>
      <c r="CC410" s="114"/>
      <c r="CD410" s="114"/>
      <c r="CE410" s="114"/>
      <c r="CF410" s="114"/>
      <c r="CG410" s="114"/>
      <c r="CH410" s="114"/>
      <c r="CI410" s="114"/>
      <c r="CJ410" s="114"/>
      <c r="CK410" s="114"/>
      <c r="CL410" s="114"/>
      <c r="CM410" s="114"/>
      <c r="CN410" s="114"/>
      <c r="CO410" s="114"/>
      <c r="CP410" s="114"/>
      <c r="CQ410" s="114"/>
      <c r="CR410" s="114"/>
      <c r="CS410" s="114"/>
      <c r="CT410" s="114"/>
      <c r="CU410" s="114"/>
      <c r="CV410" s="114"/>
      <c r="CW410" s="114"/>
      <c r="CX410" s="114"/>
      <c r="CY410" s="114"/>
      <c r="CZ410" s="114"/>
      <c r="DA410" s="114"/>
      <c r="DB410" s="114"/>
      <c r="DC410" s="114"/>
      <c r="DD410" s="114"/>
      <c r="DE410" s="114"/>
      <c r="DF410" s="114"/>
      <c r="DG410" s="114"/>
      <c r="DH410" s="114"/>
      <c r="DI410" s="114"/>
      <c r="DJ410" s="114"/>
      <c r="DK410" s="114"/>
      <c r="DL410" s="114"/>
      <c r="DM410" s="114"/>
      <c r="DN410" s="114"/>
      <c r="DO410" s="114"/>
      <c r="DP410" s="114"/>
      <c r="DQ410" s="114"/>
      <c r="DR410" s="114"/>
      <c r="DS410" s="114"/>
      <c r="DT410" s="114"/>
    </row>
    <row r="411" spans="1:124" ht="21.75" customHeight="1">
      <c r="A411" s="311"/>
      <c r="B411" s="229" t="s">
        <v>26</v>
      </c>
      <c r="C411" s="230"/>
      <c r="D411" s="231"/>
      <c r="E411" s="69"/>
      <c r="F411" s="69"/>
      <c r="G411" s="69"/>
      <c r="H411" s="69"/>
      <c r="I411" s="69"/>
      <c r="J411" s="69"/>
      <c r="K411" s="69"/>
      <c r="L411" s="68"/>
      <c r="M411" s="68"/>
      <c r="N411" s="68"/>
      <c r="O411" s="68"/>
      <c r="P411" s="68"/>
      <c r="Q411" s="68"/>
      <c r="R411" s="68"/>
      <c r="S411" s="68"/>
      <c r="T411" s="68"/>
      <c r="U411" s="68"/>
      <c r="V411" s="68"/>
      <c r="W411" s="68"/>
      <c r="X411" s="69"/>
      <c r="Y411" s="69"/>
      <c r="Z411" s="69"/>
      <c r="AA411" s="69"/>
      <c r="AB411" s="69" t="s">
        <v>399</v>
      </c>
      <c r="AC411" s="69"/>
      <c r="AD411" s="94" t="s">
        <v>11</v>
      </c>
      <c r="AE411" s="69"/>
      <c r="AF411" s="69"/>
      <c r="AG411" s="69"/>
      <c r="AH411" s="69" t="s">
        <v>400</v>
      </c>
      <c r="AI411" s="69"/>
      <c r="AJ411" s="69"/>
      <c r="AK411" s="69" t="s">
        <v>376</v>
      </c>
      <c r="AL411" s="69"/>
      <c r="AM411" s="69"/>
      <c r="AN411" s="69" t="s">
        <v>384</v>
      </c>
      <c r="AO411" s="94" t="s">
        <v>11</v>
      </c>
      <c r="AP411" s="68"/>
      <c r="AQ411" s="68"/>
      <c r="AR411" s="68"/>
      <c r="AS411" s="69"/>
      <c r="AT411" s="69"/>
      <c r="AU411" s="69"/>
      <c r="AV411" s="69"/>
      <c r="AW411" s="69"/>
      <c r="AX411" s="69"/>
      <c r="AY411" s="68"/>
      <c r="AZ411" s="68"/>
      <c r="BA411" s="68"/>
      <c r="BB411" s="68"/>
      <c r="BC411" s="68"/>
      <c r="BD411" s="68"/>
      <c r="BE411" s="68"/>
      <c r="BF411" s="68"/>
      <c r="BG411" s="68"/>
      <c r="BH411" s="68"/>
      <c r="BI411" s="68"/>
      <c r="BJ411" s="68"/>
      <c r="BK411" s="68"/>
      <c r="BL411" s="68"/>
      <c r="BM411" s="68"/>
      <c r="BN411" s="68" t="s">
        <v>382</v>
      </c>
      <c r="BO411" s="68"/>
      <c r="BP411" s="68"/>
      <c r="BQ411" s="68"/>
      <c r="BR411" s="68"/>
      <c r="BS411" s="68" t="s">
        <v>382</v>
      </c>
      <c r="BT411" s="68"/>
      <c r="BU411" s="68"/>
      <c r="BV411" s="62" t="s">
        <v>497</v>
      </c>
      <c r="BW411" s="68"/>
      <c r="BX411" s="68"/>
      <c r="BY411" s="68"/>
      <c r="BZ411" s="68"/>
      <c r="CA411" s="68"/>
      <c r="CB411" s="68"/>
      <c r="CC411" s="68"/>
      <c r="CD411" s="68"/>
      <c r="CE411" s="68"/>
      <c r="CF411" s="68"/>
      <c r="CG411" s="68"/>
      <c r="CH411" s="68"/>
      <c r="CI411" s="68"/>
      <c r="CJ411" s="68"/>
      <c r="CK411" s="68"/>
      <c r="CL411" s="68"/>
      <c r="CM411" s="68"/>
      <c r="CN411" s="68"/>
      <c r="CO411" s="68"/>
      <c r="CP411" s="68"/>
      <c r="CQ411" s="68"/>
      <c r="CR411" s="68"/>
      <c r="CS411" s="68"/>
      <c r="CT411" s="68"/>
      <c r="CU411" s="68"/>
      <c r="CV411" s="68"/>
      <c r="CW411" s="68"/>
      <c r="CX411" s="68"/>
      <c r="CY411" s="68"/>
      <c r="CZ411" s="68"/>
      <c r="DA411" s="68"/>
      <c r="DB411" s="68"/>
      <c r="DC411" s="68"/>
      <c r="DD411" s="68"/>
      <c r="DE411" s="68"/>
      <c r="DF411" s="68"/>
      <c r="DG411" s="68"/>
      <c r="DH411" s="68"/>
      <c r="DI411" s="68"/>
      <c r="DJ411" s="68"/>
      <c r="DK411" s="68"/>
      <c r="DL411" s="68"/>
      <c r="DM411" s="68"/>
      <c r="DN411" s="68"/>
      <c r="DO411" s="68"/>
      <c r="DP411" s="68"/>
      <c r="DQ411" s="68"/>
      <c r="DR411" s="68"/>
      <c r="DS411" s="68"/>
      <c r="DT411" s="68"/>
    </row>
    <row r="412" spans="1:124" ht="21.75" customHeight="1">
      <c r="A412" s="311"/>
      <c r="B412" s="232"/>
      <c r="C412" s="233"/>
      <c r="D412" s="234"/>
      <c r="E412" s="70"/>
      <c r="F412" s="70"/>
      <c r="G412" s="70"/>
      <c r="H412" s="70"/>
      <c r="I412" s="70"/>
      <c r="J412" s="70"/>
      <c r="K412" s="70"/>
      <c r="L412" s="65"/>
      <c r="M412" s="65"/>
      <c r="N412" s="65"/>
      <c r="O412" s="65"/>
      <c r="P412" s="65"/>
      <c r="Q412" s="65"/>
      <c r="R412" s="65"/>
      <c r="S412" s="65"/>
      <c r="T412" s="65"/>
      <c r="U412" s="65"/>
      <c r="V412" s="65"/>
      <c r="W412" s="65"/>
      <c r="X412" s="70"/>
      <c r="Y412" s="70"/>
      <c r="Z412" s="70"/>
      <c r="AA412" s="70"/>
      <c r="AB412" s="70">
        <f>50/0.885</f>
        <v>56.497175141242934</v>
      </c>
      <c r="AC412" s="70"/>
      <c r="AD412" s="72">
        <v>75</v>
      </c>
      <c r="AE412" s="70"/>
      <c r="AF412" s="70"/>
      <c r="AG412" s="70"/>
      <c r="AH412" s="70">
        <f>65/0.885</f>
        <v>73.44632768361582</v>
      </c>
      <c r="AI412" s="70"/>
      <c r="AJ412" s="70"/>
      <c r="AK412" s="70">
        <f>80/0.91</f>
        <v>87.912087912087912</v>
      </c>
      <c r="AL412" s="70"/>
      <c r="AM412" s="70"/>
      <c r="AN412" s="70">
        <f>75/0.91</f>
        <v>82.417582417582409</v>
      </c>
      <c r="AO412" s="72">
        <v>85</v>
      </c>
      <c r="AP412" s="65"/>
      <c r="AQ412" s="65"/>
      <c r="AR412" s="65"/>
      <c r="AS412" s="70"/>
      <c r="AT412" s="70"/>
      <c r="AU412" s="70"/>
      <c r="AV412" s="70"/>
      <c r="AW412" s="70"/>
      <c r="AX412" s="70"/>
      <c r="AY412" s="65"/>
      <c r="AZ412" s="65"/>
      <c r="BA412" s="65"/>
      <c r="BB412" s="65"/>
      <c r="BC412" s="65"/>
      <c r="BD412" s="65"/>
      <c r="BE412" s="65"/>
      <c r="BF412" s="65"/>
      <c r="BG412" s="65"/>
      <c r="BH412" s="65"/>
      <c r="BI412" s="65"/>
      <c r="BJ412" s="65"/>
      <c r="BK412" s="65"/>
      <c r="BL412" s="65"/>
      <c r="BM412" s="65"/>
      <c r="BN412" s="65">
        <f>75/0.885</f>
        <v>84.745762711864401</v>
      </c>
      <c r="BO412" s="65"/>
      <c r="BP412" s="65"/>
      <c r="BQ412" s="65"/>
      <c r="BR412" s="65"/>
      <c r="BS412" s="65">
        <f>85/0.885</f>
        <v>96.045197740112997</v>
      </c>
      <c r="BT412" s="65"/>
      <c r="BU412" s="65"/>
      <c r="BV412" s="67">
        <v>95</v>
      </c>
      <c r="BW412" s="65"/>
      <c r="BX412" s="65"/>
      <c r="BY412" s="65"/>
      <c r="BZ412" s="65"/>
      <c r="CA412" s="65"/>
      <c r="CB412" s="65"/>
      <c r="CC412" s="65"/>
      <c r="CD412" s="65"/>
      <c r="CE412" s="65"/>
      <c r="CF412" s="65"/>
      <c r="CG412" s="65"/>
      <c r="CH412" s="65"/>
      <c r="CI412" s="65"/>
      <c r="CJ412" s="65"/>
      <c r="CK412" s="65"/>
      <c r="CL412" s="65"/>
      <c r="CM412" s="65"/>
      <c r="CN412" s="65"/>
      <c r="CO412" s="65"/>
      <c r="CP412" s="65"/>
      <c r="CQ412" s="65"/>
      <c r="CR412" s="65"/>
      <c r="CS412" s="65"/>
      <c r="CT412" s="65"/>
      <c r="CU412" s="65"/>
      <c r="CV412" s="65"/>
      <c r="CW412" s="65"/>
      <c r="CX412" s="65"/>
      <c r="CY412" s="65"/>
      <c r="CZ412" s="65"/>
      <c r="DA412" s="65"/>
      <c r="DB412" s="65"/>
      <c r="DC412" s="65"/>
      <c r="DD412" s="65"/>
      <c r="DE412" s="65"/>
      <c r="DF412" s="65"/>
      <c r="DG412" s="65"/>
      <c r="DH412" s="65"/>
      <c r="DI412" s="65"/>
      <c r="DJ412" s="65"/>
      <c r="DK412" s="65"/>
      <c r="DL412" s="65"/>
      <c r="DM412" s="65"/>
      <c r="DN412" s="65"/>
      <c r="DO412" s="65"/>
      <c r="DP412" s="65"/>
      <c r="DQ412" s="65"/>
      <c r="DR412" s="65"/>
      <c r="DS412" s="65"/>
      <c r="DT412" s="65"/>
    </row>
    <row r="413" spans="1:124" ht="21.75" customHeight="1">
      <c r="A413" s="311"/>
      <c r="B413" s="229" t="s">
        <v>53</v>
      </c>
      <c r="C413" s="230"/>
      <c r="D413" s="231"/>
      <c r="E413" s="69"/>
      <c r="F413" s="69"/>
      <c r="G413" s="69"/>
      <c r="H413" s="69"/>
      <c r="I413" s="69"/>
      <c r="J413" s="69"/>
      <c r="K413" s="69"/>
      <c r="L413" s="68"/>
      <c r="M413" s="68"/>
      <c r="N413" s="68"/>
      <c r="O413" s="68"/>
      <c r="P413" s="68"/>
      <c r="Q413" s="68"/>
      <c r="R413" s="68"/>
      <c r="S413" s="68"/>
      <c r="T413" s="68"/>
      <c r="U413" s="68"/>
      <c r="V413" s="68"/>
      <c r="W413" s="68"/>
      <c r="X413" s="69"/>
      <c r="Y413" s="69"/>
      <c r="Z413" s="69" t="s">
        <v>392</v>
      </c>
      <c r="AA413" s="69"/>
      <c r="AB413" s="69"/>
      <c r="AC413" s="69"/>
      <c r="AD413" s="69"/>
      <c r="AE413" s="69"/>
      <c r="AF413" s="69"/>
      <c r="AG413" s="69"/>
      <c r="AH413" s="69"/>
      <c r="AI413" s="69"/>
      <c r="AJ413" s="69"/>
      <c r="AK413" s="69"/>
      <c r="AL413" s="69"/>
      <c r="AM413" s="69"/>
      <c r="AN413" s="69"/>
      <c r="AO413" s="69"/>
      <c r="AP413" s="68"/>
      <c r="AQ413" s="68"/>
      <c r="AR413" s="68"/>
      <c r="AS413" s="69"/>
      <c r="AT413" s="69"/>
      <c r="AU413" s="69"/>
      <c r="AV413" s="69"/>
      <c r="AW413" s="69"/>
      <c r="AX413" s="69"/>
      <c r="AY413" s="68"/>
      <c r="AZ413" s="68"/>
      <c r="BA413" s="68"/>
      <c r="BB413" s="68"/>
      <c r="BC413" s="68"/>
      <c r="BD413" s="68"/>
      <c r="BE413" s="68"/>
      <c r="BF413" s="68"/>
      <c r="BG413" s="68"/>
      <c r="BH413" s="68"/>
      <c r="BI413" s="68"/>
      <c r="BJ413" s="68"/>
      <c r="BK413" s="68"/>
      <c r="BL413" s="68"/>
      <c r="BM413" s="68"/>
      <c r="BN413" s="68"/>
      <c r="BO413" s="68"/>
      <c r="BP413" s="68"/>
      <c r="BQ413" s="68"/>
      <c r="BR413" s="68"/>
      <c r="BS413" s="68"/>
      <c r="BT413" s="68"/>
      <c r="BU413" s="68"/>
      <c r="BV413" s="68"/>
      <c r="BW413" s="68"/>
      <c r="BX413" s="68"/>
      <c r="BY413" s="68"/>
      <c r="BZ413" s="68"/>
      <c r="CA413" s="68"/>
      <c r="CB413" s="68"/>
      <c r="CC413" s="68"/>
      <c r="CD413" s="68"/>
      <c r="CE413" s="68"/>
      <c r="CF413" s="68"/>
      <c r="CG413" s="68"/>
      <c r="CH413" s="68"/>
      <c r="CI413" s="68"/>
      <c r="CJ413" s="68"/>
      <c r="CK413" s="68"/>
      <c r="CL413" s="68"/>
      <c r="CM413" s="68"/>
      <c r="CN413" s="68"/>
      <c r="CO413" s="68"/>
      <c r="CP413" s="68"/>
      <c r="CQ413" s="68"/>
      <c r="CR413" s="68"/>
      <c r="CS413" s="68"/>
      <c r="CT413" s="68"/>
      <c r="CU413" s="68"/>
      <c r="CV413" s="68"/>
      <c r="CW413" s="68"/>
      <c r="CX413" s="68"/>
      <c r="CY413" s="68"/>
      <c r="CZ413" s="68"/>
      <c r="DA413" s="68"/>
      <c r="DB413" s="68"/>
      <c r="DC413" s="68"/>
      <c r="DD413" s="68"/>
      <c r="DE413" s="68"/>
      <c r="DF413" s="68"/>
      <c r="DG413" s="68"/>
      <c r="DH413" s="68"/>
      <c r="DI413" s="68"/>
      <c r="DJ413" s="68"/>
      <c r="DK413" s="68"/>
      <c r="DL413" s="68"/>
      <c r="DM413" s="68"/>
      <c r="DN413" s="68"/>
      <c r="DO413" s="68"/>
      <c r="DP413" s="68"/>
      <c r="DQ413" s="68"/>
      <c r="DR413" s="68"/>
      <c r="DS413" s="68"/>
      <c r="DT413" s="68"/>
    </row>
    <row r="414" spans="1:124" ht="21.75" customHeight="1">
      <c r="A414" s="311"/>
      <c r="B414" s="232"/>
      <c r="C414" s="233"/>
      <c r="D414" s="234"/>
      <c r="E414" s="70"/>
      <c r="F414" s="70"/>
      <c r="G414" s="70"/>
      <c r="H414" s="70"/>
      <c r="I414" s="70"/>
      <c r="J414" s="70"/>
      <c r="K414" s="70"/>
      <c r="L414" s="65"/>
      <c r="M414" s="65"/>
      <c r="N414" s="65"/>
      <c r="O414" s="65"/>
      <c r="P414" s="65"/>
      <c r="Q414" s="65"/>
      <c r="R414" s="65"/>
      <c r="S414" s="65"/>
      <c r="T414" s="65"/>
      <c r="U414" s="65"/>
      <c r="V414" s="65"/>
      <c r="W414" s="65"/>
      <c r="X414" s="70"/>
      <c r="Y414" s="70"/>
      <c r="Z414" s="70">
        <f>70/0.86</f>
        <v>81.395348837209298</v>
      </c>
      <c r="AA414" s="70"/>
      <c r="AB414" s="70"/>
      <c r="AC414" s="70"/>
      <c r="AD414" s="70"/>
      <c r="AE414" s="70"/>
      <c r="AF414" s="70"/>
      <c r="AG414" s="70"/>
      <c r="AH414" s="70"/>
      <c r="AI414" s="70"/>
      <c r="AJ414" s="70"/>
      <c r="AK414" s="70"/>
      <c r="AL414" s="70"/>
      <c r="AM414" s="70"/>
      <c r="AN414" s="70"/>
      <c r="AO414" s="70"/>
      <c r="AP414" s="65"/>
      <c r="AQ414" s="65"/>
      <c r="AR414" s="65"/>
      <c r="AS414" s="70"/>
      <c r="AT414" s="70"/>
      <c r="AU414" s="70"/>
      <c r="AV414" s="70"/>
      <c r="AW414" s="70"/>
      <c r="AX414" s="70"/>
      <c r="AY414" s="65"/>
      <c r="AZ414" s="65"/>
      <c r="BA414" s="65"/>
      <c r="BB414" s="65"/>
      <c r="BC414" s="65"/>
      <c r="BD414" s="65"/>
      <c r="BE414" s="65"/>
      <c r="BF414" s="65"/>
      <c r="BG414" s="65"/>
      <c r="BH414" s="65"/>
      <c r="BI414" s="65"/>
      <c r="BJ414" s="65"/>
      <c r="BK414" s="65"/>
      <c r="BL414" s="65"/>
      <c r="BM414" s="65"/>
      <c r="BN414" s="65"/>
      <c r="BO414" s="65"/>
      <c r="BP414" s="65"/>
      <c r="BQ414" s="65"/>
      <c r="BR414" s="65"/>
      <c r="BS414" s="65"/>
      <c r="BT414" s="65"/>
      <c r="BU414" s="65"/>
      <c r="BV414" s="65"/>
      <c r="BW414" s="65"/>
      <c r="BX414" s="65"/>
      <c r="BY414" s="65"/>
      <c r="BZ414" s="65"/>
      <c r="CA414" s="65"/>
      <c r="CB414" s="65"/>
      <c r="CC414" s="65"/>
      <c r="CD414" s="65"/>
      <c r="CE414" s="65"/>
      <c r="CF414" s="65"/>
      <c r="CG414" s="65"/>
      <c r="CH414" s="65"/>
      <c r="CI414" s="65"/>
      <c r="CJ414" s="65"/>
      <c r="CK414" s="65"/>
      <c r="CL414" s="65"/>
      <c r="CM414" s="65"/>
      <c r="CN414" s="65"/>
      <c r="CO414" s="65"/>
      <c r="CP414" s="65"/>
      <c r="CQ414" s="65"/>
      <c r="CR414" s="65"/>
      <c r="CS414" s="65"/>
      <c r="CT414" s="65"/>
      <c r="CU414" s="65"/>
      <c r="CV414" s="65"/>
      <c r="CW414" s="65"/>
      <c r="CX414" s="65"/>
      <c r="CY414" s="65"/>
      <c r="CZ414" s="65"/>
      <c r="DA414" s="65"/>
      <c r="DB414" s="65"/>
      <c r="DC414" s="65"/>
      <c r="DD414" s="65"/>
      <c r="DE414" s="65"/>
      <c r="DF414" s="65"/>
      <c r="DG414" s="65"/>
      <c r="DH414" s="65"/>
      <c r="DI414" s="65"/>
      <c r="DJ414" s="65"/>
      <c r="DK414" s="65"/>
      <c r="DL414" s="65"/>
      <c r="DM414" s="65"/>
      <c r="DN414" s="65"/>
      <c r="DO414" s="65"/>
      <c r="DP414" s="65"/>
      <c r="DQ414" s="65"/>
      <c r="DR414" s="65"/>
      <c r="DS414" s="65"/>
      <c r="DT414" s="65"/>
    </row>
    <row r="415" spans="1:124" ht="21.75" customHeight="1">
      <c r="A415" s="311"/>
      <c r="B415" s="229" t="s">
        <v>46</v>
      </c>
      <c r="C415" s="230"/>
      <c r="D415" s="231"/>
      <c r="E415" s="69"/>
      <c r="F415" s="69"/>
      <c r="G415" s="69"/>
      <c r="H415" s="69"/>
      <c r="I415" s="69"/>
      <c r="J415" s="69"/>
      <c r="K415" s="69"/>
      <c r="L415" s="68"/>
      <c r="M415" s="68"/>
      <c r="N415" s="68"/>
      <c r="O415" s="68"/>
      <c r="P415" s="68"/>
      <c r="Q415" s="68"/>
      <c r="R415" s="68"/>
      <c r="S415" s="68"/>
      <c r="T415" s="68"/>
      <c r="U415" s="68"/>
      <c r="V415" s="68"/>
      <c r="W415" s="68"/>
      <c r="X415" s="69"/>
      <c r="Y415" s="69"/>
      <c r="Z415" s="69"/>
      <c r="AA415" s="69"/>
      <c r="AB415" s="69" t="s">
        <v>378</v>
      </c>
      <c r="AC415" s="69"/>
      <c r="AD415" s="69"/>
      <c r="AE415" s="69"/>
      <c r="AF415" s="69" t="s">
        <v>384</v>
      </c>
      <c r="AG415" s="69"/>
      <c r="AH415" s="69"/>
      <c r="AI415" s="69" t="s">
        <v>398</v>
      </c>
      <c r="AJ415" s="69"/>
      <c r="AK415" s="69"/>
      <c r="AL415" s="69" t="s">
        <v>402</v>
      </c>
      <c r="AM415" s="69"/>
      <c r="AN415" s="69"/>
      <c r="AO415" s="69"/>
      <c r="AP415" s="68"/>
      <c r="AQ415" s="68"/>
      <c r="AR415" s="68" t="s">
        <v>402</v>
      </c>
      <c r="AS415" s="69"/>
      <c r="AT415" s="69"/>
      <c r="AU415" s="69"/>
      <c r="AV415" s="69" t="s">
        <v>378</v>
      </c>
      <c r="AW415" s="69"/>
      <c r="AX415" s="69"/>
      <c r="AY415" s="68"/>
      <c r="AZ415" s="68"/>
      <c r="BA415" s="68" t="s">
        <v>384</v>
      </c>
      <c r="BB415" s="68"/>
      <c r="BC415" s="68"/>
      <c r="BD415" s="68"/>
      <c r="BE415" s="68"/>
      <c r="BF415" s="68"/>
      <c r="BG415" s="68"/>
      <c r="BH415" s="68" t="s">
        <v>378</v>
      </c>
      <c r="BI415" s="68"/>
      <c r="BJ415" s="68"/>
      <c r="BK415" s="68" t="s">
        <v>396</v>
      </c>
      <c r="BL415" s="68"/>
      <c r="BM415" s="68"/>
      <c r="BN415" s="68"/>
      <c r="BO415" s="68"/>
      <c r="BP415" s="68"/>
      <c r="BQ415" s="68"/>
      <c r="BR415" s="68"/>
      <c r="BS415" s="68"/>
      <c r="BT415" s="68" t="s">
        <v>398</v>
      </c>
      <c r="BU415" s="68"/>
      <c r="BV415" s="68"/>
      <c r="BW415" s="68"/>
      <c r="BX415" s="68"/>
      <c r="BY415" s="68"/>
      <c r="BZ415" s="68"/>
      <c r="CA415" s="68"/>
      <c r="CB415" s="68"/>
      <c r="CC415" s="68"/>
      <c r="CD415" s="68"/>
      <c r="CE415" s="68"/>
      <c r="CF415" s="68"/>
      <c r="CG415" s="68"/>
      <c r="CH415" s="68"/>
      <c r="CI415" s="68"/>
      <c r="CJ415" s="68"/>
      <c r="CK415" s="68"/>
      <c r="CL415" s="68"/>
      <c r="CM415" s="68"/>
      <c r="CN415" s="68"/>
      <c r="CO415" s="68"/>
      <c r="CP415" s="68"/>
      <c r="CQ415" s="68"/>
      <c r="CR415" s="68"/>
      <c r="CS415" s="68"/>
      <c r="CT415" s="68"/>
      <c r="CU415" s="68"/>
      <c r="CV415" s="68"/>
      <c r="CW415" s="68"/>
      <c r="CX415" s="68"/>
      <c r="CY415" s="68"/>
      <c r="CZ415" s="68"/>
      <c r="DA415" s="68"/>
      <c r="DB415" s="68"/>
      <c r="DC415" s="68"/>
      <c r="DD415" s="68"/>
      <c r="DE415" s="68"/>
      <c r="DF415" s="68"/>
      <c r="DG415" s="68"/>
      <c r="DH415" s="68"/>
      <c r="DI415" s="68"/>
      <c r="DJ415" s="68"/>
      <c r="DK415" s="68"/>
      <c r="DL415" s="68"/>
      <c r="DM415" s="68"/>
      <c r="DN415" s="68"/>
      <c r="DO415" s="68"/>
      <c r="DP415" s="68"/>
      <c r="DQ415" s="68"/>
      <c r="DR415" s="68"/>
      <c r="DS415" s="68"/>
      <c r="DT415" s="68"/>
    </row>
    <row r="416" spans="1:124" ht="21.75" customHeight="1">
      <c r="A416" s="311"/>
      <c r="B416" s="232"/>
      <c r="C416" s="233"/>
      <c r="D416" s="234"/>
      <c r="E416" s="70"/>
      <c r="F416" s="70"/>
      <c r="G416" s="70"/>
      <c r="H416" s="70"/>
      <c r="I416" s="70"/>
      <c r="J416" s="70"/>
      <c r="K416" s="70"/>
      <c r="L416" s="65"/>
      <c r="M416" s="65"/>
      <c r="N416" s="65"/>
      <c r="O416" s="65"/>
      <c r="P416" s="65"/>
      <c r="Q416" s="65"/>
      <c r="R416" s="65"/>
      <c r="S416" s="65"/>
      <c r="T416" s="65"/>
      <c r="U416" s="65"/>
      <c r="V416" s="65"/>
      <c r="W416" s="65"/>
      <c r="X416" s="70"/>
      <c r="Y416" s="70"/>
      <c r="Z416" s="70"/>
      <c r="AA416" s="70"/>
      <c r="AB416" s="70">
        <f>55/0.86</f>
        <v>63.953488372093027</v>
      </c>
      <c r="AC416" s="70"/>
      <c r="AD416" s="70"/>
      <c r="AE416" s="70"/>
      <c r="AF416" s="70">
        <f>65/0.91</f>
        <v>71.428571428571431</v>
      </c>
      <c r="AG416" s="70"/>
      <c r="AH416" s="70"/>
      <c r="AI416" s="70">
        <f>70/0.91</f>
        <v>76.92307692307692</v>
      </c>
      <c r="AJ416" s="70"/>
      <c r="AK416" s="70"/>
      <c r="AL416" s="70">
        <f>80/0.935</f>
        <v>85.561497326203209</v>
      </c>
      <c r="AM416" s="70"/>
      <c r="AN416" s="70"/>
      <c r="AO416" s="70"/>
      <c r="AP416" s="65"/>
      <c r="AQ416" s="65"/>
      <c r="AR416" s="65">
        <f>80/0.935</f>
        <v>85.561497326203209</v>
      </c>
      <c r="AS416" s="70"/>
      <c r="AT416" s="70"/>
      <c r="AU416" s="70"/>
      <c r="AV416" s="70">
        <f>75/0.86</f>
        <v>87.20930232558139</v>
      </c>
      <c r="AW416" s="70"/>
      <c r="AX416" s="70"/>
      <c r="AY416" s="65"/>
      <c r="AZ416" s="65"/>
      <c r="BA416" s="65">
        <f>75/0.885</f>
        <v>84.745762711864401</v>
      </c>
      <c r="BB416" s="65"/>
      <c r="BC416" s="65"/>
      <c r="BD416" s="65"/>
      <c r="BE416" s="65"/>
      <c r="BF416" s="65"/>
      <c r="BG416" s="65"/>
      <c r="BH416" s="65">
        <f>70/0.86</f>
        <v>81.395348837209298</v>
      </c>
      <c r="BI416" s="65"/>
      <c r="BJ416" s="65"/>
      <c r="BK416" s="65">
        <f>75/0.86</f>
        <v>87.20930232558139</v>
      </c>
      <c r="BL416" s="65"/>
      <c r="BM416" s="65"/>
      <c r="BN416" s="65"/>
      <c r="BO416" s="65"/>
      <c r="BP416" s="65"/>
      <c r="BQ416" s="65"/>
      <c r="BR416" s="65"/>
      <c r="BS416" s="65"/>
      <c r="BT416" s="65">
        <f>80/0.91</f>
        <v>87.912087912087912</v>
      </c>
      <c r="BU416" s="65"/>
      <c r="BV416" s="65"/>
      <c r="BW416" s="65"/>
      <c r="BX416" s="65"/>
      <c r="BY416" s="65"/>
      <c r="BZ416" s="65"/>
      <c r="CA416" s="65"/>
      <c r="CB416" s="65"/>
      <c r="CC416" s="65"/>
      <c r="CD416" s="65"/>
      <c r="CE416" s="65"/>
      <c r="CF416" s="65"/>
      <c r="CG416" s="65"/>
      <c r="CH416" s="65"/>
      <c r="CI416" s="65"/>
      <c r="CJ416" s="65"/>
      <c r="CK416" s="65"/>
      <c r="CL416" s="65"/>
      <c r="CM416" s="65"/>
      <c r="CN416" s="65"/>
      <c r="CO416" s="65"/>
      <c r="CP416" s="65"/>
      <c r="CQ416" s="65"/>
      <c r="CR416" s="65"/>
      <c r="CS416" s="65"/>
      <c r="CT416" s="65"/>
      <c r="CU416" s="65"/>
      <c r="CV416" s="65"/>
      <c r="CW416" s="65"/>
      <c r="CX416" s="65"/>
      <c r="CY416" s="65"/>
      <c r="CZ416" s="65"/>
      <c r="DA416" s="65"/>
      <c r="DB416" s="65"/>
      <c r="DC416" s="65"/>
      <c r="DD416" s="65"/>
      <c r="DE416" s="65"/>
      <c r="DF416" s="65"/>
      <c r="DG416" s="65"/>
      <c r="DH416" s="65"/>
      <c r="DI416" s="65"/>
      <c r="DJ416" s="65"/>
      <c r="DK416" s="65"/>
      <c r="DL416" s="65"/>
      <c r="DM416" s="65"/>
      <c r="DN416" s="65"/>
      <c r="DO416" s="65"/>
      <c r="DP416" s="65"/>
      <c r="DQ416" s="65"/>
      <c r="DR416" s="65"/>
      <c r="DS416" s="65"/>
      <c r="DT416" s="65"/>
    </row>
    <row r="417" spans="1:124" ht="21.75" customHeight="1">
      <c r="A417" s="311"/>
      <c r="B417" s="229" t="s">
        <v>50</v>
      </c>
      <c r="C417" s="230"/>
      <c r="D417" s="231"/>
      <c r="E417" s="69"/>
      <c r="F417" s="69"/>
      <c r="G417" s="69"/>
      <c r="H417" s="69"/>
      <c r="I417" s="69"/>
      <c r="J417" s="69"/>
      <c r="K417" s="69"/>
      <c r="L417" s="68"/>
      <c r="M417" s="68"/>
      <c r="N417" s="68"/>
      <c r="O417" s="68"/>
      <c r="P417" s="68"/>
      <c r="Q417" s="68"/>
      <c r="R417" s="68"/>
      <c r="S417" s="68"/>
      <c r="T417" s="68"/>
      <c r="U417" s="68"/>
      <c r="V417" s="68"/>
      <c r="W417" s="68"/>
      <c r="X417" s="69"/>
      <c r="Y417" s="69" t="s">
        <v>395</v>
      </c>
      <c r="Z417" s="69"/>
      <c r="AA417" s="69"/>
      <c r="AB417" s="69"/>
      <c r="AC417" s="69" t="s">
        <v>383</v>
      </c>
      <c r="AD417" s="69"/>
      <c r="AE417" s="69"/>
      <c r="AF417" s="69"/>
      <c r="AG417" s="69"/>
      <c r="AH417" s="69"/>
      <c r="AI417" s="69"/>
      <c r="AJ417" s="69"/>
      <c r="AK417" s="69"/>
      <c r="AL417" s="69"/>
      <c r="AM417" s="69"/>
      <c r="AN417" s="69"/>
      <c r="AO417" s="69"/>
      <c r="AP417" s="68"/>
      <c r="AQ417" s="68"/>
      <c r="AR417" s="68"/>
      <c r="AS417" s="69"/>
      <c r="AT417" s="69"/>
      <c r="AU417" s="69"/>
      <c r="AV417" s="69"/>
      <c r="AW417" s="69"/>
      <c r="AX417" s="69"/>
      <c r="AY417" s="68"/>
      <c r="AZ417" s="68"/>
      <c r="BA417" s="68"/>
      <c r="BB417" s="68"/>
      <c r="BC417" s="68"/>
      <c r="BD417" s="68"/>
      <c r="BE417" s="68"/>
      <c r="BF417" s="68"/>
      <c r="BG417" s="68" t="s">
        <v>536</v>
      </c>
      <c r="BH417" s="68"/>
      <c r="BI417" s="68"/>
      <c r="BJ417" s="68" t="s">
        <v>537</v>
      </c>
      <c r="BK417" s="68"/>
      <c r="BL417" s="68"/>
      <c r="BM417" s="68"/>
      <c r="BN417" s="68"/>
      <c r="BO417" s="68"/>
      <c r="BP417" s="68" t="s">
        <v>536</v>
      </c>
      <c r="BQ417" s="68"/>
      <c r="BR417" s="68"/>
      <c r="BS417" s="68"/>
      <c r="BT417" s="68"/>
      <c r="BU417" s="68"/>
      <c r="BV417" s="68"/>
      <c r="BW417" s="68"/>
      <c r="BX417" s="68"/>
      <c r="BY417" s="68"/>
      <c r="BZ417" s="68"/>
      <c r="CA417" s="68"/>
      <c r="CB417" s="68"/>
      <c r="CC417" s="68"/>
      <c r="CD417" s="68"/>
      <c r="CE417" s="68"/>
      <c r="CF417" s="68"/>
      <c r="CG417" s="68"/>
      <c r="CH417" s="68"/>
      <c r="CI417" s="68"/>
      <c r="CJ417" s="68"/>
      <c r="CK417" s="68"/>
      <c r="CL417" s="68"/>
      <c r="CM417" s="68"/>
      <c r="CN417" s="68"/>
      <c r="CO417" s="68"/>
      <c r="CP417" s="68"/>
      <c r="CQ417" s="68"/>
      <c r="CR417" s="68"/>
      <c r="CS417" s="68"/>
      <c r="CT417" s="68"/>
      <c r="CU417" s="68"/>
      <c r="CV417" s="68"/>
      <c r="CW417" s="68"/>
      <c r="CX417" s="68"/>
      <c r="CY417" s="68"/>
      <c r="CZ417" s="68"/>
      <c r="DA417" s="68"/>
      <c r="DB417" s="68"/>
      <c r="DC417" s="68"/>
      <c r="DD417" s="68"/>
      <c r="DE417" s="68"/>
      <c r="DF417" s="68"/>
      <c r="DG417" s="68"/>
      <c r="DH417" s="68"/>
      <c r="DI417" s="68"/>
      <c r="DJ417" s="68"/>
      <c r="DK417" s="68"/>
      <c r="DL417" s="68"/>
      <c r="DM417" s="68"/>
      <c r="DN417" s="68"/>
      <c r="DO417" s="68"/>
      <c r="DP417" s="68"/>
      <c r="DQ417" s="68"/>
      <c r="DR417" s="68"/>
      <c r="DS417" s="68"/>
      <c r="DT417" s="68"/>
    </row>
    <row r="418" spans="1:124" ht="21.75" customHeight="1">
      <c r="A418" s="311"/>
      <c r="B418" s="232"/>
      <c r="C418" s="233"/>
      <c r="D418" s="234"/>
      <c r="E418" s="70"/>
      <c r="F418" s="70"/>
      <c r="G418" s="70"/>
      <c r="H418" s="70"/>
      <c r="I418" s="70"/>
      <c r="J418" s="70"/>
      <c r="K418" s="70"/>
      <c r="L418" s="65"/>
      <c r="M418" s="65"/>
      <c r="N418" s="65"/>
      <c r="O418" s="65"/>
      <c r="P418" s="65"/>
      <c r="Q418" s="65"/>
      <c r="R418" s="65"/>
      <c r="S418" s="65"/>
      <c r="T418" s="65"/>
      <c r="U418" s="65"/>
      <c r="V418" s="65"/>
      <c r="W418" s="65"/>
      <c r="X418" s="70"/>
      <c r="Y418" s="70">
        <f>150/0.785</f>
        <v>191.08280254777068</v>
      </c>
      <c r="Z418" s="70"/>
      <c r="AA418" s="70"/>
      <c r="AB418" s="70"/>
      <c r="AC418" s="70">
        <f>150/0.785</f>
        <v>191.08280254777068</v>
      </c>
      <c r="AD418" s="70"/>
      <c r="AE418" s="70"/>
      <c r="AF418" s="70"/>
      <c r="AG418" s="70"/>
      <c r="AH418" s="70"/>
      <c r="AI418" s="70"/>
      <c r="AJ418" s="70"/>
      <c r="AK418" s="70"/>
      <c r="AL418" s="70"/>
      <c r="AM418" s="70"/>
      <c r="AN418" s="70"/>
      <c r="AO418" s="70"/>
      <c r="AP418" s="65"/>
      <c r="AQ418" s="65"/>
      <c r="AR418" s="65"/>
      <c r="AS418" s="70"/>
      <c r="AT418" s="70"/>
      <c r="AU418" s="70"/>
      <c r="AV418" s="70"/>
      <c r="AW418" s="70"/>
      <c r="AX418" s="70"/>
      <c r="AY418" s="65"/>
      <c r="AZ418" s="65"/>
      <c r="BA418" s="65"/>
      <c r="BB418" s="65"/>
      <c r="BC418" s="65"/>
      <c r="BD418" s="65"/>
      <c r="BE418" s="65"/>
      <c r="BF418" s="65"/>
      <c r="BG418" s="65">
        <f>100/0.662</f>
        <v>151.05740181268882</v>
      </c>
      <c r="BH418" s="65"/>
      <c r="BI418" s="65"/>
      <c r="BJ418" s="65">
        <f>110/0.606</f>
        <v>181.51815181518151</v>
      </c>
      <c r="BK418" s="65"/>
      <c r="BL418" s="65"/>
      <c r="BM418" s="65"/>
      <c r="BN418" s="65"/>
      <c r="BO418" s="65"/>
      <c r="BP418" s="65">
        <f>140/0.662</f>
        <v>211.48036253776434</v>
      </c>
      <c r="BQ418" s="65"/>
      <c r="BR418" s="65"/>
      <c r="BS418" s="65"/>
      <c r="BT418" s="65"/>
      <c r="BU418" s="65"/>
      <c r="BV418" s="65"/>
      <c r="BW418" s="65"/>
      <c r="BX418" s="65"/>
      <c r="BY418" s="65"/>
      <c r="BZ418" s="65"/>
      <c r="CA418" s="65"/>
      <c r="CB418" s="65"/>
      <c r="CC418" s="65"/>
      <c r="CD418" s="65"/>
      <c r="CE418" s="65"/>
      <c r="CF418" s="65"/>
      <c r="CG418" s="65"/>
      <c r="CH418" s="65"/>
      <c r="CI418" s="65"/>
      <c r="CJ418" s="65"/>
      <c r="CK418" s="65"/>
      <c r="CL418" s="65"/>
      <c r="CM418" s="65"/>
      <c r="CN418" s="65"/>
      <c r="CO418" s="65"/>
      <c r="CP418" s="65"/>
      <c r="CQ418" s="65"/>
      <c r="CR418" s="65"/>
      <c r="CS418" s="65"/>
      <c r="CT418" s="65"/>
      <c r="CU418" s="65"/>
      <c r="CV418" s="65"/>
      <c r="CW418" s="65"/>
      <c r="CX418" s="65"/>
      <c r="CY418" s="65"/>
      <c r="CZ418" s="65"/>
      <c r="DA418" s="65"/>
      <c r="DB418" s="65"/>
      <c r="DC418" s="65"/>
      <c r="DD418" s="65"/>
      <c r="DE418" s="65"/>
      <c r="DF418" s="65"/>
      <c r="DG418" s="65"/>
      <c r="DH418" s="65"/>
      <c r="DI418" s="65"/>
      <c r="DJ418" s="65"/>
      <c r="DK418" s="65"/>
      <c r="DL418" s="65"/>
      <c r="DM418" s="65"/>
      <c r="DN418" s="65"/>
      <c r="DO418" s="65"/>
      <c r="DP418" s="65"/>
      <c r="DQ418" s="65"/>
      <c r="DR418" s="65"/>
      <c r="DS418" s="65"/>
      <c r="DT418" s="65"/>
    </row>
    <row r="419" spans="1:124" ht="21.75" customHeight="1">
      <c r="A419" s="311"/>
      <c r="B419" s="229" t="s">
        <v>108</v>
      </c>
      <c r="C419" s="230"/>
      <c r="D419" s="231"/>
      <c r="E419" s="69"/>
      <c r="F419" s="69"/>
      <c r="G419" s="69"/>
      <c r="H419" s="69"/>
      <c r="I419" s="69"/>
      <c r="J419" s="69"/>
      <c r="K419" s="69"/>
      <c r="L419" s="68"/>
      <c r="M419" s="68"/>
      <c r="N419" s="68"/>
      <c r="O419" s="68"/>
      <c r="P419" s="68"/>
      <c r="Q419" s="68"/>
      <c r="R419" s="68"/>
      <c r="S419" s="68"/>
      <c r="T419" s="68"/>
      <c r="U419" s="68"/>
      <c r="V419" s="68"/>
      <c r="W419" s="68"/>
      <c r="X419" s="69"/>
      <c r="Y419" s="69"/>
      <c r="Z419" s="69"/>
      <c r="AA419" s="69"/>
      <c r="AB419" s="69"/>
      <c r="AC419" s="69"/>
      <c r="AD419" s="69"/>
      <c r="AE419" s="69"/>
      <c r="AF419" s="69"/>
      <c r="AG419" s="69"/>
      <c r="AH419" s="69"/>
      <c r="AI419" s="69"/>
      <c r="AJ419" s="69" t="s">
        <v>396</v>
      </c>
      <c r="AK419" s="69"/>
      <c r="AL419" s="69"/>
      <c r="AM419" s="69"/>
      <c r="AN419" s="69"/>
      <c r="AO419" s="69"/>
      <c r="AP419" s="68"/>
      <c r="AQ419" s="68"/>
      <c r="AR419" s="68"/>
      <c r="AS419" s="69"/>
      <c r="AT419" s="69"/>
      <c r="AU419" s="69"/>
      <c r="AV419" s="69"/>
      <c r="AW419" s="69"/>
      <c r="AX419" s="69"/>
      <c r="AY419" s="68"/>
      <c r="AZ419" s="68"/>
      <c r="BA419" s="68"/>
      <c r="BB419" s="68"/>
      <c r="BC419" s="68"/>
      <c r="BD419" s="68"/>
      <c r="BE419" s="68"/>
      <c r="BF419" s="68"/>
      <c r="BG419" s="68"/>
      <c r="BH419" s="68"/>
      <c r="BI419" s="68"/>
      <c r="BJ419" s="68"/>
      <c r="BK419" s="68"/>
      <c r="BL419" s="68"/>
      <c r="BM419" s="68"/>
      <c r="BN419" s="68"/>
      <c r="BO419" s="68"/>
      <c r="BP419" s="68"/>
      <c r="BQ419" s="68"/>
      <c r="BR419" s="68"/>
      <c r="BS419" s="68"/>
      <c r="BT419" s="68"/>
      <c r="BU419" s="68"/>
      <c r="BV419" s="68"/>
      <c r="BW419" s="68"/>
      <c r="BX419" s="68"/>
      <c r="BY419" s="68"/>
      <c r="BZ419" s="68"/>
      <c r="CA419" s="68"/>
      <c r="CB419" s="68"/>
      <c r="CC419" s="68"/>
      <c r="CD419" s="68"/>
      <c r="CE419" s="68"/>
      <c r="CF419" s="68"/>
      <c r="CG419" s="68"/>
      <c r="CH419" s="68"/>
      <c r="CI419" s="68"/>
      <c r="CJ419" s="68"/>
      <c r="CK419" s="68"/>
      <c r="CL419" s="68"/>
      <c r="CM419" s="68"/>
      <c r="CN419" s="68"/>
      <c r="CO419" s="68"/>
      <c r="CP419" s="68"/>
      <c r="CQ419" s="68"/>
      <c r="CR419" s="68"/>
      <c r="CS419" s="68"/>
      <c r="CT419" s="68"/>
      <c r="CU419" s="68"/>
      <c r="CV419" s="68"/>
      <c r="CW419" s="68"/>
      <c r="CX419" s="68"/>
      <c r="CY419" s="68"/>
      <c r="CZ419" s="68"/>
      <c r="DA419" s="68"/>
      <c r="DB419" s="68"/>
      <c r="DC419" s="68"/>
      <c r="DD419" s="68"/>
      <c r="DE419" s="68"/>
      <c r="DF419" s="68"/>
      <c r="DG419" s="68"/>
      <c r="DH419" s="68"/>
      <c r="DI419" s="68"/>
      <c r="DJ419" s="68"/>
      <c r="DK419" s="68"/>
      <c r="DL419" s="68"/>
      <c r="DM419" s="68"/>
      <c r="DN419" s="68"/>
      <c r="DO419" s="68"/>
      <c r="DP419" s="68"/>
      <c r="DQ419" s="68"/>
      <c r="DR419" s="68"/>
      <c r="DS419" s="68"/>
      <c r="DT419" s="68"/>
    </row>
    <row r="420" spans="1:124" ht="21.75" customHeight="1">
      <c r="A420" s="311"/>
      <c r="B420" s="232"/>
      <c r="C420" s="233"/>
      <c r="D420" s="234"/>
      <c r="E420" s="70"/>
      <c r="F420" s="70"/>
      <c r="G420" s="70"/>
      <c r="H420" s="70"/>
      <c r="I420" s="70"/>
      <c r="J420" s="70"/>
      <c r="K420" s="70"/>
      <c r="L420" s="65"/>
      <c r="M420" s="65"/>
      <c r="N420" s="65"/>
      <c r="O420" s="65"/>
      <c r="P420" s="65"/>
      <c r="Q420" s="65"/>
      <c r="R420" s="65"/>
      <c r="S420" s="65"/>
      <c r="T420" s="65"/>
      <c r="U420" s="65"/>
      <c r="V420" s="65"/>
      <c r="W420" s="65"/>
      <c r="X420" s="70"/>
      <c r="Y420" s="70"/>
      <c r="Z420" s="70"/>
      <c r="AA420" s="70"/>
      <c r="AB420" s="70"/>
      <c r="AC420" s="70"/>
      <c r="AD420" s="70"/>
      <c r="AE420" s="70"/>
      <c r="AF420" s="70"/>
      <c r="AG420" s="70"/>
      <c r="AH420" s="70"/>
      <c r="AI420" s="70"/>
      <c r="AJ420" s="70">
        <f>40/0.86</f>
        <v>46.511627906976742</v>
      </c>
      <c r="AK420" s="70"/>
      <c r="AL420" s="70"/>
      <c r="AM420" s="70"/>
      <c r="AN420" s="70"/>
      <c r="AO420" s="70"/>
      <c r="AP420" s="65"/>
      <c r="AQ420" s="65"/>
      <c r="AR420" s="65"/>
      <c r="AS420" s="70"/>
      <c r="AT420" s="70"/>
      <c r="AU420" s="70"/>
      <c r="AV420" s="70"/>
      <c r="AW420" s="70"/>
      <c r="AX420" s="70"/>
      <c r="AY420" s="65"/>
      <c r="AZ420" s="65"/>
      <c r="BA420" s="65"/>
      <c r="BB420" s="65"/>
      <c r="BC420" s="65"/>
      <c r="BD420" s="65"/>
      <c r="BE420" s="65"/>
      <c r="BF420" s="65"/>
      <c r="BG420" s="65"/>
      <c r="BH420" s="65"/>
      <c r="BI420" s="65"/>
      <c r="BJ420" s="65"/>
      <c r="BK420" s="65"/>
      <c r="BL420" s="65"/>
      <c r="BM420" s="65"/>
      <c r="BN420" s="65"/>
      <c r="BO420" s="65"/>
      <c r="BP420" s="65"/>
      <c r="BQ420" s="65"/>
      <c r="BR420" s="65"/>
      <c r="BS420" s="65"/>
      <c r="BT420" s="65"/>
      <c r="BU420" s="65"/>
      <c r="BV420" s="65"/>
      <c r="BW420" s="65"/>
      <c r="BX420" s="65"/>
      <c r="BY420" s="65"/>
      <c r="BZ420" s="65"/>
      <c r="CA420" s="65"/>
      <c r="CB420" s="65"/>
      <c r="CC420" s="65"/>
      <c r="CD420" s="65"/>
      <c r="CE420" s="65"/>
      <c r="CF420" s="65"/>
      <c r="CG420" s="65"/>
      <c r="CH420" s="65"/>
      <c r="CI420" s="65"/>
      <c r="CJ420" s="65"/>
      <c r="CK420" s="65"/>
      <c r="CL420" s="65"/>
      <c r="CM420" s="65"/>
      <c r="CN420" s="65"/>
      <c r="CO420" s="65"/>
      <c r="CP420" s="65"/>
      <c r="CQ420" s="65"/>
      <c r="CR420" s="65"/>
      <c r="CS420" s="65"/>
      <c r="CT420" s="65"/>
      <c r="CU420" s="65"/>
      <c r="CV420" s="65"/>
      <c r="CW420" s="65"/>
      <c r="CX420" s="65"/>
      <c r="CY420" s="65"/>
      <c r="CZ420" s="65"/>
      <c r="DA420" s="65"/>
      <c r="DB420" s="65"/>
      <c r="DC420" s="65"/>
      <c r="DD420" s="65"/>
      <c r="DE420" s="65"/>
      <c r="DF420" s="65"/>
      <c r="DG420" s="65"/>
      <c r="DH420" s="65"/>
      <c r="DI420" s="65"/>
      <c r="DJ420" s="65"/>
      <c r="DK420" s="65"/>
      <c r="DL420" s="65"/>
      <c r="DM420" s="65"/>
      <c r="DN420" s="65"/>
      <c r="DO420" s="65"/>
      <c r="DP420" s="65"/>
      <c r="DQ420" s="65"/>
      <c r="DR420" s="65"/>
      <c r="DS420" s="65"/>
      <c r="DT420" s="65"/>
    </row>
    <row r="421" spans="1:124" ht="21.75" customHeight="1">
      <c r="A421" s="311"/>
      <c r="B421" s="229" t="s">
        <v>406</v>
      </c>
      <c r="C421" s="230"/>
      <c r="D421" s="231"/>
      <c r="E421" s="69"/>
      <c r="F421" s="69"/>
      <c r="G421" s="69"/>
      <c r="H421" s="69"/>
      <c r="I421" s="69"/>
      <c r="J421" s="69"/>
      <c r="K421" s="69"/>
      <c r="L421" s="68"/>
      <c r="M421" s="68"/>
      <c r="N421" s="68"/>
      <c r="O421" s="68"/>
      <c r="P421" s="68"/>
      <c r="Q421" s="68"/>
      <c r="R421" s="68"/>
      <c r="S421" s="68"/>
      <c r="T421" s="68"/>
      <c r="U421" s="68"/>
      <c r="V421" s="68"/>
      <c r="W421" s="68"/>
      <c r="X421" s="69" t="s">
        <v>392</v>
      </c>
      <c r="Y421" s="69"/>
      <c r="Z421" s="69"/>
      <c r="AA421" s="96" t="s">
        <v>538</v>
      </c>
      <c r="AB421" s="70">
        <f>120/0.86</f>
        <v>139.53488372093022</v>
      </c>
      <c r="AC421" s="69"/>
      <c r="AD421" s="69"/>
      <c r="AE421" s="69"/>
      <c r="AF421" s="69"/>
      <c r="AG421" s="69"/>
      <c r="AH421" s="96" t="s">
        <v>539</v>
      </c>
      <c r="AI421" s="70">
        <f>140/0.86</f>
        <v>162.7906976744186</v>
      </c>
      <c r="AJ421" s="69"/>
      <c r="AK421" s="69" t="s">
        <v>396</v>
      </c>
      <c r="AL421" s="69"/>
      <c r="AM421" s="69"/>
      <c r="AN421" s="69"/>
      <c r="AO421" s="69"/>
      <c r="AP421" s="68"/>
      <c r="AQ421" s="68"/>
      <c r="AR421" s="68"/>
      <c r="AS421" s="69"/>
      <c r="AT421" s="69"/>
      <c r="AU421" s="69"/>
      <c r="AV421" s="69" t="s">
        <v>396</v>
      </c>
      <c r="AW421" s="69"/>
      <c r="AX421" s="69"/>
      <c r="AY421" s="68"/>
      <c r="AZ421" s="68"/>
      <c r="BA421" s="68" t="s">
        <v>396</v>
      </c>
      <c r="BB421" s="68"/>
      <c r="BC421" s="68"/>
      <c r="BD421" s="68"/>
      <c r="BE421" s="68"/>
      <c r="BF421" s="68"/>
      <c r="BG421" s="68" t="s">
        <v>401</v>
      </c>
      <c r="BH421" s="68"/>
      <c r="BI421" s="68"/>
      <c r="BJ421" s="68" t="s">
        <v>392</v>
      </c>
      <c r="BK421" s="68"/>
      <c r="BL421" s="68"/>
      <c r="BM421" s="68"/>
      <c r="BN421" s="68"/>
      <c r="BO421" s="68"/>
      <c r="BP421" s="68"/>
      <c r="BQ421" s="68"/>
      <c r="BR421" s="68"/>
      <c r="BS421" s="68"/>
      <c r="BT421" s="68"/>
      <c r="BU421" s="68"/>
      <c r="BV421" s="68"/>
      <c r="BW421" s="68"/>
      <c r="BX421" s="68"/>
      <c r="BY421" s="68"/>
      <c r="BZ421" s="68"/>
      <c r="CA421" s="68"/>
      <c r="CB421" s="68"/>
      <c r="CC421" s="68"/>
      <c r="CD421" s="68"/>
      <c r="CE421" s="68"/>
      <c r="CF421" s="68"/>
      <c r="CG421" s="68"/>
      <c r="CH421" s="68"/>
      <c r="CI421" s="68"/>
      <c r="CJ421" s="68"/>
      <c r="CK421" s="68"/>
      <c r="CL421" s="68"/>
      <c r="CM421" s="68"/>
      <c r="CN421" s="68"/>
      <c r="CO421" s="68"/>
      <c r="CP421" s="68"/>
      <c r="CQ421" s="68"/>
      <c r="CR421" s="68"/>
      <c r="CS421" s="68"/>
      <c r="CT421" s="68"/>
      <c r="CU421" s="68"/>
      <c r="CV421" s="68"/>
      <c r="CW421" s="68"/>
      <c r="CX421" s="68"/>
      <c r="CY421" s="68"/>
      <c r="CZ421" s="68"/>
      <c r="DA421" s="68"/>
      <c r="DB421" s="68"/>
      <c r="DC421" s="68"/>
      <c r="DD421" s="68"/>
      <c r="DE421" s="68"/>
      <c r="DF421" s="68"/>
      <c r="DG421" s="68"/>
      <c r="DH421" s="68"/>
      <c r="DI421" s="68"/>
      <c r="DJ421" s="68"/>
      <c r="DK421" s="68"/>
      <c r="DL421" s="68"/>
      <c r="DM421" s="68"/>
      <c r="DN421" s="68"/>
      <c r="DO421" s="68"/>
      <c r="DP421" s="68"/>
      <c r="DQ421" s="68"/>
      <c r="DR421" s="68"/>
      <c r="DS421" s="68"/>
      <c r="DT421" s="68"/>
    </row>
    <row r="422" spans="1:124" ht="21.75" customHeight="1">
      <c r="A422" s="311"/>
      <c r="B422" s="232"/>
      <c r="C422" s="233"/>
      <c r="D422" s="234"/>
      <c r="E422" s="70"/>
      <c r="F422" s="70">
        <v>186</v>
      </c>
      <c r="G422" s="70">
        <v>185</v>
      </c>
      <c r="H422" s="70">
        <v>185</v>
      </c>
      <c r="I422" s="70"/>
      <c r="J422" s="70"/>
      <c r="K422" s="70"/>
      <c r="L422" s="65"/>
      <c r="M422" s="65"/>
      <c r="N422" s="65"/>
      <c r="O422" s="65"/>
      <c r="P422" s="65"/>
      <c r="Q422" s="65"/>
      <c r="R422" s="65"/>
      <c r="S422" s="65"/>
      <c r="T422" s="65"/>
      <c r="U422" s="65"/>
      <c r="V422" s="65"/>
      <c r="W422" s="65"/>
      <c r="X422" s="70">
        <f>105/0.835</f>
        <v>125.74850299401199</v>
      </c>
      <c r="Y422" s="70"/>
      <c r="Z422" s="70"/>
      <c r="AA422" s="96" t="s">
        <v>540</v>
      </c>
      <c r="AB422" s="70">
        <f>145/0.86</f>
        <v>168.6046511627907</v>
      </c>
      <c r="AC422" s="70"/>
      <c r="AD422" s="70"/>
      <c r="AE422" s="70"/>
      <c r="AF422" s="70"/>
      <c r="AG422" s="70"/>
      <c r="AH422" s="96" t="s">
        <v>541</v>
      </c>
      <c r="AI422" s="70">
        <f>150/0.86</f>
        <v>174.41860465116278</v>
      </c>
      <c r="AJ422" s="70"/>
      <c r="AK422" s="70">
        <f>160/0.86</f>
        <v>186.04651162790697</v>
      </c>
      <c r="AL422" s="70"/>
      <c r="AM422" s="70"/>
      <c r="AN422" s="70"/>
      <c r="AO422" s="70"/>
      <c r="AP422" s="65"/>
      <c r="AQ422" s="65"/>
      <c r="AR422" s="65"/>
      <c r="AS422" s="70"/>
      <c r="AT422" s="70"/>
      <c r="AU422" s="70"/>
      <c r="AV422" s="70">
        <f>160/0.86</f>
        <v>186.04651162790697</v>
      </c>
      <c r="AW422" s="70"/>
      <c r="AX422" s="70"/>
      <c r="AY422" s="65"/>
      <c r="AZ422" s="65"/>
      <c r="BA422" s="65">
        <f>160/0.86</f>
        <v>186.04651162790697</v>
      </c>
      <c r="BB422" s="65"/>
      <c r="BC422" s="65"/>
      <c r="BD422" s="65"/>
      <c r="BE422" s="65"/>
      <c r="BF422" s="65"/>
      <c r="BG422" s="65">
        <f>160/0.835</f>
        <v>191.61676646706587</v>
      </c>
      <c r="BH422" s="65"/>
      <c r="BI422" s="65"/>
      <c r="BJ422" s="65">
        <f>180/0.835</f>
        <v>215.56886227544911</v>
      </c>
      <c r="BK422" s="65"/>
      <c r="BL422" s="65"/>
      <c r="BM422" s="65"/>
      <c r="BN422" s="65"/>
      <c r="BO422" s="65"/>
      <c r="BP422" s="65"/>
      <c r="BQ422" s="65"/>
      <c r="BR422" s="65"/>
      <c r="BS422" s="65"/>
      <c r="BT422" s="65"/>
      <c r="BU422" s="65"/>
      <c r="BV422" s="65"/>
      <c r="BW422" s="65"/>
      <c r="BX422" s="65"/>
      <c r="BY422" s="65"/>
      <c r="BZ422" s="65"/>
      <c r="CA422" s="65"/>
      <c r="CB422" s="65"/>
      <c r="CC422" s="65"/>
      <c r="CD422" s="65"/>
      <c r="CE422" s="65"/>
      <c r="CF422" s="65"/>
      <c r="CG422" s="65"/>
      <c r="CH422" s="65"/>
      <c r="CI422" s="65"/>
      <c r="CJ422" s="65"/>
      <c r="CK422" s="65"/>
      <c r="CL422" s="65"/>
      <c r="CM422" s="65"/>
      <c r="CN422" s="65"/>
      <c r="CO422" s="65"/>
      <c r="CP422" s="65"/>
      <c r="CQ422" s="65"/>
      <c r="CR422" s="65"/>
      <c r="CS422" s="65"/>
      <c r="CT422" s="65"/>
      <c r="CU422" s="65"/>
      <c r="CV422" s="65"/>
      <c r="CW422" s="65"/>
      <c r="CX422" s="65"/>
      <c r="CY422" s="65"/>
      <c r="CZ422" s="65"/>
      <c r="DA422" s="65"/>
      <c r="DB422" s="65"/>
      <c r="DC422" s="65"/>
      <c r="DD422" s="65"/>
      <c r="DE422" s="65"/>
      <c r="DF422" s="65"/>
      <c r="DG422" s="65"/>
      <c r="DH422" s="65"/>
      <c r="DI422" s="65"/>
      <c r="DJ422" s="65"/>
      <c r="DK422" s="65"/>
      <c r="DL422" s="65"/>
      <c r="DM422" s="65"/>
      <c r="DN422" s="65"/>
      <c r="DO422" s="65"/>
      <c r="DP422" s="65"/>
      <c r="DQ422" s="65"/>
      <c r="DR422" s="65"/>
      <c r="DS422" s="65"/>
      <c r="DT422" s="65"/>
    </row>
    <row r="423" spans="1:124" ht="21.75" customHeight="1">
      <c r="A423" s="311"/>
      <c r="B423" s="229" t="s">
        <v>505</v>
      </c>
      <c r="C423" s="230"/>
      <c r="D423" s="231"/>
      <c r="E423" s="69"/>
      <c r="F423" s="69"/>
      <c r="G423" s="69"/>
      <c r="H423" s="69"/>
      <c r="I423" s="69"/>
      <c r="J423" s="69"/>
      <c r="K423" s="69"/>
      <c r="L423" s="68"/>
      <c r="M423" s="68"/>
      <c r="N423" s="68"/>
      <c r="O423" s="68"/>
      <c r="P423" s="68"/>
      <c r="Q423" s="68"/>
      <c r="R423" s="68"/>
      <c r="S423" s="68"/>
      <c r="T423" s="68"/>
      <c r="U423" s="68"/>
      <c r="V423" s="68"/>
      <c r="W423" s="68"/>
      <c r="X423" s="69"/>
      <c r="Y423" s="69"/>
      <c r="Z423" s="69"/>
      <c r="AA423" s="69"/>
      <c r="AB423" s="69"/>
      <c r="AC423" s="69"/>
      <c r="AD423" s="69"/>
      <c r="AE423" s="69"/>
      <c r="AF423" s="69"/>
      <c r="AG423" s="69"/>
      <c r="AH423" s="69"/>
      <c r="AI423" s="69"/>
      <c r="AJ423" s="69"/>
      <c r="AK423" s="69"/>
      <c r="AL423" s="69"/>
      <c r="AM423" s="69"/>
      <c r="AN423" s="69"/>
      <c r="AO423" s="69"/>
      <c r="AP423" s="68"/>
      <c r="AQ423" s="68"/>
      <c r="AR423" s="68"/>
      <c r="AS423" s="69"/>
      <c r="AT423" s="69"/>
      <c r="AU423" s="69"/>
      <c r="AV423" s="69"/>
      <c r="AW423" s="69"/>
      <c r="AX423" s="69"/>
      <c r="AY423" s="68"/>
      <c r="AZ423" s="68"/>
      <c r="BA423" s="68"/>
      <c r="BB423" s="68"/>
      <c r="BC423" s="68"/>
      <c r="BD423" s="68"/>
      <c r="BE423" s="68"/>
      <c r="BF423" s="68"/>
      <c r="BG423" s="68"/>
      <c r="BH423" s="68" t="s">
        <v>378</v>
      </c>
      <c r="BI423" s="68"/>
      <c r="BJ423" s="68"/>
      <c r="BK423" s="68"/>
      <c r="BL423" s="68"/>
      <c r="BM423" s="68"/>
      <c r="BN423" s="68"/>
      <c r="BO423" s="68"/>
      <c r="BP423" s="68"/>
      <c r="BQ423" s="68"/>
      <c r="BR423" s="68"/>
      <c r="BS423" s="68"/>
      <c r="BT423" s="68"/>
      <c r="BU423" s="68"/>
      <c r="BV423" s="68"/>
      <c r="BW423" s="68"/>
      <c r="BX423" s="68"/>
      <c r="BY423" s="68"/>
      <c r="BZ423" s="68"/>
      <c r="CA423" s="68"/>
      <c r="CB423" s="68"/>
      <c r="CC423" s="68"/>
      <c r="CD423" s="68"/>
      <c r="CE423" s="68"/>
      <c r="CF423" s="68"/>
      <c r="CG423" s="68"/>
      <c r="CH423" s="68"/>
      <c r="CI423" s="68"/>
      <c r="CJ423" s="68"/>
      <c r="CK423" s="68"/>
      <c r="CL423" s="68"/>
      <c r="CM423" s="68"/>
      <c r="CN423" s="68"/>
      <c r="CO423" s="68"/>
      <c r="CP423" s="68"/>
      <c r="CQ423" s="68"/>
      <c r="CR423" s="68"/>
      <c r="CS423" s="68"/>
      <c r="CT423" s="68"/>
      <c r="CU423" s="68"/>
      <c r="CV423" s="68"/>
      <c r="CW423" s="68"/>
      <c r="CX423" s="68"/>
      <c r="CY423" s="68"/>
      <c r="CZ423" s="68"/>
      <c r="DA423" s="68"/>
      <c r="DB423" s="68"/>
      <c r="DC423" s="68"/>
      <c r="DD423" s="68"/>
      <c r="DE423" s="68"/>
      <c r="DF423" s="68"/>
      <c r="DG423" s="68"/>
      <c r="DH423" s="68"/>
      <c r="DI423" s="68"/>
      <c r="DJ423" s="68"/>
      <c r="DK423" s="68"/>
      <c r="DL423" s="68"/>
      <c r="DM423" s="68"/>
      <c r="DN423" s="68"/>
      <c r="DO423" s="68"/>
      <c r="DP423" s="68"/>
      <c r="DQ423" s="68"/>
      <c r="DR423" s="68"/>
      <c r="DS423" s="68"/>
      <c r="DT423" s="68"/>
    </row>
    <row r="424" spans="1:124" ht="21.75" customHeight="1">
      <c r="A424" s="311"/>
      <c r="B424" s="232"/>
      <c r="C424" s="233"/>
      <c r="D424" s="234"/>
      <c r="E424" s="70"/>
      <c r="F424" s="70"/>
      <c r="G424" s="70"/>
      <c r="H424" s="70"/>
      <c r="I424" s="70"/>
      <c r="J424" s="70"/>
      <c r="K424" s="70"/>
      <c r="L424" s="65"/>
      <c r="M424" s="65"/>
      <c r="N424" s="65"/>
      <c r="O424" s="65"/>
      <c r="P424" s="65"/>
      <c r="Q424" s="65"/>
      <c r="R424" s="65"/>
      <c r="S424" s="65"/>
      <c r="T424" s="65"/>
      <c r="U424" s="65"/>
      <c r="V424" s="65"/>
      <c r="W424" s="65"/>
      <c r="X424" s="70"/>
      <c r="Y424" s="70"/>
      <c r="Z424" s="70"/>
      <c r="AA424" s="70"/>
      <c r="AB424" s="70"/>
      <c r="AC424" s="70"/>
      <c r="AD424" s="70"/>
      <c r="AE424" s="70"/>
      <c r="AF424" s="70"/>
      <c r="AG424" s="70"/>
      <c r="AH424" s="70"/>
      <c r="AI424" s="70"/>
      <c r="AJ424" s="70"/>
      <c r="AK424" s="70"/>
      <c r="AL424" s="70"/>
      <c r="AM424" s="70"/>
      <c r="AN424" s="70"/>
      <c r="AO424" s="70"/>
      <c r="AP424" s="65"/>
      <c r="AQ424" s="65"/>
      <c r="AR424" s="65"/>
      <c r="AS424" s="70"/>
      <c r="AT424" s="70"/>
      <c r="AU424" s="70"/>
      <c r="AV424" s="70"/>
      <c r="AW424" s="70"/>
      <c r="AX424" s="70"/>
      <c r="AY424" s="65"/>
      <c r="AZ424" s="65"/>
      <c r="BA424" s="65"/>
      <c r="BB424" s="65"/>
      <c r="BC424" s="65"/>
      <c r="BD424" s="65"/>
      <c r="BE424" s="65"/>
      <c r="BF424" s="65"/>
      <c r="BG424" s="65"/>
      <c r="BH424" s="65">
        <f>120/0.86</f>
        <v>139.53488372093022</v>
      </c>
      <c r="BI424" s="65"/>
      <c r="BJ424" s="65"/>
      <c r="BK424" s="65"/>
      <c r="BL424" s="65"/>
      <c r="BM424" s="65"/>
      <c r="BN424" s="65"/>
      <c r="BO424" s="65"/>
      <c r="BP424" s="65"/>
      <c r="BQ424" s="65"/>
      <c r="BR424" s="65"/>
      <c r="BS424" s="65"/>
      <c r="BT424" s="65"/>
      <c r="BU424" s="65"/>
      <c r="BV424" s="65"/>
      <c r="BW424" s="65"/>
      <c r="BX424" s="65"/>
      <c r="BY424" s="65"/>
      <c r="BZ424" s="65"/>
      <c r="CA424" s="65"/>
      <c r="CB424" s="65"/>
      <c r="CC424" s="65"/>
      <c r="CD424" s="65"/>
      <c r="CE424" s="65"/>
      <c r="CF424" s="65"/>
      <c r="CG424" s="65"/>
      <c r="CH424" s="65"/>
      <c r="CI424" s="65"/>
      <c r="CJ424" s="65"/>
      <c r="CK424" s="65"/>
      <c r="CL424" s="65"/>
      <c r="CM424" s="65"/>
      <c r="CN424" s="65"/>
      <c r="CO424" s="65"/>
      <c r="CP424" s="65"/>
      <c r="CQ424" s="65"/>
      <c r="CR424" s="65"/>
      <c r="CS424" s="65"/>
      <c r="CT424" s="65"/>
      <c r="CU424" s="65"/>
      <c r="CV424" s="65"/>
      <c r="CW424" s="65"/>
      <c r="CX424" s="65"/>
      <c r="CY424" s="65"/>
      <c r="CZ424" s="65"/>
      <c r="DA424" s="65"/>
      <c r="DB424" s="65"/>
      <c r="DC424" s="65"/>
      <c r="DD424" s="65"/>
      <c r="DE424" s="65"/>
      <c r="DF424" s="65"/>
      <c r="DG424" s="65"/>
      <c r="DH424" s="65"/>
      <c r="DI424" s="65"/>
      <c r="DJ424" s="65"/>
      <c r="DK424" s="65"/>
      <c r="DL424" s="65"/>
      <c r="DM424" s="65"/>
      <c r="DN424" s="65"/>
      <c r="DO424" s="65"/>
      <c r="DP424" s="65"/>
      <c r="DQ424" s="65"/>
      <c r="DR424" s="65"/>
      <c r="DS424" s="65"/>
      <c r="DT424" s="65"/>
    </row>
    <row r="425" spans="1:124" ht="21.75" customHeight="1">
      <c r="A425" s="311"/>
      <c r="B425" s="229" t="s">
        <v>67</v>
      </c>
      <c r="C425" s="230"/>
      <c r="D425" s="231"/>
      <c r="E425" s="69"/>
      <c r="F425" s="69"/>
      <c r="G425" s="69"/>
      <c r="H425" s="69"/>
      <c r="I425" s="69"/>
      <c r="J425" s="69"/>
      <c r="K425" s="69"/>
      <c r="L425" s="68"/>
      <c r="M425" s="68"/>
      <c r="N425" s="68"/>
      <c r="O425" s="68"/>
      <c r="P425" s="68"/>
      <c r="Q425" s="68"/>
      <c r="R425" s="68"/>
      <c r="S425" s="68"/>
      <c r="T425" s="68"/>
      <c r="U425" s="68"/>
      <c r="V425" s="68"/>
      <c r="W425" s="68"/>
      <c r="X425" s="69"/>
      <c r="Y425" s="69"/>
      <c r="Z425" s="69"/>
      <c r="AA425" s="69"/>
      <c r="AB425" s="69"/>
      <c r="AC425" s="69" t="s">
        <v>392</v>
      </c>
      <c r="AD425" s="69"/>
      <c r="AE425" s="69"/>
      <c r="AF425" s="69"/>
      <c r="AG425" s="69"/>
      <c r="AH425" s="69"/>
      <c r="AI425" s="69"/>
      <c r="AJ425" s="69" t="s">
        <v>378</v>
      </c>
      <c r="AK425" s="69"/>
      <c r="AL425" s="69"/>
      <c r="AM425" s="69" t="s">
        <v>378</v>
      </c>
      <c r="AN425" s="69"/>
      <c r="AO425" s="69"/>
      <c r="AP425" s="68"/>
      <c r="AQ425" s="68"/>
      <c r="AR425" s="68"/>
      <c r="AS425" s="69"/>
      <c r="AT425" s="69"/>
      <c r="AU425" s="69"/>
      <c r="AV425" s="69"/>
      <c r="AW425" s="69"/>
      <c r="AX425" s="69"/>
      <c r="AY425" s="68"/>
      <c r="AZ425" s="68"/>
      <c r="BA425" s="68"/>
      <c r="BB425" s="68"/>
      <c r="BC425" s="68"/>
      <c r="BD425" s="68"/>
      <c r="BE425" s="68"/>
      <c r="BF425" s="68"/>
      <c r="BG425" s="68"/>
      <c r="BH425" s="68"/>
      <c r="BI425" s="68"/>
      <c r="BJ425" s="68"/>
      <c r="BK425" s="68"/>
      <c r="BL425" s="68"/>
      <c r="BM425" s="68"/>
      <c r="BN425" s="62" t="s">
        <v>424</v>
      </c>
      <c r="BO425" s="68"/>
      <c r="BP425" s="68"/>
      <c r="BQ425" s="62" t="s">
        <v>424</v>
      </c>
      <c r="BR425" s="68"/>
      <c r="BS425" s="68"/>
      <c r="BT425" s="68"/>
      <c r="BU425" s="68"/>
      <c r="BV425" s="68"/>
      <c r="BW425" s="68"/>
      <c r="BX425" s="68"/>
      <c r="BY425" s="68"/>
      <c r="BZ425" s="68"/>
      <c r="CA425" s="68"/>
      <c r="CB425" s="68"/>
      <c r="CC425" s="68"/>
      <c r="CD425" s="68"/>
      <c r="CE425" s="68"/>
      <c r="CF425" s="68"/>
      <c r="CG425" s="68"/>
      <c r="CH425" s="68"/>
      <c r="CI425" s="68"/>
      <c r="CJ425" s="68"/>
      <c r="CK425" s="68"/>
      <c r="CL425" s="68"/>
      <c r="CM425" s="68"/>
      <c r="CN425" s="68"/>
      <c r="CO425" s="68"/>
      <c r="CP425" s="68"/>
      <c r="CQ425" s="68"/>
      <c r="CR425" s="68"/>
      <c r="CS425" s="68"/>
      <c r="CT425" s="68"/>
      <c r="CU425" s="68"/>
      <c r="CV425" s="68"/>
      <c r="CW425" s="68"/>
      <c r="CX425" s="68"/>
      <c r="CY425" s="68"/>
      <c r="CZ425" s="68"/>
      <c r="DA425" s="68"/>
      <c r="DB425" s="68"/>
      <c r="DC425" s="68"/>
      <c r="DD425" s="68"/>
      <c r="DE425" s="68"/>
      <c r="DF425" s="68"/>
      <c r="DG425" s="68"/>
      <c r="DH425" s="68"/>
      <c r="DI425" s="68"/>
      <c r="DJ425" s="68"/>
      <c r="DK425" s="68"/>
      <c r="DL425" s="68"/>
      <c r="DM425" s="68"/>
      <c r="DN425" s="68"/>
      <c r="DO425" s="68"/>
      <c r="DP425" s="68"/>
      <c r="DQ425" s="68"/>
      <c r="DR425" s="68"/>
      <c r="DS425" s="68"/>
      <c r="DT425" s="68"/>
    </row>
    <row r="426" spans="1:124" ht="21.75" customHeight="1">
      <c r="A426" s="311"/>
      <c r="B426" s="232"/>
      <c r="C426" s="233"/>
      <c r="D426" s="234"/>
      <c r="E426" s="70"/>
      <c r="F426" s="70"/>
      <c r="G426" s="70"/>
      <c r="H426" s="70"/>
      <c r="I426" s="70"/>
      <c r="J426" s="70"/>
      <c r="K426" s="70"/>
      <c r="L426" s="65"/>
      <c r="M426" s="65"/>
      <c r="N426" s="65"/>
      <c r="O426" s="65"/>
      <c r="P426" s="65"/>
      <c r="Q426" s="65"/>
      <c r="R426" s="65"/>
      <c r="S426" s="65"/>
      <c r="T426" s="65"/>
      <c r="U426" s="65"/>
      <c r="V426" s="65"/>
      <c r="W426" s="65"/>
      <c r="X426" s="70"/>
      <c r="Y426" s="70"/>
      <c r="Z426" s="70"/>
      <c r="AA426" s="70"/>
      <c r="AB426" s="70"/>
      <c r="AC426" s="70">
        <f>245/0.835</f>
        <v>293.41317365269464</v>
      </c>
      <c r="AD426" s="70"/>
      <c r="AE426" s="70"/>
      <c r="AF426" s="70"/>
      <c r="AG426" s="70"/>
      <c r="AH426" s="70"/>
      <c r="AI426" s="70"/>
      <c r="AJ426" s="70">
        <f>280/0.86</f>
        <v>325.58139534883719</v>
      </c>
      <c r="AK426" s="70"/>
      <c r="AL426" s="70"/>
      <c r="AM426" s="70">
        <f>300/0.86</f>
        <v>348.83720930232556</v>
      </c>
      <c r="AN426" s="70"/>
      <c r="AO426" s="70"/>
      <c r="AP426" s="65"/>
      <c r="AQ426" s="65"/>
      <c r="AR426" s="65"/>
      <c r="AS426" s="70"/>
      <c r="AT426" s="70"/>
      <c r="AU426" s="70"/>
      <c r="AV426" s="70"/>
      <c r="AW426" s="70"/>
      <c r="AX426" s="70"/>
      <c r="AY426" s="65"/>
      <c r="AZ426" s="65"/>
      <c r="BA426" s="65"/>
      <c r="BB426" s="65"/>
      <c r="BC426" s="65"/>
      <c r="BD426" s="65"/>
      <c r="BE426" s="65"/>
      <c r="BF426" s="65"/>
      <c r="BG426" s="65"/>
      <c r="BH426" s="65"/>
      <c r="BI426" s="65"/>
      <c r="BJ426" s="65"/>
      <c r="BK426" s="65"/>
      <c r="BL426" s="65"/>
      <c r="BM426" s="65"/>
      <c r="BN426" s="67">
        <f>320/0.81</f>
        <v>395.06172839506172</v>
      </c>
      <c r="BO426" s="65"/>
      <c r="BP426" s="65"/>
      <c r="BQ426" s="67">
        <f>340/0.835</f>
        <v>407.18562874251501</v>
      </c>
      <c r="BR426" s="65"/>
      <c r="BS426" s="65"/>
      <c r="BT426" s="65"/>
      <c r="BU426" s="65"/>
      <c r="BV426" s="65"/>
      <c r="BW426" s="65"/>
      <c r="BX426" s="65"/>
      <c r="BY426" s="65"/>
      <c r="BZ426" s="65"/>
      <c r="CA426" s="65"/>
      <c r="CB426" s="65"/>
      <c r="CC426" s="65"/>
      <c r="CD426" s="65"/>
      <c r="CE426" s="65"/>
      <c r="CF426" s="65"/>
      <c r="CG426" s="65"/>
      <c r="CH426" s="65"/>
      <c r="CI426" s="65"/>
      <c r="CJ426" s="65"/>
      <c r="CK426" s="65"/>
      <c r="CL426" s="65"/>
      <c r="CM426" s="65"/>
      <c r="CN426" s="65"/>
      <c r="CO426" s="65"/>
      <c r="CP426" s="65"/>
      <c r="CQ426" s="65"/>
      <c r="CR426" s="65"/>
      <c r="CS426" s="65"/>
      <c r="CT426" s="65"/>
      <c r="CU426" s="65"/>
      <c r="CV426" s="65"/>
      <c r="CW426" s="65"/>
      <c r="CX426" s="65"/>
      <c r="CY426" s="65"/>
      <c r="CZ426" s="65"/>
      <c r="DA426" s="65"/>
      <c r="DB426" s="65"/>
      <c r="DC426" s="65"/>
      <c r="DD426" s="65"/>
      <c r="DE426" s="65"/>
      <c r="DF426" s="65"/>
      <c r="DG426" s="65"/>
      <c r="DH426" s="65"/>
      <c r="DI426" s="65"/>
      <c r="DJ426" s="65"/>
      <c r="DK426" s="65"/>
      <c r="DL426" s="65"/>
      <c r="DM426" s="65"/>
      <c r="DN426" s="65"/>
      <c r="DO426" s="65"/>
      <c r="DP426" s="65"/>
      <c r="DQ426" s="65"/>
      <c r="DR426" s="65"/>
      <c r="DS426" s="65"/>
      <c r="DT426" s="65"/>
    </row>
    <row r="427" spans="1:124" ht="21.75" customHeight="1">
      <c r="A427" s="311"/>
      <c r="B427" s="229" t="s">
        <v>440</v>
      </c>
      <c r="C427" s="230"/>
      <c r="D427" s="231"/>
      <c r="E427" s="69"/>
      <c r="F427" s="69"/>
      <c r="G427" s="69"/>
      <c r="H427" s="69"/>
      <c r="I427" s="69"/>
      <c r="J427" s="69"/>
      <c r="K427" s="69"/>
      <c r="L427" s="68"/>
      <c r="M427" s="68"/>
      <c r="N427" s="68"/>
      <c r="O427" s="68"/>
      <c r="P427" s="68"/>
      <c r="Q427" s="68"/>
      <c r="R427" s="68"/>
      <c r="S427" s="68"/>
      <c r="T427" s="68"/>
      <c r="U427" s="68"/>
      <c r="V427" s="68"/>
      <c r="W427" s="68"/>
      <c r="X427" s="69"/>
      <c r="Y427" s="69" t="s">
        <v>396</v>
      </c>
      <c r="Z427" s="69"/>
      <c r="AA427" s="69"/>
      <c r="AB427" s="69"/>
      <c r="AC427" s="69"/>
      <c r="AD427" s="69"/>
      <c r="AE427" s="69"/>
      <c r="AF427" s="69"/>
      <c r="AG427" s="69"/>
      <c r="AH427" s="69"/>
      <c r="AI427" s="69"/>
      <c r="AJ427" s="69"/>
      <c r="AK427" s="69"/>
      <c r="AL427" s="69"/>
      <c r="AM427" s="69"/>
      <c r="AN427" s="69"/>
      <c r="AO427" s="69"/>
      <c r="AP427" s="68"/>
      <c r="AQ427" s="68"/>
      <c r="AR427" s="68"/>
      <c r="AS427" s="69"/>
      <c r="AT427" s="69"/>
      <c r="AU427" s="69"/>
      <c r="AV427" s="69"/>
      <c r="AW427" s="69"/>
      <c r="AX427" s="69"/>
      <c r="AY427" s="68"/>
      <c r="AZ427" s="68"/>
      <c r="BA427" s="68"/>
      <c r="BB427" s="68"/>
      <c r="BC427" s="68"/>
      <c r="BD427" s="68"/>
      <c r="BE427" s="68"/>
      <c r="BF427" s="68"/>
      <c r="BG427" s="68"/>
      <c r="BH427" s="68"/>
      <c r="BI427" s="68"/>
      <c r="BJ427" s="68"/>
      <c r="BK427" s="68"/>
      <c r="BL427" s="68"/>
      <c r="BM427" s="68"/>
      <c r="BN427" s="68"/>
      <c r="BO427" s="68"/>
      <c r="BP427" s="68"/>
      <c r="BQ427" s="68"/>
      <c r="BR427" s="68"/>
      <c r="BS427" s="68"/>
      <c r="BT427" s="68"/>
      <c r="BU427" s="68"/>
      <c r="BV427" s="68"/>
      <c r="BW427" s="68"/>
      <c r="BX427" s="68"/>
      <c r="BY427" s="68"/>
      <c r="BZ427" s="68"/>
      <c r="CA427" s="68"/>
      <c r="CB427" s="68"/>
      <c r="CC427" s="68"/>
      <c r="CD427" s="68"/>
      <c r="CE427" s="68"/>
      <c r="CF427" s="68"/>
      <c r="CG427" s="68"/>
      <c r="CH427" s="68"/>
      <c r="CI427" s="68"/>
      <c r="CJ427" s="68"/>
      <c r="CK427" s="68"/>
      <c r="CL427" s="68"/>
      <c r="CM427" s="68"/>
      <c r="CN427" s="68"/>
      <c r="CO427" s="68"/>
      <c r="CP427" s="68"/>
      <c r="CQ427" s="68"/>
      <c r="CR427" s="68"/>
      <c r="CS427" s="68"/>
      <c r="CT427" s="68"/>
      <c r="CU427" s="68"/>
      <c r="CV427" s="68"/>
      <c r="CW427" s="68"/>
      <c r="CX427" s="68"/>
      <c r="CY427" s="68"/>
      <c r="CZ427" s="68"/>
      <c r="DA427" s="68"/>
      <c r="DB427" s="68"/>
      <c r="DC427" s="68"/>
      <c r="DD427" s="68"/>
      <c r="DE427" s="68"/>
      <c r="DF427" s="68"/>
      <c r="DG427" s="68"/>
      <c r="DH427" s="68"/>
      <c r="DI427" s="68"/>
      <c r="DJ427" s="68"/>
      <c r="DK427" s="68"/>
      <c r="DL427" s="68"/>
      <c r="DM427" s="68"/>
      <c r="DN427" s="68"/>
      <c r="DO427" s="68"/>
      <c r="DP427" s="68"/>
      <c r="DQ427" s="68"/>
      <c r="DR427" s="68"/>
      <c r="DS427" s="68"/>
      <c r="DT427" s="68"/>
    </row>
    <row r="428" spans="1:124" ht="21.75" customHeight="1">
      <c r="A428" s="311"/>
      <c r="B428" s="232"/>
      <c r="C428" s="233"/>
      <c r="D428" s="234"/>
      <c r="E428" s="70"/>
      <c r="F428" s="70"/>
      <c r="G428" s="70"/>
      <c r="H428" s="70"/>
      <c r="I428" s="70"/>
      <c r="J428" s="70"/>
      <c r="K428" s="70"/>
      <c r="L428" s="65"/>
      <c r="M428" s="65"/>
      <c r="N428" s="65"/>
      <c r="O428" s="65"/>
      <c r="P428" s="65"/>
      <c r="Q428" s="65"/>
      <c r="R428" s="65"/>
      <c r="S428" s="65"/>
      <c r="T428" s="65"/>
      <c r="U428" s="65"/>
      <c r="V428" s="65"/>
      <c r="W428" s="65"/>
      <c r="X428" s="70"/>
      <c r="Y428" s="70">
        <f>100/0.86</f>
        <v>116.27906976744187</v>
      </c>
      <c r="Z428" s="70"/>
      <c r="AA428" s="70"/>
      <c r="AB428" s="70"/>
      <c r="AC428" s="70"/>
      <c r="AD428" s="70"/>
      <c r="AE428" s="70"/>
      <c r="AF428" s="70"/>
      <c r="AG428" s="70"/>
      <c r="AH428" s="70"/>
      <c r="AI428" s="70"/>
      <c r="AJ428" s="70"/>
      <c r="AK428" s="70"/>
      <c r="AL428" s="70"/>
      <c r="AM428" s="70"/>
      <c r="AN428" s="70"/>
      <c r="AO428" s="70"/>
      <c r="AP428" s="65"/>
      <c r="AQ428" s="65"/>
      <c r="AR428" s="65"/>
      <c r="AS428" s="70"/>
      <c r="AT428" s="70"/>
      <c r="AU428" s="70"/>
      <c r="AV428" s="70"/>
      <c r="AW428" s="70"/>
      <c r="AX428" s="70"/>
      <c r="AY428" s="65"/>
      <c r="AZ428" s="65"/>
      <c r="BA428" s="65"/>
      <c r="BB428" s="65"/>
      <c r="BC428" s="65"/>
      <c r="BD428" s="65"/>
      <c r="BE428" s="65"/>
      <c r="BF428" s="65"/>
      <c r="BG428" s="65"/>
      <c r="BH428" s="65"/>
      <c r="BI428" s="65"/>
      <c r="BJ428" s="65"/>
      <c r="BK428" s="65"/>
      <c r="BL428" s="65"/>
      <c r="BM428" s="65"/>
      <c r="BN428" s="65"/>
      <c r="BO428" s="65"/>
      <c r="BP428" s="65"/>
      <c r="BQ428" s="65"/>
      <c r="BR428" s="65"/>
      <c r="BS428" s="65"/>
      <c r="BT428" s="65"/>
      <c r="BU428" s="65"/>
      <c r="BV428" s="65"/>
      <c r="BW428" s="65"/>
      <c r="BX428" s="65"/>
      <c r="BY428" s="65"/>
      <c r="BZ428" s="65"/>
      <c r="CA428" s="65"/>
      <c r="CB428" s="65"/>
      <c r="CC428" s="65"/>
      <c r="CD428" s="65"/>
      <c r="CE428" s="65"/>
      <c r="CF428" s="65"/>
      <c r="CG428" s="65"/>
      <c r="CH428" s="65"/>
      <c r="CI428" s="65"/>
      <c r="CJ428" s="65"/>
      <c r="CK428" s="65"/>
      <c r="CL428" s="65"/>
      <c r="CM428" s="65"/>
      <c r="CN428" s="65"/>
      <c r="CO428" s="65"/>
      <c r="CP428" s="65"/>
      <c r="CQ428" s="65"/>
      <c r="CR428" s="65"/>
      <c r="CS428" s="65"/>
      <c r="CT428" s="65"/>
      <c r="CU428" s="65"/>
      <c r="CV428" s="65"/>
      <c r="CW428" s="65"/>
      <c r="CX428" s="65"/>
      <c r="CY428" s="65"/>
      <c r="CZ428" s="65"/>
      <c r="DA428" s="65"/>
      <c r="DB428" s="65"/>
      <c r="DC428" s="65"/>
      <c r="DD428" s="65"/>
      <c r="DE428" s="65"/>
      <c r="DF428" s="65"/>
      <c r="DG428" s="65"/>
      <c r="DH428" s="65"/>
      <c r="DI428" s="65"/>
      <c r="DJ428" s="65"/>
      <c r="DK428" s="65"/>
      <c r="DL428" s="65"/>
      <c r="DM428" s="65"/>
      <c r="DN428" s="65"/>
      <c r="DO428" s="65"/>
      <c r="DP428" s="65"/>
      <c r="DQ428" s="65"/>
      <c r="DR428" s="65"/>
      <c r="DS428" s="65"/>
      <c r="DT428" s="65"/>
    </row>
    <row r="429" spans="1:124" ht="21.75" customHeight="1">
      <c r="A429" s="311"/>
      <c r="B429" s="229" t="s">
        <v>439</v>
      </c>
      <c r="C429" s="230"/>
      <c r="D429" s="231"/>
      <c r="E429" s="69"/>
      <c r="F429" s="69"/>
      <c r="G429" s="69"/>
      <c r="H429" s="69"/>
      <c r="I429" s="69"/>
      <c r="J429" s="69"/>
      <c r="K429" s="69"/>
      <c r="L429" s="68"/>
      <c r="M429" s="68"/>
      <c r="N429" s="68"/>
      <c r="O429" s="68"/>
      <c r="P429" s="68"/>
      <c r="Q429" s="68"/>
      <c r="R429" s="68"/>
      <c r="S429" s="68"/>
      <c r="T429" s="68"/>
      <c r="U429" s="68"/>
      <c r="V429" s="68"/>
      <c r="W429" s="68"/>
      <c r="X429" s="69"/>
      <c r="Y429" s="69"/>
      <c r="Z429" s="69"/>
      <c r="AA429" s="69"/>
      <c r="AB429" s="69"/>
      <c r="AC429" s="69"/>
      <c r="AD429" s="69"/>
      <c r="AE429" s="69"/>
      <c r="AF429" s="69"/>
      <c r="AG429" s="69"/>
      <c r="AH429" s="69"/>
      <c r="AI429" s="69"/>
      <c r="AJ429" s="69"/>
      <c r="AK429" s="69"/>
      <c r="AL429" s="69"/>
      <c r="AM429" s="69"/>
      <c r="AN429" s="69"/>
      <c r="AO429" s="69"/>
      <c r="AP429" s="68"/>
      <c r="AQ429" s="68"/>
      <c r="AR429" s="68"/>
      <c r="AS429" s="69" t="s">
        <v>396</v>
      </c>
      <c r="AT429" s="69"/>
      <c r="AU429" s="69"/>
      <c r="AV429" s="69" t="s">
        <v>378</v>
      </c>
      <c r="AW429" s="69"/>
      <c r="AX429" s="69"/>
      <c r="AY429" s="68"/>
      <c r="AZ429" s="68" t="s">
        <v>398</v>
      </c>
      <c r="BA429" s="68"/>
      <c r="BB429" s="68"/>
      <c r="BC429" s="68"/>
      <c r="BD429" s="68"/>
      <c r="BE429" s="68"/>
      <c r="BF429" s="68" t="s">
        <v>384</v>
      </c>
      <c r="BG429" s="68"/>
      <c r="BH429" s="68"/>
      <c r="BI429" s="68" t="s">
        <v>376</v>
      </c>
      <c r="BJ429" s="68"/>
      <c r="BK429" s="68"/>
      <c r="BL429" s="68" t="s">
        <v>384</v>
      </c>
      <c r="BM429" s="68"/>
      <c r="BN429" s="68"/>
      <c r="BO429" s="68" t="s">
        <v>376</v>
      </c>
      <c r="BP429" s="68"/>
      <c r="BQ429" s="68"/>
      <c r="BR429" s="68" t="s">
        <v>376</v>
      </c>
      <c r="BS429" s="68"/>
      <c r="BT429" s="68"/>
      <c r="BU429" s="68" t="s">
        <v>376</v>
      </c>
      <c r="BV429" s="68"/>
      <c r="BW429" s="68"/>
      <c r="BX429" s="68"/>
      <c r="BY429" s="68"/>
      <c r="BZ429" s="68"/>
      <c r="CA429" s="68"/>
      <c r="CB429" s="68"/>
      <c r="CC429" s="68"/>
      <c r="CD429" s="68"/>
      <c r="CE429" s="68"/>
      <c r="CF429" s="68"/>
      <c r="CG429" s="68"/>
      <c r="CH429" s="68"/>
      <c r="CI429" s="68"/>
      <c r="CJ429" s="68"/>
      <c r="CK429" s="68"/>
      <c r="CL429" s="68"/>
      <c r="CM429" s="68"/>
      <c r="CN429" s="68"/>
      <c r="CO429" s="68"/>
      <c r="CP429" s="68"/>
      <c r="CQ429" s="68"/>
      <c r="CR429" s="68"/>
      <c r="CS429" s="68"/>
      <c r="CT429" s="68"/>
      <c r="CU429" s="68"/>
      <c r="CV429" s="68"/>
      <c r="CW429" s="68"/>
      <c r="CX429" s="68"/>
      <c r="CY429" s="68"/>
      <c r="CZ429" s="68"/>
      <c r="DA429" s="68"/>
      <c r="DB429" s="68"/>
      <c r="DC429" s="68"/>
      <c r="DD429" s="68"/>
      <c r="DE429" s="68"/>
      <c r="DF429" s="68"/>
      <c r="DG429" s="68"/>
      <c r="DH429" s="68"/>
      <c r="DI429" s="68"/>
      <c r="DJ429" s="68"/>
      <c r="DK429" s="68"/>
      <c r="DL429" s="68"/>
      <c r="DM429" s="68"/>
      <c r="DN429" s="68"/>
      <c r="DO429" s="68"/>
      <c r="DP429" s="68"/>
      <c r="DQ429" s="68"/>
      <c r="DR429" s="68"/>
      <c r="DS429" s="68"/>
      <c r="DT429" s="68"/>
    </row>
    <row r="430" spans="1:124" ht="21.75" customHeight="1">
      <c r="A430" s="311"/>
      <c r="B430" s="232"/>
      <c r="C430" s="233"/>
      <c r="D430" s="234"/>
      <c r="E430" s="70"/>
      <c r="F430" s="70"/>
      <c r="G430" s="70"/>
      <c r="H430" s="70"/>
      <c r="I430" s="70"/>
      <c r="J430" s="70"/>
      <c r="K430" s="70"/>
      <c r="L430" s="65"/>
      <c r="M430" s="65"/>
      <c r="N430" s="65"/>
      <c r="O430" s="65"/>
      <c r="P430" s="65"/>
      <c r="Q430" s="65"/>
      <c r="R430" s="65"/>
      <c r="S430" s="65"/>
      <c r="T430" s="65"/>
      <c r="U430" s="65"/>
      <c r="V430" s="65"/>
      <c r="W430" s="65"/>
      <c r="X430" s="70"/>
      <c r="Y430" s="70"/>
      <c r="Z430" s="70"/>
      <c r="AA430" s="70"/>
      <c r="AB430" s="70"/>
      <c r="AC430" s="70"/>
      <c r="AD430" s="70"/>
      <c r="AE430" s="70"/>
      <c r="AF430" s="70"/>
      <c r="AG430" s="70"/>
      <c r="AH430" s="70"/>
      <c r="AI430" s="70"/>
      <c r="AJ430" s="70"/>
      <c r="AK430" s="70"/>
      <c r="AL430" s="70"/>
      <c r="AM430" s="70"/>
      <c r="AN430" s="70"/>
      <c r="AO430" s="70"/>
      <c r="AP430" s="65"/>
      <c r="AQ430" s="65"/>
      <c r="AR430" s="65"/>
      <c r="AS430" s="70">
        <f>113/0.86</f>
        <v>131.3953488372093</v>
      </c>
      <c r="AT430" s="70"/>
      <c r="AU430" s="70"/>
      <c r="AV430" s="70">
        <f>128/0.86</f>
        <v>148.83720930232559</v>
      </c>
      <c r="AW430" s="70"/>
      <c r="AX430" s="70"/>
      <c r="AY430" s="65"/>
      <c r="AZ430" s="65">
        <f>130/0.91</f>
        <v>142.85714285714286</v>
      </c>
      <c r="BA430" s="65"/>
      <c r="BB430" s="65"/>
      <c r="BC430" s="65"/>
      <c r="BD430" s="65"/>
      <c r="BE430" s="65"/>
      <c r="BF430" s="65">
        <f>140/0.91</f>
        <v>153.84615384615384</v>
      </c>
      <c r="BG430" s="65"/>
      <c r="BH430" s="65"/>
      <c r="BI430" s="65">
        <f>140/0.91</f>
        <v>153.84615384615384</v>
      </c>
      <c r="BJ430" s="65"/>
      <c r="BK430" s="65"/>
      <c r="BL430" s="65">
        <f>145/0.91</f>
        <v>159.34065934065933</v>
      </c>
      <c r="BM430" s="65"/>
      <c r="BN430" s="65"/>
      <c r="BO430" s="65">
        <f>150/0.91</f>
        <v>164.83516483516482</v>
      </c>
      <c r="BP430" s="65"/>
      <c r="BQ430" s="65"/>
      <c r="BR430" s="65">
        <f>160/0.91</f>
        <v>175.82417582417582</v>
      </c>
      <c r="BS430" s="65"/>
      <c r="BT430" s="65"/>
      <c r="BU430" s="65">
        <f>160/0.91</f>
        <v>175.82417582417582</v>
      </c>
      <c r="BV430" s="65"/>
      <c r="BW430" s="65"/>
      <c r="BX430" s="65"/>
      <c r="BY430" s="65"/>
      <c r="BZ430" s="65"/>
      <c r="CA430" s="65"/>
      <c r="CB430" s="65"/>
      <c r="CC430" s="65"/>
      <c r="CD430" s="65"/>
      <c r="CE430" s="65"/>
      <c r="CF430" s="65"/>
      <c r="CG430" s="65"/>
      <c r="CH430" s="65"/>
      <c r="CI430" s="65"/>
      <c r="CJ430" s="65"/>
      <c r="CK430" s="65"/>
      <c r="CL430" s="65"/>
      <c r="CM430" s="65"/>
      <c r="CN430" s="65"/>
      <c r="CO430" s="65"/>
      <c r="CP430" s="65"/>
      <c r="CQ430" s="65"/>
      <c r="CR430" s="65"/>
      <c r="CS430" s="65"/>
      <c r="CT430" s="65"/>
      <c r="CU430" s="65"/>
      <c r="CV430" s="65"/>
      <c r="CW430" s="65"/>
      <c r="CX430" s="65"/>
      <c r="CY430" s="65"/>
      <c r="CZ430" s="65"/>
      <c r="DA430" s="65"/>
      <c r="DB430" s="65"/>
      <c r="DC430" s="65"/>
      <c r="DD430" s="65"/>
      <c r="DE430" s="65"/>
      <c r="DF430" s="65"/>
      <c r="DG430" s="65"/>
      <c r="DH430" s="65"/>
      <c r="DI430" s="65"/>
      <c r="DJ430" s="65"/>
      <c r="DK430" s="65"/>
      <c r="DL430" s="65"/>
      <c r="DM430" s="65"/>
      <c r="DN430" s="65"/>
      <c r="DO430" s="65"/>
      <c r="DP430" s="65"/>
      <c r="DQ430" s="65"/>
      <c r="DR430" s="65"/>
      <c r="DS430" s="65"/>
      <c r="DT430" s="65"/>
    </row>
    <row r="431" spans="1:124" ht="21.75" customHeight="1">
      <c r="A431" s="311"/>
      <c r="B431" s="229" t="s">
        <v>70</v>
      </c>
      <c r="C431" s="230"/>
      <c r="D431" s="231"/>
      <c r="E431" s="69"/>
      <c r="F431" s="69"/>
      <c r="G431" s="69"/>
      <c r="H431" s="69"/>
      <c r="I431" s="69"/>
      <c r="J431" s="69"/>
      <c r="K431" s="69"/>
      <c r="L431" s="68"/>
      <c r="M431" s="68"/>
      <c r="N431" s="68"/>
      <c r="O431" s="68"/>
      <c r="P431" s="68"/>
      <c r="Q431" s="68"/>
      <c r="R431" s="68"/>
      <c r="S431" s="68"/>
      <c r="T431" s="68"/>
      <c r="U431" s="68"/>
      <c r="V431" s="68"/>
      <c r="W431" s="68"/>
      <c r="X431" s="69"/>
      <c r="Y431" s="69"/>
      <c r="Z431" s="69" t="s">
        <v>542</v>
      </c>
      <c r="AA431" s="69"/>
      <c r="AB431" s="69"/>
      <c r="AC431" s="69"/>
      <c r="AD431" s="69"/>
      <c r="AE431" s="69"/>
      <c r="AF431" s="69"/>
      <c r="AG431" s="69" t="s">
        <v>392</v>
      </c>
      <c r="AH431" s="69"/>
      <c r="AI431" s="69"/>
      <c r="AJ431" s="69"/>
      <c r="AK431" s="69"/>
      <c r="AL431" s="69"/>
      <c r="AM431" s="69"/>
      <c r="AN431" s="69"/>
      <c r="AO431" s="69"/>
      <c r="AP431" s="68"/>
      <c r="AQ431" s="68"/>
      <c r="AR431" s="68"/>
      <c r="AS431" s="69"/>
      <c r="AT431" s="69"/>
      <c r="AU431" s="69"/>
      <c r="AV431" s="69"/>
      <c r="AW431" s="69"/>
      <c r="AX431" s="69"/>
      <c r="AY431" s="68"/>
      <c r="AZ431" s="68"/>
      <c r="BA431" s="68"/>
      <c r="BB431" s="68"/>
      <c r="BC431" s="68"/>
      <c r="BD431" s="68"/>
      <c r="BE431" s="68"/>
      <c r="BF431" s="68"/>
      <c r="BG431" s="68"/>
      <c r="BH431" s="68"/>
      <c r="BI431" s="68"/>
      <c r="BJ431" s="68"/>
      <c r="BK431" s="68"/>
      <c r="BL431" s="68"/>
      <c r="BM431" s="68"/>
      <c r="BN431" s="68"/>
      <c r="BO431" s="68"/>
      <c r="BP431" s="68"/>
      <c r="BQ431" s="68"/>
      <c r="BR431" s="68"/>
      <c r="BS431" s="68"/>
      <c r="BT431" s="68"/>
      <c r="BU431" s="68"/>
      <c r="BV431" s="68"/>
      <c r="BW431" s="68"/>
      <c r="BX431" s="68"/>
      <c r="BY431" s="68"/>
      <c r="BZ431" s="68"/>
      <c r="CA431" s="68"/>
      <c r="CB431" s="68"/>
      <c r="CC431" s="68"/>
      <c r="CD431" s="68"/>
      <c r="CE431" s="68"/>
      <c r="CF431" s="68"/>
      <c r="CG431" s="68"/>
      <c r="CH431" s="68"/>
      <c r="CI431" s="68"/>
      <c r="CJ431" s="68"/>
      <c r="CK431" s="68"/>
      <c r="CL431" s="68"/>
      <c r="CM431" s="68"/>
      <c r="CN431" s="68"/>
      <c r="CO431" s="68"/>
      <c r="CP431" s="68"/>
      <c r="CQ431" s="68"/>
      <c r="CR431" s="68"/>
      <c r="CS431" s="68"/>
      <c r="CT431" s="68"/>
      <c r="CU431" s="68"/>
      <c r="CV431" s="68"/>
      <c r="CW431" s="68"/>
      <c r="CX431" s="68"/>
      <c r="CY431" s="68"/>
      <c r="CZ431" s="68"/>
      <c r="DA431" s="68"/>
      <c r="DB431" s="68"/>
      <c r="DC431" s="68"/>
      <c r="DD431" s="68"/>
      <c r="DE431" s="68"/>
      <c r="DF431" s="68"/>
      <c r="DG431" s="68"/>
      <c r="DH431" s="68"/>
      <c r="DI431" s="68"/>
      <c r="DJ431" s="68"/>
      <c r="DK431" s="68"/>
      <c r="DL431" s="68"/>
      <c r="DM431" s="68"/>
      <c r="DN431" s="68"/>
      <c r="DO431" s="68"/>
      <c r="DP431" s="68"/>
      <c r="DQ431" s="68"/>
      <c r="DR431" s="68"/>
      <c r="DS431" s="68"/>
      <c r="DT431" s="68"/>
    </row>
    <row r="432" spans="1:124" ht="21.75" customHeight="1">
      <c r="A432" s="311"/>
      <c r="B432" s="232"/>
      <c r="C432" s="233"/>
      <c r="D432" s="234"/>
      <c r="E432" s="70"/>
      <c r="F432" s="70"/>
      <c r="G432" s="70"/>
      <c r="H432" s="70"/>
      <c r="I432" s="70"/>
      <c r="J432" s="70"/>
      <c r="K432" s="70"/>
      <c r="L432" s="65"/>
      <c r="M432" s="65"/>
      <c r="N432" s="65"/>
      <c r="O432" s="65"/>
      <c r="P432" s="65"/>
      <c r="Q432" s="65"/>
      <c r="R432" s="65"/>
      <c r="S432" s="65"/>
      <c r="T432" s="65"/>
      <c r="U432" s="65"/>
      <c r="V432" s="65"/>
      <c r="W432" s="65"/>
      <c r="X432" s="70"/>
      <c r="Y432" s="70"/>
      <c r="Z432" s="70">
        <f>80/0.86</f>
        <v>93.023255813953483</v>
      </c>
      <c r="AA432" s="70"/>
      <c r="AB432" s="70"/>
      <c r="AC432" s="70"/>
      <c r="AD432" s="70"/>
      <c r="AE432" s="70"/>
      <c r="AF432" s="70"/>
      <c r="AG432" s="70">
        <f>120/0.835</f>
        <v>143.7125748502994</v>
      </c>
      <c r="AH432" s="70"/>
      <c r="AI432" s="70"/>
      <c r="AJ432" s="70"/>
      <c r="AK432" s="70"/>
      <c r="AL432" s="70"/>
      <c r="AM432" s="70"/>
      <c r="AN432" s="70"/>
      <c r="AO432" s="70"/>
      <c r="AP432" s="65"/>
      <c r="AQ432" s="65"/>
      <c r="AR432" s="65"/>
      <c r="AS432" s="70"/>
      <c r="AT432" s="70"/>
      <c r="AU432" s="70"/>
      <c r="AV432" s="70"/>
      <c r="AW432" s="70"/>
      <c r="AX432" s="70"/>
      <c r="AY432" s="65"/>
      <c r="AZ432" s="65"/>
      <c r="BA432" s="65"/>
      <c r="BB432" s="65"/>
      <c r="BC432" s="65"/>
      <c r="BD432" s="65"/>
      <c r="BE432" s="65"/>
      <c r="BF432" s="65"/>
      <c r="BG432" s="65"/>
      <c r="BH432" s="65"/>
      <c r="BI432" s="65"/>
      <c r="BJ432" s="65"/>
      <c r="BK432" s="65"/>
      <c r="BL432" s="65"/>
      <c r="BM432" s="65"/>
      <c r="BN432" s="65"/>
      <c r="BO432" s="65"/>
      <c r="BP432" s="65"/>
      <c r="BQ432" s="65"/>
      <c r="BR432" s="65"/>
      <c r="BS432" s="65"/>
      <c r="BT432" s="65"/>
      <c r="BU432" s="65"/>
      <c r="BV432" s="65"/>
      <c r="BW432" s="65"/>
      <c r="BX432" s="65"/>
      <c r="BY432" s="65"/>
      <c r="BZ432" s="65"/>
      <c r="CA432" s="65"/>
      <c r="CB432" s="65"/>
      <c r="CC432" s="65"/>
      <c r="CD432" s="65"/>
      <c r="CE432" s="65"/>
      <c r="CF432" s="65"/>
      <c r="CG432" s="65"/>
      <c r="CH432" s="65"/>
      <c r="CI432" s="65"/>
      <c r="CJ432" s="65"/>
      <c r="CK432" s="65"/>
      <c r="CL432" s="65"/>
      <c r="CM432" s="65"/>
      <c r="CN432" s="65"/>
      <c r="CO432" s="65"/>
      <c r="CP432" s="65"/>
      <c r="CQ432" s="65"/>
      <c r="CR432" s="65"/>
      <c r="CS432" s="65"/>
      <c r="CT432" s="65"/>
      <c r="CU432" s="65"/>
      <c r="CV432" s="65"/>
      <c r="CW432" s="65"/>
      <c r="CX432" s="65"/>
      <c r="CY432" s="65"/>
      <c r="CZ432" s="65"/>
      <c r="DA432" s="65"/>
      <c r="DB432" s="65"/>
      <c r="DC432" s="65"/>
      <c r="DD432" s="65"/>
      <c r="DE432" s="65"/>
      <c r="DF432" s="65"/>
      <c r="DG432" s="65"/>
      <c r="DH432" s="65"/>
      <c r="DI432" s="65"/>
      <c r="DJ432" s="65"/>
      <c r="DK432" s="65"/>
      <c r="DL432" s="65"/>
      <c r="DM432" s="65"/>
      <c r="DN432" s="65"/>
      <c r="DO432" s="65"/>
      <c r="DP432" s="65"/>
      <c r="DQ432" s="65"/>
      <c r="DR432" s="65"/>
      <c r="DS432" s="65"/>
      <c r="DT432" s="65"/>
    </row>
    <row r="433" spans="1:124" ht="21.75" customHeight="1">
      <c r="A433" s="311"/>
      <c r="B433" s="229" t="s">
        <v>543</v>
      </c>
      <c r="C433" s="230"/>
      <c r="D433" s="231"/>
      <c r="E433" s="69"/>
      <c r="F433" s="69"/>
      <c r="G433" s="69"/>
      <c r="H433" s="69"/>
      <c r="I433" s="69"/>
      <c r="J433" s="69"/>
      <c r="K433" s="69"/>
      <c r="L433" s="68"/>
      <c r="M433" s="68"/>
      <c r="N433" s="68"/>
      <c r="O433" s="68"/>
      <c r="P433" s="68"/>
      <c r="Q433" s="68"/>
      <c r="R433" s="68"/>
      <c r="S433" s="68"/>
      <c r="T433" s="68"/>
      <c r="U433" s="68"/>
      <c r="V433" s="68"/>
      <c r="W433" s="68"/>
      <c r="X433" s="69"/>
      <c r="Y433" s="69"/>
      <c r="Z433" s="69"/>
      <c r="AA433" s="69"/>
      <c r="AB433" s="69"/>
      <c r="AC433" s="69"/>
      <c r="AD433" s="69"/>
      <c r="AE433" s="69"/>
      <c r="AF433" s="69"/>
      <c r="AG433" s="69"/>
      <c r="AH433" s="69"/>
      <c r="AI433" s="69"/>
      <c r="AJ433" s="69"/>
      <c r="AK433" s="69"/>
      <c r="AL433" s="69"/>
      <c r="AM433" s="69"/>
      <c r="AN433" s="69"/>
      <c r="AO433" s="69"/>
      <c r="AP433" s="68"/>
      <c r="AQ433" s="68"/>
      <c r="AR433" s="68"/>
      <c r="AS433" s="69"/>
      <c r="AT433" s="69"/>
      <c r="AU433" s="69" t="s">
        <v>407</v>
      </c>
      <c r="AV433" s="69"/>
      <c r="AW433" s="69"/>
      <c r="AX433" s="69"/>
      <c r="AY433" s="68"/>
      <c r="AZ433" s="68"/>
      <c r="BA433" s="68"/>
      <c r="BB433" s="68"/>
      <c r="BC433" s="68"/>
      <c r="BD433" s="68"/>
      <c r="BE433" s="68"/>
      <c r="BF433" s="68"/>
      <c r="BG433" s="68"/>
      <c r="BH433" s="68"/>
      <c r="BI433" s="68"/>
      <c r="BJ433" s="68"/>
      <c r="BK433" s="68"/>
      <c r="BL433" s="68"/>
      <c r="BM433" s="68"/>
      <c r="BN433" s="68"/>
      <c r="BO433" s="68"/>
      <c r="BP433" s="68"/>
      <c r="BQ433" s="68"/>
      <c r="BR433" s="68"/>
      <c r="BS433" s="68"/>
      <c r="BT433" s="68"/>
      <c r="BU433" s="68"/>
      <c r="BV433" s="68"/>
      <c r="BW433" s="68"/>
      <c r="BX433" s="68"/>
      <c r="BY433" s="68"/>
      <c r="BZ433" s="68"/>
      <c r="CA433" s="68"/>
      <c r="CB433" s="68"/>
      <c r="CC433" s="68"/>
      <c r="CD433" s="68"/>
      <c r="CE433" s="68"/>
      <c r="CF433" s="68"/>
      <c r="CG433" s="68"/>
      <c r="CH433" s="68"/>
      <c r="CI433" s="68"/>
      <c r="CJ433" s="68"/>
      <c r="CK433" s="68"/>
      <c r="CL433" s="68"/>
      <c r="CM433" s="68"/>
      <c r="CN433" s="68"/>
      <c r="CO433" s="68"/>
      <c r="CP433" s="68"/>
      <c r="CQ433" s="68"/>
      <c r="CR433" s="68"/>
      <c r="CS433" s="68"/>
      <c r="CT433" s="68"/>
      <c r="CU433" s="68"/>
      <c r="CV433" s="68"/>
      <c r="CW433" s="68"/>
      <c r="CX433" s="68"/>
      <c r="CY433" s="68"/>
      <c r="CZ433" s="68"/>
      <c r="DA433" s="68"/>
      <c r="DB433" s="68"/>
      <c r="DC433" s="68"/>
      <c r="DD433" s="68"/>
      <c r="DE433" s="68"/>
      <c r="DF433" s="68"/>
      <c r="DG433" s="68"/>
      <c r="DH433" s="68"/>
      <c r="DI433" s="68"/>
      <c r="DJ433" s="68"/>
      <c r="DK433" s="68"/>
      <c r="DL433" s="68"/>
      <c r="DM433" s="68"/>
      <c r="DN433" s="68"/>
      <c r="DO433" s="68"/>
      <c r="DP433" s="68"/>
      <c r="DQ433" s="68"/>
      <c r="DR433" s="68"/>
      <c r="DS433" s="68"/>
      <c r="DT433" s="68"/>
    </row>
    <row r="434" spans="1:124" ht="21.75" customHeight="1">
      <c r="A434" s="311"/>
      <c r="B434" s="232"/>
      <c r="C434" s="233"/>
      <c r="D434" s="234"/>
      <c r="E434" s="70"/>
      <c r="F434" s="70"/>
      <c r="G434" s="70"/>
      <c r="H434" s="70"/>
      <c r="I434" s="70"/>
      <c r="J434" s="70"/>
      <c r="K434" s="70"/>
      <c r="L434" s="65"/>
      <c r="M434" s="65"/>
      <c r="N434" s="65"/>
      <c r="O434" s="65"/>
      <c r="P434" s="65"/>
      <c r="Q434" s="65"/>
      <c r="R434" s="65"/>
      <c r="S434" s="65"/>
      <c r="T434" s="65"/>
      <c r="U434" s="65"/>
      <c r="V434" s="65"/>
      <c r="W434" s="65"/>
      <c r="X434" s="70"/>
      <c r="Y434" s="70"/>
      <c r="Z434" s="70"/>
      <c r="AA434" s="70"/>
      <c r="AB434" s="70"/>
      <c r="AC434" s="70"/>
      <c r="AD434" s="70"/>
      <c r="AE434" s="70"/>
      <c r="AF434" s="70"/>
      <c r="AG434" s="70"/>
      <c r="AH434" s="70"/>
      <c r="AI434" s="70"/>
      <c r="AJ434" s="70"/>
      <c r="AK434" s="70"/>
      <c r="AL434" s="70"/>
      <c r="AM434" s="70"/>
      <c r="AN434" s="70"/>
      <c r="AO434" s="70"/>
      <c r="AP434" s="65"/>
      <c r="AQ434" s="65"/>
      <c r="AR434" s="65"/>
      <c r="AS434" s="70"/>
      <c r="AT434" s="70"/>
      <c r="AU434" s="70">
        <f>70/0.735</f>
        <v>95.238095238095241</v>
      </c>
      <c r="AV434" s="70"/>
      <c r="AW434" s="70"/>
      <c r="AX434" s="70"/>
      <c r="AY434" s="65"/>
      <c r="AZ434" s="65"/>
      <c r="BA434" s="65"/>
      <c r="BB434" s="65"/>
      <c r="BC434" s="65"/>
      <c r="BD434" s="65"/>
      <c r="BE434" s="65"/>
      <c r="BF434" s="65"/>
      <c r="BG434" s="65"/>
      <c r="BH434" s="65"/>
      <c r="BI434" s="65"/>
      <c r="BJ434" s="65"/>
      <c r="BK434" s="65"/>
      <c r="BL434" s="65"/>
      <c r="BM434" s="65"/>
      <c r="BN434" s="65"/>
      <c r="BO434" s="65"/>
      <c r="BP434" s="65"/>
      <c r="BQ434" s="65"/>
      <c r="BR434" s="65"/>
      <c r="BS434" s="65"/>
      <c r="BT434" s="65"/>
      <c r="BU434" s="65"/>
      <c r="BV434" s="65"/>
      <c r="BW434" s="65"/>
      <c r="BX434" s="65"/>
      <c r="BY434" s="65"/>
      <c r="BZ434" s="65"/>
      <c r="CA434" s="65"/>
      <c r="CB434" s="65"/>
      <c r="CC434" s="65"/>
      <c r="CD434" s="65"/>
      <c r="CE434" s="65"/>
      <c r="CF434" s="65"/>
      <c r="CG434" s="65"/>
      <c r="CH434" s="65"/>
      <c r="CI434" s="65"/>
      <c r="CJ434" s="65"/>
      <c r="CK434" s="65"/>
      <c r="CL434" s="65"/>
      <c r="CM434" s="65"/>
      <c r="CN434" s="65"/>
      <c r="CO434" s="65"/>
      <c r="CP434" s="65"/>
      <c r="CQ434" s="65"/>
      <c r="CR434" s="65"/>
      <c r="CS434" s="65"/>
      <c r="CT434" s="65"/>
      <c r="CU434" s="65"/>
      <c r="CV434" s="65"/>
      <c r="CW434" s="65"/>
      <c r="CX434" s="65"/>
      <c r="CY434" s="65"/>
      <c r="CZ434" s="65"/>
      <c r="DA434" s="65"/>
      <c r="DB434" s="65"/>
      <c r="DC434" s="65"/>
      <c r="DD434" s="65"/>
      <c r="DE434" s="65"/>
      <c r="DF434" s="65"/>
      <c r="DG434" s="65"/>
      <c r="DH434" s="65"/>
      <c r="DI434" s="65"/>
      <c r="DJ434" s="65"/>
      <c r="DK434" s="65"/>
      <c r="DL434" s="65"/>
      <c r="DM434" s="65"/>
      <c r="DN434" s="65"/>
      <c r="DO434" s="65"/>
      <c r="DP434" s="65"/>
      <c r="DQ434" s="65"/>
      <c r="DR434" s="65"/>
      <c r="DS434" s="65"/>
      <c r="DT434" s="65"/>
    </row>
    <row r="435" spans="1:124" ht="21.75" customHeight="1">
      <c r="A435" s="311"/>
      <c r="B435" s="229" t="s">
        <v>71</v>
      </c>
      <c r="C435" s="230"/>
      <c r="D435" s="231"/>
      <c r="E435" s="69"/>
      <c r="F435" s="69"/>
      <c r="G435" s="69"/>
      <c r="H435" s="69"/>
      <c r="I435" s="69"/>
      <c r="J435" s="69"/>
      <c r="K435" s="69"/>
      <c r="L435" s="68"/>
      <c r="M435" s="68"/>
      <c r="N435" s="68"/>
      <c r="O435" s="68"/>
      <c r="P435" s="68"/>
      <c r="Q435" s="68"/>
      <c r="R435" s="68"/>
      <c r="S435" s="68"/>
      <c r="T435" s="68"/>
      <c r="U435" s="68"/>
      <c r="V435" s="68"/>
      <c r="W435" s="68"/>
      <c r="X435" s="69"/>
      <c r="Y435" s="69"/>
      <c r="Z435" s="69"/>
      <c r="AA435" s="69"/>
      <c r="AB435" s="69"/>
      <c r="AC435" s="69"/>
      <c r="AD435" s="69"/>
      <c r="AE435" s="69"/>
      <c r="AF435" s="69"/>
      <c r="AG435" s="69"/>
      <c r="AH435" s="69"/>
      <c r="AI435" s="69"/>
      <c r="AJ435" s="69"/>
      <c r="AK435" s="69"/>
      <c r="AL435" s="69"/>
      <c r="AM435" s="69"/>
      <c r="AN435" s="69"/>
      <c r="AO435" s="69"/>
      <c r="AP435" s="68"/>
      <c r="AQ435" s="68"/>
      <c r="AR435" s="68"/>
      <c r="AS435" s="69"/>
      <c r="AT435" s="69"/>
      <c r="AU435" s="69"/>
      <c r="AV435" s="69"/>
      <c r="AW435" s="69"/>
      <c r="AX435" s="69"/>
      <c r="AY435" s="68"/>
      <c r="AZ435" s="68"/>
      <c r="BA435" s="68"/>
      <c r="BB435" s="68"/>
      <c r="BC435" s="68"/>
      <c r="BD435" s="68"/>
      <c r="BE435" s="68"/>
      <c r="BF435" s="68"/>
      <c r="BG435" s="68" t="s">
        <v>536</v>
      </c>
      <c r="BH435" s="68"/>
      <c r="BI435" s="68"/>
      <c r="BJ435" s="68" t="s">
        <v>544</v>
      </c>
      <c r="BK435" s="68"/>
      <c r="BL435" s="68"/>
      <c r="BM435" s="68"/>
      <c r="BN435" s="68"/>
      <c r="BO435" s="68"/>
      <c r="BP435" s="68" t="s">
        <v>544</v>
      </c>
      <c r="BQ435" s="68"/>
      <c r="BR435" s="68"/>
      <c r="BS435" s="68"/>
      <c r="BT435" s="68"/>
      <c r="BU435" s="68"/>
      <c r="BV435" s="68"/>
      <c r="BW435" s="68"/>
      <c r="BX435" s="68"/>
      <c r="BY435" s="68"/>
      <c r="BZ435" s="68"/>
      <c r="CA435" s="68"/>
      <c r="CB435" s="68"/>
      <c r="CC435" s="68"/>
      <c r="CD435" s="68"/>
      <c r="CE435" s="68"/>
      <c r="CF435" s="68"/>
      <c r="CG435" s="68"/>
      <c r="CH435" s="68"/>
      <c r="CI435" s="68"/>
      <c r="CJ435" s="68"/>
      <c r="CK435" s="68"/>
      <c r="CL435" s="68"/>
      <c r="CM435" s="68"/>
      <c r="CN435" s="68"/>
      <c r="CO435" s="68"/>
      <c r="CP435" s="68"/>
      <c r="CQ435" s="68"/>
      <c r="CR435" s="68"/>
      <c r="CS435" s="68"/>
      <c r="CT435" s="68"/>
      <c r="CU435" s="68"/>
      <c r="CV435" s="68"/>
      <c r="CW435" s="68"/>
      <c r="CX435" s="68"/>
      <c r="CY435" s="68"/>
      <c r="CZ435" s="68"/>
      <c r="DA435" s="68"/>
      <c r="DB435" s="68"/>
      <c r="DC435" s="68"/>
      <c r="DD435" s="68"/>
      <c r="DE435" s="68"/>
      <c r="DF435" s="68"/>
      <c r="DG435" s="68"/>
      <c r="DH435" s="68"/>
      <c r="DI435" s="68"/>
      <c r="DJ435" s="68"/>
      <c r="DK435" s="68"/>
      <c r="DL435" s="68"/>
      <c r="DM435" s="68"/>
      <c r="DN435" s="68"/>
      <c r="DO435" s="68"/>
      <c r="DP435" s="68"/>
      <c r="DQ435" s="68"/>
      <c r="DR435" s="68"/>
      <c r="DS435" s="68"/>
      <c r="DT435" s="68"/>
    </row>
    <row r="436" spans="1:124" ht="21.75" customHeight="1">
      <c r="A436" s="311"/>
      <c r="B436" s="232"/>
      <c r="C436" s="233"/>
      <c r="D436" s="234"/>
      <c r="E436" s="70"/>
      <c r="F436" s="70"/>
      <c r="G436" s="70"/>
      <c r="H436" s="70"/>
      <c r="I436" s="70"/>
      <c r="J436" s="70"/>
      <c r="K436" s="70"/>
      <c r="L436" s="65"/>
      <c r="M436" s="65"/>
      <c r="N436" s="65"/>
      <c r="O436" s="65"/>
      <c r="P436" s="65"/>
      <c r="Q436" s="65"/>
      <c r="R436" s="65"/>
      <c r="S436" s="65"/>
      <c r="T436" s="65"/>
      <c r="U436" s="65"/>
      <c r="V436" s="65"/>
      <c r="W436" s="65"/>
      <c r="X436" s="70"/>
      <c r="Y436" s="70"/>
      <c r="Z436" s="70"/>
      <c r="AA436" s="70"/>
      <c r="AB436" s="70"/>
      <c r="AC436" s="70"/>
      <c r="AD436" s="70"/>
      <c r="AE436" s="70"/>
      <c r="AF436" s="70"/>
      <c r="AG436" s="70"/>
      <c r="AH436" s="70"/>
      <c r="AI436" s="70"/>
      <c r="AJ436" s="70"/>
      <c r="AK436" s="70"/>
      <c r="AL436" s="70"/>
      <c r="AM436" s="70"/>
      <c r="AN436" s="70"/>
      <c r="AO436" s="70"/>
      <c r="AP436" s="65"/>
      <c r="AQ436" s="65"/>
      <c r="AR436" s="65"/>
      <c r="AS436" s="70"/>
      <c r="AT436" s="70"/>
      <c r="AU436" s="70"/>
      <c r="AV436" s="70"/>
      <c r="AW436" s="70"/>
      <c r="AX436" s="70"/>
      <c r="AY436" s="65"/>
      <c r="AZ436" s="65"/>
      <c r="BA436" s="65"/>
      <c r="BB436" s="65"/>
      <c r="BC436" s="65"/>
      <c r="BD436" s="65"/>
      <c r="BE436" s="65"/>
      <c r="BF436" s="65"/>
      <c r="BG436" s="65">
        <f>61/0.662</f>
        <v>92.145015105740171</v>
      </c>
      <c r="BH436" s="65"/>
      <c r="BI436" s="65"/>
      <c r="BJ436" s="65">
        <f>54/0.662</f>
        <v>81.570996978851966</v>
      </c>
      <c r="BK436" s="65"/>
      <c r="BL436" s="65"/>
      <c r="BM436" s="65"/>
      <c r="BN436" s="65"/>
      <c r="BO436" s="65"/>
      <c r="BP436" s="65">
        <f>54/0.662</f>
        <v>81.570996978851966</v>
      </c>
      <c r="BQ436" s="65"/>
      <c r="BR436" s="65"/>
      <c r="BS436" s="65"/>
      <c r="BT436" s="65"/>
      <c r="BU436" s="65"/>
      <c r="BV436" s="65"/>
      <c r="BW436" s="65"/>
      <c r="BX436" s="65"/>
      <c r="BY436" s="65"/>
      <c r="BZ436" s="65"/>
      <c r="CA436" s="65"/>
      <c r="CB436" s="65"/>
      <c r="CC436" s="65"/>
      <c r="CD436" s="65"/>
      <c r="CE436" s="65"/>
      <c r="CF436" s="65"/>
      <c r="CG436" s="65"/>
      <c r="CH436" s="65"/>
      <c r="CI436" s="65"/>
      <c r="CJ436" s="65"/>
      <c r="CK436" s="65"/>
      <c r="CL436" s="65"/>
      <c r="CM436" s="65"/>
      <c r="CN436" s="65"/>
      <c r="CO436" s="65"/>
      <c r="CP436" s="65"/>
      <c r="CQ436" s="65"/>
      <c r="CR436" s="65"/>
      <c r="CS436" s="65"/>
      <c r="CT436" s="65"/>
      <c r="CU436" s="65"/>
      <c r="CV436" s="65"/>
      <c r="CW436" s="65"/>
      <c r="CX436" s="65"/>
      <c r="CY436" s="65"/>
      <c r="CZ436" s="65"/>
      <c r="DA436" s="65"/>
      <c r="DB436" s="65"/>
      <c r="DC436" s="65"/>
      <c r="DD436" s="65"/>
      <c r="DE436" s="65"/>
      <c r="DF436" s="65"/>
      <c r="DG436" s="65"/>
      <c r="DH436" s="65"/>
      <c r="DI436" s="65"/>
      <c r="DJ436" s="65"/>
      <c r="DK436" s="65"/>
      <c r="DL436" s="65"/>
      <c r="DM436" s="65"/>
      <c r="DN436" s="65"/>
      <c r="DO436" s="65"/>
      <c r="DP436" s="65"/>
      <c r="DQ436" s="65"/>
      <c r="DR436" s="65"/>
      <c r="DS436" s="65"/>
      <c r="DT436" s="65"/>
    </row>
    <row r="437" spans="1:124" ht="21.75" customHeight="1">
      <c r="A437" s="311"/>
      <c r="B437" s="229" t="s">
        <v>123</v>
      </c>
      <c r="C437" s="230"/>
      <c r="D437" s="231"/>
      <c r="E437" s="69"/>
      <c r="F437" s="69"/>
      <c r="G437" s="69"/>
      <c r="H437" s="69"/>
      <c r="I437" s="69"/>
      <c r="J437" s="69"/>
      <c r="K437" s="69"/>
      <c r="L437" s="68"/>
      <c r="M437" s="68"/>
      <c r="N437" s="68"/>
      <c r="O437" s="68"/>
      <c r="P437" s="68"/>
      <c r="Q437" s="68"/>
      <c r="R437" s="68"/>
      <c r="S437" s="68"/>
      <c r="T437" s="68"/>
      <c r="U437" s="68"/>
      <c r="V437" s="68"/>
      <c r="W437" s="68"/>
      <c r="X437" s="69"/>
      <c r="Y437" s="69"/>
      <c r="Z437" s="69"/>
      <c r="AA437" s="69"/>
      <c r="AB437" s="69"/>
      <c r="AC437" s="69"/>
      <c r="AD437" s="69"/>
      <c r="AE437" s="69"/>
      <c r="AF437" s="69"/>
      <c r="AG437" s="69"/>
      <c r="AH437" s="69"/>
      <c r="AI437" s="69"/>
      <c r="AJ437" s="69"/>
      <c r="AK437" s="69"/>
      <c r="AL437" s="69"/>
      <c r="AM437" s="69"/>
      <c r="AN437" s="69"/>
      <c r="AO437" s="69"/>
      <c r="AP437" s="68" t="s">
        <v>124</v>
      </c>
      <c r="AQ437" s="68"/>
      <c r="AR437" s="68"/>
      <c r="AS437" s="69"/>
      <c r="AT437" s="69"/>
      <c r="AU437" s="69"/>
      <c r="AV437" s="69"/>
      <c r="AW437" s="69"/>
      <c r="AX437" s="69"/>
      <c r="AY437" s="68"/>
      <c r="AZ437" s="68"/>
      <c r="BA437" s="68"/>
      <c r="BB437" s="68"/>
      <c r="BC437" s="68"/>
      <c r="BD437" s="68"/>
      <c r="BE437" s="68"/>
      <c r="BF437" s="68"/>
      <c r="BG437" s="68"/>
      <c r="BH437" s="68"/>
      <c r="BI437" s="68"/>
      <c r="BJ437" s="68"/>
      <c r="BK437" s="68"/>
      <c r="BL437" s="68"/>
      <c r="BM437" s="68"/>
      <c r="BN437" s="68"/>
      <c r="BO437" s="68"/>
      <c r="BP437" s="68"/>
      <c r="BQ437" s="68"/>
      <c r="BR437" s="68"/>
      <c r="BS437" s="68"/>
      <c r="BT437" s="68"/>
      <c r="BU437" s="68"/>
      <c r="BV437" s="68"/>
      <c r="BW437" s="68"/>
      <c r="BX437" s="68"/>
      <c r="BY437" s="68"/>
      <c r="BZ437" s="68"/>
      <c r="CA437" s="68"/>
      <c r="CB437" s="68"/>
      <c r="CC437" s="68"/>
      <c r="CD437" s="68"/>
      <c r="CE437" s="68"/>
      <c r="CF437" s="68"/>
      <c r="CG437" s="68"/>
      <c r="CH437" s="68"/>
      <c r="CI437" s="68"/>
      <c r="CJ437" s="68"/>
      <c r="CK437" s="68"/>
      <c r="CL437" s="68"/>
      <c r="CM437" s="68"/>
      <c r="CN437" s="68"/>
      <c r="CO437" s="68"/>
      <c r="CP437" s="68"/>
      <c r="CQ437" s="68"/>
      <c r="CR437" s="68"/>
      <c r="CS437" s="68"/>
      <c r="CT437" s="68"/>
      <c r="CU437" s="68"/>
      <c r="CV437" s="68"/>
      <c r="CW437" s="68"/>
      <c r="CX437" s="68"/>
      <c r="CY437" s="68"/>
      <c r="CZ437" s="68"/>
      <c r="DA437" s="68"/>
      <c r="DB437" s="68"/>
      <c r="DC437" s="68"/>
      <c r="DD437" s="68"/>
      <c r="DE437" s="68"/>
      <c r="DF437" s="68"/>
      <c r="DG437" s="68"/>
      <c r="DH437" s="68"/>
      <c r="DI437" s="68"/>
      <c r="DJ437" s="68"/>
      <c r="DK437" s="68"/>
      <c r="DL437" s="68"/>
      <c r="DM437" s="68"/>
      <c r="DN437" s="68"/>
      <c r="DO437" s="68"/>
      <c r="DP437" s="68"/>
      <c r="DQ437" s="68"/>
      <c r="DR437" s="68"/>
      <c r="DS437" s="68"/>
      <c r="DT437" s="68"/>
    </row>
    <row r="438" spans="1:124" ht="21.75" customHeight="1">
      <c r="A438" s="311"/>
      <c r="B438" s="232"/>
      <c r="C438" s="233"/>
      <c r="D438" s="234"/>
      <c r="E438" s="70"/>
      <c r="F438" s="70"/>
      <c r="G438" s="70"/>
      <c r="H438" s="70"/>
      <c r="I438" s="70"/>
      <c r="J438" s="70"/>
      <c r="K438" s="70"/>
      <c r="L438" s="65"/>
      <c r="M438" s="65"/>
      <c r="N438" s="65"/>
      <c r="O438" s="65"/>
      <c r="P438" s="65"/>
      <c r="Q438" s="65"/>
      <c r="R438" s="65"/>
      <c r="S438" s="65"/>
      <c r="T438" s="65"/>
      <c r="U438" s="65"/>
      <c r="V438" s="65"/>
      <c r="W438" s="65"/>
      <c r="X438" s="70"/>
      <c r="Y438" s="70"/>
      <c r="Z438" s="70"/>
      <c r="AA438" s="70"/>
      <c r="AB438" s="70"/>
      <c r="AC438" s="70"/>
      <c r="AD438" s="70"/>
      <c r="AE438" s="70"/>
      <c r="AF438" s="70"/>
      <c r="AG438" s="70"/>
      <c r="AH438" s="70"/>
      <c r="AI438" s="70"/>
      <c r="AJ438" s="70"/>
      <c r="AK438" s="70"/>
      <c r="AL438" s="70"/>
      <c r="AM438" s="70"/>
      <c r="AN438" s="70"/>
      <c r="AO438" s="70"/>
      <c r="AP438" s="65">
        <v>24</v>
      </c>
      <c r="AQ438" s="65"/>
      <c r="AR438" s="65"/>
      <c r="AS438" s="70"/>
      <c r="AT438" s="70"/>
      <c r="AU438" s="70"/>
      <c r="AV438" s="70"/>
      <c r="AW438" s="70"/>
      <c r="AX438" s="70"/>
      <c r="AY438" s="65"/>
      <c r="AZ438" s="65"/>
      <c r="BA438" s="65"/>
      <c r="BB438" s="65"/>
      <c r="BC438" s="65"/>
      <c r="BD438" s="65"/>
      <c r="BE438" s="65"/>
      <c r="BF438" s="65"/>
      <c r="BG438" s="65"/>
      <c r="BH438" s="65"/>
      <c r="BI438" s="65"/>
      <c r="BJ438" s="65"/>
      <c r="BK438" s="65"/>
      <c r="BL438" s="65"/>
      <c r="BM438" s="65"/>
      <c r="BN438" s="65"/>
      <c r="BO438" s="65"/>
      <c r="BP438" s="65"/>
      <c r="BQ438" s="65"/>
      <c r="BR438" s="65"/>
      <c r="BS438" s="65"/>
      <c r="BT438" s="65"/>
      <c r="BU438" s="65"/>
      <c r="BV438" s="65"/>
      <c r="BW438" s="65"/>
      <c r="BX438" s="65"/>
      <c r="BY438" s="65"/>
      <c r="BZ438" s="65"/>
      <c r="CA438" s="65"/>
      <c r="CB438" s="65"/>
      <c r="CC438" s="65"/>
      <c r="CD438" s="65"/>
      <c r="CE438" s="65"/>
      <c r="CF438" s="65"/>
      <c r="CG438" s="65"/>
      <c r="CH438" s="65"/>
      <c r="CI438" s="65"/>
      <c r="CJ438" s="65"/>
      <c r="CK438" s="65"/>
      <c r="CL438" s="65"/>
      <c r="CM438" s="65"/>
      <c r="CN438" s="65"/>
      <c r="CO438" s="65"/>
      <c r="CP438" s="65"/>
      <c r="CQ438" s="65"/>
      <c r="CR438" s="65"/>
      <c r="CS438" s="65"/>
      <c r="CT438" s="65"/>
      <c r="CU438" s="65"/>
      <c r="CV438" s="65"/>
      <c r="CW438" s="65"/>
      <c r="CX438" s="65"/>
      <c r="CY438" s="65"/>
      <c r="CZ438" s="65"/>
      <c r="DA438" s="65"/>
      <c r="DB438" s="65"/>
      <c r="DC438" s="65"/>
      <c r="DD438" s="65"/>
      <c r="DE438" s="65"/>
      <c r="DF438" s="65"/>
      <c r="DG438" s="65"/>
      <c r="DH438" s="65"/>
      <c r="DI438" s="65"/>
      <c r="DJ438" s="65"/>
      <c r="DK438" s="65"/>
      <c r="DL438" s="65"/>
      <c r="DM438" s="65"/>
      <c r="DN438" s="65"/>
      <c r="DO438" s="65"/>
      <c r="DP438" s="65"/>
      <c r="DQ438" s="65"/>
      <c r="DR438" s="65"/>
      <c r="DS438" s="65"/>
      <c r="DT438" s="65"/>
    </row>
    <row r="439" spans="1:124" ht="21.75" customHeight="1">
      <c r="A439" s="311"/>
      <c r="B439" s="229" t="s">
        <v>545</v>
      </c>
      <c r="C439" s="230"/>
      <c r="D439" s="231"/>
      <c r="E439" s="69"/>
      <c r="F439" s="69"/>
      <c r="G439" s="69"/>
      <c r="H439" s="69"/>
      <c r="I439" s="69"/>
      <c r="J439" s="69"/>
      <c r="K439" s="69"/>
      <c r="L439" s="68"/>
      <c r="M439" s="68"/>
      <c r="N439" s="68"/>
      <c r="O439" s="68"/>
      <c r="P439" s="68"/>
      <c r="Q439" s="68"/>
      <c r="R439" s="68"/>
      <c r="S439" s="68"/>
      <c r="T439" s="68"/>
      <c r="U439" s="68"/>
      <c r="V439" s="68"/>
      <c r="W439" s="68"/>
      <c r="X439" s="69"/>
      <c r="Y439" s="69"/>
      <c r="Z439" s="69"/>
      <c r="AA439" s="69"/>
      <c r="AB439" s="69"/>
      <c r="AC439" s="69"/>
      <c r="AD439" s="69"/>
      <c r="AE439" s="69"/>
      <c r="AF439" s="69"/>
      <c r="AG439" s="69"/>
      <c r="AH439" s="69"/>
      <c r="AI439" s="69"/>
      <c r="AJ439" s="69"/>
      <c r="AK439" s="69"/>
      <c r="AL439" s="69"/>
      <c r="AM439" s="69"/>
      <c r="AN439" s="69"/>
      <c r="AO439" s="69"/>
      <c r="AP439" s="68"/>
      <c r="AQ439" s="68"/>
      <c r="AR439" s="68"/>
      <c r="AS439" s="69"/>
      <c r="AT439" s="69"/>
      <c r="AU439" s="69" t="s">
        <v>509</v>
      </c>
      <c r="AV439" s="69"/>
      <c r="AW439" s="69"/>
      <c r="AX439" s="69"/>
      <c r="AY439" s="68"/>
      <c r="AZ439" s="68"/>
      <c r="BA439" s="68"/>
      <c r="BB439" s="68"/>
      <c r="BC439" s="68"/>
      <c r="BD439" s="68"/>
      <c r="BE439" s="68"/>
      <c r="BF439" s="68"/>
      <c r="BG439" s="68"/>
      <c r="BH439" s="68"/>
      <c r="BI439" s="68"/>
      <c r="BJ439" s="68"/>
      <c r="BK439" s="68"/>
      <c r="BL439" s="68"/>
      <c r="BM439" s="68"/>
      <c r="BN439" s="68"/>
      <c r="BO439" s="68"/>
      <c r="BP439" s="68"/>
      <c r="BQ439" s="68"/>
      <c r="BR439" s="68"/>
      <c r="BS439" s="68"/>
      <c r="BT439" s="68"/>
      <c r="BU439" s="68"/>
      <c r="BV439" s="68"/>
      <c r="BW439" s="68"/>
      <c r="BX439" s="68"/>
      <c r="BY439" s="68"/>
      <c r="BZ439" s="68"/>
      <c r="CA439" s="68"/>
      <c r="CB439" s="68"/>
      <c r="CC439" s="68"/>
      <c r="CD439" s="68"/>
      <c r="CE439" s="68"/>
      <c r="CF439" s="68"/>
      <c r="CG439" s="68"/>
      <c r="CH439" s="68"/>
      <c r="CI439" s="68"/>
      <c r="CJ439" s="68"/>
      <c r="CK439" s="68"/>
      <c r="CL439" s="68"/>
      <c r="CM439" s="68"/>
      <c r="CN439" s="68"/>
      <c r="CO439" s="68"/>
      <c r="CP439" s="68"/>
      <c r="CQ439" s="68"/>
      <c r="CR439" s="68"/>
      <c r="CS439" s="68"/>
      <c r="CT439" s="68"/>
      <c r="CU439" s="68"/>
      <c r="CV439" s="68"/>
      <c r="CW439" s="68"/>
      <c r="CX439" s="68"/>
      <c r="CY439" s="68"/>
      <c r="CZ439" s="68"/>
      <c r="DA439" s="68"/>
      <c r="DB439" s="68"/>
      <c r="DC439" s="68"/>
      <c r="DD439" s="68"/>
      <c r="DE439" s="68"/>
      <c r="DF439" s="68"/>
      <c r="DG439" s="68"/>
      <c r="DH439" s="68"/>
      <c r="DI439" s="68"/>
      <c r="DJ439" s="68"/>
      <c r="DK439" s="68"/>
      <c r="DL439" s="68"/>
      <c r="DM439" s="68"/>
      <c r="DN439" s="68"/>
      <c r="DO439" s="68"/>
      <c r="DP439" s="68"/>
      <c r="DQ439" s="68"/>
      <c r="DR439" s="68"/>
      <c r="DS439" s="68"/>
      <c r="DT439" s="68"/>
    </row>
    <row r="440" spans="1:124" ht="21.75" customHeight="1">
      <c r="A440" s="311"/>
      <c r="B440" s="232"/>
      <c r="C440" s="233"/>
      <c r="D440" s="234"/>
      <c r="E440" s="70"/>
      <c r="F440" s="70"/>
      <c r="G440" s="70"/>
      <c r="H440" s="70"/>
      <c r="I440" s="70"/>
      <c r="J440" s="70"/>
      <c r="K440" s="70"/>
      <c r="L440" s="65"/>
      <c r="M440" s="65"/>
      <c r="N440" s="65"/>
      <c r="O440" s="65"/>
      <c r="P440" s="65"/>
      <c r="Q440" s="65"/>
      <c r="R440" s="65"/>
      <c r="S440" s="65"/>
      <c r="T440" s="65"/>
      <c r="U440" s="65"/>
      <c r="V440" s="65"/>
      <c r="W440" s="65"/>
      <c r="X440" s="70"/>
      <c r="Y440" s="70"/>
      <c r="Z440" s="70"/>
      <c r="AA440" s="70"/>
      <c r="AB440" s="70"/>
      <c r="AC440" s="70"/>
      <c r="AD440" s="70"/>
      <c r="AE440" s="70"/>
      <c r="AF440" s="70"/>
      <c r="AG440" s="70"/>
      <c r="AH440" s="70"/>
      <c r="AI440" s="70"/>
      <c r="AJ440" s="70"/>
      <c r="AK440" s="70"/>
      <c r="AL440" s="70"/>
      <c r="AM440" s="70"/>
      <c r="AN440" s="70"/>
      <c r="AO440" s="70"/>
      <c r="AP440" s="65"/>
      <c r="AQ440" s="65"/>
      <c r="AR440" s="65"/>
      <c r="AS440" s="70"/>
      <c r="AT440" s="70"/>
      <c r="AU440" s="70">
        <f>20/0.785</f>
        <v>25.477707006369425</v>
      </c>
      <c r="AV440" s="70"/>
      <c r="AW440" s="70"/>
      <c r="AX440" s="70"/>
      <c r="AY440" s="65"/>
      <c r="AZ440" s="65"/>
      <c r="BA440" s="65"/>
      <c r="BB440" s="65"/>
      <c r="BC440" s="65"/>
      <c r="BD440" s="65"/>
      <c r="BE440" s="65"/>
      <c r="BF440" s="65"/>
      <c r="BG440" s="65"/>
      <c r="BH440" s="65"/>
      <c r="BI440" s="65"/>
      <c r="BJ440" s="65"/>
      <c r="BK440" s="65"/>
      <c r="BL440" s="65"/>
      <c r="BM440" s="65"/>
      <c r="BN440" s="65"/>
      <c r="BO440" s="65"/>
      <c r="BP440" s="65"/>
      <c r="BQ440" s="65"/>
      <c r="BR440" s="65"/>
      <c r="BS440" s="65"/>
      <c r="BT440" s="65"/>
      <c r="BU440" s="65"/>
      <c r="BV440" s="65"/>
      <c r="BW440" s="65"/>
      <c r="BX440" s="65"/>
      <c r="BY440" s="65"/>
      <c r="BZ440" s="65"/>
      <c r="CA440" s="65"/>
      <c r="CB440" s="65"/>
      <c r="CC440" s="65"/>
      <c r="CD440" s="65"/>
      <c r="CE440" s="65"/>
      <c r="CF440" s="65"/>
      <c r="CG440" s="65"/>
      <c r="CH440" s="65"/>
      <c r="CI440" s="65"/>
      <c r="CJ440" s="65"/>
      <c r="CK440" s="65"/>
      <c r="CL440" s="65"/>
      <c r="CM440" s="65"/>
      <c r="CN440" s="65"/>
      <c r="CO440" s="65"/>
      <c r="CP440" s="65"/>
      <c r="CQ440" s="65"/>
      <c r="CR440" s="65"/>
      <c r="CS440" s="65"/>
      <c r="CT440" s="65"/>
      <c r="CU440" s="65"/>
      <c r="CV440" s="65"/>
      <c r="CW440" s="65"/>
      <c r="CX440" s="65"/>
      <c r="CY440" s="65"/>
      <c r="CZ440" s="65"/>
      <c r="DA440" s="65"/>
      <c r="DB440" s="65"/>
      <c r="DC440" s="65"/>
      <c r="DD440" s="65"/>
      <c r="DE440" s="65"/>
      <c r="DF440" s="65"/>
      <c r="DG440" s="65"/>
      <c r="DH440" s="65"/>
      <c r="DI440" s="65"/>
      <c r="DJ440" s="65"/>
      <c r="DK440" s="65"/>
      <c r="DL440" s="65"/>
      <c r="DM440" s="65"/>
      <c r="DN440" s="65"/>
      <c r="DO440" s="65"/>
      <c r="DP440" s="65"/>
      <c r="DQ440" s="65"/>
      <c r="DR440" s="65"/>
      <c r="DS440" s="65"/>
      <c r="DT440" s="65"/>
    </row>
    <row r="441" spans="1:124" ht="21.75" customHeight="1">
      <c r="A441" s="311"/>
      <c r="B441" s="229" t="s">
        <v>414</v>
      </c>
      <c r="C441" s="230"/>
      <c r="D441" s="231"/>
      <c r="E441" s="69"/>
      <c r="F441" s="69"/>
      <c r="G441" s="69"/>
      <c r="H441" s="69"/>
      <c r="I441" s="69"/>
      <c r="J441" s="69"/>
      <c r="K441" s="69"/>
      <c r="L441" s="68"/>
      <c r="M441" s="68"/>
      <c r="N441" s="68"/>
      <c r="O441" s="68"/>
      <c r="P441" s="68"/>
      <c r="Q441" s="68"/>
      <c r="R441" s="68"/>
      <c r="S441" s="68"/>
      <c r="T441" s="68"/>
      <c r="U441" s="68"/>
      <c r="V441" s="68"/>
      <c r="W441" s="68"/>
      <c r="X441" s="69" t="s">
        <v>407</v>
      </c>
      <c r="Y441" s="69"/>
      <c r="Z441" s="69"/>
      <c r="AA441" s="69"/>
      <c r="AB441" s="69"/>
      <c r="AC441" s="69"/>
      <c r="AD441" s="69"/>
      <c r="AE441" s="69"/>
      <c r="AF441" s="69"/>
      <c r="AG441" s="69"/>
      <c r="AH441" s="69"/>
      <c r="AI441" s="69"/>
      <c r="AJ441" s="69"/>
      <c r="AK441" s="69"/>
      <c r="AL441" s="69"/>
      <c r="AM441" s="69"/>
      <c r="AN441" s="69"/>
      <c r="AO441" s="69"/>
      <c r="AP441" s="68"/>
      <c r="AQ441" s="68"/>
      <c r="AR441" s="68"/>
      <c r="AS441" s="69"/>
      <c r="AT441" s="69"/>
      <c r="AU441" s="69"/>
      <c r="AV441" s="69"/>
      <c r="AW441" s="69"/>
      <c r="AX441" s="69"/>
      <c r="AY441" s="68"/>
      <c r="AZ441" s="68"/>
      <c r="BA441" s="68"/>
      <c r="BB441" s="68"/>
      <c r="BC441" s="68"/>
      <c r="BD441" s="68"/>
      <c r="BE441" s="68"/>
      <c r="BF441" s="68"/>
      <c r="BG441" s="68"/>
      <c r="BH441" s="68" t="s">
        <v>395</v>
      </c>
      <c r="BI441" s="68"/>
      <c r="BJ441" s="68"/>
      <c r="BK441" s="68" t="s">
        <v>509</v>
      </c>
      <c r="BL441" s="68"/>
      <c r="BM441" s="68"/>
      <c r="BN441" s="68" t="s">
        <v>509</v>
      </c>
      <c r="BO441" s="68"/>
      <c r="BP441" s="68"/>
      <c r="BQ441" s="68"/>
      <c r="BR441" s="68"/>
      <c r="BS441" s="68" t="s">
        <v>509</v>
      </c>
      <c r="BT441" s="68"/>
      <c r="BU441" s="68"/>
      <c r="BV441" s="68"/>
      <c r="BW441" s="68"/>
      <c r="BX441" s="68"/>
      <c r="BY441" s="68"/>
      <c r="BZ441" s="68"/>
      <c r="CA441" s="68"/>
      <c r="CB441" s="68"/>
      <c r="CC441" s="68"/>
      <c r="CD441" s="68"/>
      <c r="CE441" s="68"/>
      <c r="CF441" s="68"/>
      <c r="CG441" s="68"/>
      <c r="CH441" s="68"/>
      <c r="CI441" s="68"/>
      <c r="CJ441" s="68"/>
      <c r="CK441" s="68"/>
      <c r="CL441" s="68"/>
      <c r="CM441" s="68"/>
      <c r="CN441" s="68"/>
      <c r="CO441" s="68"/>
      <c r="CP441" s="68"/>
      <c r="CQ441" s="68"/>
      <c r="CR441" s="68"/>
      <c r="CS441" s="68"/>
      <c r="CT441" s="68"/>
      <c r="CU441" s="68"/>
      <c r="CV441" s="68"/>
      <c r="CW441" s="68"/>
      <c r="CX441" s="68"/>
      <c r="CY441" s="68"/>
      <c r="CZ441" s="68"/>
      <c r="DA441" s="68"/>
      <c r="DB441" s="68"/>
      <c r="DC441" s="68"/>
      <c r="DD441" s="68"/>
      <c r="DE441" s="68"/>
      <c r="DF441" s="68"/>
      <c r="DG441" s="68"/>
      <c r="DH441" s="68"/>
      <c r="DI441" s="68"/>
      <c r="DJ441" s="68"/>
      <c r="DK441" s="68"/>
      <c r="DL441" s="68"/>
      <c r="DM441" s="68"/>
      <c r="DN441" s="68"/>
      <c r="DO441" s="68"/>
      <c r="DP441" s="68"/>
      <c r="DQ441" s="68"/>
      <c r="DR441" s="68"/>
      <c r="DS441" s="68"/>
      <c r="DT441" s="68"/>
    </row>
    <row r="442" spans="1:124" ht="21.75" customHeight="1">
      <c r="A442" s="311"/>
      <c r="B442" s="232"/>
      <c r="C442" s="233"/>
      <c r="D442" s="234"/>
      <c r="E442" s="70"/>
      <c r="F442" s="70"/>
      <c r="G442" s="70"/>
      <c r="H442" s="70"/>
      <c r="I442" s="70"/>
      <c r="J442" s="70"/>
      <c r="K442" s="70"/>
      <c r="L442" s="65"/>
      <c r="M442" s="65"/>
      <c r="N442" s="65"/>
      <c r="O442" s="65"/>
      <c r="P442" s="65"/>
      <c r="Q442" s="65"/>
      <c r="R442" s="65"/>
      <c r="S442" s="65"/>
      <c r="T442" s="65"/>
      <c r="U442" s="65"/>
      <c r="V442" s="65"/>
      <c r="W442" s="65"/>
      <c r="X442" s="96">
        <f>50/0.735</f>
        <v>68.02721088435375</v>
      </c>
      <c r="Y442" s="70"/>
      <c r="Z442" s="70"/>
      <c r="AA442" s="70"/>
      <c r="AB442" s="70"/>
      <c r="AC442" s="70"/>
      <c r="AD442" s="70"/>
      <c r="AE442" s="70"/>
      <c r="AF442" s="70"/>
      <c r="AG442" s="70"/>
      <c r="AH442" s="70"/>
      <c r="AI442" s="70"/>
      <c r="AJ442" s="70"/>
      <c r="AK442" s="70"/>
      <c r="AL442" s="70"/>
      <c r="AM442" s="70"/>
      <c r="AN442" s="70"/>
      <c r="AO442" s="70"/>
      <c r="AP442" s="65"/>
      <c r="AQ442" s="65"/>
      <c r="AR442" s="65"/>
      <c r="AS442" s="70"/>
      <c r="AT442" s="70"/>
      <c r="AU442" s="70"/>
      <c r="AV442" s="70"/>
      <c r="AW442" s="70"/>
      <c r="AX442" s="70"/>
      <c r="AY442" s="65"/>
      <c r="AZ442" s="65"/>
      <c r="BA442" s="65"/>
      <c r="BB442" s="65"/>
      <c r="BC442" s="65"/>
      <c r="BD442" s="65"/>
      <c r="BE442" s="65"/>
      <c r="BF442" s="65"/>
      <c r="BG442" s="65"/>
      <c r="BH442" s="65">
        <f>64/0.785</f>
        <v>81.528662420382162</v>
      </c>
      <c r="BI442" s="65"/>
      <c r="BJ442" s="65"/>
      <c r="BK442" s="65">
        <f>68/0.785</f>
        <v>86.624203821656053</v>
      </c>
      <c r="BL442" s="65"/>
      <c r="BM442" s="65"/>
      <c r="BN442" s="65">
        <f>68/0.785</f>
        <v>86.624203821656053</v>
      </c>
      <c r="BO442" s="65"/>
      <c r="BP442" s="65"/>
      <c r="BQ442" s="65"/>
      <c r="BR442" s="65"/>
      <c r="BS442" s="65">
        <f>61/0.785</f>
        <v>77.70700636942675</v>
      </c>
      <c r="BT442" s="65"/>
      <c r="BU442" s="65"/>
      <c r="BV442" s="65"/>
      <c r="BW442" s="65"/>
      <c r="BX442" s="65"/>
      <c r="BY442" s="65"/>
      <c r="BZ442" s="65"/>
      <c r="CA442" s="65"/>
      <c r="CB442" s="65"/>
      <c r="CC442" s="65"/>
      <c r="CD442" s="65"/>
      <c r="CE442" s="65"/>
      <c r="CF442" s="65"/>
      <c r="CG442" s="65"/>
      <c r="CH442" s="65"/>
      <c r="CI442" s="65"/>
      <c r="CJ442" s="65"/>
      <c r="CK442" s="65"/>
      <c r="CL442" s="65"/>
      <c r="CM442" s="65"/>
      <c r="CN442" s="65"/>
      <c r="CO442" s="65"/>
      <c r="CP442" s="65"/>
      <c r="CQ442" s="65"/>
      <c r="CR442" s="65"/>
      <c r="CS442" s="65"/>
      <c r="CT442" s="65"/>
      <c r="CU442" s="65"/>
      <c r="CV442" s="65"/>
      <c r="CW442" s="65"/>
      <c r="CX442" s="65"/>
      <c r="CY442" s="65"/>
      <c r="CZ442" s="65"/>
      <c r="DA442" s="65"/>
      <c r="DB442" s="65"/>
      <c r="DC442" s="65"/>
      <c r="DD442" s="65"/>
      <c r="DE442" s="65"/>
      <c r="DF442" s="65"/>
      <c r="DG442" s="65"/>
      <c r="DH442" s="65"/>
      <c r="DI442" s="65"/>
      <c r="DJ442" s="65"/>
      <c r="DK442" s="65"/>
      <c r="DL442" s="65"/>
      <c r="DM442" s="65"/>
      <c r="DN442" s="65"/>
      <c r="DO442" s="65"/>
      <c r="DP442" s="65"/>
      <c r="DQ442" s="65"/>
      <c r="DR442" s="65"/>
      <c r="DS442" s="65"/>
      <c r="DT442" s="65"/>
    </row>
    <row r="443" spans="1:124" ht="21.75" customHeight="1">
      <c r="A443" s="311"/>
      <c r="B443" s="229" t="s">
        <v>133</v>
      </c>
      <c r="C443" s="230"/>
      <c r="D443" s="231"/>
      <c r="E443" s="69"/>
      <c r="F443" s="69"/>
      <c r="G443" s="69"/>
      <c r="H443" s="69"/>
      <c r="I443" s="69"/>
      <c r="J443" s="69"/>
      <c r="K443" s="69"/>
      <c r="L443" s="68"/>
      <c r="M443" s="68"/>
      <c r="N443" s="68"/>
      <c r="O443" s="68"/>
      <c r="P443" s="68"/>
      <c r="Q443" s="68"/>
      <c r="R443" s="68"/>
      <c r="S443" s="68"/>
      <c r="T443" s="68"/>
      <c r="U443" s="68"/>
      <c r="V443" s="68"/>
      <c r="W443" s="68"/>
      <c r="X443" s="69"/>
      <c r="Y443" s="69"/>
      <c r="Z443" s="69"/>
      <c r="AA443" s="69"/>
      <c r="AB443" s="69"/>
      <c r="AC443" s="69"/>
      <c r="AD443" s="69"/>
      <c r="AE443" s="69"/>
      <c r="AF443" s="69"/>
      <c r="AG443" s="69"/>
      <c r="AH443" s="69"/>
      <c r="AI443" s="69"/>
      <c r="AJ443" s="69"/>
      <c r="AK443" s="69"/>
      <c r="AL443" s="69"/>
      <c r="AM443" s="69"/>
      <c r="AN443" s="69"/>
      <c r="AO443" s="69"/>
      <c r="AP443" s="68"/>
      <c r="AQ443" s="68"/>
      <c r="AR443" s="68"/>
      <c r="AS443" s="69"/>
      <c r="AT443" s="69"/>
      <c r="AU443" s="69"/>
      <c r="AV443" s="69" t="s">
        <v>378</v>
      </c>
      <c r="AW443" s="69"/>
      <c r="AX443" s="69"/>
      <c r="AY443" s="68"/>
      <c r="AZ443" s="68"/>
      <c r="BA443" s="68" t="s">
        <v>378</v>
      </c>
      <c r="BB443" s="68"/>
      <c r="BC443" s="68"/>
      <c r="BD443" s="68"/>
      <c r="BE443" s="68"/>
      <c r="BF443" s="68"/>
      <c r="BG443" s="68"/>
      <c r="BH443" s="68"/>
      <c r="BI443" s="68"/>
      <c r="BJ443" s="68"/>
      <c r="BK443" s="68"/>
      <c r="BL443" s="68"/>
      <c r="BM443" s="68"/>
      <c r="BN443" s="68"/>
      <c r="BO443" s="68"/>
      <c r="BP443" s="68"/>
      <c r="BQ443" s="68"/>
      <c r="BR443" s="68"/>
      <c r="BS443" s="68"/>
      <c r="BT443" s="68"/>
      <c r="BU443" s="68"/>
      <c r="BV443" s="68"/>
      <c r="BW443" s="68"/>
      <c r="BX443" s="68"/>
      <c r="BY443" s="68"/>
      <c r="BZ443" s="68"/>
      <c r="CA443" s="68"/>
      <c r="CB443" s="68"/>
      <c r="CC443" s="68"/>
      <c r="CD443" s="68"/>
      <c r="CE443" s="68"/>
      <c r="CF443" s="68"/>
      <c r="CG443" s="68"/>
      <c r="CH443" s="68"/>
      <c r="CI443" s="68"/>
      <c r="CJ443" s="68"/>
      <c r="CK443" s="68"/>
      <c r="CL443" s="68"/>
      <c r="CM443" s="68"/>
      <c r="CN443" s="68"/>
      <c r="CO443" s="68"/>
      <c r="CP443" s="68"/>
      <c r="CQ443" s="68"/>
      <c r="CR443" s="68"/>
      <c r="CS443" s="68"/>
      <c r="CT443" s="68"/>
      <c r="CU443" s="68"/>
      <c r="CV443" s="68"/>
      <c r="CW443" s="68"/>
      <c r="CX443" s="68"/>
      <c r="CY443" s="68"/>
      <c r="CZ443" s="68"/>
      <c r="DA443" s="68"/>
      <c r="DB443" s="68"/>
      <c r="DC443" s="68"/>
      <c r="DD443" s="68"/>
      <c r="DE443" s="68"/>
      <c r="DF443" s="68"/>
      <c r="DG443" s="68"/>
      <c r="DH443" s="68"/>
      <c r="DI443" s="68"/>
      <c r="DJ443" s="68"/>
      <c r="DK443" s="68"/>
      <c r="DL443" s="68"/>
      <c r="DM443" s="68"/>
      <c r="DN443" s="68"/>
      <c r="DO443" s="68"/>
      <c r="DP443" s="68"/>
      <c r="DQ443" s="68"/>
      <c r="DR443" s="68"/>
      <c r="DS443" s="68"/>
      <c r="DT443" s="68"/>
    </row>
    <row r="444" spans="1:124" ht="21.75" customHeight="1">
      <c r="A444" s="311"/>
      <c r="B444" s="232"/>
      <c r="C444" s="233"/>
      <c r="D444" s="234"/>
      <c r="E444" s="70"/>
      <c r="F444" s="70"/>
      <c r="G444" s="70"/>
      <c r="H444" s="70"/>
      <c r="I444" s="70"/>
      <c r="J444" s="70"/>
      <c r="K444" s="70"/>
      <c r="L444" s="65"/>
      <c r="M444" s="65"/>
      <c r="N444" s="65"/>
      <c r="O444" s="65"/>
      <c r="P444" s="65"/>
      <c r="Q444" s="65"/>
      <c r="R444" s="65"/>
      <c r="S444" s="65"/>
      <c r="T444" s="65"/>
      <c r="U444" s="65"/>
      <c r="V444" s="65"/>
      <c r="W444" s="65"/>
      <c r="X444" s="70"/>
      <c r="Y444" s="70"/>
      <c r="Z444" s="70"/>
      <c r="AA444" s="70"/>
      <c r="AB444" s="70"/>
      <c r="AC444" s="70"/>
      <c r="AD444" s="70"/>
      <c r="AE444" s="70"/>
      <c r="AF444" s="70"/>
      <c r="AG444" s="70"/>
      <c r="AH444" s="70"/>
      <c r="AI444" s="70"/>
      <c r="AJ444" s="70"/>
      <c r="AK444" s="70"/>
      <c r="AL444" s="70"/>
      <c r="AM444" s="70"/>
      <c r="AN444" s="70"/>
      <c r="AO444" s="70"/>
      <c r="AP444" s="65"/>
      <c r="AQ444" s="65"/>
      <c r="AR444" s="65"/>
      <c r="AS444" s="70"/>
      <c r="AT444" s="70"/>
      <c r="AU444" s="70"/>
      <c r="AV444" s="70">
        <f>110/0.86</f>
        <v>127.90697674418605</v>
      </c>
      <c r="AW444" s="70"/>
      <c r="AX444" s="70"/>
      <c r="AY444" s="65"/>
      <c r="AZ444" s="65"/>
      <c r="BA444" s="65">
        <f>117/0.86</f>
        <v>136.04651162790697</v>
      </c>
      <c r="BB444" s="65"/>
      <c r="BC444" s="65"/>
      <c r="BD444" s="65"/>
      <c r="BE444" s="65"/>
      <c r="BF444" s="65"/>
      <c r="BG444" s="65"/>
      <c r="BH444" s="65"/>
      <c r="BI444" s="65"/>
      <c r="BJ444" s="65"/>
      <c r="BK444" s="65"/>
      <c r="BL444" s="65"/>
      <c r="BM444" s="65"/>
      <c r="BN444" s="65"/>
      <c r="BO444" s="65"/>
      <c r="BP444" s="65"/>
      <c r="BQ444" s="65"/>
      <c r="BR444" s="65"/>
      <c r="BS444" s="65"/>
      <c r="BT444" s="65"/>
      <c r="BU444" s="65"/>
      <c r="BV444" s="65"/>
      <c r="BW444" s="65"/>
      <c r="BX444" s="65"/>
      <c r="BY444" s="65"/>
      <c r="BZ444" s="65"/>
      <c r="CA444" s="65"/>
      <c r="CB444" s="65"/>
      <c r="CC444" s="65"/>
      <c r="CD444" s="65"/>
      <c r="CE444" s="65"/>
      <c r="CF444" s="65"/>
      <c r="CG444" s="65"/>
      <c r="CH444" s="65"/>
      <c r="CI444" s="65"/>
      <c r="CJ444" s="65"/>
      <c r="CK444" s="65"/>
      <c r="CL444" s="65"/>
      <c r="CM444" s="65"/>
      <c r="CN444" s="65"/>
      <c r="CO444" s="65"/>
      <c r="CP444" s="65"/>
      <c r="CQ444" s="65"/>
      <c r="CR444" s="65"/>
      <c r="CS444" s="65"/>
      <c r="CT444" s="65"/>
      <c r="CU444" s="65"/>
      <c r="CV444" s="65"/>
      <c r="CW444" s="65"/>
      <c r="CX444" s="65"/>
      <c r="CY444" s="65"/>
      <c r="CZ444" s="65"/>
      <c r="DA444" s="65"/>
      <c r="DB444" s="65"/>
      <c r="DC444" s="65"/>
      <c r="DD444" s="65"/>
      <c r="DE444" s="65"/>
      <c r="DF444" s="65"/>
      <c r="DG444" s="65"/>
      <c r="DH444" s="65"/>
      <c r="DI444" s="65"/>
      <c r="DJ444" s="65"/>
      <c r="DK444" s="65"/>
      <c r="DL444" s="65"/>
      <c r="DM444" s="65"/>
      <c r="DN444" s="65"/>
      <c r="DO444" s="65"/>
      <c r="DP444" s="65"/>
      <c r="DQ444" s="65"/>
      <c r="DR444" s="65"/>
      <c r="DS444" s="65"/>
      <c r="DT444" s="65"/>
    </row>
    <row r="445" spans="1:124" ht="21.75" customHeight="1">
      <c r="A445" s="311"/>
      <c r="B445" s="229" t="s">
        <v>103</v>
      </c>
      <c r="C445" s="230"/>
      <c r="D445" s="78" t="s">
        <v>415</v>
      </c>
      <c r="E445" s="70"/>
      <c r="F445" s="70"/>
      <c r="G445" s="70"/>
      <c r="H445" s="70"/>
      <c r="I445" s="70"/>
      <c r="J445" s="70"/>
      <c r="K445" s="70"/>
      <c r="L445" s="65"/>
      <c r="M445" s="65"/>
      <c r="N445" s="65"/>
      <c r="O445" s="65"/>
      <c r="P445" s="65"/>
      <c r="Q445" s="65"/>
      <c r="R445" s="65"/>
      <c r="S445" s="65"/>
      <c r="T445" s="65"/>
      <c r="U445" s="65"/>
      <c r="V445" s="65"/>
      <c r="W445" s="65"/>
      <c r="X445" s="70"/>
      <c r="Y445" s="70"/>
      <c r="Z445" s="70"/>
      <c r="AA445" s="70"/>
      <c r="AB445" s="70"/>
      <c r="AC445" s="70"/>
      <c r="AD445" s="70"/>
      <c r="AE445" s="70"/>
      <c r="AF445" s="70"/>
      <c r="AG445" s="96" t="s">
        <v>546</v>
      </c>
      <c r="AH445" s="70"/>
      <c r="AI445" s="70"/>
      <c r="AJ445" s="96" t="s">
        <v>546</v>
      </c>
      <c r="AK445" s="70"/>
      <c r="AL445" s="96"/>
      <c r="AM445" s="96" t="s">
        <v>547</v>
      </c>
      <c r="AN445" s="70"/>
      <c r="AO445" s="70"/>
      <c r="AP445" s="65"/>
      <c r="AQ445" s="65"/>
      <c r="AR445" s="65"/>
      <c r="AS445" s="70"/>
      <c r="AT445" s="70"/>
      <c r="AU445" s="70"/>
      <c r="AV445" s="70"/>
      <c r="AW445" s="70"/>
      <c r="AX445" s="70"/>
      <c r="AY445" s="65"/>
      <c r="AZ445" s="65"/>
      <c r="BA445" s="65"/>
      <c r="BB445" s="65"/>
      <c r="BC445" s="65"/>
      <c r="BD445" s="65"/>
      <c r="BE445" s="65"/>
      <c r="BF445" s="65"/>
      <c r="BG445" s="65"/>
      <c r="BH445" s="65"/>
      <c r="BI445" s="65"/>
      <c r="BJ445" s="65"/>
      <c r="BK445" s="65"/>
      <c r="BL445" s="65"/>
      <c r="BM445" s="65"/>
      <c r="BN445" s="65"/>
      <c r="BO445" s="65"/>
      <c r="BP445" s="65"/>
      <c r="BQ445" s="65"/>
      <c r="BR445" s="65"/>
      <c r="BS445" s="65"/>
      <c r="BT445" s="65"/>
      <c r="BU445" s="65"/>
      <c r="BV445" s="65"/>
      <c r="BW445" s="65"/>
      <c r="BX445" s="65"/>
      <c r="BY445" s="65"/>
      <c r="BZ445" s="65"/>
      <c r="CA445" s="65"/>
      <c r="CB445" s="65"/>
      <c r="CC445" s="65"/>
      <c r="CD445" s="65"/>
      <c r="CE445" s="65"/>
      <c r="CF445" s="65"/>
      <c r="CG445" s="65"/>
      <c r="CH445" s="65"/>
      <c r="CI445" s="65"/>
      <c r="CJ445" s="65"/>
      <c r="CK445" s="65"/>
      <c r="CL445" s="65"/>
      <c r="CM445" s="65"/>
      <c r="CN445" s="65"/>
      <c r="CO445" s="65"/>
      <c r="CP445" s="65"/>
      <c r="CQ445" s="65"/>
      <c r="CR445" s="65"/>
      <c r="CS445" s="65"/>
      <c r="CT445" s="65"/>
      <c r="CU445" s="65"/>
      <c r="CV445" s="65"/>
      <c r="CW445" s="65"/>
      <c r="CX445" s="65"/>
      <c r="CY445" s="65"/>
      <c r="CZ445" s="65"/>
      <c r="DA445" s="65"/>
      <c r="DB445" s="65"/>
      <c r="DC445" s="65"/>
      <c r="DD445" s="65"/>
      <c r="DE445" s="65"/>
      <c r="DF445" s="65"/>
      <c r="DG445" s="65"/>
      <c r="DH445" s="65"/>
      <c r="DI445" s="65"/>
      <c r="DJ445" s="65"/>
      <c r="DK445" s="65"/>
      <c r="DL445" s="65"/>
      <c r="DM445" s="65"/>
      <c r="DN445" s="65"/>
      <c r="DO445" s="65"/>
      <c r="DP445" s="65"/>
      <c r="DQ445" s="65"/>
      <c r="DR445" s="65"/>
      <c r="DS445" s="65"/>
      <c r="DT445" s="65"/>
    </row>
    <row r="446" spans="1:124" ht="21.75" customHeight="1">
      <c r="A446" s="311"/>
      <c r="B446" s="232"/>
      <c r="C446" s="233"/>
      <c r="D446" s="79" t="s">
        <v>418</v>
      </c>
      <c r="E446" s="70"/>
      <c r="F446" s="70"/>
      <c r="G446" s="70"/>
      <c r="H446" s="70"/>
      <c r="I446" s="70"/>
      <c r="J446" s="70"/>
      <c r="K446" s="70"/>
      <c r="L446" s="65"/>
      <c r="M446" s="65"/>
      <c r="N446" s="65"/>
      <c r="O446" s="65"/>
      <c r="P446" s="65"/>
      <c r="Q446" s="65"/>
      <c r="R446" s="65"/>
      <c r="S446" s="65"/>
      <c r="T446" s="65"/>
      <c r="U446" s="65"/>
      <c r="V446" s="65"/>
      <c r="W446" s="65"/>
      <c r="X446" s="70"/>
      <c r="Y446" s="70"/>
      <c r="Z446" s="70"/>
      <c r="AA446" s="70"/>
      <c r="AB446" s="70"/>
      <c r="AC446" s="70"/>
      <c r="AD446" s="70"/>
      <c r="AE446" s="70"/>
      <c r="AF446" s="70"/>
      <c r="AG446" s="96"/>
      <c r="AH446" s="70"/>
      <c r="AI446" s="70"/>
      <c r="AJ446" s="96"/>
      <c r="AK446" s="70"/>
      <c r="AL446" s="115"/>
      <c r="AM446" s="115" t="s">
        <v>548</v>
      </c>
      <c r="AN446" s="70"/>
      <c r="AO446" s="70"/>
      <c r="AP446" s="65"/>
      <c r="AQ446" s="65"/>
      <c r="AR446" s="65"/>
      <c r="AS446" s="70"/>
      <c r="AT446" s="70"/>
      <c r="AU446" s="70"/>
      <c r="AV446" s="70"/>
      <c r="AW446" s="70"/>
      <c r="AX446" s="70"/>
      <c r="AY446" s="65"/>
      <c r="AZ446" s="65"/>
      <c r="BA446" s="65"/>
      <c r="BB446" s="65"/>
      <c r="BC446" s="65"/>
      <c r="BD446" s="65"/>
      <c r="BE446" s="65"/>
      <c r="BF446" s="65"/>
      <c r="BG446" s="65"/>
      <c r="BH446" s="65"/>
      <c r="BI446" s="65"/>
      <c r="BJ446" s="65"/>
      <c r="BK446" s="65"/>
      <c r="BL446" s="65"/>
      <c r="BM446" s="65"/>
      <c r="BN446" s="65"/>
      <c r="BO446" s="65"/>
      <c r="BP446" s="65"/>
      <c r="BQ446" s="65"/>
      <c r="BR446" s="65"/>
      <c r="BS446" s="65"/>
      <c r="BT446" s="65"/>
      <c r="BU446" s="65"/>
      <c r="BV446" s="65"/>
      <c r="BW446" s="65"/>
      <c r="BX446" s="65"/>
      <c r="BY446" s="65"/>
      <c r="BZ446" s="65"/>
      <c r="CA446" s="65"/>
      <c r="CB446" s="65"/>
      <c r="CC446" s="65"/>
      <c r="CD446" s="65"/>
      <c r="CE446" s="65"/>
      <c r="CF446" s="65"/>
      <c r="CG446" s="65"/>
      <c r="CH446" s="65"/>
      <c r="CI446" s="65"/>
      <c r="CJ446" s="65"/>
      <c r="CK446" s="65"/>
      <c r="CL446" s="65"/>
      <c r="CM446" s="65"/>
      <c r="CN446" s="65"/>
      <c r="CO446" s="65"/>
      <c r="CP446" s="65"/>
      <c r="CQ446" s="65"/>
      <c r="CR446" s="65"/>
      <c r="CS446" s="65"/>
      <c r="CT446" s="65"/>
      <c r="CU446" s="65"/>
      <c r="CV446" s="65"/>
      <c r="CW446" s="65"/>
      <c r="CX446" s="65"/>
      <c r="CY446" s="65"/>
      <c r="CZ446" s="65"/>
      <c r="DA446" s="65"/>
      <c r="DB446" s="65"/>
      <c r="DC446" s="65"/>
      <c r="DD446" s="65"/>
      <c r="DE446" s="65"/>
      <c r="DF446" s="65"/>
      <c r="DG446" s="65"/>
      <c r="DH446" s="65"/>
      <c r="DI446" s="65"/>
      <c r="DJ446" s="65"/>
      <c r="DK446" s="65"/>
      <c r="DL446" s="65"/>
      <c r="DM446" s="65"/>
      <c r="DN446" s="65"/>
      <c r="DO446" s="65"/>
      <c r="DP446" s="65"/>
      <c r="DQ446" s="65"/>
      <c r="DR446" s="65"/>
      <c r="DS446" s="65"/>
      <c r="DT446" s="65"/>
    </row>
    <row r="447" spans="1:124" ht="21.75" customHeight="1">
      <c r="A447" s="311"/>
      <c r="B447" s="229" t="s">
        <v>532</v>
      </c>
      <c r="C447" s="230"/>
      <c r="D447" s="231"/>
      <c r="E447" s="111"/>
      <c r="F447" s="111"/>
      <c r="G447" s="111"/>
      <c r="H447" s="111"/>
      <c r="I447" s="111"/>
      <c r="J447" s="111"/>
      <c r="K447" s="111"/>
      <c r="L447" s="112"/>
      <c r="M447" s="112"/>
      <c r="N447" s="112"/>
      <c r="O447" s="112"/>
      <c r="P447" s="112"/>
      <c r="Q447" s="112"/>
      <c r="R447" s="112"/>
      <c r="S447" s="112"/>
      <c r="T447" s="112"/>
      <c r="U447" s="112"/>
      <c r="V447" s="112"/>
      <c r="W447" s="112"/>
      <c r="X447" s="111"/>
      <c r="Y447" s="111"/>
      <c r="Z447" s="111"/>
      <c r="AA447" s="111"/>
      <c r="AB447" s="111"/>
      <c r="AC447" s="111"/>
      <c r="AD447" s="111"/>
      <c r="AE447" s="111"/>
      <c r="AF447" s="111"/>
      <c r="AG447" s="111"/>
      <c r="AH447" s="111"/>
      <c r="AI447" s="111"/>
      <c r="AJ447" s="111"/>
      <c r="AK447" s="111"/>
      <c r="AL447" s="111"/>
      <c r="AM447" s="111"/>
      <c r="AN447" s="111"/>
      <c r="AO447" s="111"/>
      <c r="AP447" s="112"/>
      <c r="AQ447" s="112"/>
      <c r="AR447" s="112"/>
      <c r="AS447" s="111"/>
      <c r="AT447" s="111"/>
      <c r="AU447" s="111"/>
      <c r="AV447" s="111"/>
      <c r="AW447" s="111"/>
      <c r="AX447" s="111"/>
      <c r="AY447" s="112"/>
      <c r="AZ447" s="112"/>
      <c r="BA447" s="112"/>
      <c r="BB447" s="112"/>
      <c r="BC447" s="112"/>
      <c r="BD447" s="112"/>
      <c r="BE447" s="112"/>
      <c r="BF447" s="112"/>
      <c r="BG447" s="112"/>
      <c r="BH447" s="112"/>
      <c r="BI447" s="112"/>
      <c r="BJ447" s="112"/>
      <c r="BK447" s="112"/>
      <c r="BL447" s="112"/>
      <c r="BM447" s="112"/>
      <c r="BN447" s="112"/>
      <c r="BO447" s="112"/>
      <c r="BP447" s="112"/>
      <c r="BQ447" s="112"/>
      <c r="BR447" s="112"/>
      <c r="BS447" s="112"/>
      <c r="BT447" s="112"/>
      <c r="BU447" s="112"/>
      <c r="BV447" s="112"/>
      <c r="BW447" s="112"/>
      <c r="BX447" s="112"/>
      <c r="BY447" s="112"/>
      <c r="BZ447" s="112"/>
      <c r="CA447" s="112"/>
      <c r="CB447" s="112"/>
      <c r="CC447" s="112"/>
      <c r="CD447" s="112"/>
      <c r="CE447" s="112"/>
      <c r="CF447" s="112"/>
      <c r="CG447" s="112"/>
      <c r="CH447" s="112"/>
      <c r="CI447" s="112"/>
      <c r="CJ447" s="112"/>
      <c r="CK447" s="112"/>
      <c r="CL447" s="112"/>
      <c r="CM447" s="112"/>
      <c r="CN447" s="112"/>
      <c r="CO447" s="112"/>
      <c r="CP447" s="112"/>
      <c r="CQ447" s="112"/>
      <c r="CR447" s="112"/>
      <c r="CS447" s="112"/>
      <c r="CT447" s="112"/>
      <c r="CU447" s="112"/>
      <c r="CV447" s="112"/>
      <c r="CW447" s="112"/>
      <c r="CX447" s="112"/>
      <c r="CY447" s="112"/>
      <c r="CZ447" s="112"/>
      <c r="DA447" s="112"/>
      <c r="DB447" s="112"/>
      <c r="DC447" s="112"/>
      <c r="DD447" s="112"/>
      <c r="DE447" s="112"/>
      <c r="DF447" s="112"/>
      <c r="DG447" s="112"/>
      <c r="DH447" s="112"/>
      <c r="DI447" s="112"/>
      <c r="DJ447" s="112"/>
      <c r="DK447" s="112"/>
      <c r="DL447" s="112"/>
      <c r="DM447" s="112"/>
      <c r="DN447" s="112"/>
      <c r="DO447" s="112"/>
      <c r="DP447" s="112"/>
      <c r="DQ447" s="112"/>
      <c r="DR447" s="112"/>
      <c r="DS447" s="112"/>
      <c r="DT447" s="112"/>
    </row>
    <row r="448" spans="1:124" ht="21.75" customHeight="1" thickBot="1">
      <c r="A448" s="311"/>
      <c r="B448" s="285"/>
      <c r="C448" s="286"/>
      <c r="D448" s="287"/>
      <c r="E448" s="116"/>
      <c r="F448" s="116"/>
      <c r="G448" s="116"/>
      <c r="H448" s="116"/>
      <c r="I448" s="116"/>
      <c r="J448" s="116"/>
      <c r="K448" s="116"/>
      <c r="L448" s="112"/>
      <c r="M448" s="112"/>
      <c r="N448" s="112"/>
      <c r="O448" s="112"/>
      <c r="P448" s="112"/>
      <c r="Q448" s="112"/>
      <c r="R448" s="112"/>
      <c r="S448" s="112"/>
      <c r="T448" s="112"/>
      <c r="U448" s="112"/>
      <c r="V448" s="112"/>
      <c r="W448" s="112"/>
      <c r="X448" s="116"/>
      <c r="Y448" s="116"/>
      <c r="Z448" s="116"/>
      <c r="AA448" s="116"/>
      <c r="AB448" s="116"/>
      <c r="AC448" s="116"/>
      <c r="AD448" s="116"/>
      <c r="AE448" s="116"/>
      <c r="AF448" s="116"/>
      <c r="AG448" s="116"/>
      <c r="AH448" s="116"/>
      <c r="AI448" s="116"/>
      <c r="AJ448" s="116"/>
      <c r="AK448" s="116"/>
      <c r="AL448" s="116"/>
      <c r="AM448" s="116"/>
      <c r="AN448" s="116"/>
      <c r="AO448" s="116"/>
      <c r="AP448" s="112"/>
      <c r="AQ448" s="112"/>
      <c r="AR448" s="112"/>
      <c r="AS448" s="116"/>
      <c r="AT448" s="116"/>
      <c r="AU448" s="116"/>
      <c r="AV448" s="116"/>
      <c r="AW448" s="116"/>
      <c r="AX448" s="116"/>
      <c r="AY448" s="112"/>
      <c r="AZ448" s="112"/>
      <c r="BA448" s="112"/>
      <c r="BB448" s="112"/>
      <c r="BC448" s="112"/>
      <c r="BD448" s="112"/>
      <c r="BE448" s="112"/>
      <c r="BF448" s="112"/>
      <c r="BG448" s="112"/>
      <c r="BH448" s="112"/>
      <c r="BI448" s="112"/>
      <c r="BJ448" s="112"/>
      <c r="BK448" s="112"/>
      <c r="BL448" s="112"/>
      <c r="BM448" s="112"/>
      <c r="BN448" s="112"/>
      <c r="BO448" s="112"/>
      <c r="BP448" s="112"/>
      <c r="BQ448" s="112"/>
      <c r="BR448" s="112"/>
      <c r="BS448" s="112"/>
      <c r="BT448" s="112"/>
      <c r="BU448" s="112"/>
      <c r="BV448" s="112"/>
      <c r="BW448" s="112"/>
      <c r="BX448" s="112"/>
      <c r="BY448" s="112"/>
      <c r="BZ448" s="112"/>
      <c r="CA448" s="112"/>
      <c r="CB448" s="112"/>
      <c r="CC448" s="112"/>
      <c r="CD448" s="112"/>
      <c r="CE448" s="112"/>
      <c r="CF448" s="112"/>
      <c r="CG448" s="112"/>
      <c r="CH448" s="112"/>
      <c r="CI448" s="112"/>
      <c r="CJ448" s="112"/>
      <c r="CK448" s="112"/>
      <c r="CL448" s="112"/>
      <c r="CM448" s="112"/>
      <c r="CN448" s="112"/>
      <c r="CO448" s="112"/>
      <c r="CP448" s="112"/>
      <c r="CQ448" s="112"/>
      <c r="CR448" s="112"/>
      <c r="CS448" s="112"/>
      <c r="CT448" s="112"/>
      <c r="CU448" s="112"/>
      <c r="CV448" s="112"/>
      <c r="CW448" s="112"/>
      <c r="CX448" s="112"/>
      <c r="CY448" s="112"/>
      <c r="CZ448" s="112"/>
      <c r="DA448" s="112"/>
      <c r="DB448" s="112"/>
      <c r="DC448" s="112"/>
      <c r="DD448" s="112"/>
      <c r="DE448" s="112"/>
      <c r="DF448" s="112"/>
      <c r="DG448" s="112"/>
      <c r="DH448" s="112"/>
      <c r="DI448" s="112"/>
      <c r="DJ448" s="112"/>
      <c r="DK448" s="112"/>
      <c r="DL448" s="112"/>
      <c r="DM448" s="112"/>
      <c r="DN448" s="112"/>
      <c r="DO448" s="112"/>
      <c r="DP448" s="112"/>
      <c r="DQ448" s="112"/>
      <c r="DR448" s="112"/>
      <c r="DS448" s="112"/>
      <c r="DT448" s="112"/>
    </row>
    <row r="449" spans="1:124" ht="21.75" customHeight="1">
      <c r="A449" s="311"/>
      <c r="B449" s="235" t="s">
        <v>127</v>
      </c>
      <c r="C449" s="236"/>
      <c r="D449" s="237"/>
      <c r="E449" s="80"/>
      <c r="F449" s="80"/>
      <c r="G449" s="80"/>
      <c r="H449" s="80"/>
      <c r="I449" s="80"/>
      <c r="J449" s="80"/>
      <c r="K449" s="80"/>
      <c r="L449" s="80"/>
      <c r="M449" s="80"/>
      <c r="N449" s="80"/>
      <c r="O449" s="80"/>
      <c r="P449" s="80"/>
      <c r="Q449" s="80"/>
      <c r="R449" s="80"/>
      <c r="S449" s="80"/>
      <c r="T449" s="80"/>
      <c r="U449" s="80"/>
      <c r="V449" s="80"/>
      <c r="W449" s="80"/>
      <c r="X449" s="80"/>
      <c r="Y449" s="80"/>
      <c r="Z449" s="80"/>
      <c r="AA449" s="80"/>
      <c r="AB449" s="80"/>
      <c r="AC449" s="80"/>
      <c r="AD449" s="80"/>
      <c r="AE449" s="80"/>
      <c r="AF449" s="80"/>
      <c r="AG449" s="80"/>
      <c r="AH449" s="80"/>
      <c r="AI449" s="80"/>
      <c r="AJ449" s="80"/>
      <c r="AK449" s="80"/>
      <c r="AL449" s="80"/>
      <c r="AM449" s="80"/>
      <c r="AN449" s="80"/>
      <c r="AO449" s="80"/>
      <c r="AP449" s="68"/>
      <c r="AQ449" s="68"/>
      <c r="AR449" s="68"/>
      <c r="AS449" s="80"/>
      <c r="AT449" s="80"/>
      <c r="AU449" s="80"/>
      <c r="AV449" s="80"/>
      <c r="AW449" s="80"/>
      <c r="AX449" s="80"/>
      <c r="AY449" s="80"/>
      <c r="AZ449" s="80"/>
      <c r="BA449" s="80"/>
      <c r="BB449" s="80"/>
      <c r="BC449" s="80"/>
      <c r="BD449" s="80"/>
      <c r="BE449" s="80"/>
      <c r="BF449" s="69"/>
      <c r="BG449" s="68"/>
      <c r="BH449" s="68"/>
      <c r="BI449" s="68"/>
      <c r="BJ449" s="68"/>
      <c r="BK449" s="68"/>
      <c r="BL449" s="68"/>
      <c r="BM449" s="68"/>
      <c r="BN449" s="68"/>
      <c r="BO449" s="68"/>
      <c r="BP449" s="68"/>
      <c r="BQ449" s="68"/>
      <c r="BR449" s="68"/>
      <c r="BS449" s="68"/>
      <c r="BT449" s="68"/>
      <c r="BU449" s="68"/>
      <c r="BV449" s="68"/>
      <c r="BW449" s="68"/>
      <c r="BX449" s="68"/>
      <c r="BY449" s="68"/>
      <c r="BZ449" s="68"/>
      <c r="CA449" s="68"/>
      <c r="CB449" s="68"/>
      <c r="CC449" s="68"/>
      <c r="CD449" s="68"/>
      <c r="CE449" s="68"/>
      <c r="CF449" s="68"/>
      <c r="CG449" s="68"/>
      <c r="CH449" s="68"/>
      <c r="CI449" s="68"/>
      <c r="CJ449" s="68"/>
      <c r="CK449" s="68"/>
      <c r="CL449" s="68"/>
      <c r="CM449" s="68"/>
      <c r="CN449" s="68"/>
      <c r="CO449" s="68"/>
      <c r="CP449" s="68"/>
      <c r="CQ449" s="68"/>
      <c r="CR449" s="68"/>
      <c r="CS449" s="68"/>
      <c r="CT449" s="68"/>
      <c r="CU449" s="68"/>
      <c r="CV449" s="68"/>
      <c r="CW449" s="68"/>
      <c r="CX449" s="68"/>
      <c r="CY449" s="68"/>
      <c r="CZ449" s="68"/>
      <c r="DA449" s="68"/>
      <c r="DB449" s="68"/>
      <c r="DC449" s="68"/>
      <c r="DD449" s="68"/>
      <c r="DE449" s="68"/>
      <c r="DF449" s="68"/>
      <c r="DG449" s="68"/>
      <c r="DH449" s="68"/>
      <c r="DI449" s="68"/>
      <c r="DJ449" s="68"/>
      <c r="DK449" s="68"/>
      <c r="DL449" s="68"/>
      <c r="DM449" s="68"/>
      <c r="DN449" s="68"/>
      <c r="DO449" s="68"/>
      <c r="DP449" s="68"/>
      <c r="DQ449" s="68"/>
      <c r="DR449" s="68"/>
      <c r="DS449" s="68"/>
      <c r="DT449" s="68"/>
    </row>
    <row r="450" spans="1:124" ht="21.75" customHeight="1">
      <c r="A450" s="311"/>
      <c r="B450" s="232"/>
      <c r="C450" s="233"/>
      <c r="D450" s="234"/>
      <c r="E450" s="70"/>
      <c r="F450" s="70"/>
      <c r="G450" s="70"/>
      <c r="H450" s="70"/>
      <c r="I450" s="70"/>
      <c r="J450" s="70"/>
      <c r="K450" s="70"/>
      <c r="L450" s="70"/>
      <c r="M450" s="70"/>
      <c r="N450" s="70"/>
      <c r="O450" s="70"/>
      <c r="P450" s="70"/>
      <c r="Q450" s="70"/>
      <c r="R450" s="70"/>
      <c r="S450" s="70"/>
      <c r="T450" s="70"/>
      <c r="U450" s="70"/>
      <c r="V450" s="70"/>
      <c r="W450" s="70"/>
      <c r="X450" s="70"/>
      <c r="Y450" s="70"/>
      <c r="Z450" s="70"/>
      <c r="AA450" s="70"/>
      <c r="AB450" s="70"/>
      <c r="AC450" s="70"/>
      <c r="AD450" s="70"/>
      <c r="AE450" s="70"/>
      <c r="AF450" s="70"/>
      <c r="AG450" s="70"/>
      <c r="AH450" s="70"/>
      <c r="AI450" s="70"/>
      <c r="AJ450" s="70"/>
      <c r="AK450" s="70"/>
      <c r="AL450" s="70"/>
      <c r="AM450" s="70"/>
      <c r="AN450" s="70"/>
      <c r="AO450" s="70"/>
      <c r="AP450" s="65"/>
      <c r="AQ450" s="65"/>
      <c r="AR450" s="65"/>
      <c r="AS450" s="70"/>
      <c r="AT450" s="70"/>
      <c r="AU450" s="70"/>
      <c r="AV450" s="70"/>
      <c r="AW450" s="70"/>
      <c r="AX450" s="70"/>
      <c r="AY450" s="70"/>
      <c r="AZ450" s="70"/>
      <c r="BA450" s="70"/>
      <c r="BB450" s="70"/>
      <c r="BC450" s="70"/>
      <c r="BD450" s="70"/>
      <c r="BE450" s="70"/>
      <c r="BF450" s="70"/>
      <c r="BG450" s="65"/>
      <c r="BH450" s="65"/>
      <c r="BI450" s="65"/>
      <c r="BJ450" s="65"/>
      <c r="BK450" s="65"/>
      <c r="BL450" s="65"/>
      <c r="BM450" s="65"/>
      <c r="BN450" s="65"/>
      <c r="BO450" s="65"/>
      <c r="BP450" s="65"/>
      <c r="BQ450" s="65"/>
      <c r="BR450" s="65"/>
      <c r="BS450" s="65"/>
      <c r="BT450" s="65"/>
      <c r="BU450" s="65"/>
      <c r="BV450" s="65"/>
      <c r="BW450" s="65"/>
      <c r="BX450" s="65"/>
      <c r="BY450" s="65"/>
      <c r="BZ450" s="65"/>
      <c r="CA450" s="65"/>
      <c r="CB450" s="65"/>
      <c r="CC450" s="65"/>
      <c r="CD450" s="65"/>
      <c r="CE450" s="65"/>
      <c r="CF450" s="65"/>
      <c r="CG450" s="65"/>
      <c r="CH450" s="65"/>
      <c r="CI450" s="65"/>
      <c r="CJ450" s="65"/>
      <c r="CK450" s="65"/>
      <c r="CL450" s="65"/>
      <c r="CM450" s="65"/>
      <c r="CN450" s="65"/>
      <c r="CO450" s="65"/>
      <c r="CP450" s="65"/>
      <c r="CQ450" s="65"/>
      <c r="CR450" s="65"/>
      <c r="CS450" s="65"/>
      <c r="CT450" s="65"/>
      <c r="CU450" s="65"/>
      <c r="CV450" s="65"/>
      <c r="CW450" s="65"/>
      <c r="CX450" s="65"/>
      <c r="CY450" s="65"/>
      <c r="CZ450" s="65"/>
      <c r="DA450" s="65"/>
      <c r="DB450" s="65"/>
      <c r="DC450" s="65"/>
      <c r="DD450" s="65"/>
      <c r="DE450" s="65"/>
      <c r="DF450" s="65"/>
      <c r="DG450" s="65"/>
      <c r="DH450" s="65"/>
      <c r="DI450" s="65"/>
      <c r="DJ450" s="65"/>
      <c r="DK450" s="65"/>
      <c r="DL450" s="65"/>
      <c r="DM450" s="65"/>
      <c r="DN450" s="65"/>
      <c r="DO450" s="65"/>
      <c r="DP450" s="65"/>
      <c r="DQ450" s="65"/>
      <c r="DR450" s="65"/>
      <c r="DS450" s="65"/>
      <c r="DT450" s="65"/>
    </row>
    <row r="451" spans="1:124" ht="21.75" customHeight="1">
      <c r="A451" s="311"/>
      <c r="B451" s="229" t="s">
        <v>421</v>
      </c>
      <c r="C451" s="230"/>
      <c r="D451" s="231"/>
      <c r="E451" s="69"/>
      <c r="F451" s="69"/>
      <c r="G451" s="69"/>
      <c r="H451" s="69"/>
      <c r="I451" s="69"/>
      <c r="J451" s="69"/>
      <c r="K451" s="69"/>
      <c r="L451" s="68"/>
      <c r="M451" s="68"/>
      <c r="N451" s="68"/>
      <c r="O451" s="68"/>
      <c r="P451" s="68"/>
      <c r="Q451" s="68"/>
      <c r="R451" s="68"/>
      <c r="S451" s="68"/>
      <c r="T451" s="68"/>
      <c r="U451" s="68"/>
      <c r="V451" s="68"/>
      <c r="W451" s="68"/>
      <c r="X451" s="69"/>
      <c r="Y451" s="69"/>
      <c r="Z451" s="69"/>
      <c r="AA451" s="69"/>
      <c r="AB451" s="69"/>
      <c r="AC451" s="69"/>
      <c r="AD451" s="69"/>
      <c r="AE451" s="69"/>
      <c r="AF451" s="69"/>
      <c r="AG451" s="69"/>
      <c r="AH451" s="69"/>
      <c r="AI451" s="69"/>
      <c r="AJ451" s="69"/>
      <c r="AK451" s="69"/>
      <c r="AL451" s="69"/>
      <c r="AM451" s="69"/>
      <c r="AN451" s="69"/>
      <c r="AO451" s="69"/>
      <c r="AP451" s="68"/>
      <c r="AQ451" s="68"/>
      <c r="AR451" s="68"/>
      <c r="AS451" s="69"/>
      <c r="AT451" s="69"/>
      <c r="AU451" s="69"/>
      <c r="AV451" s="69"/>
      <c r="AW451" s="69"/>
      <c r="AX451" s="69"/>
      <c r="AY451" s="68"/>
      <c r="AZ451" s="68"/>
      <c r="BA451" s="68"/>
      <c r="BB451" s="68"/>
      <c r="BC451" s="68"/>
      <c r="BD451" s="68"/>
      <c r="BE451" s="68"/>
      <c r="BF451" s="68"/>
      <c r="BG451" s="68"/>
      <c r="BH451" s="68"/>
      <c r="BI451" s="68"/>
      <c r="BJ451" s="68"/>
      <c r="BK451" s="68"/>
      <c r="BL451" s="68"/>
      <c r="BM451" s="68"/>
      <c r="BN451" s="68"/>
      <c r="BO451" s="68"/>
      <c r="BP451" s="68"/>
      <c r="BQ451" s="68"/>
      <c r="BR451" s="68"/>
      <c r="BS451" s="68"/>
      <c r="BT451" s="68"/>
      <c r="BU451" s="68"/>
      <c r="BV451" s="68"/>
      <c r="BW451" s="68"/>
      <c r="BX451" s="68"/>
      <c r="BY451" s="68"/>
      <c r="BZ451" s="68"/>
      <c r="CA451" s="68"/>
      <c r="CB451" s="68"/>
      <c r="CC451" s="68"/>
      <c r="CD451" s="68"/>
      <c r="CE451" s="68"/>
      <c r="CF451" s="68"/>
      <c r="CG451" s="68"/>
      <c r="CH451" s="68"/>
      <c r="CI451" s="68"/>
      <c r="CJ451" s="68"/>
      <c r="CK451" s="68"/>
      <c r="CL451" s="68"/>
      <c r="CM451" s="68"/>
      <c r="CN451" s="68"/>
      <c r="CO451" s="68"/>
      <c r="CP451" s="68"/>
      <c r="CQ451" s="68"/>
      <c r="CR451" s="68"/>
      <c r="CS451" s="68"/>
      <c r="CT451" s="68"/>
      <c r="CU451" s="68"/>
      <c r="CV451" s="68"/>
      <c r="CW451" s="68"/>
      <c r="CX451" s="68"/>
      <c r="CY451" s="68"/>
      <c r="CZ451" s="68"/>
      <c r="DA451" s="68"/>
      <c r="DB451" s="68"/>
      <c r="DC451" s="68"/>
      <c r="DD451" s="68"/>
      <c r="DE451" s="68"/>
      <c r="DF451" s="68"/>
      <c r="DG451" s="68"/>
      <c r="DH451" s="68"/>
      <c r="DI451" s="68"/>
      <c r="DJ451" s="68"/>
      <c r="DK451" s="68"/>
      <c r="DL451" s="68"/>
      <c r="DM451" s="68"/>
      <c r="DN451" s="68"/>
      <c r="DO451" s="68"/>
      <c r="DP451" s="68"/>
      <c r="DQ451" s="68"/>
      <c r="DR451" s="68"/>
      <c r="DS451" s="68"/>
      <c r="DT451" s="68"/>
    </row>
    <row r="452" spans="1:124" ht="21.75" customHeight="1">
      <c r="A452" s="311"/>
      <c r="B452" s="232"/>
      <c r="C452" s="233"/>
      <c r="D452" s="234"/>
      <c r="E452" s="70"/>
      <c r="F452" s="70"/>
      <c r="G452" s="70"/>
      <c r="H452" s="70"/>
      <c r="I452" s="70"/>
      <c r="J452" s="70"/>
      <c r="K452" s="70"/>
      <c r="L452" s="65"/>
      <c r="M452" s="65"/>
      <c r="N452" s="65"/>
      <c r="O452" s="65"/>
      <c r="P452" s="65"/>
      <c r="Q452" s="65"/>
      <c r="R452" s="65"/>
      <c r="S452" s="65"/>
      <c r="T452" s="65"/>
      <c r="U452" s="65"/>
      <c r="V452" s="65"/>
      <c r="W452" s="65"/>
      <c r="X452" s="70"/>
      <c r="Y452" s="70"/>
      <c r="Z452" s="70"/>
      <c r="AA452" s="70"/>
      <c r="AB452" s="70"/>
      <c r="AC452" s="70"/>
      <c r="AD452" s="70"/>
      <c r="AE452" s="70"/>
      <c r="AF452" s="70"/>
      <c r="AG452" s="70"/>
      <c r="AH452" s="70"/>
      <c r="AI452" s="70"/>
      <c r="AJ452" s="70"/>
      <c r="AK452" s="70"/>
      <c r="AL452" s="70"/>
      <c r="AM452" s="70"/>
      <c r="AN452" s="70"/>
      <c r="AO452" s="70"/>
      <c r="AP452" s="65"/>
      <c r="AQ452" s="65"/>
      <c r="AR452" s="65"/>
      <c r="AS452" s="70"/>
      <c r="AT452" s="70"/>
      <c r="AU452" s="70"/>
      <c r="AV452" s="70"/>
      <c r="AW452" s="70"/>
      <c r="AX452" s="70"/>
      <c r="AY452" s="65"/>
      <c r="AZ452" s="65"/>
      <c r="BA452" s="65"/>
      <c r="BB452" s="65"/>
      <c r="BC452" s="65"/>
      <c r="BD452" s="65"/>
      <c r="BE452" s="65"/>
      <c r="BF452" s="65"/>
      <c r="BG452" s="65"/>
      <c r="BH452" s="65"/>
      <c r="BI452" s="65"/>
      <c r="BJ452" s="65"/>
      <c r="BK452" s="65"/>
      <c r="BL452" s="65"/>
      <c r="BM452" s="65"/>
      <c r="BN452" s="65"/>
      <c r="BO452" s="65"/>
      <c r="BP452" s="65"/>
      <c r="BQ452" s="65"/>
      <c r="BR452" s="65"/>
      <c r="BS452" s="65"/>
      <c r="BT452" s="65"/>
      <c r="BU452" s="65"/>
      <c r="BV452" s="65"/>
      <c r="BW452" s="65"/>
      <c r="BX452" s="65"/>
      <c r="BY452" s="65"/>
      <c r="BZ452" s="65"/>
      <c r="CA452" s="65"/>
      <c r="CB452" s="65"/>
      <c r="CC452" s="65"/>
      <c r="CD452" s="65"/>
      <c r="CE452" s="65"/>
      <c r="CF452" s="65"/>
      <c r="CG452" s="65"/>
      <c r="CH452" s="65"/>
      <c r="CI452" s="65"/>
      <c r="CJ452" s="65"/>
      <c r="CK452" s="65"/>
      <c r="CL452" s="65"/>
      <c r="CM452" s="65"/>
      <c r="CN452" s="65"/>
      <c r="CO452" s="65"/>
      <c r="CP452" s="65"/>
      <c r="CQ452" s="65"/>
      <c r="CR452" s="65"/>
      <c r="CS452" s="65"/>
      <c r="CT452" s="65"/>
      <c r="CU452" s="65"/>
      <c r="CV452" s="65"/>
      <c r="CW452" s="65"/>
      <c r="CX452" s="65"/>
      <c r="CY452" s="65"/>
      <c r="CZ452" s="65"/>
      <c r="DA452" s="65"/>
      <c r="DB452" s="65"/>
      <c r="DC452" s="65"/>
      <c r="DD452" s="65"/>
      <c r="DE452" s="65"/>
      <c r="DF452" s="65"/>
      <c r="DG452" s="65"/>
      <c r="DH452" s="65"/>
      <c r="DI452" s="65"/>
      <c r="DJ452" s="65"/>
      <c r="DK452" s="65"/>
      <c r="DL452" s="65"/>
      <c r="DM452" s="65"/>
      <c r="DN452" s="65"/>
      <c r="DO452" s="65"/>
      <c r="DP452" s="65"/>
      <c r="DQ452" s="65"/>
      <c r="DR452" s="65"/>
      <c r="DS452" s="65"/>
      <c r="DT452" s="65"/>
    </row>
    <row r="453" spans="1:124" ht="21.75" customHeight="1" thickBot="1">
      <c r="A453" s="311"/>
    </row>
    <row r="454" spans="1:124" ht="21.75" customHeight="1">
      <c r="A454" s="313"/>
      <c r="B454" s="176" t="s">
        <v>63</v>
      </c>
      <c r="C454" s="177"/>
      <c r="D454" s="178"/>
      <c r="E454" s="185"/>
      <c r="F454" s="186"/>
      <c r="G454" s="186"/>
      <c r="H454" s="186"/>
      <c r="I454" s="186"/>
      <c r="J454" s="186"/>
      <c r="K454" s="186"/>
      <c r="L454" s="186"/>
      <c r="M454" s="186"/>
      <c r="N454" s="186"/>
      <c r="O454" s="186"/>
      <c r="P454" s="186"/>
      <c r="Q454" s="186"/>
      <c r="R454" s="186"/>
      <c r="S454" s="186"/>
      <c r="T454" s="186"/>
      <c r="U454" s="186"/>
      <c r="V454" s="186"/>
      <c r="W454" s="186"/>
      <c r="X454" s="185">
        <v>41743</v>
      </c>
      <c r="Y454" s="185">
        <v>41747</v>
      </c>
      <c r="Z454" s="185">
        <v>41748</v>
      </c>
      <c r="AA454" s="185">
        <v>41750</v>
      </c>
      <c r="AB454" s="185">
        <v>41752</v>
      </c>
      <c r="AC454" s="185">
        <v>41754</v>
      </c>
      <c r="AD454" s="185">
        <v>41757</v>
      </c>
      <c r="AE454" s="185">
        <v>41761</v>
      </c>
      <c r="AF454" s="185">
        <v>41764</v>
      </c>
      <c r="AG454" s="185">
        <v>41766</v>
      </c>
      <c r="AH454" s="185">
        <v>41768</v>
      </c>
      <c r="AI454" s="185">
        <v>41771</v>
      </c>
      <c r="AJ454" s="185">
        <v>41773</v>
      </c>
      <c r="AK454" s="185">
        <v>41775</v>
      </c>
      <c r="AL454" s="185">
        <v>41778</v>
      </c>
      <c r="AM454" s="185">
        <v>41780</v>
      </c>
      <c r="AN454" s="185">
        <v>41782</v>
      </c>
      <c r="AO454" s="185">
        <v>41787</v>
      </c>
      <c r="AP454" s="186">
        <v>41789</v>
      </c>
      <c r="AQ454" s="186">
        <v>41793</v>
      </c>
      <c r="AR454" s="186">
        <v>41795</v>
      </c>
      <c r="AS454" s="182">
        <v>41876</v>
      </c>
      <c r="AT454" s="182">
        <v>41878</v>
      </c>
      <c r="AU454" s="182">
        <v>41880</v>
      </c>
      <c r="AV454" s="182">
        <v>41883</v>
      </c>
      <c r="AW454" s="182">
        <v>41885</v>
      </c>
      <c r="AX454" s="182">
        <v>41887</v>
      </c>
      <c r="AY454" s="194">
        <v>41890</v>
      </c>
      <c r="AZ454" s="185">
        <v>41892</v>
      </c>
      <c r="BA454" s="185">
        <v>41894</v>
      </c>
      <c r="BB454" s="186">
        <v>41897</v>
      </c>
      <c r="BC454" s="186">
        <v>41899</v>
      </c>
      <c r="BD454" s="186">
        <v>41901</v>
      </c>
      <c r="BE454" s="186">
        <v>41904</v>
      </c>
      <c r="BF454" s="186">
        <v>41906</v>
      </c>
      <c r="BG454" s="186">
        <v>41908</v>
      </c>
      <c r="BH454" s="186">
        <v>41911</v>
      </c>
      <c r="BI454" s="186">
        <v>41913</v>
      </c>
      <c r="BJ454" s="186">
        <v>41915</v>
      </c>
      <c r="BK454" s="186">
        <v>41918</v>
      </c>
      <c r="BL454" s="186">
        <v>41920</v>
      </c>
      <c r="BM454" s="186">
        <v>41922</v>
      </c>
      <c r="BN454" s="186">
        <v>41925</v>
      </c>
      <c r="BO454" s="186">
        <v>41927</v>
      </c>
      <c r="BP454" s="186">
        <v>41929</v>
      </c>
      <c r="BQ454" s="186">
        <v>41932</v>
      </c>
      <c r="BR454" s="186">
        <v>41934</v>
      </c>
      <c r="BS454" s="186">
        <v>41936</v>
      </c>
      <c r="BT454" s="186">
        <v>41939</v>
      </c>
      <c r="BU454" s="186">
        <v>41941</v>
      </c>
      <c r="BV454" s="186">
        <v>41943</v>
      </c>
      <c r="BW454" s="186">
        <v>41946</v>
      </c>
      <c r="BX454" s="186">
        <v>41948</v>
      </c>
      <c r="BY454" s="186">
        <v>41950</v>
      </c>
      <c r="BZ454" s="186">
        <v>41953</v>
      </c>
      <c r="CA454" s="186">
        <v>41955</v>
      </c>
      <c r="CB454" s="186">
        <v>41957</v>
      </c>
      <c r="CC454" s="186">
        <v>41960</v>
      </c>
      <c r="CD454" s="186">
        <v>41962</v>
      </c>
      <c r="CE454" s="186">
        <v>41964</v>
      </c>
      <c r="CF454" s="186">
        <v>41967</v>
      </c>
      <c r="CG454" s="186">
        <v>41969</v>
      </c>
      <c r="CH454" s="186">
        <v>41971</v>
      </c>
      <c r="CI454" s="186">
        <v>41971</v>
      </c>
      <c r="CJ454" s="186">
        <v>41971</v>
      </c>
      <c r="CK454" s="186">
        <v>41971</v>
      </c>
      <c r="CL454" s="186">
        <v>41971</v>
      </c>
      <c r="CM454" s="186">
        <v>41971</v>
      </c>
      <c r="CN454" s="186">
        <v>41971</v>
      </c>
      <c r="CO454" s="186">
        <v>41971</v>
      </c>
      <c r="CP454" s="186">
        <v>41971</v>
      </c>
      <c r="CQ454" s="186">
        <v>41971</v>
      </c>
      <c r="CR454" s="186">
        <v>41971</v>
      </c>
      <c r="CS454" s="186">
        <v>41971</v>
      </c>
      <c r="CT454" s="186">
        <v>41971</v>
      </c>
      <c r="CU454" s="186">
        <v>41971</v>
      </c>
      <c r="CV454" s="186">
        <v>41971</v>
      </c>
      <c r="CW454" s="186">
        <v>41971</v>
      </c>
      <c r="CX454" s="186">
        <v>41971</v>
      </c>
      <c r="CY454" s="186">
        <v>41971</v>
      </c>
      <c r="CZ454" s="186">
        <v>41971</v>
      </c>
      <c r="DA454" s="186">
        <v>41971</v>
      </c>
      <c r="DB454" s="186">
        <v>41971</v>
      </c>
      <c r="DC454" s="186">
        <v>41971</v>
      </c>
      <c r="DD454" s="186">
        <v>41971</v>
      </c>
      <c r="DE454" s="186">
        <v>41971</v>
      </c>
      <c r="DF454" s="186">
        <v>41971</v>
      </c>
      <c r="DG454" s="186">
        <v>41971</v>
      </c>
      <c r="DH454" s="186">
        <v>41971</v>
      </c>
      <c r="DI454" s="186">
        <v>41971</v>
      </c>
      <c r="DJ454" s="186">
        <v>41971</v>
      </c>
      <c r="DK454" s="186">
        <v>41971</v>
      </c>
      <c r="DL454" s="186">
        <v>41971</v>
      </c>
      <c r="DM454" s="186">
        <v>41971</v>
      </c>
      <c r="DN454" s="186">
        <v>41971</v>
      </c>
      <c r="DO454" s="186">
        <v>41971</v>
      </c>
      <c r="DP454" s="186">
        <v>41971</v>
      </c>
      <c r="DQ454" s="186">
        <v>41971</v>
      </c>
      <c r="DR454" s="186">
        <v>41971</v>
      </c>
      <c r="DS454" s="186">
        <v>41971</v>
      </c>
      <c r="DT454" s="186">
        <v>41971</v>
      </c>
    </row>
    <row r="455" spans="1:124" ht="21.75" customHeight="1">
      <c r="A455" s="313"/>
      <c r="B455" s="179"/>
      <c r="C455" s="180"/>
      <c r="D455" s="181"/>
      <c r="E455" s="186"/>
      <c r="F455" s="186"/>
      <c r="G455" s="186"/>
      <c r="H455" s="186"/>
      <c r="I455" s="186"/>
      <c r="J455" s="186"/>
      <c r="K455" s="186"/>
      <c r="L455" s="186"/>
      <c r="M455" s="186"/>
      <c r="N455" s="186"/>
      <c r="O455" s="186"/>
      <c r="P455" s="186"/>
      <c r="Q455" s="186"/>
      <c r="R455" s="186"/>
      <c r="S455" s="186"/>
      <c r="T455" s="186"/>
      <c r="U455" s="186"/>
      <c r="V455" s="186"/>
      <c r="W455" s="186"/>
      <c r="X455" s="186"/>
      <c r="Y455" s="186"/>
      <c r="Z455" s="186"/>
      <c r="AA455" s="186"/>
      <c r="AB455" s="186"/>
      <c r="AC455" s="186"/>
      <c r="AD455" s="186"/>
      <c r="AE455" s="186"/>
      <c r="AF455" s="186"/>
      <c r="AG455" s="186"/>
      <c r="AH455" s="186"/>
      <c r="AI455" s="186"/>
      <c r="AJ455" s="186"/>
      <c r="AK455" s="186"/>
      <c r="AL455" s="186"/>
      <c r="AM455" s="186"/>
      <c r="AN455" s="186"/>
      <c r="AO455" s="186"/>
      <c r="AP455" s="186"/>
      <c r="AQ455" s="186"/>
      <c r="AR455" s="186"/>
      <c r="AS455" s="183"/>
      <c r="AT455" s="183"/>
      <c r="AU455" s="183"/>
      <c r="AV455" s="183"/>
      <c r="AW455" s="183"/>
      <c r="AX455" s="183"/>
      <c r="AY455" s="195"/>
      <c r="AZ455" s="186"/>
      <c r="BA455" s="186"/>
      <c r="BB455" s="186"/>
      <c r="BC455" s="186"/>
      <c r="BD455" s="186"/>
      <c r="BE455" s="186"/>
      <c r="BF455" s="186"/>
      <c r="BG455" s="186"/>
      <c r="BH455" s="186"/>
      <c r="BI455" s="186"/>
      <c r="BJ455" s="186"/>
      <c r="BK455" s="186"/>
      <c r="BL455" s="186"/>
      <c r="BM455" s="186"/>
      <c r="BN455" s="186"/>
      <c r="BO455" s="186"/>
      <c r="BP455" s="186"/>
      <c r="BQ455" s="186"/>
      <c r="BR455" s="186"/>
      <c r="BS455" s="186"/>
      <c r="BT455" s="186"/>
      <c r="BU455" s="186"/>
      <c r="BV455" s="186"/>
      <c r="BW455" s="186"/>
      <c r="BX455" s="186"/>
      <c r="BY455" s="186"/>
      <c r="BZ455" s="186"/>
      <c r="CA455" s="186"/>
      <c r="CB455" s="186"/>
      <c r="CC455" s="186"/>
      <c r="CD455" s="186"/>
      <c r="CE455" s="186"/>
      <c r="CF455" s="186"/>
      <c r="CG455" s="186"/>
      <c r="CH455" s="186"/>
      <c r="CI455" s="186"/>
      <c r="CJ455" s="186"/>
      <c r="CK455" s="186"/>
      <c r="CL455" s="186"/>
      <c r="CM455" s="186"/>
      <c r="CN455" s="186"/>
      <c r="CO455" s="186"/>
      <c r="CP455" s="186"/>
      <c r="CQ455" s="186"/>
      <c r="CR455" s="186"/>
      <c r="CS455" s="186"/>
      <c r="CT455" s="186"/>
      <c r="CU455" s="186"/>
      <c r="CV455" s="186"/>
      <c r="CW455" s="186"/>
      <c r="CX455" s="186"/>
      <c r="CY455" s="186"/>
      <c r="CZ455" s="186"/>
      <c r="DA455" s="186"/>
      <c r="DB455" s="186"/>
      <c r="DC455" s="186"/>
      <c r="DD455" s="186"/>
      <c r="DE455" s="186"/>
      <c r="DF455" s="186"/>
      <c r="DG455" s="186"/>
      <c r="DH455" s="186"/>
      <c r="DI455" s="186"/>
      <c r="DJ455" s="186"/>
      <c r="DK455" s="186"/>
      <c r="DL455" s="186"/>
      <c r="DM455" s="186"/>
      <c r="DN455" s="186"/>
      <c r="DO455" s="186"/>
      <c r="DP455" s="186"/>
      <c r="DQ455" s="186"/>
      <c r="DR455" s="186"/>
      <c r="DS455" s="186"/>
      <c r="DT455" s="186"/>
    </row>
    <row r="456" spans="1:124" ht="21.75" customHeight="1">
      <c r="A456" s="313"/>
      <c r="B456" s="179"/>
      <c r="C456" s="180"/>
      <c r="D456" s="181"/>
      <c r="E456" s="186"/>
      <c r="F456" s="186"/>
      <c r="G456" s="186"/>
      <c r="H456" s="186"/>
      <c r="I456" s="186"/>
      <c r="J456" s="186"/>
      <c r="K456" s="186"/>
      <c r="L456" s="186"/>
      <c r="M456" s="186"/>
      <c r="N456" s="186"/>
      <c r="O456" s="186"/>
      <c r="P456" s="186"/>
      <c r="Q456" s="186"/>
      <c r="R456" s="186"/>
      <c r="S456" s="186"/>
      <c r="T456" s="186"/>
      <c r="U456" s="186"/>
      <c r="V456" s="186"/>
      <c r="W456" s="186"/>
      <c r="X456" s="186"/>
      <c r="Y456" s="186"/>
      <c r="Z456" s="186"/>
      <c r="AA456" s="186"/>
      <c r="AB456" s="186"/>
      <c r="AC456" s="186"/>
      <c r="AD456" s="186"/>
      <c r="AE456" s="186"/>
      <c r="AF456" s="186"/>
      <c r="AG456" s="186"/>
      <c r="AH456" s="186"/>
      <c r="AI456" s="186"/>
      <c r="AJ456" s="186"/>
      <c r="AK456" s="186"/>
      <c r="AL456" s="186"/>
      <c r="AM456" s="186"/>
      <c r="AN456" s="186"/>
      <c r="AO456" s="186"/>
      <c r="AP456" s="186"/>
      <c r="AQ456" s="186"/>
      <c r="AR456" s="186"/>
      <c r="AS456" s="183"/>
      <c r="AT456" s="183"/>
      <c r="AU456" s="183"/>
      <c r="AV456" s="183"/>
      <c r="AW456" s="183"/>
      <c r="AX456" s="183"/>
      <c r="AY456" s="195"/>
      <c r="AZ456" s="186"/>
      <c r="BA456" s="186"/>
      <c r="BB456" s="186"/>
      <c r="BC456" s="186"/>
      <c r="BD456" s="186"/>
      <c r="BE456" s="186"/>
      <c r="BF456" s="186"/>
      <c r="BG456" s="186"/>
      <c r="BH456" s="186"/>
      <c r="BI456" s="186"/>
      <c r="BJ456" s="186"/>
      <c r="BK456" s="186"/>
      <c r="BL456" s="186"/>
      <c r="BM456" s="186"/>
      <c r="BN456" s="186"/>
      <c r="BO456" s="186"/>
      <c r="BP456" s="186"/>
      <c r="BQ456" s="186"/>
      <c r="BR456" s="186"/>
      <c r="BS456" s="186"/>
      <c r="BT456" s="186"/>
      <c r="BU456" s="186"/>
      <c r="BV456" s="186"/>
      <c r="BW456" s="186"/>
      <c r="BX456" s="186"/>
      <c r="BY456" s="186"/>
      <c r="BZ456" s="186"/>
      <c r="CA456" s="186"/>
      <c r="CB456" s="186"/>
      <c r="CC456" s="186"/>
      <c r="CD456" s="186"/>
      <c r="CE456" s="186"/>
      <c r="CF456" s="186"/>
      <c r="CG456" s="186"/>
      <c r="CH456" s="186"/>
      <c r="CI456" s="186"/>
      <c r="CJ456" s="186"/>
      <c r="CK456" s="186"/>
      <c r="CL456" s="186"/>
      <c r="CM456" s="186"/>
      <c r="CN456" s="186"/>
      <c r="CO456" s="186"/>
      <c r="CP456" s="186"/>
      <c r="CQ456" s="186"/>
      <c r="CR456" s="186"/>
      <c r="CS456" s="186"/>
      <c r="CT456" s="186"/>
      <c r="CU456" s="186"/>
      <c r="CV456" s="186"/>
      <c r="CW456" s="186"/>
      <c r="CX456" s="186"/>
      <c r="CY456" s="186"/>
      <c r="CZ456" s="186"/>
      <c r="DA456" s="186"/>
      <c r="DB456" s="186"/>
      <c r="DC456" s="186"/>
      <c r="DD456" s="186"/>
      <c r="DE456" s="186"/>
      <c r="DF456" s="186"/>
      <c r="DG456" s="186"/>
      <c r="DH456" s="186"/>
      <c r="DI456" s="186"/>
      <c r="DJ456" s="186"/>
      <c r="DK456" s="186"/>
      <c r="DL456" s="186"/>
      <c r="DM456" s="186"/>
      <c r="DN456" s="186"/>
      <c r="DO456" s="186"/>
      <c r="DP456" s="186"/>
      <c r="DQ456" s="186"/>
      <c r="DR456" s="186"/>
      <c r="DS456" s="186"/>
      <c r="DT456" s="186"/>
    </row>
    <row r="457" spans="1:124" ht="21.75" customHeight="1">
      <c r="A457" s="313"/>
      <c r="B457" s="179"/>
      <c r="C457" s="180"/>
      <c r="D457" s="181"/>
      <c r="E457" s="186"/>
      <c r="F457" s="186"/>
      <c r="G457" s="186"/>
      <c r="H457" s="186"/>
      <c r="I457" s="186"/>
      <c r="J457" s="186"/>
      <c r="K457" s="186"/>
      <c r="L457" s="186"/>
      <c r="M457" s="186"/>
      <c r="N457" s="186"/>
      <c r="O457" s="186"/>
      <c r="P457" s="186"/>
      <c r="Q457" s="186"/>
      <c r="R457" s="186"/>
      <c r="S457" s="186"/>
      <c r="T457" s="186"/>
      <c r="U457" s="186"/>
      <c r="V457" s="186"/>
      <c r="W457" s="186"/>
      <c r="X457" s="186"/>
      <c r="Y457" s="186"/>
      <c r="Z457" s="186"/>
      <c r="AA457" s="186"/>
      <c r="AB457" s="186"/>
      <c r="AC457" s="186"/>
      <c r="AD457" s="186"/>
      <c r="AE457" s="186"/>
      <c r="AF457" s="186"/>
      <c r="AG457" s="186"/>
      <c r="AH457" s="186"/>
      <c r="AI457" s="186"/>
      <c r="AJ457" s="186"/>
      <c r="AK457" s="186"/>
      <c r="AL457" s="186"/>
      <c r="AM457" s="186"/>
      <c r="AN457" s="186"/>
      <c r="AO457" s="186"/>
      <c r="AP457" s="186"/>
      <c r="AQ457" s="186"/>
      <c r="AR457" s="186"/>
      <c r="AS457" s="183"/>
      <c r="AT457" s="183"/>
      <c r="AU457" s="183"/>
      <c r="AV457" s="183"/>
      <c r="AW457" s="183"/>
      <c r="AX457" s="183"/>
      <c r="AY457" s="195"/>
      <c r="AZ457" s="186"/>
      <c r="BA457" s="186"/>
      <c r="BB457" s="186"/>
      <c r="BC457" s="186"/>
      <c r="BD457" s="186"/>
      <c r="BE457" s="186"/>
      <c r="BF457" s="186"/>
      <c r="BG457" s="186"/>
      <c r="BH457" s="186"/>
      <c r="BI457" s="186"/>
      <c r="BJ457" s="186"/>
      <c r="BK457" s="186"/>
      <c r="BL457" s="186"/>
      <c r="BM457" s="186"/>
      <c r="BN457" s="186"/>
      <c r="BO457" s="186"/>
      <c r="BP457" s="186"/>
      <c r="BQ457" s="186"/>
      <c r="BR457" s="186"/>
      <c r="BS457" s="186"/>
      <c r="BT457" s="186"/>
      <c r="BU457" s="186"/>
      <c r="BV457" s="186"/>
      <c r="BW457" s="186"/>
      <c r="BX457" s="186"/>
      <c r="BY457" s="186"/>
      <c r="BZ457" s="186"/>
      <c r="CA457" s="186"/>
      <c r="CB457" s="186"/>
      <c r="CC457" s="186"/>
      <c r="CD457" s="186"/>
      <c r="CE457" s="186"/>
      <c r="CF457" s="186"/>
      <c r="CG457" s="186"/>
      <c r="CH457" s="186"/>
      <c r="CI457" s="186"/>
      <c r="CJ457" s="186"/>
      <c r="CK457" s="186"/>
      <c r="CL457" s="186"/>
      <c r="CM457" s="186"/>
      <c r="CN457" s="186"/>
      <c r="CO457" s="186"/>
      <c r="CP457" s="186"/>
      <c r="CQ457" s="186"/>
      <c r="CR457" s="186"/>
      <c r="CS457" s="186"/>
      <c r="CT457" s="186"/>
      <c r="CU457" s="186"/>
      <c r="CV457" s="186"/>
      <c r="CW457" s="186"/>
      <c r="CX457" s="186"/>
      <c r="CY457" s="186"/>
      <c r="CZ457" s="186"/>
      <c r="DA457" s="186"/>
      <c r="DB457" s="186"/>
      <c r="DC457" s="186"/>
      <c r="DD457" s="186"/>
      <c r="DE457" s="186"/>
      <c r="DF457" s="186"/>
      <c r="DG457" s="186"/>
      <c r="DH457" s="186"/>
      <c r="DI457" s="186"/>
      <c r="DJ457" s="186"/>
      <c r="DK457" s="186"/>
      <c r="DL457" s="186"/>
      <c r="DM457" s="186"/>
      <c r="DN457" s="186"/>
      <c r="DO457" s="186"/>
      <c r="DP457" s="186"/>
      <c r="DQ457" s="186"/>
      <c r="DR457" s="186"/>
      <c r="DS457" s="186"/>
      <c r="DT457" s="186"/>
    </row>
    <row r="458" spans="1:124" ht="21.75" customHeight="1">
      <c r="A458" s="313"/>
      <c r="B458" s="199" t="s">
        <v>365</v>
      </c>
      <c r="C458" s="200"/>
      <c r="D458" s="201"/>
      <c r="E458" s="186"/>
      <c r="F458" s="186"/>
      <c r="G458" s="186"/>
      <c r="H458" s="186"/>
      <c r="I458" s="186"/>
      <c r="J458" s="186"/>
      <c r="K458" s="186"/>
      <c r="L458" s="186"/>
      <c r="M458" s="186"/>
      <c r="N458" s="186"/>
      <c r="O458" s="186"/>
      <c r="P458" s="186"/>
      <c r="Q458" s="186"/>
      <c r="R458" s="186"/>
      <c r="S458" s="186"/>
      <c r="T458" s="186"/>
      <c r="U458" s="186"/>
      <c r="V458" s="186"/>
      <c r="W458" s="186"/>
      <c r="X458" s="186"/>
      <c r="Y458" s="186"/>
      <c r="Z458" s="186"/>
      <c r="AA458" s="186"/>
      <c r="AB458" s="186"/>
      <c r="AC458" s="186"/>
      <c r="AD458" s="186"/>
      <c r="AE458" s="186"/>
      <c r="AF458" s="186"/>
      <c r="AG458" s="186"/>
      <c r="AH458" s="186"/>
      <c r="AI458" s="186"/>
      <c r="AJ458" s="186"/>
      <c r="AK458" s="186"/>
      <c r="AL458" s="186"/>
      <c r="AM458" s="186"/>
      <c r="AN458" s="186"/>
      <c r="AO458" s="186"/>
      <c r="AP458" s="186"/>
      <c r="AQ458" s="186"/>
      <c r="AR458" s="186"/>
      <c r="AS458" s="183"/>
      <c r="AT458" s="183"/>
      <c r="AU458" s="183"/>
      <c r="AV458" s="183"/>
      <c r="AW458" s="183"/>
      <c r="AX458" s="183"/>
      <c r="AY458" s="195"/>
      <c r="AZ458" s="186"/>
      <c r="BA458" s="186"/>
      <c r="BB458" s="186"/>
      <c r="BC458" s="186"/>
      <c r="BD458" s="186"/>
      <c r="BE458" s="186"/>
      <c r="BF458" s="186"/>
      <c r="BG458" s="186"/>
      <c r="BH458" s="186"/>
      <c r="BI458" s="186"/>
      <c r="BJ458" s="186"/>
      <c r="BK458" s="186"/>
      <c r="BL458" s="186"/>
      <c r="BM458" s="186"/>
      <c r="BN458" s="186"/>
      <c r="BO458" s="186"/>
      <c r="BP458" s="186"/>
      <c r="BQ458" s="186"/>
      <c r="BR458" s="186"/>
      <c r="BS458" s="186"/>
      <c r="BT458" s="186"/>
      <c r="BU458" s="186"/>
      <c r="BV458" s="186"/>
      <c r="BW458" s="186"/>
      <c r="BX458" s="186"/>
      <c r="BY458" s="186"/>
      <c r="BZ458" s="186"/>
      <c r="CA458" s="186"/>
      <c r="CB458" s="186"/>
      <c r="CC458" s="186"/>
      <c r="CD458" s="186"/>
      <c r="CE458" s="186"/>
      <c r="CF458" s="186"/>
      <c r="CG458" s="186"/>
      <c r="CH458" s="186"/>
      <c r="CI458" s="186"/>
      <c r="CJ458" s="186"/>
      <c r="CK458" s="186"/>
      <c r="CL458" s="186"/>
      <c r="CM458" s="186"/>
      <c r="CN458" s="186"/>
      <c r="CO458" s="186"/>
      <c r="CP458" s="186"/>
      <c r="CQ458" s="186"/>
      <c r="CR458" s="186"/>
      <c r="CS458" s="186"/>
      <c r="CT458" s="186"/>
      <c r="CU458" s="186"/>
      <c r="CV458" s="186"/>
      <c r="CW458" s="186"/>
      <c r="CX458" s="186"/>
      <c r="CY458" s="186"/>
      <c r="CZ458" s="186"/>
      <c r="DA458" s="186"/>
      <c r="DB458" s="186"/>
      <c r="DC458" s="186"/>
      <c r="DD458" s="186"/>
      <c r="DE458" s="186"/>
      <c r="DF458" s="186"/>
      <c r="DG458" s="186"/>
      <c r="DH458" s="186"/>
      <c r="DI458" s="186"/>
      <c r="DJ458" s="186"/>
      <c r="DK458" s="186"/>
      <c r="DL458" s="186"/>
      <c r="DM458" s="186"/>
      <c r="DN458" s="186"/>
      <c r="DO458" s="186"/>
      <c r="DP458" s="186"/>
      <c r="DQ458" s="186"/>
      <c r="DR458" s="186"/>
      <c r="DS458" s="186"/>
      <c r="DT458" s="186"/>
    </row>
    <row r="459" spans="1:124" ht="21.75" customHeight="1" thickBot="1">
      <c r="A459" s="313"/>
      <c r="B459" s="202"/>
      <c r="C459" s="203"/>
      <c r="D459" s="204"/>
      <c r="E459" s="187"/>
      <c r="F459" s="187"/>
      <c r="G459" s="187"/>
      <c r="H459" s="187"/>
      <c r="I459" s="187"/>
      <c r="J459" s="187"/>
      <c r="K459" s="187"/>
      <c r="L459" s="187"/>
      <c r="M459" s="187"/>
      <c r="N459" s="187"/>
      <c r="O459" s="187"/>
      <c r="P459" s="187"/>
      <c r="Q459" s="187"/>
      <c r="R459" s="187"/>
      <c r="S459" s="187"/>
      <c r="T459" s="187"/>
      <c r="U459" s="187"/>
      <c r="V459" s="187"/>
      <c r="W459" s="187"/>
      <c r="X459" s="187"/>
      <c r="Y459" s="187"/>
      <c r="Z459" s="187"/>
      <c r="AA459" s="187"/>
      <c r="AB459" s="187"/>
      <c r="AC459" s="187"/>
      <c r="AD459" s="187"/>
      <c r="AE459" s="187"/>
      <c r="AF459" s="187"/>
      <c r="AG459" s="187"/>
      <c r="AH459" s="187"/>
      <c r="AI459" s="187"/>
      <c r="AJ459" s="187"/>
      <c r="AK459" s="187"/>
      <c r="AL459" s="187"/>
      <c r="AM459" s="187"/>
      <c r="AN459" s="187"/>
      <c r="AO459" s="187"/>
      <c r="AP459" s="186"/>
      <c r="AQ459" s="186"/>
      <c r="AR459" s="186"/>
      <c r="AS459" s="184"/>
      <c r="AT459" s="184"/>
      <c r="AU459" s="184"/>
      <c r="AV459" s="184"/>
      <c r="AW459" s="184"/>
      <c r="AX459" s="184"/>
      <c r="AY459" s="196"/>
      <c r="AZ459" s="187"/>
      <c r="BA459" s="187"/>
      <c r="BB459" s="186"/>
      <c r="BC459" s="186"/>
      <c r="BD459" s="186"/>
      <c r="BE459" s="186"/>
      <c r="BF459" s="186"/>
      <c r="BG459" s="186"/>
      <c r="BH459" s="186"/>
      <c r="BI459" s="186"/>
      <c r="BJ459" s="186"/>
      <c r="BK459" s="186"/>
      <c r="BL459" s="186"/>
      <c r="BM459" s="186"/>
      <c r="BN459" s="186"/>
      <c r="BO459" s="186"/>
      <c r="BP459" s="186"/>
      <c r="BQ459" s="186"/>
      <c r="BR459" s="186"/>
      <c r="BS459" s="186"/>
      <c r="BT459" s="186"/>
      <c r="BU459" s="186"/>
      <c r="BV459" s="186"/>
      <c r="BW459" s="186"/>
      <c r="BX459" s="186"/>
      <c r="BY459" s="186"/>
      <c r="BZ459" s="186"/>
      <c r="CA459" s="186"/>
      <c r="CB459" s="186"/>
      <c r="CC459" s="186"/>
      <c r="CD459" s="186"/>
      <c r="CE459" s="186"/>
      <c r="CF459" s="186"/>
      <c r="CG459" s="186"/>
      <c r="CH459" s="186"/>
      <c r="CI459" s="186"/>
      <c r="CJ459" s="186"/>
      <c r="CK459" s="186"/>
      <c r="CL459" s="186"/>
      <c r="CM459" s="186"/>
      <c r="CN459" s="186"/>
      <c r="CO459" s="186"/>
      <c r="CP459" s="186"/>
      <c r="CQ459" s="186"/>
      <c r="CR459" s="186"/>
      <c r="CS459" s="186"/>
      <c r="CT459" s="186"/>
      <c r="CU459" s="186"/>
      <c r="CV459" s="186"/>
      <c r="CW459" s="186"/>
      <c r="CX459" s="186"/>
      <c r="CY459" s="186"/>
      <c r="CZ459" s="186"/>
      <c r="DA459" s="186"/>
      <c r="DB459" s="186"/>
      <c r="DC459" s="186"/>
      <c r="DD459" s="186"/>
      <c r="DE459" s="186"/>
      <c r="DF459" s="186"/>
      <c r="DG459" s="186"/>
      <c r="DH459" s="186"/>
      <c r="DI459" s="186"/>
      <c r="DJ459" s="186"/>
      <c r="DK459" s="186"/>
      <c r="DL459" s="186"/>
      <c r="DM459" s="186"/>
      <c r="DN459" s="186"/>
      <c r="DO459" s="186"/>
      <c r="DP459" s="186"/>
      <c r="DQ459" s="186"/>
      <c r="DR459" s="186"/>
      <c r="DS459" s="186"/>
      <c r="DT459" s="186"/>
    </row>
    <row r="460" spans="1:124" s="55" customFormat="1" ht="21.75" customHeight="1">
      <c r="A460" s="313"/>
      <c r="B460" s="205" t="s">
        <v>366</v>
      </c>
      <c r="C460" s="206"/>
      <c r="D460" s="206"/>
      <c r="E460" s="197"/>
      <c r="F460" s="197"/>
      <c r="G460" s="197"/>
      <c r="H460" s="197"/>
      <c r="I460" s="197"/>
      <c r="J460" s="197"/>
      <c r="K460" s="197"/>
      <c r="L460" s="197"/>
      <c r="M460" s="197"/>
      <c r="N460" s="197"/>
      <c r="O460" s="197"/>
      <c r="P460" s="197"/>
      <c r="Q460" s="197"/>
      <c r="R460" s="197"/>
      <c r="S460" s="197"/>
      <c r="T460" s="197"/>
      <c r="U460" s="197"/>
      <c r="V460" s="197"/>
      <c r="W460" s="197"/>
      <c r="X460" s="197"/>
      <c r="Y460" s="197"/>
      <c r="Z460" s="197"/>
      <c r="AA460" s="197"/>
      <c r="AB460" s="197"/>
      <c r="AC460" s="197"/>
      <c r="AD460" s="209" t="s">
        <v>58</v>
      </c>
      <c r="AE460" s="211"/>
      <c r="AF460" s="211"/>
      <c r="AG460" s="197"/>
      <c r="AH460" s="211"/>
      <c r="AI460" s="211"/>
      <c r="AJ460" s="211"/>
      <c r="AK460" s="211"/>
      <c r="AL460" s="211"/>
      <c r="AM460" s="211"/>
      <c r="AN460" s="197"/>
      <c r="AO460" s="209" t="s">
        <v>58</v>
      </c>
      <c r="AP460" s="197"/>
      <c r="AQ460" s="197"/>
      <c r="AR460" s="197"/>
      <c r="AS460" s="197"/>
      <c r="AT460" s="197"/>
      <c r="AU460" s="197"/>
      <c r="AV460" s="197"/>
      <c r="AW460" s="197"/>
      <c r="AX460" s="197"/>
      <c r="AY460" s="197"/>
      <c r="AZ460" s="197"/>
      <c r="BA460" s="197"/>
      <c r="BB460" s="215" t="s">
        <v>160</v>
      </c>
      <c r="BC460" s="215" t="s">
        <v>160</v>
      </c>
      <c r="BD460" s="215" t="s">
        <v>160</v>
      </c>
      <c r="BE460" s="197"/>
      <c r="BF460" s="197"/>
      <c r="BG460" s="197"/>
      <c r="BH460" s="197"/>
      <c r="BI460" s="197"/>
      <c r="BJ460" s="197"/>
      <c r="BK460" s="197"/>
      <c r="BL460" s="197"/>
      <c r="BM460" s="197"/>
      <c r="BN460" s="197"/>
      <c r="BO460" s="197"/>
      <c r="BP460" s="197"/>
      <c r="BQ460" s="197"/>
      <c r="BR460" s="197"/>
      <c r="BS460" s="197"/>
      <c r="BT460" s="197"/>
      <c r="BU460" s="197"/>
      <c r="BV460" s="197"/>
      <c r="BW460" s="197"/>
      <c r="BX460" s="197"/>
      <c r="BY460" s="197"/>
      <c r="BZ460" s="197"/>
      <c r="CA460" s="197"/>
      <c r="CB460" s="197"/>
      <c r="CC460" s="197"/>
      <c r="CD460" s="197"/>
      <c r="CE460" s="197"/>
      <c r="CF460" s="197"/>
      <c r="CG460" s="197"/>
      <c r="CH460" s="197"/>
      <c r="CI460" s="197"/>
      <c r="CJ460" s="197"/>
      <c r="CK460" s="197"/>
      <c r="CL460" s="197"/>
      <c r="CM460" s="197"/>
      <c r="CN460" s="197"/>
      <c r="CO460" s="197"/>
      <c r="CP460" s="197"/>
      <c r="CQ460" s="197"/>
      <c r="CR460" s="197"/>
      <c r="CS460" s="197"/>
      <c r="CT460" s="197"/>
      <c r="CU460" s="197"/>
      <c r="CV460" s="197"/>
      <c r="CW460" s="197"/>
      <c r="CX460" s="197"/>
      <c r="CY460" s="197"/>
      <c r="CZ460" s="197"/>
      <c r="DA460" s="197"/>
      <c r="DB460" s="197"/>
      <c r="DC460" s="197"/>
      <c r="DD460" s="197"/>
      <c r="DE460" s="197"/>
      <c r="DF460" s="197"/>
      <c r="DG460" s="197"/>
      <c r="DH460" s="197"/>
      <c r="DI460" s="197"/>
      <c r="DJ460" s="197"/>
      <c r="DK460" s="197"/>
      <c r="DL460" s="197"/>
      <c r="DM460" s="197"/>
      <c r="DN460" s="197"/>
      <c r="DO460" s="197"/>
      <c r="DP460" s="197"/>
      <c r="DQ460" s="197"/>
      <c r="DR460" s="197"/>
      <c r="DS460" s="197"/>
      <c r="DT460" s="197"/>
    </row>
    <row r="461" spans="1:124" s="55" customFormat="1" ht="21.75" customHeight="1">
      <c r="A461" s="313"/>
      <c r="B461" s="207"/>
      <c r="C461" s="208"/>
      <c r="D461" s="208"/>
      <c r="E461" s="198"/>
      <c r="F461" s="198"/>
      <c r="G461" s="198"/>
      <c r="H461" s="198"/>
      <c r="I461" s="198"/>
      <c r="J461" s="198"/>
      <c r="K461" s="198"/>
      <c r="L461" s="198"/>
      <c r="M461" s="198"/>
      <c r="N461" s="198"/>
      <c r="O461" s="198"/>
      <c r="P461" s="198"/>
      <c r="Q461" s="198"/>
      <c r="R461" s="198"/>
      <c r="S461" s="198"/>
      <c r="T461" s="198"/>
      <c r="U461" s="198"/>
      <c r="V461" s="198"/>
      <c r="W461" s="198"/>
      <c r="X461" s="198"/>
      <c r="Y461" s="198"/>
      <c r="Z461" s="198"/>
      <c r="AA461" s="198"/>
      <c r="AB461" s="198"/>
      <c r="AC461" s="198"/>
      <c r="AD461" s="210"/>
      <c r="AE461" s="212"/>
      <c r="AF461" s="212"/>
      <c r="AG461" s="198"/>
      <c r="AH461" s="212"/>
      <c r="AI461" s="212"/>
      <c r="AJ461" s="212"/>
      <c r="AK461" s="212"/>
      <c r="AL461" s="212"/>
      <c r="AM461" s="212"/>
      <c r="AN461" s="198"/>
      <c r="AO461" s="210"/>
      <c r="AP461" s="198"/>
      <c r="AQ461" s="198"/>
      <c r="AR461" s="198"/>
      <c r="AS461" s="198"/>
      <c r="AT461" s="198"/>
      <c r="AU461" s="198"/>
      <c r="AV461" s="198"/>
      <c r="AW461" s="198"/>
      <c r="AX461" s="198"/>
      <c r="AY461" s="198"/>
      <c r="AZ461" s="198"/>
      <c r="BA461" s="198"/>
      <c r="BB461" s="216"/>
      <c r="BC461" s="216"/>
      <c r="BD461" s="216"/>
      <c r="BE461" s="198"/>
      <c r="BF461" s="198"/>
      <c r="BG461" s="198"/>
      <c r="BH461" s="198"/>
      <c r="BI461" s="198"/>
      <c r="BJ461" s="198"/>
      <c r="BK461" s="198"/>
      <c r="BL461" s="198"/>
      <c r="BM461" s="198"/>
      <c r="BN461" s="198"/>
      <c r="BO461" s="198"/>
      <c r="BP461" s="198"/>
      <c r="BQ461" s="198"/>
      <c r="BR461" s="198"/>
      <c r="BS461" s="198"/>
      <c r="BT461" s="198"/>
      <c r="BU461" s="198"/>
      <c r="BV461" s="198"/>
      <c r="BW461" s="198"/>
      <c r="BX461" s="198"/>
      <c r="BY461" s="198"/>
      <c r="BZ461" s="198"/>
      <c r="CA461" s="198"/>
      <c r="CB461" s="198"/>
      <c r="CC461" s="198"/>
      <c r="CD461" s="198"/>
      <c r="CE461" s="198"/>
      <c r="CF461" s="198"/>
      <c r="CG461" s="198"/>
      <c r="CH461" s="198"/>
      <c r="CI461" s="198"/>
      <c r="CJ461" s="198"/>
      <c r="CK461" s="198"/>
      <c r="CL461" s="198"/>
      <c r="CM461" s="198"/>
      <c r="CN461" s="198"/>
      <c r="CO461" s="198"/>
      <c r="CP461" s="198"/>
      <c r="CQ461" s="198"/>
      <c r="CR461" s="198"/>
      <c r="CS461" s="198"/>
      <c r="CT461" s="198"/>
      <c r="CU461" s="198"/>
      <c r="CV461" s="198"/>
      <c r="CW461" s="198"/>
      <c r="CX461" s="198"/>
      <c r="CY461" s="198"/>
      <c r="CZ461" s="198"/>
      <c r="DA461" s="198"/>
      <c r="DB461" s="198"/>
      <c r="DC461" s="198"/>
      <c r="DD461" s="198"/>
      <c r="DE461" s="198"/>
      <c r="DF461" s="198"/>
      <c r="DG461" s="198"/>
      <c r="DH461" s="198"/>
      <c r="DI461" s="198"/>
      <c r="DJ461" s="198"/>
      <c r="DK461" s="198"/>
      <c r="DL461" s="198"/>
      <c r="DM461" s="198"/>
      <c r="DN461" s="198"/>
      <c r="DO461" s="198"/>
      <c r="DP461" s="198"/>
      <c r="DQ461" s="198"/>
      <c r="DR461" s="198"/>
      <c r="DS461" s="198"/>
      <c r="DT461" s="198"/>
    </row>
    <row r="462" spans="1:124" ht="21.75" customHeight="1">
      <c r="A462" s="313"/>
      <c r="B462" s="221" t="s">
        <v>12</v>
      </c>
      <c r="C462" s="222"/>
      <c r="D462" s="222"/>
      <c r="E462" s="56"/>
      <c r="F462" s="56"/>
      <c r="G462" s="56"/>
      <c r="H462" s="56"/>
      <c r="I462" s="56"/>
      <c r="J462" s="56"/>
      <c r="K462" s="56"/>
      <c r="L462" s="56"/>
      <c r="M462" s="56"/>
      <c r="N462" s="56"/>
      <c r="O462" s="56"/>
      <c r="P462" s="56"/>
      <c r="Q462" s="56"/>
      <c r="R462" s="56"/>
      <c r="S462" s="56"/>
      <c r="T462" s="56"/>
      <c r="U462" s="56"/>
      <c r="V462" s="56"/>
      <c r="W462" s="56"/>
      <c r="X462" s="56">
        <v>88.4</v>
      </c>
      <c r="Y462" s="56">
        <v>89.3</v>
      </c>
      <c r="Z462" s="56">
        <v>87.8</v>
      </c>
      <c r="AA462" s="56">
        <v>89.5</v>
      </c>
      <c r="AB462" s="56">
        <v>88.1</v>
      </c>
      <c r="AC462" s="56">
        <v>88</v>
      </c>
      <c r="AD462" s="57">
        <v>88.5</v>
      </c>
      <c r="AE462" s="56">
        <v>88.3</v>
      </c>
      <c r="AF462" s="58">
        <v>89.7</v>
      </c>
      <c r="AG462" s="56">
        <v>88.5</v>
      </c>
      <c r="AH462" s="56">
        <v>88.1</v>
      </c>
      <c r="AI462" s="56">
        <v>88.3</v>
      </c>
      <c r="AJ462" s="56">
        <v>88.6</v>
      </c>
      <c r="AK462" s="56">
        <v>88.4</v>
      </c>
      <c r="AL462" s="56">
        <v>88.6</v>
      </c>
      <c r="AM462" s="56">
        <v>87.8</v>
      </c>
      <c r="AN462" s="56">
        <v>88.5</v>
      </c>
      <c r="AO462" s="56">
        <v>87.4</v>
      </c>
      <c r="AP462" s="56"/>
      <c r="AQ462" s="56"/>
      <c r="AR462" s="56"/>
      <c r="AS462" s="56">
        <v>88.5</v>
      </c>
      <c r="AT462" s="56">
        <v>88.6</v>
      </c>
      <c r="AU462" s="56">
        <v>89</v>
      </c>
      <c r="AV462" s="56">
        <v>88.2</v>
      </c>
      <c r="AW462" s="56"/>
      <c r="AX462" s="56"/>
      <c r="AY462" s="56"/>
      <c r="AZ462" s="56"/>
      <c r="BA462" s="56"/>
      <c r="BB462" s="56"/>
      <c r="BC462" s="56"/>
      <c r="BD462" s="56"/>
      <c r="BE462" s="56"/>
      <c r="BF462" s="56"/>
      <c r="BG462" s="56"/>
      <c r="BH462" s="56"/>
      <c r="BI462" s="56"/>
      <c r="BJ462" s="56"/>
      <c r="BK462" s="56"/>
      <c r="BL462" s="56"/>
      <c r="BM462" s="56"/>
      <c r="BN462" s="56"/>
      <c r="BO462" s="56"/>
      <c r="BP462" s="56"/>
      <c r="BQ462" s="56"/>
      <c r="BR462" s="56"/>
      <c r="BS462" s="56"/>
      <c r="BT462" s="56"/>
      <c r="BU462" s="56"/>
      <c r="BV462" s="56"/>
      <c r="BW462" s="56"/>
      <c r="BX462" s="56"/>
      <c r="BY462" s="56"/>
      <c r="BZ462" s="56"/>
      <c r="CA462" s="56"/>
      <c r="CB462" s="56"/>
      <c r="CC462" s="56"/>
      <c r="CD462" s="56"/>
      <c r="CE462" s="56"/>
      <c r="CF462" s="56"/>
      <c r="CG462" s="56"/>
      <c r="CH462" s="56"/>
      <c r="CI462" s="56"/>
      <c r="CJ462" s="56"/>
      <c r="CK462" s="56"/>
      <c r="CL462" s="56"/>
      <c r="CM462" s="56"/>
      <c r="CN462" s="56"/>
      <c r="CO462" s="56"/>
      <c r="CP462" s="56"/>
      <c r="CQ462" s="56"/>
      <c r="CR462" s="56"/>
      <c r="CS462" s="56"/>
      <c r="CT462" s="56"/>
      <c r="CU462" s="56"/>
      <c r="CV462" s="56"/>
      <c r="CW462" s="56"/>
      <c r="CX462" s="56"/>
      <c r="CY462" s="56"/>
      <c r="CZ462" s="56"/>
      <c r="DA462" s="56"/>
      <c r="DB462" s="56"/>
      <c r="DC462" s="56"/>
      <c r="DD462" s="56"/>
      <c r="DE462" s="56"/>
      <c r="DF462" s="56"/>
      <c r="DG462" s="56"/>
      <c r="DH462" s="56"/>
      <c r="DI462" s="56"/>
      <c r="DJ462" s="56"/>
      <c r="DK462" s="56"/>
      <c r="DL462" s="56"/>
      <c r="DM462" s="56"/>
      <c r="DN462" s="56"/>
      <c r="DO462" s="56"/>
      <c r="DP462" s="56"/>
      <c r="DQ462" s="56"/>
      <c r="DR462" s="56"/>
      <c r="DS462" s="56"/>
      <c r="DT462" s="56"/>
    </row>
    <row r="463" spans="1:124" ht="21.75" customHeight="1">
      <c r="A463" s="313"/>
      <c r="B463" s="223" t="s">
        <v>373</v>
      </c>
      <c r="C463" s="224"/>
      <c r="D463" s="224"/>
      <c r="E463" s="219" t="str">
        <f t="shared" ref="E463:BP463" si="13">IF((OR(E462=0,MAX(E466,E468,E470)=0))=TRUE,"",IFERROR((((MAX(E466,E468,E470)+E462)*0.7)-E462),""))</f>
        <v/>
      </c>
      <c r="F463" s="219" t="str">
        <f t="shared" si="13"/>
        <v/>
      </c>
      <c r="G463" s="219" t="str">
        <f t="shared" si="13"/>
        <v/>
      </c>
      <c r="H463" s="219" t="str">
        <f t="shared" si="13"/>
        <v/>
      </c>
      <c r="I463" s="219" t="str">
        <f t="shared" si="13"/>
        <v/>
      </c>
      <c r="J463" s="219" t="str">
        <f t="shared" si="13"/>
        <v/>
      </c>
      <c r="K463" s="219" t="str">
        <f t="shared" si="13"/>
        <v/>
      </c>
      <c r="L463" s="219" t="str">
        <f t="shared" si="13"/>
        <v/>
      </c>
      <c r="M463" s="219" t="str">
        <f t="shared" si="13"/>
        <v/>
      </c>
      <c r="N463" s="219" t="str">
        <f t="shared" si="13"/>
        <v/>
      </c>
      <c r="O463" s="219" t="str">
        <f t="shared" si="13"/>
        <v/>
      </c>
      <c r="P463" s="219" t="str">
        <f t="shared" si="13"/>
        <v/>
      </c>
      <c r="Q463" s="219" t="str">
        <f t="shared" si="13"/>
        <v/>
      </c>
      <c r="R463" s="219" t="str">
        <f t="shared" si="13"/>
        <v/>
      </c>
      <c r="S463" s="219" t="str">
        <f t="shared" si="13"/>
        <v/>
      </c>
      <c r="T463" s="219" t="str">
        <f t="shared" si="13"/>
        <v/>
      </c>
      <c r="U463" s="219" t="str">
        <f t="shared" si="13"/>
        <v/>
      </c>
      <c r="V463" s="219" t="str">
        <f t="shared" si="13"/>
        <v/>
      </c>
      <c r="W463" s="219" t="str">
        <f t="shared" si="13"/>
        <v/>
      </c>
      <c r="X463" s="219">
        <f t="shared" si="13"/>
        <v>69.887185628742515</v>
      </c>
      <c r="Y463" s="219" t="str">
        <f t="shared" si="13"/>
        <v/>
      </c>
      <c r="Z463" s="219" t="str">
        <f t="shared" si="13"/>
        <v/>
      </c>
      <c r="AA463" s="219">
        <f t="shared" si="13"/>
        <v>66.75465116279068</v>
      </c>
      <c r="AB463" s="219" t="str">
        <f t="shared" si="13"/>
        <v/>
      </c>
      <c r="AC463" s="219" t="str">
        <f t="shared" si="13"/>
        <v/>
      </c>
      <c r="AD463" s="219">
        <f t="shared" si="13"/>
        <v>103.39011976047905</v>
      </c>
      <c r="AE463" s="219" t="str">
        <f t="shared" si="13"/>
        <v/>
      </c>
      <c r="AF463" s="219" t="str">
        <f t="shared" si="13"/>
        <v/>
      </c>
      <c r="AG463" s="219" t="str">
        <f t="shared" si="13"/>
        <v/>
      </c>
      <c r="AH463" s="219" t="str">
        <f t="shared" si="13"/>
        <v/>
      </c>
      <c r="AI463" s="219">
        <f t="shared" si="13"/>
        <v>92.154067796610136</v>
      </c>
      <c r="AJ463" s="219" t="str">
        <f t="shared" si="13"/>
        <v/>
      </c>
      <c r="AK463" s="219" t="str">
        <f t="shared" si="13"/>
        <v/>
      </c>
      <c r="AL463" s="219">
        <f t="shared" si="13"/>
        <v>108.17935828877006</v>
      </c>
      <c r="AM463" s="219" t="str">
        <f t="shared" si="13"/>
        <v/>
      </c>
      <c r="AN463" s="219">
        <f t="shared" si="13"/>
        <v>100.72272727272727</v>
      </c>
      <c r="AO463" s="219">
        <f t="shared" si="13"/>
        <v>104.54923076923072</v>
      </c>
      <c r="AP463" s="219" t="str">
        <f t="shared" si="13"/>
        <v/>
      </c>
      <c r="AQ463" s="219" t="str">
        <f t="shared" si="13"/>
        <v/>
      </c>
      <c r="AR463" s="219" t="str">
        <f t="shared" si="13"/>
        <v/>
      </c>
      <c r="AS463" s="219" t="str">
        <f t="shared" si="13"/>
        <v/>
      </c>
      <c r="AT463" s="219" t="str">
        <f t="shared" si="13"/>
        <v/>
      </c>
      <c r="AU463" s="219" t="str">
        <f t="shared" si="13"/>
        <v/>
      </c>
      <c r="AV463" s="219">
        <f t="shared" si="13"/>
        <v>81.232307692307685</v>
      </c>
      <c r="AW463" s="219" t="str">
        <f t="shared" si="13"/>
        <v/>
      </c>
      <c r="AX463" s="219" t="str">
        <f t="shared" si="13"/>
        <v/>
      </c>
      <c r="AY463" s="219" t="str">
        <f t="shared" si="13"/>
        <v/>
      </c>
      <c r="AZ463" s="219" t="str">
        <f t="shared" si="13"/>
        <v/>
      </c>
      <c r="BA463" s="219" t="str">
        <f t="shared" si="13"/>
        <v/>
      </c>
      <c r="BB463" s="219" t="str">
        <f t="shared" si="13"/>
        <v/>
      </c>
      <c r="BC463" s="219" t="str">
        <f t="shared" si="13"/>
        <v/>
      </c>
      <c r="BD463" s="219" t="str">
        <f t="shared" si="13"/>
        <v/>
      </c>
      <c r="BE463" s="219" t="str">
        <f t="shared" si="13"/>
        <v/>
      </c>
      <c r="BF463" s="219" t="str">
        <f t="shared" si="13"/>
        <v/>
      </c>
      <c r="BG463" s="219" t="str">
        <f t="shared" si="13"/>
        <v/>
      </c>
      <c r="BH463" s="219" t="str">
        <f t="shared" si="13"/>
        <v/>
      </c>
      <c r="BI463" s="219" t="str">
        <f t="shared" si="13"/>
        <v/>
      </c>
      <c r="BJ463" s="219" t="str">
        <f t="shared" si="13"/>
        <v/>
      </c>
      <c r="BK463" s="219" t="str">
        <f t="shared" si="13"/>
        <v/>
      </c>
      <c r="BL463" s="219" t="str">
        <f t="shared" si="13"/>
        <v/>
      </c>
      <c r="BM463" s="219" t="str">
        <f t="shared" si="13"/>
        <v/>
      </c>
      <c r="BN463" s="219" t="str">
        <f t="shared" si="13"/>
        <v/>
      </c>
      <c r="BO463" s="219" t="str">
        <f t="shared" si="13"/>
        <v/>
      </c>
      <c r="BP463" s="219" t="str">
        <f t="shared" si="13"/>
        <v/>
      </c>
      <c r="BQ463" s="219" t="str">
        <f t="shared" ref="BQ463:DT463" si="14">IF((OR(BQ462=0,MAX(BQ466,BQ468,BQ470)=0))=TRUE,"",IFERROR((((MAX(BQ466,BQ468,BQ470)+BQ462)*0.7)-BQ462),""))</f>
        <v/>
      </c>
      <c r="BR463" s="219" t="str">
        <f t="shared" si="14"/>
        <v/>
      </c>
      <c r="BS463" s="219" t="str">
        <f t="shared" si="14"/>
        <v/>
      </c>
      <c r="BT463" s="219" t="str">
        <f t="shared" si="14"/>
        <v/>
      </c>
      <c r="BU463" s="219" t="str">
        <f t="shared" si="14"/>
        <v/>
      </c>
      <c r="BV463" s="219" t="str">
        <f t="shared" si="14"/>
        <v/>
      </c>
      <c r="BW463" s="219" t="str">
        <f t="shared" si="14"/>
        <v/>
      </c>
      <c r="BX463" s="219" t="str">
        <f t="shared" si="14"/>
        <v/>
      </c>
      <c r="BY463" s="219" t="str">
        <f t="shared" si="14"/>
        <v/>
      </c>
      <c r="BZ463" s="219" t="str">
        <f t="shared" si="14"/>
        <v/>
      </c>
      <c r="CA463" s="219" t="str">
        <f t="shared" si="14"/>
        <v/>
      </c>
      <c r="CB463" s="219" t="str">
        <f t="shared" si="14"/>
        <v/>
      </c>
      <c r="CC463" s="219" t="str">
        <f t="shared" si="14"/>
        <v/>
      </c>
      <c r="CD463" s="219" t="str">
        <f t="shared" si="14"/>
        <v/>
      </c>
      <c r="CE463" s="219" t="str">
        <f t="shared" si="14"/>
        <v/>
      </c>
      <c r="CF463" s="219" t="str">
        <f t="shared" si="14"/>
        <v/>
      </c>
      <c r="CG463" s="219" t="str">
        <f t="shared" si="14"/>
        <v/>
      </c>
      <c r="CH463" s="219" t="str">
        <f t="shared" si="14"/>
        <v/>
      </c>
      <c r="CI463" s="219" t="str">
        <f t="shared" si="14"/>
        <v/>
      </c>
      <c r="CJ463" s="219" t="str">
        <f t="shared" si="14"/>
        <v/>
      </c>
      <c r="CK463" s="219" t="str">
        <f t="shared" si="14"/>
        <v/>
      </c>
      <c r="CL463" s="219" t="str">
        <f t="shared" si="14"/>
        <v/>
      </c>
      <c r="CM463" s="219" t="str">
        <f t="shared" si="14"/>
        <v/>
      </c>
      <c r="CN463" s="219" t="str">
        <f t="shared" si="14"/>
        <v/>
      </c>
      <c r="CO463" s="219" t="str">
        <f t="shared" si="14"/>
        <v/>
      </c>
      <c r="CP463" s="219" t="str">
        <f t="shared" si="14"/>
        <v/>
      </c>
      <c r="CQ463" s="219" t="str">
        <f t="shared" si="14"/>
        <v/>
      </c>
      <c r="CR463" s="219" t="str">
        <f t="shared" si="14"/>
        <v/>
      </c>
      <c r="CS463" s="219" t="str">
        <f t="shared" si="14"/>
        <v/>
      </c>
      <c r="CT463" s="219" t="str">
        <f t="shared" si="14"/>
        <v/>
      </c>
      <c r="CU463" s="219" t="str">
        <f t="shared" si="14"/>
        <v/>
      </c>
      <c r="CV463" s="219" t="str">
        <f t="shared" si="14"/>
        <v/>
      </c>
      <c r="CW463" s="219" t="str">
        <f t="shared" si="14"/>
        <v/>
      </c>
      <c r="CX463" s="219" t="str">
        <f t="shared" si="14"/>
        <v/>
      </c>
      <c r="CY463" s="219" t="str">
        <f t="shared" si="14"/>
        <v/>
      </c>
      <c r="CZ463" s="219" t="str">
        <f t="shared" si="14"/>
        <v/>
      </c>
      <c r="DA463" s="219" t="str">
        <f t="shared" si="14"/>
        <v/>
      </c>
      <c r="DB463" s="219" t="str">
        <f t="shared" si="14"/>
        <v/>
      </c>
      <c r="DC463" s="219" t="str">
        <f t="shared" si="14"/>
        <v/>
      </c>
      <c r="DD463" s="219" t="str">
        <f t="shared" si="14"/>
        <v/>
      </c>
      <c r="DE463" s="219" t="str">
        <f t="shared" si="14"/>
        <v/>
      </c>
      <c r="DF463" s="219" t="str">
        <f t="shared" si="14"/>
        <v/>
      </c>
      <c r="DG463" s="219" t="str">
        <f t="shared" si="14"/>
        <v/>
      </c>
      <c r="DH463" s="219" t="str">
        <f t="shared" si="14"/>
        <v/>
      </c>
      <c r="DI463" s="219" t="str">
        <f t="shared" si="14"/>
        <v/>
      </c>
      <c r="DJ463" s="219" t="str">
        <f t="shared" si="14"/>
        <v/>
      </c>
      <c r="DK463" s="219" t="str">
        <f t="shared" si="14"/>
        <v/>
      </c>
      <c r="DL463" s="219" t="str">
        <f t="shared" si="14"/>
        <v/>
      </c>
      <c r="DM463" s="219" t="str">
        <f t="shared" si="14"/>
        <v/>
      </c>
      <c r="DN463" s="219" t="str">
        <f t="shared" si="14"/>
        <v/>
      </c>
      <c r="DO463" s="219" t="str">
        <f t="shared" si="14"/>
        <v/>
      </c>
      <c r="DP463" s="219" t="str">
        <f t="shared" si="14"/>
        <v/>
      </c>
      <c r="DQ463" s="219" t="str">
        <f t="shared" si="14"/>
        <v/>
      </c>
      <c r="DR463" s="219" t="str">
        <f t="shared" si="14"/>
        <v/>
      </c>
      <c r="DS463" s="219" t="str">
        <f t="shared" si="14"/>
        <v/>
      </c>
      <c r="DT463" s="219" t="str">
        <f t="shared" si="14"/>
        <v/>
      </c>
    </row>
    <row r="464" spans="1:124" ht="21.75" customHeight="1" thickBot="1">
      <c r="A464" s="313"/>
      <c r="B464" s="225"/>
      <c r="C464" s="226"/>
      <c r="D464" s="226"/>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c r="AA464" s="220"/>
      <c r="AB464" s="220"/>
      <c r="AC464" s="220"/>
      <c r="AD464" s="220"/>
      <c r="AE464" s="220"/>
      <c r="AF464" s="220"/>
      <c r="AG464" s="220"/>
      <c r="AH464" s="220"/>
      <c r="AI464" s="220"/>
      <c r="AJ464" s="220"/>
      <c r="AK464" s="220"/>
      <c r="AL464" s="220"/>
      <c r="AM464" s="220"/>
      <c r="AN464" s="220"/>
      <c r="AO464" s="220"/>
      <c r="AP464" s="220"/>
      <c r="AQ464" s="220"/>
      <c r="AR464" s="220"/>
      <c r="AS464" s="220"/>
      <c r="AT464" s="220"/>
      <c r="AU464" s="220"/>
      <c r="AV464" s="220"/>
      <c r="AW464" s="220"/>
      <c r="AX464" s="220"/>
      <c r="AY464" s="220"/>
      <c r="AZ464" s="220"/>
      <c r="BA464" s="220"/>
      <c r="BB464" s="220"/>
      <c r="BC464" s="220"/>
      <c r="BD464" s="220"/>
      <c r="BE464" s="220"/>
      <c r="BF464" s="220"/>
      <c r="BG464" s="220"/>
      <c r="BH464" s="220"/>
      <c r="BI464" s="220"/>
      <c r="BJ464" s="220"/>
      <c r="BK464" s="220"/>
      <c r="BL464" s="220"/>
      <c r="BM464" s="220"/>
      <c r="BN464" s="220"/>
      <c r="BO464" s="220"/>
      <c r="BP464" s="220"/>
      <c r="BQ464" s="220"/>
      <c r="BR464" s="220"/>
      <c r="BS464" s="220"/>
      <c r="BT464" s="220"/>
      <c r="BU464" s="220"/>
      <c r="BV464" s="220"/>
      <c r="BW464" s="220"/>
      <c r="BX464" s="220"/>
      <c r="BY464" s="220"/>
      <c r="BZ464" s="220"/>
      <c r="CA464" s="220"/>
      <c r="CB464" s="220"/>
      <c r="CC464" s="220"/>
      <c r="CD464" s="220"/>
      <c r="CE464" s="220"/>
      <c r="CF464" s="220"/>
      <c r="CG464" s="220"/>
      <c r="CH464" s="220"/>
      <c r="CI464" s="220"/>
      <c r="CJ464" s="220"/>
      <c r="CK464" s="220"/>
      <c r="CL464" s="220"/>
      <c r="CM464" s="220"/>
      <c r="CN464" s="220"/>
      <c r="CO464" s="220"/>
      <c r="CP464" s="220"/>
      <c r="CQ464" s="220"/>
      <c r="CR464" s="220"/>
      <c r="CS464" s="220"/>
      <c r="CT464" s="220"/>
      <c r="CU464" s="220"/>
      <c r="CV464" s="220"/>
      <c r="CW464" s="220"/>
      <c r="CX464" s="220"/>
      <c r="CY464" s="220"/>
      <c r="CZ464" s="220"/>
      <c r="DA464" s="220"/>
      <c r="DB464" s="220"/>
      <c r="DC464" s="220"/>
      <c r="DD464" s="220"/>
      <c r="DE464" s="220"/>
      <c r="DF464" s="220"/>
      <c r="DG464" s="220"/>
      <c r="DH464" s="220"/>
      <c r="DI464" s="220"/>
      <c r="DJ464" s="220"/>
      <c r="DK464" s="220"/>
      <c r="DL464" s="220"/>
      <c r="DM464" s="220"/>
      <c r="DN464" s="220"/>
      <c r="DO464" s="220"/>
      <c r="DP464" s="220"/>
      <c r="DQ464" s="220"/>
      <c r="DR464" s="220"/>
      <c r="DS464" s="220"/>
      <c r="DT464" s="220"/>
    </row>
    <row r="465" spans="1:124" ht="21.75" customHeight="1">
      <c r="A465" s="313"/>
      <c r="B465" s="235" t="s">
        <v>374</v>
      </c>
      <c r="C465" s="236"/>
      <c r="D465" s="237"/>
      <c r="E465" s="80"/>
      <c r="F465" s="60"/>
      <c r="G465" s="60"/>
      <c r="H465" s="60"/>
      <c r="I465" s="60"/>
      <c r="J465" s="60"/>
      <c r="K465" s="60"/>
      <c r="L465" s="60"/>
      <c r="M465" s="60"/>
      <c r="N465" s="60"/>
      <c r="O465" s="60"/>
      <c r="P465" s="60"/>
      <c r="Q465" s="60"/>
      <c r="R465" s="60"/>
      <c r="S465" s="60"/>
      <c r="T465" s="60"/>
      <c r="U465" s="60"/>
      <c r="V465" s="60"/>
      <c r="W465" s="60"/>
      <c r="X465" s="80"/>
      <c r="Y465" s="80"/>
      <c r="Z465" s="80"/>
      <c r="AA465" s="80"/>
      <c r="AB465" s="80"/>
      <c r="AC465" s="80"/>
      <c r="AD465" s="61" t="s">
        <v>549</v>
      </c>
      <c r="AE465" s="80"/>
      <c r="AF465" s="80"/>
      <c r="AG465" s="80"/>
      <c r="AH465" s="80"/>
      <c r="AI465" s="80"/>
      <c r="AJ465" s="80"/>
      <c r="AK465" s="80"/>
      <c r="AL465" s="80" t="s">
        <v>402</v>
      </c>
      <c r="AM465" s="80"/>
      <c r="AN465" s="80" t="s">
        <v>402</v>
      </c>
      <c r="AO465" s="61" t="s">
        <v>535</v>
      </c>
      <c r="AP465" s="60"/>
      <c r="AQ465" s="60"/>
      <c r="AR465" s="60"/>
      <c r="AS465" s="80"/>
      <c r="AT465" s="80"/>
      <c r="AU465" s="80"/>
      <c r="AV465" s="60"/>
      <c r="AW465" s="80"/>
      <c r="AX465" s="60"/>
      <c r="AY465" s="60"/>
      <c r="AZ465" s="60"/>
      <c r="BA465" s="60"/>
      <c r="BB465" s="60"/>
      <c r="BC465" s="60"/>
      <c r="BD465" s="60"/>
      <c r="BE465" s="60"/>
      <c r="BF465" s="60"/>
      <c r="BG465" s="60"/>
      <c r="BH465" s="60"/>
      <c r="BI465" s="60"/>
      <c r="BJ465" s="60"/>
      <c r="BK465" s="60"/>
      <c r="BL465" s="60"/>
      <c r="BM465" s="60"/>
      <c r="BN465" s="60"/>
      <c r="BO465" s="60"/>
      <c r="BP465" s="60" t="s">
        <v>378</v>
      </c>
      <c r="BQ465" s="62" t="s">
        <v>424</v>
      </c>
      <c r="BR465" s="60"/>
      <c r="BS465" s="60"/>
      <c r="BT465" s="60"/>
      <c r="BU465" s="60"/>
      <c r="BV465" s="62" t="s">
        <v>423</v>
      </c>
      <c r="BW465" s="60"/>
      <c r="BX465" s="60"/>
      <c r="BY465" s="60"/>
      <c r="BZ465" s="60"/>
      <c r="CA465" s="60"/>
      <c r="CB465" s="60"/>
      <c r="CC465" s="60"/>
      <c r="CD465" s="60"/>
      <c r="CE465" s="60"/>
      <c r="CF465" s="60"/>
      <c r="CG465" s="60"/>
      <c r="CH465" s="60"/>
      <c r="CI465" s="60"/>
      <c r="CJ465" s="60"/>
      <c r="CK465" s="60"/>
      <c r="CL465" s="60"/>
      <c r="CM465" s="60"/>
      <c r="CN465" s="60"/>
      <c r="CO465" s="60"/>
      <c r="CP465" s="60"/>
      <c r="CQ465" s="60"/>
      <c r="CR465" s="60"/>
      <c r="CS465" s="60"/>
      <c r="CT465" s="60"/>
      <c r="CU465" s="60"/>
      <c r="CV465" s="60"/>
      <c r="CW465" s="60"/>
      <c r="CX465" s="60"/>
      <c r="CY465" s="60"/>
      <c r="CZ465" s="60"/>
      <c r="DA465" s="60"/>
      <c r="DB465" s="60"/>
      <c r="DC465" s="60"/>
      <c r="DD465" s="60"/>
      <c r="DE465" s="60"/>
      <c r="DF465" s="60"/>
      <c r="DG465" s="60"/>
      <c r="DH465" s="60"/>
      <c r="DI465" s="60"/>
      <c r="DJ465" s="60"/>
      <c r="DK465" s="60"/>
      <c r="DL465" s="60"/>
      <c r="DM465" s="60"/>
      <c r="DN465" s="60"/>
      <c r="DO465" s="60"/>
      <c r="DP465" s="60"/>
      <c r="DQ465" s="60"/>
      <c r="DR465" s="60"/>
      <c r="DS465" s="60"/>
      <c r="DT465" s="60"/>
    </row>
    <row r="466" spans="1:124" ht="21.75" customHeight="1">
      <c r="A466" s="313"/>
      <c r="B466" s="232"/>
      <c r="C466" s="233"/>
      <c r="D466" s="234"/>
      <c r="E466" s="70"/>
      <c r="F466" s="65"/>
      <c r="G466" s="65"/>
      <c r="H466" s="65"/>
      <c r="I466" s="65"/>
      <c r="J466" s="65"/>
      <c r="K466" s="65"/>
      <c r="L466" s="65"/>
      <c r="M466" s="65"/>
      <c r="N466" s="65"/>
      <c r="O466" s="65"/>
      <c r="P466" s="65"/>
      <c r="Q466" s="65"/>
      <c r="R466" s="65"/>
      <c r="S466" s="65"/>
      <c r="T466" s="65"/>
      <c r="U466" s="65"/>
      <c r="V466" s="65"/>
      <c r="W466" s="65"/>
      <c r="X466" s="70"/>
      <c r="Y466" s="70"/>
      <c r="Z466" s="70"/>
      <c r="AA466" s="70"/>
      <c r="AB466" s="70"/>
      <c r="AC466" s="70"/>
      <c r="AD466" s="72">
        <f>155/0.835</f>
        <v>185.62874251497007</v>
      </c>
      <c r="AE466" s="70"/>
      <c r="AF466" s="70"/>
      <c r="AG466" s="70"/>
      <c r="AH466" s="70"/>
      <c r="AI466" s="70"/>
      <c r="AJ466" s="70"/>
      <c r="AK466" s="70"/>
      <c r="AL466" s="70">
        <f>180/0.935</f>
        <v>192.51336898395721</v>
      </c>
      <c r="AM466" s="70"/>
      <c r="AN466" s="70">
        <f>170/0.935</f>
        <v>181.81818181818181</v>
      </c>
      <c r="AO466" s="72">
        <f>170/0.91</f>
        <v>186.8131868131868</v>
      </c>
      <c r="AP466" s="65"/>
      <c r="AQ466" s="65"/>
      <c r="AR466" s="65"/>
      <c r="AS466" s="70"/>
      <c r="AT466" s="70"/>
      <c r="AU466" s="70"/>
      <c r="AV466" s="65"/>
      <c r="AW466" s="70"/>
      <c r="AX466" s="65"/>
      <c r="AY466" s="65"/>
      <c r="AZ466" s="65"/>
      <c r="BA466" s="65"/>
      <c r="BB466" s="65"/>
      <c r="BC466" s="65"/>
      <c r="BD466" s="65"/>
      <c r="BE466" s="65"/>
      <c r="BF466" s="65"/>
      <c r="BG466" s="65"/>
      <c r="BH466" s="65"/>
      <c r="BI466" s="65"/>
      <c r="BJ466" s="65"/>
      <c r="BK466" s="65"/>
      <c r="BL466" s="65"/>
      <c r="BM466" s="65"/>
      <c r="BN466" s="65"/>
      <c r="BO466" s="65"/>
      <c r="BP466" s="65">
        <f>160/0.86</f>
        <v>186.04651162790697</v>
      </c>
      <c r="BQ466" s="67">
        <f>170/0.86</f>
        <v>197.67441860465118</v>
      </c>
      <c r="BR466" s="65"/>
      <c r="BS466" s="65"/>
      <c r="BT466" s="65"/>
      <c r="BU466" s="65"/>
      <c r="BV466" s="67">
        <f>185/0.885</f>
        <v>209.03954802259886</v>
      </c>
      <c r="BW466" s="65"/>
      <c r="BX466" s="65"/>
      <c r="BY466" s="65"/>
      <c r="BZ466" s="65"/>
      <c r="CA466" s="65"/>
      <c r="CB466" s="65"/>
      <c r="CC466" s="65"/>
      <c r="CD466" s="65"/>
      <c r="CE466" s="65"/>
      <c r="CF466" s="65"/>
      <c r="CG466" s="65"/>
      <c r="CH466" s="65"/>
      <c r="CI466" s="65"/>
      <c r="CJ466" s="65"/>
      <c r="CK466" s="65"/>
      <c r="CL466" s="65"/>
      <c r="CM466" s="65"/>
      <c r="CN466" s="65"/>
      <c r="CO466" s="65"/>
      <c r="CP466" s="65"/>
      <c r="CQ466" s="65"/>
      <c r="CR466" s="65"/>
      <c r="CS466" s="65"/>
      <c r="CT466" s="65"/>
      <c r="CU466" s="65"/>
      <c r="CV466" s="65"/>
      <c r="CW466" s="65"/>
      <c r="CX466" s="65"/>
      <c r="CY466" s="65"/>
      <c r="CZ466" s="65"/>
      <c r="DA466" s="65"/>
      <c r="DB466" s="65"/>
      <c r="DC466" s="65"/>
      <c r="DD466" s="65"/>
      <c r="DE466" s="65"/>
      <c r="DF466" s="65"/>
      <c r="DG466" s="65"/>
      <c r="DH466" s="65"/>
      <c r="DI466" s="65"/>
      <c r="DJ466" s="65"/>
      <c r="DK466" s="65"/>
      <c r="DL466" s="65"/>
      <c r="DM466" s="65"/>
      <c r="DN466" s="65"/>
      <c r="DO466" s="65"/>
      <c r="DP466" s="65"/>
      <c r="DQ466" s="65"/>
      <c r="DR466" s="65"/>
      <c r="DS466" s="65"/>
      <c r="DT466" s="65"/>
    </row>
    <row r="467" spans="1:124" ht="21.75" customHeight="1">
      <c r="A467" s="313"/>
      <c r="B467" s="229" t="s">
        <v>381</v>
      </c>
      <c r="C467" s="230"/>
      <c r="D467" s="231"/>
      <c r="E467" s="69"/>
      <c r="F467" s="68"/>
      <c r="G467" s="68"/>
      <c r="H467" s="68"/>
      <c r="I467" s="68"/>
      <c r="J467" s="68"/>
      <c r="K467" s="68"/>
      <c r="L467" s="68"/>
      <c r="M467" s="68"/>
      <c r="N467" s="68"/>
      <c r="O467" s="68"/>
      <c r="P467" s="68"/>
      <c r="Q467" s="68"/>
      <c r="R467" s="68"/>
      <c r="S467" s="68"/>
      <c r="T467" s="68"/>
      <c r="U467" s="68"/>
      <c r="V467" s="68"/>
      <c r="W467" s="68"/>
      <c r="X467" s="69" t="s">
        <v>401</v>
      </c>
      <c r="Y467" s="69"/>
      <c r="Z467" s="69"/>
      <c r="AA467" s="69" t="s">
        <v>380</v>
      </c>
      <c r="AB467" s="69"/>
      <c r="AC467" s="69"/>
      <c r="AD467" s="69"/>
      <c r="AE467" s="69"/>
      <c r="AF467" s="69"/>
      <c r="AG467" s="69"/>
      <c r="AH467" s="69"/>
      <c r="AI467" s="69" t="s">
        <v>400</v>
      </c>
      <c r="AJ467" s="69"/>
      <c r="AK467" s="69"/>
      <c r="AL467" s="69"/>
      <c r="AM467" s="69"/>
      <c r="AN467" s="69"/>
      <c r="AO467" s="69"/>
      <c r="AP467" s="68"/>
      <c r="AQ467" s="68"/>
      <c r="AR467" s="68"/>
      <c r="AS467" s="69"/>
      <c r="AT467" s="69"/>
      <c r="AU467" s="69"/>
      <c r="AV467" s="69" t="s">
        <v>378</v>
      </c>
      <c r="AW467" s="69"/>
      <c r="AX467" s="68"/>
      <c r="AY467" s="60" t="s">
        <v>400</v>
      </c>
      <c r="AZ467" s="68"/>
      <c r="BA467" s="68"/>
      <c r="BB467" s="68" t="s">
        <v>400</v>
      </c>
      <c r="BC467" s="68"/>
      <c r="BD467" s="68"/>
      <c r="BE467" s="68"/>
      <c r="BF467" s="68"/>
      <c r="BG467" s="68"/>
      <c r="BH467" s="68"/>
      <c r="BI467" s="68"/>
      <c r="BJ467" s="68"/>
      <c r="BK467" s="68"/>
      <c r="BL467" s="68"/>
      <c r="BM467" s="68"/>
      <c r="BN467" s="68"/>
      <c r="BO467" s="68"/>
      <c r="BP467" s="68"/>
      <c r="BQ467" s="60"/>
      <c r="BR467" s="68"/>
      <c r="BS467" s="68"/>
      <c r="BT467" s="68"/>
      <c r="BU467" s="68"/>
      <c r="BV467" s="68"/>
      <c r="BW467" s="68"/>
      <c r="BX467" s="68"/>
      <c r="BY467" s="68"/>
      <c r="BZ467" s="68"/>
      <c r="CA467" s="68"/>
      <c r="CB467" s="68"/>
      <c r="CC467" s="68"/>
      <c r="CD467" s="68"/>
      <c r="CE467" s="68"/>
      <c r="CF467" s="68"/>
      <c r="CG467" s="68"/>
      <c r="CH467" s="68"/>
      <c r="CI467" s="68"/>
      <c r="CJ467" s="68"/>
      <c r="CK467" s="68"/>
      <c r="CL467" s="68"/>
      <c r="CM467" s="68"/>
      <c r="CN467" s="68"/>
      <c r="CO467" s="68"/>
      <c r="CP467" s="68"/>
      <c r="CQ467" s="68"/>
      <c r="CR467" s="68"/>
      <c r="CS467" s="68"/>
      <c r="CT467" s="68"/>
      <c r="CU467" s="68"/>
      <c r="CV467" s="68"/>
      <c r="CW467" s="68"/>
      <c r="CX467" s="68"/>
      <c r="CY467" s="68"/>
      <c r="CZ467" s="68"/>
      <c r="DA467" s="68"/>
      <c r="DB467" s="68"/>
      <c r="DC467" s="68"/>
      <c r="DD467" s="68"/>
      <c r="DE467" s="68"/>
      <c r="DF467" s="68"/>
      <c r="DG467" s="68"/>
      <c r="DH467" s="68"/>
      <c r="DI467" s="68"/>
      <c r="DJ467" s="68"/>
      <c r="DK467" s="68"/>
      <c r="DL467" s="68"/>
      <c r="DM467" s="68"/>
      <c r="DN467" s="68"/>
      <c r="DO467" s="68"/>
      <c r="DP467" s="68"/>
      <c r="DQ467" s="68"/>
      <c r="DR467" s="68"/>
      <c r="DS467" s="68"/>
      <c r="DT467" s="68"/>
    </row>
    <row r="468" spans="1:124" ht="21.75" customHeight="1">
      <c r="A468" s="313"/>
      <c r="B468" s="232"/>
      <c r="C468" s="233"/>
      <c r="D468" s="234"/>
      <c r="E468" s="70"/>
      <c r="F468" s="65"/>
      <c r="G468" s="65"/>
      <c r="H468" s="65"/>
      <c r="I468" s="65"/>
      <c r="J468" s="65"/>
      <c r="K468" s="65"/>
      <c r="L468" s="65"/>
      <c r="M468" s="65"/>
      <c r="N468" s="65"/>
      <c r="O468" s="65"/>
      <c r="P468" s="65"/>
      <c r="Q468" s="65"/>
      <c r="R468" s="65"/>
      <c r="S468" s="65"/>
      <c r="T468" s="65"/>
      <c r="U468" s="65"/>
      <c r="V468" s="65"/>
      <c r="W468" s="65"/>
      <c r="X468" s="70">
        <f>115/0.835</f>
        <v>137.7245508982036</v>
      </c>
      <c r="Y468" s="70"/>
      <c r="Z468" s="70"/>
      <c r="AA468" s="70">
        <f>115/0.86</f>
        <v>133.72093023255815</v>
      </c>
      <c r="AB468" s="70"/>
      <c r="AC468" s="70"/>
      <c r="AD468" s="70"/>
      <c r="AE468" s="70"/>
      <c r="AF468" s="70"/>
      <c r="AG468" s="70"/>
      <c r="AH468" s="70"/>
      <c r="AI468" s="70">
        <f>150/0.885</f>
        <v>169.4915254237288</v>
      </c>
      <c r="AJ468" s="70"/>
      <c r="AK468" s="70"/>
      <c r="AL468" s="70"/>
      <c r="AM468" s="70"/>
      <c r="AN468" s="70"/>
      <c r="AO468" s="70"/>
      <c r="AP468" s="65"/>
      <c r="AQ468" s="65"/>
      <c r="AR468" s="65"/>
      <c r="AS468" s="70"/>
      <c r="AT468" s="70"/>
      <c r="AU468" s="70"/>
      <c r="AV468" s="70">
        <f>140/0.91</f>
        <v>153.84615384615384</v>
      </c>
      <c r="AW468" s="70"/>
      <c r="AX468" s="65"/>
      <c r="AY468" s="65">
        <f>140/0.885</f>
        <v>158.19209039548022</v>
      </c>
      <c r="AZ468" s="65"/>
      <c r="BA468" s="65"/>
      <c r="BB468" s="65">
        <f>140/0.885</f>
        <v>158.19209039548022</v>
      </c>
      <c r="BC468" s="65"/>
      <c r="BD468" s="65"/>
      <c r="BE468" s="65"/>
      <c r="BF468" s="65"/>
      <c r="BG468" s="65"/>
      <c r="BH468" s="65"/>
      <c r="BI468" s="65"/>
      <c r="BJ468" s="65"/>
      <c r="BK468" s="65"/>
      <c r="BL468" s="65"/>
      <c r="BM468" s="65"/>
      <c r="BN468" s="65"/>
      <c r="BO468" s="65"/>
      <c r="BP468" s="65"/>
      <c r="BQ468" s="65"/>
      <c r="BR468" s="65"/>
      <c r="BS468" s="65"/>
      <c r="BT468" s="65"/>
      <c r="BU468" s="65"/>
      <c r="BV468" s="65"/>
      <c r="BW468" s="65"/>
      <c r="BX468" s="65"/>
      <c r="BY468" s="65"/>
      <c r="BZ468" s="65"/>
      <c r="CA468" s="65"/>
      <c r="CB468" s="65"/>
      <c r="CC468" s="65"/>
      <c r="CD468" s="65"/>
      <c r="CE468" s="65"/>
      <c r="CF468" s="65"/>
      <c r="CG468" s="65"/>
      <c r="CH468" s="65"/>
      <c r="CI468" s="65"/>
      <c r="CJ468" s="65"/>
      <c r="CK468" s="65"/>
      <c r="CL468" s="65"/>
      <c r="CM468" s="65"/>
      <c r="CN468" s="65"/>
      <c r="CO468" s="65"/>
      <c r="CP468" s="65"/>
      <c r="CQ468" s="65"/>
      <c r="CR468" s="65"/>
      <c r="CS468" s="65"/>
      <c r="CT468" s="65"/>
      <c r="CU468" s="65"/>
      <c r="CV468" s="65"/>
      <c r="CW468" s="65"/>
      <c r="CX468" s="65"/>
      <c r="CY468" s="65"/>
      <c r="CZ468" s="65"/>
      <c r="DA468" s="65"/>
      <c r="DB468" s="65"/>
      <c r="DC468" s="65"/>
      <c r="DD468" s="65"/>
      <c r="DE468" s="65"/>
      <c r="DF468" s="65"/>
      <c r="DG468" s="65"/>
      <c r="DH468" s="65"/>
      <c r="DI468" s="65"/>
      <c r="DJ468" s="65"/>
      <c r="DK468" s="65"/>
      <c r="DL468" s="65"/>
      <c r="DM468" s="65"/>
      <c r="DN468" s="65"/>
      <c r="DO468" s="65"/>
      <c r="DP468" s="65"/>
      <c r="DQ468" s="65"/>
      <c r="DR468" s="65"/>
      <c r="DS468" s="65"/>
      <c r="DT468" s="65"/>
    </row>
    <row r="469" spans="1:124" ht="21.75" customHeight="1">
      <c r="A469" s="313"/>
      <c r="B469" s="229" t="s">
        <v>451</v>
      </c>
      <c r="C469" s="230"/>
      <c r="D469" s="231"/>
      <c r="E469" s="113"/>
      <c r="F469" s="114"/>
      <c r="G469" s="114"/>
      <c r="H469" s="114"/>
      <c r="I469" s="114"/>
      <c r="J469" s="114"/>
      <c r="K469" s="114"/>
      <c r="L469" s="114"/>
      <c r="M469" s="114"/>
      <c r="N469" s="114"/>
      <c r="O469" s="114"/>
      <c r="P469" s="114"/>
      <c r="Q469" s="114"/>
      <c r="R469" s="114"/>
      <c r="S469" s="114"/>
      <c r="T469" s="114"/>
      <c r="U469" s="114"/>
      <c r="V469" s="114"/>
      <c r="W469" s="114"/>
      <c r="X469" s="113"/>
      <c r="Y469" s="113"/>
      <c r="Z469" s="113"/>
      <c r="AA469" s="113"/>
      <c r="AB469" s="113"/>
      <c r="AC469" s="113"/>
      <c r="AD469" s="113"/>
      <c r="AE469" s="113"/>
      <c r="AF469" s="113"/>
      <c r="AG469" s="113"/>
      <c r="AH469" s="113"/>
      <c r="AI469" s="113"/>
      <c r="AJ469" s="113"/>
      <c r="AK469" s="113"/>
      <c r="AL469" s="113"/>
      <c r="AM469" s="113"/>
      <c r="AN469" s="113"/>
      <c r="AO469" s="113"/>
      <c r="AP469" s="114"/>
      <c r="AQ469" s="114"/>
      <c r="AR469" s="114"/>
      <c r="AS469" s="113"/>
      <c r="AT469" s="113"/>
      <c r="AU469" s="113"/>
      <c r="AV469" s="113"/>
      <c r="AW469" s="113"/>
      <c r="AX469" s="114"/>
      <c r="AY469" s="114"/>
      <c r="AZ469" s="114"/>
      <c r="BA469" s="114"/>
      <c r="BB469" s="114"/>
      <c r="BC469" s="114"/>
      <c r="BD469" s="114"/>
      <c r="BE469" s="114"/>
      <c r="BF469" s="114"/>
      <c r="BG469" s="114"/>
      <c r="BH469" s="114"/>
      <c r="BI469" s="114"/>
      <c r="BJ469" s="114"/>
      <c r="BK469" s="114"/>
      <c r="BL469" s="114"/>
      <c r="BM469" s="114"/>
      <c r="BN469" s="114"/>
      <c r="BO469" s="114"/>
      <c r="BP469" s="114"/>
      <c r="BQ469" s="114"/>
      <c r="BR469" s="114"/>
      <c r="BS469" s="114"/>
      <c r="BT469" s="114"/>
      <c r="BU469" s="114"/>
      <c r="BV469" s="114"/>
      <c r="BW469" s="114"/>
      <c r="BX469" s="114"/>
      <c r="BY469" s="114"/>
      <c r="BZ469" s="114"/>
      <c r="CA469" s="114"/>
      <c r="CB469" s="114"/>
      <c r="CC469" s="114"/>
      <c r="CD469" s="114"/>
      <c r="CE469" s="114"/>
      <c r="CF469" s="114"/>
      <c r="CG469" s="114"/>
      <c r="CH469" s="114"/>
      <c r="CI469" s="114"/>
      <c r="CJ469" s="114"/>
      <c r="CK469" s="114"/>
      <c r="CL469" s="114"/>
      <c r="CM469" s="114"/>
      <c r="CN469" s="114"/>
      <c r="CO469" s="114"/>
      <c r="CP469" s="114"/>
      <c r="CQ469" s="114"/>
      <c r="CR469" s="114"/>
      <c r="CS469" s="114"/>
      <c r="CT469" s="114"/>
      <c r="CU469" s="114"/>
      <c r="CV469" s="114"/>
      <c r="CW469" s="114"/>
      <c r="CX469" s="114"/>
      <c r="CY469" s="114"/>
      <c r="CZ469" s="114"/>
      <c r="DA469" s="114"/>
      <c r="DB469" s="114"/>
      <c r="DC469" s="114"/>
      <c r="DD469" s="114"/>
      <c r="DE469" s="114"/>
      <c r="DF469" s="114"/>
      <c r="DG469" s="114"/>
      <c r="DH469" s="114"/>
      <c r="DI469" s="114"/>
      <c r="DJ469" s="114"/>
      <c r="DK469" s="114"/>
      <c r="DL469" s="114"/>
      <c r="DM469" s="114"/>
      <c r="DN469" s="114"/>
      <c r="DO469" s="114"/>
      <c r="DP469" s="114"/>
      <c r="DQ469" s="114"/>
      <c r="DR469" s="114"/>
      <c r="DS469" s="114"/>
      <c r="DT469" s="114"/>
    </row>
    <row r="470" spans="1:124" ht="21.75" customHeight="1">
      <c r="A470" s="313"/>
      <c r="B470" s="232"/>
      <c r="C470" s="233"/>
      <c r="D470" s="234"/>
      <c r="E470" s="113"/>
      <c r="F470" s="114"/>
      <c r="G470" s="114"/>
      <c r="H470" s="114"/>
      <c r="I470" s="114"/>
      <c r="J470" s="114"/>
      <c r="K470" s="114"/>
      <c r="L470" s="114"/>
      <c r="M470" s="114"/>
      <c r="N470" s="114"/>
      <c r="O470" s="114"/>
      <c r="P470" s="114"/>
      <c r="Q470" s="114"/>
      <c r="R470" s="114"/>
      <c r="S470" s="114"/>
      <c r="T470" s="114"/>
      <c r="U470" s="114"/>
      <c r="V470" s="114"/>
      <c r="W470" s="114"/>
      <c r="X470" s="113"/>
      <c r="Y470" s="113"/>
      <c r="Z470" s="113"/>
      <c r="AA470" s="113"/>
      <c r="AB470" s="113"/>
      <c r="AC470" s="113"/>
      <c r="AD470" s="113"/>
      <c r="AE470" s="113"/>
      <c r="AF470" s="113"/>
      <c r="AG470" s="113"/>
      <c r="AH470" s="113"/>
      <c r="AI470" s="113"/>
      <c r="AJ470" s="113"/>
      <c r="AK470" s="113"/>
      <c r="AL470" s="113"/>
      <c r="AM470" s="113"/>
      <c r="AN470" s="113"/>
      <c r="AO470" s="113"/>
      <c r="AP470" s="114"/>
      <c r="AQ470" s="114"/>
      <c r="AR470" s="114"/>
      <c r="AS470" s="113"/>
      <c r="AT470" s="113"/>
      <c r="AU470" s="113"/>
      <c r="AV470" s="113"/>
      <c r="AW470" s="113"/>
      <c r="AX470" s="114"/>
      <c r="AY470" s="114"/>
      <c r="AZ470" s="114"/>
      <c r="BA470" s="114"/>
      <c r="BB470" s="114"/>
      <c r="BC470" s="114"/>
      <c r="BD470" s="114"/>
      <c r="BE470" s="114"/>
      <c r="BF470" s="114"/>
      <c r="BG470" s="114"/>
      <c r="BH470" s="114"/>
      <c r="BI470" s="114"/>
      <c r="BJ470" s="114"/>
      <c r="BK470" s="114"/>
      <c r="BL470" s="114"/>
      <c r="BM470" s="114"/>
      <c r="BN470" s="114"/>
      <c r="BO470" s="114"/>
      <c r="BP470" s="114"/>
      <c r="BQ470" s="114"/>
      <c r="BR470" s="114"/>
      <c r="BS470" s="114"/>
      <c r="BT470" s="114"/>
      <c r="BU470" s="114"/>
      <c r="BV470" s="114"/>
      <c r="BW470" s="114"/>
      <c r="BX470" s="114"/>
      <c r="BY470" s="114"/>
      <c r="BZ470" s="114"/>
      <c r="CA470" s="114"/>
      <c r="CB470" s="114"/>
      <c r="CC470" s="114"/>
      <c r="CD470" s="114"/>
      <c r="CE470" s="114"/>
      <c r="CF470" s="114"/>
      <c r="CG470" s="114"/>
      <c r="CH470" s="114"/>
      <c r="CI470" s="114"/>
      <c r="CJ470" s="114"/>
      <c r="CK470" s="114"/>
      <c r="CL470" s="114"/>
      <c r="CM470" s="114"/>
      <c r="CN470" s="114"/>
      <c r="CO470" s="114"/>
      <c r="CP470" s="114"/>
      <c r="CQ470" s="114"/>
      <c r="CR470" s="114"/>
      <c r="CS470" s="114"/>
      <c r="CT470" s="114"/>
      <c r="CU470" s="114"/>
      <c r="CV470" s="114"/>
      <c r="CW470" s="114"/>
      <c r="CX470" s="114"/>
      <c r="CY470" s="114"/>
      <c r="CZ470" s="114"/>
      <c r="DA470" s="114"/>
      <c r="DB470" s="114"/>
      <c r="DC470" s="114"/>
      <c r="DD470" s="114"/>
      <c r="DE470" s="114"/>
      <c r="DF470" s="114"/>
      <c r="DG470" s="114"/>
      <c r="DH470" s="114"/>
      <c r="DI470" s="114"/>
      <c r="DJ470" s="114"/>
      <c r="DK470" s="114"/>
      <c r="DL470" s="114"/>
      <c r="DM470" s="114"/>
      <c r="DN470" s="114"/>
      <c r="DO470" s="114"/>
      <c r="DP470" s="114"/>
      <c r="DQ470" s="114"/>
      <c r="DR470" s="114"/>
      <c r="DS470" s="114"/>
      <c r="DT470" s="114"/>
    </row>
    <row r="471" spans="1:124" ht="21.75" customHeight="1">
      <c r="A471" s="313"/>
      <c r="B471" s="229" t="s">
        <v>494</v>
      </c>
      <c r="C471" s="230"/>
      <c r="D471" s="231"/>
      <c r="E471" s="69"/>
      <c r="F471" s="68"/>
      <c r="G471" s="68"/>
      <c r="H471" s="68"/>
      <c r="I471" s="68"/>
      <c r="J471" s="68"/>
      <c r="K471" s="68"/>
      <c r="L471" s="68"/>
      <c r="M471" s="68"/>
      <c r="N471" s="68"/>
      <c r="O471" s="68"/>
      <c r="P471" s="68"/>
      <c r="Q471" s="68"/>
      <c r="R471" s="68"/>
      <c r="S471" s="68"/>
      <c r="T471" s="68"/>
      <c r="U471" s="68"/>
      <c r="V471" s="68"/>
      <c r="W471" s="68"/>
      <c r="X471" s="69"/>
      <c r="Y471" s="69"/>
      <c r="Z471" s="69"/>
      <c r="AA471" s="69"/>
      <c r="AB471" s="69"/>
      <c r="AC471" s="69"/>
      <c r="AD471" s="69"/>
      <c r="AE471" s="69"/>
      <c r="AF471" s="69"/>
      <c r="AG471" s="69"/>
      <c r="AH471" s="69"/>
      <c r="AI471" s="69"/>
      <c r="AJ471" s="69"/>
      <c r="AK471" s="69"/>
      <c r="AL471" s="69"/>
      <c r="AM471" s="69"/>
      <c r="AN471" s="69"/>
      <c r="AO471" s="69"/>
      <c r="AP471" s="68"/>
      <c r="AQ471" s="68"/>
      <c r="AR471" s="68"/>
      <c r="AS471" s="69"/>
      <c r="AT471" s="69"/>
      <c r="AU471" s="69"/>
      <c r="AV471" s="69"/>
      <c r="AW471" s="69"/>
      <c r="AX471" s="68"/>
      <c r="AY471" s="68"/>
      <c r="AZ471" s="68"/>
      <c r="BA471" s="68"/>
      <c r="BB471" s="68"/>
      <c r="BC471" s="68"/>
      <c r="BD471" s="68"/>
      <c r="BE471" s="68"/>
      <c r="BF471" s="68"/>
      <c r="BG471" s="68"/>
      <c r="BH471" s="68" t="s">
        <v>398</v>
      </c>
      <c r="BI471" s="68"/>
      <c r="BJ471" s="68"/>
      <c r="BK471" s="68" t="s">
        <v>398</v>
      </c>
      <c r="BL471" s="68"/>
      <c r="BM471" s="68"/>
      <c r="BN471" s="68" t="s">
        <v>398</v>
      </c>
      <c r="BO471" s="68"/>
      <c r="BP471" s="68"/>
      <c r="BQ471" s="68"/>
      <c r="BR471" s="68"/>
      <c r="BS471" s="68"/>
      <c r="BT471" s="68"/>
      <c r="BU471" s="68"/>
      <c r="BV471" s="68"/>
      <c r="BW471" s="68"/>
      <c r="BX471" s="68"/>
      <c r="BY471" s="68"/>
      <c r="BZ471" s="68"/>
      <c r="CA471" s="68"/>
      <c r="CB471" s="68"/>
      <c r="CC471" s="68"/>
      <c r="CD471" s="68"/>
      <c r="CE471" s="68"/>
      <c r="CF471" s="68"/>
      <c r="CG471" s="68"/>
      <c r="CH471" s="68"/>
      <c r="CI471" s="68"/>
      <c r="CJ471" s="68"/>
      <c r="CK471" s="68"/>
      <c r="CL471" s="68"/>
      <c r="CM471" s="68"/>
      <c r="CN471" s="68"/>
      <c r="CO471" s="68"/>
      <c r="CP471" s="68"/>
      <c r="CQ471" s="68"/>
      <c r="CR471" s="68"/>
      <c r="CS471" s="68"/>
      <c r="CT471" s="68"/>
      <c r="CU471" s="68"/>
      <c r="CV471" s="68"/>
      <c r="CW471" s="68"/>
      <c r="CX471" s="68"/>
      <c r="CY471" s="68"/>
      <c r="CZ471" s="68"/>
      <c r="DA471" s="68"/>
      <c r="DB471" s="68"/>
      <c r="DC471" s="68"/>
      <c r="DD471" s="68"/>
      <c r="DE471" s="68"/>
      <c r="DF471" s="68"/>
      <c r="DG471" s="68"/>
      <c r="DH471" s="68"/>
      <c r="DI471" s="68"/>
      <c r="DJ471" s="68"/>
      <c r="DK471" s="68"/>
      <c r="DL471" s="68"/>
      <c r="DM471" s="68"/>
      <c r="DN471" s="68"/>
      <c r="DO471" s="68"/>
      <c r="DP471" s="68"/>
      <c r="DQ471" s="68"/>
      <c r="DR471" s="68"/>
      <c r="DS471" s="68"/>
      <c r="DT471" s="68"/>
    </row>
    <row r="472" spans="1:124" ht="21.75" customHeight="1">
      <c r="A472" s="313"/>
      <c r="B472" s="232"/>
      <c r="C472" s="233"/>
      <c r="D472" s="234"/>
      <c r="E472" s="70"/>
      <c r="F472" s="65"/>
      <c r="G472" s="65"/>
      <c r="H472" s="65"/>
      <c r="I472" s="65"/>
      <c r="J472" s="65"/>
      <c r="K472" s="65"/>
      <c r="L472" s="65"/>
      <c r="M472" s="65"/>
      <c r="N472" s="65"/>
      <c r="O472" s="65"/>
      <c r="P472" s="65"/>
      <c r="Q472" s="65"/>
      <c r="R472" s="65"/>
      <c r="S472" s="65"/>
      <c r="T472" s="65"/>
      <c r="U472" s="65"/>
      <c r="V472" s="65"/>
      <c r="W472" s="65"/>
      <c r="X472" s="70"/>
      <c r="Y472" s="70"/>
      <c r="Z472" s="70"/>
      <c r="AA472" s="70"/>
      <c r="AB472" s="70"/>
      <c r="AC472" s="70"/>
      <c r="AD472" s="70"/>
      <c r="AE472" s="70"/>
      <c r="AF472" s="70"/>
      <c r="AG472" s="70"/>
      <c r="AH472" s="70"/>
      <c r="AI472" s="70"/>
      <c r="AJ472" s="70"/>
      <c r="AK472" s="70"/>
      <c r="AL472" s="70"/>
      <c r="AM472" s="70"/>
      <c r="AN472" s="70"/>
      <c r="AO472" s="70"/>
      <c r="AP472" s="65"/>
      <c r="AQ472" s="65"/>
      <c r="AR472" s="65"/>
      <c r="AS472" s="70"/>
      <c r="AT472" s="70"/>
      <c r="AU472" s="70"/>
      <c r="AV472" s="70"/>
      <c r="AW472" s="70"/>
      <c r="AX472" s="65"/>
      <c r="AY472" s="65"/>
      <c r="AZ472" s="65"/>
      <c r="BA472" s="65"/>
      <c r="BB472" s="65"/>
      <c r="BC472" s="65"/>
      <c r="BD472" s="65"/>
      <c r="BE472" s="65"/>
      <c r="BF472" s="65"/>
      <c r="BG472" s="65"/>
      <c r="BH472" s="65">
        <f>150/0.91</f>
        <v>164.83516483516482</v>
      </c>
      <c r="BI472" s="65"/>
      <c r="BJ472" s="65"/>
      <c r="BK472" s="65">
        <f>150/0.91</f>
        <v>164.83516483516482</v>
      </c>
      <c r="BL472" s="65"/>
      <c r="BM472" s="65"/>
      <c r="BN472" s="65">
        <f>160/0.91</f>
        <v>175.82417582417582</v>
      </c>
      <c r="BO472" s="65"/>
      <c r="BP472" s="65"/>
      <c r="BQ472" s="65"/>
      <c r="BR472" s="65"/>
      <c r="BS472" s="65"/>
      <c r="BT472" s="65"/>
      <c r="BU472" s="65"/>
      <c r="BV472" s="65"/>
      <c r="BW472" s="65"/>
      <c r="BX472" s="65"/>
      <c r="BY472" s="65"/>
      <c r="BZ472" s="65"/>
      <c r="CA472" s="65"/>
      <c r="CB472" s="65"/>
      <c r="CC472" s="65"/>
      <c r="CD472" s="65"/>
      <c r="CE472" s="65"/>
      <c r="CF472" s="65"/>
      <c r="CG472" s="65"/>
      <c r="CH472" s="65"/>
      <c r="CI472" s="65"/>
      <c r="CJ472" s="65"/>
      <c r="CK472" s="65"/>
      <c r="CL472" s="65"/>
      <c r="CM472" s="65"/>
      <c r="CN472" s="65"/>
      <c r="CO472" s="65"/>
      <c r="CP472" s="65"/>
      <c r="CQ472" s="65"/>
      <c r="CR472" s="65"/>
      <c r="CS472" s="65"/>
      <c r="CT472" s="65"/>
      <c r="CU472" s="65"/>
      <c r="CV472" s="65"/>
      <c r="CW472" s="65"/>
      <c r="CX472" s="65"/>
      <c r="CY472" s="65"/>
      <c r="CZ472" s="65"/>
      <c r="DA472" s="65"/>
      <c r="DB472" s="65"/>
      <c r="DC472" s="65"/>
      <c r="DD472" s="65"/>
      <c r="DE472" s="65"/>
      <c r="DF472" s="65"/>
      <c r="DG472" s="65"/>
      <c r="DH472" s="65"/>
      <c r="DI472" s="65"/>
      <c r="DJ472" s="65"/>
      <c r="DK472" s="65"/>
      <c r="DL472" s="65"/>
      <c r="DM472" s="65"/>
      <c r="DN472" s="65"/>
      <c r="DO472" s="65"/>
      <c r="DP472" s="65"/>
      <c r="DQ472" s="65"/>
      <c r="DR472" s="65"/>
      <c r="DS472" s="65"/>
      <c r="DT472" s="65"/>
    </row>
    <row r="473" spans="1:124" ht="21.75" customHeight="1">
      <c r="A473" s="313"/>
      <c r="B473" s="229" t="s">
        <v>453</v>
      </c>
      <c r="C473" s="230"/>
      <c r="D473" s="231"/>
      <c r="E473" s="69"/>
      <c r="F473" s="68"/>
      <c r="G473" s="68"/>
      <c r="H473" s="68"/>
      <c r="I473" s="68"/>
      <c r="J473" s="68"/>
      <c r="K473" s="68"/>
      <c r="L473" s="68"/>
      <c r="M473" s="68"/>
      <c r="N473" s="68"/>
      <c r="O473" s="68"/>
      <c r="P473" s="68"/>
      <c r="Q473" s="68"/>
      <c r="R473" s="68"/>
      <c r="S473" s="68"/>
      <c r="T473" s="68"/>
      <c r="U473" s="68"/>
      <c r="V473" s="68"/>
      <c r="W473" s="68"/>
      <c r="X473" s="69"/>
      <c r="Y473" s="69"/>
      <c r="Z473" s="69"/>
      <c r="AA473" s="69"/>
      <c r="AB473" s="69"/>
      <c r="AC473" s="69"/>
      <c r="AD473" s="69"/>
      <c r="AE473" s="69"/>
      <c r="AF473" s="69"/>
      <c r="AG473" s="69"/>
      <c r="AH473" s="69"/>
      <c r="AI473" s="69"/>
      <c r="AJ473" s="69"/>
      <c r="AK473" s="69"/>
      <c r="AL473" s="69"/>
      <c r="AM473" s="69"/>
      <c r="AN473" s="69"/>
      <c r="AO473" s="69"/>
      <c r="AP473" s="68"/>
      <c r="AQ473" s="68"/>
      <c r="AR473" s="68"/>
      <c r="AS473" s="69"/>
      <c r="AT473" s="69"/>
      <c r="AU473" s="69"/>
      <c r="AV473" s="69"/>
      <c r="AW473" s="69"/>
      <c r="AX473" s="68"/>
      <c r="AY473" s="68"/>
      <c r="AZ473" s="68"/>
      <c r="BA473" s="68"/>
      <c r="BB473" s="68"/>
      <c r="BC473" s="68"/>
      <c r="BD473" s="68"/>
      <c r="BE473" s="68"/>
      <c r="BF473" s="68"/>
      <c r="BG473" s="68" t="s">
        <v>395</v>
      </c>
      <c r="BH473" s="68"/>
      <c r="BI473" s="68"/>
      <c r="BJ473" s="68" t="s">
        <v>401</v>
      </c>
      <c r="BK473" s="68"/>
      <c r="BL473" s="68"/>
      <c r="BM473" s="68" t="s">
        <v>392</v>
      </c>
      <c r="BN473" s="68"/>
      <c r="BO473" s="68"/>
      <c r="BP473" s="68"/>
      <c r="BQ473" s="68"/>
      <c r="BR473" s="68"/>
      <c r="BS473" s="68"/>
      <c r="BT473" s="68"/>
      <c r="BU473" s="68"/>
      <c r="BV473" s="68"/>
      <c r="BW473" s="68"/>
      <c r="BX473" s="68"/>
      <c r="BY473" s="68"/>
      <c r="BZ473" s="68"/>
      <c r="CA473" s="68"/>
      <c r="CB473" s="68"/>
      <c r="CC473" s="68"/>
      <c r="CD473" s="68"/>
      <c r="CE473" s="68"/>
      <c r="CF473" s="68"/>
      <c r="CG473" s="68"/>
      <c r="CH473" s="68"/>
      <c r="CI473" s="68"/>
      <c r="CJ473" s="68"/>
      <c r="CK473" s="68"/>
      <c r="CL473" s="68"/>
      <c r="CM473" s="68"/>
      <c r="CN473" s="68"/>
      <c r="CO473" s="68"/>
      <c r="CP473" s="68"/>
      <c r="CQ473" s="68"/>
      <c r="CR473" s="68"/>
      <c r="CS473" s="68"/>
      <c r="CT473" s="68"/>
      <c r="CU473" s="68"/>
      <c r="CV473" s="68"/>
      <c r="CW473" s="68"/>
      <c r="CX473" s="68"/>
      <c r="CY473" s="68"/>
      <c r="CZ473" s="68"/>
      <c r="DA473" s="68"/>
      <c r="DB473" s="68"/>
      <c r="DC473" s="68"/>
      <c r="DD473" s="68"/>
      <c r="DE473" s="68"/>
      <c r="DF473" s="68"/>
      <c r="DG473" s="68"/>
      <c r="DH473" s="68"/>
      <c r="DI473" s="68"/>
      <c r="DJ473" s="68"/>
      <c r="DK473" s="68"/>
      <c r="DL473" s="68"/>
      <c r="DM473" s="68"/>
      <c r="DN473" s="68"/>
      <c r="DO473" s="68"/>
      <c r="DP473" s="68"/>
      <c r="DQ473" s="68"/>
      <c r="DR473" s="68"/>
      <c r="DS473" s="68"/>
      <c r="DT473" s="68"/>
    </row>
    <row r="474" spans="1:124" ht="21.75" customHeight="1">
      <c r="A474" s="313"/>
      <c r="B474" s="232"/>
      <c r="C474" s="233"/>
      <c r="D474" s="234"/>
      <c r="E474" s="70"/>
      <c r="F474" s="65"/>
      <c r="G474" s="65"/>
      <c r="H474" s="65"/>
      <c r="I474" s="65"/>
      <c r="J474" s="65"/>
      <c r="K474" s="65"/>
      <c r="L474" s="65"/>
      <c r="M474" s="65"/>
      <c r="N474" s="65"/>
      <c r="O474" s="65"/>
      <c r="P474" s="65"/>
      <c r="Q474" s="65"/>
      <c r="R474" s="65"/>
      <c r="S474" s="65"/>
      <c r="T474" s="65"/>
      <c r="U474" s="65"/>
      <c r="V474" s="65"/>
      <c r="W474" s="65"/>
      <c r="X474" s="70"/>
      <c r="Y474" s="70"/>
      <c r="Z474" s="70"/>
      <c r="AA474" s="70"/>
      <c r="AB474" s="70"/>
      <c r="AC474" s="70"/>
      <c r="AD474" s="70"/>
      <c r="AE474" s="70"/>
      <c r="AF474" s="70"/>
      <c r="AG474" s="70"/>
      <c r="AH474" s="70"/>
      <c r="AI474" s="70"/>
      <c r="AJ474" s="70"/>
      <c r="AK474" s="70"/>
      <c r="AL474" s="70"/>
      <c r="AM474" s="70"/>
      <c r="AN474" s="70"/>
      <c r="AO474" s="70"/>
      <c r="AP474" s="65"/>
      <c r="AQ474" s="65"/>
      <c r="AR474" s="65"/>
      <c r="AS474" s="70"/>
      <c r="AT474" s="70"/>
      <c r="AU474" s="70"/>
      <c r="AV474" s="70"/>
      <c r="AW474" s="70"/>
      <c r="AX474" s="65"/>
      <c r="AY474" s="65"/>
      <c r="AZ474" s="65"/>
      <c r="BA474" s="65"/>
      <c r="BB474" s="65"/>
      <c r="BC474" s="65"/>
      <c r="BD474" s="65"/>
      <c r="BE474" s="65"/>
      <c r="BF474" s="65"/>
      <c r="BG474" s="65">
        <f>70/0.785</f>
        <v>89.171974522292984</v>
      </c>
      <c r="BH474" s="65"/>
      <c r="BI474" s="65"/>
      <c r="BJ474" s="65">
        <f>80/0.835</f>
        <v>95.808383233532936</v>
      </c>
      <c r="BK474" s="65"/>
      <c r="BL474" s="65"/>
      <c r="BM474" s="65">
        <f>95/0.835</f>
        <v>113.77245508982037</v>
      </c>
      <c r="BN474" s="65"/>
      <c r="BO474" s="65"/>
      <c r="BP474" s="65"/>
      <c r="BQ474" s="65"/>
      <c r="BR474" s="65"/>
      <c r="BS474" s="65"/>
      <c r="BT474" s="65"/>
      <c r="BU474" s="65"/>
      <c r="BV474" s="65"/>
      <c r="BW474" s="65"/>
      <c r="BX474" s="65"/>
      <c r="BY474" s="65"/>
      <c r="BZ474" s="65"/>
      <c r="CA474" s="65"/>
      <c r="CB474" s="65"/>
      <c r="CC474" s="65"/>
      <c r="CD474" s="65"/>
      <c r="CE474" s="65"/>
      <c r="CF474" s="65"/>
      <c r="CG474" s="65"/>
      <c r="CH474" s="65"/>
      <c r="CI474" s="65"/>
      <c r="CJ474" s="65"/>
      <c r="CK474" s="65"/>
      <c r="CL474" s="65"/>
      <c r="CM474" s="65"/>
      <c r="CN474" s="65"/>
      <c r="CO474" s="65"/>
      <c r="CP474" s="65"/>
      <c r="CQ474" s="65"/>
      <c r="CR474" s="65"/>
      <c r="CS474" s="65"/>
      <c r="CT474" s="65"/>
      <c r="CU474" s="65"/>
      <c r="CV474" s="65"/>
      <c r="CW474" s="65"/>
      <c r="CX474" s="65"/>
      <c r="CY474" s="65"/>
      <c r="CZ474" s="65"/>
      <c r="DA474" s="65"/>
      <c r="DB474" s="65"/>
      <c r="DC474" s="65"/>
      <c r="DD474" s="65"/>
      <c r="DE474" s="65"/>
      <c r="DF474" s="65"/>
      <c r="DG474" s="65"/>
      <c r="DH474" s="65"/>
      <c r="DI474" s="65"/>
      <c r="DJ474" s="65"/>
      <c r="DK474" s="65"/>
      <c r="DL474" s="65"/>
      <c r="DM474" s="65"/>
      <c r="DN474" s="65"/>
      <c r="DO474" s="65"/>
      <c r="DP474" s="65"/>
      <c r="DQ474" s="65"/>
      <c r="DR474" s="65"/>
      <c r="DS474" s="65"/>
      <c r="DT474" s="65"/>
    </row>
    <row r="475" spans="1:124" ht="21.75" customHeight="1">
      <c r="A475" s="313"/>
      <c r="B475" s="229" t="s">
        <v>26</v>
      </c>
      <c r="C475" s="230"/>
      <c r="D475" s="231"/>
      <c r="E475" s="69"/>
      <c r="F475" s="68"/>
      <c r="G475" s="68"/>
      <c r="H475" s="68"/>
      <c r="I475" s="68"/>
      <c r="J475" s="68"/>
      <c r="K475" s="68"/>
      <c r="L475" s="68"/>
      <c r="M475" s="68"/>
      <c r="N475" s="68"/>
      <c r="O475" s="68"/>
      <c r="P475" s="68"/>
      <c r="Q475" s="68"/>
      <c r="R475" s="68"/>
      <c r="S475" s="68"/>
      <c r="T475" s="68"/>
      <c r="U475" s="68"/>
      <c r="V475" s="68"/>
      <c r="W475" s="68"/>
      <c r="X475" s="69"/>
      <c r="Y475" s="69"/>
      <c r="Z475" s="69"/>
      <c r="AA475" s="69"/>
      <c r="AB475" s="69" t="s">
        <v>399</v>
      </c>
      <c r="AC475" s="69"/>
      <c r="AD475" s="94" t="s">
        <v>11</v>
      </c>
      <c r="AE475" s="69"/>
      <c r="AF475" s="69"/>
      <c r="AG475" s="69"/>
      <c r="AH475" s="69"/>
      <c r="AI475" s="69"/>
      <c r="AJ475" s="69"/>
      <c r="AK475" s="69"/>
      <c r="AL475" s="69"/>
      <c r="AM475" s="69"/>
      <c r="AN475" s="69" t="s">
        <v>376</v>
      </c>
      <c r="AO475" s="94" t="s">
        <v>11</v>
      </c>
      <c r="AP475" s="68"/>
      <c r="AQ475" s="68"/>
      <c r="AR475" s="68"/>
      <c r="AS475" s="69"/>
      <c r="AT475" s="69"/>
      <c r="AU475" s="69"/>
      <c r="AV475" s="69"/>
      <c r="AW475" s="69"/>
      <c r="AX475" s="68"/>
      <c r="AY475" s="68"/>
      <c r="AZ475" s="68"/>
      <c r="BA475" s="68"/>
      <c r="BB475" s="68"/>
      <c r="BC475" s="68"/>
      <c r="BD475" s="68"/>
      <c r="BE475" s="68"/>
      <c r="BF475" s="68"/>
      <c r="BG475" s="68"/>
      <c r="BH475" s="68"/>
      <c r="BI475" s="68"/>
      <c r="BJ475" s="68"/>
      <c r="BK475" s="68"/>
      <c r="BL475" s="68"/>
      <c r="BM475" s="68"/>
      <c r="BN475" s="68"/>
      <c r="BO475" s="68"/>
      <c r="BP475" s="68" t="s">
        <v>382</v>
      </c>
      <c r="BQ475" s="68"/>
      <c r="BR475" s="68"/>
      <c r="BS475" s="68" t="s">
        <v>550</v>
      </c>
      <c r="BT475" s="68"/>
      <c r="BU475" s="68"/>
      <c r="BV475" s="62" t="s">
        <v>497</v>
      </c>
      <c r="BW475" s="68"/>
      <c r="BX475" s="68"/>
      <c r="BY475" s="68"/>
      <c r="BZ475" s="68"/>
      <c r="CA475" s="68"/>
      <c r="CB475" s="68"/>
      <c r="CC475" s="68"/>
      <c r="CD475" s="68"/>
      <c r="CE475" s="68"/>
      <c r="CF475" s="68"/>
      <c r="CG475" s="68"/>
      <c r="CH475" s="68"/>
      <c r="CI475" s="68"/>
      <c r="CJ475" s="68"/>
      <c r="CK475" s="68"/>
      <c r="CL475" s="68"/>
      <c r="CM475" s="68"/>
      <c r="CN475" s="68"/>
      <c r="CO475" s="68"/>
      <c r="CP475" s="68"/>
      <c r="CQ475" s="68"/>
      <c r="CR475" s="68"/>
      <c r="CS475" s="68"/>
      <c r="CT475" s="68"/>
      <c r="CU475" s="68"/>
      <c r="CV475" s="68"/>
      <c r="CW475" s="68"/>
      <c r="CX475" s="68"/>
      <c r="CY475" s="68"/>
      <c r="CZ475" s="68"/>
      <c r="DA475" s="68"/>
      <c r="DB475" s="68"/>
      <c r="DC475" s="68"/>
      <c r="DD475" s="68"/>
      <c r="DE475" s="68"/>
      <c r="DF475" s="68"/>
      <c r="DG475" s="68"/>
      <c r="DH475" s="68"/>
      <c r="DI475" s="68"/>
      <c r="DJ475" s="68"/>
      <c r="DK475" s="68"/>
      <c r="DL475" s="68"/>
      <c r="DM475" s="68"/>
      <c r="DN475" s="68"/>
      <c r="DO475" s="68"/>
      <c r="DP475" s="68"/>
      <c r="DQ475" s="68"/>
      <c r="DR475" s="68"/>
      <c r="DS475" s="68"/>
      <c r="DT475" s="68"/>
    </row>
    <row r="476" spans="1:124" ht="21.75" customHeight="1">
      <c r="A476" s="313"/>
      <c r="B476" s="232"/>
      <c r="C476" s="233"/>
      <c r="D476" s="234"/>
      <c r="E476" s="70"/>
      <c r="F476" s="65"/>
      <c r="G476" s="65"/>
      <c r="H476" s="65"/>
      <c r="I476" s="65"/>
      <c r="J476" s="65"/>
      <c r="K476" s="65"/>
      <c r="L476" s="65"/>
      <c r="M476" s="65"/>
      <c r="N476" s="65"/>
      <c r="O476" s="65"/>
      <c r="P476" s="65"/>
      <c r="Q476" s="65"/>
      <c r="R476" s="65"/>
      <c r="S476" s="65"/>
      <c r="T476" s="65"/>
      <c r="U476" s="65"/>
      <c r="V476" s="65"/>
      <c r="W476" s="65"/>
      <c r="X476" s="70"/>
      <c r="Y476" s="70"/>
      <c r="Z476" s="70"/>
      <c r="AA476" s="70"/>
      <c r="AB476" s="70">
        <f>80/0.885</f>
        <v>90.395480225988706</v>
      </c>
      <c r="AC476" s="70"/>
      <c r="AD476" s="72">
        <v>90</v>
      </c>
      <c r="AE476" s="70"/>
      <c r="AF476" s="70"/>
      <c r="AG476" s="70"/>
      <c r="AH476" s="70"/>
      <c r="AI476" s="70"/>
      <c r="AJ476" s="70"/>
      <c r="AK476" s="70"/>
      <c r="AL476" s="70"/>
      <c r="AM476" s="70"/>
      <c r="AN476" s="70">
        <f>90/0.91</f>
        <v>98.901098901098891</v>
      </c>
      <c r="AO476" s="72">
        <v>90</v>
      </c>
      <c r="AP476" s="65"/>
      <c r="AQ476" s="65"/>
      <c r="AR476" s="65"/>
      <c r="AS476" s="70"/>
      <c r="AT476" s="70"/>
      <c r="AU476" s="70"/>
      <c r="AV476" s="70"/>
      <c r="AW476" s="70"/>
      <c r="AX476" s="65"/>
      <c r="AY476" s="65"/>
      <c r="AZ476" s="65"/>
      <c r="BA476" s="65"/>
      <c r="BB476" s="65"/>
      <c r="BC476" s="65"/>
      <c r="BD476" s="65"/>
      <c r="BE476" s="65"/>
      <c r="BF476" s="65"/>
      <c r="BG476" s="65"/>
      <c r="BH476" s="65"/>
      <c r="BI476" s="65"/>
      <c r="BJ476" s="65"/>
      <c r="BK476" s="65"/>
      <c r="BL476" s="65"/>
      <c r="BM476" s="65"/>
      <c r="BN476" s="65"/>
      <c r="BO476" s="65"/>
      <c r="BP476" s="65">
        <f>90/0.885</f>
        <v>101.69491525423729</v>
      </c>
      <c r="BQ476" s="65"/>
      <c r="BR476" s="65"/>
      <c r="BS476" s="65">
        <f>95/0.91</f>
        <v>104.39560439560439</v>
      </c>
      <c r="BT476" s="65"/>
      <c r="BU476" s="65"/>
      <c r="BV476" s="67">
        <v>105</v>
      </c>
      <c r="BW476" s="65"/>
      <c r="BX476" s="65"/>
      <c r="BY476" s="65"/>
      <c r="BZ476" s="65"/>
      <c r="CA476" s="65"/>
      <c r="CB476" s="65"/>
      <c r="CC476" s="65"/>
      <c r="CD476" s="65"/>
      <c r="CE476" s="65"/>
      <c r="CF476" s="65"/>
      <c r="CG476" s="65"/>
      <c r="CH476" s="65"/>
      <c r="CI476" s="65"/>
      <c r="CJ476" s="65"/>
      <c r="CK476" s="65"/>
      <c r="CL476" s="65"/>
      <c r="CM476" s="65"/>
      <c r="CN476" s="65"/>
      <c r="CO476" s="65"/>
      <c r="CP476" s="65"/>
      <c r="CQ476" s="65"/>
      <c r="CR476" s="65"/>
      <c r="CS476" s="65"/>
      <c r="CT476" s="65"/>
      <c r="CU476" s="65"/>
      <c r="CV476" s="65"/>
      <c r="CW476" s="65"/>
      <c r="CX476" s="65"/>
      <c r="CY476" s="65"/>
      <c r="CZ476" s="65"/>
      <c r="DA476" s="65"/>
      <c r="DB476" s="65"/>
      <c r="DC476" s="65"/>
      <c r="DD476" s="65"/>
      <c r="DE476" s="65"/>
      <c r="DF476" s="65"/>
      <c r="DG476" s="65"/>
      <c r="DH476" s="65"/>
      <c r="DI476" s="65"/>
      <c r="DJ476" s="65"/>
      <c r="DK476" s="65"/>
      <c r="DL476" s="65"/>
      <c r="DM476" s="65"/>
      <c r="DN476" s="65"/>
      <c r="DO476" s="65"/>
      <c r="DP476" s="65"/>
      <c r="DQ476" s="65"/>
      <c r="DR476" s="65"/>
      <c r="DS476" s="65"/>
      <c r="DT476" s="65"/>
    </row>
    <row r="477" spans="1:124" ht="21.75" customHeight="1">
      <c r="A477" s="313"/>
      <c r="B477" s="229" t="s">
        <v>53</v>
      </c>
      <c r="C477" s="230"/>
      <c r="D477" s="231"/>
      <c r="E477" s="69"/>
      <c r="F477" s="68"/>
      <c r="G477" s="68"/>
      <c r="H477" s="68"/>
      <c r="I477" s="68"/>
      <c r="J477" s="68"/>
      <c r="K477" s="68"/>
      <c r="L477" s="68"/>
      <c r="M477" s="68"/>
      <c r="N477" s="68"/>
      <c r="O477" s="68"/>
      <c r="P477" s="68"/>
      <c r="Q477" s="68"/>
      <c r="R477" s="68"/>
      <c r="S477" s="68"/>
      <c r="T477" s="68"/>
      <c r="U477" s="68"/>
      <c r="V477" s="68"/>
      <c r="W477" s="68"/>
      <c r="X477" s="69"/>
      <c r="Y477" s="69"/>
      <c r="Z477" s="69" t="s">
        <v>401</v>
      </c>
      <c r="AA477" s="69"/>
      <c r="AB477" s="69"/>
      <c r="AC477" s="69"/>
      <c r="AD477" s="69"/>
      <c r="AE477" s="69"/>
      <c r="AF477" s="69"/>
      <c r="AG477" s="69"/>
      <c r="AH477" s="69"/>
      <c r="AI477" s="69"/>
      <c r="AJ477" s="69"/>
      <c r="AK477" s="69"/>
      <c r="AL477" s="69"/>
      <c r="AM477" s="69"/>
      <c r="AN477" s="69"/>
      <c r="AO477" s="69"/>
      <c r="AP477" s="68"/>
      <c r="AQ477" s="68"/>
      <c r="AR477" s="68"/>
      <c r="AS477" s="69"/>
      <c r="AT477" s="69"/>
      <c r="AU477" s="69"/>
      <c r="AV477" s="69"/>
      <c r="AW477" s="69"/>
      <c r="AX477" s="68"/>
      <c r="AY477" s="68"/>
      <c r="AZ477" s="68"/>
      <c r="BA477" s="68"/>
      <c r="BB477" s="68"/>
      <c r="BC477" s="68"/>
      <c r="BD477" s="68"/>
      <c r="BE477" s="68"/>
      <c r="BF477" s="68"/>
      <c r="BG477" s="68"/>
      <c r="BH477" s="68"/>
      <c r="BI477" s="68"/>
      <c r="BJ477" s="68"/>
      <c r="BK477" s="68"/>
      <c r="BL477" s="68"/>
      <c r="BM477" s="68"/>
      <c r="BN477" s="68"/>
      <c r="BO477" s="68"/>
      <c r="BP477" s="68"/>
      <c r="BQ477" s="68"/>
      <c r="BR477" s="68"/>
      <c r="BS477" s="68"/>
      <c r="BT477" s="68"/>
      <c r="BU477" s="68"/>
      <c r="BV477" s="68"/>
      <c r="BW477" s="68"/>
      <c r="BX477" s="68"/>
      <c r="BY477" s="68"/>
      <c r="BZ477" s="68"/>
      <c r="CA477" s="68"/>
      <c r="CB477" s="68"/>
      <c r="CC477" s="68"/>
      <c r="CD477" s="68"/>
      <c r="CE477" s="68"/>
      <c r="CF477" s="68"/>
      <c r="CG477" s="68"/>
      <c r="CH477" s="68"/>
      <c r="CI477" s="68"/>
      <c r="CJ477" s="68"/>
      <c r="CK477" s="68"/>
      <c r="CL477" s="68"/>
      <c r="CM477" s="68"/>
      <c r="CN477" s="68"/>
      <c r="CO477" s="68"/>
      <c r="CP477" s="68"/>
      <c r="CQ477" s="68"/>
      <c r="CR477" s="68"/>
      <c r="CS477" s="68"/>
      <c r="CT477" s="68"/>
      <c r="CU477" s="68"/>
      <c r="CV477" s="68"/>
      <c r="CW477" s="68"/>
      <c r="CX477" s="68"/>
      <c r="CY477" s="68"/>
      <c r="CZ477" s="68"/>
      <c r="DA477" s="68"/>
      <c r="DB477" s="68"/>
      <c r="DC477" s="68"/>
      <c r="DD477" s="68"/>
      <c r="DE477" s="68"/>
      <c r="DF477" s="68"/>
      <c r="DG477" s="68"/>
      <c r="DH477" s="68"/>
      <c r="DI477" s="68"/>
      <c r="DJ477" s="68"/>
      <c r="DK477" s="68"/>
      <c r="DL477" s="68"/>
      <c r="DM477" s="68"/>
      <c r="DN477" s="68"/>
      <c r="DO477" s="68"/>
      <c r="DP477" s="68"/>
      <c r="DQ477" s="68"/>
      <c r="DR477" s="68"/>
      <c r="DS477" s="68"/>
      <c r="DT477" s="68"/>
    </row>
    <row r="478" spans="1:124" ht="21.75" customHeight="1">
      <c r="A478" s="313"/>
      <c r="B478" s="232"/>
      <c r="C478" s="233"/>
      <c r="D478" s="234"/>
      <c r="E478" s="70"/>
      <c r="F478" s="65"/>
      <c r="G478" s="65"/>
      <c r="H478" s="65"/>
      <c r="I478" s="65"/>
      <c r="J478" s="65"/>
      <c r="K478" s="65"/>
      <c r="L478" s="65"/>
      <c r="M478" s="65"/>
      <c r="N478" s="65"/>
      <c r="O478" s="65"/>
      <c r="P478" s="65"/>
      <c r="Q478" s="65"/>
      <c r="R478" s="65"/>
      <c r="S478" s="65"/>
      <c r="T478" s="65"/>
      <c r="U478" s="65"/>
      <c r="V478" s="65"/>
      <c r="W478" s="65"/>
      <c r="X478" s="70"/>
      <c r="Y478" s="70"/>
      <c r="Z478" s="70">
        <f>80/0.835</f>
        <v>95.808383233532936</v>
      </c>
      <c r="AA478" s="70"/>
      <c r="AB478" s="70"/>
      <c r="AC478" s="70"/>
      <c r="AD478" s="70"/>
      <c r="AE478" s="70"/>
      <c r="AF478" s="70"/>
      <c r="AG478" s="70"/>
      <c r="AH478" s="70"/>
      <c r="AI478" s="70"/>
      <c r="AJ478" s="70"/>
      <c r="AK478" s="70"/>
      <c r="AL478" s="70"/>
      <c r="AM478" s="70"/>
      <c r="AN478" s="70"/>
      <c r="AO478" s="70"/>
      <c r="AP478" s="65"/>
      <c r="AQ478" s="65"/>
      <c r="AR478" s="65"/>
      <c r="AS478" s="70"/>
      <c r="AT478" s="70"/>
      <c r="AU478" s="70"/>
      <c r="AV478" s="70"/>
      <c r="AW478" s="70"/>
      <c r="AX478" s="65"/>
      <c r="AY478" s="65"/>
      <c r="AZ478" s="65"/>
      <c r="BA478" s="65"/>
      <c r="BB478" s="65"/>
      <c r="BC478" s="65"/>
      <c r="BD478" s="65"/>
      <c r="BE478" s="65"/>
      <c r="BF478" s="65"/>
      <c r="BG478" s="65"/>
      <c r="BH478" s="65"/>
      <c r="BI478" s="65"/>
      <c r="BJ478" s="65"/>
      <c r="BK478" s="65"/>
      <c r="BL478" s="65"/>
      <c r="BM478" s="65"/>
      <c r="BN478" s="65"/>
      <c r="BO478" s="65"/>
      <c r="BP478" s="65"/>
      <c r="BQ478" s="65"/>
      <c r="BR478" s="65"/>
      <c r="BS478" s="65"/>
      <c r="BT478" s="65"/>
      <c r="BU478" s="65"/>
      <c r="BV478" s="65"/>
      <c r="BW478" s="65"/>
      <c r="BX478" s="65"/>
      <c r="BY478" s="65"/>
      <c r="BZ478" s="65"/>
      <c r="CA478" s="65"/>
      <c r="CB478" s="65"/>
      <c r="CC478" s="65"/>
      <c r="CD478" s="65"/>
      <c r="CE478" s="65"/>
      <c r="CF478" s="65"/>
      <c r="CG478" s="65"/>
      <c r="CH478" s="65"/>
      <c r="CI478" s="65"/>
      <c r="CJ478" s="65"/>
      <c r="CK478" s="65"/>
      <c r="CL478" s="65"/>
      <c r="CM478" s="65"/>
      <c r="CN478" s="65"/>
      <c r="CO478" s="65"/>
      <c r="CP478" s="65"/>
      <c r="CQ478" s="65"/>
      <c r="CR478" s="65"/>
      <c r="CS478" s="65"/>
      <c r="CT478" s="65"/>
      <c r="CU478" s="65"/>
      <c r="CV478" s="65"/>
      <c r="CW478" s="65"/>
      <c r="CX478" s="65"/>
      <c r="CY478" s="65"/>
      <c r="CZ478" s="65"/>
      <c r="DA478" s="65"/>
      <c r="DB478" s="65"/>
      <c r="DC478" s="65"/>
      <c r="DD478" s="65"/>
      <c r="DE478" s="65"/>
      <c r="DF478" s="65"/>
      <c r="DG478" s="65"/>
      <c r="DH478" s="65"/>
      <c r="DI478" s="65"/>
      <c r="DJ478" s="65"/>
      <c r="DK478" s="65"/>
      <c r="DL478" s="65"/>
      <c r="DM478" s="65"/>
      <c r="DN478" s="65"/>
      <c r="DO478" s="65"/>
      <c r="DP478" s="65"/>
      <c r="DQ478" s="65"/>
      <c r="DR478" s="65"/>
      <c r="DS478" s="65"/>
      <c r="DT478" s="65"/>
    </row>
    <row r="479" spans="1:124" ht="21.75" customHeight="1">
      <c r="A479" s="313"/>
      <c r="B479" s="229" t="s">
        <v>46</v>
      </c>
      <c r="C479" s="230"/>
      <c r="D479" s="231"/>
      <c r="E479" s="69"/>
      <c r="F479" s="68"/>
      <c r="G479" s="68"/>
      <c r="H479" s="68"/>
      <c r="I479" s="68"/>
      <c r="J479" s="68"/>
      <c r="K479" s="68"/>
      <c r="L479" s="68"/>
      <c r="M479" s="68"/>
      <c r="N479" s="68"/>
      <c r="O479" s="68"/>
      <c r="P479" s="68"/>
      <c r="Q479" s="68"/>
      <c r="R479" s="68"/>
      <c r="S479" s="68"/>
      <c r="T479" s="68"/>
      <c r="U479" s="68"/>
      <c r="V479" s="68"/>
      <c r="W479" s="68"/>
      <c r="X479" s="69"/>
      <c r="Y479" s="69"/>
      <c r="Z479" s="69"/>
      <c r="AA479" s="69"/>
      <c r="AB479" s="69"/>
      <c r="AC479" s="69"/>
      <c r="AD479" s="69"/>
      <c r="AE479" s="69"/>
      <c r="AF479" s="69"/>
      <c r="AG479" s="69"/>
      <c r="AH479" s="69" t="s">
        <v>400</v>
      </c>
      <c r="AI479" s="69"/>
      <c r="AJ479" s="69"/>
      <c r="AK479" s="69" t="s">
        <v>384</v>
      </c>
      <c r="AL479" s="69"/>
      <c r="AM479" s="69"/>
      <c r="AN479" s="69"/>
      <c r="AO479" s="69"/>
      <c r="AP479" s="68"/>
      <c r="AQ479" s="68"/>
      <c r="AR479" s="68" t="s">
        <v>402</v>
      </c>
      <c r="AS479" s="69"/>
      <c r="AT479" s="69"/>
      <c r="AU479" s="69"/>
      <c r="AV479" s="69"/>
      <c r="AW479" s="69"/>
      <c r="AX479" s="68" t="s">
        <v>378</v>
      </c>
      <c r="AY479" s="68"/>
      <c r="AZ479" s="68"/>
      <c r="BA479" s="68"/>
      <c r="BB479" s="68"/>
      <c r="BC479" s="68"/>
      <c r="BD479" s="68"/>
      <c r="BE479" s="68"/>
      <c r="BF479" s="68"/>
      <c r="BG479" s="68" t="s">
        <v>378</v>
      </c>
      <c r="BH479" s="68"/>
      <c r="BI479" s="68"/>
      <c r="BJ479" s="68" t="s">
        <v>378</v>
      </c>
      <c r="BK479" s="68"/>
      <c r="BL479" s="68"/>
      <c r="BM479" s="68" t="s">
        <v>382</v>
      </c>
      <c r="BN479" s="68"/>
      <c r="BO479" s="68"/>
      <c r="BP479" s="68"/>
      <c r="BQ479" s="68"/>
      <c r="BR479" s="68"/>
      <c r="BS479" s="68"/>
      <c r="BT479" s="68" t="s">
        <v>384</v>
      </c>
      <c r="BU479" s="68"/>
      <c r="BV479" s="68"/>
      <c r="BW479" s="68"/>
      <c r="BX479" s="68"/>
      <c r="BY479" s="68"/>
      <c r="BZ479" s="68"/>
      <c r="CA479" s="68"/>
      <c r="CB479" s="68"/>
      <c r="CC479" s="68"/>
      <c r="CD479" s="68"/>
      <c r="CE479" s="68"/>
      <c r="CF479" s="68"/>
      <c r="CG479" s="68"/>
      <c r="CH479" s="68"/>
      <c r="CI479" s="68"/>
      <c r="CJ479" s="68"/>
      <c r="CK479" s="68"/>
      <c r="CL479" s="68"/>
      <c r="CM479" s="68"/>
      <c r="CN479" s="68"/>
      <c r="CO479" s="68"/>
      <c r="CP479" s="68"/>
      <c r="CQ479" s="68"/>
      <c r="CR479" s="68"/>
      <c r="CS479" s="68"/>
      <c r="CT479" s="68"/>
      <c r="CU479" s="68"/>
      <c r="CV479" s="68"/>
      <c r="CW479" s="68"/>
      <c r="CX479" s="68"/>
      <c r="CY479" s="68"/>
      <c r="CZ479" s="68"/>
      <c r="DA479" s="68"/>
      <c r="DB479" s="68"/>
      <c r="DC479" s="68"/>
      <c r="DD479" s="68"/>
      <c r="DE479" s="68"/>
      <c r="DF479" s="68"/>
      <c r="DG479" s="68"/>
      <c r="DH479" s="68"/>
      <c r="DI479" s="68"/>
      <c r="DJ479" s="68"/>
      <c r="DK479" s="68"/>
      <c r="DL479" s="68"/>
      <c r="DM479" s="68"/>
      <c r="DN479" s="68"/>
      <c r="DO479" s="68"/>
      <c r="DP479" s="68"/>
      <c r="DQ479" s="68"/>
      <c r="DR479" s="68"/>
      <c r="DS479" s="68"/>
      <c r="DT479" s="68"/>
    </row>
    <row r="480" spans="1:124" ht="21.75" customHeight="1">
      <c r="A480" s="313"/>
      <c r="B480" s="232"/>
      <c r="C480" s="233"/>
      <c r="D480" s="234"/>
      <c r="E480" s="70"/>
      <c r="F480" s="65"/>
      <c r="G480" s="65"/>
      <c r="H480" s="65"/>
      <c r="I480" s="65"/>
      <c r="J480" s="65"/>
      <c r="K480" s="65"/>
      <c r="L480" s="65"/>
      <c r="M480" s="65"/>
      <c r="N480" s="65"/>
      <c r="O480" s="65"/>
      <c r="P480" s="65"/>
      <c r="Q480" s="65"/>
      <c r="R480" s="65"/>
      <c r="S480" s="65"/>
      <c r="T480" s="65"/>
      <c r="U480" s="65"/>
      <c r="V480" s="65"/>
      <c r="W480" s="65"/>
      <c r="X480" s="70"/>
      <c r="Y480" s="70"/>
      <c r="Z480" s="70"/>
      <c r="AA480" s="70"/>
      <c r="AB480" s="70"/>
      <c r="AC480" s="70"/>
      <c r="AD480" s="70"/>
      <c r="AE480" s="70"/>
      <c r="AF480" s="70"/>
      <c r="AG480" s="70"/>
      <c r="AH480" s="70">
        <f>75/0.885</f>
        <v>84.745762711864401</v>
      </c>
      <c r="AI480" s="70"/>
      <c r="AJ480" s="70"/>
      <c r="AK480" s="70">
        <f>90/0.91</f>
        <v>98.901098901098891</v>
      </c>
      <c r="AL480" s="70"/>
      <c r="AM480" s="70"/>
      <c r="AN480" s="70"/>
      <c r="AO480" s="70"/>
      <c r="AP480" s="65"/>
      <c r="AQ480" s="65"/>
      <c r="AR480" s="65">
        <f>85/0.935</f>
        <v>90.909090909090907</v>
      </c>
      <c r="AS480" s="70"/>
      <c r="AT480" s="70"/>
      <c r="AU480" s="70"/>
      <c r="AV480" s="70"/>
      <c r="AW480" s="70"/>
      <c r="AX480" s="65">
        <f>80/0.86</f>
        <v>93.023255813953483</v>
      </c>
      <c r="AY480" s="65"/>
      <c r="AZ480" s="65"/>
      <c r="BA480" s="65"/>
      <c r="BB480" s="65"/>
      <c r="BC480" s="65"/>
      <c r="BD480" s="65"/>
      <c r="BE480" s="65"/>
      <c r="BF480" s="65"/>
      <c r="BG480" s="65">
        <f>85/0.86</f>
        <v>98.83720930232559</v>
      </c>
      <c r="BH480" s="65"/>
      <c r="BI480" s="65"/>
      <c r="BJ480" s="65">
        <f>85/0.86</f>
        <v>98.83720930232559</v>
      </c>
      <c r="BK480" s="65"/>
      <c r="BL480" s="65"/>
      <c r="BM480" s="65">
        <f>85/0.885</f>
        <v>96.045197740112997</v>
      </c>
      <c r="BN480" s="65"/>
      <c r="BO480" s="65"/>
      <c r="BP480" s="65"/>
      <c r="BQ480" s="65"/>
      <c r="BR480" s="65"/>
      <c r="BS480" s="65"/>
      <c r="BT480" s="65">
        <f>90/0.91</f>
        <v>98.901098901098891</v>
      </c>
      <c r="BU480" s="65"/>
      <c r="BV480" s="65"/>
      <c r="BW480" s="65"/>
      <c r="BX480" s="65"/>
      <c r="BY480" s="65"/>
      <c r="BZ480" s="65"/>
      <c r="CA480" s="65"/>
      <c r="CB480" s="65"/>
      <c r="CC480" s="65"/>
      <c r="CD480" s="65"/>
      <c r="CE480" s="65"/>
      <c r="CF480" s="65"/>
      <c r="CG480" s="65"/>
      <c r="CH480" s="65"/>
      <c r="CI480" s="65"/>
      <c r="CJ480" s="65"/>
      <c r="CK480" s="65"/>
      <c r="CL480" s="65"/>
      <c r="CM480" s="65"/>
      <c r="CN480" s="65"/>
      <c r="CO480" s="65"/>
      <c r="CP480" s="65"/>
      <c r="CQ480" s="65"/>
      <c r="CR480" s="65"/>
      <c r="CS480" s="65"/>
      <c r="CT480" s="65"/>
      <c r="CU480" s="65"/>
      <c r="CV480" s="65"/>
      <c r="CW480" s="65"/>
      <c r="CX480" s="65"/>
      <c r="CY480" s="65"/>
      <c r="CZ480" s="65"/>
      <c r="DA480" s="65"/>
      <c r="DB480" s="65"/>
      <c r="DC480" s="65"/>
      <c r="DD480" s="65"/>
      <c r="DE480" s="65"/>
      <c r="DF480" s="65"/>
      <c r="DG480" s="65"/>
      <c r="DH480" s="65"/>
      <c r="DI480" s="65"/>
      <c r="DJ480" s="65"/>
      <c r="DK480" s="65"/>
      <c r="DL480" s="65"/>
      <c r="DM480" s="65"/>
      <c r="DN480" s="65"/>
      <c r="DO480" s="65"/>
      <c r="DP480" s="65"/>
      <c r="DQ480" s="65"/>
      <c r="DR480" s="65"/>
      <c r="DS480" s="65"/>
      <c r="DT480" s="65"/>
    </row>
    <row r="481" spans="1:124" ht="21.75" customHeight="1">
      <c r="A481" s="313"/>
      <c r="B481" s="229" t="s">
        <v>50</v>
      </c>
      <c r="C481" s="230"/>
      <c r="D481" s="231"/>
      <c r="E481" s="69"/>
      <c r="F481" s="68"/>
      <c r="G481" s="68"/>
      <c r="H481" s="68"/>
      <c r="I481" s="68"/>
      <c r="J481" s="68"/>
      <c r="K481" s="68"/>
      <c r="L481" s="68"/>
      <c r="M481" s="68"/>
      <c r="N481" s="68"/>
      <c r="O481" s="68"/>
      <c r="P481" s="68"/>
      <c r="Q481" s="68"/>
      <c r="R481" s="68"/>
      <c r="S481" s="68"/>
      <c r="T481" s="68"/>
      <c r="U481" s="68"/>
      <c r="V481" s="68"/>
      <c r="W481" s="68"/>
      <c r="X481" s="69"/>
      <c r="Y481" s="69" t="s">
        <v>509</v>
      </c>
      <c r="Z481" s="69"/>
      <c r="AA481" s="69"/>
      <c r="AB481" s="69"/>
      <c r="AC481" s="69" t="s">
        <v>383</v>
      </c>
      <c r="AD481" s="69"/>
      <c r="AE481" s="69" t="s">
        <v>378</v>
      </c>
      <c r="AF481" s="69"/>
      <c r="AG481" s="69"/>
      <c r="AH481" s="69"/>
      <c r="AI481" s="69"/>
      <c r="AJ481" s="69"/>
      <c r="AK481" s="69"/>
      <c r="AL481" s="69"/>
      <c r="AM481" s="69"/>
      <c r="AN481" s="69"/>
      <c r="AO481" s="69"/>
      <c r="AP481" s="68"/>
      <c r="AQ481" s="68"/>
      <c r="AR481" s="68"/>
      <c r="AS481" s="69"/>
      <c r="AT481" s="69"/>
      <c r="AU481" s="69"/>
      <c r="AV481" s="69"/>
      <c r="AW481" s="69"/>
      <c r="AX481" s="68"/>
      <c r="AY481" s="68"/>
      <c r="AZ481" s="68"/>
      <c r="BA481" s="68"/>
      <c r="BB481" s="68"/>
      <c r="BC481" s="68"/>
      <c r="BD481" s="68"/>
      <c r="BE481" s="68"/>
      <c r="BF481" s="68"/>
      <c r="BG481" s="68"/>
      <c r="BH481" s="68"/>
      <c r="BI481" s="68"/>
      <c r="BJ481" s="68"/>
      <c r="BK481" s="68"/>
      <c r="BL481" s="68"/>
      <c r="BM481" s="68"/>
      <c r="BN481" s="68"/>
      <c r="BO481" s="68"/>
      <c r="BP481" s="68"/>
      <c r="BQ481" s="68"/>
      <c r="BR481" s="68"/>
      <c r="BS481" s="68"/>
      <c r="BT481" s="68"/>
      <c r="BU481" s="68"/>
      <c r="BV481" s="68"/>
      <c r="BW481" s="68"/>
      <c r="BX481" s="68"/>
      <c r="BY481" s="68"/>
      <c r="BZ481" s="68"/>
      <c r="CA481" s="68"/>
      <c r="CB481" s="68"/>
      <c r="CC481" s="68"/>
      <c r="CD481" s="68"/>
      <c r="CE481" s="68"/>
      <c r="CF481" s="68"/>
      <c r="CG481" s="68"/>
      <c r="CH481" s="68"/>
      <c r="CI481" s="68"/>
      <c r="CJ481" s="68"/>
      <c r="CK481" s="68"/>
      <c r="CL481" s="68"/>
      <c r="CM481" s="68"/>
      <c r="CN481" s="68"/>
      <c r="CO481" s="68"/>
      <c r="CP481" s="68"/>
      <c r="CQ481" s="68"/>
      <c r="CR481" s="68"/>
      <c r="CS481" s="68"/>
      <c r="CT481" s="68"/>
      <c r="CU481" s="68"/>
      <c r="CV481" s="68"/>
      <c r="CW481" s="68"/>
      <c r="CX481" s="68"/>
      <c r="CY481" s="68"/>
      <c r="CZ481" s="68"/>
      <c r="DA481" s="68"/>
      <c r="DB481" s="68"/>
      <c r="DC481" s="68"/>
      <c r="DD481" s="68"/>
      <c r="DE481" s="68"/>
      <c r="DF481" s="68"/>
      <c r="DG481" s="68"/>
      <c r="DH481" s="68"/>
      <c r="DI481" s="68"/>
      <c r="DJ481" s="68"/>
      <c r="DK481" s="68"/>
      <c r="DL481" s="68"/>
      <c r="DM481" s="68"/>
      <c r="DN481" s="68"/>
      <c r="DO481" s="68"/>
      <c r="DP481" s="68"/>
      <c r="DQ481" s="68"/>
      <c r="DR481" s="68"/>
      <c r="DS481" s="68"/>
      <c r="DT481" s="68"/>
    </row>
    <row r="482" spans="1:124" ht="21.75" customHeight="1">
      <c r="A482" s="313"/>
      <c r="B482" s="232"/>
      <c r="C482" s="233"/>
      <c r="D482" s="234"/>
      <c r="E482" s="70"/>
      <c r="F482" s="65"/>
      <c r="G482" s="65"/>
      <c r="H482" s="65"/>
      <c r="I482" s="65"/>
      <c r="J482" s="65"/>
      <c r="K482" s="65"/>
      <c r="L482" s="65"/>
      <c r="M482" s="65"/>
      <c r="N482" s="65"/>
      <c r="O482" s="65"/>
      <c r="P482" s="65"/>
      <c r="Q482" s="65"/>
      <c r="R482" s="65"/>
      <c r="S482" s="65"/>
      <c r="T482" s="65"/>
      <c r="U482" s="65"/>
      <c r="V482" s="65"/>
      <c r="W482" s="65"/>
      <c r="X482" s="70"/>
      <c r="Y482" s="70">
        <f>180/0.835</f>
        <v>215.56886227544911</v>
      </c>
      <c r="Z482" s="70"/>
      <c r="AA482" s="70"/>
      <c r="AB482" s="70"/>
      <c r="AC482" s="70">
        <f>180/0.785</f>
        <v>229.29936305732483</v>
      </c>
      <c r="AD482" s="70"/>
      <c r="AE482" s="70">
        <f>220/0.86</f>
        <v>255.81395348837211</v>
      </c>
      <c r="AF482" s="70"/>
      <c r="AG482" s="70"/>
      <c r="AH482" s="70"/>
      <c r="AI482" s="70"/>
      <c r="AJ482" s="70"/>
      <c r="AK482" s="70"/>
      <c r="AL482" s="70"/>
      <c r="AM482" s="70"/>
      <c r="AN482" s="70"/>
      <c r="AO482" s="70"/>
      <c r="AP482" s="65"/>
      <c r="AQ482" s="65"/>
      <c r="AR482" s="65"/>
      <c r="AS482" s="70"/>
      <c r="AT482" s="70"/>
      <c r="AU482" s="70"/>
      <c r="AV482" s="70"/>
      <c r="AW482" s="70"/>
      <c r="AX482" s="65"/>
      <c r="AY482" s="65"/>
      <c r="AZ482" s="65"/>
      <c r="BA482" s="65"/>
      <c r="BB482" s="65"/>
      <c r="BC482" s="65"/>
      <c r="BD482" s="65"/>
      <c r="BE482" s="65"/>
      <c r="BF482" s="65"/>
      <c r="BG482" s="65"/>
      <c r="BH482" s="65"/>
      <c r="BI482" s="65"/>
      <c r="BJ482" s="65"/>
      <c r="BK482" s="65"/>
      <c r="BL482" s="65"/>
      <c r="BM482" s="65"/>
      <c r="BN482" s="65"/>
      <c r="BO482" s="65"/>
      <c r="BP482" s="65"/>
      <c r="BQ482" s="65"/>
      <c r="BR482" s="65"/>
      <c r="BS482" s="65"/>
      <c r="BT482" s="65"/>
      <c r="BU482" s="65"/>
      <c r="BV482" s="65"/>
      <c r="BW482" s="65"/>
      <c r="BX482" s="65"/>
      <c r="BY482" s="65"/>
      <c r="BZ482" s="65"/>
      <c r="CA482" s="65"/>
      <c r="CB482" s="65"/>
      <c r="CC482" s="65"/>
      <c r="CD482" s="65"/>
      <c r="CE482" s="65"/>
      <c r="CF482" s="65"/>
      <c r="CG482" s="65"/>
      <c r="CH482" s="65"/>
      <c r="CI482" s="65"/>
      <c r="CJ482" s="65"/>
      <c r="CK482" s="65"/>
      <c r="CL482" s="65"/>
      <c r="CM482" s="65"/>
      <c r="CN482" s="65"/>
      <c r="CO482" s="65"/>
      <c r="CP482" s="65"/>
      <c r="CQ482" s="65"/>
      <c r="CR482" s="65"/>
      <c r="CS482" s="65"/>
      <c r="CT482" s="65"/>
      <c r="CU482" s="65"/>
      <c r="CV482" s="65"/>
      <c r="CW482" s="65"/>
      <c r="CX482" s="65"/>
      <c r="CY482" s="65"/>
      <c r="CZ482" s="65"/>
      <c r="DA482" s="65"/>
      <c r="DB482" s="65"/>
      <c r="DC482" s="65"/>
      <c r="DD482" s="65"/>
      <c r="DE482" s="65"/>
      <c r="DF482" s="65"/>
      <c r="DG482" s="65"/>
      <c r="DH482" s="65"/>
      <c r="DI482" s="65"/>
      <c r="DJ482" s="65"/>
      <c r="DK482" s="65"/>
      <c r="DL482" s="65"/>
      <c r="DM482" s="65"/>
      <c r="DN482" s="65"/>
      <c r="DO482" s="65"/>
      <c r="DP482" s="65"/>
      <c r="DQ482" s="65"/>
      <c r="DR482" s="65"/>
      <c r="DS482" s="65"/>
      <c r="DT482" s="65"/>
    </row>
    <row r="483" spans="1:124" ht="21.75" customHeight="1">
      <c r="A483" s="313"/>
      <c r="B483" s="229" t="s">
        <v>67</v>
      </c>
      <c r="C483" s="230"/>
      <c r="D483" s="231"/>
      <c r="E483" s="69"/>
      <c r="F483" s="68"/>
      <c r="G483" s="68"/>
      <c r="H483" s="68"/>
      <c r="I483" s="68"/>
      <c r="J483" s="68"/>
      <c r="K483" s="68"/>
      <c r="L483" s="68"/>
      <c r="M483" s="68"/>
      <c r="N483" s="68"/>
      <c r="O483" s="68"/>
      <c r="P483" s="68"/>
      <c r="Q483" s="68"/>
      <c r="R483" s="68"/>
      <c r="S483" s="68"/>
      <c r="T483" s="68"/>
      <c r="U483" s="68"/>
      <c r="V483" s="68"/>
      <c r="W483" s="68"/>
      <c r="X483" s="69"/>
      <c r="Y483" s="69"/>
      <c r="Z483" s="69"/>
      <c r="AA483" s="69"/>
      <c r="AB483" s="69"/>
      <c r="AC483" s="69" t="s">
        <v>392</v>
      </c>
      <c r="AD483" s="69"/>
      <c r="AE483" s="69"/>
      <c r="AF483" s="69"/>
      <c r="AG483" s="69"/>
      <c r="AH483" s="69"/>
      <c r="AI483" s="69"/>
      <c r="AJ483" s="69"/>
      <c r="AK483" s="69"/>
      <c r="AL483" s="69"/>
      <c r="AM483" s="69"/>
      <c r="AN483" s="69"/>
      <c r="AO483" s="69"/>
      <c r="AP483" s="68"/>
      <c r="AQ483" s="68"/>
      <c r="AR483" s="68"/>
      <c r="AS483" s="69"/>
      <c r="AT483" s="69"/>
      <c r="AU483" s="69"/>
      <c r="AV483" s="69"/>
      <c r="AW483" s="69"/>
      <c r="AX483" s="68"/>
      <c r="AY483" s="68"/>
      <c r="AZ483" s="68"/>
      <c r="BA483" s="68"/>
      <c r="BB483" s="68"/>
      <c r="BC483" s="68"/>
      <c r="BD483" s="68"/>
      <c r="BE483" s="68"/>
      <c r="BF483" s="68"/>
      <c r="BG483" s="68"/>
      <c r="BH483" s="68"/>
      <c r="BI483" s="68"/>
      <c r="BJ483" s="68"/>
      <c r="BK483" s="68"/>
      <c r="BL483" s="68"/>
      <c r="BM483" s="68"/>
      <c r="BN483" s="62" t="s">
        <v>551</v>
      </c>
      <c r="BO483" s="68"/>
      <c r="BP483" s="68"/>
      <c r="BQ483" s="62" t="s">
        <v>424</v>
      </c>
      <c r="BR483" s="68"/>
      <c r="BS483" s="68"/>
      <c r="BT483" s="68"/>
      <c r="BU483" s="68"/>
      <c r="BV483" s="68"/>
      <c r="BW483" s="68"/>
      <c r="BX483" s="68"/>
      <c r="BY483" s="68"/>
      <c r="BZ483" s="68"/>
      <c r="CA483" s="68"/>
      <c r="CB483" s="68"/>
      <c r="CC483" s="68"/>
      <c r="CD483" s="68"/>
      <c r="CE483" s="68"/>
      <c r="CF483" s="68"/>
      <c r="CG483" s="68"/>
      <c r="CH483" s="68"/>
      <c r="CI483" s="68"/>
      <c r="CJ483" s="68"/>
      <c r="CK483" s="68"/>
      <c r="CL483" s="68"/>
      <c r="CM483" s="68"/>
      <c r="CN483" s="68"/>
      <c r="CO483" s="68"/>
      <c r="CP483" s="68"/>
      <c r="CQ483" s="68"/>
      <c r="CR483" s="68"/>
      <c r="CS483" s="68"/>
      <c r="CT483" s="68"/>
      <c r="CU483" s="68"/>
      <c r="CV483" s="68"/>
      <c r="CW483" s="68"/>
      <c r="CX483" s="68"/>
      <c r="CY483" s="68"/>
      <c r="CZ483" s="68"/>
      <c r="DA483" s="68"/>
      <c r="DB483" s="68"/>
      <c r="DC483" s="68"/>
      <c r="DD483" s="68"/>
      <c r="DE483" s="68"/>
      <c r="DF483" s="68"/>
      <c r="DG483" s="68"/>
      <c r="DH483" s="68"/>
      <c r="DI483" s="68"/>
      <c r="DJ483" s="68"/>
      <c r="DK483" s="68"/>
      <c r="DL483" s="68"/>
      <c r="DM483" s="68"/>
      <c r="DN483" s="68"/>
      <c r="DO483" s="68"/>
      <c r="DP483" s="68"/>
      <c r="DQ483" s="68"/>
      <c r="DR483" s="68"/>
      <c r="DS483" s="68"/>
      <c r="DT483" s="68"/>
    </row>
    <row r="484" spans="1:124" ht="21.75" customHeight="1">
      <c r="A484" s="313"/>
      <c r="B484" s="232"/>
      <c r="C484" s="233"/>
      <c r="D484" s="234"/>
      <c r="E484" s="70"/>
      <c r="F484" s="65"/>
      <c r="G484" s="65"/>
      <c r="H484" s="65"/>
      <c r="I484" s="65"/>
      <c r="J484" s="65"/>
      <c r="K484" s="65"/>
      <c r="L484" s="65"/>
      <c r="M484" s="65"/>
      <c r="N484" s="65"/>
      <c r="O484" s="65"/>
      <c r="P484" s="65"/>
      <c r="Q484" s="65"/>
      <c r="R484" s="65"/>
      <c r="S484" s="65"/>
      <c r="T484" s="65"/>
      <c r="U484" s="65"/>
      <c r="V484" s="65"/>
      <c r="W484" s="65"/>
      <c r="X484" s="70"/>
      <c r="Y484" s="70"/>
      <c r="Z484" s="70"/>
      <c r="AA484" s="70"/>
      <c r="AB484" s="70"/>
      <c r="AC484" s="70">
        <f>300/0.835</f>
        <v>359.28143712574854</v>
      </c>
      <c r="AD484" s="70"/>
      <c r="AE484" s="70"/>
      <c r="AF484" s="70"/>
      <c r="AG484" s="70"/>
      <c r="AH484" s="70"/>
      <c r="AI484" s="70"/>
      <c r="AJ484" s="70"/>
      <c r="AK484" s="70"/>
      <c r="AL484" s="70"/>
      <c r="AM484" s="70"/>
      <c r="AN484" s="70"/>
      <c r="AO484" s="70"/>
      <c r="AP484" s="65"/>
      <c r="AQ484" s="65"/>
      <c r="AR484" s="65"/>
      <c r="AS484" s="70"/>
      <c r="AT484" s="70"/>
      <c r="AU484" s="70"/>
      <c r="AV484" s="70"/>
      <c r="AW484" s="70"/>
      <c r="AX484" s="65"/>
      <c r="AY484" s="65"/>
      <c r="AZ484" s="65"/>
      <c r="BA484" s="65"/>
      <c r="BB484" s="65"/>
      <c r="BC484" s="65"/>
      <c r="BD484" s="65"/>
      <c r="BE484" s="65"/>
      <c r="BF484" s="65"/>
      <c r="BG484" s="65"/>
      <c r="BH484" s="65"/>
      <c r="BI484" s="65"/>
      <c r="BJ484" s="65"/>
      <c r="BK484" s="65"/>
      <c r="BL484" s="65"/>
      <c r="BM484" s="65"/>
      <c r="BN484" s="67">
        <f>370/0.688</f>
        <v>537.79069767441865</v>
      </c>
      <c r="BO484" s="65"/>
      <c r="BP484" s="65"/>
      <c r="BQ484" s="67">
        <f>450/0.86</f>
        <v>523.25581395348843</v>
      </c>
      <c r="BR484" s="65"/>
      <c r="BS484" s="65"/>
      <c r="BT484" s="65"/>
      <c r="BU484" s="65"/>
      <c r="BV484" s="65"/>
      <c r="BW484" s="65"/>
      <c r="BX484" s="65"/>
      <c r="BY484" s="65"/>
      <c r="BZ484" s="65"/>
      <c r="CA484" s="65"/>
      <c r="CB484" s="65"/>
      <c r="CC484" s="65"/>
      <c r="CD484" s="65"/>
      <c r="CE484" s="65"/>
      <c r="CF484" s="65"/>
      <c r="CG484" s="65"/>
      <c r="CH484" s="65"/>
      <c r="CI484" s="65"/>
      <c r="CJ484" s="65"/>
      <c r="CK484" s="65"/>
      <c r="CL484" s="65"/>
      <c r="CM484" s="65"/>
      <c r="CN484" s="65"/>
      <c r="CO484" s="65"/>
      <c r="CP484" s="65"/>
      <c r="CQ484" s="65"/>
      <c r="CR484" s="65"/>
      <c r="CS484" s="65"/>
      <c r="CT484" s="65"/>
      <c r="CU484" s="65"/>
      <c r="CV484" s="65"/>
      <c r="CW484" s="65"/>
      <c r="CX484" s="65"/>
      <c r="CY484" s="65"/>
      <c r="CZ484" s="65"/>
      <c r="DA484" s="65"/>
      <c r="DB484" s="65"/>
      <c r="DC484" s="65"/>
      <c r="DD484" s="65"/>
      <c r="DE484" s="65"/>
      <c r="DF484" s="65"/>
      <c r="DG484" s="65"/>
      <c r="DH484" s="65"/>
      <c r="DI484" s="65"/>
      <c r="DJ484" s="65"/>
      <c r="DK484" s="65"/>
      <c r="DL484" s="65"/>
      <c r="DM484" s="65"/>
      <c r="DN484" s="65"/>
      <c r="DO484" s="65"/>
      <c r="DP484" s="65"/>
      <c r="DQ484" s="65"/>
      <c r="DR484" s="65"/>
      <c r="DS484" s="65"/>
      <c r="DT484" s="65"/>
    </row>
    <row r="485" spans="1:124" ht="21.75" customHeight="1">
      <c r="A485" s="313"/>
      <c r="B485" s="229" t="s">
        <v>406</v>
      </c>
      <c r="C485" s="230"/>
      <c r="D485" s="231"/>
      <c r="E485" s="69"/>
      <c r="F485" s="68"/>
      <c r="G485" s="68"/>
      <c r="H485" s="68"/>
      <c r="I485" s="68"/>
      <c r="J485" s="68"/>
      <c r="K485" s="68"/>
      <c r="L485" s="68"/>
      <c r="M485" s="68"/>
      <c r="N485" s="68"/>
      <c r="O485" s="68"/>
      <c r="P485" s="68"/>
      <c r="Q485" s="68"/>
      <c r="R485" s="68"/>
      <c r="S485" s="68"/>
      <c r="T485" s="68"/>
      <c r="U485" s="68"/>
      <c r="V485" s="68"/>
      <c r="W485" s="68"/>
      <c r="X485" s="69" t="s">
        <v>552</v>
      </c>
      <c r="Y485" s="69"/>
      <c r="Z485" s="69"/>
      <c r="AA485" s="96" t="s">
        <v>553</v>
      </c>
      <c r="AB485" s="70">
        <f>160/0.835</f>
        <v>191.61676646706587</v>
      </c>
      <c r="AC485" s="69"/>
      <c r="AD485" s="69"/>
      <c r="AE485" s="69"/>
      <c r="AF485" s="69"/>
      <c r="AG485" s="69"/>
      <c r="AH485" s="69" t="s">
        <v>378</v>
      </c>
      <c r="AI485" s="69"/>
      <c r="AJ485" s="69"/>
      <c r="AK485" s="69" t="s">
        <v>396</v>
      </c>
      <c r="AL485" s="69"/>
      <c r="AM485" s="69"/>
      <c r="AN485" s="69"/>
      <c r="AO485" s="69"/>
      <c r="AP485" s="68"/>
      <c r="AQ485" s="68"/>
      <c r="AR485" s="68"/>
      <c r="AS485" s="69"/>
      <c r="AT485" s="69"/>
      <c r="AU485" s="69"/>
      <c r="AV485" s="69"/>
      <c r="AW485" s="69"/>
      <c r="AX485" s="68" t="s">
        <v>396</v>
      </c>
      <c r="AY485" s="68"/>
      <c r="AZ485" s="68"/>
      <c r="BA485" s="68" t="s">
        <v>396</v>
      </c>
      <c r="BB485" s="68"/>
      <c r="BC485" s="68"/>
      <c r="BD485" s="68"/>
      <c r="BE485" s="68"/>
      <c r="BF485" s="68"/>
      <c r="BG485" s="68"/>
      <c r="BH485" s="68"/>
      <c r="BI485" s="68"/>
      <c r="BJ485" s="68"/>
      <c r="BK485" s="68"/>
      <c r="BL485" s="68"/>
      <c r="BM485" s="68"/>
      <c r="BN485" s="68"/>
      <c r="BO485" s="68"/>
      <c r="BP485" s="68"/>
      <c r="BQ485" s="68"/>
      <c r="BR485" s="68"/>
      <c r="BS485" s="68"/>
      <c r="BT485" s="68"/>
      <c r="BU485" s="68"/>
      <c r="BV485" s="68"/>
      <c r="BW485" s="68"/>
      <c r="BX485" s="68"/>
      <c r="BY485" s="68"/>
      <c r="BZ485" s="68"/>
      <c r="CA485" s="68"/>
      <c r="CB485" s="68"/>
      <c r="CC485" s="68"/>
      <c r="CD485" s="68"/>
      <c r="CE485" s="68"/>
      <c r="CF485" s="68"/>
      <c r="CG485" s="68"/>
      <c r="CH485" s="68"/>
      <c r="CI485" s="68"/>
      <c r="CJ485" s="68"/>
      <c r="CK485" s="68"/>
      <c r="CL485" s="68"/>
      <c r="CM485" s="68"/>
      <c r="CN485" s="68"/>
      <c r="CO485" s="68"/>
      <c r="CP485" s="68"/>
      <c r="CQ485" s="68"/>
      <c r="CR485" s="68"/>
      <c r="CS485" s="68"/>
      <c r="CT485" s="68"/>
      <c r="CU485" s="68"/>
      <c r="CV485" s="68"/>
      <c r="CW485" s="68"/>
      <c r="CX485" s="68"/>
      <c r="CY485" s="68"/>
      <c r="CZ485" s="68"/>
      <c r="DA485" s="68"/>
      <c r="DB485" s="68"/>
      <c r="DC485" s="68"/>
      <c r="DD485" s="68"/>
      <c r="DE485" s="68"/>
      <c r="DF485" s="68"/>
      <c r="DG485" s="68"/>
      <c r="DH485" s="68"/>
      <c r="DI485" s="68"/>
      <c r="DJ485" s="68"/>
      <c r="DK485" s="68"/>
      <c r="DL485" s="68"/>
      <c r="DM485" s="68"/>
      <c r="DN485" s="68"/>
      <c r="DO485" s="68"/>
      <c r="DP485" s="68"/>
      <c r="DQ485" s="68"/>
      <c r="DR485" s="68"/>
      <c r="DS485" s="68"/>
      <c r="DT485" s="68"/>
    </row>
    <row r="486" spans="1:124" ht="21.75" customHeight="1">
      <c r="A486" s="313"/>
      <c r="B486" s="232"/>
      <c r="C486" s="233"/>
      <c r="D486" s="234"/>
      <c r="E486" s="70"/>
      <c r="F486" s="65"/>
      <c r="G486" s="65"/>
      <c r="H486" s="65"/>
      <c r="I486" s="65"/>
      <c r="J486" s="65"/>
      <c r="K486" s="65"/>
      <c r="L486" s="65"/>
      <c r="M486" s="65"/>
      <c r="N486" s="65"/>
      <c r="O486" s="65"/>
      <c r="P486" s="65"/>
      <c r="Q486" s="65"/>
      <c r="R486" s="65"/>
      <c r="S486" s="65"/>
      <c r="T486" s="65"/>
      <c r="U486" s="65"/>
      <c r="V486" s="65"/>
      <c r="W486" s="65"/>
      <c r="X486" s="70">
        <f>110/0.835</f>
        <v>131.7365269461078</v>
      </c>
      <c r="Y486" s="70"/>
      <c r="Z486" s="70"/>
      <c r="AA486" s="96" t="s">
        <v>554</v>
      </c>
      <c r="AB486" s="70">
        <f>145/0.835</f>
        <v>173.65269461077844</v>
      </c>
      <c r="AC486" s="70"/>
      <c r="AD486" s="70"/>
      <c r="AE486" s="70"/>
      <c r="AF486" s="70"/>
      <c r="AG486" s="70"/>
      <c r="AH486" s="70">
        <f>170/0.86</f>
        <v>197.67441860465118</v>
      </c>
      <c r="AI486" s="70"/>
      <c r="AJ486" s="70"/>
      <c r="AK486" s="70">
        <f>200/0.86</f>
        <v>232.55813953488374</v>
      </c>
      <c r="AL486" s="70"/>
      <c r="AM486" s="70"/>
      <c r="AN486" s="70"/>
      <c r="AO486" s="70"/>
      <c r="AP486" s="65"/>
      <c r="AQ486" s="65"/>
      <c r="AR486" s="65"/>
      <c r="AS486" s="70"/>
      <c r="AT486" s="70"/>
      <c r="AU486" s="70"/>
      <c r="AV486" s="70"/>
      <c r="AW486" s="70"/>
      <c r="AX486" s="65">
        <f>180/0.86</f>
        <v>209.30232558139537</v>
      </c>
      <c r="AY486" s="65"/>
      <c r="AZ486" s="65"/>
      <c r="BA486" s="65">
        <f>180/0.86</f>
        <v>209.30232558139537</v>
      </c>
      <c r="BB486" s="65"/>
      <c r="BC486" s="65"/>
      <c r="BD486" s="65"/>
      <c r="BE486" s="65"/>
      <c r="BF486" s="65"/>
      <c r="BG486" s="65"/>
      <c r="BH486" s="65"/>
      <c r="BI486" s="65"/>
      <c r="BJ486" s="65"/>
      <c r="BK486" s="65"/>
      <c r="BL486" s="65"/>
      <c r="BM486" s="65"/>
      <c r="BN486" s="65"/>
      <c r="BO486" s="65"/>
      <c r="BP486" s="65"/>
      <c r="BQ486" s="65"/>
      <c r="BR486" s="65"/>
      <c r="BS486" s="65"/>
      <c r="BT486" s="65"/>
      <c r="BU486" s="65"/>
      <c r="BV486" s="65"/>
      <c r="BW486" s="65"/>
      <c r="BX486" s="65"/>
      <c r="BY486" s="65"/>
      <c r="BZ486" s="65"/>
      <c r="CA486" s="65"/>
      <c r="CB486" s="65"/>
      <c r="CC486" s="65"/>
      <c r="CD486" s="65"/>
      <c r="CE486" s="65"/>
      <c r="CF486" s="65"/>
      <c r="CG486" s="65"/>
      <c r="CH486" s="65"/>
      <c r="CI486" s="65"/>
      <c r="CJ486" s="65"/>
      <c r="CK486" s="65"/>
      <c r="CL486" s="65"/>
      <c r="CM486" s="65"/>
      <c r="CN486" s="65"/>
      <c r="CO486" s="65"/>
      <c r="CP486" s="65"/>
      <c r="CQ486" s="65"/>
      <c r="CR486" s="65"/>
      <c r="CS486" s="65"/>
      <c r="CT486" s="65"/>
      <c r="CU486" s="65"/>
      <c r="CV486" s="65"/>
      <c r="CW486" s="65"/>
      <c r="CX486" s="65"/>
      <c r="CY486" s="65"/>
      <c r="CZ486" s="65"/>
      <c r="DA486" s="65"/>
      <c r="DB486" s="65"/>
      <c r="DC486" s="65"/>
      <c r="DD486" s="65"/>
      <c r="DE486" s="65"/>
      <c r="DF486" s="65"/>
      <c r="DG486" s="65"/>
      <c r="DH486" s="65"/>
      <c r="DI486" s="65"/>
      <c r="DJ486" s="65"/>
      <c r="DK486" s="65"/>
      <c r="DL486" s="65"/>
      <c r="DM486" s="65"/>
      <c r="DN486" s="65"/>
      <c r="DO486" s="65"/>
      <c r="DP486" s="65"/>
      <c r="DQ486" s="65"/>
      <c r="DR486" s="65"/>
      <c r="DS486" s="65"/>
      <c r="DT486" s="65"/>
    </row>
    <row r="487" spans="1:124" ht="21.75" customHeight="1">
      <c r="A487" s="313"/>
      <c r="B487" s="229" t="s">
        <v>505</v>
      </c>
      <c r="C487" s="230"/>
      <c r="D487" s="231"/>
      <c r="E487" s="69"/>
      <c r="F487" s="68"/>
      <c r="G487" s="68"/>
      <c r="H487" s="68"/>
      <c r="I487" s="68"/>
      <c r="J487" s="68"/>
      <c r="K487" s="68"/>
      <c r="L487" s="68"/>
      <c r="M487" s="68"/>
      <c r="N487" s="68"/>
      <c r="O487" s="68"/>
      <c r="P487" s="68"/>
      <c r="Q487" s="68"/>
      <c r="R487" s="68"/>
      <c r="S487" s="68"/>
      <c r="T487" s="68"/>
      <c r="U487" s="68"/>
      <c r="V487" s="68"/>
      <c r="W487" s="68"/>
      <c r="X487" s="69"/>
      <c r="Y487" s="69"/>
      <c r="Z487" s="69"/>
      <c r="AA487" s="69"/>
      <c r="AB487" s="69"/>
      <c r="AC487" s="69"/>
      <c r="AD487" s="69"/>
      <c r="AE487" s="69"/>
      <c r="AF487" s="69"/>
      <c r="AG487" s="69"/>
      <c r="AH487" s="69"/>
      <c r="AI487" s="69"/>
      <c r="AJ487" s="69"/>
      <c r="AK487" s="69"/>
      <c r="AL487" s="69"/>
      <c r="AM487" s="69"/>
      <c r="AN487" s="69"/>
      <c r="AO487" s="69"/>
      <c r="AP487" s="68"/>
      <c r="AQ487" s="68"/>
      <c r="AR487" s="68"/>
      <c r="AS487" s="69"/>
      <c r="AT487" s="69"/>
      <c r="AU487" s="69"/>
      <c r="AV487" s="69"/>
      <c r="AW487" s="69"/>
      <c r="AX487" s="68"/>
      <c r="AY487" s="68"/>
      <c r="AZ487" s="68"/>
      <c r="BA487" s="68"/>
      <c r="BB487" s="68"/>
      <c r="BC487" s="68"/>
      <c r="BD487" s="68"/>
      <c r="BE487" s="68"/>
      <c r="BF487" s="68"/>
      <c r="BG487" s="68"/>
      <c r="BH487" s="68" t="s">
        <v>398</v>
      </c>
      <c r="BI487" s="68"/>
      <c r="BJ487" s="68"/>
      <c r="BK487" s="68" t="s">
        <v>376</v>
      </c>
      <c r="BL487" s="68"/>
      <c r="BM487" s="68"/>
      <c r="BN487" s="68"/>
      <c r="BO487" s="68"/>
      <c r="BP487" s="68"/>
      <c r="BQ487" s="68"/>
      <c r="BR487" s="68"/>
      <c r="BS487" s="68"/>
      <c r="BT487" s="68"/>
      <c r="BU487" s="68"/>
      <c r="BV487" s="68"/>
      <c r="BW487" s="68"/>
      <c r="BX487" s="68"/>
      <c r="BY487" s="68"/>
      <c r="BZ487" s="68"/>
      <c r="CA487" s="68"/>
      <c r="CB487" s="68"/>
      <c r="CC487" s="68"/>
      <c r="CD487" s="68"/>
      <c r="CE487" s="68"/>
      <c r="CF487" s="68"/>
      <c r="CG487" s="68"/>
      <c r="CH487" s="68"/>
      <c r="CI487" s="68"/>
      <c r="CJ487" s="68"/>
      <c r="CK487" s="68"/>
      <c r="CL487" s="68"/>
      <c r="CM487" s="68"/>
      <c r="CN487" s="68"/>
      <c r="CO487" s="68"/>
      <c r="CP487" s="68"/>
      <c r="CQ487" s="68"/>
      <c r="CR487" s="68"/>
      <c r="CS487" s="68"/>
      <c r="CT487" s="68"/>
      <c r="CU487" s="68"/>
      <c r="CV487" s="68"/>
      <c r="CW487" s="68"/>
      <c r="CX487" s="68"/>
      <c r="CY487" s="68"/>
      <c r="CZ487" s="68"/>
      <c r="DA487" s="68"/>
      <c r="DB487" s="68"/>
      <c r="DC487" s="68"/>
      <c r="DD487" s="68"/>
      <c r="DE487" s="68"/>
      <c r="DF487" s="68"/>
      <c r="DG487" s="68"/>
      <c r="DH487" s="68"/>
      <c r="DI487" s="68"/>
      <c r="DJ487" s="68"/>
      <c r="DK487" s="68"/>
      <c r="DL487" s="68"/>
      <c r="DM487" s="68"/>
      <c r="DN487" s="68"/>
      <c r="DO487" s="68"/>
      <c r="DP487" s="68"/>
      <c r="DQ487" s="68"/>
      <c r="DR487" s="68"/>
      <c r="DS487" s="68"/>
      <c r="DT487" s="68"/>
    </row>
    <row r="488" spans="1:124" ht="21.75" customHeight="1">
      <c r="A488" s="313"/>
      <c r="B488" s="232"/>
      <c r="C488" s="233"/>
      <c r="D488" s="234"/>
      <c r="E488" s="70"/>
      <c r="F488" s="65"/>
      <c r="G488" s="65"/>
      <c r="H488" s="65"/>
      <c r="I488" s="65"/>
      <c r="J488" s="65"/>
      <c r="K488" s="65"/>
      <c r="L488" s="65"/>
      <c r="M488" s="65"/>
      <c r="N488" s="65"/>
      <c r="O488" s="65"/>
      <c r="P488" s="65"/>
      <c r="Q488" s="65"/>
      <c r="R488" s="65"/>
      <c r="S488" s="65"/>
      <c r="T488" s="65"/>
      <c r="U488" s="65"/>
      <c r="V488" s="65"/>
      <c r="W488" s="65"/>
      <c r="X488" s="70"/>
      <c r="Y488" s="70"/>
      <c r="Z488" s="70"/>
      <c r="AA488" s="70"/>
      <c r="AB488" s="70"/>
      <c r="AC488" s="70"/>
      <c r="AD488" s="70"/>
      <c r="AE488" s="70"/>
      <c r="AF488" s="70"/>
      <c r="AG488" s="70"/>
      <c r="AH488" s="70"/>
      <c r="AI488" s="70"/>
      <c r="AJ488" s="70"/>
      <c r="AK488" s="70"/>
      <c r="AL488" s="70"/>
      <c r="AM488" s="70"/>
      <c r="AN488" s="70"/>
      <c r="AO488" s="70"/>
      <c r="AP488" s="65"/>
      <c r="AQ488" s="65"/>
      <c r="AR488" s="65"/>
      <c r="AS488" s="70"/>
      <c r="AT488" s="70"/>
      <c r="AU488" s="70"/>
      <c r="AV488" s="70"/>
      <c r="AW488" s="70"/>
      <c r="AX488" s="65"/>
      <c r="AY488" s="65"/>
      <c r="AZ488" s="65"/>
      <c r="BA488" s="65"/>
      <c r="BB488" s="65"/>
      <c r="BC488" s="65"/>
      <c r="BD488" s="65"/>
      <c r="BE488" s="65"/>
      <c r="BF488" s="65"/>
      <c r="BG488" s="65"/>
      <c r="BH488" s="65">
        <f>160/0.91</f>
        <v>175.82417582417582</v>
      </c>
      <c r="BI488" s="65"/>
      <c r="BJ488" s="65"/>
      <c r="BK488" s="65">
        <f>160/0.91</f>
        <v>175.82417582417582</v>
      </c>
      <c r="BL488" s="65"/>
      <c r="BM488" s="65"/>
      <c r="BN488" s="65"/>
      <c r="BO488" s="65"/>
      <c r="BP488" s="65"/>
      <c r="BQ488" s="65"/>
      <c r="BR488" s="65"/>
      <c r="BS488" s="65"/>
      <c r="BT488" s="65"/>
      <c r="BU488" s="65"/>
      <c r="BV488" s="65"/>
      <c r="BW488" s="65"/>
      <c r="BX488" s="65"/>
      <c r="BY488" s="65"/>
      <c r="BZ488" s="65"/>
      <c r="CA488" s="65"/>
      <c r="CB488" s="65"/>
      <c r="CC488" s="65"/>
      <c r="CD488" s="65"/>
      <c r="CE488" s="65"/>
      <c r="CF488" s="65"/>
      <c r="CG488" s="65"/>
      <c r="CH488" s="65"/>
      <c r="CI488" s="65"/>
      <c r="CJ488" s="65"/>
      <c r="CK488" s="65"/>
      <c r="CL488" s="65"/>
      <c r="CM488" s="65"/>
      <c r="CN488" s="65"/>
      <c r="CO488" s="65"/>
      <c r="CP488" s="65"/>
      <c r="CQ488" s="65"/>
      <c r="CR488" s="65"/>
      <c r="CS488" s="65"/>
      <c r="CT488" s="65"/>
      <c r="CU488" s="65"/>
      <c r="CV488" s="65"/>
      <c r="CW488" s="65"/>
      <c r="CX488" s="65"/>
      <c r="CY488" s="65"/>
      <c r="CZ488" s="65"/>
      <c r="DA488" s="65"/>
      <c r="DB488" s="65"/>
      <c r="DC488" s="65"/>
      <c r="DD488" s="65"/>
      <c r="DE488" s="65"/>
      <c r="DF488" s="65"/>
      <c r="DG488" s="65"/>
      <c r="DH488" s="65"/>
      <c r="DI488" s="65"/>
      <c r="DJ488" s="65"/>
      <c r="DK488" s="65"/>
      <c r="DL488" s="65"/>
      <c r="DM488" s="65"/>
      <c r="DN488" s="65"/>
      <c r="DO488" s="65"/>
      <c r="DP488" s="65"/>
      <c r="DQ488" s="65"/>
      <c r="DR488" s="65"/>
      <c r="DS488" s="65"/>
      <c r="DT488" s="65"/>
    </row>
    <row r="489" spans="1:124" ht="21.75" customHeight="1">
      <c r="A489" s="313"/>
      <c r="B489" s="229" t="s">
        <v>440</v>
      </c>
      <c r="C489" s="230"/>
      <c r="D489" s="231"/>
      <c r="E489" s="69"/>
      <c r="F489" s="68"/>
      <c r="G489" s="68"/>
      <c r="H489" s="68"/>
      <c r="I489" s="68"/>
      <c r="J489" s="68"/>
      <c r="K489" s="68"/>
      <c r="L489" s="68"/>
      <c r="M489" s="68"/>
      <c r="N489" s="68"/>
      <c r="O489" s="68"/>
      <c r="P489" s="68"/>
      <c r="Q489" s="68"/>
      <c r="R489" s="68"/>
      <c r="S489" s="68"/>
      <c r="T489" s="68"/>
      <c r="U489" s="68"/>
      <c r="V489" s="68"/>
      <c r="W489" s="68"/>
      <c r="X489" s="69"/>
      <c r="Y489" s="69" t="s">
        <v>401</v>
      </c>
      <c r="Z489" s="69" t="s">
        <v>555</v>
      </c>
      <c r="AA489" s="69"/>
      <c r="AB489" s="69"/>
      <c r="AC489" s="69"/>
      <c r="AD489" s="69"/>
      <c r="AE489" s="69"/>
      <c r="AF489" s="69"/>
      <c r="AG489" s="69"/>
      <c r="AH489" s="69"/>
      <c r="AI489" s="69"/>
      <c r="AJ489" s="69"/>
      <c r="AK489" s="69"/>
      <c r="AL489" s="69"/>
      <c r="AM489" s="69"/>
      <c r="AN489" s="69"/>
      <c r="AO489" s="69"/>
      <c r="AP489" s="68"/>
      <c r="AQ489" s="68"/>
      <c r="AR489" s="68"/>
      <c r="AS489" s="69"/>
      <c r="AT489" s="69"/>
      <c r="AU489" s="69"/>
      <c r="AV489" s="69"/>
      <c r="AW489" s="69"/>
      <c r="AX489" s="68"/>
      <c r="AY489" s="68"/>
      <c r="AZ489" s="68"/>
      <c r="BA489" s="68"/>
      <c r="BB489" s="68"/>
      <c r="BC489" s="68"/>
      <c r="BD489" s="68"/>
      <c r="BE489" s="68"/>
      <c r="BF489" s="68"/>
      <c r="BG489" s="68"/>
      <c r="BH489" s="68"/>
      <c r="BI489" s="68"/>
      <c r="BJ489" s="68"/>
      <c r="BK489" s="68"/>
      <c r="BL489" s="68"/>
      <c r="BM489" s="68"/>
      <c r="BN489" s="68"/>
      <c r="BO489" s="68"/>
      <c r="BP489" s="68"/>
      <c r="BQ489" s="68"/>
      <c r="BR489" s="68"/>
      <c r="BS489" s="68"/>
      <c r="BT489" s="68"/>
      <c r="BU489" s="68"/>
      <c r="BV489" s="68"/>
      <c r="BW489" s="68"/>
      <c r="BX489" s="68"/>
      <c r="BY489" s="68"/>
      <c r="BZ489" s="68"/>
      <c r="CA489" s="68"/>
      <c r="CB489" s="68"/>
      <c r="CC489" s="68"/>
      <c r="CD489" s="68"/>
      <c r="CE489" s="68"/>
      <c r="CF489" s="68"/>
      <c r="CG489" s="68"/>
      <c r="CH489" s="68"/>
      <c r="CI489" s="68"/>
      <c r="CJ489" s="68"/>
      <c r="CK489" s="68"/>
      <c r="CL489" s="68"/>
      <c r="CM489" s="68"/>
      <c r="CN489" s="68"/>
      <c r="CO489" s="68"/>
      <c r="CP489" s="68"/>
      <c r="CQ489" s="68"/>
      <c r="CR489" s="68"/>
      <c r="CS489" s="68"/>
      <c r="CT489" s="68"/>
      <c r="CU489" s="68"/>
      <c r="CV489" s="68"/>
      <c r="CW489" s="68"/>
      <c r="CX489" s="68"/>
      <c r="CY489" s="68"/>
      <c r="CZ489" s="68"/>
      <c r="DA489" s="68"/>
      <c r="DB489" s="68"/>
      <c r="DC489" s="68"/>
      <c r="DD489" s="68"/>
      <c r="DE489" s="68"/>
      <c r="DF489" s="68"/>
      <c r="DG489" s="68"/>
      <c r="DH489" s="68"/>
      <c r="DI489" s="68"/>
      <c r="DJ489" s="68"/>
      <c r="DK489" s="68"/>
      <c r="DL489" s="68"/>
      <c r="DM489" s="68"/>
      <c r="DN489" s="68"/>
      <c r="DO489" s="68"/>
      <c r="DP489" s="68"/>
      <c r="DQ489" s="68"/>
      <c r="DR489" s="68"/>
      <c r="DS489" s="68"/>
      <c r="DT489" s="68"/>
    </row>
    <row r="490" spans="1:124" ht="21.75" customHeight="1">
      <c r="A490" s="313"/>
      <c r="B490" s="232"/>
      <c r="C490" s="233"/>
      <c r="D490" s="234"/>
      <c r="E490" s="70"/>
      <c r="F490" s="65"/>
      <c r="G490" s="65"/>
      <c r="H490" s="65"/>
      <c r="I490" s="65"/>
      <c r="J490" s="65"/>
      <c r="K490" s="65"/>
      <c r="L490" s="65"/>
      <c r="M490" s="65"/>
      <c r="N490" s="65"/>
      <c r="O490" s="65"/>
      <c r="P490" s="65"/>
      <c r="Q490" s="65"/>
      <c r="R490" s="65"/>
      <c r="S490" s="65"/>
      <c r="T490" s="65"/>
      <c r="U490" s="65"/>
      <c r="V490" s="65"/>
      <c r="W490" s="65"/>
      <c r="X490" s="70"/>
      <c r="Y490" s="70">
        <f>120/0.835</f>
        <v>143.7125748502994</v>
      </c>
      <c r="Z490" s="70">
        <f>100/0.91</f>
        <v>109.89010989010988</v>
      </c>
      <c r="AA490" s="70"/>
      <c r="AB490" s="70"/>
      <c r="AC490" s="70"/>
      <c r="AD490" s="70"/>
      <c r="AE490" s="70"/>
      <c r="AF490" s="70"/>
      <c r="AG490" s="70"/>
      <c r="AH490" s="70"/>
      <c r="AI490" s="70"/>
      <c r="AJ490" s="70"/>
      <c r="AK490" s="70"/>
      <c r="AL490" s="70"/>
      <c r="AM490" s="70"/>
      <c r="AN490" s="70"/>
      <c r="AO490" s="70"/>
      <c r="AP490" s="65"/>
      <c r="AQ490" s="65"/>
      <c r="AR490" s="65"/>
      <c r="AS490" s="70"/>
      <c r="AT490" s="70"/>
      <c r="AU490" s="70"/>
      <c r="AV490" s="70"/>
      <c r="AW490" s="70"/>
      <c r="AX490" s="65"/>
      <c r="AY490" s="65"/>
      <c r="AZ490" s="65"/>
      <c r="BA490" s="65"/>
      <c r="BB490" s="65"/>
      <c r="BC490" s="65"/>
      <c r="BD490" s="65"/>
      <c r="BE490" s="65"/>
      <c r="BF490" s="65"/>
      <c r="BG490" s="65"/>
      <c r="BH490" s="65"/>
      <c r="BI490" s="65"/>
      <c r="BJ490" s="65"/>
      <c r="BK490" s="65"/>
      <c r="BL490" s="65"/>
      <c r="BM490" s="65"/>
      <c r="BN490" s="65"/>
      <c r="BO490" s="65"/>
      <c r="BP490" s="65"/>
      <c r="BQ490" s="65"/>
      <c r="BR490" s="65"/>
      <c r="BS490" s="65"/>
      <c r="BT490" s="65"/>
      <c r="BU490" s="65"/>
      <c r="BV490" s="65"/>
      <c r="BW490" s="65"/>
      <c r="BX490" s="65"/>
      <c r="BY490" s="65"/>
      <c r="BZ490" s="65"/>
      <c r="CA490" s="65"/>
      <c r="CB490" s="65"/>
      <c r="CC490" s="65"/>
      <c r="CD490" s="65"/>
      <c r="CE490" s="65"/>
      <c r="CF490" s="65"/>
      <c r="CG490" s="65"/>
      <c r="CH490" s="65"/>
      <c r="CI490" s="65"/>
      <c r="CJ490" s="65"/>
      <c r="CK490" s="65"/>
      <c r="CL490" s="65"/>
      <c r="CM490" s="65"/>
      <c r="CN490" s="65"/>
      <c r="CO490" s="65"/>
      <c r="CP490" s="65"/>
      <c r="CQ490" s="65"/>
      <c r="CR490" s="65"/>
      <c r="CS490" s="65"/>
      <c r="CT490" s="65"/>
      <c r="CU490" s="65"/>
      <c r="CV490" s="65"/>
      <c r="CW490" s="65"/>
      <c r="CX490" s="65"/>
      <c r="CY490" s="65"/>
      <c r="CZ490" s="65"/>
      <c r="DA490" s="65"/>
      <c r="DB490" s="65"/>
      <c r="DC490" s="65"/>
      <c r="DD490" s="65"/>
      <c r="DE490" s="65"/>
      <c r="DF490" s="65"/>
      <c r="DG490" s="65"/>
      <c r="DH490" s="65"/>
      <c r="DI490" s="65"/>
      <c r="DJ490" s="65"/>
      <c r="DK490" s="65"/>
      <c r="DL490" s="65"/>
      <c r="DM490" s="65"/>
      <c r="DN490" s="65"/>
      <c r="DO490" s="65"/>
      <c r="DP490" s="65"/>
      <c r="DQ490" s="65"/>
      <c r="DR490" s="65"/>
      <c r="DS490" s="65"/>
      <c r="DT490" s="65"/>
    </row>
    <row r="491" spans="1:124" ht="21.75" customHeight="1">
      <c r="A491" s="313"/>
      <c r="B491" s="229" t="s">
        <v>439</v>
      </c>
      <c r="C491" s="230"/>
      <c r="D491" s="231"/>
      <c r="E491" s="69"/>
      <c r="F491" s="68"/>
      <c r="G491" s="68"/>
      <c r="H491" s="68"/>
      <c r="I491" s="68"/>
      <c r="J491" s="68"/>
      <c r="K491" s="68"/>
      <c r="L491" s="68"/>
      <c r="M491" s="68"/>
      <c r="N491" s="68"/>
      <c r="O491" s="68"/>
      <c r="P491" s="68"/>
      <c r="Q491" s="68"/>
      <c r="R491" s="68"/>
      <c r="S491" s="68"/>
      <c r="T491" s="68"/>
      <c r="U491" s="68"/>
      <c r="V491" s="68"/>
      <c r="W491" s="68"/>
      <c r="X491" s="69"/>
      <c r="Y491" s="69"/>
      <c r="Z491" s="69"/>
      <c r="AA491" s="69"/>
      <c r="AB491" s="69"/>
      <c r="AC491" s="69"/>
      <c r="AD491" s="69"/>
      <c r="AE491" s="69"/>
      <c r="AF491" s="69"/>
      <c r="AG491" s="69"/>
      <c r="AH491" s="69"/>
      <c r="AI491" s="69"/>
      <c r="AJ491" s="69"/>
      <c r="AK491" s="69"/>
      <c r="AL491" s="69"/>
      <c r="AM491" s="69"/>
      <c r="AN491" s="69"/>
      <c r="AO491" s="69"/>
      <c r="AP491" s="68"/>
      <c r="AQ491" s="68"/>
      <c r="AR491" s="68"/>
      <c r="AS491" s="69"/>
      <c r="AT491" s="69" t="s">
        <v>380</v>
      </c>
      <c r="AU491" s="69"/>
      <c r="AV491" s="69"/>
      <c r="AW491" s="69" t="s">
        <v>378</v>
      </c>
      <c r="AX491" s="68"/>
      <c r="AY491" s="68"/>
      <c r="AZ491" s="68" t="s">
        <v>380</v>
      </c>
      <c r="BA491" s="68"/>
      <c r="BB491" s="68"/>
      <c r="BC491" s="68"/>
      <c r="BD491" s="68"/>
      <c r="BE491" s="68"/>
      <c r="BF491" s="68" t="s">
        <v>398</v>
      </c>
      <c r="BG491" s="68"/>
      <c r="BH491" s="68"/>
      <c r="BI491" s="68" t="s">
        <v>556</v>
      </c>
      <c r="BJ491" s="68"/>
      <c r="BK491" s="68"/>
      <c r="BL491" s="68" t="s">
        <v>384</v>
      </c>
      <c r="BM491" s="68"/>
      <c r="BN491" s="68"/>
      <c r="BO491" s="68"/>
      <c r="BP491" s="68"/>
      <c r="BQ491" s="68"/>
      <c r="BR491" s="68" t="s">
        <v>376</v>
      </c>
      <c r="BS491" s="68"/>
      <c r="BT491" s="68" t="s">
        <v>384</v>
      </c>
      <c r="BU491" s="68"/>
      <c r="BV491" s="68"/>
      <c r="BW491" s="68"/>
      <c r="BX491" s="68"/>
      <c r="BY491" s="68"/>
      <c r="BZ491" s="68"/>
      <c r="CA491" s="68"/>
      <c r="CB491" s="68"/>
      <c r="CC491" s="68"/>
      <c r="CD491" s="68"/>
      <c r="CE491" s="68"/>
      <c r="CF491" s="68"/>
      <c r="CG491" s="68"/>
      <c r="CH491" s="68"/>
      <c r="CI491" s="68"/>
      <c r="CJ491" s="68"/>
      <c r="CK491" s="68"/>
      <c r="CL491" s="68"/>
      <c r="CM491" s="68"/>
      <c r="CN491" s="68"/>
      <c r="CO491" s="68"/>
      <c r="CP491" s="68"/>
      <c r="CQ491" s="68"/>
      <c r="CR491" s="68"/>
      <c r="CS491" s="68"/>
      <c r="CT491" s="68"/>
      <c r="CU491" s="68"/>
      <c r="CV491" s="68"/>
      <c r="CW491" s="68"/>
      <c r="CX491" s="68"/>
      <c r="CY491" s="68"/>
      <c r="CZ491" s="68"/>
      <c r="DA491" s="68"/>
      <c r="DB491" s="68"/>
      <c r="DC491" s="68"/>
      <c r="DD491" s="68"/>
      <c r="DE491" s="68"/>
      <c r="DF491" s="68"/>
      <c r="DG491" s="68"/>
      <c r="DH491" s="68"/>
      <c r="DI491" s="68"/>
      <c r="DJ491" s="68"/>
      <c r="DK491" s="68"/>
      <c r="DL491" s="68"/>
      <c r="DM491" s="68"/>
      <c r="DN491" s="68"/>
      <c r="DO491" s="68"/>
      <c r="DP491" s="68"/>
      <c r="DQ491" s="68"/>
      <c r="DR491" s="68"/>
      <c r="DS491" s="68"/>
      <c r="DT491" s="68"/>
    </row>
    <row r="492" spans="1:124" ht="21.75" customHeight="1">
      <c r="A492" s="313"/>
      <c r="B492" s="232"/>
      <c r="C492" s="233"/>
      <c r="D492" s="234"/>
      <c r="E492" s="70"/>
      <c r="F492" s="65"/>
      <c r="G492" s="65"/>
      <c r="H492" s="65"/>
      <c r="I492" s="65"/>
      <c r="J492" s="65"/>
      <c r="K492" s="65"/>
      <c r="L492" s="65"/>
      <c r="M492" s="65"/>
      <c r="N492" s="65"/>
      <c r="O492" s="65"/>
      <c r="P492" s="65"/>
      <c r="Q492" s="65"/>
      <c r="R492" s="65"/>
      <c r="S492" s="65"/>
      <c r="T492" s="65"/>
      <c r="U492" s="65"/>
      <c r="V492" s="65"/>
      <c r="W492" s="65"/>
      <c r="X492" s="70"/>
      <c r="Y492" s="70"/>
      <c r="Z492" s="70"/>
      <c r="AA492" s="70"/>
      <c r="AB492" s="70"/>
      <c r="AC492" s="70"/>
      <c r="AD492" s="70"/>
      <c r="AE492" s="70"/>
      <c r="AF492" s="70"/>
      <c r="AG492" s="70"/>
      <c r="AH492" s="70"/>
      <c r="AI492" s="70"/>
      <c r="AJ492" s="70"/>
      <c r="AK492" s="70"/>
      <c r="AL492" s="70"/>
      <c r="AM492" s="70"/>
      <c r="AN492" s="70"/>
      <c r="AO492" s="70"/>
      <c r="AP492" s="65"/>
      <c r="AQ492" s="65"/>
      <c r="AR492" s="65"/>
      <c r="AS492" s="70"/>
      <c r="AT492" s="70">
        <f>133/0.86</f>
        <v>154.65116279069767</v>
      </c>
      <c r="AU492" s="70"/>
      <c r="AV492" s="70"/>
      <c r="AW492" s="70">
        <f>138/0.835</f>
        <v>165.26946107784431</v>
      </c>
      <c r="AX492" s="65"/>
      <c r="AY492" s="65"/>
      <c r="AZ492" s="65">
        <f>120/0.86</f>
        <v>139.53488372093022</v>
      </c>
      <c r="BA492" s="65"/>
      <c r="BB492" s="65"/>
      <c r="BC492" s="65"/>
      <c r="BD492" s="65"/>
      <c r="BE492" s="65"/>
      <c r="BF492" s="65">
        <f>130/0.91</f>
        <v>142.85714285714286</v>
      </c>
      <c r="BG492" s="65"/>
      <c r="BH492" s="65"/>
      <c r="BI492" s="65">
        <f>150/0.91</f>
        <v>164.83516483516482</v>
      </c>
      <c r="BJ492" s="65"/>
      <c r="BK492" s="65"/>
      <c r="BL492" s="65">
        <f>155/0.91</f>
        <v>170.32967032967034</v>
      </c>
      <c r="BM492" s="65"/>
      <c r="BN492" s="65"/>
      <c r="BO492" s="65"/>
      <c r="BP492" s="65"/>
      <c r="BQ492" s="65"/>
      <c r="BR492" s="65">
        <f>170/0.81</f>
        <v>209.87654320987653</v>
      </c>
      <c r="BS492" s="65"/>
      <c r="BT492" s="65">
        <f>180/0.91</f>
        <v>197.80219780219778</v>
      </c>
      <c r="BU492" s="65"/>
      <c r="BV492" s="65"/>
      <c r="BW492" s="65"/>
      <c r="BX492" s="65"/>
      <c r="BY492" s="65"/>
      <c r="BZ492" s="65"/>
      <c r="CA492" s="65"/>
      <c r="CB492" s="65"/>
      <c r="CC492" s="65"/>
      <c r="CD492" s="65"/>
      <c r="CE492" s="65"/>
      <c r="CF492" s="65"/>
      <c r="CG492" s="65"/>
      <c r="CH492" s="65"/>
      <c r="CI492" s="65"/>
      <c r="CJ492" s="65"/>
      <c r="CK492" s="65"/>
      <c r="CL492" s="65"/>
      <c r="CM492" s="65"/>
      <c r="CN492" s="65"/>
      <c r="CO492" s="65"/>
      <c r="CP492" s="65"/>
      <c r="CQ492" s="65"/>
      <c r="CR492" s="65"/>
      <c r="CS492" s="65"/>
      <c r="CT492" s="65"/>
      <c r="CU492" s="65"/>
      <c r="CV492" s="65"/>
      <c r="CW492" s="65"/>
      <c r="CX492" s="65"/>
      <c r="CY492" s="65"/>
      <c r="CZ492" s="65"/>
      <c r="DA492" s="65"/>
      <c r="DB492" s="65"/>
      <c r="DC492" s="65"/>
      <c r="DD492" s="65"/>
      <c r="DE492" s="65"/>
      <c r="DF492" s="65"/>
      <c r="DG492" s="65"/>
      <c r="DH492" s="65"/>
      <c r="DI492" s="65"/>
      <c r="DJ492" s="65"/>
      <c r="DK492" s="65"/>
      <c r="DL492" s="65"/>
      <c r="DM492" s="65"/>
      <c r="DN492" s="65"/>
      <c r="DO492" s="65"/>
      <c r="DP492" s="65"/>
      <c r="DQ492" s="65"/>
      <c r="DR492" s="65"/>
      <c r="DS492" s="65"/>
      <c r="DT492" s="65"/>
    </row>
    <row r="493" spans="1:124" ht="21.75" customHeight="1">
      <c r="A493" s="313"/>
      <c r="B493" s="229" t="s">
        <v>70</v>
      </c>
      <c r="C493" s="230"/>
      <c r="D493" s="231"/>
      <c r="E493" s="69"/>
      <c r="F493" s="68"/>
      <c r="G493" s="68"/>
      <c r="H493" s="68"/>
      <c r="I493" s="68"/>
      <c r="J493" s="68"/>
      <c r="K493" s="68"/>
      <c r="L493" s="68"/>
      <c r="M493" s="68"/>
      <c r="N493" s="68"/>
      <c r="O493" s="68"/>
      <c r="P493" s="68"/>
      <c r="Q493" s="68"/>
      <c r="R493" s="68"/>
      <c r="S493" s="68"/>
      <c r="T493" s="68"/>
      <c r="U493" s="68"/>
      <c r="V493" s="68"/>
      <c r="W493" s="68"/>
      <c r="X493" s="69"/>
      <c r="Y493" s="69"/>
      <c r="Z493" s="69"/>
      <c r="AA493" s="69"/>
      <c r="AB493" s="69"/>
      <c r="AC493" s="69"/>
      <c r="AD493" s="69"/>
      <c r="AE493" s="69" t="s">
        <v>542</v>
      </c>
      <c r="AF493" s="69"/>
      <c r="AG493" s="69" t="s">
        <v>392</v>
      </c>
      <c r="AH493" s="69"/>
      <c r="AI493" s="69"/>
      <c r="AJ493" s="69" t="s">
        <v>378</v>
      </c>
      <c r="AK493" s="69"/>
      <c r="AL493" s="69"/>
      <c r="AM493" s="69" t="s">
        <v>396</v>
      </c>
      <c r="AN493" s="69"/>
      <c r="AO493" s="69"/>
      <c r="AP493" s="68"/>
      <c r="AQ493" s="68"/>
      <c r="AR493" s="68"/>
      <c r="AS493" s="69"/>
      <c r="AT493" s="69"/>
      <c r="AU493" s="69"/>
      <c r="AV493" s="69"/>
      <c r="AW493" s="69"/>
      <c r="AX493" s="68"/>
      <c r="AY493" s="68"/>
      <c r="AZ493" s="68"/>
      <c r="BA493" s="68"/>
      <c r="BB493" s="68"/>
      <c r="BC493" s="68"/>
      <c r="BD493" s="68"/>
      <c r="BE493" s="68"/>
      <c r="BF493" s="68"/>
      <c r="BG493" s="68"/>
      <c r="BH493" s="68"/>
      <c r="BI493" s="68"/>
      <c r="BJ493" s="68"/>
      <c r="BK493" s="68"/>
      <c r="BL493" s="68"/>
      <c r="BM493" s="68"/>
      <c r="BN493" s="68"/>
      <c r="BO493" s="68"/>
      <c r="BP493" s="68"/>
      <c r="BQ493" s="68"/>
      <c r="BR493" s="68"/>
      <c r="BS493" s="68"/>
      <c r="BT493" s="68"/>
      <c r="BU493" s="68"/>
      <c r="BV493" s="68"/>
      <c r="BW493" s="68"/>
      <c r="BX493" s="68"/>
      <c r="BY493" s="68"/>
      <c r="BZ493" s="68"/>
      <c r="CA493" s="68"/>
      <c r="CB493" s="68"/>
      <c r="CC493" s="68"/>
      <c r="CD493" s="68"/>
      <c r="CE493" s="68"/>
      <c r="CF493" s="68"/>
      <c r="CG493" s="68"/>
      <c r="CH493" s="68"/>
      <c r="CI493" s="68"/>
      <c r="CJ493" s="68"/>
      <c r="CK493" s="68"/>
      <c r="CL493" s="68"/>
      <c r="CM493" s="68"/>
      <c r="CN493" s="68"/>
      <c r="CO493" s="68"/>
      <c r="CP493" s="68"/>
      <c r="CQ493" s="68"/>
      <c r="CR493" s="68"/>
      <c r="CS493" s="68"/>
      <c r="CT493" s="68"/>
      <c r="CU493" s="68"/>
      <c r="CV493" s="68"/>
      <c r="CW493" s="68"/>
      <c r="CX493" s="68"/>
      <c r="CY493" s="68"/>
      <c r="CZ493" s="68"/>
      <c r="DA493" s="68"/>
      <c r="DB493" s="68"/>
      <c r="DC493" s="68"/>
      <c r="DD493" s="68"/>
      <c r="DE493" s="68"/>
      <c r="DF493" s="68"/>
      <c r="DG493" s="68"/>
      <c r="DH493" s="68"/>
      <c r="DI493" s="68"/>
      <c r="DJ493" s="68"/>
      <c r="DK493" s="68"/>
      <c r="DL493" s="68"/>
      <c r="DM493" s="68"/>
      <c r="DN493" s="68"/>
      <c r="DO493" s="68"/>
      <c r="DP493" s="68"/>
      <c r="DQ493" s="68"/>
      <c r="DR493" s="68"/>
      <c r="DS493" s="68"/>
      <c r="DT493" s="68"/>
    </row>
    <row r="494" spans="1:124" ht="21.75" customHeight="1">
      <c r="A494" s="313"/>
      <c r="B494" s="232"/>
      <c r="C494" s="233"/>
      <c r="D494" s="234"/>
      <c r="E494" s="70"/>
      <c r="F494" s="65"/>
      <c r="G494" s="65"/>
      <c r="H494" s="65"/>
      <c r="I494" s="65"/>
      <c r="J494" s="65"/>
      <c r="K494" s="65"/>
      <c r="L494" s="65"/>
      <c r="M494" s="65"/>
      <c r="N494" s="65"/>
      <c r="O494" s="65"/>
      <c r="P494" s="65"/>
      <c r="Q494" s="65"/>
      <c r="R494" s="65"/>
      <c r="S494" s="65"/>
      <c r="T494" s="65"/>
      <c r="U494" s="65"/>
      <c r="V494" s="65"/>
      <c r="W494" s="65"/>
      <c r="X494" s="70"/>
      <c r="Y494" s="70"/>
      <c r="Z494" s="70"/>
      <c r="AA494" s="70"/>
      <c r="AB494" s="70"/>
      <c r="AC494" s="70"/>
      <c r="AD494" s="70"/>
      <c r="AE494" s="70">
        <f>120/0.91</f>
        <v>131.86813186813185</v>
      </c>
      <c r="AF494" s="70"/>
      <c r="AG494" s="96">
        <f>110/0.86</f>
        <v>127.90697674418605</v>
      </c>
      <c r="AH494" s="70"/>
      <c r="AI494" s="70"/>
      <c r="AJ494" s="70">
        <f>130/0.86</f>
        <v>151.16279069767441</v>
      </c>
      <c r="AK494" s="70"/>
      <c r="AL494" s="96"/>
      <c r="AM494" s="96">
        <f>160/0.86</f>
        <v>186.04651162790697</v>
      </c>
      <c r="AN494" s="70"/>
      <c r="AO494" s="70"/>
      <c r="AP494" s="65"/>
      <c r="AQ494" s="65"/>
      <c r="AR494" s="65"/>
      <c r="AS494" s="70"/>
      <c r="AT494" s="70"/>
      <c r="AU494" s="70"/>
      <c r="AV494" s="70"/>
      <c r="AW494" s="70"/>
      <c r="AX494" s="65"/>
      <c r="AY494" s="65"/>
      <c r="AZ494" s="65"/>
      <c r="BA494" s="65"/>
      <c r="BB494" s="65"/>
      <c r="BC494" s="65"/>
      <c r="BD494" s="65"/>
      <c r="BE494" s="65"/>
      <c r="BF494" s="65"/>
      <c r="BG494" s="65"/>
      <c r="BH494" s="65"/>
      <c r="BI494" s="65"/>
      <c r="BJ494" s="65"/>
      <c r="BK494" s="65"/>
      <c r="BL494" s="65"/>
      <c r="BM494" s="65"/>
      <c r="BN494" s="65"/>
      <c r="BO494" s="65"/>
      <c r="BP494" s="65"/>
      <c r="BQ494" s="65"/>
      <c r="BR494" s="65"/>
      <c r="BS494" s="65"/>
      <c r="BT494" s="65"/>
      <c r="BU494" s="65"/>
      <c r="BV494" s="65"/>
      <c r="BW494" s="65"/>
      <c r="BX494" s="65"/>
      <c r="BY494" s="65"/>
      <c r="BZ494" s="65"/>
      <c r="CA494" s="65"/>
      <c r="CB494" s="65"/>
      <c r="CC494" s="65"/>
      <c r="CD494" s="65"/>
      <c r="CE494" s="65"/>
      <c r="CF494" s="65"/>
      <c r="CG494" s="65"/>
      <c r="CH494" s="65"/>
      <c r="CI494" s="65"/>
      <c r="CJ494" s="65"/>
      <c r="CK494" s="65"/>
      <c r="CL494" s="65"/>
      <c r="CM494" s="65"/>
      <c r="CN494" s="65"/>
      <c r="CO494" s="65"/>
      <c r="CP494" s="65"/>
      <c r="CQ494" s="65"/>
      <c r="CR494" s="65"/>
      <c r="CS494" s="65"/>
      <c r="CT494" s="65"/>
      <c r="CU494" s="65"/>
      <c r="CV494" s="65"/>
      <c r="CW494" s="65"/>
      <c r="CX494" s="65"/>
      <c r="CY494" s="65"/>
      <c r="CZ494" s="65"/>
      <c r="DA494" s="65"/>
      <c r="DB494" s="65"/>
      <c r="DC494" s="65"/>
      <c r="DD494" s="65"/>
      <c r="DE494" s="65"/>
      <c r="DF494" s="65"/>
      <c r="DG494" s="65"/>
      <c r="DH494" s="65"/>
      <c r="DI494" s="65"/>
      <c r="DJ494" s="65"/>
      <c r="DK494" s="65"/>
      <c r="DL494" s="65"/>
      <c r="DM494" s="65"/>
      <c r="DN494" s="65"/>
      <c r="DO494" s="65"/>
      <c r="DP494" s="65"/>
      <c r="DQ494" s="65"/>
      <c r="DR494" s="65"/>
      <c r="DS494" s="65"/>
      <c r="DT494" s="65"/>
    </row>
    <row r="495" spans="1:124" ht="21.75" customHeight="1">
      <c r="A495" s="313"/>
      <c r="B495" s="229" t="s">
        <v>167</v>
      </c>
      <c r="C495" s="230"/>
      <c r="D495" s="231"/>
      <c r="E495" s="69"/>
      <c r="F495" s="68"/>
      <c r="G495" s="68"/>
      <c r="H495" s="68"/>
      <c r="I495" s="68"/>
      <c r="J495" s="68"/>
      <c r="K495" s="68"/>
      <c r="L495" s="68"/>
      <c r="M495" s="68"/>
      <c r="N495" s="68"/>
      <c r="O495" s="68"/>
      <c r="P495" s="68"/>
      <c r="Q495" s="68"/>
      <c r="R495" s="68"/>
      <c r="S495" s="68"/>
      <c r="T495" s="68"/>
      <c r="U495" s="68"/>
      <c r="V495" s="68"/>
      <c r="W495" s="68"/>
      <c r="X495" s="69"/>
      <c r="Y495" s="69"/>
      <c r="Z495" s="69"/>
      <c r="AA495" s="69"/>
      <c r="AB495" s="69"/>
      <c r="AC495" s="69"/>
      <c r="AD495" s="69"/>
      <c r="AE495" s="69"/>
      <c r="AF495" s="69"/>
      <c r="AG495" s="69"/>
      <c r="AH495" s="69"/>
      <c r="AI495" s="69"/>
      <c r="AJ495" s="69"/>
      <c r="AK495" s="69"/>
      <c r="AL495" s="69"/>
      <c r="AM495" s="69"/>
      <c r="AN495" s="69"/>
      <c r="AO495" s="69"/>
      <c r="AP495" s="68"/>
      <c r="AQ495" s="68"/>
      <c r="AR495" s="68"/>
      <c r="AS495" s="69"/>
      <c r="AT495" s="69"/>
      <c r="AU495" s="69"/>
      <c r="AV495" s="69"/>
      <c r="AW495" s="69"/>
      <c r="AX495" s="68"/>
      <c r="AY495" s="68"/>
      <c r="AZ495" s="68"/>
      <c r="BA495" s="68"/>
      <c r="BB495" s="68"/>
      <c r="BC495" s="68"/>
      <c r="BD495" s="68"/>
      <c r="BE495" s="68"/>
      <c r="BF495" s="68"/>
      <c r="BG495" s="68"/>
      <c r="BH495" s="68"/>
      <c r="BI495" s="68"/>
      <c r="BJ495" s="68"/>
      <c r="BK495" s="68"/>
      <c r="BL495" s="68"/>
      <c r="BM495" s="68" t="s">
        <v>392</v>
      </c>
      <c r="BN495" s="68"/>
      <c r="BO495" s="68"/>
      <c r="BP495" s="68"/>
      <c r="BQ495" s="68"/>
      <c r="BR495" s="68"/>
      <c r="BS495" s="68" t="s">
        <v>392</v>
      </c>
      <c r="BT495" s="68"/>
      <c r="BU495" s="68"/>
      <c r="BV495" s="68"/>
      <c r="BW495" s="68"/>
      <c r="BX495" s="68"/>
      <c r="BY495" s="68"/>
      <c r="BZ495" s="68"/>
      <c r="CA495" s="68"/>
      <c r="CB495" s="68"/>
      <c r="CC495" s="68"/>
      <c r="CD495" s="68"/>
      <c r="CE495" s="68"/>
      <c r="CF495" s="68"/>
      <c r="CG495" s="68"/>
      <c r="CH495" s="68"/>
      <c r="CI495" s="68"/>
      <c r="CJ495" s="68"/>
      <c r="CK495" s="68"/>
      <c r="CL495" s="68"/>
      <c r="CM495" s="68"/>
      <c r="CN495" s="68"/>
      <c r="CO495" s="68"/>
      <c r="CP495" s="68"/>
      <c r="CQ495" s="68"/>
      <c r="CR495" s="68"/>
      <c r="CS495" s="68"/>
      <c r="CT495" s="68"/>
      <c r="CU495" s="68"/>
      <c r="CV495" s="68"/>
      <c r="CW495" s="68"/>
      <c r="CX495" s="68"/>
      <c r="CY495" s="68"/>
      <c r="CZ495" s="68"/>
      <c r="DA495" s="68"/>
      <c r="DB495" s="68"/>
      <c r="DC495" s="68"/>
      <c r="DD495" s="68"/>
      <c r="DE495" s="68"/>
      <c r="DF495" s="68"/>
      <c r="DG495" s="68"/>
      <c r="DH495" s="68"/>
      <c r="DI495" s="68"/>
      <c r="DJ495" s="68"/>
      <c r="DK495" s="68"/>
      <c r="DL495" s="68"/>
      <c r="DM495" s="68"/>
      <c r="DN495" s="68"/>
      <c r="DO495" s="68"/>
      <c r="DP495" s="68"/>
      <c r="DQ495" s="68"/>
      <c r="DR495" s="68"/>
      <c r="DS495" s="68"/>
      <c r="DT495" s="68"/>
    </row>
    <row r="496" spans="1:124" ht="21.75" customHeight="1">
      <c r="A496" s="313"/>
      <c r="B496" s="232"/>
      <c r="C496" s="233"/>
      <c r="D496" s="234"/>
      <c r="E496" s="70"/>
      <c r="F496" s="65"/>
      <c r="G496" s="65"/>
      <c r="H496" s="65"/>
      <c r="I496" s="65"/>
      <c r="J496" s="65"/>
      <c r="K496" s="65"/>
      <c r="L496" s="65"/>
      <c r="M496" s="65"/>
      <c r="N496" s="65"/>
      <c r="O496" s="65"/>
      <c r="P496" s="65"/>
      <c r="Q496" s="65"/>
      <c r="R496" s="65"/>
      <c r="S496" s="65"/>
      <c r="T496" s="65"/>
      <c r="U496" s="65"/>
      <c r="V496" s="65"/>
      <c r="W496" s="65"/>
      <c r="X496" s="70"/>
      <c r="Y496" s="70"/>
      <c r="Z496" s="70"/>
      <c r="AA496" s="70"/>
      <c r="AB496" s="70"/>
      <c r="AC496" s="70"/>
      <c r="AD496" s="70"/>
      <c r="AE496" s="70"/>
      <c r="AF496" s="70"/>
      <c r="AG496" s="70"/>
      <c r="AH496" s="70"/>
      <c r="AI496" s="70"/>
      <c r="AJ496" s="70"/>
      <c r="AK496" s="70"/>
      <c r="AL496" s="70"/>
      <c r="AM496" s="70"/>
      <c r="AN496" s="70"/>
      <c r="AO496" s="70"/>
      <c r="AP496" s="65"/>
      <c r="AQ496" s="65"/>
      <c r="AR496" s="65"/>
      <c r="AS496" s="70"/>
      <c r="AT496" s="70"/>
      <c r="AU496" s="70"/>
      <c r="AV496" s="70"/>
      <c r="AW496" s="70"/>
      <c r="AX496" s="65"/>
      <c r="AY496" s="65"/>
      <c r="AZ496" s="65"/>
      <c r="BA496" s="65"/>
      <c r="BB496" s="65"/>
      <c r="BC496" s="65"/>
      <c r="BD496" s="65"/>
      <c r="BE496" s="65"/>
      <c r="BF496" s="65"/>
      <c r="BG496" s="65"/>
      <c r="BH496" s="65"/>
      <c r="BI496" s="65"/>
      <c r="BJ496" s="65"/>
      <c r="BK496" s="65"/>
      <c r="BL496" s="65"/>
      <c r="BM496" s="65">
        <f>70/0.835</f>
        <v>83.832335329341319</v>
      </c>
      <c r="BN496" s="65"/>
      <c r="BO496" s="65"/>
      <c r="BP496" s="65"/>
      <c r="BQ496" s="65"/>
      <c r="BR496" s="65"/>
      <c r="BS496" s="65">
        <f>60/0.835</f>
        <v>71.856287425149702</v>
      </c>
      <c r="BT496" s="65"/>
      <c r="BU496" s="65"/>
      <c r="BV496" s="65"/>
      <c r="BW496" s="65"/>
      <c r="BX496" s="65"/>
      <c r="BY496" s="65"/>
      <c r="BZ496" s="65"/>
      <c r="CA496" s="65"/>
      <c r="CB496" s="65"/>
      <c r="CC496" s="65"/>
      <c r="CD496" s="65"/>
      <c r="CE496" s="65"/>
      <c r="CF496" s="65"/>
      <c r="CG496" s="65"/>
      <c r="CH496" s="65"/>
      <c r="CI496" s="65"/>
      <c r="CJ496" s="65"/>
      <c r="CK496" s="65"/>
      <c r="CL496" s="65"/>
      <c r="CM496" s="65"/>
      <c r="CN496" s="65"/>
      <c r="CO496" s="65"/>
      <c r="CP496" s="65"/>
      <c r="CQ496" s="65"/>
      <c r="CR496" s="65"/>
      <c r="CS496" s="65"/>
      <c r="CT496" s="65"/>
      <c r="CU496" s="65"/>
      <c r="CV496" s="65"/>
      <c r="CW496" s="65"/>
      <c r="CX496" s="65"/>
      <c r="CY496" s="65"/>
      <c r="CZ496" s="65"/>
      <c r="DA496" s="65"/>
      <c r="DB496" s="65"/>
      <c r="DC496" s="65"/>
      <c r="DD496" s="65"/>
      <c r="DE496" s="65"/>
      <c r="DF496" s="65"/>
      <c r="DG496" s="65"/>
      <c r="DH496" s="65"/>
      <c r="DI496" s="65"/>
      <c r="DJ496" s="65"/>
      <c r="DK496" s="65"/>
      <c r="DL496" s="65"/>
      <c r="DM496" s="65"/>
      <c r="DN496" s="65"/>
      <c r="DO496" s="65"/>
      <c r="DP496" s="65"/>
      <c r="DQ496" s="65"/>
      <c r="DR496" s="65"/>
      <c r="DS496" s="65"/>
      <c r="DT496" s="65"/>
    </row>
    <row r="497" spans="1:124" ht="21.75" customHeight="1">
      <c r="A497" s="313"/>
      <c r="B497" s="229" t="s">
        <v>123</v>
      </c>
      <c r="C497" s="230"/>
      <c r="D497" s="231"/>
      <c r="E497" s="69"/>
      <c r="F497" s="68"/>
      <c r="G497" s="68"/>
      <c r="H497" s="68"/>
      <c r="I497" s="68"/>
      <c r="J497" s="68"/>
      <c r="K497" s="68"/>
      <c r="L497" s="68"/>
      <c r="M497" s="68"/>
      <c r="N497" s="68"/>
      <c r="O497" s="68"/>
      <c r="P497" s="68"/>
      <c r="Q497" s="68"/>
      <c r="R497" s="68"/>
      <c r="S497" s="68"/>
      <c r="T497" s="68"/>
      <c r="U497" s="68"/>
      <c r="V497" s="68"/>
      <c r="W497" s="68"/>
      <c r="X497" s="69"/>
      <c r="Y497" s="69"/>
      <c r="Z497" s="69"/>
      <c r="AA497" s="69"/>
      <c r="AB497" s="69"/>
      <c r="AC497" s="69"/>
      <c r="AD497" s="69"/>
      <c r="AE497" s="69"/>
      <c r="AF497" s="69"/>
      <c r="AG497" s="69"/>
      <c r="AH497" s="69"/>
      <c r="AI497" s="69"/>
      <c r="AJ497" s="69"/>
      <c r="AK497" s="69"/>
      <c r="AL497" s="69"/>
      <c r="AM497" s="69"/>
      <c r="AN497" s="69"/>
      <c r="AO497" s="69"/>
      <c r="AP497" s="68" t="s">
        <v>125</v>
      </c>
      <c r="AQ497" s="68"/>
      <c r="AR497" s="68"/>
      <c r="AS497" s="69"/>
      <c r="AT497" s="69"/>
      <c r="AU497" s="69"/>
      <c r="AV497" s="69"/>
      <c r="AW497" s="69"/>
      <c r="AX497" s="68"/>
      <c r="AY497" s="68"/>
      <c r="AZ497" s="68"/>
      <c r="BA497" s="68"/>
      <c r="BB497" s="68"/>
      <c r="BC497" s="68"/>
      <c r="BD497" s="68"/>
      <c r="BE497" s="68"/>
      <c r="BF497" s="68"/>
      <c r="BG497" s="68"/>
      <c r="BH497" s="68"/>
      <c r="BI497" s="68"/>
      <c r="BJ497" s="68"/>
      <c r="BK497" s="68"/>
      <c r="BL497" s="68"/>
      <c r="BM497" s="68"/>
      <c r="BN497" s="68"/>
      <c r="BO497" s="68"/>
      <c r="BP497" s="68"/>
      <c r="BQ497" s="68"/>
      <c r="BR497" s="68"/>
      <c r="BS497" s="68"/>
      <c r="BT497" s="68"/>
      <c r="BU497" s="68"/>
      <c r="BV497" s="68"/>
      <c r="BW497" s="68"/>
      <c r="BX497" s="68"/>
      <c r="BY497" s="68"/>
      <c r="BZ497" s="68"/>
      <c r="CA497" s="68"/>
      <c r="CB497" s="68"/>
      <c r="CC497" s="68"/>
      <c r="CD497" s="68"/>
      <c r="CE497" s="68"/>
      <c r="CF497" s="68"/>
      <c r="CG497" s="68"/>
      <c r="CH497" s="68"/>
      <c r="CI497" s="68"/>
      <c r="CJ497" s="68"/>
      <c r="CK497" s="68"/>
      <c r="CL497" s="68"/>
      <c r="CM497" s="68"/>
      <c r="CN497" s="68"/>
      <c r="CO497" s="68"/>
      <c r="CP497" s="68"/>
      <c r="CQ497" s="68"/>
      <c r="CR497" s="68"/>
      <c r="CS497" s="68"/>
      <c r="CT497" s="68"/>
      <c r="CU497" s="68"/>
      <c r="CV497" s="68"/>
      <c r="CW497" s="68"/>
      <c r="CX497" s="68"/>
      <c r="CY497" s="68"/>
      <c r="CZ497" s="68"/>
      <c r="DA497" s="68"/>
      <c r="DB497" s="68"/>
      <c r="DC497" s="68"/>
      <c r="DD497" s="68"/>
      <c r="DE497" s="68"/>
      <c r="DF497" s="68"/>
      <c r="DG497" s="68"/>
      <c r="DH497" s="68"/>
      <c r="DI497" s="68"/>
      <c r="DJ497" s="68"/>
      <c r="DK497" s="68"/>
      <c r="DL497" s="68"/>
      <c r="DM497" s="68"/>
      <c r="DN497" s="68"/>
      <c r="DO497" s="68"/>
      <c r="DP497" s="68"/>
      <c r="DQ497" s="68"/>
      <c r="DR497" s="68"/>
      <c r="DS497" s="68"/>
      <c r="DT497" s="68"/>
    </row>
    <row r="498" spans="1:124" ht="21.75" customHeight="1">
      <c r="A498" s="313"/>
      <c r="B498" s="232"/>
      <c r="C498" s="233"/>
      <c r="D498" s="234"/>
      <c r="E498" s="70"/>
      <c r="F498" s="65"/>
      <c r="G498" s="65"/>
      <c r="H498" s="65"/>
      <c r="I498" s="65"/>
      <c r="J498" s="65"/>
      <c r="K498" s="65"/>
      <c r="L498" s="65"/>
      <c r="M498" s="65"/>
      <c r="N498" s="65"/>
      <c r="O498" s="65"/>
      <c r="P498" s="65"/>
      <c r="Q498" s="65"/>
      <c r="R498" s="65"/>
      <c r="S498" s="65"/>
      <c r="T498" s="65"/>
      <c r="U498" s="65"/>
      <c r="V498" s="65"/>
      <c r="W498" s="65"/>
      <c r="X498" s="70"/>
      <c r="Y498" s="70"/>
      <c r="Z498" s="70"/>
      <c r="AA498" s="70"/>
      <c r="AB498" s="70"/>
      <c r="AC498" s="70"/>
      <c r="AD498" s="70"/>
      <c r="AE498" s="70"/>
      <c r="AF498" s="70"/>
      <c r="AG498" s="70"/>
      <c r="AH498" s="70"/>
      <c r="AI498" s="70"/>
      <c r="AJ498" s="70"/>
      <c r="AK498" s="70"/>
      <c r="AL498" s="70"/>
      <c r="AM498" s="70"/>
      <c r="AN498" s="70"/>
      <c r="AO498" s="70"/>
      <c r="AP498" s="71">
        <v>24</v>
      </c>
      <c r="AQ498" s="65"/>
      <c r="AR498" s="65"/>
      <c r="AS498" s="70"/>
      <c r="AT498" s="70"/>
      <c r="AU498" s="70"/>
      <c r="AV498" s="70"/>
      <c r="AW498" s="70"/>
      <c r="AX498" s="65"/>
      <c r="AY498" s="65"/>
      <c r="AZ498" s="65"/>
      <c r="BA498" s="65"/>
      <c r="BB498" s="65"/>
      <c r="BC498" s="65"/>
      <c r="BD498" s="65"/>
      <c r="BE498" s="65"/>
      <c r="BF498" s="65"/>
      <c r="BG498" s="65"/>
      <c r="BH498" s="65"/>
      <c r="BI498" s="65"/>
      <c r="BJ498" s="65"/>
      <c r="BK498" s="65"/>
      <c r="BL498" s="65"/>
      <c r="BM498" s="65"/>
      <c r="BN498" s="65"/>
      <c r="BO498" s="65"/>
      <c r="BP498" s="65"/>
      <c r="BQ498" s="65"/>
      <c r="BR498" s="65"/>
      <c r="BS498" s="65"/>
      <c r="BT498" s="65"/>
      <c r="BU498" s="65"/>
      <c r="BV498" s="65"/>
      <c r="BW498" s="65"/>
      <c r="BX498" s="65"/>
      <c r="BY498" s="65"/>
      <c r="BZ498" s="65"/>
      <c r="CA498" s="65"/>
      <c r="CB498" s="65"/>
      <c r="CC498" s="65"/>
      <c r="CD498" s="65"/>
      <c r="CE498" s="65"/>
      <c r="CF498" s="65"/>
      <c r="CG498" s="65"/>
      <c r="CH498" s="65"/>
      <c r="CI498" s="65"/>
      <c r="CJ498" s="65"/>
      <c r="CK498" s="65"/>
      <c r="CL498" s="65"/>
      <c r="CM498" s="65"/>
      <c r="CN498" s="65"/>
      <c r="CO498" s="65"/>
      <c r="CP498" s="65"/>
      <c r="CQ498" s="65"/>
      <c r="CR498" s="65"/>
      <c r="CS498" s="65"/>
      <c r="CT498" s="65"/>
      <c r="CU498" s="65"/>
      <c r="CV498" s="65"/>
      <c r="CW498" s="65"/>
      <c r="CX498" s="65"/>
      <c r="CY498" s="65"/>
      <c r="CZ498" s="65"/>
      <c r="DA498" s="65"/>
      <c r="DB498" s="65"/>
      <c r="DC498" s="65"/>
      <c r="DD498" s="65"/>
      <c r="DE498" s="65"/>
      <c r="DF498" s="65"/>
      <c r="DG498" s="65"/>
      <c r="DH498" s="65"/>
      <c r="DI498" s="65"/>
      <c r="DJ498" s="65"/>
      <c r="DK498" s="65"/>
      <c r="DL498" s="65"/>
      <c r="DM498" s="65"/>
      <c r="DN498" s="65"/>
      <c r="DO498" s="65"/>
      <c r="DP498" s="65"/>
      <c r="DQ498" s="65"/>
      <c r="DR498" s="65"/>
      <c r="DS498" s="65"/>
      <c r="DT498" s="65"/>
    </row>
    <row r="499" spans="1:124" ht="21.75" customHeight="1">
      <c r="A499" s="313"/>
      <c r="B499" s="229" t="s">
        <v>133</v>
      </c>
      <c r="C499" s="230"/>
      <c r="D499" s="231"/>
      <c r="E499" s="69"/>
      <c r="F499" s="68"/>
      <c r="G499" s="68"/>
      <c r="H499" s="68"/>
      <c r="I499" s="68"/>
      <c r="J499" s="68"/>
      <c r="K499" s="68"/>
      <c r="L499" s="68"/>
      <c r="M499" s="68"/>
      <c r="N499" s="68"/>
      <c r="O499" s="68"/>
      <c r="P499" s="68"/>
      <c r="Q499" s="68"/>
      <c r="R499" s="68"/>
      <c r="S499" s="68"/>
      <c r="T499" s="68"/>
      <c r="U499" s="68"/>
      <c r="V499" s="68"/>
      <c r="W499" s="68"/>
      <c r="X499" s="69"/>
      <c r="Y499" s="69"/>
      <c r="Z499" s="69"/>
      <c r="AA499" s="69"/>
      <c r="AB499" s="69"/>
      <c r="AC499" s="69"/>
      <c r="AD499" s="69"/>
      <c r="AE499" s="69"/>
      <c r="AF499" s="69"/>
      <c r="AG499" s="69"/>
      <c r="AH499" s="69"/>
      <c r="AI499" s="69"/>
      <c r="AJ499" s="69"/>
      <c r="AK499" s="69"/>
      <c r="AL499" s="69"/>
      <c r="AM499" s="69"/>
      <c r="AN499" s="69"/>
      <c r="AO499" s="69"/>
      <c r="AP499" s="68"/>
      <c r="AQ499" s="68"/>
      <c r="AR499" s="68"/>
      <c r="AS499" s="69"/>
      <c r="AT499" s="69"/>
      <c r="AU499" s="69"/>
      <c r="AV499" s="69"/>
      <c r="AW499" s="69"/>
      <c r="AX499" s="68" t="s">
        <v>378</v>
      </c>
      <c r="AY499" s="68"/>
      <c r="AZ499" s="68"/>
      <c r="BA499" s="68" t="s">
        <v>557</v>
      </c>
      <c r="BB499" s="68"/>
      <c r="BC499" s="68"/>
      <c r="BD499" s="68"/>
      <c r="BE499" s="68"/>
      <c r="BF499" s="68"/>
      <c r="BG499" s="68"/>
      <c r="BH499" s="68"/>
      <c r="BI499" s="68"/>
      <c r="BJ499" s="68"/>
      <c r="BK499" s="68"/>
      <c r="BL499" s="68"/>
      <c r="BM499" s="68"/>
      <c r="BN499" s="68"/>
      <c r="BO499" s="68"/>
      <c r="BP499" s="68"/>
      <c r="BQ499" s="68"/>
      <c r="BR499" s="68"/>
      <c r="BS499" s="68"/>
      <c r="BT499" s="68"/>
      <c r="BU499" s="68"/>
      <c r="BV499" s="68"/>
      <c r="BW499" s="68"/>
      <c r="BX499" s="68"/>
      <c r="BY499" s="68"/>
      <c r="BZ499" s="68"/>
      <c r="CA499" s="68"/>
      <c r="CB499" s="68"/>
      <c r="CC499" s="68"/>
      <c r="CD499" s="68"/>
      <c r="CE499" s="68"/>
      <c r="CF499" s="68"/>
      <c r="CG499" s="68"/>
      <c r="CH499" s="68"/>
      <c r="CI499" s="68"/>
      <c r="CJ499" s="68"/>
      <c r="CK499" s="68"/>
      <c r="CL499" s="68"/>
      <c r="CM499" s="68"/>
      <c r="CN499" s="68"/>
      <c r="CO499" s="68"/>
      <c r="CP499" s="68"/>
      <c r="CQ499" s="68"/>
      <c r="CR499" s="68"/>
      <c r="CS499" s="68"/>
      <c r="CT499" s="68"/>
      <c r="CU499" s="68"/>
      <c r="CV499" s="68"/>
      <c r="CW499" s="68"/>
      <c r="CX499" s="68"/>
      <c r="CY499" s="68"/>
      <c r="CZ499" s="68"/>
      <c r="DA499" s="68"/>
      <c r="DB499" s="68"/>
      <c r="DC499" s="68"/>
      <c r="DD499" s="68"/>
      <c r="DE499" s="68"/>
      <c r="DF499" s="68"/>
      <c r="DG499" s="68"/>
      <c r="DH499" s="68"/>
      <c r="DI499" s="68"/>
      <c r="DJ499" s="68"/>
      <c r="DK499" s="68"/>
      <c r="DL499" s="68"/>
      <c r="DM499" s="68"/>
      <c r="DN499" s="68"/>
      <c r="DO499" s="68"/>
      <c r="DP499" s="68"/>
      <c r="DQ499" s="68"/>
      <c r="DR499" s="68"/>
      <c r="DS499" s="68"/>
      <c r="DT499" s="68"/>
    </row>
    <row r="500" spans="1:124" ht="21.75" customHeight="1">
      <c r="A500" s="313"/>
      <c r="B500" s="232"/>
      <c r="C500" s="233"/>
      <c r="D500" s="234"/>
      <c r="E500" s="70"/>
      <c r="F500" s="65"/>
      <c r="G500" s="65"/>
      <c r="H500" s="65"/>
      <c r="I500" s="65"/>
      <c r="J500" s="65"/>
      <c r="K500" s="65"/>
      <c r="L500" s="65"/>
      <c r="M500" s="65"/>
      <c r="N500" s="65"/>
      <c r="O500" s="65"/>
      <c r="P500" s="65"/>
      <c r="Q500" s="65"/>
      <c r="R500" s="65"/>
      <c r="S500" s="65"/>
      <c r="T500" s="65"/>
      <c r="U500" s="65"/>
      <c r="V500" s="65"/>
      <c r="W500" s="65"/>
      <c r="X500" s="70"/>
      <c r="Y500" s="70"/>
      <c r="Z500" s="70"/>
      <c r="AA500" s="70"/>
      <c r="AB500" s="70"/>
      <c r="AC500" s="70"/>
      <c r="AD500" s="70"/>
      <c r="AE500" s="70"/>
      <c r="AF500" s="70"/>
      <c r="AG500" s="70"/>
      <c r="AH500" s="70"/>
      <c r="AI500" s="70"/>
      <c r="AJ500" s="70"/>
      <c r="AK500" s="70"/>
      <c r="AL500" s="70"/>
      <c r="AM500" s="70"/>
      <c r="AN500" s="70"/>
      <c r="AO500" s="70"/>
      <c r="AP500" s="65"/>
      <c r="AQ500" s="65"/>
      <c r="AR500" s="65"/>
      <c r="AS500" s="70"/>
      <c r="AT500" s="70"/>
      <c r="AU500" s="70"/>
      <c r="AV500" s="70"/>
      <c r="AW500" s="70"/>
      <c r="AX500" s="65">
        <f>89/0.86</f>
        <v>103.48837209302326</v>
      </c>
      <c r="AY500" s="65"/>
      <c r="AZ500" s="65"/>
      <c r="BA500" s="65">
        <f>92/0.86</f>
        <v>106.97674418604652</v>
      </c>
      <c r="BB500" s="65"/>
      <c r="BC500" s="65"/>
      <c r="BD500" s="65"/>
      <c r="BE500" s="65"/>
      <c r="BF500" s="65"/>
      <c r="BG500" s="65"/>
      <c r="BH500" s="65"/>
      <c r="BI500" s="65"/>
      <c r="BJ500" s="65"/>
      <c r="BK500" s="65"/>
      <c r="BL500" s="65"/>
      <c r="BM500" s="65"/>
      <c r="BN500" s="65"/>
      <c r="BO500" s="65"/>
      <c r="BP500" s="65"/>
      <c r="BQ500" s="65"/>
      <c r="BR500" s="65"/>
      <c r="BS500" s="65"/>
      <c r="BT500" s="65"/>
      <c r="BU500" s="65"/>
      <c r="BV500" s="65"/>
      <c r="BW500" s="65"/>
      <c r="BX500" s="65"/>
      <c r="BY500" s="65"/>
      <c r="BZ500" s="65"/>
      <c r="CA500" s="65"/>
      <c r="CB500" s="65"/>
      <c r="CC500" s="65"/>
      <c r="CD500" s="65"/>
      <c r="CE500" s="65"/>
      <c r="CF500" s="65"/>
      <c r="CG500" s="65"/>
      <c r="CH500" s="65"/>
      <c r="CI500" s="65"/>
      <c r="CJ500" s="65"/>
      <c r="CK500" s="65"/>
      <c r="CL500" s="65"/>
      <c r="CM500" s="65"/>
      <c r="CN500" s="65"/>
      <c r="CO500" s="65"/>
      <c r="CP500" s="65"/>
      <c r="CQ500" s="65"/>
      <c r="CR500" s="65"/>
      <c r="CS500" s="65"/>
      <c r="CT500" s="65"/>
      <c r="CU500" s="65"/>
      <c r="CV500" s="65"/>
      <c r="CW500" s="65"/>
      <c r="CX500" s="65"/>
      <c r="CY500" s="65"/>
      <c r="CZ500" s="65"/>
      <c r="DA500" s="65"/>
      <c r="DB500" s="65"/>
      <c r="DC500" s="65"/>
      <c r="DD500" s="65"/>
      <c r="DE500" s="65"/>
      <c r="DF500" s="65"/>
      <c r="DG500" s="65"/>
      <c r="DH500" s="65"/>
      <c r="DI500" s="65"/>
      <c r="DJ500" s="65"/>
      <c r="DK500" s="65"/>
      <c r="DL500" s="65"/>
      <c r="DM500" s="65"/>
      <c r="DN500" s="65"/>
      <c r="DO500" s="65"/>
      <c r="DP500" s="65"/>
      <c r="DQ500" s="65"/>
      <c r="DR500" s="65"/>
      <c r="DS500" s="65"/>
      <c r="DT500" s="65"/>
    </row>
    <row r="501" spans="1:124" ht="21.75" customHeight="1">
      <c r="A501" s="313"/>
      <c r="B501" s="229" t="s">
        <v>414</v>
      </c>
      <c r="C501" s="230"/>
      <c r="D501" s="231"/>
      <c r="E501" s="69"/>
      <c r="F501" s="68"/>
      <c r="G501" s="68"/>
      <c r="H501" s="68"/>
      <c r="I501" s="68"/>
      <c r="J501" s="68"/>
      <c r="K501" s="68"/>
      <c r="L501" s="68"/>
      <c r="M501" s="68"/>
      <c r="N501" s="68"/>
      <c r="O501" s="68"/>
      <c r="P501" s="68"/>
      <c r="Q501" s="68"/>
      <c r="R501" s="68"/>
      <c r="S501" s="68"/>
      <c r="T501" s="68"/>
      <c r="U501" s="68"/>
      <c r="V501" s="68"/>
      <c r="W501" s="68"/>
      <c r="X501" s="69" t="s">
        <v>392</v>
      </c>
      <c r="Y501" s="69"/>
      <c r="Z501" s="69"/>
      <c r="AA501" s="69"/>
      <c r="AB501" s="69"/>
      <c r="AC501" s="69"/>
      <c r="AD501" s="69"/>
      <c r="AE501" s="69"/>
      <c r="AF501" s="69"/>
      <c r="AG501" s="69"/>
      <c r="AH501" s="69"/>
      <c r="AI501" s="69"/>
      <c r="AJ501" s="69"/>
      <c r="AK501" s="69"/>
      <c r="AL501" s="69"/>
      <c r="AM501" s="69"/>
      <c r="AN501" s="69"/>
      <c r="AO501" s="69"/>
      <c r="AP501" s="68"/>
      <c r="AQ501" s="68"/>
      <c r="AR501" s="68"/>
      <c r="AS501" s="69"/>
      <c r="AT501" s="69"/>
      <c r="AU501" s="69"/>
      <c r="AV501" s="69"/>
      <c r="AW501" s="69"/>
      <c r="AX501" s="68"/>
      <c r="AY501" s="68"/>
      <c r="AZ501" s="68"/>
      <c r="BA501" s="68"/>
      <c r="BB501" s="68"/>
      <c r="BC501" s="68"/>
      <c r="BD501" s="68"/>
      <c r="BE501" s="68"/>
      <c r="BF501" s="68"/>
      <c r="BG501" s="68" t="s">
        <v>395</v>
      </c>
      <c r="BH501" s="68"/>
      <c r="BI501" s="68"/>
      <c r="BJ501" s="68" t="s">
        <v>395</v>
      </c>
      <c r="BK501" s="68"/>
      <c r="BL501" s="68"/>
      <c r="BM501" s="68" t="s">
        <v>509</v>
      </c>
      <c r="BN501" s="68"/>
      <c r="BO501" s="68"/>
      <c r="BP501" s="68" t="s">
        <v>509</v>
      </c>
      <c r="BQ501" s="68"/>
      <c r="BR501" s="68"/>
      <c r="BS501" s="68" t="s">
        <v>509</v>
      </c>
      <c r="BT501" s="68"/>
      <c r="BU501" s="68"/>
      <c r="BV501" s="68"/>
      <c r="BW501" s="68"/>
      <c r="BX501" s="68"/>
      <c r="BY501" s="68"/>
      <c r="BZ501" s="68"/>
      <c r="CA501" s="68"/>
      <c r="CB501" s="68"/>
      <c r="CC501" s="68"/>
      <c r="CD501" s="68"/>
      <c r="CE501" s="68"/>
      <c r="CF501" s="68"/>
      <c r="CG501" s="68"/>
      <c r="CH501" s="68"/>
      <c r="CI501" s="68"/>
      <c r="CJ501" s="68"/>
      <c r="CK501" s="68"/>
      <c r="CL501" s="68"/>
      <c r="CM501" s="68"/>
      <c r="CN501" s="68"/>
      <c r="CO501" s="68"/>
      <c r="CP501" s="68"/>
      <c r="CQ501" s="68"/>
      <c r="CR501" s="68"/>
      <c r="CS501" s="68"/>
      <c r="CT501" s="68"/>
      <c r="CU501" s="68"/>
      <c r="CV501" s="68"/>
      <c r="CW501" s="68"/>
      <c r="CX501" s="68"/>
      <c r="CY501" s="68"/>
      <c r="CZ501" s="68"/>
      <c r="DA501" s="68"/>
      <c r="DB501" s="68"/>
      <c r="DC501" s="68"/>
      <c r="DD501" s="68"/>
      <c r="DE501" s="68"/>
      <c r="DF501" s="68"/>
      <c r="DG501" s="68"/>
      <c r="DH501" s="68"/>
      <c r="DI501" s="68"/>
      <c r="DJ501" s="68"/>
      <c r="DK501" s="68"/>
      <c r="DL501" s="68"/>
      <c r="DM501" s="68"/>
      <c r="DN501" s="68"/>
      <c r="DO501" s="68"/>
      <c r="DP501" s="68"/>
      <c r="DQ501" s="68"/>
      <c r="DR501" s="68"/>
      <c r="DS501" s="68"/>
      <c r="DT501" s="68"/>
    </row>
    <row r="502" spans="1:124" ht="21.75" customHeight="1">
      <c r="A502" s="313"/>
      <c r="B502" s="232"/>
      <c r="C502" s="233"/>
      <c r="D502" s="234"/>
      <c r="E502" s="70"/>
      <c r="F502" s="65"/>
      <c r="G502" s="65"/>
      <c r="H502" s="65"/>
      <c r="I502" s="65"/>
      <c r="J502" s="65"/>
      <c r="K502" s="65"/>
      <c r="L502" s="65"/>
      <c r="M502" s="65"/>
      <c r="N502" s="65"/>
      <c r="O502" s="65"/>
      <c r="P502" s="65"/>
      <c r="Q502" s="65"/>
      <c r="R502" s="65"/>
      <c r="S502" s="65"/>
      <c r="T502" s="65"/>
      <c r="U502" s="65"/>
      <c r="V502" s="65"/>
      <c r="W502" s="65"/>
      <c r="X502" s="70">
        <f>54/0.86</f>
        <v>62.790697674418603</v>
      </c>
      <c r="Y502" s="70"/>
      <c r="Z502" s="70"/>
      <c r="AA502" s="70"/>
      <c r="AB502" s="70"/>
      <c r="AC502" s="70"/>
      <c r="AD502" s="70"/>
      <c r="AE502" s="70"/>
      <c r="AF502" s="70"/>
      <c r="AG502" s="70"/>
      <c r="AH502" s="70"/>
      <c r="AI502" s="70"/>
      <c r="AJ502" s="70"/>
      <c r="AK502" s="70"/>
      <c r="AL502" s="70"/>
      <c r="AM502" s="70"/>
      <c r="AN502" s="70"/>
      <c r="AO502" s="70"/>
      <c r="AP502" s="65"/>
      <c r="AQ502" s="65"/>
      <c r="AR502" s="65"/>
      <c r="AS502" s="70"/>
      <c r="AT502" s="70"/>
      <c r="AU502" s="70"/>
      <c r="AV502" s="70"/>
      <c r="AW502" s="70"/>
      <c r="AX502" s="65"/>
      <c r="AY502" s="65"/>
      <c r="AZ502" s="65"/>
      <c r="BA502" s="65"/>
      <c r="BB502" s="65"/>
      <c r="BC502" s="65"/>
      <c r="BD502" s="65"/>
      <c r="BE502" s="65"/>
      <c r="BF502" s="65"/>
      <c r="BG502" s="65">
        <f>57/0.785</f>
        <v>72.611464968152859</v>
      </c>
      <c r="BH502" s="65"/>
      <c r="BI502" s="65"/>
      <c r="BJ502" s="65">
        <f>57/0.785</f>
        <v>72.611464968152859</v>
      </c>
      <c r="BK502" s="65"/>
      <c r="BL502" s="65"/>
      <c r="BM502" s="65">
        <f>61/0.785</f>
        <v>77.70700636942675</v>
      </c>
      <c r="BN502" s="65"/>
      <c r="BO502" s="65"/>
      <c r="BP502" s="65">
        <f>61/0.785</f>
        <v>77.70700636942675</v>
      </c>
      <c r="BQ502" s="65"/>
      <c r="BR502" s="65"/>
      <c r="BS502" s="65">
        <f>57/0.785</f>
        <v>72.611464968152859</v>
      </c>
      <c r="BT502" s="65"/>
      <c r="BU502" s="65"/>
      <c r="BV502" s="65"/>
      <c r="BW502" s="65"/>
      <c r="BX502" s="65"/>
      <c r="BY502" s="65"/>
      <c r="BZ502" s="65"/>
      <c r="CA502" s="65"/>
      <c r="CB502" s="65"/>
      <c r="CC502" s="65"/>
      <c r="CD502" s="65"/>
      <c r="CE502" s="65"/>
      <c r="CF502" s="65"/>
      <c r="CG502" s="65"/>
      <c r="CH502" s="65"/>
      <c r="CI502" s="65"/>
      <c r="CJ502" s="65"/>
      <c r="CK502" s="65"/>
      <c r="CL502" s="65"/>
      <c r="CM502" s="65"/>
      <c r="CN502" s="65"/>
      <c r="CO502" s="65"/>
      <c r="CP502" s="65"/>
      <c r="CQ502" s="65"/>
      <c r="CR502" s="65"/>
      <c r="CS502" s="65"/>
      <c r="CT502" s="65"/>
      <c r="CU502" s="65"/>
      <c r="CV502" s="65"/>
      <c r="CW502" s="65"/>
      <c r="CX502" s="65"/>
      <c r="CY502" s="65"/>
      <c r="CZ502" s="65"/>
      <c r="DA502" s="65"/>
      <c r="DB502" s="65"/>
      <c r="DC502" s="65"/>
      <c r="DD502" s="65"/>
      <c r="DE502" s="65"/>
      <c r="DF502" s="65"/>
      <c r="DG502" s="65"/>
      <c r="DH502" s="65"/>
      <c r="DI502" s="65"/>
      <c r="DJ502" s="65"/>
      <c r="DK502" s="65"/>
      <c r="DL502" s="65"/>
      <c r="DM502" s="65"/>
      <c r="DN502" s="65"/>
      <c r="DO502" s="65"/>
      <c r="DP502" s="65"/>
      <c r="DQ502" s="65"/>
      <c r="DR502" s="65"/>
      <c r="DS502" s="65"/>
      <c r="DT502" s="65"/>
    </row>
    <row r="503" spans="1:124" ht="21.75" customHeight="1">
      <c r="A503" s="313"/>
      <c r="B503" s="229" t="s">
        <v>103</v>
      </c>
      <c r="C503" s="230"/>
      <c r="D503" s="78" t="s">
        <v>415</v>
      </c>
      <c r="E503" s="70"/>
      <c r="F503" s="65"/>
      <c r="G503" s="65"/>
      <c r="H503" s="65"/>
      <c r="I503" s="65"/>
      <c r="J503" s="65"/>
      <c r="K503" s="65"/>
      <c r="L503" s="65"/>
      <c r="M503" s="65"/>
      <c r="N503" s="65"/>
      <c r="O503" s="65"/>
      <c r="P503" s="65"/>
      <c r="Q503" s="65"/>
      <c r="R503" s="65"/>
      <c r="S503" s="65"/>
      <c r="T503" s="65"/>
      <c r="U503" s="65"/>
      <c r="V503" s="65"/>
      <c r="W503" s="65"/>
      <c r="X503" s="70"/>
      <c r="Y503" s="70"/>
      <c r="Z503" s="70"/>
      <c r="AA503" s="70"/>
      <c r="AB503" s="70"/>
      <c r="AC503" s="70"/>
      <c r="AD503" s="70"/>
      <c r="AE503" s="70"/>
      <c r="AF503" s="70"/>
      <c r="AG503" s="96" t="s">
        <v>558</v>
      </c>
      <c r="AH503" s="70"/>
      <c r="AI503" s="70"/>
      <c r="AJ503" s="96" t="s">
        <v>559</v>
      </c>
      <c r="AK503" s="70"/>
      <c r="AL503" s="96"/>
      <c r="AM503" s="96" t="s">
        <v>560</v>
      </c>
      <c r="AN503" s="70"/>
      <c r="AO503" s="70"/>
      <c r="AP503" s="65"/>
      <c r="AQ503" s="65"/>
      <c r="AR503" s="65"/>
      <c r="AS503" s="70"/>
      <c r="AT503" s="70"/>
      <c r="AU503" s="70"/>
      <c r="AV503" s="70"/>
      <c r="AW503" s="70"/>
      <c r="AX503" s="65"/>
      <c r="AY503" s="65"/>
      <c r="AZ503" s="65"/>
      <c r="BA503" s="65"/>
      <c r="BB503" s="65"/>
      <c r="BC503" s="65"/>
      <c r="BD503" s="65"/>
      <c r="BE503" s="65"/>
      <c r="BF503" s="65"/>
      <c r="BG503" s="65"/>
      <c r="BH503" s="65"/>
      <c r="BI503" s="65"/>
      <c r="BJ503" s="65"/>
      <c r="BK503" s="65"/>
      <c r="BL503" s="65"/>
      <c r="BM503" s="65"/>
      <c r="BN503" s="65"/>
      <c r="BO503" s="65"/>
      <c r="BP503" s="65"/>
      <c r="BQ503" s="65"/>
      <c r="BR503" s="65"/>
      <c r="BS503" s="65"/>
      <c r="BT503" s="65"/>
      <c r="BU503" s="65"/>
      <c r="BV503" s="65"/>
      <c r="BW503" s="65"/>
      <c r="BX503" s="65"/>
      <c r="BY503" s="65"/>
      <c r="BZ503" s="65"/>
      <c r="CA503" s="65"/>
      <c r="CB503" s="65"/>
      <c r="CC503" s="65"/>
      <c r="CD503" s="65"/>
      <c r="CE503" s="65"/>
      <c r="CF503" s="65"/>
      <c r="CG503" s="65"/>
      <c r="CH503" s="65"/>
      <c r="CI503" s="65"/>
      <c r="CJ503" s="65"/>
      <c r="CK503" s="65"/>
      <c r="CL503" s="65"/>
      <c r="CM503" s="65"/>
      <c r="CN503" s="65"/>
      <c r="CO503" s="65"/>
      <c r="CP503" s="65"/>
      <c r="CQ503" s="65"/>
      <c r="CR503" s="65"/>
      <c r="CS503" s="65"/>
      <c r="CT503" s="65"/>
      <c r="CU503" s="65"/>
      <c r="CV503" s="65"/>
      <c r="CW503" s="65"/>
      <c r="CX503" s="65"/>
      <c r="CY503" s="65"/>
      <c r="CZ503" s="65"/>
      <c r="DA503" s="65"/>
      <c r="DB503" s="65"/>
      <c r="DC503" s="65"/>
      <c r="DD503" s="65"/>
      <c r="DE503" s="65"/>
      <c r="DF503" s="65"/>
      <c r="DG503" s="65"/>
      <c r="DH503" s="65"/>
      <c r="DI503" s="65"/>
      <c r="DJ503" s="65"/>
      <c r="DK503" s="65"/>
      <c r="DL503" s="65"/>
      <c r="DM503" s="65"/>
      <c r="DN503" s="65"/>
      <c r="DO503" s="65"/>
      <c r="DP503" s="65"/>
      <c r="DQ503" s="65"/>
      <c r="DR503" s="65"/>
      <c r="DS503" s="65"/>
      <c r="DT503" s="65"/>
    </row>
    <row r="504" spans="1:124" ht="21.75" customHeight="1">
      <c r="A504" s="313"/>
      <c r="B504" s="232"/>
      <c r="C504" s="233"/>
      <c r="D504" s="79" t="s">
        <v>418</v>
      </c>
      <c r="E504" s="70"/>
      <c r="F504" s="65"/>
      <c r="G504" s="65"/>
      <c r="H504" s="65"/>
      <c r="I504" s="65"/>
      <c r="J504" s="65"/>
      <c r="K504" s="65"/>
      <c r="L504" s="65"/>
      <c r="M504" s="65"/>
      <c r="N504" s="65"/>
      <c r="O504" s="65"/>
      <c r="P504" s="65"/>
      <c r="Q504" s="65"/>
      <c r="R504" s="65"/>
      <c r="S504" s="65"/>
      <c r="T504" s="65"/>
      <c r="U504" s="65"/>
      <c r="V504" s="65"/>
      <c r="W504" s="65"/>
      <c r="X504" s="70"/>
      <c r="Y504" s="70"/>
      <c r="Z504" s="70"/>
      <c r="AA504" s="70"/>
      <c r="AB504" s="70"/>
      <c r="AC504" s="70"/>
      <c r="AD504" s="70"/>
      <c r="AE504" s="70"/>
      <c r="AF504" s="70"/>
      <c r="AG504" s="70"/>
      <c r="AH504" s="70"/>
      <c r="AI504" s="70"/>
      <c r="AJ504" s="70"/>
      <c r="AK504" s="70"/>
      <c r="AL504" s="96"/>
      <c r="AM504" s="96" t="s">
        <v>561</v>
      </c>
      <c r="AN504" s="70"/>
      <c r="AO504" s="70"/>
      <c r="AP504" s="65"/>
      <c r="AQ504" s="65"/>
      <c r="AR504" s="65"/>
      <c r="AS504" s="70"/>
      <c r="AT504" s="70"/>
      <c r="AU504" s="70"/>
      <c r="AV504" s="70"/>
      <c r="AW504" s="70"/>
      <c r="AX504" s="65"/>
      <c r="AY504" s="65"/>
      <c r="AZ504" s="65"/>
      <c r="BA504" s="65"/>
      <c r="BB504" s="65"/>
      <c r="BC504" s="65"/>
      <c r="BD504" s="65"/>
      <c r="BE504" s="65"/>
      <c r="BF504" s="65"/>
      <c r="BG504" s="65"/>
      <c r="BH504" s="65"/>
      <c r="BI504" s="65"/>
      <c r="BJ504" s="65"/>
      <c r="BK504" s="65"/>
      <c r="BL504" s="65"/>
      <c r="BM504" s="65"/>
      <c r="BN504" s="65"/>
      <c r="BO504" s="65"/>
      <c r="BP504" s="65"/>
      <c r="BQ504" s="65"/>
      <c r="BR504" s="65"/>
      <c r="BS504" s="65"/>
      <c r="BT504" s="65"/>
      <c r="BU504" s="65"/>
      <c r="BV504" s="65"/>
      <c r="BW504" s="65"/>
      <c r="BX504" s="65"/>
      <c r="BY504" s="65"/>
      <c r="BZ504" s="65"/>
      <c r="CA504" s="65"/>
      <c r="CB504" s="65"/>
      <c r="CC504" s="65"/>
      <c r="CD504" s="65"/>
      <c r="CE504" s="65"/>
      <c r="CF504" s="65"/>
      <c r="CG504" s="65"/>
      <c r="CH504" s="65"/>
      <c r="CI504" s="65"/>
      <c r="CJ504" s="65"/>
      <c r="CK504" s="65"/>
      <c r="CL504" s="65"/>
      <c r="CM504" s="65"/>
      <c r="CN504" s="65"/>
      <c r="CO504" s="65"/>
      <c r="CP504" s="65"/>
      <c r="CQ504" s="65"/>
      <c r="CR504" s="65"/>
      <c r="CS504" s="65"/>
      <c r="CT504" s="65"/>
      <c r="CU504" s="65"/>
      <c r="CV504" s="65"/>
      <c r="CW504" s="65"/>
      <c r="CX504" s="65"/>
      <c r="CY504" s="65"/>
      <c r="CZ504" s="65"/>
      <c r="DA504" s="65"/>
      <c r="DB504" s="65"/>
      <c r="DC504" s="65"/>
      <c r="DD504" s="65"/>
      <c r="DE504" s="65"/>
      <c r="DF504" s="65"/>
      <c r="DG504" s="65"/>
      <c r="DH504" s="65"/>
      <c r="DI504" s="65"/>
      <c r="DJ504" s="65"/>
      <c r="DK504" s="65"/>
      <c r="DL504" s="65"/>
      <c r="DM504" s="65"/>
      <c r="DN504" s="65"/>
      <c r="DO504" s="65"/>
      <c r="DP504" s="65"/>
      <c r="DQ504" s="65"/>
      <c r="DR504" s="65"/>
      <c r="DS504" s="65"/>
      <c r="DT504" s="65"/>
    </row>
    <row r="505" spans="1:124" ht="21.75" customHeight="1">
      <c r="A505" s="313"/>
      <c r="B505" s="229" t="s">
        <v>532</v>
      </c>
      <c r="C505" s="230"/>
      <c r="D505" s="231"/>
      <c r="E505" s="111"/>
      <c r="F505" s="112"/>
      <c r="G505" s="112"/>
      <c r="H505" s="112"/>
      <c r="I505" s="112"/>
      <c r="J505" s="112"/>
      <c r="K505" s="112"/>
      <c r="L505" s="112"/>
      <c r="M505" s="112"/>
      <c r="N505" s="112"/>
      <c r="O505" s="112"/>
      <c r="P505" s="112"/>
      <c r="Q505" s="112"/>
      <c r="R505" s="112"/>
      <c r="S505" s="112"/>
      <c r="T505" s="112"/>
      <c r="U505" s="112"/>
      <c r="V505" s="112"/>
      <c r="W505" s="112"/>
      <c r="X505" s="111"/>
      <c r="Y505" s="111"/>
      <c r="Z505" s="111"/>
      <c r="AA505" s="111"/>
      <c r="AB505" s="111"/>
      <c r="AC505" s="111"/>
      <c r="AD505" s="111"/>
      <c r="AE505" s="111"/>
      <c r="AF505" s="111"/>
      <c r="AG505" s="111"/>
      <c r="AH505" s="111"/>
      <c r="AI505" s="111"/>
      <c r="AJ505" s="111"/>
      <c r="AK505" s="111"/>
      <c r="AL505" s="111"/>
      <c r="AM505" s="111"/>
      <c r="AN505" s="111"/>
      <c r="AO505" s="111"/>
      <c r="AP505" s="112"/>
      <c r="AQ505" s="112"/>
      <c r="AR505" s="112"/>
      <c r="AS505" s="111"/>
      <c r="AT505" s="111"/>
      <c r="AU505" s="111"/>
      <c r="AV505" s="111"/>
      <c r="AW505" s="111"/>
      <c r="AX505" s="112"/>
      <c r="AY505" s="112"/>
      <c r="AZ505" s="112"/>
      <c r="BA505" s="112"/>
      <c r="BB505" s="112"/>
      <c r="BC505" s="112"/>
      <c r="BD505" s="112"/>
      <c r="BE505" s="112"/>
      <c r="BF505" s="112"/>
      <c r="BG505" s="112"/>
      <c r="BH505" s="112"/>
      <c r="BI505" s="112"/>
      <c r="BJ505" s="112"/>
      <c r="BK505" s="112"/>
      <c r="BL505" s="112"/>
      <c r="BM505" s="112"/>
      <c r="BN505" s="112"/>
      <c r="BO505" s="112"/>
      <c r="BP505" s="112"/>
      <c r="BQ505" s="112"/>
      <c r="BR505" s="112"/>
      <c r="BS505" s="112"/>
      <c r="BT505" s="112"/>
      <c r="BU505" s="112"/>
      <c r="BV505" s="112"/>
      <c r="BW505" s="112"/>
      <c r="BX505" s="112"/>
      <c r="BY505" s="112"/>
      <c r="BZ505" s="112"/>
      <c r="CA505" s="112"/>
      <c r="CB505" s="112"/>
      <c r="CC505" s="112"/>
      <c r="CD505" s="112"/>
      <c r="CE505" s="112"/>
      <c r="CF505" s="112"/>
      <c r="CG505" s="112"/>
      <c r="CH505" s="112"/>
      <c r="CI505" s="112"/>
      <c r="CJ505" s="112"/>
      <c r="CK505" s="112"/>
      <c r="CL505" s="112"/>
      <c r="CM505" s="112"/>
      <c r="CN505" s="112"/>
      <c r="CO505" s="112"/>
      <c r="CP505" s="112"/>
      <c r="CQ505" s="112"/>
      <c r="CR505" s="112"/>
      <c r="CS505" s="112"/>
      <c r="CT505" s="112"/>
      <c r="CU505" s="112"/>
      <c r="CV505" s="112"/>
      <c r="CW505" s="112"/>
      <c r="CX505" s="112"/>
      <c r="CY505" s="112"/>
      <c r="CZ505" s="112"/>
      <c r="DA505" s="112"/>
      <c r="DB505" s="112"/>
      <c r="DC505" s="112"/>
      <c r="DD505" s="112"/>
      <c r="DE505" s="112"/>
      <c r="DF505" s="112"/>
      <c r="DG505" s="112"/>
      <c r="DH505" s="112"/>
      <c r="DI505" s="112"/>
      <c r="DJ505" s="112"/>
      <c r="DK505" s="112"/>
      <c r="DL505" s="112"/>
      <c r="DM505" s="112"/>
      <c r="DN505" s="112"/>
      <c r="DO505" s="112"/>
      <c r="DP505" s="112"/>
      <c r="DQ505" s="112"/>
      <c r="DR505" s="112"/>
      <c r="DS505" s="112"/>
      <c r="DT505" s="112"/>
    </row>
    <row r="506" spans="1:124" ht="21.75" customHeight="1" thickBot="1">
      <c r="A506" s="313"/>
      <c r="B506" s="285"/>
      <c r="C506" s="286"/>
      <c r="D506" s="287"/>
      <c r="E506" s="116"/>
      <c r="F506" s="112"/>
      <c r="G506" s="112"/>
      <c r="H506" s="112"/>
      <c r="I506" s="112"/>
      <c r="J506" s="112"/>
      <c r="K506" s="112"/>
      <c r="L506" s="112"/>
      <c r="M506" s="112"/>
      <c r="N506" s="112"/>
      <c r="O506" s="112"/>
      <c r="P506" s="112"/>
      <c r="Q506" s="112"/>
      <c r="R506" s="112"/>
      <c r="S506" s="112"/>
      <c r="T506" s="112"/>
      <c r="U506" s="112"/>
      <c r="V506" s="112"/>
      <c r="W506" s="112"/>
      <c r="X506" s="116"/>
      <c r="Y506" s="116"/>
      <c r="Z506" s="116"/>
      <c r="AA506" s="116"/>
      <c r="AB506" s="116"/>
      <c r="AC506" s="116"/>
      <c r="AD506" s="116"/>
      <c r="AE506" s="116"/>
      <c r="AF506" s="116"/>
      <c r="AG506" s="116"/>
      <c r="AH506" s="116"/>
      <c r="AI506" s="116"/>
      <c r="AJ506" s="116"/>
      <c r="AK506" s="116"/>
      <c r="AL506" s="116"/>
      <c r="AM506" s="116"/>
      <c r="AN506" s="116"/>
      <c r="AO506" s="116"/>
      <c r="AP506" s="112"/>
      <c r="AQ506" s="112"/>
      <c r="AR506" s="112"/>
      <c r="AS506" s="116"/>
      <c r="AT506" s="116"/>
      <c r="AU506" s="116"/>
      <c r="AV506" s="116"/>
      <c r="AW506" s="116"/>
      <c r="AX506" s="112"/>
      <c r="AY506" s="112"/>
      <c r="AZ506" s="112"/>
      <c r="BA506" s="112"/>
      <c r="BB506" s="112"/>
      <c r="BC506" s="112"/>
      <c r="BD506" s="112"/>
      <c r="BE506" s="112"/>
      <c r="BF506" s="112"/>
      <c r="BG506" s="112"/>
      <c r="BH506" s="112"/>
      <c r="BI506" s="112"/>
      <c r="BJ506" s="112"/>
      <c r="BK506" s="112"/>
      <c r="BL506" s="112"/>
      <c r="BM506" s="112"/>
      <c r="BN506" s="112"/>
      <c r="BO506" s="112"/>
      <c r="BP506" s="112"/>
      <c r="BQ506" s="112"/>
      <c r="BR506" s="112"/>
      <c r="BS506" s="112"/>
      <c r="BT506" s="112"/>
      <c r="BU506" s="112"/>
      <c r="BV506" s="112"/>
      <c r="BW506" s="112"/>
      <c r="BX506" s="112"/>
      <c r="BY506" s="112"/>
      <c r="BZ506" s="112"/>
      <c r="CA506" s="112"/>
      <c r="CB506" s="112"/>
      <c r="CC506" s="112"/>
      <c r="CD506" s="112"/>
      <c r="CE506" s="112"/>
      <c r="CF506" s="112"/>
      <c r="CG506" s="112"/>
      <c r="CH506" s="112"/>
      <c r="CI506" s="112"/>
      <c r="CJ506" s="112"/>
      <c r="CK506" s="112"/>
      <c r="CL506" s="112"/>
      <c r="CM506" s="112"/>
      <c r="CN506" s="112"/>
      <c r="CO506" s="112"/>
      <c r="CP506" s="112"/>
      <c r="CQ506" s="112"/>
      <c r="CR506" s="112"/>
      <c r="CS506" s="112"/>
      <c r="CT506" s="112"/>
      <c r="CU506" s="112"/>
      <c r="CV506" s="112"/>
      <c r="CW506" s="112"/>
      <c r="CX506" s="112"/>
      <c r="CY506" s="112"/>
      <c r="CZ506" s="112"/>
      <c r="DA506" s="112"/>
      <c r="DB506" s="112"/>
      <c r="DC506" s="112"/>
      <c r="DD506" s="112"/>
      <c r="DE506" s="112"/>
      <c r="DF506" s="112"/>
      <c r="DG506" s="112"/>
      <c r="DH506" s="112"/>
      <c r="DI506" s="112"/>
      <c r="DJ506" s="112"/>
      <c r="DK506" s="112"/>
      <c r="DL506" s="112"/>
      <c r="DM506" s="112"/>
      <c r="DN506" s="112"/>
      <c r="DO506" s="112"/>
      <c r="DP506" s="112"/>
      <c r="DQ506" s="112"/>
      <c r="DR506" s="112"/>
      <c r="DS506" s="112"/>
      <c r="DT506" s="112"/>
    </row>
    <row r="507" spans="1:124" ht="21.75" customHeight="1">
      <c r="A507" s="313"/>
      <c r="B507" s="235" t="s">
        <v>127</v>
      </c>
      <c r="C507" s="236"/>
      <c r="D507" s="237"/>
      <c r="E507" s="80"/>
      <c r="F507" s="80"/>
      <c r="G507" s="80"/>
      <c r="H507" s="80"/>
      <c r="I507" s="80"/>
      <c r="J507" s="80"/>
      <c r="K507" s="80"/>
      <c r="L507" s="80"/>
      <c r="M507" s="80"/>
      <c r="N507" s="80"/>
      <c r="O507" s="80"/>
      <c r="P507" s="80"/>
      <c r="Q507" s="80"/>
      <c r="R507" s="80"/>
      <c r="S507" s="80"/>
      <c r="T507" s="80"/>
      <c r="U507" s="80"/>
      <c r="V507" s="80"/>
      <c r="W507" s="80"/>
      <c r="X507" s="80"/>
      <c r="Y507" s="80"/>
      <c r="Z507" s="80"/>
      <c r="AA507" s="80"/>
      <c r="AB507" s="80"/>
      <c r="AC507" s="80"/>
      <c r="AD507" s="80"/>
      <c r="AE507" s="80"/>
      <c r="AF507" s="80"/>
      <c r="AG507" s="80"/>
      <c r="AH507" s="80"/>
      <c r="AI507" s="80"/>
      <c r="AJ507" s="80"/>
      <c r="AK507" s="80"/>
      <c r="AL507" s="80"/>
      <c r="AM507" s="80"/>
      <c r="AN507" s="80"/>
      <c r="AO507" s="80"/>
      <c r="AP507" s="68"/>
      <c r="AQ507" s="68"/>
      <c r="AR507" s="68"/>
      <c r="AS507" s="80"/>
      <c r="AT507" s="80"/>
      <c r="AU507" s="80"/>
      <c r="AV507" s="80"/>
      <c r="AW507" s="80"/>
      <c r="AX507" s="80"/>
      <c r="AY507" s="80"/>
      <c r="AZ507" s="80"/>
      <c r="BA507" s="80"/>
      <c r="BB507" s="80"/>
      <c r="BC507" s="80"/>
      <c r="BD507" s="80"/>
      <c r="BE507" s="80"/>
      <c r="BF507" s="69"/>
      <c r="BG507" s="68"/>
      <c r="BH507" s="68"/>
      <c r="BI507" s="68"/>
      <c r="BJ507" s="68"/>
      <c r="BK507" s="68"/>
      <c r="BL507" s="68"/>
      <c r="BM507" s="68"/>
      <c r="BN507" s="68"/>
      <c r="BO507" s="68"/>
      <c r="BP507" s="68"/>
      <c r="BQ507" s="68"/>
      <c r="BR507" s="68"/>
      <c r="BS507" s="68"/>
      <c r="BT507" s="68"/>
      <c r="BU507" s="68"/>
      <c r="BV507" s="68"/>
      <c r="BW507" s="68"/>
      <c r="BX507" s="68"/>
      <c r="BY507" s="68"/>
      <c r="BZ507" s="68"/>
      <c r="CA507" s="68"/>
      <c r="CB507" s="68"/>
      <c r="CC507" s="68"/>
      <c r="CD507" s="68"/>
      <c r="CE507" s="68"/>
      <c r="CF507" s="68"/>
      <c r="CG507" s="68"/>
      <c r="CH507" s="68"/>
      <c r="CI507" s="68"/>
      <c r="CJ507" s="68"/>
      <c r="CK507" s="68"/>
      <c r="CL507" s="68"/>
      <c r="CM507" s="68"/>
      <c r="CN507" s="68"/>
      <c r="CO507" s="68"/>
      <c r="CP507" s="68"/>
      <c r="CQ507" s="68"/>
      <c r="CR507" s="68"/>
      <c r="CS507" s="68"/>
      <c r="CT507" s="68"/>
      <c r="CU507" s="68"/>
      <c r="CV507" s="68"/>
      <c r="CW507" s="68"/>
      <c r="CX507" s="68"/>
      <c r="CY507" s="68"/>
      <c r="CZ507" s="68"/>
      <c r="DA507" s="68"/>
      <c r="DB507" s="68"/>
      <c r="DC507" s="68"/>
      <c r="DD507" s="68"/>
      <c r="DE507" s="68"/>
      <c r="DF507" s="68"/>
      <c r="DG507" s="68"/>
      <c r="DH507" s="68"/>
      <c r="DI507" s="68"/>
      <c r="DJ507" s="68"/>
      <c r="DK507" s="68"/>
      <c r="DL507" s="68"/>
      <c r="DM507" s="68"/>
      <c r="DN507" s="68"/>
      <c r="DO507" s="68"/>
      <c r="DP507" s="68"/>
      <c r="DQ507" s="68"/>
      <c r="DR507" s="68"/>
      <c r="DS507" s="68"/>
      <c r="DT507" s="68"/>
    </row>
    <row r="508" spans="1:124" ht="21.75" customHeight="1">
      <c r="A508" s="313"/>
      <c r="B508" s="232"/>
      <c r="C508" s="233"/>
      <c r="D508" s="234"/>
      <c r="E508" s="70"/>
      <c r="F508" s="70"/>
      <c r="G508" s="70"/>
      <c r="H508" s="70"/>
      <c r="I508" s="70"/>
      <c r="J508" s="70"/>
      <c r="K508" s="70"/>
      <c r="L508" s="70"/>
      <c r="M508" s="70"/>
      <c r="N508" s="70"/>
      <c r="O508" s="70"/>
      <c r="P508" s="70"/>
      <c r="Q508" s="70"/>
      <c r="R508" s="70"/>
      <c r="S508" s="70"/>
      <c r="T508" s="70"/>
      <c r="U508" s="70"/>
      <c r="V508" s="70"/>
      <c r="W508" s="70"/>
      <c r="X508" s="70"/>
      <c r="Y508" s="70"/>
      <c r="Z508" s="70"/>
      <c r="AA508" s="70"/>
      <c r="AB508" s="70"/>
      <c r="AC508" s="70"/>
      <c r="AD508" s="70"/>
      <c r="AE508" s="70"/>
      <c r="AF508" s="70"/>
      <c r="AG508" s="70"/>
      <c r="AH508" s="70"/>
      <c r="AI508" s="70"/>
      <c r="AJ508" s="70"/>
      <c r="AK508" s="70"/>
      <c r="AL508" s="70"/>
      <c r="AM508" s="70"/>
      <c r="AN508" s="70"/>
      <c r="AO508" s="70"/>
      <c r="AP508" s="65"/>
      <c r="AQ508" s="65"/>
      <c r="AR508" s="65"/>
      <c r="AS508" s="70"/>
      <c r="AT508" s="70"/>
      <c r="AU508" s="70"/>
      <c r="AV508" s="70"/>
      <c r="AW508" s="70"/>
      <c r="AX508" s="70"/>
      <c r="AY508" s="70"/>
      <c r="AZ508" s="70"/>
      <c r="BA508" s="70"/>
      <c r="BB508" s="70"/>
      <c r="BC508" s="70"/>
      <c r="BD508" s="70"/>
      <c r="BE508" s="70"/>
      <c r="BF508" s="70"/>
      <c r="BG508" s="65"/>
      <c r="BH508" s="65"/>
      <c r="BI508" s="65"/>
      <c r="BJ508" s="65"/>
      <c r="BK508" s="65"/>
      <c r="BL508" s="65"/>
      <c r="BM508" s="65"/>
      <c r="BN508" s="65"/>
      <c r="BO508" s="65"/>
      <c r="BP508" s="65"/>
      <c r="BQ508" s="65"/>
      <c r="BR508" s="65"/>
      <c r="BS508" s="65"/>
      <c r="BT508" s="65"/>
      <c r="BU508" s="65"/>
      <c r="BV508" s="65"/>
      <c r="BW508" s="65"/>
      <c r="BX508" s="65"/>
      <c r="BY508" s="65"/>
      <c r="BZ508" s="65"/>
      <c r="CA508" s="65"/>
      <c r="CB508" s="65"/>
      <c r="CC508" s="65"/>
      <c r="CD508" s="65"/>
      <c r="CE508" s="65"/>
      <c r="CF508" s="65"/>
      <c r="CG508" s="65"/>
      <c r="CH508" s="65"/>
      <c r="CI508" s="65"/>
      <c r="CJ508" s="65"/>
      <c r="CK508" s="65"/>
      <c r="CL508" s="65"/>
      <c r="CM508" s="65"/>
      <c r="CN508" s="65"/>
      <c r="CO508" s="65"/>
      <c r="CP508" s="65"/>
      <c r="CQ508" s="65"/>
      <c r="CR508" s="65"/>
      <c r="CS508" s="65"/>
      <c r="CT508" s="65"/>
      <c r="CU508" s="65"/>
      <c r="CV508" s="65"/>
      <c r="CW508" s="65"/>
      <c r="CX508" s="65"/>
      <c r="CY508" s="65"/>
      <c r="CZ508" s="65"/>
      <c r="DA508" s="65"/>
      <c r="DB508" s="65"/>
      <c r="DC508" s="65"/>
      <c r="DD508" s="65"/>
      <c r="DE508" s="65"/>
      <c r="DF508" s="65"/>
      <c r="DG508" s="65"/>
      <c r="DH508" s="65"/>
      <c r="DI508" s="65"/>
      <c r="DJ508" s="65"/>
      <c r="DK508" s="65"/>
      <c r="DL508" s="65"/>
      <c r="DM508" s="65"/>
      <c r="DN508" s="65"/>
      <c r="DO508" s="65"/>
      <c r="DP508" s="65"/>
      <c r="DQ508" s="65"/>
      <c r="DR508" s="65"/>
      <c r="DS508" s="65"/>
      <c r="DT508" s="65"/>
    </row>
    <row r="509" spans="1:124" ht="21.75" customHeight="1">
      <c r="A509" s="313"/>
      <c r="B509" s="229" t="s">
        <v>421</v>
      </c>
      <c r="C509" s="230"/>
      <c r="D509" s="231"/>
      <c r="E509" s="69"/>
      <c r="F509" s="68"/>
      <c r="G509" s="68"/>
      <c r="H509" s="68"/>
      <c r="I509" s="68"/>
      <c r="J509" s="68"/>
      <c r="K509" s="68"/>
      <c r="L509" s="68"/>
      <c r="M509" s="68"/>
      <c r="N509" s="68"/>
      <c r="O509" s="68"/>
      <c r="P509" s="68"/>
      <c r="Q509" s="68"/>
      <c r="R509" s="68"/>
      <c r="S509" s="68"/>
      <c r="T509" s="68"/>
      <c r="U509" s="68"/>
      <c r="V509" s="68"/>
      <c r="W509" s="68"/>
      <c r="X509" s="69"/>
      <c r="Y509" s="69"/>
      <c r="Z509" s="69"/>
      <c r="AA509" s="69"/>
      <c r="AB509" s="69"/>
      <c r="AC509" s="69"/>
      <c r="AD509" s="69"/>
      <c r="AE509" s="69"/>
      <c r="AF509" s="69"/>
      <c r="AG509" s="69"/>
      <c r="AH509" s="69"/>
      <c r="AI509" s="69"/>
      <c r="AJ509" s="69"/>
      <c r="AK509" s="69"/>
      <c r="AL509" s="69"/>
      <c r="AM509" s="69"/>
      <c r="AN509" s="69"/>
      <c r="AO509" s="69"/>
      <c r="AP509" s="68"/>
      <c r="AQ509" s="68"/>
      <c r="AR509" s="68"/>
      <c r="AS509" s="69"/>
      <c r="AT509" s="69"/>
      <c r="AU509" s="69"/>
      <c r="AV509" s="69"/>
      <c r="AW509" s="69"/>
      <c r="AX509" s="68"/>
      <c r="AY509" s="68"/>
      <c r="AZ509" s="68"/>
      <c r="BA509" s="68"/>
      <c r="BB509" s="68"/>
      <c r="BC509" s="68"/>
      <c r="BD509" s="68"/>
      <c r="BE509" s="68"/>
      <c r="BF509" s="68"/>
      <c r="BG509" s="68"/>
      <c r="BH509" s="68"/>
      <c r="BI509" s="68"/>
      <c r="BJ509" s="68"/>
      <c r="BK509" s="68"/>
      <c r="BL509" s="68"/>
      <c r="BM509" s="68"/>
      <c r="BN509" s="68"/>
      <c r="BO509" s="68"/>
      <c r="BP509" s="68"/>
      <c r="BQ509" s="68"/>
      <c r="BR509" s="68"/>
      <c r="BS509" s="68"/>
      <c r="BT509" s="68"/>
      <c r="BU509" s="68"/>
      <c r="BV509" s="68"/>
      <c r="BW509" s="68"/>
      <c r="BX509" s="68"/>
      <c r="BY509" s="68"/>
      <c r="BZ509" s="68"/>
      <c r="CA509" s="68"/>
      <c r="CB509" s="68"/>
      <c r="CC509" s="68"/>
      <c r="CD509" s="68"/>
      <c r="CE509" s="68"/>
      <c r="CF509" s="68"/>
      <c r="CG509" s="68"/>
      <c r="CH509" s="68"/>
      <c r="CI509" s="68"/>
      <c r="CJ509" s="68"/>
      <c r="CK509" s="68"/>
      <c r="CL509" s="68"/>
      <c r="CM509" s="68"/>
      <c r="CN509" s="68"/>
      <c r="CO509" s="68"/>
      <c r="CP509" s="68"/>
      <c r="CQ509" s="68"/>
      <c r="CR509" s="68"/>
      <c r="CS509" s="68"/>
      <c r="CT509" s="68"/>
      <c r="CU509" s="68"/>
      <c r="CV509" s="68"/>
      <c r="CW509" s="68"/>
      <c r="CX509" s="68"/>
      <c r="CY509" s="68"/>
      <c r="CZ509" s="68"/>
      <c r="DA509" s="68"/>
      <c r="DB509" s="68"/>
      <c r="DC509" s="68"/>
      <c r="DD509" s="68"/>
      <c r="DE509" s="68"/>
      <c r="DF509" s="68"/>
      <c r="DG509" s="68"/>
      <c r="DH509" s="68"/>
      <c r="DI509" s="68"/>
      <c r="DJ509" s="68"/>
      <c r="DK509" s="68"/>
      <c r="DL509" s="68"/>
      <c r="DM509" s="68"/>
      <c r="DN509" s="68"/>
      <c r="DO509" s="68"/>
      <c r="DP509" s="68"/>
      <c r="DQ509" s="68"/>
      <c r="DR509" s="68"/>
      <c r="DS509" s="68"/>
      <c r="DT509" s="68"/>
    </row>
    <row r="510" spans="1:124" ht="21.75" customHeight="1">
      <c r="A510" s="313"/>
      <c r="B510" s="232"/>
      <c r="C510" s="233"/>
      <c r="D510" s="234"/>
      <c r="E510" s="70"/>
      <c r="F510" s="65"/>
      <c r="G510" s="65"/>
      <c r="H510" s="65"/>
      <c r="I510" s="65"/>
      <c r="J510" s="65"/>
      <c r="K510" s="65"/>
      <c r="L510" s="65"/>
      <c r="M510" s="65"/>
      <c r="N510" s="65"/>
      <c r="O510" s="65"/>
      <c r="P510" s="65"/>
      <c r="Q510" s="65"/>
      <c r="R510" s="65"/>
      <c r="S510" s="65"/>
      <c r="T510" s="65"/>
      <c r="U510" s="65"/>
      <c r="V510" s="65"/>
      <c r="W510" s="65"/>
      <c r="X510" s="70"/>
      <c r="Y510" s="70"/>
      <c r="Z510" s="70"/>
      <c r="AA510" s="70"/>
      <c r="AB510" s="70"/>
      <c r="AC510" s="70"/>
      <c r="AD510" s="70"/>
      <c r="AE510" s="70"/>
      <c r="AF510" s="70"/>
      <c r="AG510" s="70"/>
      <c r="AH510" s="70"/>
      <c r="AI510" s="70"/>
      <c r="AJ510" s="70"/>
      <c r="AK510" s="70"/>
      <c r="AL510" s="70"/>
      <c r="AM510" s="70"/>
      <c r="AN510" s="70"/>
      <c r="AO510" s="70"/>
      <c r="AP510" s="65"/>
      <c r="AQ510" s="65"/>
      <c r="AR510" s="65"/>
      <c r="AS510" s="70"/>
      <c r="AT510" s="70"/>
      <c r="AU510" s="70"/>
      <c r="AV510" s="70"/>
      <c r="AW510" s="70"/>
      <c r="AX510" s="65"/>
      <c r="AY510" s="65"/>
      <c r="AZ510" s="65"/>
      <c r="BA510" s="65"/>
      <c r="BB510" s="65"/>
      <c r="BC510" s="65"/>
      <c r="BD510" s="65"/>
      <c r="BE510" s="65"/>
      <c r="BF510" s="65"/>
      <c r="BG510" s="65"/>
      <c r="BH510" s="65"/>
      <c r="BI510" s="65"/>
      <c r="BJ510" s="65"/>
      <c r="BK510" s="65"/>
      <c r="BL510" s="65"/>
      <c r="BM510" s="65"/>
      <c r="BN510" s="65"/>
      <c r="BO510" s="65"/>
      <c r="BP510" s="65"/>
      <c r="BQ510" s="65"/>
      <c r="BR510" s="65"/>
      <c r="BS510" s="65"/>
      <c r="BT510" s="65"/>
      <c r="BU510" s="65"/>
      <c r="BV510" s="65"/>
      <c r="BW510" s="65"/>
      <c r="BX510" s="65"/>
      <c r="BY510" s="65"/>
      <c r="BZ510" s="65"/>
      <c r="CA510" s="65"/>
      <c r="CB510" s="65"/>
      <c r="CC510" s="65"/>
      <c r="CD510" s="65"/>
      <c r="CE510" s="65"/>
      <c r="CF510" s="65"/>
      <c r="CG510" s="65"/>
      <c r="CH510" s="65"/>
      <c r="CI510" s="65"/>
      <c r="CJ510" s="65"/>
      <c r="CK510" s="65"/>
      <c r="CL510" s="65"/>
      <c r="CM510" s="65"/>
      <c r="CN510" s="65"/>
      <c r="CO510" s="65"/>
      <c r="CP510" s="65"/>
      <c r="CQ510" s="65"/>
      <c r="CR510" s="65"/>
      <c r="CS510" s="65"/>
      <c r="CT510" s="65"/>
      <c r="CU510" s="65"/>
      <c r="CV510" s="65"/>
      <c r="CW510" s="65"/>
      <c r="CX510" s="65"/>
      <c r="CY510" s="65"/>
      <c r="CZ510" s="65"/>
      <c r="DA510" s="65"/>
      <c r="DB510" s="65"/>
      <c r="DC510" s="65"/>
      <c r="DD510" s="65"/>
      <c r="DE510" s="65"/>
      <c r="DF510" s="65"/>
      <c r="DG510" s="65"/>
      <c r="DH510" s="65"/>
      <c r="DI510" s="65"/>
      <c r="DJ510" s="65"/>
      <c r="DK510" s="65"/>
      <c r="DL510" s="65"/>
      <c r="DM510" s="65"/>
      <c r="DN510" s="65"/>
      <c r="DO510" s="65"/>
      <c r="DP510" s="65"/>
      <c r="DQ510" s="65"/>
      <c r="DR510" s="65"/>
      <c r="DS510" s="65"/>
      <c r="DT510" s="65"/>
    </row>
    <row r="511" spans="1:124" ht="21.75" customHeight="1" thickBot="1">
      <c r="A511" s="313"/>
    </row>
    <row r="512" spans="1:124" ht="21.75" customHeight="1">
      <c r="A512" s="311"/>
      <c r="B512" s="176" t="s">
        <v>163</v>
      </c>
      <c r="C512" s="177"/>
      <c r="D512" s="178"/>
      <c r="E512" s="268"/>
      <c r="F512" s="268"/>
      <c r="G512" s="268"/>
      <c r="H512" s="268"/>
      <c r="I512" s="268"/>
      <c r="J512" s="268"/>
      <c r="K512" s="268"/>
      <c r="L512" s="268"/>
      <c r="M512" s="268"/>
      <c r="N512" s="268"/>
      <c r="O512" s="268"/>
      <c r="P512" s="268"/>
      <c r="Q512" s="268"/>
      <c r="R512" s="268"/>
      <c r="S512" s="268"/>
      <c r="T512" s="268"/>
      <c r="U512" s="268"/>
      <c r="V512" s="268"/>
      <c r="W512" s="268"/>
      <c r="X512" s="268"/>
      <c r="Y512" s="268"/>
      <c r="Z512" s="268"/>
      <c r="AA512" s="268"/>
      <c r="AB512" s="268"/>
      <c r="AC512" s="268"/>
      <c r="AD512" s="268"/>
      <c r="AE512" s="268"/>
      <c r="AF512" s="268"/>
      <c r="AG512" s="268"/>
      <c r="AH512" s="268"/>
      <c r="AI512" s="268"/>
      <c r="AJ512" s="268"/>
      <c r="AK512" s="268"/>
      <c r="AL512" s="268"/>
      <c r="AM512" s="187"/>
      <c r="AN512" s="187"/>
      <c r="AO512" s="187"/>
      <c r="AP512" s="186">
        <v>41971</v>
      </c>
      <c r="AQ512" s="186">
        <v>41971</v>
      </c>
      <c r="AR512" s="186">
        <v>41971</v>
      </c>
      <c r="AS512" s="187"/>
      <c r="AT512" s="187"/>
      <c r="AU512" s="187"/>
      <c r="AV512" s="187"/>
      <c r="AW512" s="187"/>
      <c r="AX512" s="187"/>
      <c r="AY512" s="187"/>
      <c r="AZ512" s="187"/>
      <c r="BA512" s="187"/>
      <c r="BB512" s="186">
        <v>41897</v>
      </c>
      <c r="BC512" s="186">
        <v>41899</v>
      </c>
      <c r="BD512" s="186">
        <v>41901</v>
      </c>
      <c r="BE512" s="186">
        <v>41904</v>
      </c>
      <c r="BF512" s="186">
        <v>41906</v>
      </c>
      <c r="BG512" s="186">
        <v>41908</v>
      </c>
      <c r="BH512" s="186">
        <v>41911</v>
      </c>
      <c r="BI512" s="186">
        <v>41913</v>
      </c>
      <c r="BJ512" s="186">
        <v>41915</v>
      </c>
      <c r="BK512" s="186">
        <v>41918</v>
      </c>
      <c r="BL512" s="186">
        <v>41920</v>
      </c>
      <c r="BM512" s="186">
        <v>41922</v>
      </c>
      <c r="BN512" s="186">
        <v>41925</v>
      </c>
      <c r="BO512" s="186">
        <v>41927</v>
      </c>
      <c r="BP512" s="186">
        <v>41929</v>
      </c>
      <c r="BQ512" s="186">
        <v>41932</v>
      </c>
      <c r="BR512" s="186">
        <v>41934</v>
      </c>
      <c r="BS512" s="186">
        <v>41936</v>
      </c>
      <c r="BT512" s="186">
        <v>41939</v>
      </c>
      <c r="BU512" s="186">
        <v>41941</v>
      </c>
      <c r="BV512" s="186">
        <v>41943</v>
      </c>
      <c r="BW512" s="186">
        <v>41946</v>
      </c>
      <c r="BX512" s="186">
        <v>41948</v>
      </c>
      <c r="BY512" s="186">
        <v>41950</v>
      </c>
      <c r="BZ512" s="186">
        <v>41953</v>
      </c>
      <c r="CA512" s="186">
        <v>41955</v>
      </c>
      <c r="CB512" s="186">
        <v>41957</v>
      </c>
      <c r="CC512" s="186">
        <v>41960</v>
      </c>
      <c r="CD512" s="186">
        <v>41962</v>
      </c>
      <c r="CE512" s="186">
        <v>41964</v>
      </c>
      <c r="CF512" s="186">
        <v>41967</v>
      </c>
      <c r="CG512" s="186">
        <v>41969</v>
      </c>
      <c r="CH512" s="186">
        <v>41971</v>
      </c>
      <c r="CI512" s="186">
        <v>41971</v>
      </c>
      <c r="CJ512" s="186">
        <v>41971</v>
      </c>
      <c r="CK512" s="186">
        <v>41971</v>
      </c>
      <c r="CL512" s="186">
        <v>41971</v>
      </c>
      <c r="CM512" s="186">
        <v>41971</v>
      </c>
      <c r="CN512" s="186">
        <v>41971</v>
      </c>
      <c r="CO512" s="186">
        <v>41971</v>
      </c>
      <c r="CP512" s="186">
        <v>41971</v>
      </c>
      <c r="CQ512" s="186">
        <v>41971</v>
      </c>
      <c r="CR512" s="186">
        <v>41971</v>
      </c>
      <c r="CS512" s="186">
        <v>41971</v>
      </c>
      <c r="CT512" s="186">
        <v>41971</v>
      </c>
      <c r="CU512" s="186">
        <v>41971</v>
      </c>
      <c r="CV512" s="186">
        <v>41971</v>
      </c>
      <c r="CW512" s="186">
        <v>41971</v>
      </c>
      <c r="CX512" s="186">
        <v>41971</v>
      </c>
      <c r="CY512" s="186">
        <v>41971</v>
      </c>
      <c r="CZ512" s="186">
        <v>41971</v>
      </c>
      <c r="DA512" s="186">
        <v>41971</v>
      </c>
      <c r="DB512" s="186">
        <v>41971</v>
      </c>
      <c r="DC512" s="186">
        <v>41971</v>
      </c>
      <c r="DD512" s="186">
        <v>41971</v>
      </c>
      <c r="DE512" s="186">
        <v>41971</v>
      </c>
      <c r="DF512" s="186">
        <v>41971</v>
      </c>
      <c r="DG512" s="186">
        <v>41971</v>
      </c>
      <c r="DH512" s="186">
        <v>41971</v>
      </c>
      <c r="DI512" s="186">
        <v>41971</v>
      </c>
      <c r="DJ512" s="186">
        <v>41971</v>
      </c>
      <c r="DK512" s="186">
        <v>41971</v>
      </c>
      <c r="DL512" s="186">
        <v>41971</v>
      </c>
      <c r="DM512" s="186">
        <v>41971</v>
      </c>
      <c r="DN512" s="186">
        <v>41971</v>
      </c>
      <c r="DO512" s="186">
        <v>41971</v>
      </c>
      <c r="DP512" s="186">
        <v>41971</v>
      </c>
      <c r="DQ512" s="186">
        <v>41971</v>
      </c>
      <c r="DR512" s="186">
        <v>41971</v>
      </c>
      <c r="DS512" s="186">
        <v>41971</v>
      </c>
      <c r="DT512" s="186">
        <v>41971</v>
      </c>
    </row>
    <row r="513" spans="1:124" ht="21.75" customHeight="1">
      <c r="A513" s="311"/>
      <c r="B513" s="179"/>
      <c r="C513" s="180"/>
      <c r="D513" s="181"/>
      <c r="E513" s="269"/>
      <c r="F513" s="269"/>
      <c r="G513" s="269"/>
      <c r="H513" s="269"/>
      <c r="I513" s="269"/>
      <c r="J513" s="269"/>
      <c r="K513" s="269"/>
      <c r="L513" s="269"/>
      <c r="M513" s="269"/>
      <c r="N513" s="269"/>
      <c r="O513" s="269"/>
      <c r="P513" s="269"/>
      <c r="Q513" s="269"/>
      <c r="R513" s="269"/>
      <c r="S513" s="269"/>
      <c r="T513" s="269"/>
      <c r="U513" s="269"/>
      <c r="V513" s="269"/>
      <c r="W513" s="269"/>
      <c r="X513" s="269"/>
      <c r="Y513" s="269"/>
      <c r="Z513" s="269"/>
      <c r="AA513" s="269"/>
      <c r="AB513" s="269"/>
      <c r="AC513" s="269"/>
      <c r="AD513" s="269"/>
      <c r="AE513" s="269"/>
      <c r="AF513" s="269"/>
      <c r="AG513" s="269"/>
      <c r="AH513" s="269"/>
      <c r="AI513" s="269"/>
      <c r="AJ513" s="269"/>
      <c r="AK513" s="269"/>
      <c r="AL513" s="269"/>
      <c r="AM513" s="267"/>
      <c r="AN513" s="267"/>
      <c r="AO513" s="267"/>
      <c r="AP513" s="186"/>
      <c r="AQ513" s="186"/>
      <c r="AR513" s="186"/>
      <c r="AS513" s="267"/>
      <c r="AT513" s="267"/>
      <c r="AU513" s="267"/>
      <c r="AV513" s="267"/>
      <c r="AW513" s="267"/>
      <c r="AX513" s="267"/>
      <c r="AY513" s="267"/>
      <c r="AZ513" s="267"/>
      <c r="BA513" s="267"/>
      <c r="BB513" s="186"/>
      <c r="BC513" s="186"/>
      <c r="BD513" s="186"/>
      <c r="BE513" s="186"/>
      <c r="BF513" s="186"/>
      <c r="BG513" s="186"/>
      <c r="BH513" s="186"/>
      <c r="BI513" s="186"/>
      <c r="BJ513" s="186"/>
      <c r="BK513" s="186"/>
      <c r="BL513" s="186"/>
      <c r="BM513" s="186"/>
      <c r="BN513" s="186"/>
      <c r="BO513" s="186"/>
      <c r="BP513" s="186"/>
      <c r="BQ513" s="186"/>
      <c r="BR513" s="186"/>
      <c r="BS513" s="186"/>
      <c r="BT513" s="186"/>
      <c r="BU513" s="186"/>
      <c r="BV513" s="186"/>
      <c r="BW513" s="186"/>
      <c r="BX513" s="186"/>
      <c r="BY513" s="186"/>
      <c r="BZ513" s="186"/>
      <c r="CA513" s="186"/>
      <c r="CB513" s="186"/>
      <c r="CC513" s="186"/>
      <c r="CD513" s="186"/>
      <c r="CE513" s="186"/>
      <c r="CF513" s="186"/>
      <c r="CG513" s="186"/>
      <c r="CH513" s="186"/>
      <c r="CI513" s="186"/>
      <c r="CJ513" s="186"/>
      <c r="CK513" s="186"/>
      <c r="CL513" s="186"/>
      <c r="CM513" s="186"/>
      <c r="CN513" s="186"/>
      <c r="CO513" s="186"/>
      <c r="CP513" s="186"/>
      <c r="CQ513" s="186"/>
      <c r="CR513" s="186"/>
      <c r="CS513" s="186"/>
      <c r="CT513" s="186"/>
      <c r="CU513" s="186"/>
      <c r="CV513" s="186"/>
      <c r="CW513" s="186"/>
      <c r="CX513" s="186"/>
      <c r="CY513" s="186"/>
      <c r="CZ513" s="186"/>
      <c r="DA513" s="186"/>
      <c r="DB513" s="186"/>
      <c r="DC513" s="186"/>
      <c r="DD513" s="186"/>
      <c r="DE513" s="186"/>
      <c r="DF513" s="186"/>
      <c r="DG513" s="186"/>
      <c r="DH513" s="186"/>
      <c r="DI513" s="186"/>
      <c r="DJ513" s="186"/>
      <c r="DK513" s="186"/>
      <c r="DL513" s="186"/>
      <c r="DM513" s="186"/>
      <c r="DN513" s="186"/>
      <c r="DO513" s="186"/>
      <c r="DP513" s="186"/>
      <c r="DQ513" s="186"/>
      <c r="DR513" s="186"/>
      <c r="DS513" s="186"/>
      <c r="DT513" s="186"/>
    </row>
    <row r="514" spans="1:124" ht="21.75" customHeight="1">
      <c r="A514" s="311"/>
      <c r="B514" s="179"/>
      <c r="C514" s="180"/>
      <c r="D514" s="181"/>
      <c r="E514" s="269"/>
      <c r="F514" s="269"/>
      <c r="G514" s="269"/>
      <c r="H514" s="269"/>
      <c r="I514" s="269"/>
      <c r="J514" s="269"/>
      <c r="K514" s="269"/>
      <c r="L514" s="269"/>
      <c r="M514" s="269"/>
      <c r="N514" s="269"/>
      <c r="O514" s="269"/>
      <c r="P514" s="269"/>
      <c r="Q514" s="269"/>
      <c r="R514" s="269"/>
      <c r="S514" s="269"/>
      <c r="T514" s="269"/>
      <c r="U514" s="269"/>
      <c r="V514" s="269"/>
      <c r="W514" s="269"/>
      <c r="X514" s="269"/>
      <c r="Y514" s="269"/>
      <c r="Z514" s="269"/>
      <c r="AA514" s="269"/>
      <c r="AB514" s="269"/>
      <c r="AC514" s="269"/>
      <c r="AD514" s="269"/>
      <c r="AE514" s="269"/>
      <c r="AF514" s="269"/>
      <c r="AG514" s="269"/>
      <c r="AH514" s="269"/>
      <c r="AI514" s="269"/>
      <c r="AJ514" s="269"/>
      <c r="AK514" s="269"/>
      <c r="AL514" s="269"/>
      <c r="AM514" s="267"/>
      <c r="AN514" s="267"/>
      <c r="AO514" s="267"/>
      <c r="AP514" s="186"/>
      <c r="AQ514" s="186"/>
      <c r="AR514" s="186"/>
      <c r="AS514" s="267"/>
      <c r="AT514" s="267"/>
      <c r="AU514" s="267"/>
      <c r="AV514" s="267"/>
      <c r="AW514" s="267"/>
      <c r="AX514" s="267"/>
      <c r="AY514" s="267"/>
      <c r="AZ514" s="267"/>
      <c r="BA514" s="267"/>
      <c r="BB514" s="186"/>
      <c r="BC514" s="186"/>
      <c r="BD514" s="186"/>
      <c r="BE514" s="186"/>
      <c r="BF514" s="186"/>
      <c r="BG514" s="186"/>
      <c r="BH514" s="186"/>
      <c r="BI514" s="186"/>
      <c r="BJ514" s="186"/>
      <c r="BK514" s="186"/>
      <c r="BL514" s="186"/>
      <c r="BM514" s="186"/>
      <c r="BN514" s="186"/>
      <c r="BO514" s="186"/>
      <c r="BP514" s="186"/>
      <c r="BQ514" s="186"/>
      <c r="BR514" s="186"/>
      <c r="BS514" s="186"/>
      <c r="BT514" s="186"/>
      <c r="BU514" s="186"/>
      <c r="BV514" s="186"/>
      <c r="BW514" s="186"/>
      <c r="BX514" s="186"/>
      <c r="BY514" s="186"/>
      <c r="BZ514" s="186"/>
      <c r="CA514" s="186"/>
      <c r="CB514" s="186"/>
      <c r="CC514" s="186"/>
      <c r="CD514" s="186"/>
      <c r="CE514" s="186"/>
      <c r="CF514" s="186"/>
      <c r="CG514" s="186"/>
      <c r="CH514" s="186"/>
      <c r="CI514" s="186"/>
      <c r="CJ514" s="186"/>
      <c r="CK514" s="186"/>
      <c r="CL514" s="186"/>
      <c r="CM514" s="186"/>
      <c r="CN514" s="186"/>
      <c r="CO514" s="186"/>
      <c r="CP514" s="186"/>
      <c r="CQ514" s="186"/>
      <c r="CR514" s="186"/>
      <c r="CS514" s="186"/>
      <c r="CT514" s="186"/>
      <c r="CU514" s="186"/>
      <c r="CV514" s="186"/>
      <c r="CW514" s="186"/>
      <c r="CX514" s="186"/>
      <c r="CY514" s="186"/>
      <c r="CZ514" s="186"/>
      <c r="DA514" s="186"/>
      <c r="DB514" s="186"/>
      <c r="DC514" s="186"/>
      <c r="DD514" s="186"/>
      <c r="DE514" s="186"/>
      <c r="DF514" s="186"/>
      <c r="DG514" s="186"/>
      <c r="DH514" s="186"/>
      <c r="DI514" s="186"/>
      <c r="DJ514" s="186"/>
      <c r="DK514" s="186"/>
      <c r="DL514" s="186"/>
      <c r="DM514" s="186"/>
      <c r="DN514" s="186"/>
      <c r="DO514" s="186"/>
      <c r="DP514" s="186"/>
      <c r="DQ514" s="186"/>
      <c r="DR514" s="186"/>
      <c r="DS514" s="186"/>
      <c r="DT514" s="186"/>
    </row>
    <row r="515" spans="1:124" ht="21.75" customHeight="1">
      <c r="A515" s="311"/>
      <c r="B515" s="179"/>
      <c r="C515" s="180"/>
      <c r="D515" s="181"/>
      <c r="E515" s="269"/>
      <c r="F515" s="269"/>
      <c r="G515" s="269"/>
      <c r="H515" s="269"/>
      <c r="I515" s="269"/>
      <c r="J515" s="269"/>
      <c r="K515" s="269"/>
      <c r="L515" s="269"/>
      <c r="M515" s="269"/>
      <c r="N515" s="269"/>
      <c r="O515" s="269"/>
      <c r="P515" s="269"/>
      <c r="Q515" s="269"/>
      <c r="R515" s="269"/>
      <c r="S515" s="269"/>
      <c r="T515" s="269"/>
      <c r="U515" s="269"/>
      <c r="V515" s="269"/>
      <c r="W515" s="269"/>
      <c r="X515" s="269"/>
      <c r="Y515" s="269"/>
      <c r="Z515" s="269"/>
      <c r="AA515" s="269"/>
      <c r="AB515" s="269"/>
      <c r="AC515" s="269"/>
      <c r="AD515" s="269"/>
      <c r="AE515" s="269"/>
      <c r="AF515" s="269"/>
      <c r="AG515" s="269"/>
      <c r="AH515" s="269"/>
      <c r="AI515" s="269"/>
      <c r="AJ515" s="269"/>
      <c r="AK515" s="269"/>
      <c r="AL515" s="269"/>
      <c r="AM515" s="267"/>
      <c r="AN515" s="267"/>
      <c r="AO515" s="267"/>
      <c r="AP515" s="186"/>
      <c r="AQ515" s="186"/>
      <c r="AR515" s="186"/>
      <c r="AS515" s="267"/>
      <c r="AT515" s="267"/>
      <c r="AU515" s="267"/>
      <c r="AV515" s="267"/>
      <c r="AW515" s="267"/>
      <c r="AX515" s="267"/>
      <c r="AY515" s="267"/>
      <c r="AZ515" s="267"/>
      <c r="BA515" s="267"/>
      <c r="BB515" s="186"/>
      <c r="BC515" s="186"/>
      <c r="BD515" s="186"/>
      <c r="BE515" s="186"/>
      <c r="BF515" s="186"/>
      <c r="BG515" s="186"/>
      <c r="BH515" s="186"/>
      <c r="BI515" s="186"/>
      <c r="BJ515" s="186"/>
      <c r="BK515" s="186"/>
      <c r="BL515" s="186"/>
      <c r="BM515" s="186"/>
      <c r="BN515" s="186"/>
      <c r="BO515" s="186"/>
      <c r="BP515" s="186"/>
      <c r="BQ515" s="186"/>
      <c r="BR515" s="186"/>
      <c r="BS515" s="186"/>
      <c r="BT515" s="186"/>
      <c r="BU515" s="186"/>
      <c r="BV515" s="186"/>
      <c r="BW515" s="186"/>
      <c r="BX515" s="186"/>
      <c r="BY515" s="186"/>
      <c r="BZ515" s="186"/>
      <c r="CA515" s="186"/>
      <c r="CB515" s="186"/>
      <c r="CC515" s="186"/>
      <c r="CD515" s="186"/>
      <c r="CE515" s="186"/>
      <c r="CF515" s="186"/>
      <c r="CG515" s="186"/>
      <c r="CH515" s="186"/>
      <c r="CI515" s="186"/>
      <c r="CJ515" s="186"/>
      <c r="CK515" s="186"/>
      <c r="CL515" s="186"/>
      <c r="CM515" s="186"/>
      <c r="CN515" s="186"/>
      <c r="CO515" s="186"/>
      <c r="CP515" s="186"/>
      <c r="CQ515" s="186"/>
      <c r="CR515" s="186"/>
      <c r="CS515" s="186"/>
      <c r="CT515" s="186"/>
      <c r="CU515" s="186"/>
      <c r="CV515" s="186"/>
      <c r="CW515" s="186"/>
      <c r="CX515" s="186"/>
      <c r="CY515" s="186"/>
      <c r="CZ515" s="186"/>
      <c r="DA515" s="186"/>
      <c r="DB515" s="186"/>
      <c r="DC515" s="186"/>
      <c r="DD515" s="186"/>
      <c r="DE515" s="186"/>
      <c r="DF515" s="186"/>
      <c r="DG515" s="186"/>
      <c r="DH515" s="186"/>
      <c r="DI515" s="186"/>
      <c r="DJ515" s="186"/>
      <c r="DK515" s="186"/>
      <c r="DL515" s="186"/>
      <c r="DM515" s="186"/>
      <c r="DN515" s="186"/>
      <c r="DO515" s="186"/>
      <c r="DP515" s="186"/>
      <c r="DQ515" s="186"/>
      <c r="DR515" s="186"/>
      <c r="DS515" s="186"/>
      <c r="DT515" s="186"/>
    </row>
    <row r="516" spans="1:124" ht="21.75" customHeight="1">
      <c r="A516" s="311"/>
      <c r="B516" s="179"/>
      <c r="C516" s="180"/>
      <c r="D516" s="181"/>
      <c r="E516" s="269"/>
      <c r="F516" s="269"/>
      <c r="G516" s="269"/>
      <c r="H516" s="269"/>
      <c r="I516" s="269"/>
      <c r="J516" s="269"/>
      <c r="K516" s="269"/>
      <c r="L516" s="269"/>
      <c r="M516" s="269"/>
      <c r="N516" s="269"/>
      <c r="O516" s="269"/>
      <c r="P516" s="269"/>
      <c r="Q516" s="269"/>
      <c r="R516" s="269"/>
      <c r="S516" s="269"/>
      <c r="T516" s="269"/>
      <c r="U516" s="269"/>
      <c r="V516" s="269"/>
      <c r="W516" s="269"/>
      <c r="X516" s="269"/>
      <c r="Y516" s="269"/>
      <c r="Z516" s="269"/>
      <c r="AA516" s="269"/>
      <c r="AB516" s="269"/>
      <c r="AC516" s="269"/>
      <c r="AD516" s="269"/>
      <c r="AE516" s="269"/>
      <c r="AF516" s="269"/>
      <c r="AG516" s="269"/>
      <c r="AH516" s="269"/>
      <c r="AI516" s="269"/>
      <c r="AJ516" s="269"/>
      <c r="AK516" s="269"/>
      <c r="AL516" s="269"/>
      <c r="AM516" s="267"/>
      <c r="AN516" s="267"/>
      <c r="AO516" s="267"/>
      <c r="AP516" s="186"/>
      <c r="AQ516" s="186"/>
      <c r="AR516" s="186"/>
      <c r="AS516" s="267"/>
      <c r="AT516" s="267"/>
      <c r="AU516" s="267"/>
      <c r="AV516" s="267"/>
      <c r="AW516" s="267"/>
      <c r="AX516" s="267"/>
      <c r="AY516" s="267"/>
      <c r="AZ516" s="267"/>
      <c r="BA516" s="267"/>
      <c r="BB516" s="186"/>
      <c r="BC516" s="186"/>
      <c r="BD516" s="186"/>
      <c r="BE516" s="186"/>
      <c r="BF516" s="186"/>
      <c r="BG516" s="186"/>
      <c r="BH516" s="186"/>
      <c r="BI516" s="186"/>
      <c r="BJ516" s="186"/>
      <c r="BK516" s="186"/>
      <c r="BL516" s="186"/>
      <c r="BM516" s="186"/>
      <c r="BN516" s="186"/>
      <c r="BO516" s="186"/>
      <c r="BP516" s="186"/>
      <c r="BQ516" s="186"/>
      <c r="BR516" s="186"/>
      <c r="BS516" s="186"/>
      <c r="BT516" s="186"/>
      <c r="BU516" s="186"/>
      <c r="BV516" s="186"/>
      <c r="BW516" s="186"/>
      <c r="BX516" s="186"/>
      <c r="BY516" s="186"/>
      <c r="BZ516" s="186"/>
      <c r="CA516" s="186"/>
      <c r="CB516" s="186"/>
      <c r="CC516" s="186"/>
      <c r="CD516" s="186"/>
      <c r="CE516" s="186"/>
      <c r="CF516" s="186"/>
      <c r="CG516" s="186"/>
      <c r="CH516" s="186"/>
      <c r="CI516" s="186"/>
      <c r="CJ516" s="186"/>
      <c r="CK516" s="186"/>
      <c r="CL516" s="186"/>
      <c r="CM516" s="186"/>
      <c r="CN516" s="186"/>
      <c r="CO516" s="186"/>
      <c r="CP516" s="186"/>
      <c r="CQ516" s="186"/>
      <c r="CR516" s="186"/>
      <c r="CS516" s="186"/>
      <c r="CT516" s="186"/>
      <c r="CU516" s="186"/>
      <c r="CV516" s="186"/>
      <c r="CW516" s="186"/>
      <c r="CX516" s="186"/>
      <c r="CY516" s="186"/>
      <c r="CZ516" s="186"/>
      <c r="DA516" s="186"/>
      <c r="DB516" s="186"/>
      <c r="DC516" s="186"/>
      <c r="DD516" s="186"/>
      <c r="DE516" s="186"/>
      <c r="DF516" s="186"/>
      <c r="DG516" s="186"/>
      <c r="DH516" s="186"/>
      <c r="DI516" s="186"/>
      <c r="DJ516" s="186"/>
      <c r="DK516" s="186"/>
      <c r="DL516" s="186"/>
      <c r="DM516" s="186"/>
      <c r="DN516" s="186"/>
      <c r="DO516" s="186"/>
      <c r="DP516" s="186"/>
      <c r="DQ516" s="186"/>
      <c r="DR516" s="186"/>
      <c r="DS516" s="186"/>
      <c r="DT516" s="186"/>
    </row>
    <row r="517" spans="1:124" ht="21.75" customHeight="1" thickBot="1">
      <c r="A517" s="311"/>
      <c r="B517" s="289"/>
      <c r="C517" s="290"/>
      <c r="D517" s="291"/>
      <c r="E517" s="288"/>
      <c r="F517" s="288"/>
      <c r="G517" s="288"/>
      <c r="H517" s="288"/>
      <c r="I517" s="288"/>
      <c r="J517" s="288"/>
      <c r="K517" s="288"/>
      <c r="L517" s="288"/>
      <c r="M517" s="288"/>
      <c r="N517" s="288"/>
      <c r="O517" s="288"/>
      <c r="P517" s="288"/>
      <c r="Q517" s="288"/>
      <c r="R517" s="288"/>
      <c r="S517" s="288"/>
      <c r="T517" s="288"/>
      <c r="U517" s="288"/>
      <c r="V517" s="288"/>
      <c r="W517" s="288"/>
      <c r="X517" s="288"/>
      <c r="Y517" s="288"/>
      <c r="Z517" s="288"/>
      <c r="AA517" s="288"/>
      <c r="AB517" s="288"/>
      <c r="AC517" s="288"/>
      <c r="AD517" s="288"/>
      <c r="AE517" s="288"/>
      <c r="AF517" s="288"/>
      <c r="AG517" s="288"/>
      <c r="AH517" s="288"/>
      <c r="AI517" s="288"/>
      <c r="AJ517" s="288"/>
      <c r="AK517" s="288"/>
      <c r="AL517" s="288"/>
      <c r="AM517" s="273"/>
      <c r="AN517" s="273"/>
      <c r="AO517" s="273"/>
      <c r="AP517" s="186"/>
      <c r="AQ517" s="186"/>
      <c r="AR517" s="186"/>
      <c r="AS517" s="273"/>
      <c r="AT517" s="273"/>
      <c r="AU517" s="273"/>
      <c r="AV517" s="273"/>
      <c r="AW517" s="273"/>
      <c r="AX517" s="273"/>
      <c r="AY517" s="273"/>
      <c r="AZ517" s="273"/>
      <c r="BA517" s="273"/>
      <c r="BB517" s="186"/>
      <c r="BC517" s="186"/>
      <c r="BD517" s="186"/>
      <c r="BE517" s="186"/>
      <c r="BF517" s="186"/>
      <c r="BG517" s="186"/>
      <c r="BH517" s="186"/>
      <c r="BI517" s="186"/>
      <c r="BJ517" s="186"/>
      <c r="BK517" s="186"/>
      <c r="BL517" s="186"/>
      <c r="BM517" s="186"/>
      <c r="BN517" s="186"/>
      <c r="BO517" s="186"/>
      <c r="BP517" s="186"/>
      <c r="BQ517" s="186"/>
      <c r="BR517" s="186"/>
      <c r="BS517" s="186"/>
      <c r="BT517" s="186"/>
      <c r="BU517" s="186"/>
      <c r="BV517" s="186"/>
      <c r="BW517" s="186"/>
      <c r="BX517" s="186"/>
      <c r="BY517" s="186"/>
      <c r="BZ517" s="186"/>
      <c r="CA517" s="186"/>
      <c r="CB517" s="186"/>
      <c r="CC517" s="186"/>
      <c r="CD517" s="186"/>
      <c r="CE517" s="186"/>
      <c r="CF517" s="186"/>
      <c r="CG517" s="186"/>
      <c r="CH517" s="186"/>
      <c r="CI517" s="186"/>
      <c r="CJ517" s="186"/>
      <c r="CK517" s="186"/>
      <c r="CL517" s="186"/>
      <c r="CM517" s="186"/>
      <c r="CN517" s="186"/>
      <c r="CO517" s="186"/>
      <c r="CP517" s="186"/>
      <c r="CQ517" s="186"/>
      <c r="CR517" s="186"/>
      <c r="CS517" s="186"/>
      <c r="CT517" s="186"/>
      <c r="CU517" s="186"/>
      <c r="CV517" s="186"/>
      <c r="CW517" s="186"/>
      <c r="CX517" s="186"/>
      <c r="CY517" s="186"/>
      <c r="CZ517" s="186"/>
      <c r="DA517" s="186"/>
      <c r="DB517" s="186"/>
      <c r="DC517" s="186"/>
      <c r="DD517" s="186"/>
      <c r="DE517" s="186"/>
      <c r="DF517" s="186"/>
      <c r="DG517" s="186"/>
      <c r="DH517" s="186"/>
      <c r="DI517" s="186"/>
      <c r="DJ517" s="186"/>
      <c r="DK517" s="186"/>
      <c r="DL517" s="186"/>
      <c r="DM517" s="186"/>
      <c r="DN517" s="186"/>
      <c r="DO517" s="186"/>
      <c r="DP517" s="186"/>
      <c r="DQ517" s="186"/>
      <c r="DR517" s="186"/>
      <c r="DS517" s="186"/>
      <c r="DT517" s="186"/>
    </row>
    <row r="518" spans="1:124" s="55" customFormat="1" ht="21.75" customHeight="1">
      <c r="A518" s="311"/>
      <c r="B518" s="205" t="s">
        <v>366</v>
      </c>
      <c r="C518" s="206"/>
      <c r="D518" s="206"/>
      <c r="E518" s="197"/>
      <c r="F518" s="197"/>
      <c r="G518" s="197"/>
      <c r="H518" s="197"/>
      <c r="I518" s="197"/>
      <c r="J518" s="197"/>
      <c r="K518" s="197"/>
      <c r="L518" s="197"/>
      <c r="M518" s="197"/>
      <c r="N518" s="197"/>
      <c r="O518" s="197"/>
      <c r="P518" s="197"/>
      <c r="Q518" s="197"/>
      <c r="R518" s="197"/>
      <c r="S518" s="197"/>
      <c r="T518" s="197"/>
      <c r="U518" s="211"/>
      <c r="V518" s="211"/>
      <c r="W518" s="211"/>
      <c r="X518" s="211"/>
      <c r="Y518" s="211"/>
      <c r="Z518" s="211"/>
      <c r="AA518" s="211"/>
      <c r="AB518" s="211"/>
      <c r="AC518" s="211"/>
      <c r="AD518" s="197"/>
      <c r="AE518" s="197"/>
      <c r="AF518" s="197"/>
      <c r="AG518" s="197"/>
      <c r="AH518" s="197"/>
      <c r="AI518" s="197"/>
      <c r="AJ518" s="197"/>
      <c r="AK518" s="197"/>
      <c r="AL518" s="197"/>
      <c r="AM518" s="197"/>
      <c r="AN518" s="197"/>
      <c r="AO518" s="197"/>
      <c r="AP518" s="197"/>
      <c r="AQ518" s="197"/>
      <c r="AR518" s="197"/>
      <c r="AS518" s="197"/>
      <c r="AT518" s="197"/>
      <c r="AU518" s="197"/>
      <c r="AV518" s="197"/>
      <c r="AW518" s="197"/>
      <c r="AX518" s="197"/>
      <c r="AY518" s="197"/>
      <c r="AZ518" s="197"/>
      <c r="BA518" s="197"/>
      <c r="BB518" s="215" t="s">
        <v>160</v>
      </c>
      <c r="BC518" s="215" t="s">
        <v>160</v>
      </c>
      <c r="BD518" s="215" t="s">
        <v>160</v>
      </c>
      <c r="BE518" s="197" t="s">
        <v>161</v>
      </c>
      <c r="BF518" s="197"/>
      <c r="BG518" s="197"/>
      <c r="BH518" s="197"/>
      <c r="BI518" s="197"/>
      <c r="BJ518" s="197"/>
      <c r="BK518" s="215" t="s">
        <v>369</v>
      </c>
      <c r="BL518" s="215" t="s">
        <v>369</v>
      </c>
      <c r="BM518" s="215" t="s">
        <v>369</v>
      </c>
      <c r="BN518" s="197"/>
      <c r="BO518" s="197"/>
      <c r="BP518" s="197"/>
      <c r="BQ518" s="197"/>
      <c r="BR518" s="197"/>
      <c r="BS518" s="197"/>
      <c r="BT518" s="197"/>
      <c r="BU518" s="197"/>
      <c r="BV518" s="215" t="s">
        <v>370</v>
      </c>
      <c r="BW518" s="215" t="s">
        <v>370</v>
      </c>
      <c r="BX518" s="215" t="s">
        <v>370</v>
      </c>
      <c r="BY518" s="215" t="s">
        <v>370</v>
      </c>
      <c r="BZ518" s="215" t="s">
        <v>370</v>
      </c>
      <c r="CA518" s="215" t="s">
        <v>370</v>
      </c>
      <c r="CB518" s="197"/>
      <c r="CC518" s="197"/>
      <c r="CD518" s="197"/>
      <c r="CE518" s="197"/>
      <c r="CF518" s="197"/>
      <c r="CG518" s="197"/>
      <c r="CH518" s="197"/>
      <c r="CI518" s="197"/>
      <c r="CJ518" s="197"/>
      <c r="CK518" s="215" t="s">
        <v>371</v>
      </c>
      <c r="CL518" s="215" t="s">
        <v>371</v>
      </c>
      <c r="CM518" s="215" t="s">
        <v>371</v>
      </c>
      <c r="CN518" s="215" t="s">
        <v>371</v>
      </c>
      <c r="CO518" s="215" t="s">
        <v>371</v>
      </c>
      <c r="CP518" s="215" t="s">
        <v>371</v>
      </c>
      <c r="CQ518" s="215" t="s">
        <v>371</v>
      </c>
      <c r="CR518" s="197"/>
      <c r="CS518" s="197"/>
      <c r="CT518" s="197"/>
      <c r="CU518" s="197"/>
      <c r="CV518" s="197"/>
      <c r="CW518" s="197"/>
      <c r="CX518" s="197"/>
      <c r="CY518" s="197"/>
      <c r="CZ518" s="197"/>
      <c r="DA518" s="197"/>
      <c r="DB518" s="197"/>
      <c r="DC518" s="197"/>
      <c r="DD518" s="197"/>
      <c r="DE518" s="197"/>
      <c r="DF518" s="215" t="s">
        <v>372</v>
      </c>
      <c r="DG518" s="215" t="s">
        <v>372</v>
      </c>
      <c r="DH518" s="215" t="s">
        <v>372</v>
      </c>
      <c r="DI518" s="215" t="s">
        <v>372</v>
      </c>
      <c r="DJ518" s="215" t="s">
        <v>372</v>
      </c>
      <c r="DK518" s="215" t="s">
        <v>372</v>
      </c>
      <c r="DL518" s="197"/>
      <c r="DM518" s="197"/>
      <c r="DN518" s="197"/>
      <c r="DO518" s="197"/>
      <c r="DP518" s="197"/>
      <c r="DQ518" s="197"/>
      <c r="DR518" s="197"/>
      <c r="DS518" s="197"/>
      <c r="DT518" s="197"/>
    </row>
    <row r="519" spans="1:124" s="55" customFormat="1" ht="21.75" customHeight="1">
      <c r="A519" s="311"/>
      <c r="B519" s="207"/>
      <c r="C519" s="208"/>
      <c r="D519" s="208"/>
      <c r="E519" s="198"/>
      <c r="F519" s="198"/>
      <c r="G519" s="198"/>
      <c r="H519" s="198"/>
      <c r="I519" s="198"/>
      <c r="J519" s="198"/>
      <c r="K519" s="198"/>
      <c r="L519" s="198"/>
      <c r="M519" s="198"/>
      <c r="N519" s="198"/>
      <c r="O519" s="198"/>
      <c r="P519" s="198"/>
      <c r="Q519" s="198"/>
      <c r="R519" s="198"/>
      <c r="S519" s="198"/>
      <c r="T519" s="198"/>
      <c r="U519" s="212"/>
      <c r="V519" s="212"/>
      <c r="W519" s="212"/>
      <c r="X519" s="212"/>
      <c r="Y519" s="212"/>
      <c r="Z519" s="212"/>
      <c r="AA519" s="212"/>
      <c r="AB519" s="212"/>
      <c r="AC519" s="212"/>
      <c r="AD519" s="198"/>
      <c r="AE519" s="198"/>
      <c r="AF519" s="198"/>
      <c r="AG519" s="198"/>
      <c r="AH519" s="198"/>
      <c r="AI519" s="198"/>
      <c r="AJ519" s="198"/>
      <c r="AK519" s="198"/>
      <c r="AL519" s="198"/>
      <c r="AM519" s="198"/>
      <c r="AN519" s="198"/>
      <c r="AO519" s="198"/>
      <c r="AP519" s="198"/>
      <c r="AQ519" s="198"/>
      <c r="AR519" s="198"/>
      <c r="AS519" s="198"/>
      <c r="AT519" s="198"/>
      <c r="AU519" s="198"/>
      <c r="AV519" s="198"/>
      <c r="AW519" s="198"/>
      <c r="AX519" s="198"/>
      <c r="AY519" s="198"/>
      <c r="AZ519" s="198"/>
      <c r="BA519" s="198"/>
      <c r="BB519" s="216"/>
      <c r="BC519" s="216"/>
      <c r="BD519" s="216"/>
      <c r="BE519" s="198"/>
      <c r="BF519" s="198"/>
      <c r="BG519" s="198"/>
      <c r="BH519" s="198"/>
      <c r="BI519" s="198"/>
      <c r="BJ519" s="198"/>
      <c r="BK519" s="216"/>
      <c r="BL519" s="216"/>
      <c r="BM519" s="216"/>
      <c r="BN519" s="198"/>
      <c r="BO519" s="198"/>
      <c r="BP519" s="198"/>
      <c r="BQ519" s="198"/>
      <c r="BR519" s="198"/>
      <c r="BS519" s="198"/>
      <c r="BT519" s="198"/>
      <c r="BU519" s="198"/>
      <c r="BV519" s="216"/>
      <c r="BW519" s="216"/>
      <c r="BX519" s="216"/>
      <c r="BY519" s="216"/>
      <c r="BZ519" s="216"/>
      <c r="CA519" s="216"/>
      <c r="CB519" s="198"/>
      <c r="CC519" s="198"/>
      <c r="CD519" s="198"/>
      <c r="CE519" s="198"/>
      <c r="CF519" s="198"/>
      <c r="CG519" s="198"/>
      <c r="CH519" s="198"/>
      <c r="CI519" s="198"/>
      <c r="CJ519" s="198"/>
      <c r="CK519" s="216"/>
      <c r="CL519" s="216"/>
      <c r="CM519" s="216"/>
      <c r="CN519" s="216"/>
      <c r="CO519" s="216"/>
      <c r="CP519" s="216"/>
      <c r="CQ519" s="216"/>
      <c r="CR519" s="198"/>
      <c r="CS519" s="198"/>
      <c r="CT519" s="198"/>
      <c r="CU519" s="198"/>
      <c r="CV519" s="198"/>
      <c r="CW519" s="198"/>
      <c r="CX519" s="198"/>
      <c r="CY519" s="198"/>
      <c r="CZ519" s="198"/>
      <c r="DA519" s="198"/>
      <c r="DB519" s="198"/>
      <c r="DC519" s="198"/>
      <c r="DD519" s="198"/>
      <c r="DE519" s="198"/>
      <c r="DF519" s="216"/>
      <c r="DG519" s="216"/>
      <c r="DH519" s="216"/>
      <c r="DI519" s="216"/>
      <c r="DJ519" s="216"/>
      <c r="DK519" s="216"/>
      <c r="DL519" s="198"/>
      <c r="DM519" s="198"/>
      <c r="DN519" s="198"/>
      <c r="DO519" s="198"/>
      <c r="DP519" s="198"/>
      <c r="DQ519" s="198"/>
      <c r="DR519" s="198"/>
      <c r="DS519" s="198"/>
      <c r="DT519" s="198"/>
    </row>
    <row r="520" spans="1:124" ht="21.75" customHeight="1">
      <c r="A520" s="311"/>
      <c r="B520" s="292" t="s">
        <v>12</v>
      </c>
      <c r="C520" s="293"/>
      <c r="D520" s="294"/>
      <c r="E520" s="117"/>
      <c r="F520" s="118"/>
      <c r="G520" s="118"/>
      <c r="H520" s="118"/>
      <c r="I520" s="118"/>
      <c r="J520" s="118"/>
      <c r="K520" s="118"/>
      <c r="L520" s="118"/>
      <c r="M520" s="118"/>
      <c r="N520" s="118"/>
      <c r="O520" s="118"/>
      <c r="P520" s="118"/>
      <c r="Q520" s="118"/>
      <c r="R520" s="118"/>
      <c r="S520" s="118"/>
      <c r="T520" s="119"/>
      <c r="U520" s="118"/>
      <c r="V520" s="120"/>
      <c r="W520" s="118"/>
      <c r="X520" s="118"/>
      <c r="Y520" s="118"/>
      <c r="Z520" s="118"/>
      <c r="AA520" s="118"/>
      <c r="AB520" s="118"/>
      <c r="AC520" s="118"/>
      <c r="AD520" s="118"/>
      <c r="AE520" s="117"/>
      <c r="AF520" s="117"/>
      <c r="AG520" s="117"/>
      <c r="AH520" s="117"/>
      <c r="AI520" s="117"/>
      <c r="AJ520" s="117"/>
      <c r="AK520" s="117"/>
      <c r="AL520" s="117"/>
      <c r="AM520" s="118"/>
      <c r="AN520" s="118"/>
      <c r="AO520" s="118"/>
      <c r="AP520" s="118"/>
      <c r="AQ520" s="118"/>
      <c r="AR520" s="118"/>
      <c r="AS520" s="118"/>
      <c r="AT520" s="118"/>
      <c r="AU520" s="118"/>
      <c r="AV520" s="118"/>
      <c r="AW520" s="118"/>
      <c r="AX520" s="118"/>
      <c r="AY520" s="118"/>
      <c r="AZ520" s="118"/>
      <c r="BA520" s="118"/>
      <c r="BB520" s="118"/>
      <c r="BC520" s="118"/>
      <c r="BD520" s="118"/>
      <c r="BE520" s="118"/>
      <c r="BF520" s="118"/>
      <c r="BG520" s="118"/>
      <c r="BH520" s="118"/>
      <c r="BI520" s="118"/>
      <c r="BJ520" s="118"/>
      <c r="BK520" s="118"/>
      <c r="BL520" s="118"/>
      <c r="BM520" s="118"/>
      <c r="BN520" s="118"/>
      <c r="BO520" s="118"/>
      <c r="BP520" s="118"/>
      <c r="BQ520" s="118"/>
      <c r="BR520" s="118"/>
      <c r="BS520" s="118"/>
      <c r="BT520" s="118"/>
      <c r="BU520" s="118"/>
      <c r="BV520" s="118"/>
      <c r="BW520" s="118"/>
      <c r="BX520" s="118"/>
      <c r="BY520" s="118"/>
      <c r="BZ520" s="118"/>
      <c r="CA520" s="118"/>
      <c r="CB520" s="118"/>
      <c r="CC520" s="118"/>
      <c r="CD520" s="118"/>
      <c r="CE520" s="118"/>
      <c r="CF520" s="118"/>
      <c r="CG520" s="118"/>
      <c r="CH520" s="118"/>
      <c r="CI520" s="118"/>
      <c r="CJ520" s="118"/>
      <c r="CK520" s="118"/>
      <c r="CL520" s="118"/>
      <c r="CM520" s="118"/>
      <c r="CN520" s="118"/>
      <c r="CO520" s="118"/>
      <c r="CP520" s="118"/>
      <c r="CQ520" s="118"/>
      <c r="CR520" s="118"/>
      <c r="CS520" s="118"/>
      <c r="CT520" s="118"/>
      <c r="CU520" s="118"/>
      <c r="CV520" s="118"/>
      <c r="CW520" s="118"/>
      <c r="CX520" s="118"/>
      <c r="CY520" s="118"/>
      <c r="CZ520" s="118"/>
      <c r="DA520" s="118"/>
      <c r="DB520" s="118"/>
      <c r="DC520" s="118"/>
      <c r="DD520" s="118"/>
      <c r="DE520" s="118"/>
      <c r="DF520" s="118"/>
      <c r="DG520" s="118"/>
      <c r="DH520" s="118"/>
      <c r="DI520" s="118"/>
      <c r="DJ520" s="118"/>
      <c r="DK520" s="118"/>
      <c r="DL520" s="118"/>
      <c r="DM520" s="118"/>
      <c r="DN520" s="118"/>
      <c r="DO520" s="118"/>
      <c r="DP520" s="118"/>
      <c r="DQ520" s="118"/>
      <c r="DR520" s="118"/>
      <c r="DS520" s="118"/>
      <c r="DT520" s="118"/>
    </row>
    <row r="521" spans="1:124" ht="21.75" customHeight="1">
      <c r="A521" s="311"/>
      <c r="B521" s="235" t="s">
        <v>26</v>
      </c>
      <c r="C521" s="236"/>
      <c r="D521" s="237"/>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60"/>
      <c r="AN521" s="60"/>
      <c r="AO521" s="60"/>
      <c r="AP521" s="60"/>
      <c r="AQ521" s="60"/>
      <c r="AR521" s="60"/>
      <c r="AS521" s="60"/>
      <c r="AT521" s="60"/>
      <c r="AU521" s="60"/>
      <c r="AV521" s="60"/>
      <c r="AW521" s="60"/>
      <c r="AX521" s="60"/>
      <c r="AY521" s="60"/>
      <c r="AZ521" s="60"/>
      <c r="BA521" s="60"/>
      <c r="BB521" s="60"/>
      <c r="BC521" s="60"/>
      <c r="BD521" s="60"/>
      <c r="BE521" s="60"/>
      <c r="BF521" s="60"/>
      <c r="BG521" s="60"/>
      <c r="BH521" s="60"/>
      <c r="BI521" s="60"/>
      <c r="BJ521" s="60"/>
      <c r="BK521" s="60"/>
      <c r="BL521" s="60"/>
      <c r="BM521" s="60"/>
      <c r="BN521" s="60"/>
      <c r="BO521" s="60"/>
      <c r="BP521" s="60"/>
      <c r="BQ521" s="60"/>
      <c r="BR521" s="60"/>
      <c r="BS521" s="60"/>
      <c r="BT521" s="60"/>
      <c r="BU521" s="60"/>
      <c r="BV521" s="60"/>
      <c r="BW521" s="60"/>
      <c r="BX521" s="60"/>
      <c r="BY521" s="60"/>
      <c r="BZ521" s="60"/>
      <c r="CA521" s="60"/>
      <c r="CB521" s="60"/>
      <c r="CC521" s="60"/>
      <c r="CD521" s="60"/>
      <c r="CE521" s="60"/>
      <c r="CF521" s="60"/>
      <c r="CG521" s="60"/>
      <c r="CH521" s="60"/>
      <c r="CI521" s="60"/>
      <c r="CJ521" s="60"/>
      <c r="CK521" s="60"/>
      <c r="CL521" s="60"/>
      <c r="CM521" s="60"/>
      <c r="CN521" s="60"/>
      <c r="CO521" s="60"/>
      <c r="CP521" s="60"/>
      <c r="CQ521" s="60"/>
      <c r="CR521" s="60"/>
      <c r="CS521" s="60"/>
      <c r="CT521" s="60"/>
      <c r="CU521" s="60"/>
      <c r="CV521" s="60"/>
      <c r="CW521" s="60"/>
      <c r="CX521" s="60"/>
      <c r="CY521" s="60"/>
      <c r="CZ521" s="60"/>
      <c r="DA521" s="60"/>
      <c r="DB521" s="60"/>
      <c r="DC521" s="60"/>
      <c r="DD521" s="60"/>
      <c r="DE521" s="60"/>
      <c r="DF521" s="60"/>
      <c r="DG521" s="60"/>
      <c r="DH521" s="60"/>
      <c r="DI521" s="60"/>
      <c r="DJ521" s="60"/>
      <c r="DK521" s="60"/>
      <c r="DL521" s="60"/>
      <c r="DM521" s="60"/>
      <c r="DN521" s="60"/>
      <c r="DO521" s="60"/>
      <c r="DP521" s="60"/>
      <c r="DQ521" s="60"/>
      <c r="DR521" s="60"/>
      <c r="DS521" s="60"/>
      <c r="DT521" s="60"/>
    </row>
    <row r="522" spans="1:124" ht="21.75" customHeight="1">
      <c r="A522" s="311"/>
      <c r="B522" s="232"/>
      <c r="C522" s="233"/>
      <c r="D522" s="234"/>
      <c r="E522" s="70"/>
      <c r="F522" s="70"/>
      <c r="G522" s="70"/>
      <c r="H522" s="70"/>
      <c r="I522" s="70"/>
      <c r="J522" s="70"/>
      <c r="K522" s="70"/>
      <c r="L522" s="70"/>
      <c r="M522" s="70"/>
      <c r="N522" s="70"/>
      <c r="O522" s="70"/>
      <c r="P522" s="70"/>
      <c r="Q522" s="70"/>
      <c r="R522" s="70"/>
      <c r="S522" s="70"/>
      <c r="T522" s="70"/>
      <c r="U522" s="70"/>
      <c r="V522" s="70"/>
      <c r="W522" s="70"/>
      <c r="X522" s="70"/>
      <c r="Y522" s="70"/>
      <c r="Z522" s="70"/>
      <c r="AA522" s="70"/>
      <c r="AB522" s="70"/>
      <c r="AC522" s="70"/>
      <c r="AD522" s="70"/>
      <c r="AE522" s="70"/>
      <c r="AF522" s="70"/>
      <c r="AG522" s="70"/>
      <c r="AH522" s="70"/>
      <c r="AI522" s="70"/>
      <c r="AJ522" s="70"/>
      <c r="AK522" s="70"/>
      <c r="AL522" s="70"/>
      <c r="AM522" s="65"/>
      <c r="AN522" s="65"/>
      <c r="AO522" s="65"/>
      <c r="AP522" s="65"/>
      <c r="AQ522" s="65"/>
      <c r="AR522" s="65"/>
      <c r="AS522" s="65"/>
      <c r="AT522" s="65"/>
      <c r="AU522" s="65"/>
      <c r="AV522" s="65"/>
      <c r="AW522" s="65"/>
      <c r="AX522" s="65"/>
      <c r="AY522" s="65"/>
      <c r="AZ522" s="65"/>
      <c r="BA522" s="65"/>
      <c r="BB522" s="65"/>
      <c r="BC522" s="65"/>
      <c r="BD522" s="65"/>
      <c r="BE522" s="65"/>
      <c r="BF522" s="65"/>
      <c r="BG522" s="65"/>
      <c r="BH522" s="65"/>
      <c r="BI522" s="65"/>
      <c r="BJ522" s="65"/>
      <c r="BK522" s="65"/>
      <c r="BL522" s="65"/>
      <c r="BM522" s="65"/>
      <c r="BN522" s="65"/>
      <c r="BO522" s="65"/>
      <c r="BP522" s="65"/>
      <c r="BQ522" s="65"/>
      <c r="BR522" s="65"/>
      <c r="BS522" s="65"/>
      <c r="BT522" s="65"/>
      <c r="BU522" s="65"/>
      <c r="BV522" s="65"/>
      <c r="BW522" s="65"/>
      <c r="BX522" s="65"/>
      <c r="BY522" s="65"/>
      <c r="BZ522" s="65"/>
      <c r="CA522" s="65"/>
      <c r="CB522" s="65"/>
      <c r="CC522" s="65"/>
      <c r="CD522" s="65"/>
      <c r="CE522" s="65"/>
      <c r="CF522" s="65"/>
      <c r="CG522" s="65"/>
      <c r="CH522" s="65"/>
      <c r="CI522" s="65"/>
      <c r="CJ522" s="65"/>
      <c r="CK522" s="65"/>
      <c r="CL522" s="65"/>
      <c r="CM522" s="65"/>
      <c r="CN522" s="65"/>
      <c r="CO522" s="65"/>
      <c r="CP522" s="65"/>
      <c r="CQ522" s="65"/>
      <c r="CR522" s="65"/>
      <c r="CS522" s="65"/>
      <c r="CT522" s="65"/>
      <c r="CU522" s="65"/>
      <c r="CV522" s="65"/>
      <c r="CW522" s="65"/>
      <c r="CX522" s="65"/>
      <c r="CY522" s="65"/>
      <c r="CZ522" s="65"/>
      <c r="DA522" s="65"/>
      <c r="DB522" s="65"/>
      <c r="DC522" s="65"/>
      <c r="DD522" s="65"/>
      <c r="DE522" s="65"/>
      <c r="DF522" s="65"/>
      <c r="DG522" s="65"/>
      <c r="DH522" s="65"/>
      <c r="DI522" s="65"/>
      <c r="DJ522" s="65"/>
      <c r="DK522" s="65"/>
      <c r="DL522" s="65"/>
      <c r="DM522" s="65"/>
      <c r="DN522" s="65"/>
      <c r="DO522" s="65"/>
      <c r="DP522" s="65"/>
      <c r="DQ522" s="65"/>
      <c r="DR522" s="65"/>
      <c r="DS522" s="65"/>
      <c r="DT522" s="65"/>
    </row>
    <row r="523" spans="1:124" ht="21.75" customHeight="1">
      <c r="A523" s="311"/>
      <c r="B523" s="229" t="s">
        <v>46</v>
      </c>
      <c r="C523" s="230"/>
      <c r="D523" s="231"/>
      <c r="E523" s="69"/>
      <c r="F523" s="69"/>
      <c r="G523" s="69"/>
      <c r="H523" s="69"/>
      <c r="I523" s="69"/>
      <c r="J523" s="69"/>
      <c r="K523" s="69"/>
      <c r="L523" s="69"/>
      <c r="M523" s="69"/>
      <c r="N523" s="69"/>
      <c r="O523" s="69"/>
      <c r="P523" s="69"/>
      <c r="Q523" s="69"/>
      <c r="R523" s="69"/>
      <c r="S523" s="69"/>
      <c r="T523" s="69"/>
      <c r="U523" s="69"/>
      <c r="V523" s="69"/>
      <c r="W523" s="69"/>
      <c r="X523" s="69"/>
      <c r="Y523" s="69"/>
      <c r="Z523" s="69"/>
      <c r="AA523" s="69"/>
      <c r="AB523" s="69"/>
      <c r="AC523" s="69"/>
      <c r="AD523" s="69"/>
      <c r="AE523" s="69"/>
      <c r="AF523" s="69"/>
      <c r="AG523" s="69"/>
      <c r="AH523" s="69"/>
      <c r="AI523" s="69"/>
      <c r="AJ523" s="69"/>
      <c r="AK523" s="69"/>
      <c r="AL523" s="69"/>
      <c r="AM523" s="68"/>
      <c r="AN523" s="68"/>
      <c r="AO523" s="68"/>
      <c r="AP523" s="68"/>
      <c r="AQ523" s="68"/>
      <c r="AR523" s="68"/>
      <c r="AS523" s="68"/>
      <c r="AT523" s="68"/>
      <c r="AU523" s="68"/>
      <c r="AV523" s="68"/>
      <c r="AW523" s="68"/>
      <c r="AX523" s="68"/>
      <c r="AY523" s="68"/>
      <c r="AZ523" s="68"/>
      <c r="BA523" s="68"/>
      <c r="BB523" s="68"/>
      <c r="BC523" s="68"/>
      <c r="BD523" s="68"/>
      <c r="BE523" s="68"/>
      <c r="BF523" s="68"/>
      <c r="BG523" s="68"/>
      <c r="BH523" s="68"/>
      <c r="BI523" s="68"/>
      <c r="BJ523" s="68"/>
      <c r="BK523" s="68"/>
      <c r="BL523" s="68"/>
      <c r="BM523" s="68"/>
      <c r="BN523" s="68"/>
      <c r="BO523" s="68" t="s">
        <v>562</v>
      </c>
      <c r="BP523" s="68"/>
      <c r="BQ523" s="68"/>
      <c r="BR523" s="68"/>
      <c r="BS523" s="68" t="s">
        <v>562</v>
      </c>
      <c r="BT523" s="68"/>
      <c r="BU523" s="68"/>
      <c r="BV523" s="68"/>
      <c r="BW523" s="68"/>
      <c r="BX523" s="68"/>
      <c r="BY523" s="68"/>
      <c r="BZ523" s="68"/>
      <c r="CA523" s="68"/>
      <c r="CB523" s="68"/>
      <c r="CC523" s="68"/>
      <c r="CD523" s="68"/>
      <c r="CE523" s="68"/>
      <c r="CF523" s="68"/>
      <c r="CG523" s="68"/>
      <c r="CH523" s="68"/>
      <c r="CI523" s="68"/>
      <c r="CJ523" s="68"/>
      <c r="CK523" s="68"/>
      <c r="CL523" s="68"/>
      <c r="CM523" s="68"/>
      <c r="CN523" s="68"/>
      <c r="CO523" s="68"/>
      <c r="CP523" s="68"/>
      <c r="CQ523" s="68"/>
      <c r="CR523" s="68"/>
      <c r="CS523" s="68"/>
      <c r="CT523" s="68"/>
      <c r="CU523" s="68"/>
      <c r="CV523" s="68"/>
      <c r="CW523" s="68"/>
      <c r="CX523" s="68"/>
      <c r="CY523" s="68"/>
      <c r="CZ523" s="68"/>
      <c r="DA523" s="68"/>
      <c r="DB523" s="68"/>
      <c r="DC523" s="68"/>
      <c r="DD523" s="68"/>
      <c r="DE523" s="68"/>
      <c r="DF523" s="68"/>
      <c r="DG523" s="68"/>
      <c r="DH523" s="68"/>
      <c r="DI523" s="68"/>
      <c r="DJ523" s="68"/>
      <c r="DK523" s="68"/>
      <c r="DL523" s="68"/>
      <c r="DM523" s="68"/>
      <c r="DN523" s="68"/>
      <c r="DO523" s="68"/>
      <c r="DP523" s="68"/>
      <c r="DQ523" s="68"/>
      <c r="DR523" s="68"/>
      <c r="DS523" s="68"/>
      <c r="DT523" s="68"/>
    </row>
    <row r="524" spans="1:124" ht="21.75" customHeight="1">
      <c r="A524" s="311"/>
      <c r="B524" s="232"/>
      <c r="C524" s="233"/>
      <c r="D524" s="234"/>
      <c r="E524" s="70"/>
      <c r="F524" s="70"/>
      <c r="G524" s="70"/>
      <c r="H524" s="70"/>
      <c r="I524" s="70"/>
      <c r="J524" s="70"/>
      <c r="K524" s="70"/>
      <c r="L524" s="70"/>
      <c r="M524" s="70"/>
      <c r="N524" s="70"/>
      <c r="O524" s="70"/>
      <c r="P524" s="70"/>
      <c r="Q524" s="70"/>
      <c r="R524" s="70"/>
      <c r="S524" s="70"/>
      <c r="T524" s="70"/>
      <c r="U524" s="70"/>
      <c r="V524" s="70"/>
      <c r="W524" s="70"/>
      <c r="X524" s="70"/>
      <c r="Y524" s="70"/>
      <c r="Z524" s="70"/>
      <c r="AA524" s="70"/>
      <c r="AB524" s="70"/>
      <c r="AC524" s="70"/>
      <c r="AD524" s="70"/>
      <c r="AE524" s="70"/>
      <c r="AF524" s="70"/>
      <c r="AG524" s="70"/>
      <c r="AH524" s="70"/>
      <c r="AI524" s="70"/>
      <c r="AJ524" s="70"/>
      <c r="AK524" s="70"/>
      <c r="AL524" s="70"/>
      <c r="AM524" s="65"/>
      <c r="AN524" s="65"/>
      <c r="AO524" s="65"/>
      <c r="AP524" s="65"/>
      <c r="AQ524" s="65"/>
      <c r="AR524" s="65"/>
      <c r="AS524" s="65"/>
      <c r="AT524" s="65"/>
      <c r="AU524" s="65"/>
      <c r="AV524" s="65"/>
      <c r="AW524" s="65"/>
      <c r="AX524" s="65"/>
      <c r="AY524" s="65"/>
      <c r="AZ524" s="65"/>
      <c r="BA524" s="65"/>
      <c r="BB524" s="65"/>
      <c r="BC524" s="65"/>
      <c r="BD524" s="65"/>
      <c r="BE524" s="65"/>
      <c r="BF524" s="65"/>
      <c r="BG524" s="65"/>
      <c r="BH524" s="65"/>
      <c r="BI524" s="65"/>
      <c r="BJ524" s="65"/>
      <c r="BK524" s="65"/>
      <c r="BL524" s="65"/>
      <c r="BM524" s="65"/>
      <c r="BN524" s="65"/>
      <c r="BO524" s="65">
        <f>50/0.91</f>
        <v>54.945054945054942</v>
      </c>
      <c r="BP524" s="65"/>
      <c r="BQ524" s="65"/>
      <c r="BR524" s="65"/>
      <c r="BS524" s="65">
        <f>50/0.91</f>
        <v>54.945054945054942</v>
      </c>
      <c r="BT524" s="65"/>
      <c r="BU524" s="65"/>
      <c r="BV524" s="65"/>
      <c r="BW524" s="65"/>
      <c r="BX524" s="65"/>
      <c r="BY524" s="65"/>
      <c r="BZ524" s="65"/>
      <c r="CA524" s="65"/>
      <c r="CB524" s="65"/>
      <c r="CC524" s="65"/>
      <c r="CD524" s="65"/>
      <c r="CE524" s="65"/>
      <c r="CF524" s="65"/>
      <c r="CG524" s="65"/>
      <c r="CH524" s="65"/>
      <c r="CI524" s="65"/>
      <c r="CJ524" s="65"/>
      <c r="CK524" s="65"/>
      <c r="CL524" s="65"/>
      <c r="CM524" s="65"/>
      <c r="CN524" s="65"/>
      <c r="CO524" s="65"/>
      <c r="CP524" s="65"/>
      <c r="CQ524" s="65"/>
      <c r="CR524" s="65"/>
      <c r="CS524" s="65"/>
      <c r="CT524" s="65"/>
      <c r="CU524" s="65"/>
      <c r="CV524" s="65"/>
      <c r="CW524" s="65"/>
      <c r="CX524" s="65"/>
      <c r="CY524" s="65"/>
      <c r="CZ524" s="65"/>
      <c r="DA524" s="65"/>
      <c r="DB524" s="65"/>
      <c r="DC524" s="65"/>
      <c r="DD524" s="65"/>
      <c r="DE524" s="65"/>
      <c r="DF524" s="65"/>
      <c r="DG524" s="65"/>
      <c r="DH524" s="65"/>
      <c r="DI524" s="65"/>
      <c r="DJ524" s="65"/>
      <c r="DK524" s="65"/>
      <c r="DL524" s="65"/>
      <c r="DM524" s="65"/>
      <c r="DN524" s="65"/>
      <c r="DO524" s="65"/>
      <c r="DP524" s="65"/>
      <c r="DQ524" s="65"/>
      <c r="DR524" s="65"/>
      <c r="DS524" s="65"/>
      <c r="DT524" s="65"/>
    </row>
    <row r="525" spans="1:124" ht="21.75" customHeight="1">
      <c r="A525" s="311"/>
      <c r="B525" s="229" t="s">
        <v>50</v>
      </c>
      <c r="C525" s="230"/>
      <c r="D525" s="231"/>
      <c r="E525" s="69"/>
      <c r="F525" s="69"/>
      <c r="G525" s="69"/>
      <c r="H525" s="69"/>
      <c r="I525" s="69"/>
      <c r="J525" s="69"/>
      <c r="K525" s="69"/>
      <c r="L525" s="69"/>
      <c r="M525" s="69"/>
      <c r="N525" s="69"/>
      <c r="O525" s="69"/>
      <c r="P525" s="69"/>
      <c r="Q525" s="69"/>
      <c r="R525" s="69"/>
      <c r="S525" s="69"/>
      <c r="T525" s="69"/>
      <c r="U525" s="69"/>
      <c r="V525" s="69"/>
      <c r="W525" s="69"/>
      <c r="X525" s="69"/>
      <c r="Y525" s="69"/>
      <c r="Z525" s="69"/>
      <c r="AA525" s="69"/>
      <c r="AB525" s="69"/>
      <c r="AC525" s="69"/>
      <c r="AD525" s="69"/>
      <c r="AE525" s="69"/>
      <c r="AF525" s="69"/>
      <c r="AG525" s="69"/>
      <c r="AH525" s="69"/>
      <c r="AI525" s="69"/>
      <c r="AJ525" s="69"/>
      <c r="AK525" s="69"/>
      <c r="AL525" s="69"/>
      <c r="AM525" s="68"/>
      <c r="AN525" s="68"/>
      <c r="AO525" s="68"/>
      <c r="AP525" s="68"/>
      <c r="AQ525" s="68"/>
      <c r="AR525" s="68"/>
      <c r="AS525" s="68"/>
      <c r="AT525" s="68"/>
      <c r="AU525" s="68"/>
      <c r="AV525" s="68"/>
      <c r="AW525" s="68"/>
      <c r="AX525" s="68"/>
      <c r="AY525" s="68"/>
      <c r="AZ525" s="68"/>
      <c r="BA525" s="68"/>
      <c r="BB525" s="68"/>
      <c r="BC525" s="68"/>
      <c r="BD525" s="68"/>
      <c r="BE525" s="68"/>
      <c r="BF525" s="68"/>
      <c r="BG525" s="68"/>
      <c r="BH525" s="68"/>
      <c r="BI525" s="68"/>
      <c r="BJ525" s="68"/>
      <c r="BK525" s="68"/>
      <c r="BL525" s="68"/>
      <c r="BM525" s="68"/>
      <c r="BN525" s="68"/>
      <c r="BO525" s="68"/>
      <c r="BP525" s="68"/>
      <c r="BQ525" s="68"/>
      <c r="BR525" s="68"/>
      <c r="BS525" s="68"/>
      <c r="BT525" s="68"/>
      <c r="BU525" s="68"/>
      <c r="BV525" s="68"/>
      <c r="BW525" s="68"/>
      <c r="BX525" s="68"/>
      <c r="BY525" s="68"/>
      <c r="BZ525" s="68"/>
      <c r="CA525" s="68"/>
      <c r="CB525" s="68"/>
      <c r="CC525" s="68"/>
      <c r="CD525" s="68"/>
      <c r="CE525" s="68"/>
      <c r="CF525" s="68"/>
      <c r="CG525" s="68"/>
      <c r="CH525" s="68"/>
      <c r="CI525" s="68"/>
      <c r="CJ525" s="68"/>
      <c r="CK525" s="68"/>
      <c r="CL525" s="68"/>
      <c r="CM525" s="68"/>
      <c r="CN525" s="68"/>
      <c r="CO525" s="68"/>
      <c r="CP525" s="68"/>
      <c r="CQ525" s="68"/>
      <c r="CR525" s="68"/>
      <c r="CS525" s="68"/>
      <c r="CT525" s="68"/>
      <c r="CU525" s="68"/>
      <c r="CV525" s="68"/>
      <c r="CW525" s="68"/>
      <c r="CX525" s="68"/>
      <c r="CY525" s="68"/>
      <c r="CZ525" s="68"/>
      <c r="DA525" s="68"/>
      <c r="DB525" s="68"/>
      <c r="DC525" s="68"/>
      <c r="DD525" s="68"/>
      <c r="DE525" s="68"/>
      <c r="DF525" s="68"/>
      <c r="DG525" s="68"/>
      <c r="DH525" s="68"/>
      <c r="DI525" s="68"/>
      <c r="DJ525" s="68"/>
      <c r="DK525" s="68"/>
      <c r="DL525" s="68"/>
      <c r="DM525" s="68"/>
      <c r="DN525" s="68"/>
      <c r="DO525" s="68"/>
      <c r="DP525" s="68"/>
      <c r="DQ525" s="68"/>
      <c r="DR525" s="68"/>
      <c r="DS525" s="68"/>
      <c r="DT525" s="68"/>
    </row>
    <row r="526" spans="1:124" ht="21.75" customHeight="1">
      <c r="A526" s="311"/>
      <c r="B526" s="232"/>
      <c r="C526" s="233"/>
      <c r="D526" s="234"/>
      <c r="E526" s="70"/>
      <c r="F526" s="70"/>
      <c r="G526" s="70"/>
      <c r="H526" s="70"/>
      <c r="I526" s="70"/>
      <c r="J526" s="70"/>
      <c r="K526" s="70"/>
      <c r="L526" s="70"/>
      <c r="M526" s="70"/>
      <c r="N526" s="70"/>
      <c r="O526" s="70"/>
      <c r="P526" s="70"/>
      <c r="Q526" s="70"/>
      <c r="R526" s="70"/>
      <c r="S526" s="70"/>
      <c r="T526" s="70"/>
      <c r="U526" s="70"/>
      <c r="V526" s="70"/>
      <c r="W526" s="70"/>
      <c r="X526" s="70"/>
      <c r="Y526" s="70"/>
      <c r="Z526" s="70"/>
      <c r="AA526" s="70"/>
      <c r="AB526" s="70"/>
      <c r="AC526" s="70"/>
      <c r="AD526" s="70"/>
      <c r="AE526" s="70"/>
      <c r="AF526" s="70"/>
      <c r="AG526" s="70"/>
      <c r="AH526" s="70"/>
      <c r="AI526" s="70"/>
      <c r="AJ526" s="70"/>
      <c r="AK526" s="70"/>
      <c r="AL526" s="70"/>
      <c r="AM526" s="65"/>
      <c r="AN526" s="65"/>
      <c r="AO526" s="65"/>
      <c r="AP526" s="65"/>
      <c r="AQ526" s="65"/>
      <c r="AR526" s="65"/>
      <c r="AS526" s="65"/>
      <c r="AT526" s="65"/>
      <c r="AU526" s="65"/>
      <c r="AV526" s="65"/>
      <c r="AW526" s="65"/>
      <c r="AX526" s="65"/>
      <c r="AY526" s="65"/>
      <c r="AZ526" s="65"/>
      <c r="BA526" s="65"/>
      <c r="BB526" s="65"/>
      <c r="BC526" s="65"/>
      <c r="BD526" s="65"/>
      <c r="BE526" s="65"/>
      <c r="BF526" s="65"/>
      <c r="BG526" s="65"/>
      <c r="BH526" s="65"/>
      <c r="BI526" s="65"/>
      <c r="BJ526" s="65"/>
      <c r="BK526" s="65"/>
      <c r="BL526" s="65"/>
      <c r="BM526" s="65"/>
      <c r="BN526" s="65"/>
      <c r="BO526" s="65"/>
      <c r="BP526" s="65"/>
      <c r="BQ526" s="65"/>
      <c r="BR526" s="65"/>
      <c r="BS526" s="65"/>
      <c r="BT526" s="65"/>
      <c r="BU526" s="65"/>
      <c r="BV526" s="65"/>
      <c r="BW526" s="65"/>
      <c r="BX526" s="65"/>
      <c r="BY526" s="65"/>
      <c r="BZ526" s="65"/>
      <c r="CA526" s="65"/>
      <c r="CB526" s="65"/>
      <c r="CC526" s="65"/>
      <c r="CD526" s="65"/>
      <c r="CE526" s="65"/>
      <c r="CF526" s="65"/>
      <c r="CG526" s="65"/>
      <c r="CH526" s="65"/>
      <c r="CI526" s="65"/>
      <c r="CJ526" s="65"/>
      <c r="CK526" s="65"/>
      <c r="CL526" s="65"/>
      <c r="CM526" s="65"/>
      <c r="CN526" s="65"/>
      <c r="CO526" s="65"/>
      <c r="CP526" s="65"/>
      <c r="CQ526" s="65"/>
      <c r="CR526" s="65"/>
      <c r="CS526" s="65"/>
      <c r="CT526" s="65"/>
      <c r="CU526" s="65"/>
      <c r="CV526" s="65"/>
      <c r="CW526" s="65"/>
      <c r="CX526" s="65"/>
      <c r="CY526" s="65"/>
      <c r="CZ526" s="65"/>
      <c r="DA526" s="65"/>
      <c r="DB526" s="65"/>
      <c r="DC526" s="65"/>
      <c r="DD526" s="65"/>
      <c r="DE526" s="65"/>
      <c r="DF526" s="65"/>
      <c r="DG526" s="65"/>
      <c r="DH526" s="65"/>
      <c r="DI526" s="65"/>
      <c r="DJ526" s="65"/>
      <c r="DK526" s="65"/>
      <c r="DL526" s="65"/>
      <c r="DM526" s="65"/>
      <c r="DN526" s="65"/>
      <c r="DO526" s="65"/>
      <c r="DP526" s="65"/>
      <c r="DQ526" s="65"/>
      <c r="DR526" s="65"/>
      <c r="DS526" s="65"/>
      <c r="DT526" s="65"/>
    </row>
    <row r="527" spans="1:124" ht="21.75" customHeight="1">
      <c r="A527" s="311"/>
      <c r="B527" s="229" t="s">
        <v>67</v>
      </c>
      <c r="C527" s="230"/>
      <c r="D527" s="231"/>
      <c r="E527" s="69"/>
      <c r="F527" s="69"/>
      <c r="G527" s="69"/>
      <c r="H527" s="69"/>
      <c r="I527" s="69"/>
      <c r="J527" s="69"/>
      <c r="K527" s="69"/>
      <c r="L527" s="69"/>
      <c r="M527" s="69"/>
      <c r="N527" s="69"/>
      <c r="O527" s="69"/>
      <c r="P527" s="69"/>
      <c r="Q527" s="69"/>
      <c r="R527" s="69"/>
      <c r="S527" s="69"/>
      <c r="T527" s="69"/>
      <c r="U527" s="69"/>
      <c r="V527" s="69"/>
      <c r="W527" s="69"/>
      <c r="X527" s="69"/>
      <c r="Y527" s="69"/>
      <c r="Z527" s="69"/>
      <c r="AA527" s="69"/>
      <c r="AB527" s="69"/>
      <c r="AC527" s="69"/>
      <c r="AD527" s="69"/>
      <c r="AE527" s="69"/>
      <c r="AF527" s="69"/>
      <c r="AG527" s="69"/>
      <c r="AH527" s="69"/>
      <c r="AI527" s="69"/>
      <c r="AJ527" s="69"/>
      <c r="AK527" s="69"/>
      <c r="AL527" s="69"/>
      <c r="AM527" s="68"/>
      <c r="AN527" s="68"/>
      <c r="AO527" s="68"/>
      <c r="AP527" s="68"/>
      <c r="AQ527" s="68"/>
      <c r="AR527" s="68"/>
      <c r="AS527" s="68"/>
      <c r="AT527" s="68"/>
      <c r="AU527" s="68"/>
      <c r="AV527" s="68"/>
      <c r="AW527" s="68"/>
      <c r="AX527" s="68"/>
      <c r="AY527" s="68"/>
      <c r="AZ527" s="68"/>
      <c r="BA527" s="68"/>
      <c r="BB527" s="68"/>
      <c r="BC527" s="68"/>
      <c r="BD527" s="68"/>
      <c r="BE527" s="68"/>
      <c r="BF527" s="68"/>
      <c r="BG527" s="68" t="s">
        <v>392</v>
      </c>
      <c r="BH527" s="68"/>
      <c r="BI527" s="68"/>
      <c r="BJ527" s="68"/>
      <c r="BK527" s="68"/>
      <c r="BL527" s="68"/>
      <c r="BM527" s="68"/>
      <c r="BN527" s="68"/>
      <c r="BO527" s="68"/>
      <c r="BP527" s="62" t="s">
        <v>424</v>
      </c>
      <c r="BQ527" s="68"/>
      <c r="BR527" s="68"/>
      <c r="BS527" s="68"/>
      <c r="BT527" s="68" t="s">
        <v>392</v>
      </c>
      <c r="BU527" s="68"/>
      <c r="BV527" s="68"/>
      <c r="BW527" s="68"/>
      <c r="BX527" s="68"/>
      <c r="BY527" s="68"/>
      <c r="BZ527" s="68"/>
      <c r="CA527" s="68"/>
      <c r="CB527" s="68"/>
      <c r="CC527" s="68"/>
      <c r="CD527" s="68"/>
      <c r="CE527" s="68"/>
      <c r="CF527" s="68"/>
      <c r="CG527" s="68"/>
      <c r="CH527" s="68"/>
      <c r="CI527" s="68"/>
      <c r="CJ527" s="68"/>
      <c r="CK527" s="68"/>
      <c r="CL527" s="68"/>
      <c r="CM527" s="68"/>
      <c r="CN527" s="68"/>
      <c r="CO527" s="68"/>
      <c r="CP527" s="68"/>
      <c r="CQ527" s="68"/>
      <c r="CR527" s="68"/>
      <c r="CS527" s="68"/>
      <c r="CT527" s="68"/>
      <c r="CU527" s="68"/>
      <c r="CV527" s="68"/>
      <c r="CW527" s="68"/>
      <c r="CX527" s="68"/>
      <c r="CY527" s="68"/>
      <c r="CZ527" s="68"/>
      <c r="DA527" s="68"/>
      <c r="DB527" s="68"/>
      <c r="DC527" s="68"/>
      <c r="DD527" s="68"/>
      <c r="DE527" s="68"/>
      <c r="DF527" s="68"/>
      <c r="DG527" s="68"/>
      <c r="DH527" s="68"/>
      <c r="DI527" s="68"/>
      <c r="DJ527" s="68"/>
      <c r="DK527" s="68"/>
      <c r="DL527" s="68"/>
      <c r="DM527" s="68"/>
      <c r="DN527" s="68"/>
      <c r="DO527" s="68"/>
      <c r="DP527" s="68"/>
      <c r="DQ527" s="68"/>
      <c r="DR527" s="68"/>
      <c r="DS527" s="68"/>
      <c r="DT527" s="68"/>
    </row>
    <row r="528" spans="1:124" ht="21.75" customHeight="1">
      <c r="A528" s="311"/>
      <c r="B528" s="232"/>
      <c r="C528" s="233"/>
      <c r="D528" s="234"/>
      <c r="E528" s="70"/>
      <c r="F528" s="70"/>
      <c r="G528" s="70"/>
      <c r="H528" s="70"/>
      <c r="I528" s="70"/>
      <c r="J528" s="70"/>
      <c r="K528" s="70"/>
      <c r="L528" s="70"/>
      <c r="M528" s="70"/>
      <c r="N528" s="70"/>
      <c r="O528" s="70"/>
      <c r="P528" s="70"/>
      <c r="Q528" s="70"/>
      <c r="R528" s="70"/>
      <c r="S528" s="70"/>
      <c r="T528" s="70"/>
      <c r="U528" s="70"/>
      <c r="V528" s="70"/>
      <c r="W528" s="70"/>
      <c r="X528" s="70"/>
      <c r="Y528" s="70"/>
      <c r="Z528" s="70"/>
      <c r="AA528" s="70"/>
      <c r="AB528" s="70"/>
      <c r="AC528" s="70"/>
      <c r="AD528" s="70"/>
      <c r="AE528" s="70"/>
      <c r="AF528" s="70"/>
      <c r="AG528" s="70"/>
      <c r="AH528" s="70"/>
      <c r="AI528" s="70"/>
      <c r="AJ528" s="70"/>
      <c r="AK528" s="70"/>
      <c r="AL528" s="70"/>
      <c r="AM528" s="65"/>
      <c r="AN528" s="65"/>
      <c r="AO528" s="65"/>
      <c r="AP528" s="65"/>
      <c r="AQ528" s="65"/>
      <c r="AR528" s="65"/>
      <c r="AS528" s="65"/>
      <c r="AT528" s="65"/>
      <c r="AU528" s="65"/>
      <c r="AV528" s="65"/>
      <c r="AW528" s="65"/>
      <c r="AX528" s="65"/>
      <c r="AY528" s="65"/>
      <c r="AZ528" s="65"/>
      <c r="BA528" s="65"/>
      <c r="BB528" s="65"/>
      <c r="BC528" s="65"/>
      <c r="BD528" s="65"/>
      <c r="BE528" s="65"/>
      <c r="BF528" s="65"/>
      <c r="BG528" s="65">
        <f>245/0.835</f>
        <v>293.41317365269464</v>
      </c>
      <c r="BH528" s="65"/>
      <c r="BI528" s="65"/>
      <c r="BJ528" s="65"/>
      <c r="BK528" s="65"/>
      <c r="BL528" s="65"/>
      <c r="BM528" s="65"/>
      <c r="BN528" s="65"/>
      <c r="BO528" s="65"/>
      <c r="BP528" s="67">
        <f>270/0.662</f>
        <v>407.85498489425981</v>
      </c>
      <c r="BQ528" s="65"/>
      <c r="BR528" s="65"/>
      <c r="BS528" s="65"/>
      <c r="BT528" s="65">
        <f>320/0.835</f>
        <v>383.23353293413174</v>
      </c>
      <c r="BU528" s="65"/>
      <c r="BV528" s="65"/>
      <c r="BW528" s="65"/>
      <c r="BX528" s="65"/>
      <c r="BY528" s="65"/>
      <c r="BZ528" s="65"/>
      <c r="CA528" s="65"/>
      <c r="CB528" s="65"/>
      <c r="CC528" s="65"/>
      <c r="CD528" s="65"/>
      <c r="CE528" s="65"/>
      <c r="CF528" s="65"/>
      <c r="CG528" s="65"/>
      <c r="CH528" s="65"/>
      <c r="CI528" s="65"/>
      <c r="CJ528" s="65"/>
      <c r="CK528" s="65"/>
      <c r="CL528" s="65"/>
      <c r="CM528" s="65"/>
      <c r="CN528" s="65"/>
      <c r="CO528" s="65"/>
      <c r="CP528" s="65"/>
      <c r="CQ528" s="65"/>
      <c r="CR528" s="65"/>
      <c r="CS528" s="65"/>
      <c r="CT528" s="65"/>
      <c r="CU528" s="65"/>
      <c r="CV528" s="65"/>
      <c r="CW528" s="65"/>
      <c r="CX528" s="65"/>
      <c r="CY528" s="65"/>
      <c r="CZ528" s="65"/>
      <c r="DA528" s="65"/>
      <c r="DB528" s="65"/>
      <c r="DC528" s="65"/>
      <c r="DD528" s="65"/>
      <c r="DE528" s="65"/>
      <c r="DF528" s="65"/>
      <c r="DG528" s="65"/>
      <c r="DH528" s="65"/>
      <c r="DI528" s="65"/>
      <c r="DJ528" s="65"/>
      <c r="DK528" s="65"/>
      <c r="DL528" s="65"/>
      <c r="DM528" s="65"/>
      <c r="DN528" s="65"/>
      <c r="DO528" s="65"/>
      <c r="DP528" s="65"/>
      <c r="DQ528" s="65"/>
      <c r="DR528" s="65"/>
      <c r="DS528" s="65"/>
      <c r="DT528" s="65"/>
    </row>
    <row r="529" spans="1:124" ht="21.75" customHeight="1">
      <c r="A529" s="311"/>
      <c r="B529" s="229" t="s">
        <v>563</v>
      </c>
      <c r="C529" s="230"/>
      <c r="D529" s="231"/>
      <c r="E529" s="69"/>
      <c r="F529" s="69"/>
      <c r="G529" s="69"/>
      <c r="H529" s="69"/>
      <c r="I529" s="69"/>
      <c r="J529" s="69"/>
      <c r="K529" s="69"/>
      <c r="L529" s="69"/>
      <c r="M529" s="69"/>
      <c r="N529" s="69"/>
      <c r="O529" s="69"/>
      <c r="P529" s="69"/>
      <c r="Q529" s="69"/>
      <c r="R529" s="69"/>
      <c r="S529" s="69"/>
      <c r="T529" s="69"/>
      <c r="U529" s="69"/>
      <c r="V529" s="69"/>
      <c r="W529" s="69"/>
      <c r="X529" s="69"/>
      <c r="Y529" s="69"/>
      <c r="Z529" s="69"/>
      <c r="AA529" s="69"/>
      <c r="AB529" s="69"/>
      <c r="AC529" s="69"/>
      <c r="AD529" s="69"/>
      <c r="AE529" s="69"/>
      <c r="AF529" s="69"/>
      <c r="AG529" s="69"/>
      <c r="AH529" s="69"/>
      <c r="AI529" s="69"/>
      <c r="AJ529" s="69"/>
      <c r="AK529" s="69"/>
      <c r="AL529" s="69"/>
      <c r="AM529" s="68"/>
      <c r="AN529" s="68"/>
      <c r="AO529" s="68"/>
      <c r="AP529" s="68"/>
      <c r="AQ529" s="68"/>
      <c r="AR529" s="68"/>
      <c r="AS529" s="68"/>
      <c r="AT529" s="68"/>
      <c r="AU529" s="68"/>
      <c r="AV529" s="68"/>
      <c r="AW529" s="68"/>
      <c r="AX529" s="68"/>
      <c r="AY529" s="68"/>
      <c r="AZ529" s="68"/>
      <c r="BA529" s="68"/>
      <c r="BB529" s="68"/>
      <c r="BC529" s="68"/>
      <c r="BD529" s="68"/>
      <c r="BE529" s="68"/>
      <c r="BF529" s="68" t="s">
        <v>376</v>
      </c>
      <c r="BG529" s="68"/>
      <c r="BH529" s="68"/>
      <c r="BI529" s="68" t="s">
        <v>376</v>
      </c>
      <c r="BJ529" s="68"/>
      <c r="BK529" s="68"/>
      <c r="BL529" s="68"/>
      <c r="BM529" s="68"/>
      <c r="BN529" s="68"/>
      <c r="BO529" s="68"/>
      <c r="BP529" s="68"/>
      <c r="BQ529" s="68"/>
      <c r="BR529" s="68"/>
      <c r="BS529" s="68"/>
      <c r="BT529" s="68" t="s">
        <v>384</v>
      </c>
      <c r="BU529" s="68"/>
      <c r="BV529" s="68"/>
      <c r="BW529" s="68"/>
      <c r="BX529" s="68"/>
      <c r="BY529" s="68"/>
      <c r="BZ529" s="68"/>
      <c r="CA529" s="68"/>
      <c r="CB529" s="68"/>
      <c r="CC529" s="68"/>
      <c r="CD529" s="68"/>
      <c r="CE529" s="68"/>
      <c r="CF529" s="68"/>
      <c r="CG529" s="68"/>
      <c r="CH529" s="68"/>
      <c r="CI529" s="68"/>
      <c r="CJ529" s="68"/>
      <c r="CK529" s="68"/>
      <c r="CL529" s="68"/>
      <c r="CM529" s="68"/>
      <c r="CN529" s="68"/>
      <c r="CO529" s="68"/>
      <c r="CP529" s="68"/>
      <c r="CQ529" s="68"/>
      <c r="CR529" s="68"/>
      <c r="CS529" s="68"/>
      <c r="CT529" s="68"/>
      <c r="CU529" s="68"/>
      <c r="CV529" s="68"/>
      <c r="CW529" s="68"/>
      <c r="CX529" s="68"/>
      <c r="CY529" s="68"/>
      <c r="CZ529" s="68"/>
      <c r="DA529" s="68"/>
      <c r="DB529" s="68"/>
      <c r="DC529" s="68"/>
      <c r="DD529" s="68"/>
      <c r="DE529" s="68"/>
      <c r="DF529" s="68"/>
      <c r="DG529" s="68"/>
      <c r="DH529" s="68"/>
      <c r="DI529" s="68"/>
      <c r="DJ529" s="68"/>
      <c r="DK529" s="68"/>
      <c r="DL529" s="68"/>
      <c r="DM529" s="68"/>
      <c r="DN529" s="68"/>
      <c r="DO529" s="68"/>
      <c r="DP529" s="68"/>
      <c r="DQ529" s="68"/>
      <c r="DR529" s="68"/>
      <c r="DS529" s="68"/>
      <c r="DT529" s="68"/>
    </row>
    <row r="530" spans="1:124" ht="21.75" customHeight="1">
      <c r="A530" s="311"/>
      <c r="B530" s="232"/>
      <c r="C530" s="233"/>
      <c r="D530" s="234"/>
      <c r="E530" s="70"/>
      <c r="F530" s="70"/>
      <c r="G530" s="70"/>
      <c r="H530" s="70"/>
      <c r="I530" s="70"/>
      <c r="J530" s="70"/>
      <c r="K530" s="70"/>
      <c r="L530" s="70"/>
      <c r="M530" s="70"/>
      <c r="N530" s="70"/>
      <c r="O530" s="70"/>
      <c r="P530" s="70"/>
      <c r="Q530" s="70"/>
      <c r="R530" s="70"/>
      <c r="S530" s="70"/>
      <c r="T530" s="70"/>
      <c r="U530" s="70"/>
      <c r="V530" s="70"/>
      <c r="W530" s="70"/>
      <c r="X530" s="70"/>
      <c r="Y530" s="70"/>
      <c r="Z530" s="70"/>
      <c r="AA530" s="70"/>
      <c r="AB530" s="70"/>
      <c r="AC530" s="70"/>
      <c r="AD530" s="70"/>
      <c r="AE530" s="70"/>
      <c r="AF530" s="70"/>
      <c r="AG530" s="70"/>
      <c r="AH530" s="70"/>
      <c r="AI530" s="70"/>
      <c r="AJ530" s="70"/>
      <c r="AK530" s="70"/>
      <c r="AL530" s="70"/>
      <c r="AM530" s="65"/>
      <c r="AN530" s="65"/>
      <c r="AO530" s="65"/>
      <c r="AP530" s="65"/>
      <c r="AQ530" s="65"/>
      <c r="AR530" s="65"/>
      <c r="AS530" s="65"/>
      <c r="AT530" s="65"/>
      <c r="AU530" s="65"/>
      <c r="AV530" s="65"/>
      <c r="AW530" s="65"/>
      <c r="AX530" s="65"/>
      <c r="AY530" s="65"/>
      <c r="AZ530" s="65"/>
      <c r="BA530" s="65"/>
      <c r="BB530" s="65"/>
      <c r="BC530" s="65"/>
      <c r="BD530" s="65"/>
      <c r="BE530" s="65"/>
      <c r="BF530" s="65">
        <f>180/0.91</f>
        <v>197.80219780219778</v>
      </c>
      <c r="BG530" s="65"/>
      <c r="BH530" s="65"/>
      <c r="BI530" s="65">
        <f>220/0.91</f>
        <v>241.75824175824175</v>
      </c>
      <c r="BJ530" s="65"/>
      <c r="BK530" s="65"/>
      <c r="BL530" s="65"/>
      <c r="BM530" s="65"/>
      <c r="BN530" s="65"/>
      <c r="BO530" s="65"/>
      <c r="BP530" s="65"/>
      <c r="BQ530" s="65"/>
      <c r="BR530" s="65"/>
      <c r="BS530" s="65"/>
      <c r="BT530" s="65">
        <f>280/0.91</f>
        <v>307.69230769230768</v>
      </c>
      <c r="BU530" s="65"/>
      <c r="BV530" s="65"/>
      <c r="BW530" s="65"/>
      <c r="BX530" s="65"/>
      <c r="BY530" s="65"/>
      <c r="BZ530" s="65"/>
      <c r="CA530" s="65"/>
      <c r="CB530" s="65"/>
      <c r="CC530" s="65"/>
      <c r="CD530" s="65"/>
      <c r="CE530" s="65"/>
      <c r="CF530" s="65"/>
      <c r="CG530" s="65"/>
      <c r="CH530" s="65"/>
      <c r="CI530" s="65"/>
      <c r="CJ530" s="65"/>
      <c r="CK530" s="65"/>
      <c r="CL530" s="65"/>
      <c r="CM530" s="65"/>
      <c r="CN530" s="65"/>
      <c r="CO530" s="65"/>
      <c r="CP530" s="65"/>
      <c r="CQ530" s="65"/>
      <c r="CR530" s="65"/>
      <c r="CS530" s="65"/>
      <c r="CT530" s="65"/>
      <c r="CU530" s="65"/>
      <c r="CV530" s="65"/>
      <c r="CW530" s="65"/>
      <c r="CX530" s="65"/>
      <c r="CY530" s="65"/>
      <c r="CZ530" s="65"/>
      <c r="DA530" s="65"/>
      <c r="DB530" s="65"/>
      <c r="DC530" s="65"/>
      <c r="DD530" s="65"/>
      <c r="DE530" s="65"/>
      <c r="DF530" s="65"/>
      <c r="DG530" s="65"/>
      <c r="DH530" s="65"/>
      <c r="DI530" s="65"/>
      <c r="DJ530" s="65"/>
      <c r="DK530" s="65"/>
      <c r="DL530" s="65"/>
      <c r="DM530" s="65"/>
      <c r="DN530" s="65"/>
      <c r="DO530" s="65"/>
      <c r="DP530" s="65"/>
      <c r="DQ530" s="65"/>
      <c r="DR530" s="65"/>
      <c r="DS530" s="65"/>
      <c r="DT530" s="65"/>
    </row>
    <row r="531" spans="1:124" ht="21.75" customHeight="1">
      <c r="A531" s="311"/>
      <c r="B531" s="229" t="s">
        <v>406</v>
      </c>
      <c r="C531" s="230"/>
      <c r="D531" s="231"/>
      <c r="E531" s="69"/>
      <c r="F531" s="69"/>
      <c r="G531" s="69"/>
      <c r="H531" s="69"/>
      <c r="I531" s="69"/>
      <c r="J531" s="69"/>
      <c r="K531" s="69"/>
      <c r="L531" s="69"/>
      <c r="M531" s="69"/>
      <c r="N531" s="69"/>
      <c r="O531" s="69"/>
      <c r="P531" s="69"/>
      <c r="Q531" s="69"/>
      <c r="R531" s="69"/>
      <c r="S531" s="69"/>
      <c r="T531" s="69"/>
      <c r="U531" s="69"/>
      <c r="V531" s="69"/>
      <c r="W531" s="69"/>
      <c r="X531" s="69"/>
      <c r="Y531" s="69"/>
      <c r="Z531" s="69"/>
      <c r="AA531" s="69"/>
      <c r="AB531" s="69"/>
      <c r="AC531" s="69"/>
      <c r="AD531" s="69"/>
      <c r="AE531" s="69"/>
      <c r="AF531" s="69"/>
      <c r="AG531" s="69"/>
      <c r="AH531" s="69"/>
      <c r="AI531" s="69"/>
      <c r="AJ531" s="69"/>
      <c r="AK531" s="69"/>
      <c r="AL531" s="69"/>
      <c r="AM531" s="68"/>
      <c r="AN531" s="68"/>
      <c r="AO531" s="68"/>
      <c r="AP531" s="68"/>
      <c r="AQ531" s="68"/>
      <c r="AR531" s="68"/>
      <c r="AS531" s="68"/>
      <c r="AT531" s="68"/>
      <c r="AU531" s="68"/>
      <c r="AV531" s="68"/>
      <c r="AW531" s="68"/>
      <c r="AX531" s="68"/>
      <c r="AY531" s="68"/>
      <c r="AZ531" s="68"/>
      <c r="BA531" s="68"/>
      <c r="BB531" s="68"/>
      <c r="BC531" s="68"/>
      <c r="BD531" s="68"/>
      <c r="BE531" s="68"/>
      <c r="BF531" s="68"/>
      <c r="BG531" s="68"/>
      <c r="BH531" s="68"/>
      <c r="BI531" s="68"/>
      <c r="BJ531" s="68"/>
      <c r="BK531" s="68"/>
      <c r="BL531" s="68"/>
      <c r="BM531" s="68"/>
      <c r="BN531" s="68"/>
      <c r="BO531" s="68"/>
      <c r="BP531" s="68"/>
      <c r="BQ531" s="68"/>
      <c r="BR531" s="68"/>
      <c r="BS531" s="68"/>
      <c r="BT531" s="68"/>
      <c r="BU531" s="68"/>
      <c r="BV531" s="68"/>
      <c r="BW531" s="68"/>
      <c r="BX531" s="68"/>
      <c r="BY531" s="68"/>
      <c r="BZ531" s="68"/>
      <c r="CA531" s="68"/>
      <c r="CB531" s="68"/>
      <c r="CC531" s="68"/>
      <c r="CD531" s="68"/>
      <c r="CE531" s="68"/>
      <c r="CF531" s="68"/>
      <c r="CG531" s="68"/>
      <c r="CH531" s="68"/>
      <c r="CI531" s="68"/>
      <c r="CJ531" s="68"/>
      <c r="CK531" s="68"/>
      <c r="CL531" s="68"/>
      <c r="CM531" s="68"/>
      <c r="CN531" s="68"/>
      <c r="CO531" s="68"/>
      <c r="CP531" s="68"/>
      <c r="CQ531" s="68"/>
      <c r="CR531" s="68"/>
      <c r="CS531" s="68"/>
      <c r="CT531" s="68"/>
      <c r="CU531" s="68"/>
      <c r="CV531" s="68"/>
      <c r="CW531" s="68"/>
      <c r="CX531" s="68"/>
      <c r="CY531" s="68"/>
      <c r="CZ531" s="68"/>
      <c r="DA531" s="68"/>
      <c r="DB531" s="68"/>
      <c r="DC531" s="68"/>
      <c r="DD531" s="68"/>
      <c r="DE531" s="68"/>
      <c r="DF531" s="68"/>
      <c r="DG531" s="68"/>
      <c r="DH531" s="68"/>
      <c r="DI531" s="68"/>
      <c r="DJ531" s="68"/>
      <c r="DK531" s="68"/>
      <c r="DL531" s="68"/>
      <c r="DM531" s="68"/>
      <c r="DN531" s="68"/>
      <c r="DO531" s="68"/>
      <c r="DP531" s="68"/>
      <c r="DQ531" s="68"/>
      <c r="DR531" s="68"/>
      <c r="DS531" s="68"/>
      <c r="DT531" s="68"/>
    </row>
    <row r="532" spans="1:124" ht="21.75" customHeight="1">
      <c r="A532" s="311"/>
      <c r="B532" s="232"/>
      <c r="C532" s="233"/>
      <c r="D532" s="234"/>
      <c r="E532" s="70"/>
      <c r="F532" s="70"/>
      <c r="G532" s="70"/>
      <c r="H532" s="70"/>
      <c r="I532" s="70"/>
      <c r="J532" s="70"/>
      <c r="K532" s="70"/>
      <c r="L532" s="70"/>
      <c r="M532" s="70"/>
      <c r="N532" s="70"/>
      <c r="O532" s="70"/>
      <c r="P532" s="70"/>
      <c r="Q532" s="70"/>
      <c r="R532" s="70"/>
      <c r="S532" s="70"/>
      <c r="T532" s="70"/>
      <c r="U532" s="70"/>
      <c r="V532" s="70"/>
      <c r="W532" s="70"/>
      <c r="X532" s="70"/>
      <c r="Y532" s="70"/>
      <c r="Z532" s="70"/>
      <c r="AA532" s="70"/>
      <c r="AB532" s="70"/>
      <c r="AC532" s="70"/>
      <c r="AD532" s="70"/>
      <c r="AE532" s="70"/>
      <c r="AF532" s="70"/>
      <c r="AG532" s="70"/>
      <c r="AH532" s="70"/>
      <c r="AI532" s="70"/>
      <c r="AJ532" s="70"/>
      <c r="AK532" s="70"/>
      <c r="AL532" s="70"/>
      <c r="AM532" s="65"/>
      <c r="AN532" s="65"/>
      <c r="AO532" s="65"/>
      <c r="AP532" s="65"/>
      <c r="AQ532" s="65"/>
      <c r="AR532" s="65"/>
      <c r="AS532" s="65"/>
      <c r="AT532" s="65"/>
      <c r="AU532" s="65"/>
      <c r="AV532" s="65"/>
      <c r="AW532" s="65"/>
      <c r="AX532" s="65"/>
      <c r="AY532" s="65"/>
      <c r="AZ532" s="65"/>
      <c r="BA532" s="65"/>
      <c r="BB532" s="65"/>
      <c r="BC532" s="65"/>
      <c r="BD532" s="65"/>
      <c r="BE532" s="65"/>
      <c r="BF532" s="65"/>
      <c r="BG532" s="65"/>
      <c r="BH532" s="65"/>
      <c r="BI532" s="65"/>
      <c r="BJ532" s="65"/>
      <c r="BK532" s="65"/>
      <c r="BL532" s="65"/>
      <c r="BM532" s="65"/>
      <c r="BN532" s="65"/>
      <c r="BO532" s="65"/>
      <c r="BP532" s="65"/>
      <c r="BQ532" s="65"/>
      <c r="BR532" s="65"/>
      <c r="BS532" s="65"/>
      <c r="BT532" s="65"/>
      <c r="BU532" s="65"/>
      <c r="BV532" s="65"/>
      <c r="BW532" s="65"/>
      <c r="BX532" s="65"/>
      <c r="BY532" s="65"/>
      <c r="BZ532" s="65"/>
      <c r="CA532" s="65"/>
      <c r="CB532" s="65"/>
      <c r="CC532" s="65"/>
      <c r="CD532" s="65"/>
      <c r="CE532" s="65"/>
      <c r="CF532" s="65"/>
      <c r="CG532" s="65"/>
      <c r="CH532" s="65"/>
      <c r="CI532" s="65"/>
      <c r="CJ532" s="65"/>
      <c r="CK532" s="65"/>
      <c r="CL532" s="65"/>
      <c r="CM532" s="65"/>
      <c r="CN532" s="65"/>
      <c r="CO532" s="65"/>
      <c r="CP532" s="65"/>
      <c r="CQ532" s="65"/>
      <c r="CR532" s="65"/>
      <c r="CS532" s="65"/>
      <c r="CT532" s="65"/>
      <c r="CU532" s="65"/>
      <c r="CV532" s="65"/>
      <c r="CW532" s="65"/>
      <c r="CX532" s="65"/>
      <c r="CY532" s="65"/>
      <c r="CZ532" s="65"/>
      <c r="DA532" s="65"/>
      <c r="DB532" s="65"/>
      <c r="DC532" s="65"/>
      <c r="DD532" s="65"/>
      <c r="DE532" s="65"/>
      <c r="DF532" s="65"/>
      <c r="DG532" s="65"/>
      <c r="DH532" s="65"/>
      <c r="DI532" s="65"/>
      <c r="DJ532" s="65"/>
      <c r="DK532" s="65"/>
      <c r="DL532" s="65"/>
      <c r="DM532" s="65"/>
      <c r="DN532" s="65"/>
      <c r="DO532" s="65"/>
      <c r="DP532" s="65"/>
      <c r="DQ532" s="65"/>
      <c r="DR532" s="65"/>
      <c r="DS532" s="65"/>
      <c r="DT532" s="65"/>
    </row>
    <row r="533" spans="1:124" ht="21.75" customHeight="1">
      <c r="A533" s="311"/>
      <c r="B533" s="229" t="s">
        <v>439</v>
      </c>
      <c r="C533" s="230"/>
      <c r="D533" s="231"/>
      <c r="E533" s="69"/>
      <c r="F533" s="69"/>
      <c r="G533" s="69"/>
      <c r="H533" s="69"/>
      <c r="I533" s="69"/>
      <c r="J533" s="69"/>
      <c r="K533" s="69"/>
      <c r="L533" s="69"/>
      <c r="M533" s="69"/>
      <c r="N533" s="69"/>
      <c r="O533" s="69"/>
      <c r="P533" s="69"/>
      <c r="Q533" s="69"/>
      <c r="R533" s="69"/>
      <c r="S533" s="69"/>
      <c r="T533" s="69"/>
      <c r="U533" s="69"/>
      <c r="V533" s="69"/>
      <c r="W533" s="69"/>
      <c r="X533" s="69"/>
      <c r="Y533" s="69"/>
      <c r="Z533" s="69"/>
      <c r="AA533" s="69"/>
      <c r="AB533" s="69"/>
      <c r="AC533" s="69"/>
      <c r="AD533" s="69"/>
      <c r="AE533" s="69"/>
      <c r="AF533" s="69"/>
      <c r="AG533" s="69"/>
      <c r="AH533" s="69"/>
      <c r="AI533" s="69"/>
      <c r="AJ533" s="69"/>
      <c r="AK533" s="69"/>
      <c r="AL533" s="69"/>
      <c r="AM533" s="68"/>
      <c r="AN533" s="68"/>
      <c r="AO533" s="68"/>
      <c r="AP533" s="68"/>
      <c r="AQ533" s="68"/>
      <c r="AR533" s="68"/>
      <c r="AS533" s="68"/>
      <c r="AT533" s="68"/>
      <c r="AU533" s="68"/>
      <c r="AV533" s="68"/>
      <c r="AW533" s="68"/>
      <c r="AX533" s="68"/>
      <c r="AY533" s="68"/>
      <c r="AZ533" s="68"/>
      <c r="BA533" s="68"/>
      <c r="BB533" s="68"/>
      <c r="BC533" s="68"/>
      <c r="BD533" s="68"/>
      <c r="BE533" s="68"/>
      <c r="BF533" s="68"/>
      <c r="BG533" s="68"/>
      <c r="BH533" s="68"/>
      <c r="BI533" s="68"/>
      <c r="BJ533" s="68"/>
      <c r="BK533" s="68"/>
      <c r="BL533" s="68"/>
      <c r="BM533" s="68"/>
      <c r="BN533" s="68"/>
      <c r="BO533" s="68"/>
      <c r="BP533" s="68"/>
      <c r="BQ533" s="68"/>
      <c r="BR533" s="68"/>
      <c r="BS533" s="68" t="s">
        <v>378</v>
      </c>
      <c r="BT533" s="68"/>
      <c r="BU533" s="68"/>
      <c r="BV533" s="68"/>
      <c r="BW533" s="68"/>
      <c r="BX533" s="68"/>
      <c r="BY533" s="68"/>
      <c r="BZ533" s="68"/>
      <c r="CA533" s="68"/>
      <c r="CB533" s="68"/>
      <c r="CC533" s="68"/>
      <c r="CD533" s="68"/>
      <c r="CE533" s="68"/>
      <c r="CF533" s="68"/>
      <c r="CG533" s="68"/>
      <c r="CH533" s="68"/>
      <c r="CI533" s="68"/>
      <c r="CJ533" s="68"/>
      <c r="CK533" s="68"/>
      <c r="CL533" s="68"/>
      <c r="CM533" s="68"/>
      <c r="CN533" s="68"/>
      <c r="CO533" s="68"/>
      <c r="CP533" s="68"/>
      <c r="CQ533" s="68"/>
      <c r="CR533" s="68"/>
      <c r="CS533" s="68"/>
      <c r="CT533" s="68"/>
      <c r="CU533" s="68"/>
      <c r="CV533" s="68"/>
      <c r="CW533" s="68"/>
      <c r="CX533" s="68"/>
      <c r="CY533" s="68"/>
      <c r="CZ533" s="68"/>
      <c r="DA533" s="68"/>
      <c r="DB533" s="68"/>
      <c r="DC533" s="68"/>
      <c r="DD533" s="68"/>
      <c r="DE533" s="68"/>
      <c r="DF533" s="68"/>
      <c r="DG533" s="68"/>
      <c r="DH533" s="68"/>
      <c r="DI533" s="68"/>
      <c r="DJ533" s="68"/>
      <c r="DK533" s="68"/>
      <c r="DL533" s="68"/>
      <c r="DM533" s="68"/>
      <c r="DN533" s="68"/>
      <c r="DO533" s="68"/>
      <c r="DP533" s="68"/>
      <c r="DQ533" s="68"/>
      <c r="DR533" s="68"/>
      <c r="DS533" s="68"/>
      <c r="DT533" s="68"/>
    </row>
    <row r="534" spans="1:124" ht="21.75" customHeight="1">
      <c r="A534" s="311"/>
      <c r="B534" s="232"/>
      <c r="C534" s="233"/>
      <c r="D534" s="234"/>
      <c r="E534" s="70"/>
      <c r="F534" s="70"/>
      <c r="G534" s="70"/>
      <c r="H534" s="70"/>
      <c r="I534" s="70"/>
      <c r="J534" s="70"/>
      <c r="K534" s="70"/>
      <c r="L534" s="70"/>
      <c r="M534" s="70"/>
      <c r="N534" s="70"/>
      <c r="O534" s="70"/>
      <c r="P534" s="70"/>
      <c r="Q534" s="70"/>
      <c r="R534" s="70"/>
      <c r="S534" s="70"/>
      <c r="T534" s="70"/>
      <c r="U534" s="70"/>
      <c r="V534" s="70"/>
      <c r="W534" s="70"/>
      <c r="X534" s="70"/>
      <c r="Y534" s="70"/>
      <c r="Z534" s="70"/>
      <c r="AA534" s="70"/>
      <c r="AB534" s="70"/>
      <c r="AC534" s="70"/>
      <c r="AD534" s="70"/>
      <c r="AE534" s="70"/>
      <c r="AF534" s="70"/>
      <c r="AG534" s="70"/>
      <c r="AH534" s="70"/>
      <c r="AI534" s="70"/>
      <c r="AJ534" s="70"/>
      <c r="AK534" s="70"/>
      <c r="AL534" s="70"/>
      <c r="AM534" s="65"/>
      <c r="AN534" s="65"/>
      <c r="AO534" s="65"/>
      <c r="AP534" s="65"/>
      <c r="AQ534" s="65"/>
      <c r="AR534" s="65"/>
      <c r="AS534" s="65"/>
      <c r="AT534" s="65"/>
      <c r="AU534" s="65"/>
      <c r="AV534" s="65"/>
      <c r="AW534" s="65"/>
      <c r="AX534" s="65"/>
      <c r="AY534" s="65"/>
      <c r="AZ534" s="65"/>
      <c r="BA534" s="65"/>
      <c r="BB534" s="65"/>
      <c r="BC534" s="65"/>
      <c r="BD534" s="65"/>
      <c r="BE534" s="65"/>
      <c r="BF534" s="65"/>
      <c r="BG534" s="65"/>
      <c r="BH534" s="65"/>
      <c r="BI534" s="65"/>
      <c r="BJ534" s="65"/>
      <c r="BK534" s="65"/>
      <c r="BL534" s="65"/>
      <c r="BM534" s="65"/>
      <c r="BN534" s="65"/>
      <c r="BO534" s="65"/>
      <c r="BP534" s="65"/>
      <c r="BQ534" s="65"/>
      <c r="BR534" s="65"/>
      <c r="BS534" s="65">
        <f>120/0.86</f>
        <v>139.53488372093022</v>
      </c>
      <c r="BT534" s="65"/>
      <c r="BU534" s="65"/>
      <c r="BV534" s="65"/>
      <c r="BW534" s="65"/>
      <c r="BX534" s="65"/>
      <c r="BY534" s="65"/>
      <c r="BZ534" s="65"/>
      <c r="CA534" s="65"/>
      <c r="CB534" s="65"/>
      <c r="CC534" s="65"/>
      <c r="CD534" s="65"/>
      <c r="CE534" s="65"/>
      <c r="CF534" s="65"/>
      <c r="CG534" s="65"/>
      <c r="CH534" s="65"/>
      <c r="CI534" s="65"/>
      <c r="CJ534" s="65"/>
      <c r="CK534" s="65"/>
      <c r="CL534" s="65"/>
      <c r="CM534" s="65"/>
      <c r="CN534" s="65"/>
      <c r="CO534" s="65"/>
      <c r="CP534" s="65"/>
      <c r="CQ534" s="65"/>
      <c r="CR534" s="65"/>
      <c r="CS534" s="65"/>
      <c r="CT534" s="65"/>
      <c r="CU534" s="65"/>
      <c r="CV534" s="65"/>
      <c r="CW534" s="65"/>
      <c r="CX534" s="65"/>
      <c r="CY534" s="65"/>
      <c r="CZ534" s="65"/>
      <c r="DA534" s="65"/>
      <c r="DB534" s="65"/>
      <c r="DC534" s="65"/>
      <c r="DD534" s="65"/>
      <c r="DE534" s="65"/>
      <c r="DF534" s="65"/>
      <c r="DG534" s="65"/>
      <c r="DH534" s="65"/>
      <c r="DI534" s="65"/>
      <c r="DJ534" s="65"/>
      <c r="DK534" s="65"/>
      <c r="DL534" s="65"/>
      <c r="DM534" s="65"/>
      <c r="DN534" s="65"/>
      <c r="DO534" s="65"/>
      <c r="DP534" s="65"/>
      <c r="DQ534" s="65"/>
      <c r="DR534" s="65"/>
      <c r="DS534" s="65"/>
      <c r="DT534" s="65"/>
    </row>
    <row r="535" spans="1:124" ht="21.75" customHeight="1">
      <c r="A535" s="311"/>
      <c r="B535" s="229" t="s">
        <v>440</v>
      </c>
      <c r="C535" s="230"/>
      <c r="D535" s="231"/>
      <c r="E535" s="69"/>
      <c r="F535" s="69"/>
      <c r="G535" s="69"/>
      <c r="H535" s="69"/>
      <c r="I535" s="69"/>
      <c r="J535" s="69"/>
      <c r="K535" s="69"/>
      <c r="L535" s="69"/>
      <c r="M535" s="69"/>
      <c r="N535" s="69"/>
      <c r="O535" s="69"/>
      <c r="P535" s="69"/>
      <c r="Q535" s="69"/>
      <c r="R535" s="69"/>
      <c r="S535" s="69"/>
      <c r="T535" s="69"/>
      <c r="U535" s="69"/>
      <c r="V535" s="69"/>
      <c r="W535" s="69"/>
      <c r="X535" s="69"/>
      <c r="Y535" s="69"/>
      <c r="Z535" s="69"/>
      <c r="AA535" s="69"/>
      <c r="AB535" s="69"/>
      <c r="AC535" s="69"/>
      <c r="AD535" s="69"/>
      <c r="AE535" s="69"/>
      <c r="AF535" s="69"/>
      <c r="AG535" s="69"/>
      <c r="AH535" s="69"/>
      <c r="AI535" s="69"/>
      <c r="AJ535" s="69"/>
      <c r="AK535" s="69"/>
      <c r="AL535" s="69"/>
      <c r="AM535" s="68"/>
      <c r="AN535" s="68"/>
      <c r="AO535" s="68"/>
      <c r="AP535" s="68"/>
      <c r="AQ535" s="68"/>
      <c r="AR535" s="68"/>
      <c r="AS535" s="68"/>
      <c r="AT535" s="68"/>
      <c r="AU535" s="68"/>
      <c r="AV535" s="68"/>
      <c r="AW535" s="68"/>
      <c r="AX535" s="68"/>
      <c r="AY535" s="68"/>
      <c r="AZ535" s="68"/>
      <c r="BA535" s="68"/>
      <c r="BB535" s="68"/>
      <c r="BC535" s="68"/>
      <c r="BD535" s="68"/>
      <c r="BE535" s="68"/>
      <c r="BF535" s="68"/>
      <c r="BG535" s="68"/>
      <c r="BH535" s="68"/>
      <c r="BI535" s="68"/>
      <c r="BJ535" s="68"/>
      <c r="BK535" s="68"/>
      <c r="BL535" s="68"/>
      <c r="BM535" s="68"/>
      <c r="BN535" s="68"/>
      <c r="BO535" s="68"/>
      <c r="BP535" s="68"/>
      <c r="BQ535" s="68"/>
      <c r="BR535" s="68"/>
      <c r="BS535" s="68"/>
      <c r="BT535" s="68"/>
      <c r="BU535" s="68"/>
      <c r="BV535" s="68"/>
      <c r="BW535" s="68"/>
      <c r="BX535" s="68"/>
      <c r="BY535" s="68"/>
      <c r="BZ535" s="68"/>
      <c r="CA535" s="68"/>
      <c r="CB535" s="68"/>
      <c r="CC535" s="68"/>
      <c r="CD535" s="68"/>
      <c r="CE535" s="68"/>
      <c r="CF535" s="68"/>
      <c r="CG535" s="68"/>
      <c r="CH535" s="68"/>
      <c r="CI535" s="68"/>
      <c r="CJ535" s="68"/>
      <c r="CK535" s="68"/>
      <c r="CL535" s="68"/>
      <c r="CM535" s="68"/>
      <c r="CN535" s="68"/>
      <c r="CO535" s="68"/>
      <c r="CP535" s="68"/>
      <c r="CQ535" s="68"/>
      <c r="CR535" s="68"/>
      <c r="CS535" s="68"/>
      <c r="CT535" s="68"/>
      <c r="CU535" s="68"/>
      <c r="CV535" s="68"/>
      <c r="CW535" s="68"/>
      <c r="CX535" s="68"/>
      <c r="CY535" s="68"/>
      <c r="CZ535" s="68"/>
      <c r="DA535" s="68"/>
      <c r="DB535" s="68"/>
      <c r="DC535" s="68"/>
      <c r="DD535" s="68"/>
      <c r="DE535" s="68"/>
      <c r="DF535" s="68"/>
      <c r="DG535" s="68"/>
      <c r="DH535" s="68"/>
      <c r="DI535" s="68"/>
      <c r="DJ535" s="68"/>
      <c r="DK535" s="68"/>
      <c r="DL535" s="68"/>
      <c r="DM535" s="68"/>
      <c r="DN535" s="68"/>
      <c r="DO535" s="68"/>
      <c r="DP535" s="68"/>
      <c r="DQ535" s="68"/>
      <c r="DR535" s="68"/>
      <c r="DS535" s="68"/>
      <c r="DT535" s="68"/>
    </row>
    <row r="536" spans="1:124" ht="21.75" customHeight="1">
      <c r="A536" s="311"/>
      <c r="B536" s="232"/>
      <c r="C536" s="233"/>
      <c r="D536" s="234"/>
      <c r="E536" s="70"/>
      <c r="F536" s="70"/>
      <c r="G536" s="70"/>
      <c r="H536" s="70"/>
      <c r="I536" s="70"/>
      <c r="J536" s="70"/>
      <c r="K536" s="70"/>
      <c r="L536" s="70"/>
      <c r="M536" s="70"/>
      <c r="N536" s="70"/>
      <c r="O536" s="70"/>
      <c r="P536" s="70"/>
      <c r="Q536" s="70"/>
      <c r="R536" s="70"/>
      <c r="S536" s="70"/>
      <c r="T536" s="70"/>
      <c r="U536" s="70"/>
      <c r="V536" s="70"/>
      <c r="W536" s="70"/>
      <c r="X536" s="70"/>
      <c r="Y536" s="70"/>
      <c r="Z536" s="70"/>
      <c r="AA536" s="70"/>
      <c r="AB536" s="70"/>
      <c r="AC536" s="70"/>
      <c r="AD536" s="70"/>
      <c r="AE536" s="70"/>
      <c r="AF536" s="70"/>
      <c r="AG536" s="70"/>
      <c r="AH536" s="70"/>
      <c r="AI536" s="70"/>
      <c r="AJ536" s="70"/>
      <c r="AK536" s="70"/>
      <c r="AL536" s="70"/>
      <c r="AM536" s="65"/>
      <c r="AN536" s="65"/>
      <c r="AO536" s="65"/>
      <c r="AP536" s="65"/>
      <c r="AQ536" s="65"/>
      <c r="AR536" s="65"/>
      <c r="AS536" s="65"/>
      <c r="AT536" s="65"/>
      <c r="AU536" s="65"/>
      <c r="AV536" s="65"/>
      <c r="AW536" s="65"/>
      <c r="AX536" s="65"/>
      <c r="AY536" s="65"/>
      <c r="AZ536" s="65"/>
      <c r="BA536" s="65"/>
      <c r="BB536" s="65"/>
      <c r="BC536" s="65"/>
      <c r="BD536" s="65"/>
      <c r="BE536" s="65"/>
      <c r="BF536" s="65"/>
      <c r="BG536" s="65"/>
      <c r="BH536" s="65"/>
      <c r="BI536" s="65"/>
      <c r="BJ536" s="65"/>
      <c r="BK536" s="65"/>
      <c r="BL536" s="65"/>
      <c r="BM536" s="65"/>
      <c r="BN536" s="65"/>
      <c r="BO536" s="65"/>
      <c r="BP536" s="65"/>
      <c r="BQ536" s="65"/>
      <c r="BR536" s="65"/>
      <c r="BS536" s="65"/>
      <c r="BT536" s="65"/>
      <c r="BU536" s="65"/>
      <c r="BV536" s="65"/>
      <c r="BW536" s="65"/>
      <c r="BX536" s="65"/>
      <c r="BY536" s="65"/>
      <c r="BZ536" s="65"/>
      <c r="CA536" s="65"/>
      <c r="CB536" s="65"/>
      <c r="CC536" s="65"/>
      <c r="CD536" s="65"/>
      <c r="CE536" s="65"/>
      <c r="CF536" s="65"/>
      <c r="CG536" s="65"/>
      <c r="CH536" s="65"/>
      <c r="CI536" s="65"/>
      <c r="CJ536" s="65"/>
      <c r="CK536" s="65"/>
      <c r="CL536" s="65"/>
      <c r="CM536" s="65"/>
      <c r="CN536" s="65"/>
      <c r="CO536" s="65"/>
      <c r="CP536" s="65"/>
      <c r="CQ536" s="65"/>
      <c r="CR536" s="65"/>
      <c r="CS536" s="65"/>
      <c r="CT536" s="65"/>
      <c r="CU536" s="65"/>
      <c r="CV536" s="65"/>
      <c r="CW536" s="65"/>
      <c r="CX536" s="65"/>
      <c r="CY536" s="65"/>
      <c r="CZ536" s="65"/>
      <c r="DA536" s="65"/>
      <c r="DB536" s="65"/>
      <c r="DC536" s="65"/>
      <c r="DD536" s="65"/>
      <c r="DE536" s="65"/>
      <c r="DF536" s="65"/>
      <c r="DG536" s="65"/>
      <c r="DH536" s="65"/>
      <c r="DI536" s="65"/>
      <c r="DJ536" s="65"/>
      <c r="DK536" s="65"/>
      <c r="DL536" s="65"/>
      <c r="DM536" s="65"/>
      <c r="DN536" s="65"/>
      <c r="DO536" s="65"/>
      <c r="DP536" s="65"/>
      <c r="DQ536" s="65"/>
      <c r="DR536" s="65"/>
      <c r="DS536" s="65"/>
      <c r="DT536" s="65"/>
    </row>
    <row r="537" spans="1:124" ht="21.75" customHeight="1">
      <c r="A537" s="311"/>
      <c r="B537" s="229" t="s">
        <v>133</v>
      </c>
      <c r="C537" s="230"/>
      <c r="D537" s="231"/>
      <c r="E537" s="69"/>
      <c r="F537" s="68"/>
      <c r="G537" s="68"/>
      <c r="H537" s="68"/>
      <c r="I537" s="68"/>
      <c r="J537" s="68"/>
      <c r="K537" s="68"/>
      <c r="L537" s="68"/>
      <c r="M537" s="68"/>
      <c r="N537" s="68"/>
      <c r="O537" s="68"/>
      <c r="P537" s="68"/>
      <c r="Q537" s="68"/>
      <c r="R537" s="68"/>
      <c r="S537" s="68"/>
      <c r="T537" s="68"/>
      <c r="U537" s="68"/>
      <c r="V537" s="68"/>
      <c r="W537" s="68"/>
      <c r="X537" s="69"/>
      <c r="Y537" s="69"/>
      <c r="Z537" s="69"/>
      <c r="AA537" s="69"/>
      <c r="AB537" s="69"/>
      <c r="AC537" s="69"/>
      <c r="AD537" s="69"/>
      <c r="AE537" s="69"/>
      <c r="AF537" s="69"/>
      <c r="AG537" s="69"/>
      <c r="AH537" s="69"/>
      <c r="AI537" s="69"/>
      <c r="AJ537" s="69"/>
      <c r="AK537" s="69"/>
      <c r="AL537" s="69"/>
      <c r="AM537" s="69"/>
      <c r="AN537" s="69"/>
      <c r="AO537" s="69"/>
      <c r="AP537" s="68"/>
      <c r="AQ537" s="68"/>
      <c r="AR537" s="68"/>
      <c r="AS537" s="69"/>
      <c r="AT537" s="69"/>
      <c r="AU537" s="69"/>
      <c r="AV537" s="69"/>
      <c r="AW537" s="69"/>
      <c r="AX537" s="68"/>
      <c r="AY537" s="68"/>
      <c r="AZ537" s="68"/>
      <c r="BA537" s="68"/>
      <c r="BB537" s="68"/>
      <c r="BC537" s="68"/>
      <c r="BD537" s="68"/>
      <c r="BE537" s="68"/>
      <c r="BF537" s="68"/>
      <c r="BG537" s="68"/>
      <c r="BH537" s="68"/>
      <c r="BI537" s="68"/>
      <c r="BJ537" s="68"/>
      <c r="BK537" s="68"/>
      <c r="BL537" s="68"/>
      <c r="BM537" s="68"/>
      <c r="BN537" s="68"/>
      <c r="BO537" s="68"/>
      <c r="BP537" s="68" t="s">
        <v>392</v>
      </c>
      <c r="BQ537" s="68"/>
      <c r="BR537" s="68"/>
      <c r="BS537" s="68"/>
      <c r="BT537" s="68"/>
      <c r="BU537" s="68"/>
      <c r="BV537" s="68"/>
      <c r="BW537" s="68"/>
      <c r="BX537" s="68"/>
      <c r="BY537" s="68"/>
      <c r="BZ537" s="68"/>
      <c r="CA537" s="68"/>
      <c r="CB537" s="68"/>
      <c r="CC537" s="68"/>
      <c r="CD537" s="68"/>
      <c r="CE537" s="68"/>
      <c r="CF537" s="68"/>
      <c r="CG537" s="68"/>
      <c r="CH537" s="68"/>
      <c r="CI537" s="68"/>
      <c r="CJ537" s="68"/>
      <c r="CK537" s="68"/>
      <c r="CL537" s="68"/>
      <c r="CM537" s="68"/>
      <c r="CN537" s="68"/>
      <c r="CO537" s="68"/>
      <c r="CP537" s="68"/>
      <c r="CQ537" s="68"/>
      <c r="CR537" s="68"/>
      <c r="CS537" s="68"/>
      <c r="CT537" s="68"/>
      <c r="CU537" s="68"/>
      <c r="CV537" s="68"/>
      <c r="CW537" s="68"/>
      <c r="CX537" s="68"/>
      <c r="CY537" s="68"/>
      <c r="CZ537" s="68"/>
      <c r="DA537" s="68"/>
      <c r="DB537" s="68"/>
      <c r="DC537" s="68"/>
      <c r="DD537" s="68"/>
      <c r="DE537" s="68"/>
      <c r="DF537" s="68"/>
      <c r="DG537" s="68"/>
      <c r="DH537" s="68"/>
      <c r="DI537" s="68"/>
      <c r="DJ537" s="68"/>
      <c r="DK537" s="68"/>
      <c r="DL537" s="68"/>
      <c r="DM537" s="68"/>
      <c r="DN537" s="68"/>
      <c r="DO537" s="68"/>
      <c r="DP537" s="68"/>
      <c r="DQ537" s="68"/>
      <c r="DR537" s="68"/>
      <c r="DS537" s="68"/>
      <c r="DT537" s="68"/>
    </row>
    <row r="538" spans="1:124" ht="21.75" customHeight="1">
      <c r="A538" s="311"/>
      <c r="B538" s="232"/>
      <c r="C538" s="233"/>
      <c r="D538" s="234"/>
      <c r="E538" s="70"/>
      <c r="F538" s="65"/>
      <c r="G538" s="65"/>
      <c r="H538" s="65"/>
      <c r="I538" s="65"/>
      <c r="J538" s="65"/>
      <c r="K538" s="65"/>
      <c r="L538" s="65"/>
      <c r="M538" s="65"/>
      <c r="N538" s="65"/>
      <c r="O538" s="65"/>
      <c r="P538" s="65"/>
      <c r="Q538" s="65"/>
      <c r="R538" s="65"/>
      <c r="S538" s="65"/>
      <c r="T538" s="65"/>
      <c r="U538" s="65"/>
      <c r="V538" s="65"/>
      <c r="W538" s="65"/>
      <c r="X538" s="70"/>
      <c r="Y538" s="70"/>
      <c r="Z538" s="70"/>
      <c r="AA538" s="70"/>
      <c r="AB538" s="70"/>
      <c r="AC538" s="70"/>
      <c r="AD538" s="70"/>
      <c r="AE538" s="70"/>
      <c r="AF538" s="70"/>
      <c r="AG538" s="70"/>
      <c r="AH538" s="70"/>
      <c r="AI538" s="70"/>
      <c r="AJ538" s="70"/>
      <c r="AK538" s="70"/>
      <c r="AL538" s="70"/>
      <c r="AM538" s="70"/>
      <c r="AN538" s="70"/>
      <c r="AO538" s="70"/>
      <c r="AP538" s="65"/>
      <c r="AQ538" s="65"/>
      <c r="AR538" s="65"/>
      <c r="AS538" s="70"/>
      <c r="AT538" s="70"/>
      <c r="AU538" s="70"/>
      <c r="AV538" s="70"/>
      <c r="AW538" s="70"/>
      <c r="AX538" s="65"/>
      <c r="AY538" s="65"/>
      <c r="AZ538" s="65"/>
      <c r="BA538" s="65"/>
      <c r="BB538" s="65"/>
      <c r="BC538" s="65"/>
      <c r="BD538" s="65"/>
      <c r="BE538" s="65"/>
      <c r="BF538" s="65"/>
      <c r="BG538" s="65"/>
      <c r="BH538" s="65"/>
      <c r="BI538" s="65"/>
      <c r="BJ538" s="65"/>
      <c r="BK538" s="65"/>
      <c r="BL538" s="65"/>
      <c r="BM538" s="65"/>
      <c r="BN538" s="65"/>
      <c r="BO538" s="65"/>
      <c r="BP538" s="65">
        <f>54/0.835</f>
        <v>64.670658682634738</v>
      </c>
      <c r="BQ538" s="65"/>
      <c r="BR538" s="65"/>
      <c r="BS538" s="65"/>
      <c r="BT538" s="65"/>
      <c r="BU538" s="65"/>
      <c r="BV538" s="65"/>
      <c r="BW538" s="65"/>
      <c r="BX538" s="65"/>
      <c r="BY538" s="65"/>
      <c r="BZ538" s="65"/>
      <c r="CA538" s="65"/>
      <c r="CB538" s="65"/>
      <c r="CC538" s="65"/>
      <c r="CD538" s="65"/>
      <c r="CE538" s="65"/>
      <c r="CF538" s="65"/>
      <c r="CG538" s="65"/>
      <c r="CH538" s="65"/>
      <c r="CI538" s="65"/>
      <c r="CJ538" s="65"/>
      <c r="CK538" s="65"/>
      <c r="CL538" s="65"/>
      <c r="CM538" s="65"/>
      <c r="CN538" s="65"/>
      <c r="CO538" s="65"/>
      <c r="CP538" s="65"/>
      <c r="CQ538" s="65"/>
      <c r="CR538" s="65"/>
      <c r="CS538" s="65"/>
      <c r="CT538" s="65"/>
      <c r="CU538" s="65"/>
      <c r="CV538" s="65"/>
      <c r="CW538" s="65"/>
      <c r="CX538" s="65"/>
      <c r="CY538" s="65"/>
      <c r="CZ538" s="65"/>
      <c r="DA538" s="65"/>
      <c r="DB538" s="65"/>
      <c r="DC538" s="65"/>
      <c r="DD538" s="65"/>
      <c r="DE538" s="65"/>
      <c r="DF538" s="65"/>
      <c r="DG538" s="65"/>
      <c r="DH538" s="65"/>
      <c r="DI538" s="65"/>
      <c r="DJ538" s="65"/>
      <c r="DK538" s="65"/>
      <c r="DL538" s="65"/>
      <c r="DM538" s="65"/>
      <c r="DN538" s="65"/>
      <c r="DO538" s="65"/>
      <c r="DP538" s="65"/>
      <c r="DQ538" s="65"/>
      <c r="DR538" s="65"/>
      <c r="DS538" s="65"/>
      <c r="DT538" s="65"/>
    </row>
    <row r="539" spans="1:124" ht="21.75" customHeight="1">
      <c r="A539" s="311"/>
      <c r="B539" s="229" t="s">
        <v>414</v>
      </c>
      <c r="C539" s="230"/>
      <c r="D539" s="231"/>
      <c r="E539" s="69"/>
      <c r="F539" s="69"/>
      <c r="G539" s="69"/>
      <c r="H539" s="69"/>
      <c r="I539" s="69"/>
      <c r="J539" s="69"/>
      <c r="K539" s="69"/>
      <c r="L539" s="69"/>
      <c r="M539" s="69"/>
      <c r="N539" s="69"/>
      <c r="O539" s="69"/>
      <c r="P539" s="69"/>
      <c r="Q539" s="69"/>
      <c r="R539" s="69"/>
      <c r="S539" s="69"/>
      <c r="T539" s="69"/>
      <c r="U539" s="69"/>
      <c r="V539" s="69"/>
      <c r="W539" s="69"/>
      <c r="X539" s="69"/>
      <c r="Y539" s="69"/>
      <c r="Z539" s="69"/>
      <c r="AA539" s="69"/>
      <c r="AB539" s="69"/>
      <c r="AC539" s="69"/>
      <c r="AD539" s="69"/>
      <c r="AE539" s="69"/>
      <c r="AF539" s="69"/>
      <c r="AG539" s="69"/>
      <c r="AH539" s="69"/>
      <c r="AI539" s="69"/>
      <c r="AJ539" s="69"/>
      <c r="AK539" s="69"/>
      <c r="AL539" s="69"/>
      <c r="AM539" s="68"/>
      <c r="AN539" s="68"/>
      <c r="AO539" s="68"/>
      <c r="AP539" s="68"/>
      <c r="AQ539" s="68"/>
      <c r="AR539" s="68"/>
      <c r="AS539" s="68"/>
      <c r="AT539" s="68"/>
      <c r="AU539" s="68"/>
      <c r="AV539" s="68"/>
      <c r="AW539" s="68"/>
      <c r="AX539" s="68"/>
      <c r="AY539" s="68"/>
      <c r="AZ539" s="68"/>
      <c r="BA539" s="68"/>
      <c r="BB539" s="68"/>
      <c r="BC539" s="68"/>
      <c r="BD539" s="68"/>
      <c r="BE539" s="68"/>
      <c r="BF539" s="68"/>
      <c r="BG539" s="68"/>
      <c r="BH539" s="68" t="s">
        <v>434</v>
      </c>
      <c r="BI539" s="68"/>
      <c r="BJ539" s="68"/>
      <c r="BK539" s="68"/>
      <c r="BL539" s="68"/>
      <c r="BM539" s="68"/>
      <c r="BN539" s="68"/>
      <c r="BO539" s="68"/>
      <c r="BP539" s="68"/>
      <c r="BQ539" s="68"/>
      <c r="BR539" s="68"/>
      <c r="BS539" s="68" t="s">
        <v>392</v>
      </c>
      <c r="BT539" s="68"/>
      <c r="BU539" s="68"/>
      <c r="BV539" s="68"/>
      <c r="BW539" s="68"/>
      <c r="BX539" s="68"/>
      <c r="BY539" s="68"/>
      <c r="BZ539" s="68"/>
      <c r="CA539" s="68"/>
      <c r="CB539" s="68"/>
      <c r="CC539" s="68"/>
      <c r="CD539" s="68"/>
      <c r="CE539" s="68"/>
      <c r="CF539" s="68"/>
      <c r="CG539" s="68"/>
      <c r="CH539" s="68"/>
      <c r="CI539" s="68"/>
      <c r="CJ539" s="68"/>
      <c r="CK539" s="68"/>
      <c r="CL539" s="68"/>
      <c r="CM539" s="68"/>
      <c r="CN539" s="68"/>
      <c r="CO539" s="68"/>
      <c r="CP539" s="68"/>
      <c r="CQ539" s="68"/>
      <c r="CR539" s="68"/>
      <c r="CS539" s="68"/>
      <c r="CT539" s="68"/>
      <c r="CU539" s="68"/>
      <c r="CV539" s="68"/>
      <c r="CW539" s="68"/>
      <c r="CX539" s="68"/>
      <c r="CY539" s="68"/>
      <c r="CZ539" s="68"/>
      <c r="DA539" s="68"/>
      <c r="DB539" s="68"/>
      <c r="DC539" s="68"/>
      <c r="DD539" s="68"/>
      <c r="DE539" s="68"/>
      <c r="DF539" s="68"/>
      <c r="DG539" s="68"/>
      <c r="DH539" s="68"/>
      <c r="DI539" s="68"/>
      <c r="DJ539" s="68"/>
      <c r="DK539" s="68"/>
      <c r="DL539" s="68"/>
      <c r="DM539" s="68"/>
      <c r="DN539" s="68"/>
      <c r="DO539" s="68"/>
      <c r="DP539" s="68"/>
      <c r="DQ539" s="68"/>
      <c r="DR539" s="68"/>
      <c r="DS539" s="68"/>
      <c r="DT539" s="68"/>
    </row>
    <row r="540" spans="1:124" ht="21.75" customHeight="1">
      <c r="A540" s="311"/>
      <c r="B540" s="232"/>
      <c r="C540" s="233"/>
      <c r="D540" s="234"/>
      <c r="E540" s="70"/>
      <c r="F540" s="70"/>
      <c r="G540" s="70"/>
      <c r="H540" s="70"/>
      <c r="I540" s="70"/>
      <c r="J540" s="70"/>
      <c r="K540" s="70"/>
      <c r="L540" s="70"/>
      <c r="M540" s="70"/>
      <c r="N540" s="70"/>
      <c r="O540" s="70"/>
      <c r="P540" s="70"/>
      <c r="Q540" s="70"/>
      <c r="R540" s="70"/>
      <c r="S540" s="70"/>
      <c r="T540" s="70"/>
      <c r="U540" s="70"/>
      <c r="V540" s="70"/>
      <c r="W540" s="70"/>
      <c r="X540" s="70"/>
      <c r="Y540" s="70"/>
      <c r="Z540" s="70"/>
      <c r="AA540" s="70"/>
      <c r="AB540" s="70"/>
      <c r="AC540" s="70"/>
      <c r="AD540" s="70"/>
      <c r="AE540" s="70"/>
      <c r="AF540" s="70"/>
      <c r="AG540" s="70"/>
      <c r="AH540" s="70"/>
      <c r="AI540" s="70"/>
      <c r="AJ540" s="70"/>
      <c r="AK540" s="70"/>
      <c r="AL540" s="70"/>
      <c r="AM540" s="65"/>
      <c r="AN540" s="65"/>
      <c r="AO540" s="65"/>
      <c r="AP540" s="65"/>
      <c r="AQ540" s="65"/>
      <c r="AR540" s="65"/>
      <c r="AS540" s="65"/>
      <c r="AT540" s="65"/>
      <c r="AU540" s="65"/>
      <c r="AV540" s="65"/>
      <c r="AW540" s="65"/>
      <c r="AX540" s="65"/>
      <c r="AY540" s="65"/>
      <c r="AZ540" s="65"/>
      <c r="BA540" s="65"/>
      <c r="BB540" s="65"/>
      <c r="BC540" s="65"/>
      <c r="BD540" s="65"/>
      <c r="BE540" s="65"/>
      <c r="BF540" s="65"/>
      <c r="BG540" s="65"/>
      <c r="BH540" s="65">
        <f>33/0.835</f>
        <v>39.52095808383234</v>
      </c>
      <c r="BI540" s="65"/>
      <c r="BJ540" s="65"/>
      <c r="BK540" s="65"/>
      <c r="BL540" s="65"/>
      <c r="BM540" s="65"/>
      <c r="BN540" s="65"/>
      <c r="BO540" s="65"/>
      <c r="BP540" s="65"/>
      <c r="BQ540" s="65"/>
      <c r="BR540" s="65"/>
      <c r="BS540" s="65">
        <f>61/0.835</f>
        <v>73.053892215568865</v>
      </c>
      <c r="BT540" s="65"/>
      <c r="BU540" s="65"/>
      <c r="BV540" s="65"/>
      <c r="BW540" s="65"/>
      <c r="BX540" s="65"/>
      <c r="BY540" s="65"/>
      <c r="BZ540" s="65"/>
      <c r="CA540" s="65"/>
      <c r="CB540" s="65"/>
      <c r="CC540" s="65"/>
      <c r="CD540" s="65"/>
      <c r="CE540" s="65"/>
      <c r="CF540" s="65"/>
      <c r="CG540" s="65"/>
      <c r="CH540" s="65"/>
      <c r="CI540" s="65"/>
      <c r="CJ540" s="65"/>
      <c r="CK540" s="65"/>
      <c r="CL540" s="65"/>
      <c r="CM540" s="65"/>
      <c r="CN540" s="65"/>
      <c r="CO540" s="65"/>
      <c r="CP540" s="65"/>
      <c r="CQ540" s="65"/>
      <c r="CR540" s="65"/>
      <c r="CS540" s="65"/>
      <c r="CT540" s="65"/>
      <c r="CU540" s="65"/>
      <c r="CV540" s="65"/>
      <c r="CW540" s="65"/>
      <c r="CX540" s="65"/>
      <c r="CY540" s="65"/>
      <c r="CZ540" s="65"/>
      <c r="DA540" s="65"/>
      <c r="DB540" s="65"/>
      <c r="DC540" s="65"/>
      <c r="DD540" s="65"/>
      <c r="DE540" s="65"/>
      <c r="DF540" s="65"/>
      <c r="DG540" s="65"/>
      <c r="DH540" s="65"/>
      <c r="DI540" s="65"/>
      <c r="DJ540" s="65"/>
      <c r="DK540" s="65"/>
      <c r="DL540" s="65"/>
      <c r="DM540" s="65"/>
      <c r="DN540" s="65"/>
      <c r="DO540" s="65"/>
      <c r="DP540" s="65"/>
      <c r="DQ540" s="65"/>
      <c r="DR540" s="65"/>
      <c r="DS540" s="65"/>
      <c r="DT540" s="65"/>
    </row>
    <row r="541" spans="1:124" ht="21.75" customHeight="1">
      <c r="A541" s="311"/>
      <c r="B541" s="229" t="s">
        <v>103</v>
      </c>
      <c r="C541" s="230"/>
      <c r="D541" s="78" t="s">
        <v>415</v>
      </c>
      <c r="E541" s="70"/>
      <c r="F541" s="70"/>
      <c r="G541" s="70"/>
      <c r="H541" s="70"/>
      <c r="I541" s="70"/>
      <c r="J541" s="70"/>
      <c r="K541" s="70"/>
      <c r="L541" s="70"/>
      <c r="M541" s="70"/>
      <c r="N541" s="70"/>
      <c r="O541" s="70"/>
      <c r="P541" s="70"/>
      <c r="Q541" s="70"/>
      <c r="R541" s="70"/>
      <c r="S541" s="70"/>
      <c r="T541" s="70"/>
      <c r="U541" s="70"/>
      <c r="V541" s="70"/>
      <c r="W541" s="70"/>
      <c r="X541" s="70"/>
      <c r="Y541" s="70"/>
      <c r="Z541" s="70"/>
      <c r="AA541" s="70"/>
      <c r="AB541" s="70"/>
      <c r="AC541" s="70"/>
      <c r="AD541" s="70"/>
      <c r="AE541" s="70"/>
      <c r="AF541" s="70"/>
      <c r="AG541" s="70"/>
      <c r="AH541" s="70"/>
      <c r="AI541" s="70"/>
      <c r="AJ541" s="70"/>
      <c r="AK541" s="70"/>
      <c r="AL541" s="70"/>
      <c r="AM541" s="65"/>
      <c r="AN541" s="65"/>
      <c r="AO541" s="65"/>
      <c r="AP541" s="65"/>
      <c r="AQ541" s="65"/>
      <c r="AR541" s="65"/>
      <c r="AS541" s="65"/>
      <c r="AT541" s="65"/>
      <c r="AU541" s="65"/>
      <c r="AV541" s="65"/>
      <c r="AW541" s="65"/>
      <c r="AX541" s="65"/>
      <c r="AY541" s="65"/>
      <c r="AZ541" s="65"/>
      <c r="BA541" s="65"/>
      <c r="BB541" s="65"/>
      <c r="BC541" s="65"/>
      <c r="BD541" s="65"/>
      <c r="BE541" s="65"/>
      <c r="BF541" s="65"/>
      <c r="BG541" s="65"/>
      <c r="BH541" s="65"/>
      <c r="BI541" s="65"/>
      <c r="BJ541" s="65"/>
      <c r="BK541" s="65"/>
      <c r="BL541" s="65"/>
      <c r="BM541" s="65"/>
      <c r="BN541" s="65"/>
      <c r="BO541" s="65"/>
      <c r="BP541" s="65"/>
      <c r="BQ541" s="65"/>
      <c r="BR541" s="65"/>
      <c r="BS541" s="65"/>
      <c r="BT541" s="65"/>
      <c r="BU541" s="65"/>
      <c r="BV541" s="65"/>
      <c r="BW541" s="65"/>
      <c r="BX541" s="65"/>
      <c r="BY541" s="65"/>
      <c r="BZ541" s="65"/>
      <c r="CA541" s="65"/>
      <c r="CB541" s="65"/>
      <c r="CC541" s="65"/>
      <c r="CD541" s="65"/>
      <c r="CE541" s="65"/>
      <c r="CF541" s="65"/>
      <c r="CG541" s="65"/>
      <c r="CH541" s="65"/>
      <c r="CI541" s="65"/>
      <c r="CJ541" s="65"/>
      <c r="CK541" s="65"/>
      <c r="CL541" s="65"/>
      <c r="CM541" s="65"/>
      <c r="CN541" s="65"/>
      <c r="CO541" s="65"/>
      <c r="CP541" s="65"/>
      <c r="CQ541" s="65"/>
      <c r="CR541" s="65"/>
      <c r="CS541" s="65"/>
      <c r="CT541" s="65"/>
      <c r="CU541" s="65"/>
      <c r="CV541" s="65"/>
      <c r="CW541" s="65"/>
      <c r="CX541" s="65"/>
      <c r="CY541" s="65"/>
      <c r="CZ541" s="65"/>
      <c r="DA541" s="65"/>
      <c r="DB541" s="65"/>
      <c r="DC541" s="65"/>
      <c r="DD541" s="65"/>
      <c r="DE541" s="65"/>
      <c r="DF541" s="65"/>
      <c r="DG541" s="65"/>
      <c r="DH541" s="65"/>
      <c r="DI541" s="65"/>
      <c r="DJ541" s="65"/>
      <c r="DK541" s="65"/>
      <c r="DL541" s="65"/>
      <c r="DM541" s="65"/>
      <c r="DN541" s="65"/>
      <c r="DO541" s="65"/>
      <c r="DP541" s="65"/>
      <c r="DQ541" s="65"/>
      <c r="DR541" s="65"/>
      <c r="DS541" s="65"/>
      <c r="DT541" s="65"/>
    </row>
    <row r="542" spans="1:124" ht="21.75" customHeight="1">
      <c r="A542" s="311"/>
      <c r="B542" s="232"/>
      <c r="C542" s="233"/>
      <c r="D542" s="79" t="s">
        <v>418</v>
      </c>
      <c r="E542" s="70"/>
      <c r="F542" s="70"/>
      <c r="G542" s="70"/>
      <c r="H542" s="70"/>
      <c r="I542" s="70"/>
      <c r="J542" s="70"/>
      <c r="K542" s="70"/>
      <c r="L542" s="70"/>
      <c r="M542" s="70"/>
      <c r="N542" s="70"/>
      <c r="O542" s="70"/>
      <c r="P542" s="70"/>
      <c r="Q542" s="70"/>
      <c r="R542" s="70"/>
      <c r="S542" s="70"/>
      <c r="T542" s="70"/>
      <c r="U542" s="70"/>
      <c r="V542" s="70"/>
      <c r="W542" s="70"/>
      <c r="X542" s="70"/>
      <c r="Y542" s="70"/>
      <c r="Z542" s="70"/>
      <c r="AA542" s="70"/>
      <c r="AB542" s="70"/>
      <c r="AC542" s="70"/>
      <c r="AD542" s="70"/>
      <c r="AE542" s="70"/>
      <c r="AF542" s="70"/>
      <c r="AG542" s="70"/>
      <c r="AH542" s="70"/>
      <c r="AI542" s="70"/>
      <c r="AJ542" s="70"/>
      <c r="AK542" s="70"/>
      <c r="AL542" s="70"/>
      <c r="AM542" s="65"/>
      <c r="AN542" s="65"/>
      <c r="AO542" s="65"/>
      <c r="AP542" s="65"/>
      <c r="AQ542" s="65"/>
      <c r="AR542" s="65"/>
      <c r="AS542" s="65"/>
      <c r="AT542" s="65"/>
      <c r="AU542" s="65"/>
      <c r="AV542" s="65"/>
      <c r="AW542" s="65"/>
      <c r="AX542" s="65"/>
      <c r="AY542" s="65"/>
      <c r="AZ542" s="65"/>
      <c r="BA542" s="65"/>
      <c r="BB542" s="65"/>
      <c r="BC542" s="65"/>
      <c r="BD542" s="65"/>
      <c r="BE542" s="65"/>
      <c r="BF542" s="65"/>
      <c r="BG542" s="65"/>
      <c r="BH542" s="65"/>
      <c r="BI542" s="65"/>
      <c r="BJ542" s="65"/>
      <c r="BK542" s="65"/>
      <c r="BL542" s="65"/>
      <c r="BM542" s="65"/>
      <c r="BN542" s="65"/>
      <c r="BO542" s="65"/>
      <c r="BP542" s="65"/>
      <c r="BQ542" s="65"/>
      <c r="BR542" s="65"/>
      <c r="BS542" s="65"/>
      <c r="BT542" s="65"/>
      <c r="BU542" s="65"/>
      <c r="BV542" s="65"/>
      <c r="BW542" s="65"/>
      <c r="BX542" s="65"/>
      <c r="BY542" s="65"/>
      <c r="BZ542" s="65"/>
      <c r="CA542" s="65"/>
      <c r="CB542" s="65"/>
      <c r="CC542" s="65"/>
      <c r="CD542" s="65"/>
      <c r="CE542" s="65"/>
      <c r="CF542" s="65"/>
      <c r="CG542" s="65"/>
      <c r="CH542" s="65"/>
      <c r="CI542" s="65"/>
      <c r="CJ542" s="65"/>
      <c r="CK542" s="65"/>
      <c r="CL542" s="65"/>
      <c r="CM542" s="65"/>
      <c r="CN542" s="65"/>
      <c r="CO542" s="65"/>
      <c r="CP542" s="65"/>
      <c r="CQ542" s="65"/>
      <c r="CR542" s="65"/>
      <c r="CS542" s="65"/>
      <c r="CT542" s="65"/>
      <c r="CU542" s="65"/>
      <c r="CV542" s="65"/>
      <c r="CW542" s="65"/>
      <c r="CX542" s="65"/>
      <c r="CY542" s="65"/>
      <c r="CZ542" s="65"/>
      <c r="DA542" s="65"/>
      <c r="DB542" s="65"/>
      <c r="DC542" s="65"/>
      <c r="DD542" s="65"/>
      <c r="DE542" s="65"/>
      <c r="DF542" s="65"/>
      <c r="DG542" s="65"/>
      <c r="DH542" s="65"/>
      <c r="DI542" s="65"/>
      <c r="DJ542" s="65"/>
      <c r="DK542" s="65"/>
      <c r="DL542" s="65"/>
      <c r="DM542" s="65"/>
      <c r="DN542" s="65"/>
      <c r="DO542" s="65"/>
      <c r="DP542" s="65"/>
      <c r="DQ542" s="65"/>
      <c r="DR542" s="65"/>
      <c r="DS542" s="65"/>
      <c r="DT542" s="65"/>
    </row>
    <row r="543" spans="1:124" ht="21.75" customHeight="1">
      <c r="A543" s="311"/>
      <c r="B543" s="229" t="s">
        <v>564</v>
      </c>
      <c r="C543" s="230"/>
      <c r="D543" s="231"/>
      <c r="E543" s="69"/>
      <c r="F543" s="68"/>
      <c r="G543" s="68"/>
      <c r="H543" s="68"/>
      <c r="I543" s="68"/>
      <c r="J543" s="68"/>
      <c r="K543" s="68"/>
      <c r="L543" s="68"/>
      <c r="M543" s="68"/>
      <c r="N543" s="68"/>
      <c r="O543" s="68"/>
      <c r="P543" s="68"/>
      <c r="Q543" s="68"/>
      <c r="R543" s="68"/>
      <c r="S543" s="68"/>
      <c r="T543" s="68"/>
      <c r="U543" s="68"/>
      <c r="V543" s="68"/>
      <c r="W543" s="68"/>
      <c r="X543" s="69"/>
      <c r="Y543" s="69"/>
      <c r="Z543" s="69"/>
      <c r="AA543" s="69"/>
      <c r="AB543" s="69"/>
      <c r="AC543" s="69"/>
      <c r="AD543" s="69"/>
      <c r="AE543" s="69"/>
      <c r="AF543" s="69"/>
      <c r="AG543" s="69"/>
      <c r="AH543" s="69"/>
      <c r="AI543" s="69"/>
      <c r="AJ543" s="69"/>
      <c r="AK543" s="69"/>
      <c r="AL543" s="69"/>
      <c r="AM543" s="69"/>
      <c r="AN543" s="69"/>
      <c r="AO543" s="69"/>
      <c r="AP543" s="68"/>
      <c r="AQ543" s="68"/>
      <c r="AR543" s="68"/>
      <c r="AS543" s="69"/>
      <c r="AT543" s="69"/>
      <c r="AU543" s="69"/>
      <c r="AV543" s="69"/>
      <c r="AW543" s="69"/>
      <c r="AX543" s="68"/>
      <c r="AY543" s="68"/>
      <c r="AZ543" s="68"/>
      <c r="BA543" s="68"/>
      <c r="BB543" s="68"/>
      <c r="BC543" s="68"/>
      <c r="BD543" s="68"/>
      <c r="BE543" s="68"/>
      <c r="BF543" s="68"/>
      <c r="BG543" s="68"/>
      <c r="BH543" s="68"/>
      <c r="BI543" s="68"/>
      <c r="BJ543" s="68"/>
      <c r="BK543" s="68"/>
      <c r="BL543" s="68"/>
      <c r="BM543" s="68"/>
      <c r="BN543" s="68"/>
      <c r="BO543" s="68"/>
      <c r="BP543" s="68"/>
      <c r="BQ543" s="68"/>
      <c r="BR543" s="68"/>
      <c r="BS543" s="68" t="s">
        <v>401</v>
      </c>
      <c r="BT543" s="68"/>
      <c r="BU543" s="68"/>
      <c r="BV543" s="68"/>
      <c r="BW543" s="68"/>
      <c r="BX543" s="68"/>
      <c r="BY543" s="68"/>
      <c r="BZ543" s="68"/>
      <c r="CA543" s="68"/>
      <c r="CB543" s="68"/>
      <c r="CC543" s="68"/>
      <c r="CD543" s="68"/>
      <c r="CE543" s="68"/>
      <c r="CF543" s="68"/>
      <c r="CG543" s="68"/>
      <c r="CH543" s="68"/>
      <c r="CI543" s="68"/>
      <c r="CJ543" s="68"/>
      <c r="CK543" s="68"/>
      <c r="CL543" s="68"/>
      <c r="CM543" s="68"/>
      <c r="CN543" s="68"/>
      <c r="CO543" s="68"/>
      <c r="CP543" s="68"/>
      <c r="CQ543" s="68"/>
      <c r="CR543" s="68"/>
      <c r="CS543" s="68"/>
      <c r="CT543" s="68"/>
      <c r="CU543" s="68"/>
      <c r="CV543" s="68"/>
      <c r="CW543" s="68"/>
      <c r="CX543" s="68"/>
      <c r="CY543" s="68"/>
      <c r="CZ543" s="68"/>
      <c r="DA543" s="68"/>
      <c r="DB543" s="68"/>
      <c r="DC543" s="68"/>
      <c r="DD543" s="68"/>
      <c r="DE543" s="68"/>
      <c r="DF543" s="68"/>
      <c r="DG543" s="68"/>
      <c r="DH543" s="68"/>
      <c r="DI543" s="68"/>
      <c r="DJ543" s="68"/>
      <c r="DK543" s="68"/>
      <c r="DL543" s="68"/>
      <c r="DM543" s="68"/>
      <c r="DN543" s="68"/>
      <c r="DO543" s="68"/>
      <c r="DP543" s="68"/>
      <c r="DQ543" s="68"/>
      <c r="DR543" s="68"/>
      <c r="DS543" s="68"/>
      <c r="DT543" s="68"/>
    </row>
    <row r="544" spans="1:124" ht="21.75" customHeight="1">
      <c r="A544" s="311"/>
      <c r="B544" s="232"/>
      <c r="C544" s="233"/>
      <c r="D544" s="234"/>
      <c r="E544" s="70"/>
      <c r="F544" s="65"/>
      <c r="G544" s="65"/>
      <c r="H544" s="65"/>
      <c r="I544" s="65"/>
      <c r="J544" s="65"/>
      <c r="K544" s="65"/>
      <c r="L544" s="65"/>
      <c r="M544" s="65"/>
      <c r="N544" s="65"/>
      <c r="O544" s="65"/>
      <c r="P544" s="65"/>
      <c r="Q544" s="65"/>
      <c r="R544" s="65"/>
      <c r="S544" s="65"/>
      <c r="T544" s="65"/>
      <c r="U544" s="65"/>
      <c r="V544" s="65"/>
      <c r="W544" s="65"/>
      <c r="X544" s="70"/>
      <c r="Y544" s="70"/>
      <c r="Z544" s="70"/>
      <c r="AA544" s="70"/>
      <c r="AB544" s="70"/>
      <c r="AC544" s="70"/>
      <c r="AD544" s="70"/>
      <c r="AE544" s="70"/>
      <c r="AF544" s="70"/>
      <c r="AG544" s="70"/>
      <c r="AH544" s="70"/>
      <c r="AI544" s="70"/>
      <c r="AJ544" s="70"/>
      <c r="AK544" s="70"/>
      <c r="AL544" s="70"/>
      <c r="AM544" s="70"/>
      <c r="AN544" s="70"/>
      <c r="AO544" s="70"/>
      <c r="AP544" s="65"/>
      <c r="AQ544" s="65"/>
      <c r="AR544" s="65"/>
      <c r="AS544" s="70"/>
      <c r="AT544" s="70"/>
      <c r="AU544" s="70"/>
      <c r="AV544" s="70"/>
      <c r="AW544" s="70"/>
      <c r="AX544" s="65"/>
      <c r="AY544" s="65"/>
      <c r="AZ544" s="65"/>
      <c r="BA544" s="65"/>
      <c r="BB544" s="65"/>
      <c r="BC544" s="65"/>
      <c r="BD544" s="65"/>
      <c r="BE544" s="65"/>
      <c r="BF544" s="65"/>
      <c r="BG544" s="65"/>
      <c r="BH544" s="65"/>
      <c r="BI544" s="65"/>
      <c r="BJ544" s="65"/>
      <c r="BK544" s="65"/>
      <c r="BL544" s="65"/>
      <c r="BM544" s="65"/>
      <c r="BN544" s="65"/>
      <c r="BO544" s="65"/>
      <c r="BP544" s="65"/>
      <c r="BQ544" s="65"/>
      <c r="BR544" s="65"/>
      <c r="BS544" s="71" t="s">
        <v>565</v>
      </c>
      <c r="BT544" s="65"/>
      <c r="BU544" s="65"/>
      <c r="BV544" s="65"/>
      <c r="BW544" s="65"/>
      <c r="BX544" s="65"/>
      <c r="BY544" s="65"/>
      <c r="BZ544" s="65"/>
      <c r="CA544" s="65"/>
      <c r="CB544" s="65"/>
      <c r="CC544" s="65"/>
      <c r="CD544" s="65"/>
      <c r="CE544" s="65"/>
      <c r="CF544" s="65"/>
      <c r="CG544" s="65"/>
      <c r="CH544" s="65"/>
      <c r="CI544" s="65"/>
      <c r="CJ544" s="65"/>
      <c r="CK544" s="65"/>
      <c r="CL544" s="65"/>
      <c r="CM544" s="65"/>
      <c r="CN544" s="65"/>
      <c r="CO544" s="65"/>
      <c r="CP544" s="65"/>
      <c r="CQ544" s="65"/>
      <c r="CR544" s="65"/>
      <c r="CS544" s="65"/>
      <c r="CT544" s="65"/>
      <c r="CU544" s="65"/>
      <c r="CV544" s="65"/>
      <c r="CW544" s="65"/>
      <c r="CX544" s="65"/>
      <c r="CY544" s="65"/>
      <c r="CZ544" s="65"/>
      <c r="DA544" s="65"/>
      <c r="DB544" s="65"/>
      <c r="DC544" s="65"/>
      <c r="DD544" s="65"/>
      <c r="DE544" s="65"/>
      <c r="DF544" s="65"/>
      <c r="DG544" s="65"/>
      <c r="DH544" s="65"/>
      <c r="DI544" s="65"/>
      <c r="DJ544" s="65"/>
      <c r="DK544" s="65"/>
      <c r="DL544" s="65"/>
      <c r="DM544" s="65"/>
      <c r="DN544" s="65"/>
      <c r="DO544" s="65"/>
      <c r="DP544" s="65"/>
      <c r="DQ544" s="65"/>
      <c r="DR544" s="65"/>
      <c r="DS544" s="65"/>
      <c r="DT544" s="65"/>
    </row>
    <row r="545" spans="1:124" ht="21.75" customHeight="1">
      <c r="A545" s="311"/>
      <c r="B545" s="229" t="s">
        <v>421</v>
      </c>
      <c r="C545" s="230"/>
      <c r="D545" s="231"/>
      <c r="E545" s="69"/>
      <c r="F545" s="68"/>
      <c r="G545" s="68"/>
      <c r="H545" s="68"/>
      <c r="I545" s="68"/>
      <c r="J545" s="68"/>
      <c r="K545" s="68"/>
      <c r="L545" s="68"/>
      <c r="M545" s="68"/>
      <c r="N545" s="68"/>
      <c r="O545" s="68"/>
      <c r="P545" s="68"/>
      <c r="Q545" s="68"/>
      <c r="R545" s="68"/>
      <c r="S545" s="68"/>
      <c r="T545" s="68"/>
      <c r="U545" s="68"/>
      <c r="V545" s="68"/>
      <c r="W545" s="68"/>
      <c r="X545" s="69"/>
      <c r="Y545" s="69"/>
      <c r="Z545" s="69"/>
      <c r="AA545" s="69"/>
      <c r="AB545" s="69"/>
      <c r="AC545" s="69"/>
      <c r="AD545" s="69"/>
      <c r="AE545" s="69"/>
      <c r="AF545" s="69"/>
      <c r="AG545" s="69"/>
      <c r="AH545" s="69"/>
      <c r="AI545" s="69"/>
      <c r="AJ545" s="69"/>
      <c r="AK545" s="69"/>
      <c r="AL545" s="69"/>
      <c r="AM545" s="69"/>
      <c r="AN545" s="69"/>
      <c r="AO545" s="69"/>
      <c r="AP545" s="68"/>
      <c r="AQ545" s="68"/>
      <c r="AR545" s="68"/>
      <c r="AS545" s="69"/>
      <c r="AT545" s="69"/>
      <c r="AU545" s="69"/>
      <c r="AV545" s="69"/>
      <c r="AW545" s="69"/>
      <c r="AX545" s="68"/>
      <c r="AY545" s="68"/>
      <c r="AZ545" s="68"/>
      <c r="BA545" s="68"/>
      <c r="BB545" s="68"/>
      <c r="BC545" s="68"/>
      <c r="BD545" s="68"/>
      <c r="BE545" s="68"/>
      <c r="BF545" s="68"/>
      <c r="BG545" s="68"/>
      <c r="BH545" s="68"/>
      <c r="BI545" s="68"/>
      <c r="BJ545" s="68"/>
      <c r="BK545" s="68"/>
      <c r="BL545" s="68"/>
      <c r="BM545" s="68"/>
      <c r="BN545" s="68"/>
      <c r="BO545" s="68"/>
      <c r="BP545" s="68"/>
      <c r="BQ545" s="68"/>
      <c r="BR545" s="68"/>
      <c r="BS545" s="68"/>
      <c r="BT545" s="68"/>
      <c r="BU545" s="68"/>
      <c r="BV545" s="68"/>
      <c r="BW545" s="68"/>
      <c r="BX545" s="68"/>
      <c r="BY545" s="68"/>
      <c r="BZ545" s="68"/>
      <c r="CA545" s="68"/>
      <c r="CB545" s="68"/>
      <c r="CC545" s="68"/>
      <c r="CD545" s="68"/>
      <c r="CE545" s="68"/>
      <c r="CF545" s="68"/>
      <c r="CG545" s="68"/>
      <c r="CH545" s="68"/>
      <c r="CI545" s="68"/>
      <c r="CJ545" s="68"/>
      <c r="CK545" s="68"/>
      <c r="CL545" s="68"/>
      <c r="CM545" s="68"/>
      <c r="CN545" s="68"/>
      <c r="CO545" s="68"/>
      <c r="CP545" s="68"/>
      <c r="CQ545" s="68"/>
      <c r="CR545" s="68"/>
      <c r="CS545" s="68"/>
      <c r="CT545" s="68"/>
      <c r="CU545" s="68"/>
      <c r="CV545" s="68"/>
      <c r="CW545" s="68"/>
      <c r="CX545" s="68"/>
      <c r="CY545" s="68"/>
      <c r="CZ545" s="68"/>
      <c r="DA545" s="68"/>
      <c r="DB545" s="68"/>
      <c r="DC545" s="68"/>
      <c r="DD545" s="68"/>
      <c r="DE545" s="68"/>
      <c r="DF545" s="68"/>
      <c r="DG545" s="68"/>
      <c r="DH545" s="68"/>
      <c r="DI545" s="68"/>
      <c r="DJ545" s="68"/>
      <c r="DK545" s="68"/>
      <c r="DL545" s="68"/>
      <c r="DM545" s="68"/>
      <c r="DN545" s="68"/>
      <c r="DO545" s="68"/>
      <c r="DP545" s="68"/>
      <c r="DQ545" s="68"/>
      <c r="DR545" s="68"/>
      <c r="DS545" s="68"/>
      <c r="DT545" s="68"/>
    </row>
    <row r="546" spans="1:124" ht="21.75" customHeight="1">
      <c r="A546" s="311"/>
      <c r="B546" s="232"/>
      <c r="C546" s="233"/>
      <c r="D546" s="234"/>
      <c r="E546" s="70"/>
      <c r="F546" s="65"/>
      <c r="G546" s="65"/>
      <c r="H546" s="65"/>
      <c r="I546" s="65"/>
      <c r="J546" s="65"/>
      <c r="K546" s="65"/>
      <c r="L546" s="65"/>
      <c r="M546" s="65"/>
      <c r="N546" s="65"/>
      <c r="O546" s="65"/>
      <c r="P546" s="65"/>
      <c r="Q546" s="65"/>
      <c r="R546" s="65"/>
      <c r="S546" s="65"/>
      <c r="T546" s="65"/>
      <c r="U546" s="65"/>
      <c r="V546" s="65"/>
      <c r="W546" s="65"/>
      <c r="X546" s="70"/>
      <c r="Y546" s="70"/>
      <c r="Z546" s="70"/>
      <c r="AA546" s="70"/>
      <c r="AB546" s="70"/>
      <c r="AC546" s="70"/>
      <c r="AD546" s="70"/>
      <c r="AE546" s="70"/>
      <c r="AF546" s="70"/>
      <c r="AG546" s="70"/>
      <c r="AH546" s="70"/>
      <c r="AI546" s="70"/>
      <c r="AJ546" s="70"/>
      <c r="AK546" s="70"/>
      <c r="AL546" s="70"/>
      <c r="AM546" s="70"/>
      <c r="AN546" s="70"/>
      <c r="AO546" s="70"/>
      <c r="AP546" s="65"/>
      <c r="AQ546" s="65"/>
      <c r="AR546" s="65"/>
      <c r="AS546" s="70"/>
      <c r="AT546" s="70"/>
      <c r="AU546" s="70"/>
      <c r="AV546" s="70"/>
      <c r="AW546" s="70"/>
      <c r="AX546" s="65"/>
      <c r="AY546" s="65"/>
      <c r="AZ546" s="65"/>
      <c r="BA546" s="65"/>
      <c r="BB546" s="65"/>
      <c r="BC546" s="65"/>
      <c r="BD546" s="65"/>
      <c r="BE546" s="65"/>
      <c r="BF546" s="65"/>
      <c r="BG546" s="65"/>
      <c r="BH546" s="65"/>
      <c r="BI546" s="65"/>
      <c r="BJ546" s="65"/>
      <c r="BK546" s="65"/>
      <c r="BL546" s="65"/>
      <c r="BM546" s="65"/>
      <c r="BN546" s="65"/>
      <c r="BO546" s="65"/>
      <c r="BP546" s="65"/>
      <c r="BQ546" s="65"/>
      <c r="BR546" s="65"/>
      <c r="BS546" s="65"/>
      <c r="BT546" s="65"/>
      <c r="BU546" s="65"/>
      <c r="BV546" s="65"/>
      <c r="BW546" s="65"/>
      <c r="BX546" s="65"/>
      <c r="BY546" s="65"/>
      <c r="BZ546" s="65"/>
      <c r="CA546" s="65"/>
      <c r="CB546" s="65"/>
      <c r="CC546" s="65"/>
      <c r="CD546" s="65"/>
      <c r="CE546" s="65"/>
      <c r="CF546" s="65"/>
      <c r="CG546" s="65"/>
      <c r="CH546" s="65"/>
      <c r="CI546" s="65"/>
      <c r="CJ546" s="65"/>
      <c r="CK546" s="65"/>
      <c r="CL546" s="65"/>
      <c r="CM546" s="65"/>
      <c r="CN546" s="65"/>
      <c r="CO546" s="65"/>
      <c r="CP546" s="65"/>
      <c r="CQ546" s="65"/>
      <c r="CR546" s="65"/>
      <c r="CS546" s="65"/>
      <c r="CT546" s="65"/>
      <c r="CU546" s="65"/>
      <c r="CV546" s="65"/>
      <c r="CW546" s="65"/>
      <c r="CX546" s="65"/>
      <c r="CY546" s="65"/>
      <c r="CZ546" s="65"/>
      <c r="DA546" s="65"/>
      <c r="DB546" s="65"/>
      <c r="DC546" s="65"/>
      <c r="DD546" s="65"/>
      <c r="DE546" s="65"/>
      <c r="DF546" s="65"/>
      <c r="DG546" s="65"/>
      <c r="DH546" s="65"/>
      <c r="DI546" s="65"/>
      <c r="DJ546" s="65"/>
      <c r="DK546" s="65"/>
      <c r="DL546" s="65"/>
      <c r="DM546" s="65"/>
      <c r="DN546" s="65"/>
      <c r="DO546" s="65"/>
      <c r="DP546" s="65"/>
      <c r="DQ546" s="65"/>
      <c r="DR546" s="65"/>
      <c r="DS546" s="65"/>
      <c r="DT546" s="65"/>
    </row>
    <row r="547" spans="1:124" ht="21.75" customHeight="1">
      <c r="A547" s="311"/>
      <c r="B547" s="229" t="s">
        <v>532</v>
      </c>
      <c r="C547" s="230"/>
      <c r="D547" s="23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c r="AA547" s="111"/>
      <c r="AB547" s="111"/>
      <c r="AC547" s="111"/>
      <c r="AD547" s="111"/>
      <c r="AE547" s="111"/>
      <c r="AF547" s="111"/>
      <c r="AG547" s="111"/>
      <c r="AH547" s="111"/>
      <c r="AI547" s="111"/>
      <c r="AJ547" s="111"/>
      <c r="AK547" s="111"/>
      <c r="AL547" s="111"/>
      <c r="AM547" s="112"/>
      <c r="AN547" s="112"/>
      <c r="AO547" s="112"/>
      <c r="AP547" s="112"/>
      <c r="AQ547" s="112"/>
      <c r="AR547" s="112"/>
      <c r="AS547" s="112"/>
      <c r="AT547" s="112"/>
      <c r="AU547" s="112"/>
      <c r="AV547" s="112"/>
      <c r="AW547" s="112"/>
      <c r="AX547" s="112"/>
      <c r="AY547" s="112"/>
      <c r="AZ547" s="112"/>
      <c r="BA547" s="112"/>
      <c r="BB547" s="112"/>
      <c r="BC547" s="112"/>
      <c r="BD547" s="112"/>
      <c r="BE547" s="112"/>
      <c r="BF547" s="112"/>
      <c r="BG547" s="112"/>
      <c r="BH547" s="112"/>
      <c r="BI547" s="112"/>
      <c r="BJ547" s="112"/>
      <c r="BK547" s="112"/>
      <c r="BL547" s="112"/>
      <c r="BM547" s="112"/>
      <c r="BN547" s="112"/>
      <c r="BO547" s="112"/>
      <c r="BP547" s="112"/>
      <c r="BQ547" s="112"/>
      <c r="BR547" s="112"/>
      <c r="BS547" s="112"/>
      <c r="BT547" s="112"/>
      <c r="BU547" s="112"/>
      <c r="BV547" s="112"/>
      <c r="BW547" s="112"/>
      <c r="BX547" s="112"/>
      <c r="BY547" s="112"/>
      <c r="BZ547" s="112"/>
      <c r="CA547" s="112"/>
      <c r="CB547" s="112"/>
      <c r="CC547" s="112"/>
      <c r="CD547" s="112"/>
      <c r="CE547" s="112"/>
      <c r="CF547" s="112"/>
      <c r="CG547" s="112"/>
      <c r="CH547" s="112"/>
      <c r="CI547" s="112"/>
      <c r="CJ547" s="112"/>
      <c r="CK547" s="112"/>
      <c r="CL547" s="112"/>
      <c r="CM547" s="112"/>
      <c r="CN547" s="112"/>
      <c r="CO547" s="112"/>
      <c r="CP547" s="112"/>
      <c r="CQ547" s="112"/>
      <c r="CR547" s="112"/>
      <c r="CS547" s="112"/>
      <c r="CT547" s="112"/>
      <c r="CU547" s="112"/>
      <c r="CV547" s="112"/>
      <c r="CW547" s="112"/>
      <c r="CX547" s="112"/>
      <c r="CY547" s="112"/>
      <c r="CZ547" s="112"/>
      <c r="DA547" s="112"/>
      <c r="DB547" s="112"/>
      <c r="DC547" s="112"/>
      <c r="DD547" s="112"/>
      <c r="DE547" s="112"/>
      <c r="DF547" s="112"/>
      <c r="DG547" s="112"/>
      <c r="DH547" s="112"/>
      <c r="DI547" s="112"/>
      <c r="DJ547" s="112"/>
      <c r="DK547" s="112"/>
      <c r="DL547" s="112"/>
      <c r="DM547" s="112"/>
      <c r="DN547" s="112"/>
      <c r="DO547" s="112"/>
      <c r="DP547" s="112"/>
      <c r="DQ547" s="112"/>
      <c r="DR547" s="112"/>
      <c r="DS547" s="112"/>
      <c r="DT547" s="112"/>
    </row>
    <row r="548" spans="1:124" ht="21.75" customHeight="1" thickBot="1">
      <c r="A548" s="311"/>
      <c r="B548" s="285"/>
      <c r="C548" s="286"/>
      <c r="D548" s="287"/>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c r="AI548" s="116"/>
      <c r="AJ548" s="116"/>
      <c r="AK548" s="116"/>
      <c r="AL548" s="116"/>
      <c r="AM548" s="112"/>
      <c r="AN548" s="112"/>
      <c r="AO548" s="112"/>
      <c r="AP548" s="112"/>
      <c r="AQ548" s="112"/>
      <c r="AR548" s="112"/>
      <c r="AS548" s="112"/>
      <c r="AT548" s="112"/>
      <c r="AU548" s="112"/>
      <c r="AV548" s="112"/>
      <c r="AW548" s="112"/>
      <c r="AX548" s="112"/>
      <c r="AY548" s="112"/>
      <c r="AZ548" s="112"/>
      <c r="BA548" s="112"/>
      <c r="BB548" s="112"/>
      <c r="BC548" s="112"/>
      <c r="BD548" s="112"/>
      <c r="BE548" s="112"/>
      <c r="BF548" s="112"/>
      <c r="BG548" s="112"/>
      <c r="BH548" s="112"/>
      <c r="BI548" s="112"/>
      <c r="BJ548" s="112"/>
      <c r="BK548" s="112"/>
      <c r="BL548" s="112"/>
      <c r="BM548" s="112"/>
      <c r="BN548" s="112"/>
      <c r="BO548" s="112"/>
      <c r="BP548" s="112"/>
      <c r="BQ548" s="112"/>
      <c r="BR548" s="112"/>
      <c r="BS548" s="112"/>
      <c r="BT548" s="112"/>
      <c r="BU548" s="112"/>
      <c r="BV548" s="112"/>
      <c r="BW548" s="112"/>
      <c r="BX548" s="112"/>
      <c r="BY548" s="112"/>
      <c r="BZ548" s="112"/>
      <c r="CA548" s="112"/>
      <c r="CB548" s="112"/>
      <c r="CC548" s="112"/>
      <c r="CD548" s="112"/>
      <c r="CE548" s="112"/>
      <c r="CF548" s="112"/>
      <c r="CG548" s="112"/>
      <c r="CH548" s="112"/>
      <c r="CI548" s="112"/>
      <c r="CJ548" s="112"/>
      <c r="CK548" s="112"/>
      <c r="CL548" s="112"/>
      <c r="CM548" s="112"/>
      <c r="CN548" s="112"/>
      <c r="CO548" s="112"/>
      <c r="CP548" s="112"/>
      <c r="CQ548" s="112"/>
      <c r="CR548" s="112"/>
      <c r="CS548" s="112"/>
      <c r="CT548" s="112"/>
      <c r="CU548" s="112"/>
      <c r="CV548" s="112"/>
      <c r="CW548" s="112"/>
      <c r="CX548" s="112"/>
      <c r="CY548" s="112"/>
      <c r="CZ548" s="112"/>
      <c r="DA548" s="112"/>
      <c r="DB548" s="112"/>
      <c r="DC548" s="112"/>
      <c r="DD548" s="112"/>
      <c r="DE548" s="112"/>
      <c r="DF548" s="112"/>
      <c r="DG548" s="112"/>
      <c r="DH548" s="112"/>
      <c r="DI548" s="112"/>
      <c r="DJ548" s="112"/>
      <c r="DK548" s="112"/>
      <c r="DL548" s="112"/>
      <c r="DM548" s="112"/>
      <c r="DN548" s="112"/>
      <c r="DO548" s="112"/>
      <c r="DP548" s="112"/>
      <c r="DQ548" s="112"/>
      <c r="DR548" s="112"/>
      <c r="DS548" s="112"/>
      <c r="DT548" s="112"/>
    </row>
    <row r="549" spans="1:124" ht="21.75" customHeight="1">
      <c r="A549" s="311"/>
      <c r="B549" s="298" t="s">
        <v>163</v>
      </c>
      <c r="C549" s="298"/>
      <c r="D549" s="298"/>
      <c r="E549" s="298"/>
      <c r="F549" s="298"/>
      <c r="G549" s="298"/>
      <c r="H549" s="298"/>
      <c r="I549" s="121"/>
      <c r="J549" s="121"/>
      <c r="K549" s="121"/>
      <c r="L549" s="121"/>
      <c r="M549" s="121"/>
      <c r="N549" s="121"/>
      <c r="O549" s="121"/>
      <c r="P549" s="121"/>
      <c r="Q549" s="121"/>
      <c r="R549" s="121"/>
      <c r="S549" s="121"/>
      <c r="T549" s="121"/>
      <c r="U549" s="121"/>
      <c r="V549" s="121"/>
      <c r="W549" s="121"/>
      <c r="X549" s="121"/>
      <c r="Y549" s="121"/>
      <c r="Z549" s="121"/>
      <c r="AA549" s="121"/>
      <c r="AB549" s="121"/>
      <c r="AC549" s="121"/>
      <c r="AD549" s="121"/>
      <c r="AE549" s="121"/>
      <c r="AF549" s="121"/>
      <c r="AG549" s="121"/>
      <c r="AH549" s="121"/>
      <c r="AI549" s="121"/>
      <c r="AJ549" s="121"/>
      <c r="AK549" s="121"/>
      <c r="AL549" s="121"/>
      <c r="AM549" s="121"/>
      <c r="AN549" s="121"/>
      <c r="AO549" s="121"/>
      <c r="AP549" s="121"/>
      <c r="AQ549" s="121"/>
      <c r="AR549" s="121"/>
      <c r="AS549" s="121"/>
      <c r="AT549" s="121"/>
      <c r="AU549" s="121"/>
      <c r="AV549" s="121"/>
      <c r="AW549" s="121"/>
      <c r="AX549" s="121"/>
      <c r="AY549" s="121"/>
      <c r="AZ549" s="121"/>
      <c r="BA549" s="121"/>
      <c r="BB549" s="121"/>
      <c r="BC549" s="121"/>
      <c r="BD549" s="121"/>
      <c r="BE549" s="121"/>
      <c r="BF549" s="121"/>
      <c r="BG549" s="121"/>
      <c r="BH549" s="121"/>
      <c r="BI549" s="121"/>
      <c r="BJ549" s="121"/>
      <c r="BK549" s="121"/>
      <c r="BL549" s="121"/>
      <c r="BM549" s="121"/>
      <c r="BN549" s="121"/>
      <c r="BO549" s="121"/>
      <c r="BP549" s="121"/>
      <c r="BQ549" s="121"/>
      <c r="BR549" s="121"/>
      <c r="BS549" s="121"/>
      <c r="BT549" s="121"/>
      <c r="BU549" s="121"/>
      <c r="BV549" s="121"/>
      <c r="BW549" s="121"/>
      <c r="BX549" s="121"/>
      <c r="BY549" s="121"/>
      <c r="BZ549" s="121"/>
      <c r="CA549" s="121"/>
      <c r="CB549" s="121"/>
      <c r="CC549" s="121"/>
      <c r="CD549" s="121"/>
      <c r="CE549" s="121"/>
      <c r="CF549" s="121"/>
      <c r="CG549" s="121"/>
      <c r="CH549" s="121"/>
      <c r="CI549" s="121"/>
      <c r="CJ549" s="121"/>
      <c r="CK549" s="121"/>
      <c r="CL549" s="121"/>
      <c r="CM549" s="121"/>
      <c r="CN549" s="121"/>
      <c r="CO549" s="121"/>
      <c r="CP549" s="121"/>
      <c r="CQ549" s="121"/>
      <c r="CR549" s="121"/>
      <c r="CS549" s="121"/>
      <c r="CT549" s="121"/>
      <c r="CU549" s="121"/>
      <c r="CV549" s="121"/>
      <c r="CW549" s="121"/>
      <c r="CX549" s="121"/>
      <c r="CY549" s="121"/>
      <c r="CZ549" s="121"/>
      <c r="DA549" s="121"/>
      <c r="DB549" s="121"/>
      <c r="DC549" s="121"/>
      <c r="DD549" s="121"/>
      <c r="DE549" s="121"/>
      <c r="DF549" s="121"/>
      <c r="DG549" s="121"/>
      <c r="DH549" s="121"/>
      <c r="DI549" s="121"/>
      <c r="DJ549" s="121"/>
      <c r="DK549" s="121"/>
      <c r="DL549" s="121"/>
      <c r="DM549" s="121"/>
      <c r="DN549" s="121"/>
      <c r="DO549" s="121"/>
      <c r="DP549" s="121"/>
      <c r="DQ549" s="121"/>
      <c r="DR549" s="121"/>
      <c r="DS549" s="121"/>
      <c r="DT549" s="121"/>
    </row>
    <row r="550" spans="1:124" ht="21.75" customHeight="1">
      <c r="A550" s="311"/>
      <c r="B550" s="299"/>
      <c r="C550" s="299"/>
      <c r="D550" s="299"/>
      <c r="E550" s="122">
        <v>41518</v>
      </c>
      <c r="F550" s="123"/>
      <c r="G550" s="123"/>
      <c r="H550" s="123"/>
      <c r="I550" s="121"/>
      <c r="J550" s="121"/>
      <c r="K550" s="121"/>
      <c r="L550" s="121"/>
      <c r="M550" s="121"/>
      <c r="N550" s="121"/>
      <c r="O550" s="121"/>
      <c r="P550" s="121"/>
      <c r="Q550" s="121"/>
      <c r="R550" s="121"/>
      <c r="S550" s="121"/>
      <c r="T550" s="121"/>
      <c r="U550" s="121"/>
      <c r="V550" s="121"/>
      <c r="W550" s="121"/>
      <c r="X550" s="121"/>
      <c r="Y550" s="121"/>
      <c r="Z550" s="121"/>
      <c r="AA550" s="121"/>
      <c r="AB550" s="121"/>
      <c r="AC550" s="121"/>
      <c r="AD550" s="121"/>
      <c r="AE550" s="121"/>
      <c r="AF550" s="121"/>
      <c r="AG550" s="121"/>
      <c r="AH550" s="121"/>
      <c r="AI550" s="121"/>
      <c r="AJ550" s="121"/>
      <c r="AK550" s="121"/>
      <c r="AL550" s="121"/>
      <c r="AM550" s="121"/>
      <c r="AN550" s="121"/>
      <c r="AO550" s="121"/>
      <c r="AP550" s="121"/>
      <c r="AQ550" s="121"/>
      <c r="AR550" s="121"/>
      <c r="AS550" s="121"/>
      <c r="AT550" s="121"/>
      <c r="AU550" s="121"/>
      <c r="AV550" s="121"/>
      <c r="AW550" s="121"/>
      <c r="AX550" s="121"/>
      <c r="AY550" s="121"/>
      <c r="AZ550" s="121"/>
      <c r="BA550" s="121"/>
      <c r="BB550" s="121"/>
      <c r="BC550" s="121"/>
      <c r="BD550" s="121"/>
      <c r="BE550" s="121"/>
      <c r="BF550" s="121"/>
      <c r="BG550" s="121"/>
      <c r="BH550" s="121"/>
      <c r="BI550" s="121"/>
      <c r="BJ550" s="121"/>
      <c r="BK550" s="121"/>
      <c r="BL550" s="121"/>
      <c r="BM550" s="121"/>
      <c r="BN550" s="121"/>
      <c r="BO550" s="121"/>
      <c r="BP550" s="121"/>
      <c r="BQ550" s="121"/>
      <c r="BR550" s="121"/>
      <c r="BS550" s="121"/>
      <c r="BT550" s="121"/>
      <c r="BU550" s="121"/>
      <c r="BV550" s="121"/>
      <c r="BW550" s="121"/>
      <c r="BX550" s="121"/>
      <c r="BY550" s="121"/>
      <c r="BZ550" s="121"/>
      <c r="CA550" s="121"/>
      <c r="CB550" s="121"/>
      <c r="CC550" s="121"/>
      <c r="CD550" s="121"/>
      <c r="CE550" s="121"/>
      <c r="CF550" s="121"/>
      <c r="CG550" s="121"/>
      <c r="CH550" s="121"/>
      <c r="CI550" s="121"/>
      <c r="CJ550" s="121"/>
      <c r="CK550" s="121"/>
      <c r="CL550" s="121"/>
      <c r="CM550" s="121"/>
      <c r="CN550" s="121"/>
      <c r="CO550" s="121"/>
      <c r="CP550" s="121"/>
      <c r="CQ550" s="121"/>
      <c r="CR550" s="121"/>
      <c r="CS550" s="121"/>
      <c r="CT550" s="121"/>
      <c r="CU550" s="121"/>
      <c r="CV550" s="121"/>
      <c r="CW550" s="121"/>
      <c r="CX550" s="121"/>
      <c r="CY550" s="121"/>
      <c r="CZ550" s="121"/>
      <c r="DA550" s="121"/>
      <c r="DB550" s="121"/>
      <c r="DC550" s="121"/>
      <c r="DD550" s="121"/>
      <c r="DE550" s="121"/>
      <c r="DF550" s="121"/>
      <c r="DG550" s="121"/>
      <c r="DH550" s="121"/>
      <c r="DI550" s="121"/>
      <c r="DJ550" s="121"/>
      <c r="DK550" s="121"/>
      <c r="DL550" s="121"/>
      <c r="DM550" s="121"/>
      <c r="DN550" s="121"/>
      <c r="DO550" s="121"/>
      <c r="DP550" s="121"/>
      <c r="DQ550" s="121"/>
      <c r="DR550" s="121"/>
      <c r="DS550" s="121"/>
      <c r="DT550" s="121"/>
    </row>
    <row r="551" spans="1:124" ht="21.75" customHeight="1">
      <c r="A551" s="311"/>
      <c r="B551" s="300" t="s">
        <v>566</v>
      </c>
      <c r="C551" s="300"/>
      <c r="D551" s="300"/>
      <c r="E551" s="124">
        <v>240</v>
      </c>
      <c r="F551" s="124"/>
      <c r="G551" s="124"/>
      <c r="H551" s="124"/>
      <c r="I551" s="121"/>
      <c r="J551" s="121"/>
      <c r="K551" s="121"/>
      <c r="L551" s="121"/>
      <c r="M551" s="121"/>
      <c r="N551" s="121"/>
      <c r="O551" s="121"/>
      <c r="P551" s="121"/>
      <c r="Q551" s="121"/>
      <c r="R551" s="121"/>
      <c r="S551" s="121"/>
      <c r="T551" s="121"/>
      <c r="U551" s="121"/>
      <c r="V551" s="121"/>
      <c r="W551" s="121"/>
      <c r="X551" s="121"/>
      <c r="Y551" s="121"/>
      <c r="Z551" s="121"/>
      <c r="AA551" s="121"/>
      <c r="AB551" s="121"/>
      <c r="AC551" s="121"/>
      <c r="AD551" s="121"/>
      <c r="AE551" s="121"/>
      <c r="AF551" s="121"/>
      <c r="AG551" s="121"/>
      <c r="AH551" s="121"/>
      <c r="AI551" s="121"/>
      <c r="AJ551" s="121"/>
      <c r="AK551" s="121"/>
      <c r="AL551" s="121"/>
      <c r="AM551" s="121"/>
      <c r="AN551" s="121"/>
      <c r="AO551" s="121"/>
      <c r="AP551" s="121"/>
      <c r="AQ551" s="121"/>
      <c r="AR551" s="121"/>
      <c r="AS551" s="121"/>
      <c r="AT551" s="121"/>
      <c r="AU551" s="121"/>
      <c r="AV551" s="121"/>
      <c r="AW551" s="121"/>
      <c r="AX551" s="121"/>
      <c r="AY551" s="121"/>
      <c r="AZ551" s="121"/>
      <c r="BA551" s="121"/>
      <c r="BB551" s="121"/>
      <c r="BC551" s="121"/>
      <c r="BD551" s="121"/>
      <c r="BE551" s="121"/>
      <c r="BF551" s="121"/>
      <c r="BG551" s="121"/>
      <c r="BH551" s="121"/>
      <c r="BI551" s="121"/>
      <c r="BJ551" s="121"/>
      <c r="BK551" s="121"/>
      <c r="BL551" s="121"/>
      <c r="BM551" s="121"/>
      <c r="BN551" s="121"/>
      <c r="BO551" s="121"/>
      <c r="BP551" s="121"/>
      <c r="BQ551" s="121"/>
      <c r="BR551" s="121"/>
      <c r="BS551" s="121"/>
      <c r="BT551" s="121"/>
      <c r="BU551" s="121"/>
      <c r="BV551" s="121"/>
      <c r="BW551" s="121"/>
      <c r="BX551" s="121"/>
      <c r="BY551" s="121"/>
      <c r="BZ551" s="121"/>
      <c r="CA551" s="121"/>
      <c r="CB551" s="121"/>
      <c r="CC551" s="121"/>
      <c r="CD551" s="121"/>
      <c r="CE551" s="121"/>
      <c r="CF551" s="121"/>
      <c r="CG551" s="121"/>
      <c r="CH551" s="121"/>
      <c r="CI551" s="121"/>
      <c r="CJ551" s="121"/>
      <c r="CK551" s="121"/>
      <c r="CL551" s="121"/>
      <c r="CM551" s="121"/>
      <c r="CN551" s="121"/>
      <c r="CO551" s="121"/>
      <c r="CP551" s="121"/>
      <c r="CQ551" s="121"/>
      <c r="CR551" s="121"/>
      <c r="CS551" s="121"/>
      <c r="CT551" s="121"/>
      <c r="CU551" s="121"/>
      <c r="CV551" s="121"/>
      <c r="CW551" s="121"/>
      <c r="CX551" s="121"/>
      <c r="CY551" s="121"/>
      <c r="CZ551" s="121"/>
      <c r="DA551" s="121"/>
      <c r="DB551" s="121"/>
      <c r="DC551" s="121"/>
      <c r="DD551" s="121"/>
      <c r="DE551" s="121"/>
      <c r="DF551" s="121"/>
      <c r="DG551" s="121"/>
      <c r="DH551" s="121"/>
      <c r="DI551" s="121"/>
      <c r="DJ551" s="121"/>
      <c r="DK551" s="121"/>
      <c r="DL551" s="121"/>
      <c r="DM551" s="121"/>
      <c r="DN551" s="121"/>
      <c r="DO551" s="121"/>
      <c r="DP551" s="121"/>
      <c r="DQ551" s="121"/>
      <c r="DR551" s="121"/>
      <c r="DS551" s="121"/>
      <c r="DT551" s="121"/>
    </row>
    <row r="552" spans="1:124" ht="21.75" customHeight="1">
      <c r="A552" s="311"/>
      <c r="B552" s="300" t="s">
        <v>567</v>
      </c>
      <c r="C552" s="300"/>
      <c r="D552" s="300"/>
      <c r="E552" s="124">
        <v>142.5</v>
      </c>
      <c r="F552" s="124"/>
      <c r="G552" s="124"/>
      <c r="H552" s="124"/>
      <c r="I552" s="121"/>
      <c r="J552" s="121"/>
      <c r="K552" s="121"/>
      <c r="L552" s="121"/>
      <c r="M552" s="121"/>
      <c r="N552" s="121"/>
      <c r="O552" s="121"/>
      <c r="P552" s="121"/>
      <c r="Q552" s="121"/>
      <c r="R552" s="121"/>
      <c r="S552" s="121"/>
      <c r="T552" s="121"/>
      <c r="U552" s="121"/>
      <c r="V552" s="121"/>
      <c r="W552" s="121"/>
      <c r="X552" s="121"/>
      <c r="Y552" s="121"/>
      <c r="Z552" s="121"/>
      <c r="AA552" s="121"/>
      <c r="AB552" s="121"/>
      <c r="AC552" s="121"/>
      <c r="AD552" s="121"/>
      <c r="AE552" s="121"/>
      <c r="AF552" s="121"/>
      <c r="AG552" s="121"/>
      <c r="AH552" s="121"/>
      <c r="AI552" s="121"/>
      <c r="AJ552" s="121"/>
      <c r="AK552" s="121"/>
      <c r="AL552" s="121"/>
      <c r="AM552" s="121"/>
      <c r="AN552" s="121"/>
      <c r="AO552" s="121"/>
      <c r="AP552" s="121"/>
      <c r="AQ552" s="121"/>
      <c r="AR552" s="121"/>
      <c r="AS552" s="121"/>
      <c r="AT552" s="121"/>
      <c r="AU552" s="121"/>
      <c r="AV552" s="121"/>
      <c r="AW552" s="121"/>
      <c r="AX552" s="121"/>
      <c r="AY552" s="121"/>
      <c r="AZ552" s="121"/>
      <c r="BA552" s="121"/>
      <c r="BB552" s="121"/>
      <c r="BC552" s="121"/>
      <c r="BD552" s="121"/>
      <c r="BE552" s="121"/>
      <c r="BF552" s="121"/>
      <c r="BG552" s="121"/>
      <c r="BH552" s="121"/>
      <c r="BI552" s="121"/>
      <c r="BJ552" s="121"/>
      <c r="BK552" s="121"/>
      <c r="BL552" s="121"/>
      <c r="BM552" s="121"/>
      <c r="BN552" s="121"/>
      <c r="BO552" s="121"/>
      <c r="BP552" s="121"/>
      <c r="BQ552" s="121"/>
      <c r="BR552" s="121"/>
      <c r="BS552" s="121"/>
      <c r="BT552" s="121"/>
      <c r="BU552" s="121"/>
      <c r="BV552" s="121"/>
      <c r="BW552" s="121"/>
      <c r="BX552" s="121"/>
      <c r="BY552" s="121"/>
      <c r="BZ552" s="121"/>
      <c r="CA552" s="121"/>
      <c r="CB552" s="121"/>
      <c r="CC552" s="121"/>
      <c r="CD552" s="121"/>
      <c r="CE552" s="121"/>
      <c r="CF552" s="121"/>
      <c r="CG552" s="121"/>
      <c r="CH552" s="121"/>
      <c r="CI552" s="121"/>
      <c r="CJ552" s="121"/>
      <c r="CK552" s="121"/>
      <c r="CL552" s="121"/>
      <c r="CM552" s="121"/>
      <c r="CN552" s="121"/>
      <c r="CO552" s="121"/>
      <c r="CP552" s="121"/>
      <c r="CQ552" s="121"/>
      <c r="CR552" s="121"/>
      <c r="CS552" s="121"/>
      <c r="CT552" s="121"/>
      <c r="CU552" s="121"/>
      <c r="CV552" s="121"/>
      <c r="CW552" s="121"/>
      <c r="CX552" s="121"/>
      <c r="CY552" s="121"/>
      <c r="CZ552" s="121"/>
      <c r="DA552" s="121"/>
      <c r="DB552" s="121"/>
      <c r="DC552" s="121"/>
      <c r="DD552" s="121"/>
      <c r="DE552" s="121"/>
      <c r="DF552" s="121"/>
      <c r="DG552" s="121"/>
      <c r="DH552" s="121"/>
      <c r="DI552" s="121"/>
      <c r="DJ552" s="121"/>
      <c r="DK552" s="121"/>
      <c r="DL552" s="121"/>
      <c r="DM552" s="121"/>
      <c r="DN552" s="121"/>
      <c r="DO552" s="121"/>
      <c r="DP552" s="121"/>
      <c r="DQ552" s="121"/>
      <c r="DR552" s="121"/>
      <c r="DS552" s="121"/>
      <c r="DT552" s="121"/>
    </row>
    <row r="553" spans="1:124" ht="21.75" customHeight="1" thickBot="1">
      <c r="A553" s="311"/>
    </row>
    <row r="554" spans="1:124" ht="21.75" customHeight="1">
      <c r="B554" s="295" t="s">
        <v>421</v>
      </c>
      <c r="C554" s="296"/>
      <c r="D554" s="297"/>
      <c r="E554" s="268"/>
      <c r="F554" s="268"/>
      <c r="G554" s="268"/>
      <c r="H554" s="268"/>
      <c r="I554" s="268"/>
      <c r="J554" s="268"/>
      <c r="K554" s="268"/>
      <c r="L554" s="268"/>
      <c r="M554" s="268"/>
      <c r="N554" s="268"/>
      <c r="O554" s="268"/>
      <c r="P554" s="268"/>
      <c r="Q554" s="268"/>
      <c r="R554" s="268"/>
      <c r="S554" s="268"/>
      <c r="T554" s="268"/>
      <c r="U554" s="268"/>
      <c r="V554" s="268"/>
      <c r="W554" s="268"/>
      <c r="X554" s="268"/>
      <c r="Y554" s="268"/>
      <c r="Z554" s="268"/>
      <c r="AA554" s="268"/>
      <c r="AB554" s="268"/>
      <c r="AC554" s="268"/>
      <c r="AD554" s="268"/>
      <c r="AE554" s="268"/>
      <c r="AF554" s="268"/>
      <c r="AG554" s="268"/>
      <c r="AH554" s="268"/>
      <c r="AI554" s="268"/>
      <c r="AJ554" s="268"/>
      <c r="AK554" s="268"/>
      <c r="AL554" s="268"/>
      <c r="AM554" s="187"/>
      <c r="AN554" s="187"/>
      <c r="AO554" s="187"/>
      <c r="AP554" s="186">
        <v>41971</v>
      </c>
      <c r="AQ554" s="186">
        <v>41971</v>
      </c>
      <c r="AR554" s="186">
        <v>41971</v>
      </c>
      <c r="AS554" s="187"/>
      <c r="AT554" s="187"/>
      <c r="AU554" s="187"/>
      <c r="AV554" s="187"/>
      <c r="AW554" s="187"/>
      <c r="AX554" s="187"/>
      <c r="AY554" s="187"/>
      <c r="AZ554" s="187"/>
      <c r="BA554" s="187"/>
      <c r="BB554" s="186">
        <v>41897</v>
      </c>
      <c r="BC554" s="186">
        <v>41899</v>
      </c>
      <c r="BD554" s="186">
        <v>41901</v>
      </c>
      <c r="BE554" s="186">
        <v>41904</v>
      </c>
      <c r="BF554" s="186">
        <v>41906</v>
      </c>
      <c r="BG554" s="186">
        <v>41908</v>
      </c>
      <c r="BH554" s="186">
        <v>41911</v>
      </c>
      <c r="BI554" s="186">
        <v>41913</v>
      </c>
      <c r="BJ554" s="186">
        <v>41915</v>
      </c>
      <c r="BK554" s="186">
        <v>41918</v>
      </c>
      <c r="BL554" s="186">
        <v>41920</v>
      </c>
      <c r="BM554" s="186">
        <v>41922</v>
      </c>
      <c r="BN554" s="186">
        <v>41925</v>
      </c>
      <c r="BO554" s="186">
        <v>41927</v>
      </c>
      <c r="BP554" s="186">
        <v>41929</v>
      </c>
      <c r="BQ554" s="186">
        <v>41932</v>
      </c>
      <c r="BR554" s="186">
        <v>41934</v>
      </c>
      <c r="BS554" s="186">
        <v>41936</v>
      </c>
      <c r="BT554" s="186">
        <v>41939</v>
      </c>
      <c r="BU554" s="186">
        <v>41941</v>
      </c>
      <c r="BV554" s="186">
        <v>41943</v>
      </c>
      <c r="BW554" s="186">
        <v>41946</v>
      </c>
      <c r="BX554" s="186">
        <v>41948</v>
      </c>
      <c r="BY554" s="186">
        <v>41950</v>
      </c>
      <c r="BZ554" s="186">
        <v>41953</v>
      </c>
      <c r="CA554" s="186">
        <v>41955</v>
      </c>
      <c r="CB554" s="186">
        <v>41957</v>
      </c>
      <c r="CC554" s="186">
        <v>41960</v>
      </c>
      <c r="CD554" s="186">
        <v>41962</v>
      </c>
      <c r="CE554" s="186">
        <v>41964</v>
      </c>
      <c r="CF554" s="186">
        <v>41967</v>
      </c>
      <c r="CG554" s="186">
        <v>41969</v>
      </c>
      <c r="CH554" s="186">
        <v>41971</v>
      </c>
      <c r="CI554" s="186">
        <v>41971</v>
      </c>
      <c r="CJ554" s="186">
        <v>41971</v>
      </c>
      <c r="CK554" s="186">
        <v>41971</v>
      </c>
      <c r="CL554" s="186">
        <v>41971</v>
      </c>
      <c r="CM554" s="186">
        <v>41971</v>
      </c>
      <c r="CN554" s="186">
        <v>41971</v>
      </c>
      <c r="CO554" s="186">
        <v>41971</v>
      </c>
      <c r="CP554" s="186">
        <v>41971</v>
      </c>
      <c r="CQ554" s="186">
        <v>41971</v>
      </c>
      <c r="CR554" s="186">
        <v>41971</v>
      </c>
      <c r="CS554" s="186">
        <v>41971</v>
      </c>
      <c r="CT554" s="186">
        <v>41971</v>
      </c>
      <c r="CU554" s="186">
        <v>41971</v>
      </c>
      <c r="CV554" s="186">
        <v>41971</v>
      </c>
      <c r="CW554" s="186">
        <v>41971</v>
      </c>
      <c r="CX554" s="186">
        <v>41971</v>
      </c>
      <c r="CY554" s="186">
        <v>41971</v>
      </c>
      <c r="CZ554" s="186">
        <v>41971</v>
      </c>
      <c r="DA554" s="186">
        <v>41971</v>
      </c>
      <c r="DB554" s="186">
        <v>41971</v>
      </c>
      <c r="DC554" s="186">
        <v>41971</v>
      </c>
      <c r="DD554" s="186">
        <v>41971</v>
      </c>
      <c r="DE554" s="186">
        <v>41971</v>
      </c>
      <c r="DF554" s="186">
        <v>41971</v>
      </c>
      <c r="DG554" s="186">
        <v>41971</v>
      </c>
      <c r="DH554" s="186">
        <v>41971</v>
      </c>
      <c r="DI554" s="186">
        <v>41971</v>
      </c>
      <c r="DJ554" s="186">
        <v>41971</v>
      </c>
      <c r="DK554" s="186">
        <v>41971</v>
      </c>
      <c r="DL554" s="186">
        <v>41971</v>
      </c>
      <c r="DM554" s="186">
        <v>41971</v>
      </c>
      <c r="DN554" s="186">
        <v>41971</v>
      </c>
      <c r="DO554" s="186">
        <v>41971</v>
      </c>
      <c r="DP554" s="186">
        <v>41971</v>
      </c>
      <c r="DQ554" s="186">
        <v>41971</v>
      </c>
      <c r="DR554" s="186">
        <v>41971</v>
      </c>
      <c r="DS554" s="186">
        <v>41971</v>
      </c>
      <c r="DT554" s="186">
        <v>41971</v>
      </c>
    </row>
    <row r="555" spans="1:124" ht="21.75" customHeight="1">
      <c r="B555" s="199"/>
      <c r="C555" s="200"/>
      <c r="D555" s="201"/>
      <c r="E555" s="269"/>
      <c r="F555" s="269"/>
      <c r="G555" s="269"/>
      <c r="H555" s="269"/>
      <c r="I555" s="269"/>
      <c r="J555" s="269"/>
      <c r="K555" s="269"/>
      <c r="L555" s="269"/>
      <c r="M555" s="269"/>
      <c r="N555" s="269"/>
      <c r="O555" s="269"/>
      <c r="P555" s="269"/>
      <c r="Q555" s="269"/>
      <c r="R555" s="269"/>
      <c r="S555" s="269"/>
      <c r="T555" s="269"/>
      <c r="U555" s="269"/>
      <c r="V555" s="269"/>
      <c r="W555" s="269"/>
      <c r="X555" s="269"/>
      <c r="Y555" s="269"/>
      <c r="Z555" s="269"/>
      <c r="AA555" s="269"/>
      <c r="AB555" s="269"/>
      <c r="AC555" s="269"/>
      <c r="AD555" s="269"/>
      <c r="AE555" s="269"/>
      <c r="AF555" s="269"/>
      <c r="AG555" s="269"/>
      <c r="AH555" s="269"/>
      <c r="AI555" s="269"/>
      <c r="AJ555" s="269"/>
      <c r="AK555" s="269"/>
      <c r="AL555" s="269"/>
      <c r="AM555" s="267"/>
      <c r="AN555" s="267"/>
      <c r="AO555" s="267"/>
      <c r="AP555" s="186"/>
      <c r="AQ555" s="186"/>
      <c r="AR555" s="186"/>
      <c r="AS555" s="267"/>
      <c r="AT555" s="267"/>
      <c r="AU555" s="267"/>
      <c r="AV555" s="267"/>
      <c r="AW555" s="267"/>
      <c r="AX555" s="267"/>
      <c r="AY555" s="267"/>
      <c r="AZ555" s="267"/>
      <c r="BA555" s="267"/>
      <c r="BB555" s="186"/>
      <c r="BC555" s="186"/>
      <c r="BD555" s="186"/>
      <c r="BE555" s="186"/>
      <c r="BF555" s="186"/>
      <c r="BG555" s="186"/>
      <c r="BH555" s="186"/>
      <c r="BI555" s="186"/>
      <c r="BJ555" s="186"/>
      <c r="BK555" s="186"/>
      <c r="BL555" s="186"/>
      <c r="BM555" s="186"/>
      <c r="BN555" s="186"/>
      <c r="BO555" s="186"/>
      <c r="BP555" s="186"/>
      <c r="BQ555" s="186"/>
      <c r="BR555" s="186"/>
      <c r="BS555" s="186"/>
      <c r="BT555" s="186"/>
      <c r="BU555" s="186"/>
      <c r="BV555" s="186"/>
      <c r="BW555" s="186"/>
      <c r="BX555" s="186"/>
      <c r="BY555" s="186"/>
      <c r="BZ555" s="186"/>
      <c r="CA555" s="186"/>
      <c r="CB555" s="186"/>
      <c r="CC555" s="186"/>
      <c r="CD555" s="186"/>
      <c r="CE555" s="186"/>
      <c r="CF555" s="186"/>
      <c r="CG555" s="186"/>
      <c r="CH555" s="186"/>
      <c r="CI555" s="186"/>
      <c r="CJ555" s="186"/>
      <c r="CK555" s="186"/>
      <c r="CL555" s="186"/>
      <c r="CM555" s="186"/>
      <c r="CN555" s="186"/>
      <c r="CO555" s="186"/>
      <c r="CP555" s="186"/>
      <c r="CQ555" s="186"/>
      <c r="CR555" s="186"/>
      <c r="CS555" s="186"/>
      <c r="CT555" s="186"/>
      <c r="CU555" s="186"/>
      <c r="CV555" s="186"/>
      <c r="CW555" s="186"/>
      <c r="CX555" s="186"/>
      <c r="CY555" s="186"/>
      <c r="CZ555" s="186"/>
      <c r="DA555" s="186"/>
      <c r="DB555" s="186"/>
      <c r="DC555" s="186"/>
      <c r="DD555" s="186"/>
      <c r="DE555" s="186"/>
      <c r="DF555" s="186"/>
      <c r="DG555" s="186"/>
      <c r="DH555" s="186"/>
      <c r="DI555" s="186"/>
      <c r="DJ555" s="186"/>
      <c r="DK555" s="186"/>
      <c r="DL555" s="186"/>
      <c r="DM555" s="186"/>
      <c r="DN555" s="186"/>
      <c r="DO555" s="186"/>
      <c r="DP555" s="186"/>
      <c r="DQ555" s="186"/>
      <c r="DR555" s="186"/>
      <c r="DS555" s="186"/>
      <c r="DT555" s="186"/>
    </row>
    <row r="556" spans="1:124" ht="21.75" customHeight="1">
      <c r="B556" s="199"/>
      <c r="C556" s="200"/>
      <c r="D556" s="201"/>
      <c r="E556" s="269"/>
      <c r="F556" s="269"/>
      <c r="G556" s="269"/>
      <c r="H556" s="269"/>
      <c r="I556" s="269"/>
      <c r="J556" s="269"/>
      <c r="K556" s="269"/>
      <c r="L556" s="269"/>
      <c r="M556" s="269"/>
      <c r="N556" s="269"/>
      <c r="O556" s="269"/>
      <c r="P556" s="269"/>
      <c r="Q556" s="269"/>
      <c r="R556" s="269"/>
      <c r="S556" s="269"/>
      <c r="T556" s="269"/>
      <c r="U556" s="269"/>
      <c r="V556" s="269"/>
      <c r="W556" s="269"/>
      <c r="X556" s="269"/>
      <c r="Y556" s="269"/>
      <c r="Z556" s="269"/>
      <c r="AA556" s="269"/>
      <c r="AB556" s="269"/>
      <c r="AC556" s="269"/>
      <c r="AD556" s="269"/>
      <c r="AE556" s="269"/>
      <c r="AF556" s="269"/>
      <c r="AG556" s="269"/>
      <c r="AH556" s="269"/>
      <c r="AI556" s="269"/>
      <c r="AJ556" s="269"/>
      <c r="AK556" s="269"/>
      <c r="AL556" s="269"/>
      <c r="AM556" s="267"/>
      <c r="AN556" s="267"/>
      <c r="AO556" s="267"/>
      <c r="AP556" s="186"/>
      <c r="AQ556" s="186"/>
      <c r="AR556" s="186"/>
      <c r="AS556" s="267"/>
      <c r="AT556" s="267"/>
      <c r="AU556" s="267"/>
      <c r="AV556" s="267"/>
      <c r="AW556" s="267"/>
      <c r="AX556" s="267"/>
      <c r="AY556" s="267"/>
      <c r="AZ556" s="267"/>
      <c r="BA556" s="267"/>
      <c r="BB556" s="186"/>
      <c r="BC556" s="186"/>
      <c r="BD556" s="186"/>
      <c r="BE556" s="186"/>
      <c r="BF556" s="186"/>
      <c r="BG556" s="186"/>
      <c r="BH556" s="186"/>
      <c r="BI556" s="186"/>
      <c r="BJ556" s="186"/>
      <c r="BK556" s="186"/>
      <c r="BL556" s="186"/>
      <c r="BM556" s="186"/>
      <c r="BN556" s="186"/>
      <c r="BO556" s="186"/>
      <c r="BP556" s="186"/>
      <c r="BQ556" s="186"/>
      <c r="BR556" s="186"/>
      <c r="BS556" s="186"/>
      <c r="BT556" s="186"/>
      <c r="BU556" s="186"/>
      <c r="BV556" s="186"/>
      <c r="BW556" s="186"/>
      <c r="BX556" s="186"/>
      <c r="BY556" s="186"/>
      <c r="BZ556" s="186"/>
      <c r="CA556" s="186"/>
      <c r="CB556" s="186"/>
      <c r="CC556" s="186"/>
      <c r="CD556" s="186"/>
      <c r="CE556" s="186"/>
      <c r="CF556" s="186"/>
      <c r="CG556" s="186"/>
      <c r="CH556" s="186"/>
      <c r="CI556" s="186"/>
      <c r="CJ556" s="186"/>
      <c r="CK556" s="186"/>
      <c r="CL556" s="186"/>
      <c r="CM556" s="186"/>
      <c r="CN556" s="186"/>
      <c r="CO556" s="186"/>
      <c r="CP556" s="186"/>
      <c r="CQ556" s="186"/>
      <c r="CR556" s="186"/>
      <c r="CS556" s="186"/>
      <c r="CT556" s="186"/>
      <c r="CU556" s="186"/>
      <c r="CV556" s="186"/>
      <c r="CW556" s="186"/>
      <c r="CX556" s="186"/>
      <c r="CY556" s="186"/>
      <c r="CZ556" s="186"/>
      <c r="DA556" s="186"/>
      <c r="DB556" s="186"/>
      <c r="DC556" s="186"/>
      <c r="DD556" s="186"/>
      <c r="DE556" s="186"/>
      <c r="DF556" s="186"/>
      <c r="DG556" s="186"/>
      <c r="DH556" s="186"/>
      <c r="DI556" s="186"/>
      <c r="DJ556" s="186"/>
      <c r="DK556" s="186"/>
      <c r="DL556" s="186"/>
      <c r="DM556" s="186"/>
      <c r="DN556" s="186"/>
      <c r="DO556" s="186"/>
      <c r="DP556" s="186"/>
      <c r="DQ556" s="186"/>
      <c r="DR556" s="186"/>
      <c r="DS556" s="186"/>
      <c r="DT556" s="186"/>
    </row>
    <row r="557" spans="1:124" ht="21.75" customHeight="1">
      <c r="B557" s="199"/>
      <c r="C557" s="200"/>
      <c r="D557" s="201"/>
      <c r="E557" s="269"/>
      <c r="F557" s="269"/>
      <c r="G557" s="269"/>
      <c r="H557" s="269"/>
      <c r="I557" s="269"/>
      <c r="J557" s="269"/>
      <c r="K557" s="269"/>
      <c r="L557" s="269"/>
      <c r="M557" s="269"/>
      <c r="N557" s="269"/>
      <c r="O557" s="269"/>
      <c r="P557" s="269"/>
      <c r="Q557" s="269"/>
      <c r="R557" s="269"/>
      <c r="S557" s="269"/>
      <c r="T557" s="269"/>
      <c r="U557" s="269"/>
      <c r="V557" s="269"/>
      <c r="W557" s="269"/>
      <c r="X557" s="269"/>
      <c r="Y557" s="269"/>
      <c r="Z557" s="269"/>
      <c r="AA557" s="269"/>
      <c r="AB557" s="269"/>
      <c r="AC557" s="269"/>
      <c r="AD557" s="269"/>
      <c r="AE557" s="269"/>
      <c r="AF557" s="269"/>
      <c r="AG557" s="269"/>
      <c r="AH557" s="269"/>
      <c r="AI557" s="269"/>
      <c r="AJ557" s="269"/>
      <c r="AK557" s="269"/>
      <c r="AL557" s="269"/>
      <c r="AM557" s="267"/>
      <c r="AN557" s="267"/>
      <c r="AO557" s="267"/>
      <c r="AP557" s="186"/>
      <c r="AQ557" s="186"/>
      <c r="AR557" s="186"/>
      <c r="AS557" s="267"/>
      <c r="AT557" s="267"/>
      <c r="AU557" s="267"/>
      <c r="AV557" s="267"/>
      <c r="AW557" s="267"/>
      <c r="AX557" s="267"/>
      <c r="AY557" s="267"/>
      <c r="AZ557" s="267"/>
      <c r="BA557" s="267"/>
      <c r="BB557" s="186"/>
      <c r="BC557" s="186"/>
      <c r="BD557" s="186"/>
      <c r="BE557" s="186"/>
      <c r="BF557" s="186"/>
      <c r="BG557" s="186"/>
      <c r="BH557" s="186"/>
      <c r="BI557" s="186"/>
      <c r="BJ557" s="186"/>
      <c r="BK557" s="186"/>
      <c r="BL557" s="186"/>
      <c r="BM557" s="186"/>
      <c r="BN557" s="186"/>
      <c r="BO557" s="186"/>
      <c r="BP557" s="186"/>
      <c r="BQ557" s="186"/>
      <c r="BR557" s="186"/>
      <c r="BS557" s="186"/>
      <c r="BT557" s="186"/>
      <c r="BU557" s="186"/>
      <c r="BV557" s="186"/>
      <c r="BW557" s="186"/>
      <c r="BX557" s="186"/>
      <c r="BY557" s="186"/>
      <c r="BZ557" s="186"/>
      <c r="CA557" s="186"/>
      <c r="CB557" s="186"/>
      <c r="CC557" s="186"/>
      <c r="CD557" s="186"/>
      <c r="CE557" s="186"/>
      <c r="CF557" s="186"/>
      <c r="CG557" s="186"/>
      <c r="CH557" s="186"/>
      <c r="CI557" s="186"/>
      <c r="CJ557" s="186"/>
      <c r="CK557" s="186"/>
      <c r="CL557" s="186"/>
      <c r="CM557" s="186"/>
      <c r="CN557" s="186"/>
      <c r="CO557" s="186"/>
      <c r="CP557" s="186"/>
      <c r="CQ557" s="186"/>
      <c r="CR557" s="186"/>
      <c r="CS557" s="186"/>
      <c r="CT557" s="186"/>
      <c r="CU557" s="186"/>
      <c r="CV557" s="186"/>
      <c r="CW557" s="186"/>
      <c r="CX557" s="186"/>
      <c r="CY557" s="186"/>
      <c r="CZ557" s="186"/>
      <c r="DA557" s="186"/>
      <c r="DB557" s="186"/>
      <c r="DC557" s="186"/>
      <c r="DD557" s="186"/>
      <c r="DE557" s="186"/>
      <c r="DF557" s="186"/>
      <c r="DG557" s="186"/>
      <c r="DH557" s="186"/>
      <c r="DI557" s="186"/>
      <c r="DJ557" s="186"/>
      <c r="DK557" s="186"/>
      <c r="DL557" s="186"/>
      <c r="DM557" s="186"/>
      <c r="DN557" s="186"/>
      <c r="DO557" s="186"/>
      <c r="DP557" s="186"/>
      <c r="DQ557" s="186"/>
      <c r="DR557" s="186"/>
      <c r="DS557" s="186"/>
      <c r="DT557" s="186"/>
    </row>
    <row r="558" spans="1:124" ht="21.75" customHeight="1">
      <c r="B558" s="199"/>
      <c r="C558" s="200"/>
      <c r="D558" s="201"/>
      <c r="E558" s="269"/>
      <c r="F558" s="269"/>
      <c r="G558" s="269"/>
      <c r="H558" s="269"/>
      <c r="I558" s="269"/>
      <c r="J558" s="269"/>
      <c r="K558" s="269"/>
      <c r="L558" s="269"/>
      <c r="M558" s="269"/>
      <c r="N558" s="269"/>
      <c r="O558" s="269"/>
      <c r="P558" s="269"/>
      <c r="Q558" s="269"/>
      <c r="R558" s="269"/>
      <c r="S558" s="269"/>
      <c r="T558" s="269"/>
      <c r="U558" s="269"/>
      <c r="V558" s="269"/>
      <c r="W558" s="269"/>
      <c r="X558" s="269"/>
      <c r="Y558" s="269"/>
      <c r="Z558" s="269"/>
      <c r="AA558" s="269"/>
      <c r="AB558" s="269"/>
      <c r="AC558" s="269"/>
      <c r="AD558" s="269"/>
      <c r="AE558" s="269"/>
      <c r="AF558" s="269"/>
      <c r="AG558" s="269"/>
      <c r="AH558" s="269"/>
      <c r="AI558" s="269"/>
      <c r="AJ558" s="269"/>
      <c r="AK558" s="269"/>
      <c r="AL558" s="269"/>
      <c r="AM558" s="267"/>
      <c r="AN558" s="267"/>
      <c r="AO558" s="267"/>
      <c r="AP558" s="186"/>
      <c r="AQ558" s="186"/>
      <c r="AR558" s="186"/>
      <c r="AS558" s="267"/>
      <c r="AT558" s="267"/>
      <c r="AU558" s="267"/>
      <c r="AV558" s="267"/>
      <c r="AW558" s="267"/>
      <c r="AX558" s="267"/>
      <c r="AY558" s="267"/>
      <c r="AZ558" s="267"/>
      <c r="BA558" s="267"/>
      <c r="BB558" s="186"/>
      <c r="BC558" s="186"/>
      <c r="BD558" s="186"/>
      <c r="BE558" s="186"/>
      <c r="BF558" s="186"/>
      <c r="BG558" s="186"/>
      <c r="BH558" s="186"/>
      <c r="BI558" s="186"/>
      <c r="BJ558" s="186"/>
      <c r="BK558" s="186"/>
      <c r="BL558" s="186"/>
      <c r="BM558" s="186"/>
      <c r="BN558" s="186"/>
      <c r="BO558" s="186"/>
      <c r="BP558" s="186"/>
      <c r="BQ558" s="186"/>
      <c r="BR558" s="186"/>
      <c r="BS558" s="186"/>
      <c r="BT558" s="186"/>
      <c r="BU558" s="186"/>
      <c r="BV558" s="186"/>
      <c r="BW558" s="186"/>
      <c r="BX558" s="186"/>
      <c r="BY558" s="186"/>
      <c r="BZ558" s="186"/>
      <c r="CA558" s="186"/>
      <c r="CB558" s="186"/>
      <c r="CC558" s="186"/>
      <c r="CD558" s="186"/>
      <c r="CE558" s="186"/>
      <c r="CF558" s="186"/>
      <c r="CG558" s="186"/>
      <c r="CH558" s="186"/>
      <c r="CI558" s="186"/>
      <c r="CJ558" s="186"/>
      <c r="CK558" s="186"/>
      <c r="CL558" s="186"/>
      <c r="CM558" s="186"/>
      <c r="CN558" s="186"/>
      <c r="CO558" s="186"/>
      <c r="CP558" s="186"/>
      <c r="CQ558" s="186"/>
      <c r="CR558" s="186"/>
      <c r="CS558" s="186"/>
      <c r="CT558" s="186"/>
      <c r="CU558" s="186"/>
      <c r="CV558" s="186"/>
      <c r="CW558" s="186"/>
      <c r="CX558" s="186"/>
      <c r="CY558" s="186"/>
      <c r="CZ558" s="186"/>
      <c r="DA558" s="186"/>
      <c r="DB558" s="186"/>
      <c r="DC558" s="186"/>
      <c r="DD558" s="186"/>
      <c r="DE558" s="186"/>
      <c r="DF558" s="186"/>
      <c r="DG558" s="186"/>
      <c r="DH558" s="186"/>
      <c r="DI558" s="186"/>
      <c r="DJ558" s="186"/>
      <c r="DK558" s="186"/>
      <c r="DL558" s="186"/>
      <c r="DM558" s="186"/>
      <c r="DN558" s="186"/>
      <c r="DO558" s="186"/>
      <c r="DP558" s="186"/>
      <c r="DQ558" s="186"/>
      <c r="DR558" s="186"/>
      <c r="DS558" s="186"/>
      <c r="DT558" s="186"/>
    </row>
    <row r="559" spans="1:124" ht="21.75" customHeight="1" thickBot="1">
      <c r="B559" s="202"/>
      <c r="C559" s="203"/>
      <c r="D559" s="204"/>
      <c r="E559" s="288"/>
      <c r="F559" s="288"/>
      <c r="G559" s="288"/>
      <c r="H559" s="288"/>
      <c r="I559" s="288"/>
      <c r="J559" s="288"/>
      <c r="K559" s="288"/>
      <c r="L559" s="288"/>
      <c r="M559" s="288"/>
      <c r="N559" s="288"/>
      <c r="O559" s="288"/>
      <c r="P559" s="288"/>
      <c r="Q559" s="288"/>
      <c r="R559" s="288"/>
      <c r="S559" s="288"/>
      <c r="T559" s="288"/>
      <c r="U559" s="288"/>
      <c r="V559" s="288"/>
      <c r="W559" s="288"/>
      <c r="X559" s="288"/>
      <c r="Y559" s="288"/>
      <c r="Z559" s="288"/>
      <c r="AA559" s="288"/>
      <c r="AB559" s="288"/>
      <c r="AC559" s="288"/>
      <c r="AD559" s="288"/>
      <c r="AE559" s="288"/>
      <c r="AF559" s="288"/>
      <c r="AG559" s="288"/>
      <c r="AH559" s="288"/>
      <c r="AI559" s="288"/>
      <c r="AJ559" s="288"/>
      <c r="AK559" s="288"/>
      <c r="AL559" s="288"/>
      <c r="AM559" s="273"/>
      <c r="AN559" s="273"/>
      <c r="AO559" s="273"/>
      <c r="AP559" s="186"/>
      <c r="AQ559" s="186"/>
      <c r="AR559" s="186"/>
      <c r="AS559" s="273"/>
      <c r="AT559" s="273"/>
      <c r="AU559" s="273"/>
      <c r="AV559" s="273"/>
      <c r="AW559" s="273"/>
      <c r="AX559" s="273"/>
      <c r="AY559" s="273"/>
      <c r="AZ559" s="273"/>
      <c r="BA559" s="273"/>
      <c r="BB559" s="186"/>
      <c r="BC559" s="186"/>
      <c r="BD559" s="186"/>
      <c r="BE559" s="186"/>
      <c r="BF559" s="186"/>
      <c r="BG559" s="186"/>
      <c r="BH559" s="186"/>
      <c r="BI559" s="186"/>
      <c r="BJ559" s="186"/>
      <c r="BK559" s="186"/>
      <c r="BL559" s="186"/>
      <c r="BM559" s="186"/>
      <c r="BN559" s="186"/>
      <c r="BO559" s="186"/>
      <c r="BP559" s="186"/>
      <c r="BQ559" s="186"/>
      <c r="BR559" s="186"/>
      <c r="BS559" s="186"/>
      <c r="BT559" s="186"/>
      <c r="BU559" s="186"/>
      <c r="BV559" s="186"/>
      <c r="BW559" s="186"/>
      <c r="BX559" s="186"/>
      <c r="BY559" s="186"/>
      <c r="BZ559" s="186"/>
      <c r="CA559" s="186"/>
      <c r="CB559" s="186"/>
      <c r="CC559" s="186"/>
      <c r="CD559" s="186"/>
      <c r="CE559" s="186"/>
      <c r="CF559" s="186"/>
      <c r="CG559" s="186"/>
      <c r="CH559" s="186"/>
      <c r="CI559" s="186"/>
      <c r="CJ559" s="186"/>
      <c r="CK559" s="186"/>
      <c r="CL559" s="186"/>
      <c r="CM559" s="186"/>
      <c r="CN559" s="186"/>
      <c r="CO559" s="186"/>
      <c r="CP559" s="186"/>
      <c r="CQ559" s="186"/>
      <c r="CR559" s="186"/>
      <c r="CS559" s="186"/>
      <c r="CT559" s="186"/>
      <c r="CU559" s="186"/>
      <c r="CV559" s="186"/>
      <c r="CW559" s="186"/>
      <c r="CX559" s="186"/>
      <c r="CY559" s="186"/>
      <c r="CZ559" s="186"/>
      <c r="DA559" s="186"/>
      <c r="DB559" s="186"/>
      <c r="DC559" s="186"/>
      <c r="DD559" s="186"/>
      <c r="DE559" s="186"/>
      <c r="DF559" s="186"/>
      <c r="DG559" s="186"/>
      <c r="DH559" s="186"/>
      <c r="DI559" s="186"/>
      <c r="DJ559" s="186"/>
      <c r="DK559" s="186"/>
      <c r="DL559" s="186"/>
      <c r="DM559" s="186"/>
      <c r="DN559" s="186"/>
      <c r="DO559" s="186"/>
      <c r="DP559" s="186"/>
      <c r="DQ559" s="186"/>
      <c r="DR559" s="186"/>
      <c r="DS559" s="186"/>
      <c r="DT559" s="186"/>
    </row>
    <row r="560" spans="1:124" s="55" customFormat="1" ht="21.75" customHeight="1">
      <c r="B560" s="205" t="s">
        <v>366</v>
      </c>
      <c r="C560" s="206"/>
      <c r="D560" s="206"/>
      <c r="E560" s="197"/>
      <c r="F560" s="197"/>
      <c r="G560" s="197"/>
      <c r="H560" s="197"/>
      <c r="I560" s="197"/>
      <c r="J560" s="197"/>
      <c r="K560" s="197"/>
      <c r="L560" s="197"/>
      <c r="M560" s="197"/>
      <c r="N560" s="197"/>
      <c r="O560" s="197"/>
      <c r="P560" s="197"/>
      <c r="Q560" s="197"/>
      <c r="R560" s="197"/>
      <c r="S560" s="197"/>
      <c r="T560" s="197"/>
      <c r="U560" s="211"/>
      <c r="V560" s="211"/>
      <c r="W560" s="211"/>
      <c r="X560" s="211"/>
      <c r="Y560" s="211"/>
      <c r="Z560" s="211"/>
      <c r="AA560" s="211"/>
      <c r="AB560" s="211"/>
      <c r="AC560" s="211"/>
      <c r="AD560" s="197"/>
      <c r="AE560" s="197"/>
      <c r="AF560" s="197"/>
      <c r="AG560" s="197"/>
      <c r="AH560" s="197"/>
      <c r="AI560" s="197"/>
      <c r="AJ560" s="197"/>
      <c r="AK560" s="197"/>
      <c r="AL560" s="197"/>
      <c r="AM560" s="197"/>
      <c r="AN560" s="197"/>
      <c r="AO560" s="197"/>
      <c r="AP560" s="197"/>
      <c r="AQ560" s="197"/>
      <c r="AR560" s="197"/>
      <c r="AS560" s="197"/>
      <c r="AT560" s="197"/>
      <c r="AU560" s="197"/>
      <c r="AV560" s="197"/>
      <c r="AW560" s="197"/>
      <c r="AX560" s="197"/>
      <c r="AY560" s="197"/>
      <c r="AZ560" s="197"/>
      <c r="BA560" s="197"/>
      <c r="BB560" s="197"/>
      <c r="BC560" s="197"/>
      <c r="BD560" s="197"/>
      <c r="BE560" s="197"/>
      <c r="BF560" s="197"/>
      <c r="BG560" s="197"/>
      <c r="BH560" s="197"/>
      <c r="BI560" s="197"/>
      <c r="BJ560" s="197"/>
      <c r="BK560" s="197"/>
      <c r="BL560" s="197"/>
      <c r="BM560" s="197"/>
      <c r="BN560" s="197"/>
      <c r="BO560" s="197"/>
      <c r="BP560" s="197"/>
      <c r="BQ560" s="197"/>
      <c r="BR560" s="197"/>
      <c r="BS560" s="197"/>
      <c r="BT560" s="197"/>
      <c r="BU560" s="197"/>
      <c r="BV560" s="197"/>
      <c r="BW560" s="197"/>
      <c r="BX560" s="197"/>
      <c r="BY560" s="197"/>
      <c r="BZ560" s="197"/>
      <c r="CA560" s="197"/>
      <c r="CB560" s="197"/>
      <c r="CC560" s="197"/>
      <c r="CD560" s="197"/>
      <c r="CE560" s="197"/>
      <c r="CF560" s="197"/>
      <c r="CG560" s="197"/>
      <c r="CH560" s="197"/>
      <c r="CI560" s="197"/>
      <c r="CJ560" s="197"/>
      <c r="CK560" s="197"/>
      <c r="CL560" s="197"/>
      <c r="CM560" s="197"/>
      <c r="CN560" s="197"/>
      <c r="CO560" s="197"/>
      <c r="CP560" s="197"/>
      <c r="CQ560" s="197"/>
      <c r="CR560" s="197"/>
      <c r="CS560" s="197"/>
      <c r="CT560" s="197"/>
      <c r="CU560" s="197"/>
      <c r="CV560" s="197"/>
      <c r="CW560" s="197"/>
      <c r="CX560" s="197"/>
      <c r="CY560" s="197"/>
      <c r="CZ560" s="197"/>
      <c r="DA560" s="197"/>
      <c r="DB560" s="197"/>
      <c r="DC560" s="197"/>
      <c r="DD560" s="197"/>
      <c r="DE560" s="197"/>
      <c r="DF560" s="197"/>
      <c r="DG560" s="197"/>
      <c r="DH560" s="197"/>
      <c r="DI560" s="197"/>
      <c r="DJ560" s="197"/>
      <c r="DK560" s="197"/>
      <c r="DL560" s="197"/>
      <c r="DM560" s="197"/>
      <c r="DN560" s="197"/>
      <c r="DO560" s="197"/>
      <c r="DP560" s="197"/>
      <c r="DQ560" s="197"/>
      <c r="DR560" s="197"/>
      <c r="DS560" s="197"/>
      <c r="DT560" s="197"/>
    </row>
    <row r="561" spans="2:124" s="55" customFormat="1" ht="21.75" customHeight="1">
      <c r="B561" s="207"/>
      <c r="C561" s="208"/>
      <c r="D561" s="208"/>
      <c r="E561" s="198"/>
      <c r="F561" s="198"/>
      <c r="G561" s="198"/>
      <c r="H561" s="198"/>
      <c r="I561" s="198"/>
      <c r="J561" s="198"/>
      <c r="K561" s="198"/>
      <c r="L561" s="198"/>
      <c r="M561" s="198"/>
      <c r="N561" s="198"/>
      <c r="O561" s="198"/>
      <c r="P561" s="198"/>
      <c r="Q561" s="198"/>
      <c r="R561" s="198"/>
      <c r="S561" s="198"/>
      <c r="T561" s="198"/>
      <c r="U561" s="212"/>
      <c r="V561" s="212"/>
      <c r="W561" s="212"/>
      <c r="X561" s="212"/>
      <c r="Y561" s="212"/>
      <c r="Z561" s="212"/>
      <c r="AA561" s="212"/>
      <c r="AB561" s="212"/>
      <c r="AC561" s="212"/>
      <c r="AD561" s="198"/>
      <c r="AE561" s="198"/>
      <c r="AF561" s="198"/>
      <c r="AG561" s="198"/>
      <c r="AH561" s="198"/>
      <c r="AI561" s="198"/>
      <c r="AJ561" s="198"/>
      <c r="AK561" s="198"/>
      <c r="AL561" s="198"/>
      <c r="AM561" s="198"/>
      <c r="AN561" s="198"/>
      <c r="AO561" s="198"/>
      <c r="AP561" s="198"/>
      <c r="AQ561" s="198"/>
      <c r="AR561" s="198"/>
      <c r="AS561" s="198"/>
      <c r="AT561" s="198"/>
      <c r="AU561" s="198"/>
      <c r="AV561" s="198"/>
      <c r="AW561" s="198"/>
      <c r="AX561" s="198"/>
      <c r="AY561" s="198"/>
      <c r="AZ561" s="198"/>
      <c r="BA561" s="198"/>
      <c r="BB561" s="198"/>
      <c r="BC561" s="198"/>
      <c r="BD561" s="198"/>
      <c r="BE561" s="198"/>
      <c r="BF561" s="198"/>
      <c r="BG561" s="198"/>
      <c r="BH561" s="198"/>
      <c r="BI561" s="198"/>
      <c r="BJ561" s="198"/>
      <c r="BK561" s="198"/>
      <c r="BL561" s="198"/>
      <c r="BM561" s="198"/>
      <c r="BN561" s="198"/>
      <c r="BO561" s="198"/>
      <c r="BP561" s="198"/>
      <c r="BQ561" s="198"/>
      <c r="BR561" s="198"/>
      <c r="BS561" s="198"/>
      <c r="BT561" s="198"/>
      <c r="BU561" s="198"/>
      <c r="BV561" s="198"/>
      <c r="BW561" s="198"/>
      <c r="BX561" s="198"/>
      <c r="BY561" s="198"/>
      <c r="BZ561" s="198"/>
      <c r="CA561" s="198"/>
      <c r="CB561" s="198"/>
      <c r="CC561" s="198"/>
      <c r="CD561" s="198"/>
      <c r="CE561" s="198"/>
      <c r="CF561" s="198"/>
      <c r="CG561" s="198"/>
      <c r="CH561" s="198"/>
      <c r="CI561" s="198"/>
      <c r="CJ561" s="198"/>
      <c r="CK561" s="198"/>
      <c r="CL561" s="198"/>
      <c r="CM561" s="198"/>
      <c r="CN561" s="198"/>
      <c r="CO561" s="198"/>
      <c r="CP561" s="198"/>
      <c r="CQ561" s="198"/>
      <c r="CR561" s="198"/>
      <c r="CS561" s="198"/>
      <c r="CT561" s="198"/>
      <c r="CU561" s="198"/>
      <c r="CV561" s="198"/>
      <c r="CW561" s="198"/>
      <c r="CX561" s="198"/>
      <c r="CY561" s="198"/>
      <c r="CZ561" s="198"/>
      <c r="DA561" s="198"/>
      <c r="DB561" s="198"/>
      <c r="DC561" s="198"/>
      <c r="DD561" s="198"/>
      <c r="DE561" s="198"/>
      <c r="DF561" s="198"/>
      <c r="DG561" s="198"/>
      <c r="DH561" s="198"/>
      <c r="DI561" s="198"/>
      <c r="DJ561" s="198"/>
      <c r="DK561" s="198"/>
      <c r="DL561" s="198"/>
      <c r="DM561" s="198"/>
      <c r="DN561" s="198"/>
      <c r="DO561" s="198"/>
      <c r="DP561" s="198"/>
      <c r="DQ561" s="198"/>
      <c r="DR561" s="198"/>
      <c r="DS561" s="198"/>
      <c r="DT561" s="198"/>
    </row>
    <row r="562" spans="2:124" ht="21.75" customHeight="1">
      <c r="B562" s="292" t="s">
        <v>12</v>
      </c>
      <c r="C562" s="293"/>
      <c r="D562" s="294"/>
      <c r="E562" s="304"/>
      <c r="F562" s="306"/>
      <c r="G562" s="306"/>
      <c r="H562" s="306"/>
      <c r="I562" s="306"/>
      <c r="J562" s="306"/>
      <c r="K562" s="306"/>
      <c r="L562" s="306"/>
      <c r="M562" s="306"/>
      <c r="N562" s="306"/>
      <c r="O562" s="306"/>
      <c r="P562" s="306"/>
      <c r="Q562" s="306"/>
      <c r="R562" s="306"/>
      <c r="S562" s="306"/>
      <c r="T562" s="308"/>
      <c r="U562" s="306"/>
      <c r="V562" s="309"/>
      <c r="W562" s="306"/>
      <c r="X562" s="306"/>
      <c r="Y562" s="306"/>
      <c r="Z562" s="306"/>
      <c r="AA562" s="306"/>
      <c r="AB562" s="306"/>
      <c r="AC562" s="306"/>
      <c r="AD562" s="306"/>
      <c r="AE562" s="304"/>
      <c r="AF562" s="304"/>
      <c r="AG562" s="304"/>
      <c r="AH562" s="304"/>
      <c r="AI562" s="304"/>
      <c r="AJ562" s="304"/>
      <c r="AK562" s="304"/>
      <c r="AL562" s="304"/>
      <c r="AM562" s="306"/>
      <c r="AN562" s="306"/>
      <c r="AO562" s="306"/>
      <c r="AP562" s="306"/>
      <c r="AQ562" s="306"/>
      <c r="AR562" s="306"/>
      <c r="AS562" s="306"/>
      <c r="AT562" s="306"/>
      <c r="AU562" s="306"/>
      <c r="AV562" s="306"/>
      <c r="AW562" s="306"/>
      <c r="AX562" s="306"/>
      <c r="AY562" s="306"/>
      <c r="AZ562" s="306"/>
      <c r="BA562" s="306"/>
      <c r="BB562" s="306"/>
      <c r="BC562" s="306"/>
      <c r="BD562" s="306"/>
      <c r="BE562" s="306"/>
      <c r="BF562" s="306"/>
      <c r="BG562" s="306"/>
      <c r="BH562" s="306"/>
      <c r="BI562" s="306"/>
      <c r="BJ562" s="306"/>
      <c r="BK562" s="306"/>
      <c r="BL562" s="306"/>
      <c r="BM562" s="306"/>
      <c r="BN562" s="306"/>
      <c r="BO562" s="306"/>
      <c r="BP562" s="306"/>
      <c r="BQ562" s="306"/>
      <c r="BR562" s="306"/>
      <c r="BS562" s="306"/>
      <c r="BT562" s="306"/>
      <c r="BU562" s="306"/>
      <c r="BV562" s="306"/>
      <c r="BW562" s="306"/>
      <c r="BX562" s="306"/>
      <c r="BY562" s="306"/>
      <c r="BZ562" s="306"/>
      <c r="CA562" s="306"/>
      <c r="CB562" s="306"/>
      <c r="CC562" s="306"/>
      <c r="CD562" s="306"/>
      <c r="CE562" s="306"/>
      <c r="CF562" s="306"/>
      <c r="CG562" s="306"/>
      <c r="CH562" s="306"/>
      <c r="CI562" s="306"/>
      <c r="CJ562" s="306"/>
      <c r="CK562" s="306"/>
      <c r="CL562" s="306"/>
      <c r="CM562" s="306"/>
      <c r="CN562" s="306"/>
      <c r="CO562" s="306"/>
      <c r="CP562" s="306"/>
      <c r="CQ562" s="306"/>
      <c r="CR562" s="306"/>
      <c r="CS562" s="306"/>
      <c r="CT562" s="306"/>
      <c r="CU562" s="306"/>
      <c r="CV562" s="306"/>
      <c r="CW562" s="306"/>
      <c r="CX562" s="306"/>
      <c r="CY562" s="306"/>
      <c r="CZ562" s="306"/>
      <c r="DA562" s="306"/>
      <c r="DB562" s="306"/>
      <c r="DC562" s="306"/>
      <c r="DD562" s="306"/>
      <c r="DE562" s="306"/>
      <c r="DF562" s="306"/>
      <c r="DG562" s="306"/>
      <c r="DH562" s="306"/>
      <c r="DI562" s="306"/>
      <c r="DJ562" s="306"/>
      <c r="DK562" s="306"/>
      <c r="DL562" s="306"/>
      <c r="DM562" s="306"/>
      <c r="DN562" s="306"/>
      <c r="DO562" s="306"/>
      <c r="DP562" s="306"/>
      <c r="DQ562" s="306"/>
      <c r="DR562" s="306"/>
      <c r="DS562" s="306"/>
      <c r="DT562" s="306"/>
    </row>
    <row r="563" spans="2:124" ht="21.75" customHeight="1">
      <c r="B563" s="301"/>
      <c r="C563" s="302"/>
      <c r="D563" s="303"/>
      <c r="E563" s="305"/>
      <c r="F563" s="307"/>
      <c r="G563" s="307"/>
      <c r="H563" s="307"/>
      <c r="I563" s="307"/>
      <c r="J563" s="307"/>
      <c r="K563" s="307"/>
      <c r="L563" s="307"/>
      <c r="M563" s="307"/>
      <c r="N563" s="307"/>
      <c r="O563" s="307"/>
      <c r="P563" s="307"/>
      <c r="Q563" s="307"/>
      <c r="R563" s="307"/>
      <c r="S563" s="307"/>
      <c r="T563" s="307"/>
      <c r="U563" s="307"/>
      <c r="V563" s="310"/>
      <c r="W563" s="307"/>
      <c r="X563" s="307"/>
      <c r="Y563" s="307"/>
      <c r="Z563" s="307"/>
      <c r="AA563" s="307"/>
      <c r="AB563" s="307"/>
      <c r="AC563" s="307"/>
      <c r="AD563" s="307"/>
      <c r="AE563" s="305"/>
      <c r="AF563" s="305"/>
      <c r="AG563" s="305"/>
      <c r="AH563" s="305"/>
      <c r="AI563" s="305"/>
      <c r="AJ563" s="305"/>
      <c r="AK563" s="305"/>
      <c r="AL563" s="305"/>
      <c r="AM563" s="307"/>
      <c r="AN563" s="307"/>
      <c r="AO563" s="307"/>
      <c r="AP563" s="307"/>
      <c r="AQ563" s="307"/>
      <c r="AR563" s="307"/>
      <c r="AS563" s="307"/>
      <c r="AT563" s="307"/>
      <c r="AU563" s="307"/>
      <c r="AV563" s="307"/>
      <c r="AW563" s="307"/>
      <c r="AX563" s="307"/>
      <c r="AY563" s="307"/>
      <c r="AZ563" s="307"/>
      <c r="BA563" s="307"/>
      <c r="BB563" s="307"/>
      <c r="BC563" s="307"/>
      <c r="BD563" s="307"/>
      <c r="BE563" s="307"/>
      <c r="BF563" s="307"/>
      <c r="BG563" s="307"/>
      <c r="BH563" s="307"/>
      <c r="BI563" s="307"/>
      <c r="BJ563" s="307"/>
      <c r="BK563" s="307"/>
      <c r="BL563" s="307"/>
      <c r="BM563" s="307"/>
      <c r="BN563" s="307"/>
      <c r="BO563" s="307"/>
      <c r="BP563" s="307"/>
      <c r="BQ563" s="307"/>
      <c r="BR563" s="307"/>
      <c r="BS563" s="307"/>
      <c r="BT563" s="307"/>
      <c r="BU563" s="307"/>
      <c r="BV563" s="307"/>
      <c r="BW563" s="307"/>
      <c r="BX563" s="307"/>
      <c r="BY563" s="307"/>
      <c r="BZ563" s="307"/>
      <c r="CA563" s="307"/>
      <c r="CB563" s="307"/>
      <c r="CC563" s="307"/>
      <c r="CD563" s="307"/>
      <c r="CE563" s="307"/>
      <c r="CF563" s="307"/>
      <c r="CG563" s="307"/>
      <c r="CH563" s="307"/>
      <c r="CI563" s="307"/>
      <c r="CJ563" s="307"/>
      <c r="CK563" s="307"/>
      <c r="CL563" s="307"/>
      <c r="CM563" s="307"/>
      <c r="CN563" s="307"/>
      <c r="CO563" s="307"/>
      <c r="CP563" s="307"/>
      <c r="CQ563" s="307"/>
      <c r="CR563" s="307"/>
      <c r="CS563" s="307"/>
      <c r="CT563" s="307"/>
      <c r="CU563" s="307"/>
      <c r="CV563" s="307"/>
      <c r="CW563" s="307"/>
      <c r="CX563" s="307"/>
      <c r="CY563" s="307"/>
      <c r="CZ563" s="307"/>
      <c r="DA563" s="307"/>
      <c r="DB563" s="307"/>
      <c r="DC563" s="307"/>
      <c r="DD563" s="307"/>
      <c r="DE563" s="307"/>
      <c r="DF563" s="307"/>
      <c r="DG563" s="307"/>
      <c r="DH563" s="307"/>
      <c r="DI563" s="307"/>
      <c r="DJ563" s="307"/>
      <c r="DK563" s="307"/>
      <c r="DL563" s="307"/>
      <c r="DM563" s="307"/>
      <c r="DN563" s="307"/>
      <c r="DO563" s="307"/>
      <c r="DP563" s="307"/>
      <c r="DQ563" s="307"/>
      <c r="DR563" s="307"/>
      <c r="DS563" s="307"/>
      <c r="DT563" s="307"/>
    </row>
    <row r="564" spans="2:124" ht="21.75" customHeight="1">
      <c r="B564" s="223" t="s">
        <v>373</v>
      </c>
      <c r="C564" s="224"/>
      <c r="D564" s="239"/>
      <c r="E564" s="241" t="str">
        <f t="shared" ref="E564:BP564" si="15">IF((OR(E562=0,MAX(E567,E569,E571)=0))=TRUE,"",IFERROR((((MAX(E567,E569,E571)+E562)*0.7)-E562),""))</f>
        <v/>
      </c>
      <c r="F564" s="219" t="str">
        <f t="shared" si="15"/>
        <v/>
      </c>
      <c r="G564" s="219" t="str">
        <f t="shared" si="15"/>
        <v/>
      </c>
      <c r="H564" s="219" t="str">
        <f t="shared" si="15"/>
        <v/>
      </c>
      <c r="I564" s="219" t="str">
        <f t="shared" si="15"/>
        <v/>
      </c>
      <c r="J564" s="219" t="str">
        <f t="shared" si="15"/>
        <v/>
      </c>
      <c r="K564" s="219" t="str">
        <f t="shared" si="15"/>
        <v/>
      </c>
      <c r="L564" s="219" t="str">
        <f t="shared" si="15"/>
        <v/>
      </c>
      <c r="M564" s="219" t="str">
        <f t="shared" si="15"/>
        <v/>
      </c>
      <c r="N564" s="219" t="str">
        <f t="shared" si="15"/>
        <v/>
      </c>
      <c r="O564" s="219" t="str">
        <f t="shared" si="15"/>
        <v/>
      </c>
      <c r="P564" s="219" t="str">
        <f t="shared" si="15"/>
        <v/>
      </c>
      <c r="Q564" s="219" t="str">
        <f t="shared" si="15"/>
        <v/>
      </c>
      <c r="R564" s="219" t="str">
        <f t="shared" si="15"/>
        <v/>
      </c>
      <c r="S564" s="219" t="str">
        <f t="shared" si="15"/>
        <v/>
      </c>
      <c r="T564" s="219" t="str">
        <f t="shared" si="15"/>
        <v/>
      </c>
      <c r="U564" s="219" t="str">
        <f t="shared" si="15"/>
        <v/>
      </c>
      <c r="V564" s="219" t="str">
        <f t="shared" si="15"/>
        <v/>
      </c>
      <c r="W564" s="219" t="str">
        <f t="shared" si="15"/>
        <v/>
      </c>
      <c r="X564" s="219" t="str">
        <f t="shared" si="15"/>
        <v/>
      </c>
      <c r="Y564" s="219" t="str">
        <f t="shared" si="15"/>
        <v/>
      </c>
      <c r="Z564" s="219" t="str">
        <f t="shared" si="15"/>
        <v/>
      </c>
      <c r="AA564" s="219" t="str">
        <f t="shared" si="15"/>
        <v/>
      </c>
      <c r="AB564" s="219" t="str">
        <f t="shared" si="15"/>
        <v/>
      </c>
      <c r="AC564" s="219" t="str">
        <f t="shared" si="15"/>
        <v/>
      </c>
      <c r="AD564" s="219" t="str">
        <f t="shared" si="15"/>
        <v/>
      </c>
      <c r="AE564" s="219" t="str">
        <f t="shared" si="15"/>
        <v/>
      </c>
      <c r="AF564" s="219" t="str">
        <f t="shared" si="15"/>
        <v/>
      </c>
      <c r="AG564" s="219" t="str">
        <f t="shared" si="15"/>
        <v/>
      </c>
      <c r="AH564" s="219" t="str">
        <f t="shared" si="15"/>
        <v/>
      </c>
      <c r="AI564" s="219" t="str">
        <f t="shared" si="15"/>
        <v/>
      </c>
      <c r="AJ564" s="219" t="str">
        <f t="shared" si="15"/>
        <v/>
      </c>
      <c r="AK564" s="219" t="str">
        <f t="shared" si="15"/>
        <v/>
      </c>
      <c r="AL564" s="219" t="str">
        <f t="shared" si="15"/>
        <v/>
      </c>
      <c r="AM564" s="219" t="str">
        <f t="shared" si="15"/>
        <v/>
      </c>
      <c r="AN564" s="219" t="str">
        <f t="shared" si="15"/>
        <v/>
      </c>
      <c r="AO564" s="219" t="str">
        <f t="shared" si="15"/>
        <v/>
      </c>
      <c r="AP564" s="219" t="str">
        <f t="shared" si="15"/>
        <v/>
      </c>
      <c r="AQ564" s="219" t="str">
        <f t="shared" si="15"/>
        <v/>
      </c>
      <c r="AR564" s="219" t="str">
        <f t="shared" si="15"/>
        <v/>
      </c>
      <c r="AS564" s="219" t="str">
        <f t="shared" si="15"/>
        <v/>
      </c>
      <c r="AT564" s="219" t="str">
        <f t="shared" si="15"/>
        <v/>
      </c>
      <c r="AU564" s="219" t="str">
        <f t="shared" si="15"/>
        <v/>
      </c>
      <c r="AV564" s="219" t="str">
        <f t="shared" si="15"/>
        <v/>
      </c>
      <c r="AW564" s="219" t="str">
        <f t="shared" si="15"/>
        <v/>
      </c>
      <c r="AX564" s="219" t="str">
        <f t="shared" si="15"/>
        <v/>
      </c>
      <c r="AY564" s="219" t="str">
        <f t="shared" si="15"/>
        <v/>
      </c>
      <c r="AZ564" s="219" t="str">
        <f t="shared" si="15"/>
        <v/>
      </c>
      <c r="BA564" s="219" t="str">
        <f t="shared" si="15"/>
        <v/>
      </c>
      <c r="BB564" s="219" t="str">
        <f t="shared" si="15"/>
        <v/>
      </c>
      <c r="BC564" s="219" t="str">
        <f t="shared" si="15"/>
        <v/>
      </c>
      <c r="BD564" s="219" t="str">
        <f t="shared" si="15"/>
        <v/>
      </c>
      <c r="BE564" s="219" t="str">
        <f t="shared" si="15"/>
        <v/>
      </c>
      <c r="BF564" s="219" t="str">
        <f t="shared" si="15"/>
        <v/>
      </c>
      <c r="BG564" s="219" t="str">
        <f t="shared" si="15"/>
        <v/>
      </c>
      <c r="BH564" s="219" t="str">
        <f t="shared" si="15"/>
        <v/>
      </c>
      <c r="BI564" s="219" t="str">
        <f t="shared" si="15"/>
        <v/>
      </c>
      <c r="BJ564" s="219" t="str">
        <f t="shared" si="15"/>
        <v/>
      </c>
      <c r="BK564" s="219" t="str">
        <f t="shared" si="15"/>
        <v/>
      </c>
      <c r="BL564" s="219" t="str">
        <f t="shared" si="15"/>
        <v/>
      </c>
      <c r="BM564" s="219" t="str">
        <f t="shared" si="15"/>
        <v/>
      </c>
      <c r="BN564" s="219" t="str">
        <f t="shared" si="15"/>
        <v/>
      </c>
      <c r="BO564" s="219" t="str">
        <f t="shared" si="15"/>
        <v/>
      </c>
      <c r="BP564" s="219" t="str">
        <f t="shared" si="15"/>
        <v/>
      </c>
      <c r="BQ564" s="219" t="str">
        <f t="shared" ref="BQ564:DT564" si="16">IF((OR(BQ562=0,MAX(BQ567,BQ569,BQ571)=0))=TRUE,"",IFERROR((((MAX(BQ567,BQ569,BQ571)+BQ562)*0.7)-BQ562),""))</f>
        <v/>
      </c>
      <c r="BR564" s="219" t="str">
        <f t="shared" si="16"/>
        <v/>
      </c>
      <c r="BS564" s="219" t="str">
        <f t="shared" si="16"/>
        <v/>
      </c>
      <c r="BT564" s="219" t="str">
        <f t="shared" si="16"/>
        <v/>
      </c>
      <c r="BU564" s="219" t="str">
        <f t="shared" si="16"/>
        <v/>
      </c>
      <c r="BV564" s="219" t="str">
        <f t="shared" si="16"/>
        <v/>
      </c>
      <c r="BW564" s="219" t="str">
        <f t="shared" si="16"/>
        <v/>
      </c>
      <c r="BX564" s="219" t="str">
        <f t="shared" si="16"/>
        <v/>
      </c>
      <c r="BY564" s="219" t="str">
        <f t="shared" si="16"/>
        <v/>
      </c>
      <c r="BZ564" s="219" t="str">
        <f t="shared" si="16"/>
        <v/>
      </c>
      <c r="CA564" s="219" t="str">
        <f t="shared" si="16"/>
        <v/>
      </c>
      <c r="CB564" s="219" t="str">
        <f t="shared" si="16"/>
        <v/>
      </c>
      <c r="CC564" s="219" t="str">
        <f t="shared" si="16"/>
        <v/>
      </c>
      <c r="CD564" s="219" t="str">
        <f t="shared" si="16"/>
        <v/>
      </c>
      <c r="CE564" s="219" t="str">
        <f t="shared" si="16"/>
        <v/>
      </c>
      <c r="CF564" s="219" t="str">
        <f t="shared" si="16"/>
        <v/>
      </c>
      <c r="CG564" s="219" t="str">
        <f t="shared" si="16"/>
        <v/>
      </c>
      <c r="CH564" s="219" t="str">
        <f t="shared" si="16"/>
        <v/>
      </c>
      <c r="CI564" s="219" t="str">
        <f t="shared" si="16"/>
        <v/>
      </c>
      <c r="CJ564" s="219" t="str">
        <f t="shared" si="16"/>
        <v/>
      </c>
      <c r="CK564" s="219" t="str">
        <f t="shared" si="16"/>
        <v/>
      </c>
      <c r="CL564" s="219" t="str">
        <f t="shared" si="16"/>
        <v/>
      </c>
      <c r="CM564" s="219" t="str">
        <f t="shared" si="16"/>
        <v/>
      </c>
      <c r="CN564" s="219" t="str">
        <f t="shared" si="16"/>
        <v/>
      </c>
      <c r="CO564" s="219" t="str">
        <f t="shared" si="16"/>
        <v/>
      </c>
      <c r="CP564" s="219" t="str">
        <f t="shared" si="16"/>
        <v/>
      </c>
      <c r="CQ564" s="219" t="str">
        <f t="shared" si="16"/>
        <v/>
      </c>
      <c r="CR564" s="219" t="str">
        <f t="shared" si="16"/>
        <v/>
      </c>
      <c r="CS564" s="219" t="str">
        <f t="shared" si="16"/>
        <v/>
      </c>
      <c r="CT564" s="219" t="str">
        <f t="shared" si="16"/>
        <v/>
      </c>
      <c r="CU564" s="219" t="str">
        <f t="shared" si="16"/>
        <v/>
      </c>
      <c r="CV564" s="219" t="str">
        <f t="shared" si="16"/>
        <v/>
      </c>
      <c r="CW564" s="219" t="str">
        <f t="shared" si="16"/>
        <v/>
      </c>
      <c r="CX564" s="219" t="str">
        <f t="shared" si="16"/>
        <v/>
      </c>
      <c r="CY564" s="219" t="str">
        <f t="shared" si="16"/>
        <v/>
      </c>
      <c r="CZ564" s="219" t="str">
        <f t="shared" si="16"/>
        <v/>
      </c>
      <c r="DA564" s="219" t="str">
        <f t="shared" si="16"/>
        <v/>
      </c>
      <c r="DB564" s="219" t="str">
        <f t="shared" si="16"/>
        <v/>
      </c>
      <c r="DC564" s="219" t="str">
        <f t="shared" si="16"/>
        <v/>
      </c>
      <c r="DD564" s="219" t="str">
        <f t="shared" si="16"/>
        <v/>
      </c>
      <c r="DE564" s="219" t="str">
        <f t="shared" si="16"/>
        <v/>
      </c>
      <c r="DF564" s="219" t="str">
        <f t="shared" si="16"/>
        <v/>
      </c>
      <c r="DG564" s="219" t="str">
        <f t="shared" si="16"/>
        <v/>
      </c>
      <c r="DH564" s="219" t="str">
        <f t="shared" si="16"/>
        <v/>
      </c>
      <c r="DI564" s="219" t="str">
        <f t="shared" si="16"/>
        <v/>
      </c>
      <c r="DJ564" s="219" t="str">
        <f t="shared" si="16"/>
        <v/>
      </c>
      <c r="DK564" s="219" t="str">
        <f t="shared" si="16"/>
        <v/>
      </c>
      <c r="DL564" s="219" t="str">
        <f t="shared" si="16"/>
        <v/>
      </c>
      <c r="DM564" s="219" t="str">
        <f t="shared" si="16"/>
        <v/>
      </c>
      <c r="DN564" s="219" t="str">
        <f t="shared" si="16"/>
        <v/>
      </c>
      <c r="DO564" s="219" t="str">
        <f t="shared" si="16"/>
        <v/>
      </c>
      <c r="DP564" s="219" t="str">
        <f t="shared" si="16"/>
        <v/>
      </c>
      <c r="DQ564" s="219" t="str">
        <f t="shared" si="16"/>
        <v/>
      </c>
      <c r="DR564" s="219" t="str">
        <f t="shared" si="16"/>
        <v/>
      </c>
      <c r="DS564" s="219" t="str">
        <f t="shared" si="16"/>
        <v/>
      </c>
      <c r="DT564" s="219" t="str">
        <f t="shared" si="16"/>
        <v/>
      </c>
    </row>
    <row r="565" spans="2:124" ht="21.75" customHeight="1" thickBot="1">
      <c r="B565" s="225"/>
      <c r="C565" s="226"/>
      <c r="D565" s="240"/>
      <c r="E565" s="242"/>
      <c r="F565" s="220"/>
      <c r="G565" s="220"/>
      <c r="H565" s="220"/>
      <c r="I565" s="220"/>
      <c r="J565" s="220"/>
      <c r="K565" s="220"/>
      <c r="L565" s="220"/>
      <c r="M565" s="220"/>
      <c r="N565" s="220"/>
      <c r="O565" s="220"/>
      <c r="P565" s="220"/>
      <c r="Q565" s="220"/>
      <c r="R565" s="220"/>
      <c r="S565" s="220"/>
      <c r="T565" s="220"/>
      <c r="U565" s="220"/>
      <c r="V565" s="220"/>
      <c r="W565" s="220"/>
      <c r="X565" s="220"/>
      <c r="Y565" s="220"/>
      <c r="Z565" s="220"/>
      <c r="AA565" s="220"/>
      <c r="AB565" s="220"/>
      <c r="AC565" s="220"/>
      <c r="AD565" s="220"/>
      <c r="AE565" s="220"/>
      <c r="AF565" s="220"/>
      <c r="AG565" s="220"/>
      <c r="AH565" s="220"/>
      <c r="AI565" s="220"/>
      <c r="AJ565" s="220"/>
      <c r="AK565" s="220"/>
      <c r="AL565" s="220"/>
      <c r="AM565" s="220"/>
      <c r="AN565" s="220"/>
      <c r="AO565" s="220"/>
      <c r="AP565" s="220"/>
      <c r="AQ565" s="220"/>
      <c r="AR565" s="220"/>
      <c r="AS565" s="220"/>
      <c r="AT565" s="220"/>
      <c r="AU565" s="220"/>
      <c r="AV565" s="220"/>
      <c r="AW565" s="220"/>
      <c r="AX565" s="220"/>
      <c r="AY565" s="220"/>
      <c r="AZ565" s="220"/>
      <c r="BA565" s="220"/>
      <c r="BB565" s="220"/>
      <c r="BC565" s="220"/>
      <c r="BD565" s="220"/>
      <c r="BE565" s="220"/>
      <c r="BF565" s="220"/>
      <c r="BG565" s="220"/>
      <c r="BH565" s="220"/>
      <c r="BI565" s="220"/>
      <c r="BJ565" s="220"/>
      <c r="BK565" s="220"/>
      <c r="BL565" s="220"/>
      <c r="BM565" s="220"/>
      <c r="BN565" s="220"/>
      <c r="BO565" s="220"/>
      <c r="BP565" s="220"/>
      <c r="BQ565" s="220"/>
      <c r="BR565" s="220"/>
      <c r="BS565" s="220"/>
      <c r="BT565" s="220"/>
      <c r="BU565" s="220"/>
      <c r="BV565" s="220"/>
      <c r="BW565" s="220"/>
      <c r="BX565" s="220"/>
      <c r="BY565" s="220"/>
      <c r="BZ565" s="220"/>
      <c r="CA565" s="220"/>
      <c r="CB565" s="220"/>
      <c r="CC565" s="220"/>
      <c r="CD565" s="220"/>
      <c r="CE565" s="220"/>
      <c r="CF565" s="220"/>
      <c r="CG565" s="220"/>
      <c r="CH565" s="220"/>
      <c r="CI565" s="220"/>
      <c r="CJ565" s="220"/>
      <c r="CK565" s="220"/>
      <c r="CL565" s="220"/>
      <c r="CM565" s="220"/>
      <c r="CN565" s="220"/>
      <c r="CO565" s="220"/>
      <c r="CP565" s="220"/>
      <c r="CQ565" s="220"/>
      <c r="CR565" s="220"/>
      <c r="CS565" s="220"/>
      <c r="CT565" s="220"/>
      <c r="CU565" s="220"/>
      <c r="CV565" s="220"/>
      <c r="CW565" s="220"/>
      <c r="CX565" s="220"/>
      <c r="CY565" s="220"/>
      <c r="CZ565" s="220"/>
      <c r="DA565" s="220"/>
      <c r="DB565" s="220"/>
      <c r="DC565" s="220"/>
      <c r="DD565" s="220"/>
      <c r="DE565" s="220"/>
      <c r="DF565" s="220"/>
      <c r="DG565" s="220"/>
      <c r="DH565" s="220"/>
      <c r="DI565" s="220"/>
      <c r="DJ565" s="220"/>
      <c r="DK565" s="220"/>
      <c r="DL565" s="220"/>
      <c r="DM565" s="220"/>
      <c r="DN565" s="220"/>
      <c r="DO565" s="220"/>
      <c r="DP565" s="220"/>
      <c r="DQ565" s="220"/>
      <c r="DR565" s="220"/>
      <c r="DS565" s="220"/>
      <c r="DT565" s="220"/>
    </row>
    <row r="566" spans="2:124" ht="21.75" customHeight="1">
      <c r="B566" s="235" t="s">
        <v>374</v>
      </c>
      <c r="C566" s="236"/>
      <c r="D566" s="237"/>
      <c r="E566" s="69"/>
      <c r="F566" s="69"/>
      <c r="G566" s="69"/>
      <c r="H566" s="69"/>
      <c r="I566" s="69"/>
      <c r="J566" s="69"/>
      <c r="K566" s="69"/>
      <c r="L566" s="69"/>
      <c r="M566" s="69"/>
      <c r="N566" s="69"/>
      <c r="O566" s="69"/>
      <c r="P566" s="69"/>
      <c r="Q566" s="69"/>
      <c r="R566" s="69"/>
      <c r="S566" s="69"/>
      <c r="T566" s="69"/>
      <c r="U566" s="69"/>
      <c r="V566" s="69"/>
      <c r="W566" s="69"/>
      <c r="X566" s="69"/>
      <c r="Y566" s="69"/>
      <c r="Z566" s="69"/>
      <c r="AA566" s="69"/>
      <c r="AB566" s="69"/>
      <c r="AC566" s="69"/>
      <c r="AD566" s="69"/>
      <c r="AE566" s="69"/>
      <c r="AF566" s="69"/>
      <c r="AG566" s="69"/>
      <c r="AH566" s="69"/>
      <c r="AI566" s="69"/>
      <c r="AJ566" s="69"/>
      <c r="AK566" s="69"/>
      <c r="AL566" s="69"/>
      <c r="AM566" s="68"/>
      <c r="AN566" s="68"/>
      <c r="AO566" s="68"/>
      <c r="AP566" s="68"/>
      <c r="AQ566" s="68"/>
      <c r="AR566" s="68"/>
      <c r="AS566" s="68"/>
      <c r="AT566" s="68"/>
      <c r="AU566" s="68"/>
      <c r="AV566" s="68"/>
      <c r="AW566" s="68"/>
      <c r="AX566" s="68"/>
      <c r="AY566" s="68"/>
      <c r="AZ566" s="68"/>
      <c r="BA566" s="68"/>
      <c r="BB566" s="68"/>
      <c r="BC566" s="68"/>
      <c r="BD566" s="68"/>
      <c r="BE566" s="68"/>
      <c r="BF566" s="68"/>
      <c r="BG566" s="68"/>
      <c r="BH566" s="68"/>
      <c r="BI566" s="68"/>
      <c r="BJ566" s="68"/>
      <c r="BK566" s="68"/>
      <c r="BL566" s="68"/>
      <c r="BM566" s="68"/>
      <c r="BN566" s="68"/>
      <c r="BO566" s="68"/>
      <c r="BP566" s="68"/>
      <c r="BQ566" s="68"/>
      <c r="BR566" s="68"/>
      <c r="BS566" s="68"/>
      <c r="BT566" s="68"/>
      <c r="BU566" s="68"/>
      <c r="BV566" s="68"/>
      <c r="BW566" s="68"/>
      <c r="BX566" s="68"/>
      <c r="BY566" s="68"/>
      <c r="BZ566" s="68"/>
      <c r="CA566" s="68"/>
      <c r="CB566" s="68"/>
      <c r="CC566" s="68"/>
      <c r="CD566" s="68"/>
      <c r="CE566" s="68"/>
      <c r="CF566" s="68"/>
      <c r="CG566" s="68"/>
      <c r="CH566" s="68"/>
      <c r="CI566" s="68"/>
      <c r="CJ566" s="68"/>
      <c r="CK566" s="68"/>
      <c r="CL566" s="68"/>
      <c r="CM566" s="68"/>
      <c r="CN566" s="68"/>
      <c r="CO566" s="68"/>
      <c r="CP566" s="68"/>
      <c r="CQ566" s="68"/>
      <c r="CR566" s="68"/>
      <c r="CS566" s="68"/>
      <c r="CT566" s="68"/>
      <c r="CU566" s="68"/>
      <c r="CV566" s="68"/>
      <c r="CW566" s="68"/>
      <c r="CX566" s="68"/>
      <c r="CY566" s="68"/>
      <c r="CZ566" s="68"/>
      <c r="DA566" s="68"/>
      <c r="DB566" s="68"/>
      <c r="DC566" s="68"/>
      <c r="DD566" s="68"/>
      <c r="DE566" s="68"/>
      <c r="DF566" s="68"/>
      <c r="DG566" s="68"/>
      <c r="DH566" s="68"/>
      <c r="DI566" s="68"/>
      <c r="DJ566" s="68"/>
      <c r="DK566" s="68"/>
      <c r="DL566" s="68"/>
      <c r="DM566" s="68"/>
      <c r="DN566" s="68"/>
      <c r="DO566" s="68"/>
      <c r="DP566" s="68"/>
      <c r="DQ566" s="68"/>
      <c r="DR566" s="68"/>
      <c r="DS566" s="68"/>
      <c r="DT566" s="68"/>
    </row>
    <row r="567" spans="2:124" ht="21.75" customHeight="1">
      <c r="B567" s="232"/>
      <c r="C567" s="233"/>
      <c r="D567" s="234"/>
      <c r="E567" s="70"/>
      <c r="F567" s="70"/>
      <c r="G567" s="70"/>
      <c r="H567" s="70"/>
      <c r="I567" s="70"/>
      <c r="J567" s="70"/>
      <c r="K567" s="70"/>
      <c r="L567" s="70"/>
      <c r="M567" s="70"/>
      <c r="N567" s="70"/>
      <c r="O567" s="70"/>
      <c r="P567" s="70"/>
      <c r="Q567" s="70"/>
      <c r="R567" s="70"/>
      <c r="S567" s="70"/>
      <c r="T567" s="70"/>
      <c r="U567" s="70"/>
      <c r="V567" s="70"/>
      <c r="W567" s="70"/>
      <c r="X567" s="70"/>
      <c r="Y567" s="70"/>
      <c r="Z567" s="70"/>
      <c r="AA567" s="70"/>
      <c r="AB567" s="70"/>
      <c r="AC567" s="70"/>
      <c r="AD567" s="70"/>
      <c r="AE567" s="70"/>
      <c r="AF567" s="70"/>
      <c r="AG567" s="70"/>
      <c r="AH567" s="70"/>
      <c r="AI567" s="70"/>
      <c r="AJ567" s="70"/>
      <c r="AK567" s="70"/>
      <c r="AL567" s="70"/>
      <c r="AM567" s="65"/>
      <c r="AN567" s="65"/>
      <c r="AO567" s="65"/>
      <c r="AP567" s="65"/>
      <c r="AQ567" s="65"/>
      <c r="AR567" s="65"/>
      <c r="AS567" s="65"/>
      <c r="AT567" s="65"/>
      <c r="AU567" s="65"/>
      <c r="AV567" s="65"/>
      <c r="AW567" s="65"/>
      <c r="AX567" s="65"/>
      <c r="AY567" s="65"/>
      <c r="AZ567" s="65"/>
      <c r="BA567" s="65"/>
      <c r="BB567" s="65"/>
      <c r="BC567" s="65"/>
      <c r="BD567" s="65"/>
      <c r="BE567" s="65"/>
      <c r="BF567" s="65"/>
      <c r="BG567" s="65"/>
      <c r="BH567" s="65"/>
      <c r="BI567" s="65"/>
      <c r="BJ567" s="65"/>
      <c r="BK567" s="65"/>
      <c r="BL567" s="65"/>
      <c r="BM567" s="65"/>
      <c r="BN567" s="65"/>
      <c r="BO567" s="65"/>
      <c r="BP567" s="65"/>
      <c r="BQ567" s="65"/>
      <c r="BR567" s="65"/>
      <c r="BS567" s="65"/>
      <c r="BT567" s="65"/>
      <c r="BU567" s="65"/>
      <c r="BV567" s="65"/>
      <c r="BW567" s="65"/>
      <c r="BX567" s="65"/>
      <c r="BY567" s="65"/>
      <c r="BZ567" s="65"/>
      <c r="CA567" s="65"/>
      <c r="CB567" s="65"/>
      <c r="CC567" s="65"/>
      <c r="CD567" s="65"/>
      <c r="CE567" s="65"/>
      <c r="CF567" s="65"/>
      <c r="CG567" s="65"/>
      <c r="CH567" s="65"/>
      <c r="CI567" s="65"/>
      <c r="CJ567" s="65"/>
      <c r="CK567" s="65"/>
      <c r="CL567" s="65"/>
      <c r="CM567" s="65"/>
      <c r="CN567" s="65"/>
      <c r="CO567" s="65"/>
      <c r="CP567" s="65"/>
      <c r="CQ567" s="65"/>
      <c r="CR567" s="65"/>
      <c r="CS567" s="65"/>
      <c r="CT567" s="65"/>
      <c r="CU567" s="65"/>
      <c r="CV567" s="65"/>
      <c r="CW567" s="65"/>
      <c r="CX567" s="65"/>
      <c r="CY567" s="65"/>
      <c r="CZ567" s="65"/>
      <c r="DA567" s="65"/>
      <c r="DB567" s="65"/>
      <c r="DC567" s="65"/>
      <c r="DD567" s="65"/>
      <c r="DE567" s="65"/>
      <c r="DF567" s="65"/>
      <c r="DG567" s="65"/>
      <c r="DH567" s="65"/>
      <c r="DI567" s="65"/>
      <c r="DJ567" s="65"/>
      <c r="DK567" s="65"/>
      <c r="DL567" s="65"/>
      <c r="DM567" s="65"/>
      <c r="DN567" s="65"/>
      <c r="DO567" s="65"/>
      <c r="DP567" s="65"/>
      <c r="DQ567" s="65"/>
      <c r="DR567" s="65"/>
      <c r="DS567" s="65"/>
      <c r="DT567" s="65"/>
    </row>
    <row r="568" spans="2:124" ht="21.75" customHeight="1">
      <c r="B568" s="229" t="s">
        <v>381</v>
      </c>
      <c r="C568" s="230"/>
      <c r="D568" s="231"/>
      <c r="E568" s="69"/>
      <c r="F568" s="69"/>
      <c r="G568" s="69"/>
      <c r="H568" s="69"/>
      <c r="I568" s="69"/>
      <c r="J568" s="69"/>
      <c r="K568" s="69"/>
      <c r="L568" s="69"/>
      <c r="M568" s="69"/>
      <c r="N568" s="69"/>
      <c r="O568" s="69"/>
      <c r="P568" s="69"/>
      <c r="Q568" s="69"/>
      <c r="R568" s="69"/>
      <c r="S568" s="69"/>
      <c r="T568" s="69"/>
      <c r="U568" s="69"/>
      <c r="V568" s="69"/>
      <c r="W568" s="69"/>
      <c r="X568" s="69"/>
      <c r="Y568" s="69"/>
      <c r="Z568" s="69"/>
      <c r="AA568" s="69"/>
      <c r="AB568" s="69"/>
      <c r="AC568" s="69"/>
      <c r="AD568" s="69"/>
      <c r="AE568" s="69"/>
      <c r="AF568" s="69"/>
      <c r="AG568" s="69"/>
      <c r="AH568" s="69"/>
      <c r="AI568" s="69"/>
      <c r="AJ568" s="69"/>
      <c r="AK568" s="69"/>
      <c r="AL568" s="69"/>
      <c r="AM568" s="68"/>
      <c r="AN568" s="68"/>
      <c r="AO568" s="68"/>
      <c r="AP568" s="68"/>
      <c r="AQ568" s="68"/>
      <c r="AR568" s="68"/>
      <c r="AS568" s="68"/>
      <c r="AT568" s="68"/>
      <c r="AU568" s="68"/>
      <c r="AV568" s="68"/>
      <c r="AW568" s="68"/>
      <c r="AX568" s="68"/>
      <c r="AY568" s="68"/>
      <c r="AZ568" s="68"/>
      <c r="BA568" s="68"/>
      <c r="BB568" s="68"/>
      <c r="BC568" s="68"/>
      <c r="BD568" s="68"/>
      <c r="BE568" s="68"/>
      <c r="BF568" s="68"/>
      <c r="BG568" s="68"/>
      <c r="BH568" s="68"/>
      <c r="BI568" s="68"/>
      <c r="BJ568" s="68"/>
      <c r="BK568" s="68"/>
      <c r="BL568" s="68"/>
      <c r="BM568" s="68"/>
      <c r="BN568" s="68"/>
      <c r="BO568" s="68"/>
      <c r="BP568" s="68"/>
      <c r="BQ568" s="68"/>
      <c r="BR568" s="68"/>
      <c r="BS568" s="68"/>
      <c r="BT568" s="68"/>
      <c r="BU568" s="68"/>
      <c r="BV568" s="68"/>
      <c r="BW568" s="68"/>
      <c r="BX568" s="68"/>
      <c r="BY568" s="68"/>
      <c r="BZ568" s="68"/>
      <c r="CA568" s="68"/>
      <c r="CB568" s="68"/>
      <c r="CC568" s="68"/>
      <c r="CD568" s="68"/>
      <c r="CE568" s="68"/>
      <c r="CF568" s="68"/>
      <c r="CG568" s="68"/>
      <c r="CH568" s="68"/>
      <c r="CI568" s="68"/>
      <c r="CJ568" s="68"/>
      <c r="CK568" s="68"/>
      <c r="CL568" s="68"/>
      <c r="CM568" s="68"/>
      <c r="CN568" s="68"/>
      <c r="CO568" s="68"/>
      <c r="CP568" s="68"/>
      <c r="CQ568" s="68"/>
      <c r="CR568" s="68"/>
      <c r="CS568" s="68"/>
      <c r="CT568" s="68"/>
      <c r="CU568" s="68"/>
      <c r="CV568" s="68"/>
      <c r="CW568" s="68"/>
      <c r="CX568" s="68"/>
      <c r="CY568" s="68"/>
      <c r="CZ568" s="68"/>
      <c r="DA568" s="68"/>
      <c r="DB568" s="68"/>
      <c r="DC568" s="68"/>
      <c r="DD568" s="68"/>
      <c r="DE568" s="68"/>
      <c r="DF568" s="68"/>
      <c r="DG568" s="68"/>
      <c r="DH568" s="68"/>
      <c r="DI568" s="68"/>
      <c r="DJ568" s="68"/>
      <c r="DK568" s="68"/>
      <c r="DL568" s="68"/>
      <c r="DM568" s="68"/>
      <c r="DN568" s="68"/>
      <c r="DO568" s="68"/>
      <c r="DP568" s="68"/>
      <c r="DQ568" s="68"/>
      <c r="DR568" s="68"/>
      <c r="DS568" s="68"/>
      <c r="DT568" s="68"/>
    </row>
    <row r="569" spans="2:124" ht="21.75" customHeight="1">
      <c r="B569" s="232"/>
      <c r="C569" s="233"/>
      <c r="D569" s="234"/>
      <c r="E569" s="70"/>
      <c r="F569" s="70"/>
      <c r="G569" s="70"/>
      <c r="H569" s="70"/>
      <c r="I569" s="70"/>
      <c r="J569" s="70"/>
      <c r="K569" s="70"/>
      <c r="L569" s="70"/>
      <c r="M569" s="70"/>
      <c r="N569" s="70"/>
      <c r="O569" s="70"/>
      <c r="P569" s="70"/>
      <c r="Q569" s="70"/>
      <c r="R569" s="70"/>
      <c r="S569" s="70"/>
      <c r="T569" s="70"/>
      <c r="U569" s="70"/>
      <c r="V569" s="70"/>
      <c r="W569" s="70"/>
      <c r="X569" s="70"/>
      <c r="Y569" s="70"/>
      <c r="Z569" s="70"/>
      <c r="AA569" s="70"/>
      <c r="AB569" s="70"/>
      <c r="AC569" s="70"/>
      <c r="AD569" s="70"/>
      <c r="AE569" s="70"/>
      <c r="AF569" s="70"/>
      <c r="AG569" s="70"/>
      <c r="AH569" s="70"/>
      <c r="AI569" s="70"/>
      <c r="AJ569" s="70"/>
      <c r="AK569" s="70"/>
      <c r="AL569" s="70"/>
      <c r="AM569" s="65"/>
      <c r="AN569" s="65"/>
      <c r="AO569" s="65"/>
      <c r="AP569" s="65"/>
      <c r="AQ569" s="65"/>
      <c r="AR569" s="65"/>
      <c r="AS569" s="65"/>
      <c r="AT569" s="65"/>
      <c r="AU569" s="65"/>
      <c r="AV569" s="65"/>
      <c r="AW569" s="65"/>
      <c r="AX569" s="65"/>
      <c r="AY569" s="65"/>
      <c r="AZ569" s="65"/>
      <c r="BA569" s="65"/>
      <c r="BB569" s="65"/>
      <c r="BC569" s="65"/>
      <c r="BD569" s="65"/>
      <c r="BE569" s="65"/>
      <c r="BF569" s="65"/>
      <c r="BG569" s="65"/>
      <c r="BH569" s="65"/>
      <c r="BI569" s="65"/>
      <c r="BJ569" s="65"/>
      <c r="BK569" s="65"/>
      <c r="BL569" s="65"/>
      <c r="BM569" s="65"/>
      <c r="BN569" s="65"/>
      <c r="BO569" s="65"/>
      <c r="BP569" s="65"/>
      <c r="BQ569" s="65"/>
      <c r="BR569" s="65"/>
      <c r="BS569" s="65"/>
      <c r="BT569" s="65"/>
      <c r="BU569" s="65"/>
      <c r="BV569" s="65"/>
      <c r="BW569" s="65"/>
      <c r="BX569" s="65"/>
      <c r="BY569" s="65"/>
      <c r="BZ569" s="65"/>
      <c r="CA569" s="65"/>
      <c r="CB569" s="65"/>
      <c r="CC569" s="65"/>
      <c r="CD569" s="65"/>
      <c r="CE569" s="65"/>
      <c r="CF569" s="65"/>
      <c r="CG569" s="65"/>
      <c r="CH569" s="65"/>
      <c r="CI569" s="65"/>
      <c r="CJ569" s="65"/>
      <c r="CK569" s="65"/>
      <c r="CL569" s="65"/>
      <c r="CM569" s="65"/>
      <c r="CN569" s="65"/>
      <c r="CO569" s="65"/>
      <c r="CP569" s="65"/>
      <c r="CQ569" s="65"/>
      <c r="CR569" s="65"/>
      <c r="CS569" s="65"/>
      <c r="CT569" s="65"/>
      <c r="CU569" s="65"/>
      <c r="CV569" s="65"/>
      <c r="CW569" s="65"/>
      <c r="CX569" s="65"/>
      <c r="CY569" s="65"/>
      <c r="CZ569" s="65"/>
      <c r="DA569" s="65"/>
      <c r="DB569" s="65"/>
      <c r="DC569" s="65"/>
      <c r="DD569" s="65"/>
      <c r="DE569" s="65"/>
      <c r="DF569" s="65"/>
      <c r="DG569" s="65"/>
      <c r="DH569" s="65"/>
      <c r="DI569" s="65"/>
      <c r="DJ569" s="65"/>
      <c r="DK569" s="65"/>
      <c r="DL569" s="65"/>
      <c r="DM569" s="65"/>
      <c r="DN569" s="65"/>
      <c r="DO569" s="65"/>
      <c r="DP569" s="65"/>
      <c r="DQ569" s="65"/>
      <c r="DR569" s="65"/>
      <c r="DS569" s="65"/>
      <c r="DT569" s="65"/>
    </row>
    <row r="570" spans="2:124" ht="21.75" customHeight="1">
      <c r="B570" s="229" t="s">
        <v>451</v>
      </c>
      <c r="C570" s="230"/>
      <c r="D570" s="231"/>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c r="AA570" s="113"/>
      <c r="AB570" s="113"/>
      <c r="AC570" s="113"/>
      <c r="AD570" s="113"/>
      <c r="AE570" s="113"/>
      <c r="AF570" s="113"/>
      <c r="AG570" s="113"/>
      <c r="AH570" s="113"/>
      <c r="AI570" s="113"/>
      <c r="AJ570" s="113"/>
      <c r="AK570" s="113"/>
      <c r="AL570" s="113"/>
      <c r="AM570" s="114"/>
      <c r="AN570" s="114"/>
      <c r="AO570" s="114"/>
      <c r="AP570" s="114"/>
      <c r="AQ570" s="114"/>
      <c r="AR570" s="114"/>
      <c r="AS570" s="114"/>
      <c r="AT570" s="114"/>
      <c r="AU570" s="114"/>
      <c r="AV570" s="114"/>
      <c r="AW570" s="114"/>
      <c r="AX570" s="114"/>
      <c r="AY570" s="114"/>
      <c r="AZ570" s="114"/>
      <c r="BA570" s="114"/>
      <c r="BB570" s="114"/>
      <c r="BC570" s="114"/>
      <c r="BD570" s="114"/>
      <c r="BE570" s="114"/>
      <c r="BF570" s="114"/>
      <c r="BG570" s="114"/>
      <c r="BH570" s="114"/>
      <c r="BI570" s="114"/>
      <c r="BJ570" s="114"/>
      <c r="BK570" s="114"/>
      <c r="BL570" s="114"/>
      <c r="BM570" s="114"/>
      <c r="BN570" s="114"/>
      <c r="BO570" s="114"/>
      <c r="BP570" s="114"/>
      <c r="BQ570" s="114"/>
      <c r="BR570" s="114"/>
      <c r="BS570" s="114"/>
      <c r="BT570" s="114"/>
      <c r="BU570" s="114"/>
      <c r="BV570" s="114"/>
      <c r="BW570" s="114"/>
      <c r="BX570" s="114"/>
      <c r="BY570" s="114"/>
      <c r="BZ570" s="114"/>
      <c r="CA570" s="114"/>
      <c r="CB570" s="114"/>
      <c r="CC570" s="114"/>
      <c r="CD570" s="114"/>
      <c r="CE570" s="114"/>
      <c r="CF570" s="114"/>
      <c r="CG570" s="114"/>
      <c r="CH570" s="114"/>
      <c r="CI570" s="114"/>
      <c r="CJ570" s="114"/>
      <c r="CK570" s="114"/>
      <c r="CL570" s="114"/>
      <c r="CM570" s="114"/>
      <c r="CN570" s="114"/>
      <c r="CO570" s="114"/>
      <c r="CP570" s="114"/>
      <c r="CQ570" s="114"/>
      <c r="CR570" s="114"/>
      <c r="CS570" s="114"/>
      <c r="CT570" s="114"/>
      <c r="CU570" s="114"/>
      <c r="CV570" s="114"/>
      <c r="CW570" s="114"/>
      <c r="CX570" s="114"/>
      <c r="CY570" s="114"/>
      <c r="CZ570" s="114"/>
      <c r="DA570" s="114"/>
      <c r="DB570" s="114"/>
      <c r="DC570" s="114"/>
      <c r="DD570" s="114"/>
      <c r="DE570" s="114"/>
      <c r="DF570" s="114"/>
      <c r="DG570" s="114"/>
      <c r="DH570" s="114"/>
      <c r="DI570" s="114"/>
      <c r="DJ570" s="114"/>
      <c r="DK570" s="114"/>
      <c r="DL570" s="114"/>
      <c r="DM570" s="114"/>
      <c r="DN570" s="114"/>
      <c r="DO570" s="114"/>
      <c r="DP570" s="114"/>
      <c r="DQ570" s="114"/>
      <c r="DR570" s="114"/>
      <c r="DS570" s="114"/>
      <c r="DT570" s="114"/>
    </row>
    <row r="571" spans="2:124" ht="21.75" customHeight="1">
      <c r="B571" s="232"/>
      <c r="C571" s="233"/>
      <c r="D571" s="234"/>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c r="AA571" s="113"/>
      <c r="AB571" s="113"/>
      <c r="AC571" s="113"/>
      <c r="AD571" s="113"/>
      <c r="AE571" s="113"/>
      <c r="AF571" s="113"/>
      <c r="AG571" s="113"/>
      <c r="AH571" s="113"/>
      <c r="AI571" s="113"/>
      <c r="AJ571" s="113"/>
      <c r="AK571" s="113"/>
      <c r="AL571" s="113"/>
      <c r="AM571" s="114"/>
      <c r="AN571" s="114"/>
      <c r="AO571" s="114"/>
      <c r="AP571" s="114"/>
      <c r="AQ571" s="114"/>
      <c r="AR571" s="114"/>
      <c r="AS571" s="114"/>
      <c r="AT571" s="114"/>
      <c r="AU571" s="114"/>
      <c r="AV571" s="114"/>
      <c r="AW571" s="114"/>
      <c r="AX571" s="114"/>
      <c r="AY571" s="114"/>
      <c r="AZ571" s="114"/>
      <c r="BA571" s="114"/>
      <c r="BB571" s="114"/>
      <c r="BC571" s="114"/>
      <c r="BD571" s="114"/>
      <c r="BE571" s="114"/>
      <c r="BF571" s="114"/>
      <c r="BG571" s="114"/>
      <c r="BH571" s="114"/>
      <c r="BI571" s="114"/>
      <c r="BJ571" s="114"/>
      <c r="BK571" s="114"/>
      <c r="BL571" s="114"/>
      <c r="BM571" s="114"/>
      <c r="BN571" s="114"/>
      <c r="BO571" s="114"/>
      <c r="BP571" s="114"/>
      <c r="BQ571" s="114"/>
      <c r="BR571" s="114"/>
      <c r="BS571" s="114"/>
      <c r="BT571" s="114"/>
      <c r="BU571" s="114"/>
      <c r="BV571" s="114"/>
      <c r="BW571" s="114"/>
      <c r="BX571" s="114"/>
      <c r="BY571" s="114"/>
      <c r="BZ571" s="114"/>
      <c r="CA571" s="114"/>
      <c r="CB571" s="114"/>
      <c r="CC571" s="114"/>
      <c r="CD571" s="114"/>
      <c r="CE571" s="114"/>
      <c r="CF571" s="114"/>
      <c r="CG571" s="114"/>
      <c r="CH571" s="114"/>
      <c r="CI571" s="114"/>
      <c r="CJ571" s="114"/>
      <c r="CK571" s="114"/>
      <c r="CL571" s="114"/>
      <c r="CM571" s="114"/>
      <c r="CN571" s="114"/>
      <c r="CO571" s="114"/>
      <c r="CP571" s="114"/>
      <c r="CQ571" s="114"/>
      <c r="CR571" s="114"/>
      <c r="CS571" s="114"/>
      <c r="CT571" s="114"/>
      <c r="CU571" s="114"/>
      <c r="CV571" s="114"/>
      <c r="CW571" s="114"/>
      <c r="CX571" s="114"/>
      <c r="CY571" s="114"/>
      <c r="CZ571" s="114"/>
      <c r="DA571" s="114"/>
      <c r="DB571" s="114"/>
      <c r="DC571" s="114"/>
      <c r="DD571" s="114"/>
      <c r="DE571" s="114"/>
      <c r="DF571" s="114"/>
      <c r="DG571" s="114"/>
      <c r="DH571" s="114"/>
      <c r="DI571" s="114"/>
      <c r="DJ571" s="114"/>
      <c r="DK571" s="114"/>
      <c r="DL571" s="114"/>
      <c r="DM571" s="114"/>
      <c r="DN571" s="114"/>
      <c r="DO571" s="114"/>
      <c r="DP571" s="114"/>
      <c r="DQ571" s="114"/>
      <c r="DR571" s="114"/>
      <c r="DS571" s="114"/>
      <c r="DT571" s="114"/>
    </row>
    <row r="572" spans="2:124" ht="21.75" customHeight="1">
      <c r="B572" s="229" t="s">
        <v>26</v>
      </c>
      <c r="C572" s="230"/>
      <c r="D572" s="231"/>
      <c r="E572" s="69"/>
      <c r="F572" s="69"/>
      <c r="G572" s="69"/>
      <c r="H572" s="69"/>
      <c r="I572" s="69"/>
      <c r="J572" s="69"/>
      <c r="K572" s="69"/>
      <c r="L572" s="69"/>
      <c r="M572" s="69"/>
      <c r="N572" s="69"/>
      <c r="O572" s="69"/>
      <c r="P572" s="69"/>
      <c r="Q572" s="69"/>
      <c r="R572" s="69"/>
      <c r="S572" s="69"/>
      <c r="T572" s="69"/>
      <c r="U572" s="69"/>
      <c r="V572" s="69"/>
      <c r="W572" s="69"/>
      <c r="X572" s="69"/>
      <c r="Y572" s="69"/>
      <c r="Z572" s="69"/>
      <c r="AA572" s="69"/>
      <c r="AB572" s="69"/>
      <c r="AC572" s="69"/>
      <c r="AD572" s="69"/>
      <c r="AE572" s="69"/>
      <c r="AF572" s="69"/>
      <c r="AG572" s="69"/>
      <c r="AH572" s="69"/>
      <c r="AI572" s="69"/>
      <c r="AJ572" s="69"/>
      <c r="AK572" s="69"/>
      <c r="AL572" s="69"/>
      <c r="AM572" s="68"/>
      <c r="AN572" s="68"/>
      <c r="AO572" s="68"/>
      <c r="AP572" s="68"/>
      <c r="AQ572" s="68"/>
      <c r="AR572" s="68"/>
      <c r="AS572" s="68"/>
      <c r="AT572" s="68"/>
      <c r="AU572" s="68"/>
      <c r="AV572" s="68"/>
      <c r="AW572" s="68"/>
      <c r="AX572" s="68"/>
      <c r="AY572" s="68"/>
      <c r="AZ572" s="68"/>
      <c r="BA572" s="68"/>
      <c r="BB572" s="68"/>
      <c r="BC572" s="68"/>
      <c r="BD572" s="68"/>
      <c r="BE572" s="68"/>
      <c r="BF572" s="68"/>
      <c r="BG572" s="68"/>
      <c r="BH572" s="68"/>
      <c r="BI572" s="68"/>
      <c r="BJ572" s="68"/>
      <c r="BK572" s="68"/>
      <c r="BL572" s="68"/>
      <c r="BM572" s="68"/>
      <c r="BN572" s="68"/>
      <c r="BO572" s="68"/>
      <c r="BP572" s="68"/>
      <c r="BQ572" s="68"/>
      <c r="BR572" s="68"/>
      <c r="BS572" s="68"/>
      <c r="BT572" s="68"/>
      <c r="BU572" s="68"/>
      <c r="BV572" s="68"/>
      <c r="BW572" s="68"/>
      <c r="BX572" s="68"/>
      <c r="BY572" s="68"/>
      <c r="BZ572" s="68"/>
      <c r="CA572" s="68"/>
      <c r="CB572" s="68"/>
      <c r="CC572" s="68"/>
      <c r="CD572" s="68"/>
      <c r="CE572" s="68"/>
      <c r="CF572" s="68"/>
      <c r="CG572" s="68"/>
      <c r="CH572" s="68"/>
      <c r="CI572" s="68"/>
      <c r="CJ572" s="68"/>
      <c r="CK572" s="68"/>
      <c r="CL572" s="68"/>
      <c r="CM572" s="68"/>
      <c r="CN572" s="68"/>
      <c r="CO572" s="68"/>
      <c r="CP572" s="68"/>
      <c r="CQ572" s="68"/>
      <c r="CR572" s="68"/>
      <c r="CS572" s="68"/>
      <c r="CT572" s="68"/>
      <c r="CU572" s="68"/>
      <c r="CV572" s="68"/>
      <c r="CW572" s="68"/>
      <c r="CX572" s="68"/>
      <c r="CY572" s="68"/>
      <c r="CZ572" s="68"/>
      <c r="DA572" s="68"/>
      <c r="DB572" s="68"/>
      <c r="DC572" s="68"/>
      <c r="DD572" s="68"/>
      <c r="DE572" s="68"/>
      <c r="DF572" s="68"/>
      <c r="DG572" s="68"/>
      <c r="DH572" s="68"/>
      <c r="DI572" s="68"/>
      <c r="DJ572" s="68"/>
      <c r="DK572" s="68"/>
      <c r="DL572" s="68"/>
      <c r="DM572" s="68"/>
      <c r="DN572" s="68"/>
      <c r="DO572" s="68"/>
      <c r="DP572" s="68"/>
      <c r="DQ572" s="68"/>
      <c r="DR572" s="68"/>
      <c r="DS572" s="68"/>
      <c r="DT572" s="68"/>
    </row>
    <row r="573" spans="2:124" ht="21.75" customHeight="1">
      <c r="B573" s="232"/>
      <c r="C573" s="233"/>
      <c r="D573" s="234"/>
      <c r="E573" s="70"/>
      <c r="F573" s="70"/>
      <c r="G573" s="70"/>
      <c r="H573" s="70"/>
      <c r="I573" s="70"/>
      <c r="J573" s="70"/>
      <c r="K573" s="70"/>
      <c r="L573" s="70"/>
      <c r="M573" s="70"/>
      <c r="N573" s="70"/>
      <c r="O573" s="70"/>
      <c r="P573" s="70"/>
      <c r="Q573" s="70"/>
      <c r="R573" s="70"/>
      <c r="S573" s="70"/>
      <c r="T573" s="70"/>
      <c r="U573" s="70"/>
      <c r="V573" s="70"/>
      <c r="W573" s="70"/>
      <c r="X573" s="70"/>
      <c r="Y573" s="70"/>
      <c r="Z573" s="70"/>
      <c r="AA573" s="70"/>
      <c r="AB573" s="70"/>
      <c r="AC573" s="70"/>
      <c r="AD573" s="70"/>
      <c r="AE573" s="70"/>
      <c r="AF573" s="70"/>
      <c r="AG573" s="70"/>
      <c r="AH573" s="70"/>
      <c r="AI573" s="70"/>
      <c r="AJ573" s="70"/>
      <c r="AK573" s="70"/>
      <c r="AL573" s="70"/>
      <c r="AM573" s="65"/>
      <c r="AN573" s="65"/>
      <c r="AO573" s="65"/>
      <c r="AP573" s="65"/>
      <c r="AQ573" s="65"/>
      <c r="AR573" s="65"/>
      <c r="AS573" s="65"/>
      <c r="AT573" s="65"/>
      <c r="AU573" s="65"/>
      <c r="AV573" s="65"/>
      <c r="AW573" s="65"/>
      <c r="AX573" s="65"/>
      <c r="AY573" s="65"/>
      <c r="AZ573" s="65"/>
      <c r="BA573" s="65"/>
      <c r="BB573" s="65"/>
      <c r="BC573" s="65"/>
      <c r="BD573" s="65"/>
      <c r="BE573" s="65"/>
      <c r="BF573" s="65"/>
      <c r="BG573" s="65"/>
      <c r="BH573" s="65"/>
      <c r="BI573" s="65"/>
      <c r="BJ573" s="65"/>
      <c r="BK573" s="65"/>
      <c r="BL573" s="65"/>
      <c r="BM573" s="65"/>
      <c r="BN573" s="65"/>
      <c r="BO573" s="65"/>
      <c r="BP573" s="65"/>
      <c r="BQ573" s="65"/>
      <c r="BR573" s="65"/>
      <c r="BS573" s="65"/>
      <c r="BT573" s="65"/>
      <c r="BU573" s="65"/>
      <c r="BV573" s="65"/>
      <c r="BW573" s="65"/>
      <c r="BX573" s="65"/>
      <c r="BY573" s="65"/>
      <c r="BZ573" s="65"/>
      <c r="CA573" s="65"/>
      <c r="CB573" s="65"/>
      <c r="CC573" s="65"/>
      <c r="CD573" s="65"/>
      <c r="CE573" s="65"/>
      <c r="CF573" s="65"/>
      <c r="CG573" s="65"/>
      <c r="CH573" s="65"/>
      <c r="CI573" s="65"/>
      <c r="CJ573" s="65"/>
      <c r="CK573" s="65"/>
      <c r="CL573" s="65"/>
      <c r="CM573" s="65"/>
      <c r="CN573" s="65"/>
      <c r="CO573" s="65"/>
      <c r="CP573" s="65"/>
      <c r="CQ573" s="65"/>
      <c r="CR573" s="65"/>
      <c r="CS573" s="65"/>
      <c r="CT573" s="65"/>
      <c r="CU573" s="65"/>
      <c r="CV573" s="65"/>
      <c r="CW573" s="65"/>
      <c r="CX573" s="65"/>
      <c r="CY573" s="65"/>
      <c r="CZ573" s="65"/>
      <c r="DA573" s="65"/>
      <c r="DB573" s="65"/>
      <c r="DC573" s="65"/>
      <c r="DD573" s="65"/>
      <c r="DE573" s="65"/>
      <c r="DF573" s="65"/>
      <c r="DG573" s="65"/>
      <c r="DH573" s="65"/>
      <c r="DI573" s="65"/>
      <c r="DJ573" s="65"/>
      <c r="DK573" s="65"/>
      <c r="DL573" s="65"/>
      <c r="DM573" s="65"/>
      <c r="DN573" s="65"/>
      <c r="DO573" s="65"/>
      <c r="DP573" s="65"/>
      <c r="DQ573" s="65"/>
      <c r="DR573" s="65"/>
      <c r="DS573" s="65"/>
      <c r="DT573" s="65"/>
    </row>
    <row r="574" spans="2:124" ht="21.75" customHeight="1">
      <c r="B574" s="229" t="s">
        <v>46</v>
      </c>
      <c r="C574" s="230"/>
      <c r="D574" s="231"/>
      <c r="E574" s="69"/>
      <c r="F574" s="69"/>
      <c r="G574" s="69"/>
      <c r="H574" s="69"/>
      <c r="I574" s="69"/>
      <c r="J574" s="69"/>
      <c r="K574" s="69"/>
      <c r="L574" s="69"/>
      <c r="M574" s="69"/>
      <c r="N574" s="69"/>
      <c r="O574" s="69"/>
      <c r="P574" s="69"/>
      <c r="Q574" s="69"/>
      <c r="R574" s="69"/>
      <c r="S574" s="69"/>
      <c r="T574" s="69"/>
      <c r="U574" s="69"/>
      <c r="V574" s="69"/>
      <c r="W574" s="69"/>
      <c r="X574" s="69"/>
      <c r="Y574" s="69"/>
      <c r="Z574" s="69"/>
      <c r="AA574" s="69"/>
      <c r="AB574" s="69"/>
      <c r="AC574" s="69"/>
      <c r="AD574" s="69"/>
      <c r="AE574" s="69"/>
      <c r="AF574" s="69"/>
      <c r="AG574" s="69"/>
      <c r="AH574" s="69"/>
      <c r="AI574" s="69"/>
      <c r="AJ574" s="69"/>
      <c r="AK574" s="69"/>
      <c r="AL574" s="69"/>
      <c r="AM574" s="68"/>
      <c r="AN574" s="68"/>
      <c r="AO574" s="68"/>
      <c r="AP574" s="68"/>
      <c r="AQ574" s="68"/>
      <c r="AR574" s="68"/>
      <c r="AS574" s="68"/>
      <c r="AT574" s="68"/>
      <c r="AU574" s="68"/>
      <c r="AV574" s="68"/>
      <c r="AW574" s="68"/>
      <c r="AX574" s="68"/>
      <c r="AY574" s="68"/>
      <c r="AZ574" s="68"/>
      <c r="BA574" s="68"/>
      <c r="BB574" s="68"/>
      <c r="BC574" s="68"/>
      <c r="BD574" s="68"/>
      <c r="BE574" s="68"/>
      <c r="BF574" s="68"/>
      <c r="BG574" s="68"/>
      <c r="BH574" s="68"/>
      <c r="BI574" s="68"/>
      <c r="BJ574" s="68"/>
      <c r="BK574" s="68"/>
      <c r="BL574" s="68"/>
      <c r="BM574" s="68"/>
      <c r="BN574" s="68"/>
      <c r="BO574" s="68"/>
      <c r="BP574" s="68"/>
      <c r="BQ574" s="68"/>
      <c r="BR574" s="68"/>
      <c r="BS574" s="68"/>
      <c r="BT574" s="68"/>
      <c r="BU574" s="68"/>
      <c r="BV574" s="68"/>
      <c r="BW574" s="68"/>
      <c r="BX574" s="68"/>
      <c r="BY574" s="68"/>
      <c r="BZ574" s="68"/>
      <c r="CA574" s="68"/>
      <c r="CB574" s="68"/>
      <c r="CC574" s="68"/>
      <c r="CD574" s="68"/>
      <c r="CE574" s="68"/>
      <c r="CF574" s="68"/>
      <c r="CG574" s="68"/>
      <c r="CH574" s="68"/>
      <c r="CI574" s="68"/>
      <c r="CJ574" s="68"/>
      <c r="CK574" s="68"/>
      <c r="CL574" s="68"/>
      <c r="CM574" s="68"/>
      <c r="CN574" s="68"/>
      <c r="CO574" s="68"/>
      <c r="CP574" s="68"/>
      <c r="CQ574" s="68"/>
      <c r="CR574" s="68"/>
      <c r="CS574" s="68"/>
      <c r="CT574" s="68"/>
      <c r="CU574" s="68"/>
      <c r="CV574" s="68"/>
      <c r="CW574" s="68"/>
      <c r="CX574" s="68"/>
      <c r="CY574" s="68"/>
      <c r="CZ574" s="68"/>
      <c r="DA574" s="68"/>
      <c r="DB574" s="68"/>
      <c r="DC574" s="68"/>
      <c r="DD574" s="68"/>
      <c r="DE574" s="68"/>
      <c r="DF574" s="68"/>
      <c r="DG574" s="68"/>
      <c r="DH574" s="68"/>
      <c r="DI574" s="68"/>
      <c r="DJ574" s="68"/>
      <c r="DK574" s="68"/>
      <c r="DL574" s="68"/>
      <c r="DM574" s="68"/>
      <c r="DN574" s="68"/>
      <c r="DO574" s="68"/>
      <c r="DP574" s="68"/>
      <c r="DQ574" s="68"/>
      <c r="DR574" s="68"/>
      <c r="DS574" s="68"/>
      <c r="DT574" s="68"/>
    </row>
    <row r="575" spans="2:124" ht="21.75" customHeight="1">
      <c r="B575" s="232"/>
      <c r="C575" s="233"/>
      <c r="D575" s="234"/>
      <c r="E575" s="70"/>
      <c r="F575" s="70"/>
      <c r="G575" s="70"/>
      <c r="H575" s="70"/>
      <c r="I575" s="70"/>
      <c r="J575" s="70"/>
      <c r="K575" s="70"/>
      <c r="L575" s="70"/>
      <c r="M575" s="70"/>
      <c r="N575" s="70"/>
      <c r="O575" s="70"/>
      <c r="P575" s="70"/>
      <c r="Q575" s="70"/>
      <c r="R575" s="70"/>
      <c r="S575" s="70"/>
      <c r="T575" s="70"/>
      <c r="U575" s="70"/>
      <c r="V575" s="70"/>
      <c r="W575" s="70"/>
      <c r="X575" s="70"/>
      <c r="Y575" s="70"/>
      <c r="Z575" s="70"/>
      <c r="AA575" s="70"/>
      <c r="AB575" s="70"/>
      <c r="AC575" s="70"/>
      <c r="AD575" s="70"/>
      <c r="AE575" s="70"/>
      <c r="AF575" s="70"/>
      <c r="AG575" s="70"/>
      <c r="AH575" s="70"/>
      <c r="AI575" s="70"/>
      <c r="AJ575" s="70"/>
      <c r="AK575" s="70"/>
      <c r="AL575" s="70"/>
      <c r="AM575" s="65"/>
      <c r="AN575" s="65"/>
      <c r="AO575" s="65"/>
      <c r="AP575" s="65"/>
      <c r="AQ575" s="65"/>
      <c r="AR575" s="65"/>
      <c r="AS575" s="65"/>
      <c r="AT575" s="65"/>
      <c r="AU575" s="65"/>
      <c r="AV575" s="65"/>
      <c r="AW575" s="65"/>
      <c r="AX575" s="65"/>
      <c r="AY575" s="65"/>
      <c r="AZ575" s="65"/>
      <c r="BA575" s="65"/>
      <c r="BB575" s="65"/>
      <c r="BC575" s="65"/>
      <c r="BD575" s="65"/>
      <c r="BE575" s="65"/>
      <c r="BF575" s="65"/>
      <c r="BG575" s="65"/>
      <c r="BH575" s="65"/>
      <c r="BI575" s="65"/>
      <c r="BJ575" s="65"/>
      <c r="BK575" s="65"/>
      <c r="BL575" s="65"/>
      <c r="BM575" s="65"/>
      <c r="BN575" s="65"/>
      <c r="BO575" s="65"/>
      <c r="BP575" s="65"/>
      <c r="BQ575" s="65"/>
      <c r="BR575" s="65"/>
      <c r="BS575" s="65"/>
      <c r="BT575" s="65"/>
      <c r="BU575" s="65"/>
      <c r="BV575" s="65"/>
      <c r="BW575" s="65"/>
      <c r="BX575" s="65"/>
      <c r="BY575" s="65"/>
      <c r="BZ575" s="65"/>
      <c r="CA575" s="65"/>
      <c r="CB575" s="65"/>
      <c r="CC575" s="65"/>
      <c r="CD575" s="65"/>
      <c r="CE575" s="65"/>
      <c r="CF575" s="65"/>
      <c r="CG575" s="65"/>
      <c r="CH575" s="65"/>
      <c r="CI575" s="65"/>
      <c r="CJ575" s="65"/>
      <c r="CK575" s="65"/>
      <c r="CL575" s="65"/>
      <c r="CM575" s="65"/>
      <c r="CN575" s="65"/>
      <c r="CO575" s="65"/>
      <c r="CP575" s="65"/>
      <c r="CQ575" s="65"/>
      <c r="CR575" s="65"/>
      <c r="CS575" s="65"/>
      <c r="CT575" s="65"/>
      <c r="CU575" s="65"/>
      <c r="CV575" s="65"/>
      <c r="CW575" s="65"/>
      <c r="CX575" s="65"/>
      <c r="CY575" s="65"/>
      <c r="CZ575" s="65"/>
      <c r="DA575" s="65"/>
      <c r="DB575" s="65"/>
      <c r="DC575" s="65"/>
      <c r="DD575" s="65"/>
      <c r="DE575" s="65"/>
      <c r="DF575" s="65"/>
      <c r="DG575" s="65"/>
      <c r="DH575" s="65"/>
      <c r="DI575" s="65"/>
      <c r="DJ575" s="65"/>
      <c r="DK575" s="65"/>
      <c r="DL575" s="65"/>
      <c r="DM575" s="65"/>
      <c r="DN575" s="65"/>
      <c r="DO575" s="65"/>
      <c r="DP575" s="65"/>
      <c r="DQ575" s="65"/>
      <c r="DR575" s="65"/>
      <c r="DS575" s="65"/>
      <c r="DT575" s="65"/>
    </row>
    <row r="576" spans="2:124" ht="21.75" customHeight="1">
      <c r="B576" s="229" t="s">
        <v>50</v>
      </c>
      <c r="C576" s="230"/>
      <c r="D576" s="231"/>
      <c r="E576" s="69"/>
      <c r="F576" s="69"/>
      <c r="G576" s="69"/>
      <c r="H576" s="69"/>
      <c r="I576" s="69"/>
      <c r="J576" s="69"/>
      <c r="K576" s="69"/>
      <c r="L576" s="69"/>
      <c r="M576" s="69"/>
      <c r="N576" s="69"/>
      <c r="O576" s="69"/>
      <c r="P576" s="69"/>
      <c r="Q576" s="69"/>
      <c r="R576" s="69"/>
      <c r="S576" s="69"/>
      <c r="T576" s="69"/>
      <c r="U576" s="69"/>
      <c r="V576" s="69"/>
      <c r="W576" s="69"/>
      <c r="X576" s="69"/>
      <c r="Y576" s="69"/>
      <c r="Z576" s="69"/>
      <c r="AA576" s="69"/>
      <c r="AB576" s="69"/>
      <c r="AC576" s="69"/>
      <c r="AD576" s="69"/>
      <c r="AE576" s="69"/>
      <c r="AF576" s="69"/>
      <c r="AG576" s="69"/>
      <c r="AH576" s="69"/>
      <c r="AI576" s="69"/>
      <c r="AJ576" s="69"/>
      <c r="AK576" s="69"/>
      <c r="AL576" s="69"/>
      <c r="AM576" s="68"/>
      <c r="AN576" s="68"/>
      <c r="AO576" s="68"/>
      <c r="AP576" s="68"/>
      <c r="AQ576" s="68"/>
      <c r="AR576" s="68"/>
      <c r="AS576" s="68"/>
      <c r="AT576" s="68"/>
      <c r="AU576" s="68"/>
      <c r="AV576" s="68"/>
      <c r="AW576" s="68"/>
      <c r="AX576" s="68"/>
      <c r="AY576" s="68"/>
      <c r="AZ576" s="68"/>
      <c r="BA576" s="68"/>
      <c r="BB576" s="68"/>
      <c r="BC576" s="68"/>
      <c r="BD576" s="68"/>
      <c r="BE576" s="68"/>
      <c r="BF576" s="68"/>
      <c r="BG576" s="68"/>
      <c r="BH576" s="68"/>
      <c r="BI576" s="68"/>
      <c r="BJ576" s="68"/>
      <c r="BK576" s="68"/>
      <c r="BL576" s="68"/>
      <c r="BM576" s="68"/>
      <c r="BN576" s="68"/>
      <c r="BO576" s="68"/>
      <c r="BP576" s="68"/>
      <c r="BQ576" s="68"/>
      <c r="BR576" s="68"/>
      <c r="BS576" s="68"/>
      <c r="BT576" s="68"/>
      <c r="BU576" s="68"/>
      <c r="BV576" s="68"/>
      <c r="BW576" s="68"/>
      <c r="BX576" s="68"/>
      <c r="BY576" s="68"/>
      <c r="BZ576" s="68"/>
      <c r="CA576" s="68"/>
      <c r="CB576" s="68"/>
      <c r="CC576" s="68"/>
      <c r="CD576" s="68"/>
      <c r="CE576" s="68"/>
      <c r="CF576" s="68"/>
      <c r="CG576" s="68"/>
      <c r="CH576" s="68"/>
      <c r="CI576" s="68"/>
      <c r="CJ576" s="68"/>
      <c r="CK576" s="68"/>
      <c r="CL576" s="68"/>
      <c r="CM576" s="68"/>
      <c r="CN576" s="68"/>
      <c r="CO576" s="68"/>
      <c r="CP576" s="68"/>
      <c r="CQ576" s="68"/>
      <c r="CR576" s="68"/>
      <c r="CS576" s="68"/>
      <c r="CT576" s="68"/>
      <c r="CU576" s="68"/>
      <c r="CV576" s="68"/>
      <c r="CW576" s="68"/>
      <c r="CX576" s="68"/>
      <c r="CY576" s="68"/>
      <c r="CZ576" s="68"/>
      <c r="DA576" s="68"/>
      <c r="DB576" s="68"/>
      <c r="DC576" s="68"/>
      <c r="DD576" s="68"/>
      <c r="DE576" s="68"/>
      <c r="DF576" s="68"/>
      <c r="DG576" s="68"/>
      <c r="DH576" s="68"/>
      <c r="DI576" s="68"/>
      <c r="DJ576" s="68"/>
      <c r="DK576" s="68"/>
      <c r="DL576" s="68"/>
      <c r="DM576" s="68"/>
      <c r="DN576" s="68"/>
      <c r="DO576" s="68"/>
      <c r="DP576" s="68"/>
      <c r="DQ576" s="68"/>
      <c r="DR576" s="68"/>
      <c r="DS576" s="68"/>
      <c r="DT576" s="68"/>
    </row>
    <row r="577" spans="2:124" ht="21.75" customHeight="1">
      <c r="B577" s="232"/>
      <c r="C577" s="233"/>
      <c r="D577" s="234"/>
      <c r="E577" s="70"/>
      <c r="F577" s="70"/>
      <c r="G577" s="70"/>
      <c r="H577" s="70"/>
      <c r="I577" s="70"/>
      <c r="J577" s="70"/>
      <c r="K577" s="70"/>
      <c r="L577" s="70"/>
      <c r="M577" s="70"/>
      <c r="N577" s="70"/>
      <c r="O577" s="70"/>
      <c r="P577" s="70"/>
      <c r="Q577" s="70"/>
      <c r="R577" s="70"/>
      <c r="S577" s="70"/>
      <c r="T577" s="70"/>
      <c r="U577" s="70"/>
      <c r="V577" s="70"/>
      <c r="W577" s="70"/>
      <c r="X577" s="70"/>
      <c r="Y577" s="70"/>
      <c r="Z577" s="70"/>
      <c r="AA577" s="70"/>
      <c r="AB577" s="70"/>
      <c r="AC577" s="70"/>
      <c r="AD577" s="70"/>
      <c r="AE577" s="70"/>
      <c r="AF577" s="70"/>
      <c r="AG577" s="70"/>
      <c r="AH577" s="70"/>
      <c r="AI577" s="70"/>
      <c r="AJ577" s="70"/>
      <c r="AK577" s="70"/>
      <c r="AL577" s="70"/>
      <c r="AM577" s="65"/>
      <c r="AN577" s="65"/>
      <c r="AO577" s="65"/>
      <c r="AP577" s="65"/>
      <c r="AQ577" s="65"/>
      <c r="AR577" s="65"/>
      <c r="AS577" s="65"/>
      <c r="AT577" s="65"/>
      <c r="AU577" s="65"/>
      <c r="AV577" s="65"/>
      <c r="AW577" s="65"/>
      <c r="AX577" s="65"/>
      <c r="AY577" s="65"/>
      <c r="AZ577" s="65"/>
      <c r="BA577" s="65"/>
      <c r="BB577" s="65"/>
      <c r="BC577" s="65"/>
      <c r="BD577" s="65"/>
      <c r="BE577" s="65"/>
      <c r="BF577" s="65"/>
      <c r="BG577" s="65"/>
      <c r="BH577" s="65"/>
      <c r="BI577" s="65"/>
      <c r="BJ577" s="65"/>
      <c r="BK577" s="65"/>
      <c r="BL577" s="65"/>
      <c r="BM577" s="65"/>
      <c r="BN577" s="65"/>
      <c r="BO577" s="65"/>
      <c r="BP577" s="65"/>
      <c r="BQ577" s="65"/>
      <c r="BR577" s="65"/>
      <c r="BS577" s="65"/>
      <c r="BT577" s="65"/>
      <c r="BU577" s="65"/>
      <c r="BV577" s="65"/>
      <c r="BW577" s="65"/>
      <c r="BX577" s="65"/>
      <c r="BY577" s="65"/>
      <c r="BZ577" s="65"/>
      <c r="CA577" s="65"/>
      <c r="CB577" s="65"/>
      <c r="CC577" s="65"/>
      <c r="CD577" s="65"/>
      <c r="CE577" s="65"/>
      <c r="CF577" s="65"/>
      <c r="CG577" s="65"/>
      <c r="CH577" s="65"/>
      <c r="CI577" s="65"/>
      <c r="CJ577" s="65"/>
      <c r="CK577" s="65"/>
      <c r="CL577" s="65"/>
      <c r="CM577" s="65"/>
      <c r="CN577" s="65"/>
      <c r="CO577" s="65"/>
      <c r="CP577" s="65"/>
      <c r="CQ577" s="65"/>
      <c r="CR577" s="65"/>
      <c r="CS577" s="65"/>
      <c r="CT577" s="65"/>
      <c r="CU577" s="65"/>
      <c r="CV577" s="65"/>
      <c r="CW577" s="65"/>
      <c r="CX577" s="65"/>
      <c r="CY577" s="65"/>
      <c r="CZ577" s="65"/>
      <c r="DA577" s="65"/>
      <c r="DB577" s="65"/>
      <c r="DC577" s="65"/>
      <c r="DD577" s="65"/>
      <c r="DE577" s="65"/>
      <c r="DF577" s="65"/>
      <c r="DG577" s="65"/>
      <c r="DH577" s="65"/>
      <c r="DI577" s="65"/>
      <c r="DJ577" s="65"/>
      <c r="DK577" s="65"/>
      <c r="DL577" s="65"/>
      <c r="DM577" s="65"/>
      <c r="DN577" s="65"/>
      <c r="DO577" s="65"/>
      <c r="DP577" s="65"/>
      <c r="DQ577" s="65"/>
      <c r="DR577" s="65"/>
      <c r="DS577" s="65"/>
      <c r="DT577" s="65"/>
    </row>
    <row r="578" spans="2:124" ht="21.75" customHeight="1">
      <c r="B578" s="229" t="s">
        <v>406</v>
      </c>
      <c r="C578" s="230"/>
      <c r="D578" s="231"/>
      <c r="E578" s="69"/>
      <c r="F578" s="69"/>
      <c r="G578" s="69"/>
      <c r="H578" s="69"/>
      <c r="I578" s="69"/>
      <c r="J578" s="69"/>
      <c r="K578" s="69"/>
      <c r="L578" s="69"/>
      <c r="M578" s="69"/>
      <c r="N578" s="69"/>
      <c r="O578" s="69"/>
      <c r="P578" s="69"/>
      <c r="Q578" s="69"/>
      <c r="R578" s="69"/>
      <c r="S578" s="69"/>
      <c r="T578" s="69"/>
      <c r="U578" s="69"/>
      <c r="V578" s="69"/>
      <c r="W578" s="69"/>
      <c r="X578" s="69"/>
      <c r="Y578" s="69"/>
      <c r="Z578" s="69"/>
      <c r="AA578" s="69"/>
      <c r="AB578" s="69"/>
      <c r="AC578" s="69"/>
      <c r="AD578" s="69"/>
      <c r="AE578" s="69"/>
      <c r="AF578" s="69"/>
      <c r="AG578" s="69"/>
      <c r="AH578" s="69"/>
      <c r="AI578" s="69"/>
      <c r="AJ578" s="69"/>
      <c r="AK578" s="69"/>
      <c r="AL578" s="69"/>
      <c r="AM578" s="68"/>
      <c r="AN578" s="68"/>
      <c r="AO578" s="68"/>
      <c r="AP578" s="68"/>
      <c r="AQ578" s="68"/>
      <c r="AR578" s="68"/>
      <c r="AS578" s="68"/>
      <c r="AT578" s="68"/>
      <c r="AU578" s="68"/>
      <c r="AV578" s="68"/>
      <c r="AW578" s="68"/>
      <c r="AX578" s="68"/>
      <c r="AY578" s="68"/>
      <c r="AZ578" s="68"/>
      <c r="BA578" s="68"/>
      <c r="BB578" s="68"/>
      <c r="BC578" s="68"/>
      <c r="BD578" s="68"/>
      <c r="BE578" s="68"/>
      <c r="BF578" s="68"/>
      <c r="BG578" s="68"/>
      <c r="BH578" s="68"/>
      <c r="BI578" s="68"/>
      <c r="BJ578" s="68"/>
      <c r="BK578" s="68"/>
      <c r="BL578" s="68"/>
      <c r="BM578" s="68"/>
      <c r="BN578" s="68"/>
      <c r="BO578" s="68"/>
      <c r="BP578" s="68"/>
      <c r="BQ578" s="68"/>
      <c r="BR578" s="68"/>
      <c r="BS578" s="68"/>
      <c r="BT578" s="68"/>
      <c r="BU578" s="68"/>
      <c r="BV578" s="68"/>
      <c r="BW578" s="68"/>
      <c r="BX578" s="68"/>
      <c r="BY578" s="68"/>
      <c r="BZ578" s="68"/>
      <c r="CA578" s="68"/>
      <c r="CB578" s="68"/>
      <c r="CC578" s="68"/>
      <c r="CD578" s="68"/>
      <c r="CE578" s="68"/>
      <c r="CF578" s="68"/>
      <c r="CG578" s="68"/>
      <c r="CH578" s="68"/>
      <c r="CI578" s="68"/>
      <c r="CJ578" s="68"/>
      <c r="CK578" s="68"/>
      <c r="CL578" s="68"/>
      <c r="CM578" s="68"/>
      <c r="CN578" s="68"/>
      <c r="CO578" s="68"/>
      <c r="CP578" s="68"/>
      <c r="CQ578" s="68"/>
      <c r="CR578" s="68"/>
      <c r="CS578" s="68"/>
      <c r="CT578" s="68"/>
      <c r="CU578" s="68"/>
      <c r="CV578" s="68"/>
      <c r="CW578" s="68"/>
      <c r="CX578" s="68"/>
      <c r="CY578" s="68"/>
      <c r="CZ578" s="68"/>
      <c r="DA578" s="68"/>
      <c r="DB578" s="68"/>
      <c r="DC578" s="68"/>
      <c r="DD578" s="68"/>
      <c r="DE578" s="68"/>
      <c r="DF578" s="68"/>
      <c r="DG578" s="68"/>
      <c r="DH578" s="68"/>
      <c r="DI578" s="68"/>
      <c r="DJ578" s="68"/>
      <c r="DK578" s="68"/>
      <c r="DL578" s="68"/>
      <c r="DM578" s="68"/>
      <c r="DN578" s="68"/>
      <c r="DO578" s="68"/>
      <c r="DP578" s="68"/>
      <c r="DQ578" s="68"/>
      <c r="DR578" s="68"/>
      <c r="DS578" s="68"/>
      <c r="DT578" s="68"/>
    </row>
    <row r="579" spans="2:124" ht="21.75" customHeight="1">
      <c r="B579" s="232"/>
      <c r="C579" s="233"/>
      <c r="D579" s="234"/>
      <c r="E579" s="70"/>
      <c r="F579" s="70"/>
      <c r="G579" s="70"/>
      <c r="H579" s="70"/>
      <c r="I579" s="70"/>
      <c r="J579" s="70"/>
      <c r="K579" s="70"/>
      <c r="L579" s="70"/>
      <c r="M579" s="70"/>
      <c r="N579" s="70"/>
      <c r="O579" s="70"/>
      <c r="P579" s="70"/>
      <c r="Q579" s="70"/>
      <c r="R579" s="70"/>
      <c r="S579" s="70"/>
      <c r="T579" s="70"/>
      <c r="U579" s="70"/>
      <c r="V579" s="70"/>
      <c r="W579" s="70"/>
      <c r="X579" s="70"/>
      <c r="Y579" s="70"/>
      <c r="Z579" s="70"/>
      <c r="AA579" s="70"/>
      <c r="AB579" s="70"/>
      <c r="AC579" s="70"/>
      <c r="AD579" s="70"/>
      <c r="AE579" s="70"/>
      <c r="AF579" s="70"/>
      <c r="AG579" s="70"/>
      <c r="AH579" s="70"/>
      <c r="AI579" s="70"/>
      <c r="AJ579" s="70"/>
      <c r="AK579" s="70"/>
      <c r="AL579" s="70"/>
      <c r="AM579" s="65"/>
      <c r="AN579" s="65"/>
      <c r="AO579" s="65"/>
      <c r="AP579" s="65"/>
      <c r="AQ579" s="65"/>
      <c r="AR579" s="65"/>
      <c r="AS579" s="65"/>
      <c r="AT579" s="65"/>
      <c r="AU579" s="65"/>
      <c r="AV579" s="65"/>
      <c r="AW579" s="65"/>
      <c r="AX579" s="65"/>
      <c r="AY579" s="65"/>
      <c r="AZ579" s="65"/>
      <c r="BA579" s="65"/>
      <c r="BB579" s="65"/>
      <c r="BC579" s="65"/>
      <c r="BD579" s="65"/>
      <c r="BE579" s="65"/>
      <c r="BF579" s="65"/>
      <c r="BG579" s="65"/>
      <c r="BH579" s="65"/>
      <c r="BI579" s="65"/>
      <c r="BJ579" s="65"/>
      <c r="BK579" s="65"/>
      <c r="BL579" s="65"/>
      <c r="BM579" s="65"/>
      <c r="BN579" s="65"/>
      <c r="BO579" s="65"/>
      <c r="BP579" s="65"/>
      <c r="BQ579" s="65"/>
      <c r="BR579" s="65"/>
      <c r="BS579" s="65"/>
      <c r="BT579" s="65"/>
      <c r="BU579" s="65"/>
      <c r="BV579" s="65"/>
      <c r="BW579" s="65"/>
      <c r="BX579" s="65"/>
      <c r="BY579" s="65"/>
      <c r="BZ579" s="65"/>
      <c r="CA579" s="65"/>
      <c r="CB579" s="65"/>
      <c r="CC579" s="65"/>
      <c r="CD579" s="65"/>
      <c r="CE579" s="65"/>
      <c r="CF579" s="65"/>
      <c r="CG579" s="65"/>
      <c r="CH579" s="65"/>
      <c r="CI579" s="65"/>
      <c r="CJ579" s="65"/>
      <c r="CK579" s="65"/>
      <c r="CL579" s="65"/>
      <c r="CM579" s="65"/>
      <c r="CN579" s="65"/>
      <c r="CO579" s="65"/>
      <c r="CP579" s="65"/>
      <c r="CQ579" s="65"/>
      <c r="CR579" s="65"/>
      <c r="CS579" s="65"/>
      <c r="CT579" s="65"/>
      <c r="CU579" s="65"/>
      <c r="CV579" s="65"/>
      <c r="CW579" s="65"/>
      <c r="CX579" s="65"/>
      <c r="CY579" s="65"/>
      <c r="CZ579" s="65"/>
      <c r="DA579" s="65"/>
      <c r="DB579" s="65"/>
      <c r="DC579" s="65"/>
      <c r="DD579" s="65"/>
      <c r="DE579" s="65"/>
      <c r="DF579" s="65"/>
      <c r="DG579" s="65"/>
      <c r="DH579" s="65"/>
      <c r="DI579" s="65"/>
      <c r="DJ579" s="65"/>
      <c r="DK579" s="65"/>
      <c r="DL579" s="65"/>
      <c r="DM579" s="65"/>
      <c r="DN579" s="65"/>
      <c r="DO579" s="65"/>
      <c r="DP579" s="65"/>
      <c r="DQ579" s="65"/>
      <c r="DR579" s="65"/>
      <c r="DS579" s="65"/>
      <c r="DT579" s="65"/>
    </row>
    <row r="580" spans="2:124" ht="21.75" customHeight="1">
      <c r="B580" s="229" t="s">
        <v>440</v>
      </c>
      <c r="C580" s="230"/>
      <c r="D580" s="231"/>
      <c r="E580" s="69"/>
      <c r="F580" s="69"/>
      <c r="G580" s="69"/>
      <c r="H580" s="69"/>
      <c r="I580" s="69"/>
      <c r="J580" s="69"/>
      <c r="K580" s="69"/>
      <c r="L580" s="69"/>
      <c r="M580" s="69"/>
      <c r="N580" s="69"/>
      <c r="O580" s="69"/>
      <c r="P580" s="69"/>
      <c r="Q580" s="69"/>
      <c r="R580" s="69"/>
      <c r="S580" s="69"/>
      <c r="T580" s="69"/>
      <c r="U580" s="69"/>
      <c r="V580" s="69"/>
      <c r="W580" s="69"/>
      <c r="X580" s="69"/>
      <c r="Y580" s="69"/>
      <c r="Z580" s="69"/>
      <c r="AA580" s="69"/>
      <c r="AB580" s="69"/>
      <c r="AC580" s="69"/>
      <c r="AD580" s="69"/>
      <c r="AE580" s="69"/>
      <c r="AF580" s="69"/>
      <c r="AG580" s="69"/>
      <c r="AH580" s="69"/>
      <c r="AI580" s="69"/>
      <c r="AJ580" s="69"/>
      <c r="AK580" s="69"/>
      <c r="AL580" s="69"/>
      <c r="AM580" s="68"/>
      <c r="AN580" s="68"/>
      <c r="AO580" s="68"/>
      <c r="AP580" s="68"/>
      <c r="AQ580" s="68"/>
      <c r="AR580" s="68"/>
      <c r="AS580" s="68"/>
      <c r="AT580" s="68"/>
      <c r="AU580" s="68"/>
      <c r="AV580" s="68"/>
      <c r="AW580" s="68"/>
      <c r="AX580" s="68"/>
      <c r="AY580" s="68"/>
      <c r="AZ580" s="68"/>
      <c r="BA580" s="68"/>
      <c r="BB580" s="68"/>
      <c r="BC580" s="68"/>
      <c r="BD580" s="68"/>
      <c r="BE580" s="68"/>
      <c r="BF580" s="68"/>
      <c r="BG580" s="68"/>
      <c r="BH580" s="68"/>
      <c r="BI580" s="68"/>
      <c r="BJ580" s="68"/>
      <c r="BK580" s="68"/>
      <c r="BL580" s="68"/>
      <c r="BM580" s="68"/>
      <c r="BN580" s="68"/>
      <c r="BO580" s="68"/>
      <c r="BP580" s="68"/>
      <c r="BQ580" s="68"/>
      <c r="BR580" s="68"/>
      <c r="BS580" s="68"/>
      <c r="BT580" s="68"/>
      <c r="BU580" s="68"/>
      <c r="BV580" s="68"/>
      <c r="BW580" s="68"/>
      <c r="BX580" s="68"/>
      <c r="BY580" s="68"/>
      <c r="BZ580" s="68"/>
      <c r="CA580" s="68"/>
      <c r="CB580" s="68"/>
      <c r="CC580" s="68"/>
      <c r="CD580" s="68"/>
      <c r="CE580" s="68"/>
      <c r="CF580" s="68"/>
      <c r="CG580" s="68"/>
      <c r="CH580" s="68"/>
      <c r="CI580" s="68"/>
      <c r="CJ580" s="68"/>
      <c r="CK580" s="68"/>
      <c r="CL580" s="68"/>
      <c r="CM580" s="68"/>
      <c r="CN580" s="68"/>
      <c r="CO580" s="68"/>
      <c r="CP580" s="68"/>
      <c r="CQ580" s="68"/>
      <c r="CR580" s="68"/>
      <c r="CS580" s="68"/>
      <c r="CT580" s="68"/>
      <c r="CU580" s="68"/>
      <c r="CV580" s="68"/>
      <c r="CW580" s="68"/>
      <c r="CX580" s="68"/>
      <c r="CY580" s="68"/>
      <c r="CZ580" s="68"/>
      <c r="DA580" s="68"/>
      <c r="DB580" s="68"/>
      <c r="DC580" s="68"/>
      <c r="DD580" s="68"/>
      <c r="DE580" s="68"/>
      <c r="DF580" s="68"/>
      <c r="DG580" s="68"/>
      <c r="DH580" s="68"/>
      <c r="DI580" s="68"/>
      <c r="DJ580" s="68"/>
      <c r="DK580" s="68"/>
      <c r="DL580" s="68"/>
      <c r="DM580" s="68"/>
      <c r="DN580" s="68"/>
      <c r="DO580" s="68"/>
      <c r="DP580" s="68"/>
      <c r="DQ580" s="68"/>
      <c r="DR580" s="68"/>
      <c r="DS580" s="68"/>
      <c r="DT580" s="68"/>
    </row>
    <row r="581" spans="2:124" ht="21.75" customHeight="1">
      <c r="B581" s="232"/>
      <c r="C581" s="233"/>
      <c r="D581" s="234"/>
      <c r="E581" s="70"/>
      <c r="F581" s="70"/>
      <c r="G581" s="70"/>
      <c r="H581" s="70"/>
      <c r="I581" s="70"/>
      <c r="J581" s="70"/>
      <c r="K581" s="70"/>
      <c r="L581" s="70"/>
      <c r="M581" s="70"/>
      <c r="N581" s="70"/>
      <c r="O581" s="70"/>
      <c r="P581" s="70"/>
      <c r="Q581" s="70"/>
      <c r="R581" s="70"/>
      <c r="S581" s="70"/>
      <c r="T581" s="70"/>
      <c r="U581" s="70"/>
      <c r="V581" s="70"/>
      <c r="W581" s="70"/>
      <c r="X581" s="70"/>
      <c r="Y581" s="70"/>
      <c r="Z581" s="70"/>
      <c r="AA581" s="70"/>
      <c r="AB581" s="70"/>
      <c r="AC581" s="70"/>
      <c r="AD581" s="70"/>
      <c r="AE581" s="70"/>
      <c r="AF581" s="70"/>
      <c r="AG581" s="70"/>
      <c r="AH581" s="70"/>
      <c r="AI581" s="70"/>
      <c r="AJ581" s="70"/>
      <c r="AK581" s="70"/>
      <c r="AL581" s="70"/>
      <c r="AM581" s="65"/>
      <c r="AN581" s="65"/>
      <c r="AO581" s="65"/>
      <c r="AP581" s="65"/>
      <c r="AQ581" s="65"/>
      <c r="AR581" s="65"/>
      <c r="AS581" s="65"/>
      <c r="AT581" s="65"/>
      <c r="AU581" s="65"/>
      <c r="AV581" s="65"/>
      <c r="AW581" s="65"/>
      <c r="AX581" s="65"/>
      <c r="AY581" s="65"/>
      <c r="AZ581" s="65"/>
      <c r="BA581" s="65"/>
      <c r="BB581" s="65"/>
      <c r="BC581" s="65"/>
      <c r="BD581" s="65"/>
      <c r="BE581" s="65"/>
      <c r="BF581" s="65"/>
      <c r="BG581" s="65"/>
      <c r="BH581" s="65"/>
      <c r="BI581" s="65"/>
      <c r="BJ581" s="65"/>
      <c r="BK581" s="65"/>
      <c r="BL581" s="65"/>
      <c r="BM581" s="65"/>
      <c r="BN581" s="65"/>
      <c r="BO581" s="65"/>
      <c r="BP581" s="65"/>
      <c r="BQ581" s="65"/>
      <c r="BR581" s="65"/>
      <c r="BS581" s="65"/>
      <c r="BT581" s="65"/>
      <c r="BU581" s="65"/>
      <c r="BV581" s="65"/>
      <c r="BW581" s="65"/>
      <c r="BX581" s="65"/>
      <c r="BY581" s="65"/>
      <c r="BZ581" s="65"/>
      <c r="CA581" s="65"/>
      <c r="CB581" s="65"/>
      <c r="CC581" s="65"/>
      <c r="CD581" s="65"/>
      <c r="CE581" s="65"/>
      <c r="CF581" s="65"/>
      <c r="CG581" s="65"/>
      <c r="CH581" s="65"/>
      <c r="CI581" s="65"/>
      <c r="CJ581" s="65"/>
      <c r="CK581" s="65"/>
      <c r="CL581" s="65"/>
      <c r="CM581" s="65"/>
      <c r="CN581" s="65"/>
      <c r="CO581" s="65"/>
      <c r="CP581" s="65"/>
      <c r="CQ581" s="65"/>
      <c r="CR581" s="65"/>
      <c r="CS581" s="65"/>
      <c r="CT581" s="65"/>
      <c r="CU581" s="65"/>
      <c r="CV581" s="65"/>
      <c r="CW581" s="65"/>
      <c r="CX581" s="65"/>
      <c r="CY581" s="65"/>
      <c r="CZ581" s="65"/>
      <c r="DA581" s="65"/>
      <c r="DB581" s="65"/>
      <c r="DC581" s="65"/>
      <c r="DD581" s="65"/>
      <c r="DE581" s="65"/>
      <c r="DF581" s="65"/>
      <c r="DG581" s="65"/>
      <c r="DH581" s="65"/>
      <c r="DI581" s="65"/>
      <c r="DJ581" s="65"/>
      <c r="DK581" s="65"/>
      <c r="DL581" s="65"/>
      <c r="DM581" s="65"/>
      <c r="DN581" s="65"/>
      <c r="DO581" s="65"/>
      <c r="DP581" s="65"/>
      <c r="DQ581" s="65"/>
      <c r="DR581" s="65"/>
      <c r="DS581" s="65"/>
      <c r="DT581" s="65"/>
    </row>
    <row r="582" spans="2:124" ht="21.75" customHeight="1">
      <c r="B582" s="229" t="s">
        <v>414</v>
      </c>
      <c r="C582" s="230"/>
      <c r="D582" s="231"/>
      <c r="E582" s="69"/>
      <c r="F582" s="69"/>
      <c r="G582" s="69"/>
      <c r="H582" s="69"/>
      <c r="I582" s="69"/>
      <c r="J582" s="69"/>
      <c r="K582" s="69"/>
      <c r="L582" s="69"/>
      <c r="M582" s="69"/>
      <c r="N582" s="69"/>
      <c r="O582" s="69"/>
      <c r="P582" s="69"/>
      <c r="Q582" s="69"/>
      <c r="R582" s="69"/>
      <c r="S582" s="69"/>
      <c r="T582" s="69"/>
      <c r="U582" s="69"/>
      <c r="V582" s="69"/>
      <c r="W582" s="69"/>
      <c r="X582" s="69"/>
      <c r="Y582" s="69"/>
      <c r="Z582" s="69"/>
      <c r="AA582" s="69"/>
      <c r="AB582" s="69"/>
      <c r="AC582" s="69"/>
      <c r="AD582" s="69"/>
      <c r="AE582" s="69"/>
      <c r="AF582" s="69"/>
      <c r="AG582" s="69"/>
      <c r="AH582" s="69"/>
      <c r="AI582" s="69"/>
      <c r="AJ582" s="69"/>
      <c r="AK582" s="69"/>
      <c r="AL582" s="69"/>
      <c r="AM582" s="68"/>
      <c r="AN582" s="68"/>
      <c r="AO582" s="68"/>
      <c r="AP582" s="68"/>
      <c r="AQ582" s="68"/>
      <c r="AR582" s="68"/>
      <c r="AS582" s="68"/>
      <c r="AT582" s="68"/>
      <c r="AU582" s="68"/>
      <c r="AV582" s="68"/>
      <c r="AW582" s="68"/>
      <c r="AX582" s="68"/>
      <c r="AY582" s="68"/>
      <c r="AZ582" s="68"/>
      <c r="BA582" s="68"/>
      <c r="BB582" s="68"/>
      <c r="BC582" s="68"/>
      <c r="BD582" s="68"/>
      <c r="BE582" s="68"/>
      <c r="BF582" s="68"/>
      <c r="BG582" s="68"/>
      <c r="BH582" s="68"/>
      <c r="BI582" s="68"/>
      <c r="BJ582" s="68"/>
      <c r="BK582" s="68"/>
      <c r="BL582" s="68"/>
      <c r="BM582" s="68"/>
      <c r="BN582" s="68"/>
      <c r="BO582" s="68"/>
      <c r="BP582" s="68"/>
      <c r="BQ582" s="68"/>
      <c r="BR582" s="68"/>
      <c r="BS582" s="68"/>
      <c r="BT582" s="68"/>
      <c r="BU582" s="68"/>
      <c r="BV582" s="68"/>
      <c r="BW582" s="68"/>
      <c r="BX582" s="68"/>
      <c r="BY582" s="68"/>
      <c r="BZ582" s="68"/>
      <c r="CA582" s="68"/>
      <c r="CB582" s="68"/>
      <c r="CC582" s="68"/>
      <c r="CD582" s="68"/>
      <c r="CE582" s="68"/>
      <c r="CF582" s="68"/>
      <c r="CG582" s="68"/>
      <c r="CH582" s="68"/>
      <c r="CI582" s="68"/>
      <c r="CJ582" s="68"/>
      <c r="CK582" s="68"/>
      <c r="CL582" s="68"/>
      <c r="CM582" s="68"/>
      <c r="CN582" s="68"/>
      <c r="CO582" s="68"/>
      <c r="CP582" s="68"/>
      <c r="CQ582" s="68"/>
      <c r="CR582" s="68"/>
      <c r="CS582" s="68"/>
      <c r="CT582" s="68"/>
      <c r="CU582" s="68"/>
      <c r="CV582" s="68"/>
      <c r="CW582" s="68"/>
      <c r="CX582" s="68"/>
      <c r="CY582" s="68"/>
      <c r="CZ582" s="68"/>
      <c r="DA582" s="68"/>
      <c r="DB582" s="68"/>
      <c r="DC582" s="68"/>
      <c r="DD582" s="68"/>
      <c r="DE582" s="68"/>
      <c r="DF582" s="68"/>
      <c r="DG582" s="68"/>
      <c r="DH582" s="68"/>
      <c r="DI582" s="68"/>
      <c r="DJ582" s="68"/>
      <c r="DK582" s="68"/>
      <c r="DL582" s="68"/>
      <c r="DM582" s="68"/>
      <c r="DN582" s="68"/>
      <c r="DO582" s="68"/>
      <c r="DP582" s="68"/>
      <c r="DQ582" s="68"/>
      <c r="DR582" s="68"/>
      <c r="DS582" s="68"/>
      <c r="DT582" s="68"/>
    </row>
    <row r="583" spans="2:124" ht="21.75" customHeight="1">
      <c r="B583" s="232"/>
      <c r="C583" s="233"/>
      <c r="D583" s="234"/>
      <c r="E583" s="70"/>
      <c r="F583" s="70"/>
      <c r="G583" s="70"/>
      <c r="H583" s="70"/>
      <c r="I583" s="70"/>
      <c r="J583" s="70"/>
      <c r="K583" s="70"/>
      <c r="L583" s="70"/>
      <c r="M583" s="70"/>
      <c r="N583" s="70"/>
      <c r="O583" s="70"/>
      <c r="P583" s="70"/>
      <c r="Q583" s="70"/>
      <c r="R583" s="70"/>
      <c r="S583" s="70"/>
      <c r="T583" s="70"/>
      <c r="U583" s="70"/>
      <c r="V583" s="70"/>
      <c r="W583" s="70"/>
      <c r="X583" s="70"/>
      <c r="Y583" s="70"/>
      <c r="Z583" s="70"/>
      <c r="AA583" s="70"/>
      <c r="AB583" s="70"/>
      <c r="AC583" s="70"/>
      <c r="AD583" s="70"/>
      <c r="AE583" s="70"/>
      <c r="AF583" s="70"/>
      <c r="AG583" s="70"/>
      <c r="AH583" s="70"/>
      <c r="AI583" s="70"/>
      <c r="AJ583" s="70"/>
      <c r="AK583" s="70"/>
      <c r="AL583" s="70"/>
      <c r="AM583" s="65"/>
      <c r="AN583" s="65"/>
      <c r="AO583" s="65"/>
      <c r="AP583" s="65"/>
      <c r="AQ583" s="65"/>
      <c r="AR583" s="65"/>
      <c r="AS583" s="65"/>
      <c r="AT583" s="65"/>
      <c r="AU583" s="65"/>
      <c r="AV583" s="65"/>
      <c r="AW583" s="65"/>
      <c r="AX583" s="65"/>
      <c r="AY583" s="65"/>
      <c r="AZ583" s="65"/>
      <c r="BA583" s="65"/>
      <c r="BB583" s="65"/>
      <c r="BC583" s="65"/>
      <c r="BD583" s="65"/>
      <c r="BE583" s="65"/>
      <c r="BF583" s="65"/>
      <c r="BG583" s="65"/>
      <c r="BH583" s="65"/>
      <c r="BI583" s="65"/>
      <c r="BJ583" s="65"/>
      <c r="BK583" s="65"/>
      <c r="BL583" s="65"/>
      <c r="BM583" s="65"/>
      <c r="BN583" s="65"/>
      <c r="BO583" s="65"/>
      <c r="BP583" s="65"/>
      <c r="BQ583" s="65"/>
      <c r="BR583" s="65"/>
      <c r="BS583" s="65"/>
      <c r="BT583" s="65"/>
      <c r="BU583" s="65"/>
      <c r="BV583" s="65"/>
      <c r="BW583" s="65"/>
      <c r="BX583" s="65"/>
      <c r="BY583" s="65"/>
      <c r="BZ583" s="65"/>
      <c r="CA583" s="65"/>
      <c r="CB583" s="65"/>
      <c r="CC583" s="65"/>
      <c r="CD583" s="65"/>
      <c r="CE583" s="65"/>
      <c r="CF583" s="65"/>
      <c r="CG583" s="65"/>
      <c r="CH583" s="65"/>
      <c r="CI583" s="65"/>
      <c r="CJ583" s="65"/>
      <c r="CK583" s="65"/>
      <c r="CL583" s="65"/>
      <c r="CM583" s="65"/>
      <c r="CN583" s="65"/>
      <c r="CO583" s="65"/>
      <c r="CP583" s="65"/>
      <c r="CQ583" s="65"/>
      <c r="CR583" s="65"/>
      <c r="CS583" s="65"/>
      <c r="CT583" s="65"/>
      <c r="CU583" s="65"/>
      <c r="CV583" s="65"/>
      <c r="CW583" s="65"/>
      <c r="CX583" s="65"/>
      <c r="CY583" s="65"/>
      <c r="CZ583" s="65"/>
      <c r="DA583" s="65"/>
      <c r="DB583" s="65"/>
      <c r="DC583" s="65"/>
      <c r="DD583" s="65"/>
      <c r="DE583" s="65"/>
      <c r="DF583" s="65"/>
      <c r="DG583" s="65"/>
      <c r="DH583" s="65"/>
      <c r="DI583" s="65"/>
      <c r="DJ583" s="65"/>
      <c r="DK583" s="65"/>
      <c r="DL583" s="65"/>
      <c r="DM583" s="65"/>
      <c r="DN583" s="65"/>
      <c r="DO583" s="65"/>
      <c r="DP583" s="65"/>
      <c r="DQ583" s="65"/>
      <c r="DR583" s="65"/>
      <c r="DS583" s="65"/>
      <c r="DT583" s="65"/>
    </row>
    <row r="584" spans="2:124" ht="21.75" customHeight="1">
      <c r="B584" s="229" t="s">
        <v>103</v>
      </c>
      <c r="C584" s="230"/>
      <c r="D584" s="78" t="s">
        <v>415</v>
      </c>
      <c r="E584" s="70"/>
      <c r="F584" s="70"/>
      <c r="G584" s="70"/>
      <c r="H584" s="70"/>
      <c r="I584" s="70"/>
      <c r="J584" s="70"/>
      <c r="K584" s="70"/>
      <c r="L584" s="70"/>
      <c r="M584" s="70"/>
      <c r="N584" s="70"/>
      <c r="O584" s="70"/>
      <c r="P584" s="70"/>
      <c r="Q584" s="70"/>
      <c r="R584" s="70"/>
      <c r="S584" s="70"/>
      <c r="T584" s="70"/>
      <c r="U584" s="70"/>
      <c r="V584" s="70"/>
      <c r="W584" s="70"/>
      <c r="X584" s="70"/>
      <c r="Y584" s="70"/>
      <c r="Z584" s="70"/>
      <c r="AA584" s="70"/>
      <c r="AB584" s="70"/>
      <c r="AC584" s="70"/>
      <c r="AD584" s="70"/>
      <c r="AE584" s="70"/>
      <c r="AF584" s="70"/>
      <c r="AG584" s="70"/>
      <c r="AH584" s="70"/>
      <c r="AI584" s="70"/>
      <c r="AJ584" s="70"/>
      <c r="AK584" s="70"/>
      <c r="AL584" s="70"/>
      <c r="AM584" s="65"/>
      <c r="AN584" s="65"/>
      <c r="AO584" s="65"/>
      <c r="AP584" s="65"/>
      <c r="AQ584" s="65"/>
      <c r="AR584" s="65"/>
      <c r="AS584" s="65"/>
      <c r="AT584" s="65"/>
      <c r="AU584" s="65"/>
      <c r="AV584" s="65"/>
      <c r="AW584" s="65"/>
      <c r="AX584" s="65"/>
      <c r="AY584" s="65"/>
      <c r="AZ584" s="65"/>
      <c r="BA584" s="65"/>
      <c r="BB584" s="65"/>
      <c r="BC584" s="65"/>
      <c r="BD584" s="65"/>
      <c r="BE584" s="65"/>
      <c r="BF584" s="65"/>
      <c r="BG584" s="65"/>
      <c r="BH584" s="65"/>
      <c r="BI584" s="65"/>
      <c r="BJ584" s="65"/>
      <c r="BK584" s="65"/>
      <c r="BL584" s="65"/>
      <c r="BM584" s="65"/>
      <c r="BN584" s="65"/>
      <c r="BO584" s="65"/>
      <c r="BP584" s="65"/>
      <c r="BQ584" s="65"/>
      <c r="BR584" s="65"/>
      <c r="BS584" s="65"/>
      <c r="BT584" s="65"/>
      <c r="BU584" s="65"/>
      <c r="BV584" s="65"/>
      <c r="BW584" s="65"/>
      <c r="BX584" s="65"/>
      <c r="BY584" s="65"/>
      <c r="BZ584" s="65"/>
      <c r="CA584" s="65"/>
      <c r="CB584" s="65"/>
      <c r="CC584" s="65"/>
      <c r="CD584" s="65"/>
      <c r="CE584" s="65"/>
      <c r="CF584" s="65"/>
      <c r="CG584" s="65"/>
      <c r="CH584" s="65"/>
      <c r="CI584" s="65"/>
      <c r="CJ584" s="65"/>
      <c r="CK584" s="65"/>
      <c r="CL584" s="65"/>
      <c r="CM584" s="65"/>
      <c r="CN584" s="65"/>
      <c r="CO584" s="65"/>
      <c r="CP584" s="65"/>
      <c r="CQ584" s="65"/>
      <c r="CR584" s="65"/>
      <c r="CS584" s="65"/>
      <c r="CT584" s="65"/>
      <c r="CU584" s="65"/>
      <c r="CV584" s="65"/>
      <c r="CW584" s="65"/>
      <c r="CX584" s="65"/>
      <c r="CY584" s="65"/>
      <c r="CZ584" s="65"/>
      <c r="DA584" s="65"/>
      <c r="DB584" s="65"/>
      <c r="DC584" s="65"/>
      <c r="DD584" s="65"/>
      <c r="DE584" s="65"/>
      <c r="DF584" s="65"/>
      <c r="DG584" s="65"/>
      <c r="DH584" s="65"/>
      <c r="DI584" s="65"/>
      <c r="DJ584" s="65"/>
      <c r="DK584" s="65"/>
      <c r="DL584" s="65"/>
      <c r="DM584" s="65"/>
      <c r="DN584" s="65"/>
      <c r="DO584" s="65"/>
      <c r="DP584" s="65"/>
      <c r="DQ584" s="65"/>
      <c r="DR584" s="65"/>
      <c r="DS584" s="65"/>
      <c r="DT584" s="65"/>
    </row>
    <row r="585" spans="2:124" ht="21.75" customHeight="1">
      <c r="B585" s="232"/>
      <c r="C585" s="233"/>
      <c r="D585" s="79" t="s">
        <v>418</v>
      </c>
      <c r="E585" s="70"/>
      <c r="F585" s="70"/>
      <c r="G585" s="70"/>
      <c r="H585" s="70"/>
      <c r="I585" s="70"/>
      <c r="J585" s="70"/>
      <c r="K585" s="70"/>
      <c r="L585" s="70"/>
      <c r="M585" s="70"/>
      <c r="N585" s="70"/>
      <c r="O585" s="70"/>
      <c r="P585" s="70"/>
      <c r="Q585" s="70"/>
      <c r="R585" s="70"/>
      <c r="S585" s="70"/>
      <c r="T585" s="70"/>
      <c r="U585" s="70"/>
      <c r="V585" s="70"/>
      <c r="W585" s="70"/>
      <c r="X585" s="70"/>
      <c r="Y585" s="70"/>
      <c r="Z585" s="70"/>
      <c r="AA585" s="70"/>
      <c r="AB585" s="70"/>
      <c r="AC585" s="70"/>
      <c r="AD585" s="70"/>
      <c r="AE585" s="70"/>
      <c r="AF585" s="70"/>
      <c r="AG585" s="70"/>
      <c r="AH585" s="70"/>
      <c r="AI585" s="70"/>
      <c r="AJ585" s="70"/>
      <c r="AK585" s="70"/>
      <c r="AL585" s="70"/>
      <c r="AM585" s="65"/>
      <c r="AN585" s="65"/>
      <c r="AO585" s="65"/>
      <c r="AP585" s="65"/>
      <c r="AQ585" s="65"/>
      <c r="AR585" s="65"/>
      <c r="AS585" s="65"/>
      <c r="AT585" s="65"/>
      <c r="AU585" s="65"/>
      <c r="AV585" s="65"/>
      <c r="AW585" s="65"/>
      <c r="AX585" s="65"/>
      <c r="AY585" s="65"/>
      <c r="AZ585" s="65"/>
      <c r="BA585" s="65"/>
      <c r="BB585" s="65"/>
      <c r="BC585" s="65"/>
      <c r="BD585" s="65"/>
      <c r="BE585" s="65"/>
      <c r="BF585" s="65"/>
      <c r="BG585" s="65"/>
      <c r="BH585" s="65"/>
      <c r="BI585" s="65"/>
      <c r="BJ585" s="65"/>
      <c r="BK585" s="65"/>
      <c r="BL585" s="65"/>
      <c r="BM585" s="65"/>
      <c r="BN585" s="65"/>
      <c r="BO585" s="65"/>
      <c r="BP585" s="65"/>
      <c r="BQ585" s="65"/>
      <c r="BR585" s="65"/>
      <c r="BS585" s="65"/>
      <c r="BT585" s="65"/>
      <c r="BU585" s="65"/>
      <c r="BV585" s="65"/>
      <c r="BW585" s="65"/>
      <c r="BX585" s="65"/>
      <c r="BY585" s="65"/>
      <c r="BZ585" s="65"/>
      <c r="CA585" s="65"/>
      <c r="CB585" s="65"/>
      <c r="CC585" s="65"/>
      <c r="CD585" s="65"/>
      <c r="CE585" s="65"/>
      <c r="CF585" s="65"/>
      <c r="CG585" s="65"/>
      <c r="CH585" s="65"/>
      <c r="CI585" s="65"/>
      <c r="CJ585" s="65"/>
      <c r="CK585" s="65"/>
      <c r="CL585" s="65"/>
      <c r="CM585" s="65"/>
      <c r="CN585" s="65"/>
      <c r="CO585" s="65"/>
      <c r="CP585" s="65"/>
      <c r="CQ585" s="65"/>
      <c r="CR585" s="65"/>
      <c r="CS585" s="65"/>
      <c r="CT585" s="65"/>
      <c r="CU585" s="65"/>
      <c r="CV585" s="65"/>
      <c r="CW585" s="65"/>
      <c r="CX585" s="65"/>
      <c r="CY585" s="65"/>
      <c r="CZ585" s="65"/>
      <c r="DA585" s="65"/>
      <c r="DB585" s="65"/>
      <c r="DC585" s="65"/>
      <c r="DD585" s="65"/>
      <c r="DE585" s="65"/>
      <c r="DF585" s="65"/>
      <c r="DG585" s="65"/>
      <c r="DH585" s="65"/>
      <c r="DI585" s="65"/>
      <c r="DJ585" s="65"/>
      <c r="DK585" s="65"/>
      <c r="DL585" s="65"/>
      <c r="DM585" s="65"/>
      <c r="DN585" s="65"/>
      <c r="DO585" s="65"/>
      <c r="DP585" s="65"/>
      <c r="DQ585" s="65"/>
      <c r="DR585" s="65"/>
      <c r="DS585" s="65"/>
      <c r="DT585" s="65"/>
    </row>
    <row r="586" spans="2:124" ht="21.75" customHeight="1">
      <c r="B586" s="229" t="s">
        <v>421</v>
      </c>
      <c r="C586" s="230"/>
      <c r="D586" s="231"/>
      <c r="E586" s="69"/>
      <c r="F586" s="68"/>
      <c r="G586" s="68"/>
      <c r="H586" s="68"/>
      <c r="I586" s="68"/>
      <c r="J586" s="68"/>
      <c r="K586" s="68"/>
      <c r="L586" s="68"/>
      <c r="M586" s="68"/>
      <c r="N586" s="68"/>
      <c r="O586" s="68"/>
      <c r="P586" s="68"/>
      <c r="Q586" s="68"/>
      <c r="R586" s="68"/>
      <c r="S586" s="68"/>
      <c r="T586" s="68"/>
      <c r="U586" s="68"/>
      <c r="V586" s="68"/>
      <c r="W586" s="68"/>
      <c r="X586" s="69"/>
      <c r="Y586" s="69"/>
      <c r="Z586" s="69"/>
      <c r="AA586" s="69"/>
      <c r="AB586" s="69"/>
      <c r="AC586" s="69"/>
      <c r="AD586" s="69"/>
      <c r="AE586" s="69"/>
      <c r="AF586" s="69"/>
      <c r="AG586" s="69"/>
      <c r="AH586" s="69"/>
      <c r="AI586" s="69"/>
      <c r="AJ586" s="69"/>
      <c r="AK586" s="69"/>
      <c r="AL586" s="69"/>
      <c r="AM586" s="69"/>
      <c r="AN586" s="69"/>
      <c r="AO586" s="69"/>
      <c r="AP586" s="68"/>
      <c r="AQ586" s="68"/>
      <c r="AR586" s="68"/>
      <c r="AS586" s="69"/>
      <c r="AT586" s="69"/>
      <c r="AU586" s="69"/>
      <c r="AV586" s="69"/>
      <c r="AW586" s="69"/>
      <c r="AX586" s="68"/>
      <c r="AY586" s="68"/>
      <c r="AZ586" s="68"/>
      <c r="BA586" s="68"/>
      <c r="BB586" s="68"/>
      <c r="BC586" s="68"/>
      <c r="BD586" s="68"/>
      <c r="BE586" s="68"/>
      <c r="BF586" s="68"/>
      <c r="BG586" s="68"/>
      <c r="BH586" s="68"/>
      <c r="BI586" s="68"/>
      <c r="BJ586" s="68"/>
      <c r="BK586" s="68"/>
      <c r="BL586" s="68"/>
      <c r="BM586" s="68"/>
      <c r="BN586" s="68"/>
      <c r="BO586" s="68"/>
      <c r="BP586" s="68"/>
      <c r="BQ586" s="68"/>
      <c r="BR586" s="68"/>
      <c r="BS586" s="68"/>
      <c r="BT586" s="68"/>
      <c r="BU586" s="68"/>
      <c r="BV586" s="68"/>
      <c r="BW586" s="68"/>
      <c r="BX586" s="68"/>
      <c r="BY586" s="68"/>
      <c r="BZ586" s="68"/>
      <c r="CA586" s="68"/>
      <c r="CB586" s="68"/>
      <c r="CC586" s="68"/>
      <c r="CD586" s="68"/>
      <c r="CE586" s="68"/>
      <c r="CF586" s="68"/>
      <c r="CG586" s="68"/>
      <c r="CH586" s="68"/>
      <c r="CI586" s="68"/>
      <c r="CJ586" s="68"/>
      <c r="CK586" s="68"/>
      <c r="CL586" s="68"/>
      <c r="CM586" s="68"/>
      <c r="CN586" s="68"/>
      <c r="CO586" s="68"/>
      <c r="CP586" s="68"/>
      <c r="CQ586" s="68"/>
      <c r="CR586" s="68"/>
      <c r="CS586" s="68"/>
      <c r="CT586" s="68"/>
      <c r="CU586" s="68"/>
      <c r="CV586" s="68"/>
      <c r="CW586" s="68"/>
      <c r="CX586" s="68"/>
      <c r="CY586" s="68"/>
      <c r="CZ586" s="68"/>
      <c r="DA586" s="68"/>
      <c r="DB586" s="68"/>
      <c r="DC586" s="68"/>
      <c r="DD586" s="68"/>
      <c r="DE586" s="68"/>
      <c r="DF586" s="68"/>
      <c r="DG586" s="68"/>
      <c r="DH586" s="68"/>
      <c r="DI586" s="68"/>
      <c r="DJ586" s="68"/>
      <c r="DK586" s="68"/>
      <c r="DL586" s="68"/>
      <c r="DM586" s="68"/>
      <c r="DN586" s="68"/>
      <c r="DO586" s="68"/>
      <c r="DP586" s="68"/>
      <c r="DQ586" s="68"/>
      <c r="DR586" s="68"/>
      <c r="DS586" s="68"/>
      <c r="DT586" s="68"/>
    </row>
    <row r="587" spans="2:124" ht="21.75" customHeight="1">
      <c r="B587" s="232"/>
      <c r="C587" s="233"/>
      <c r="D587" s="234"/>
      <c r="E587" s="70"/>
      <c r="F587" s="65"/>
      <c r="G587" s="65"/>
      <c r="H587" s="65"/>
      <c r="I587" s="65"/>
      <c r="J587" s="65"/>
      <c r="K587" s="65"/>
      <c r="L587" s="65"/>
      <c r="M587" s="65"/>
      <c r="N587" s="65"/>
      <c r="O587" s="65"/>
      <c r="P587" s="65"/>
      <c r="Q587" s="65"/>
      <c r="R587" s="65"/>
      <c r="S587" s="65"/>
      <c r="T587" s="65"/>
      <c r="U587" s="65"/>
      <c r="V587" s="65"/>
      <c r="W587" s="65"/>
      <c r="X587" s="70"/>
      <c r="Y587" s="70"/>
      <c r="Z587" s="70"/>
      <c r="AA587" s="70"/>
      <c r="AB587" s="70"/>
      <c r="AC587" s="70"/>
      <c r="AD587" s="70"/>
      <c r="AE587" s="70"/>
      <c r="AF587" s="70"/>
      <c r="AG587" s="70"/>
      <c r="AH587" s="70"/>
      <c r="AI587" s="70"/>
      <c r="AJ587" s="70"/>
      <c r="AK587" s="70"/>
      <c r="AL587" s="70"/>
      <c r="AM587" s="70"/>
      <c r="AN587" s="70"/>
      <c r="AO587" s="70"/>
      <c r="AP587" s="65"/>
      <c r="AQ587" s="65"/>
      <c r="AR587" s="65"/>
      <c r="AS587" s="70"/>
      <c r="AT587" s="70"/>
      <c r="AU587" s="70"/>
      <c r="AV587" s="70"/>
      <c r="AW587" s="70"/>
      <c r="AX587" s="65"/>
      <c r="AY587" s="65"/>
      <c r="AZ587" s="65"/>
      <c r="BA587" s="65"/>
      <c r="BB587" s="65"/>
      <c r="BC587" s="65"/>
      <c r="BD587" s="65"/>
      <c r="BE587" s="65"/>
      <c r="BF587" s="65"/>
      <c r="BG587" s="65"/>
      <c r="BH587" s="65"/>
      <c r="BI587" s="65"/>
      <c r="BJ587" s="65"/>
      <c r="BK587" s="65"/>
      <c r="BL587" s="65"/>
      <c r="BM587" s="65"/>
      <c r="BN587" s="65"/>
      <c r="BO587" s="65"/>
      <c r="BP587" s="65"/>
      <c r="BQ587" s="65"/>
      <c r="BR587" s="65"/>
      <c r="BS587" s="65"/>
      <c r="BT587" s="65"/>
      <c r="BU587" s="65"/>
      <c r="BV587" s="65"/>
      <c r="BW587" s="65"/>
      <c r="BX587" s="65"/>
      <c r="BY587" s="65"/>
      <c r="BZ587" s="65"/>
      <c r="CA587" s="65"/>
      <c r="CB587" s="65"/>
      <c r="CC587" s="65"/>
      <c r="CD587" s="65"/>
      <c r="CE587" s="65"/>
      <c r="CF587" s="65"/>
      <c r="CG587" s="65"/>
      <c r="CH587" s="65"/>
      <c r="CI587" s="65"/>
      <c r="CJ587" s="65"/>
      <c r="CK587" s="65"/>
      <c r="CL587" s="65"/>
      <c r="CM587" s="65"/>
      <c r="CN587" s="65"/>
      <c r="CO587" s="65"/>
      <c r="CP587" s="65"/>
      <c r="CQ587" s="65"/>
      <c r="CR587" s="65"/>
      <c r="CS587" s="65"/>
      <c r="CT587" s="65"/>
      <c r="CU587" s="65"/>
      <c r="CV587" s="65"/>
      <c r="CW587" s="65"/>
      <c r="CX587" s="65"/>
      <c r="CY587" s="65"/>
      <c r="CZ587" s="65"/>
      <c r="DA587" s="65"/>
      <c r="DB587" s="65"/>
      <c r="DC587" s="65"/>
      <c r="DD587" s="65"/>
      <c r="DE587" s="65"/>
      <c r="DF587" s="65"/>
      <c r="DG587" s="65"/>
      <c r="DH587" s="65"/>
      <c r="DI587" s="65"/>
      <c r="DJ587" s="65"/>
      <c r="DK587" s="65"/>
      <c r="DL587" s="65"/>
      <c r="DM587" s="65"/>
      <c r="DN587" s="65"/>
      <c r="DO587" s="65"/>
      <c r="DP587" s="65"/>
      <c r="DQ587" s="65"/>
      <c r="DR587" s="65"/>
      <c r="DS587" s="65"/>
      <c r="DT587" s="65"/>
    </row>
    <row r="588" spans="2:124" ht="21.75" customHeight="1">
      <c r="B588" s="229" t="s">
        <v>532</v>
      </c>
      <c r="C588" s="230"/>
      <c r="D588" s="23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c r="AA588" s="111"/>
      <c r="AB588" s="111"/>
      <c r="AC588" s="111"/>
      <c r="AD588" s="111"/>
      <c r="AE588" s="111"/>
      <c r="AF588" s="111"/>
      <c r="AG588" s="111"/>
      <c r="AH588" s="111"/>
      <c r="AI588" s="111"/>
      <c r="AJ588" s="111"/>
      <c r="AK588" s="111"/>
      <c r="AL588" s="111"/>
      <c r="AM588" s="112"/>
      <c r="AN588" s="112"/>
      <c r="AO588" s="112"/>
      <c r="AP588" s="112"/>
      <c r="AQ588" s="112"/>
      <c r="AR588" s="112"/>
      <c r="AS588" s="112"/>
      <c r="AT588" s="112"/>
      <c r="AU588" s="112"/>
      <c r="AV588" s="112"/>
      <c r="AW588" s="112"/>
      <c r="AX588" s="112"/>
      <c r="AY588" s="112"/>
      <c r="AZ588" s="112"/>
      <c r="BA588" s="112"/>
      <c r="BB588" s="112"/>
      <c r="BC588" s="112"/>
      <c r="BD588" s="112"/>
      <c r="BE588" s="112"/>
      <c r="BF588" s="112"/>
      <c r="BG588" s="112"/>
      <c r="BH588" s="112"/>
      <c r="BI588" s="112"/>
      <c r="BJ588" s="112"/>
      <c r="BK588" s="112"/>
      <c r="BL588" s="112"/>
      <c r="BM588" s="112"/>
      <c r="BN588" s="112"/>
      <c r="BO588" s="112"/>
      <c r="BP588" s="112"/>
      <c r="BQ588" s="112"/>
      <c r="BR588" s="112"/>
      <c r="BS588" s="112"/>
      <c r="BT588" s="112"/>
      <c r="BU588" s="112"/>
      <c r="BV588" s="112"/>
      <c r="BW588" s="112"/>
      <c r="BX588" s="112"/>
      <c r="BY588" s="112"/>
      <c r="BZ588" s="112"/>
      <c r="CA588" s="112"/>
      <c r="CB588" s="112"/>
      <c r="CC588" s="112"/>
      <c r="CD588" s="112"/>
      <c r="CE588" s="112"/>
      <c r="CF588" s="112"/>
      <c r="CG588" s="112"/>
      <c r="CH588" s="112"/>
      <c r="CI588" s="112"/>
      <c r="CJ588" s="112"/>
      <c r="CK588" s="112"/>
      <c r="CL588" s="112"/>
      <c r="CM588" s="112"/>
      <c r="CN588" s="112"/>
      <c r="CO588" s="112"/>
      <c r="CP588" s="112"/>
      <c r="CQ588" s="112"/>
      <c r="CR588" s="112"/>
      <c r="CS588" s="112"/>
      <c r="CT588" s="112"/>
      <c r="CU588" s="112"/>
      <c r="CV588" s="112"/>
      <c r="CW588" s="112"/>
      <c r="CX588" s="112"/>
      <c r="CY588" s="112"/>
      <c r="CZ588" s="112"/>
      <c r="DA588" s="112"/>
      <c r="DB588" s="112"/>
      <c r="DC588" s="112"/>
      <c r="DD588" s="112"/>
      <c r="DE588" s="112"/>
      <c r="DF588" s="112"/>
      <c r="DG588" s="112"/>
      <c r="DH588" s="112"/>
      <c r="DI588" s="112"/>
      <c r="DJ588" s="112"/>
      <c r="DK588" s="112"/>
      <c r="DL588" s="112"/>
      <c r="DM588" s="112"/>
      <c r="DN588" s="112"/>
      <c r="DO588" s="112"/>
      <c r="DP588" s="112"/>
      <c r="DQ588" s="112"/>
      <c r="DR588" s="112"/>
      <c r="DS588" s="112"/>
      <c r="DT588" s="112"/>
    </row>
    <row r="589" spans="2:124" ht="21.75" customHeight="1" thickBot="1">
      <c r="B589" s="285"/>
      <c r="C589" s="286"/>
      <c r="D589" s="287"/>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c r="AA589" s="116"/>
      <c r="AB589" s="116"/>
      <c r="AC589" s="116"/>
      <c r="AD589" s="116"/>
      <c r="AE589" s="116"/>
      <c r="AF589" s="116"/>
      <c r="AG589" s="116"/>
      <c r="AH589" s="116"/>
      <c r="AI589" s="116"/>
      <c r="AJ589" s="116"/>
      <c r="AK589" s="116"/>
      <c r="AL589" s="116"/>
      <c r="AM589" s="112"/>
      <c r="AN589" s="112"/>
      <c r="AO589" s="112"/>
      <c r="AP589" s="112"/>
      <c r="AQ589" s="112"/>
      <c r="AR589" s="112"/>
      <c r="AS589" s="112"/>
      <c r="AT589" s="112"/>
      <c r="AU589" s="112"/>
      <c r="AV589" s="112"/>
      <c r="AW589" s="112"/>
      <c r="AX589" s="112"/>
      <c r="AY589" s="112"/>
      <c r="AZ589" s="112"/>
      <c r="BA589" s="112"/>
      <c r="BB589" s="112"/>
      <c r="BC589" s="112"/>
      <c r="BD589" s="112"/>
      <c r="BE589" s="112"/>
      <c r="BF589" s="112"/>
      <c r="BG589" s="112"/>
      <c r="BH589" s="112"/>
      <c r="BI589" s="112"/>
      <c r="BJ589" s="112"/>
      <c r="BK589" s="112"/>
      <c r="BL589" s="112"/>
      <c r="BM589" s="112"/>
      <c r="BN589" s="112"/>
      <c r="BO589" s="112"/>
      <c r="BP589" s="112"/>
      <c r="BQ589" s="112"/>
      <c r="BR589" s="112"/>
      <c r="BS589" s="112"/>
      <c r="BT589" s="112"/>
      <c r="BU589" s="112"/>
      <c r="BV589" s="112"/>
      <c r="BW589" s="112"/>
      <c r="BX589" s="112"/>
      <c r="BY589" s="112"/>
      <c r="BZ589" s="112"/>
      <c r="CA589" s="112"/>
      <c r="CB589" s="112"/>
      <c r="CC589" s="112"/>
      <c r="CD589" s="112"/>
      <c r="CE589" s="112"/>
      <c r="CF589" s="112"/>
      <c r="CG589" s="112"/>
      <c r="CH589" s="112"/>
      <c r="CI589" s="112"/>
      <c r="CJ589" s="112"/>
      <c r="CK589" s="112"/>
      <c r="CL589" s="112"/>
      <c r="CM589" s="112"/>
      <c r="CN589" s="112"/>
      <c r="CO589" s="112"/>
      <c r="CP589" s="112"/>
      <c r="CQ589" s="112"/>
      <c r="CR589" s="112"/>
      <c r="CS589" s="112"/>
      <c r="CT589" s="112"/>
      <c r="CU589" s="112"/>
      <c r="CV589" s="112"/>
      <c r="CW589" s="112"/>
      <c r="CX589" s="112"/>
      <c r="CY589" s="112"/>
      <c r="CZ589" s="112"/>
      <c r="DA589" s="112"/>
      <c r="DB589" s="112"/>
      <c r="DC589" s="112"/>
      <c r="DD589" s="112"/>
      <c r="DE589" s="112"/>
      <c r="DF589" s="112"/>
      <c r="DG589" s="112"/>
      <c r="DH589" s="112"/>
      <c r="DI589" s="112"/>
      <c r="DJ589" s="112"/>
      <c r="DK589" s="112"/>
      <c r="DL589" s="112"/>
      <c r="DM589" s="112"/>
      <c r="DN589" s="112"/>
      <c r="DO589" s="112"/>
      <c r="DP589" s="112"/>
      <c r="DQ589" s="112"/>
      <c r="DR589" s="112"/>
      <c r="DS589" s="112"/>
      <c r="DT589" s="112"/>
    </row>
    <row r="591" spans="2:124" ht="21.75" customHeight="1">
      <c r="B591" s="298" t="s">
        <v>314</v>
      </c>
      <c r="C591" s="298"/>
      <c r="D591" s="298"/>
      <c r="E591" s="298"/>
      <c r="F591" s="298"/>
      <c r="G591" s="298"/>
      <c r="H591" s="298"/>
    </row>
    <row r="592" spans="2:124" ht="21.75" customHeight="1">
      <c r="B592" s="299"/>
      <c r="C592" s="299"/>
      <c r="D592" s="299"/>
      <c r="E592" s="122">
        <v>41275</v>
      </c>
      <c r="F592" s="122">
        <v>41548</v>
      </c>
      <c r="G592" s="123"/>
      <c r="H592" s="123"/>
    </row>
    <row r="593" spans="2:8" ht="21.75" customHeight="1">
      <c r="B593" s="300" t="s">
        <v>568</v>
      </c>
      <c r="C593" s="300"/>
      <c r="D593" s="300"/>
      <c r="E593" s="124">
        <v>122</v>
      </c>
      <c r="F593" s="124">
        <v>155</v>
      </c>
      <c r="G593" s="124"/>
      <c r="H593" s="124"/>
    </row>
    <row r="594" spans="2:8" ht="21.75" customHeight="1">
      <c r="B594" s="300" t="s">
        <v>569</v>
      </c>
      <c r="C594" s="300"/>
      <c r="D594" s="300"/>
      <c r="E594" s="124">
        <v>160</v>
      </c>
      <c r="F594" s="125"/>
      <c r="G594" s="124"/>
      <c r="H594" s="124"/>
    </row>
    <row r="595" spans="2:8" ht="21.75" customHeight="1">
      <c r="B595" s="300" t="s">
        <v>570</v>
      </c>
      <c r="C595" s="300"/>
      <c r="D595" s="300"/>
      <c r="E595" s="124"/>
      <c r="F595" s="124">
        <v>90</v>
      </c>
      <c r="G595" s="124"/>
      <c r="H595" s="124"/>
    </row>
  </sheetData>
  <mergeCells count="4498">
    <mergeCell ref="B588:D589"/>
    <mergeCell ref="B591:H591"/>
    <mergeCell ref="B592:D592"/>
    <mergeCell ref="B593:D593"/>
    <mergeCell ref="B594:D594"/>
    <mergeCell ref="B595:D595"/>
    <mergeCell ref="B576:D577"/>
    <mergeCell ref="B578:D579"/>
    <mergeCell ref="B580:D581"/>
    <mergeCell ref="B582:D583"/>
    <mergeCell ref="B584:C585"/>
    <mergeCell ref="B586:D587"/>
    <mergeCell ref="DT564:DT565"/>
    <mergeCell ref="B566:D567"/>
    <mergeCell ref="B568:D569"/>
    <mergeCell ref="B570:D571"/>
    <mergeCell ref="B572:D573"/>
    <mergeCell ref="B574:D575"/>
    <mergeCell ref="DN564:DN565"/>
    <mergeCell ref="DO564:DO565"/>
    <mergeCell ref="DP564:DP565"/>
    <mergeCell ref="DQ564:DQ565"/>
    <mergeCell ref="DR564:DR565"/>
    <mergeCell ref="DS564:DS565"/>
    <mergeCell ref="DH564:DH565"/>
    <mergeCell ref="DI564:DI565"/>
    <mergeCell ref="DJ564:DJ565"/>
    <mergeCell ref="DK564:DK565"/>
    <mergeCell ref="DL564:DL565"/>
    <mergeCell ref="DM564:DM565"/>
    <mergeCell ref="DB564:DB565"/>
    <mergeCell ref="DC564:DC565"/>
    <mergeCell ref="DD564:DD565"/>
    <mergeCell ref="DE564:DE565"/>
    <mergeCell ref="DF564:DF565"/>
    <mergeCell ref="DG564:DG565"/>
    <mergeCell ref="CV564:CV565"/>
    <mergeCell ref="CW564:CW565"/>
    <mergeCell ref="CX564:CX565"/>
    <mergeCell ref="CY564:CY565"/>
    <mergeCell ref="CZ564:CZ565"/>
    <mergeCell ref="DA564:DA565"/>
    <mergeCell ref="CP564:CP565"/>
    <mergeCell ref="CQ564:CQ565"/>
    <mergeCell ref="CR564:CR565"/>
    <mergeCell ref="CS564:CS565"/>
    <mergeCell ref="CT564:CT565"/>
    <mergeCell ref="CU564:CU565"/>
    <mergeCell ref="CJ564:CJ565"/>
    <mergeCell ref="CK564:CK565"/>
    <mergeCell ref="CL564:CL565"/>
    <mergeCell ref="CM564:CM565"/>
    <mergeCell ref="CN564:CN565"/>
    <mergeCell ref="CO564:CO565"/>
    <mergeCell ref="CD564:CD565"/>
    <mergeCell ref="CE564:CE565"/>
    <mergeCell ref="CF564:CF565"/>
    <mergeCell ref="CG564:CG565"/>
    <mergeCell ref="CH564:CH565"/>
    <mergeCell ref="CI564:CI565"/>
    <mergeCell ref="BX564:BX565"/>
    <mergeCell ref="BY564:BY565"/>
    <mergeCell ref="BZ564:BZ565"/>
    <mergeCell ref="CA564:CA565"/>
    <mergeCell ref="CB564:CB565"/>
    <mergeCell ref="CC564:CC565"/>
    <mergeCell ref="BR564:BR565"/>
    <mergeCell ref="BS564:BS565"/>
    <mergeCell ref="BT564:BT565"/>
    <mergeCell ref="BU564:BU565"/>
    <mergeCell ref="BV564:BV565"/>
    <mergeCell ref="BW564:BW565"/>
    <mergeCell ref="BL564:BL565"/>
    <mergeCell ref="BM564:BM565"/>
    <mergeCell ref="BN564:BN565"/>
    <mergeCell ref="BO564:BO565"/>
    <mergeCell ref="BP564:BP565"/>
    <mergeCell ref="BQ564:BQ565"/>
    <mergeCell ref="BF564:BF565"/>
    <mergeCell ref="BG564:BG565"/>
    <mergeCell ref="BH564:BH565"/>
    <mergeCell ref="BI564:BI565"/>
    <mergeCell ref="BJ564:BJ565"/>
    <mergeCell ref="BK564:BK565"/>
    <mergeCell ref="AZ564:AZ565"/>
    <mergeCell ref="BA564:BA565"/>
    <mergeCell ref="BB564:BB565"/>
    <mergeCell ref="BC564:BC565"/>
    <mergeCell ref="BD564:BD565"/>
    <mergeCell ref="BE564:BE565"/>
    <mergeCell ref="AT564:AT565"/>
    <mergeCell ref="AU564:AU565"/>
    <mergeCell ref="AV564:AV565"/>
    <mergeCell ref="AW564:AW565"/>
    <mergeCell ref="AX564:AX565"/>
    <mergeCell ref="AY564:AY565"/>
    <mergeCell ref="AN564:AN565"/>
    <mergeCell ref="AO564:AO565"/>
    <mergeCell ref="AP564:AP565"/>
    <mergeCell ref="AQ564:AQ565"/>
    <mergeCell ref="AR564:AR565"/>
    <mergeCell ref="AS564:AS565"/>
    <mergeCell ref="AH564:AH565"/>
    <mergeCell ref="AI564:AI565"/>
    <mergeCell ref="AJ564:AJ565"/>
    <mergeCell ref="AK564:AK565"/>
    <mergeCell ref="AL564:AL565"/>
    <mergeCell ref="AM564:AM565"/>
    <mergeCell ref="AB564:AB565"/>
    <mergeCell ref="AC564:AC565"/>
    <mergeCell ref="AD564:AD565"/>
    <mergeCell ref="AE564:AE565"/>
    <mergeCell ref="AF564:AF565"/>
    <mergeCell ref="AG564:AG565"/>
    <mergeCell ref="V564:V565"/>
    <mergeCell ref="W564:W565"/>
    <mergeCell ref="X564:X565"/>
    <mergeCell ref="Y564:Y565"/>
    <mergeCell ref="Z564:Z565"/>
    <mergeCell ref="AA564:AA565"/>
    <mergeCell ref="P564:P565"/>
    <mergeCell ref="Q564:Q565"/>
    <mergeCell ref="R564:R565"/>
    <mergeCell ref="S564:S565"/>
    <mergeCell ref="T564:T565"/>
    <mergeCell ref="U564:U565"/>
    <mergeCell ref="J564:J565"/>
    <mergeCell ref="K564:K565"/>
    <mergeCell ref="L564:L565"/>
    <mergeCell ref="M564:M565"/>
    <mergeCell ref="N564:N565"/>
    <mergeCell ref="O564:O565"/>
    <mergeCell ref="DQ562:DQ563"/>
    <mergeCell ref="DR562:DR563"/>
    <mergeCell ref="DS562:DS563"/>
    <mergeCell ref="DT562:DT563"/>
    <mergeCell ref="B564:D565"/>
    <mergeCell ref="E564:E565"/>
    <mergeCell ref="F564:F565"/>
    <mergeCell ref="G564:G565"/>
    <mergeCell ref="H564:H565"/>
    <mergeCell ref="I564:I565"/>
    <mergeCell ref="DK562:DK563"/>
    <mergeCell ref="DL562:DL563"/>
    <mergeCell ref="DM562:DM563"/>
    <mergeCell ref="DN562:DN563"/>
    <mergeCell ref="DO562:DO563"/>
    <mergeCell ref="DP562:DP563"/>
    <mergeCell ref="DE562:DE563"/>
    <mergeCell ref="DF562:DF563"/>
    <mergeCell ref="DG562:DG563"/>
    <mergeCell ref="DH562:DH563"/>
    <mergeCell ref="DI562:DI563"/>
    <mergeCell ref="DJ562:DJ563"/>
    <mergeCell ref="CY562:CY563"/>
    <mergeCell ref="CZ562:CZ563"/>
    <mergeCell ref="DA562:DA563"/>
    <mergeCell ref="DB562:DB563"/>
    <mergeCell ref="DC562:DC563"/>
    <mergeCell ref="DD562:DD563"/>
    <mergeCell ref="CS562:CS563"/>
    <mergeCell ref="CT562:CT563"/>
    <mergeCell ref="CU562:CU563"/>
    <mergeCell ref="CV562:CV563"/>
    <mergeCell ref="CW562:CW563"/>
    <mergeCell ref="CX562:CX563"/>
    <mergeCell ref="CM562:CM563"/>
    <mergeCell ref="CN562:CN563"/>
    <mergeCell ref="CO562:CO563"/>
    <mergeCell ref="CP562:CP563"/>
    <mergeCell ref="CQ562:CQ563"/>
    <mergeCell ref="CR562:CR563"/>
    <mergeCell ref="CG562:CG563"/>
    <mergeCell ref="CH562:CH563"/>
    <mergeCell ref="CI562:CI563"/>
    <mergeCell ref="CJ562:CJ563"/>
    <mergeCell ref="CK562:CK563"/>
    <mergeCell ref="CL562:CL563"/>
    <mergeCell ref="CA562:CA563"/>
    <mergeCell ref="CB562:CB563"/>
    <mergeCell ref="CC562:CC563"/>
    <mergeCell ref="CD562:CD563"/>
    <mergeCell ref="CE562:CE563"/>
    <mergeCell ref="CF562:CF563"/>
    <mergeCell ref="BU562:BU563"/>
    <mergeCell ref="BV562:BV563"/>
    <mergeCell ref="BW562:BW563"/>
    <mergeCell ref="BX562:BX563"/>
    <mergeCell ref="BY562:BY563"/>
    <mergeCell ref="BZ562:BZ563"/>
    <mergeCell ref="BO562:BO563"/>
    <mergeCell ref="BP562:BP563"/>
    <mergeCell ref="BQ562:BQ563"/>
    <mergeCell ref="BR562:BR563"/>
    <mergeCell ref="BS562:BS563"/>
    <mergeCell ref="BT562:BT563"/>
    <mergeCell ref="BI562:BI563"/>
    <mergeCell ref="BJ562:BJ563"/>
    <mergeCell ref="BK562:BK563"/>
    <mergeCell ref="BL562:BL563"/>
    <mergeCell ref="BM562:BM563"/>
    <mergeCell ref="BN562:BN563"/>
    <mergeCell ref="BC562:BC563"/>
    <mergeCell ref="BD562:BD563"/>
    <mergeCell ref="BE562:BE563"/>
    <mergeCell ref="BF562:BF563"/>
    <mergeCell ref="BG562:BG563"/>
    <mergeCell ref="BH562:BH563"/>
    <mergeCell ref="AW562:AW563"/>
    <mergeCell ref="AX562:AX563"/>
    <mergeCell ref="AY562:AY563"/>
    <mergeCell ref="AZ562:AZ563"/>
    <mergeCell ref="BA562:BA563"/>
    <mergeCell ref="BB562:BB563"/>
    <mergeCell ref="AQ562:AQ563"/>
    <mergeCell ref="AR562:AR563"/>
    <mergeCell ref="AS562:AS563"/>
    <mergeCell ref="AT562:AT563"/>
    <mergeCell ref="AU562:AU563"/>
    <mergeCell ref="AV562:AV563"/>
    <mergeCell ref="AK562:AK563"/>
    <mergeCell ref="AL562:AL563"/>
    <mergeCell ref="AM562:AM563"/>
    <mergeCell ref="AN562:AN563"/>
    <mergeCell ref="AO562:AO563"/>
    <mergeCell ref="AP562:AP563"/>
    <mergeCell ref="AE562:AE563"/>
    <mergeCell ref="AF562:AF563"/>
    <mergeCell ref="AG562:AG563"/>
    <mergeCell ref="AH562:AH563"/>
    <mergeCell ref="AI562:AI563"/>
    <mergeCell ref="AJ562:AJ563"/>
    <mergeCell ref="Y562:Y563"/>
    <mergeCell ref="Z562:Z563"/>
    <mergeCell ref="AA562:AA563"/>
    <mergeCell ref="AB562:AB563"/>
    <mergeCell ref="AC562:AC563"/>
    <mergeCell ref="AD562:AD563"/>
    <mergeCell ref="S562:S563"/>
    <mergeCell ref="T562:T563"/>
    <mergeCell ref="U562:U563"/>
    <mergeCell ref="V562:V563"/>
    <mergeCell ref="W562:W563"/>
    <mergeCell ref="X562:X563"/>
    <mergeCell ref="M562:M563"/>
    <mergeCell ref="N562:N563"/>
    <mergeCell ref="O562:O563"/>
    <mergeCell ref="P562:P563"/>
    <mergeCell ref="Q562:Q563"/>
    <mergeCell ref="R562:R563"/>
    <mergeCell ref="DT560:DT561"/>
    <mergeCell ref="B562:D563"/>
    <mergeCell ref="E562:E563"/>
    <mergeCell ref="F562:F563"/>
    <mergeCell ref="G562:G563"/>
    <mergeCell ref="H562:H563"/>
    <mergeCell ref="I562:I563"/>
    <mergeCell ref="J562:J563"/>
    <mergeCell ref="K562:K563"/>
    <mergeCell ref="L562:L563"/>
    <mergeCell ref="DN560:DN561"/>
    <mergeCell ref="DO560:DO561"/>
    <mergeCell ref="DP560:DP561"/>
    <mergeCell ref="DQ560:DQ561"/>
    <mergeCell ref="DR560:DR561"/>
    <mergeCell ref="DS560:DS561"/>
    <mergeCell ref="DH560:DH561"/>
    <mergeCell ref="DI560:DI561"/>
    <mergeCell ref="DJ560:DJ561"/>
    <mergeCell ref="DK560:DK561"/>
    <mergeCell ref="DL560:DL561"/>
    <mergeCell ref="DM560:DM561"/>
    <mergeCell ref="DB560:DB561"/>
    <mergeCell ref="DC560:DC561"/>
    <mergeCell ref="DD560:DD561"/>
    <mergeCell ref="DE560:DE561"/>
    <mergeCell ref="DF560:DF561"/>
    <mergeCell ref="DG560:DG561"/>
    <mergeCell ref="CV560:CV561"/>
    <mergeCell ref="CW560:CW561"/>
    <mergeCell ref="CX560:CX561"/>
    <mergeCell ref="CY560:CY561"/>
    <mergeCell ref="CZ560:CZ561"/>
    <mergeCell ref="DA560:DA561"/>
    <mergeCell ref="CP560:CP561"/>
    <mergeCell ref="CQ560:CQ561"/>
    <mergeCell ref="CR560:CR561"/>
    <mergeCell ref="CS560:CS561"/>
    <mergeCell ref="CT560:CT561"/>
    <mergeCell ref="CU560:CU561"/>
    <mergeCell ref="CJ560:CJ561"/>
    <mergeCell ref="CK560:CK561"/>
    <mergeCell ref="CL560:CL561"/>
    <mergeCell ref="CM560:CM561"/>
    <mergeCell ref="CN560:CN561"/>
    <mergeCell ref="CO560:CO561"/>
    <mergeCell ref="CD560:CD561"/>
    <mergeCell ref="CE560:CE561"/>
    <mergeCell ref="CF560:CF561"/>
    <mergeCell ref="CG560:CG561"/>
    <mergeCell ref="CH560:CH561"/>
    <mergeCell ref="CI560:CI561"/>
    <mergeCell ref="BX560:BX561"/>
    <mergeCell ref="BY560:BY561"/>
    <mergeCell ref="BZ560:BZ561"/>
    <mergeCell ref="CA560:CA561"/>
    <mergeCell ref="CB560:CB561"/>
    <mergeCell ref="CC560:CC561"/>
    <mergeCell ref="BR560:BR561"/>
    <mergeCell ref="BS560:BS561"/>
    <mergeCell ref="BT560:BT561"/>
    <mergeCell ref="BU560:BU561"/>
    <mergeCell ref="BV560:BV561"/>
    <mergeCell ref="BW560:BW561"/>
    <mergeCell ref="BL560:BL561"/>
    <mergeCell ref="BM560:BM561"/>
    <mergeCell ref="BN560:BN561"/>
    <mergeCell ref="BO560:BO561"/>
    <mergeCell ref="BP560:BP561"/>
    <mergeCell ref="BQ560:BQ561"/>
    <mergeCell ref="BF560:BF561"/>
    <mergeCell ref="BG560:BG561"/>
    <mergeCell ref="BH560:BH561"/>
    <mergeCell ref="BI560:BI561"/>
    <mergeCell ref="BJ560:BJ561"/>
    <mergeCell ref="BK560:BK561"/>
    <mergeCell ref="AZ560:AZ561"/>
    <mergeCell ref="BA560:BA561"/>
    <mergeCell ref="BB560:BB561"/>
    <mergeCell ref="BC560:BC561"/>
    <mergeCell ref="BD560:BD561"/>
    <mergeCell ref="BE560:BE561"/>
    <mergeCell ref="AT560:AT561"/>
    <mergeCell ref="AU560:AU561"/>
    <mergeCell ref="AV560:AV561"/>
    <mergeCell ref="AW560:AW561"/>
    <mergeCell ref="AX560:AX561"/>
    <mergeCell ref="AY560:AY561"/>
    <mergeCell ref="AN560:AN561"/>
    <mergeCell ref="AO560:AO561"/>
    <mergeCell ref="AP560:AP561"/>
    <mergeCell ref="AQ560:AQ561"/>
    <mergeCell ref="AR560:AR561"/>
    <mergeCell ref="AS560:AS561"/>
    <mergeCell ref="AH560:AH561"/>
    <mergeCell ref="AI560:AI561"/>
    <mergeCell ref="AJ560:AJ561"/>
    <mergeCell ref="AK560:AK561"/>
    <mergeCell ref="AL560:AL561"/>
    <mergeCell ref="AM560:AM561"/>
    <mergeCell ref="AB560:AB561"/>
    <mergeCell ref="AC560:AC561"/>
    <mergeCell ref="AD560:AD561"/>
    <mergeCell ref="AE560:AE561"/>
    <mergeCell ref="AF560:AF561"/>
    <mergeCell ref="AG560:AG561"/>
    <mergeCell ref="V560:V561"/>
    <mergeCell ref="W560:W561"/>
    <mergeCell ref="X560:X561"/>
    <mergeCell ref="Y560:Y561"/>
    <mergeCell ref="Z560:Z561"/>
    <mergeCell ref="AA560:AA561"/>
    <mergeCell ref="P560:P561"/>
    <mergeCell ref="Q560:Q561"/>
    <mergeCell ref="R560:R561"/>
    <mergeCell ref="S560:S561"/>
    <mergeCell ref="T560:T561"/>
    <mergeCell ref="U560:U561"/>
    <mergeCell ref="J560:J561"/>
    <mergeCell ref="K560:K561"/>
    <mergeCell ref="L560:L561"/>
    <mergeCell ref="M560:M561"/>
    <mergeCell ref="N560:N561"/>
    <mergeCell ref="O560:O561"/>
    <mergeCell ref="DQ554:DQ559"/>
    <mergeCell ref="DR554:DR559"/>
    <mergeCell ref="DS554:DS559"/>
    <mergeCell ref="DT554:DT559"/>
    <mergeCell ref="B560:D561"/>
    <mergeCell ref="E560:E561"/>
    <mergeCell ref="F560:F561"/>
    <mergeCell ref="G560:G561"/>
    <mergeCell ref="H560:H561"/>
    <mergeCell ref="I560:I561"/>
    <mergeCell ref="DK554:DK559"/>
    <mergeCell ref="DL554:DL559"/>
    <mergeCell ref="DM554:DM559"/>
    <mergeCell ref="DN554:DN559"/>
    <mergeCell ref="DO554:DO559"/>
    <mergeCell ref="DP554:DP559"/>
    <mergeCell ref="DE554:DE559"/>
    <mergeCell ref="DF554:DF559"/>
    <mergeCell ref="DG554:DG559"/>
    <mergeCell ref="DH554:DH559"/>
    <mergeCell ref="DI554:DI559"/>
    <mergeCell ref="DJ554:DJ559"/>
    <mergeCell ref="CY554:CY559"/>
    <mergeCell ref="CZ554:CZ559"/>
    <mergeCell ref="DA554:DA559"/>
    <mergeCell ref="DB554:DB559"/>
    <mergeCell ref="DC554:DC559"/>
    <mergeCell ref="DD554:DD559"/>
    <mergeCell ref="CS554:CS559"/>
    <mergeCell ref="CT554:CT559"/>
    <mergeCell ref="CU554:CU559"/>
    <mergeCell ref="CV554:CV559"/>
    <mergeCell ref="CW554:CW559"/>
    <mergeCell ref="CX554:CX559"/>
    <mergeCell ref="CM554:CM559"/>
    <mergeCell ref="CN554:CN559"/>
    <mergeCell ref="CO554:CO559"/>
    <mergeCell ref="CP554:CP559"/>
    <mergeCell ref="CQ554:CQ559"/>
    <mergeCell ref="CR554:CR559"/>
    <mergeCell ref="CG554:CG559"/>
    <mergeCell ref="CH554:CH559"/>
    <mergeCell ref="CI554:CI559"/>
    <mergeCell ref="CJ554:CJ559"/>
    <mergeCell ref="CK554:CK559"/>
    <mergeCell ref="CL554:CL559"/>
    <mergeCell ref="CA554:CA559"/>
    <mergeCell ref="CB554:CB559"/>
    <mergeCell ref="CC554:CC559"/>
    <mergeCell ref="CD554:CD559"/>
    <mergeCell ref="CE554:CE559"/>
    <mergeCell ref="CF554:CF559"/>
    <mergeCell ref="BU554:BU559"/>
    <mergeCell ref="BV554:BV559"/>
    <mergeCell ref="BW554:BW559"/>
    <mergeCell ref="BX554:BX559"/>
    <mergeCell ref="BY554:BY559"/>
    <mergeCell ref="BZ554:BZ559"/>
    <mergeCell ref="BO554:BO559"/>
    <mergeCell ref="BP554:BP559"/>
    <mergeCell ref="BQ554:BQ559"/>
    <mergeCell ref="BR554:BR559"/>
    <mergeCell ref="BS554:BS559"/>
    <mergeCell ref="BT554:BT559"/>
    <mergeCell ref="BI554:BI559"/>
    <mergeCell ref="BJ554:BJ559"/>
    <mergeCell ref="BK554:BK559"/>
    <mergeCell ref="BL554:BL559"/>
    <mergeCell ref="BM554:BM559"/>
    <mergeCell ref="BN554:BN559"/>
    <mergeCell ref="BC554:BC559"/>
    <mergeCell ref="BD554:BD559"/>
    <mergeCell ref="BE554:BE559"/>
    <mergeCell ref="BF554:BF559"/>
    <mergeCell ref="BG554:BG559"/>
    <mergeCell ref="BH554:BH559"/>
    <mergeCell ref="AW554:AW559"/>
    <mergeCell ref="AX554:AX559"/>
    <mergeCell ref="AY554:AY559"/>
    <mergeCell ref="AZ554:AZ559"/>
    <mergeCell ref="BA554:BA559"/>
    <mergeCell ref="BB554:BB559"/>
    <mergeCell ref="AQ554:AQ559"/>
    <mergeCell ref="AR554:AR559"/>
    <mergeCell ref="AS554:AS559"/>
    <mergeCell ref="AT554:AT559"/>
    <mergeCell ref="AU554:AU559"/>
    <mergeCell ref="AV554:AV559"/>
    <mergeCell ref="AL554:AL559"/>
    <mergeCell ref="AM554:AM559"/>
    <mergeCell ref="AN554:AN559"/>
    <mergeCell ref="AO554:AO559"/>
    <mergeCell ref="AP554:AP559"/>
    <mergeCell ref="AE554:AE559"/>
    <mergeCell ref="AF554:AF559"/>
    <mergeCell ref="AG554:AG559"/>
    <mergeCell ref="AH554:AH559"/>
    <mergeCell ref="AI554:AI559"/>
    <mergeCell ref="AJ554:AJ559"/>
    <mergeCell ref="Y554:Y559"/>
    <mergeCell ref="Z554:Z559"/>
    <mergeCell ref="AA554:AA559"/>
    <mergeCell ref="AB554:AB559"/>
    <mergeCell ref="AC554:AC559"/>
    <mergeCell ref="AD554:AD559"/>
    <mergeCell ref="U554:U559"/>
    <mergeCell ref="V554:V559"/>
    <mergeCell ref="W554:W559"/>
    <mergeCell ref="X554:X559"/>
    <mergeCell ref="M554:M559"/>
    <mergeCell ref="N554:N559"/>
    <mergeCell ref="O554:O559"/>
    <mergeCell ref="P554:P559"/>
    <mergeCell ref="Q554:Q559"/>
    <mergeCell ref="R554:R559"/>
    <mergeCell ref="G554:G559"/>
    <mergeCell ref="H554:H559"/>
    <mergeCell ref="I554:I559"/>
    <mergeCell ref="J554:J559"/>
    <mergeCell ref="K554:K559"/>
    <mergeCell ref="L554:L559"/>
    <mergeCell ref="AK554:AK559"/>
    <mergeCell ref="B554:D559"/>
    <mergeCell ref="E554:E559"/>
    <mergeCell ref="F554:F559"/>
    <mergeCell ref="B539:D540"/>
    <mergeCell ref="B541:C542"/>
    <mergeCell ref="B543:D544"/>
    <mergeCell ref="B545:D546"/>
    <mergeCell ref="B547:D548"/>
    <mergeCell ref="B549:H549"/>
    <mergeCell ref="B527:D528"/>
    <mergeCell ref="B529:D530"/>
    <mergeCell ref="B531:D532"/>
    <mergeCell ref="B533:D534"/>
    <mergeCell ref="B535:D536"/>
    <mergeCell ref="B537:D538"/>
    <mergeCell ref="S554:S559"/>
    <mergeCell ref="T554:T559"/>
    <mergeCell ref="B550:D550"/>
    <mergeCell ref="B551:D551"/>
    <mergeCell ref="B552:D552"/>
    <mergeCell ref="DO518:DO519"/>
    <mergeCell ref="DP518:DP519"/>
    <mergeCell ref="DQ518:DQ519"/>
    <mergeCell ref="DR518:DR519"/>
    <mergeCell ref="DS518:DS519"/>
    <mergeCell ref="DT518:DT519"/>
    <mergeCell ref="DI518:DI519"/>
    <mergeCell ref="DJ518:DJ519"/>
    <mergeCell ref="DK518:DK519"/>
    <mergeCell ref="DL518:DL519"/>
    <mergeCell ref="DM518:DM519"/>
    <mergeCell ref="DN518:DN519"/>
    <mergeCell ref="DC518:DC519"/>
    <mergeCell ref="DD518:DD519"/>
    <mergeCell ref="DE518:DE519"/>
    <mergeCell ref="DF518:DF519"/>
    <mergeCell ref="DG518:DG519"/>
    <mergeCell ref="DH518:DH519"/>
    <mergeCell ref="CW518:CW519"/>
    <mergeCell ref="CX518:CX519"/>
    <mergeCell ref="CY518:CY519"/>
    <mergeCell ref="CZ518:CZ519"/>
    <mergeCell ref="DA518:DA519"/>
    <mergeCell ref="DB518:DB519"/>
    <mergeCell ref="CQ518:CQ519"/>
    <mergeCell ref="CR518:CR519"/>
    <mergeCell ref="CS518:CS519"/>
    <mergeCell ref="CT518:CT519"/>
    <mergeCell ref="CU518:CU519"/>
    <mergeCell ref="CV518:CV519"/>
    <mergeCell ref="CK518:CK519"/>
    <mergeCell ref="CL518:CL519"/>
    <mergeCell ref="CM518:CM519"/>
    <mergeCell ref="CN518:CN519"/>
    <mergeCell ref="CO518:CO519"/>
    <mergeCell ref="CP518:CP519"/>
    <mergeCell ref="CE518:CE519"/>
    <mergeCell ref="CF518:CF519"/>
    <mergeCell ref="CG518:CG519"/>
    <mergeCell ref="CH518:CH519"/>
    <mergeCell ref="CI518:CI519"/>
    <mergeCell ref="CJ518:CJ519"/>
    <mergeCell ref="BY518:BY519"/>
    <mergeCell ref="BZ518:BZ519"/>
    <mergeCell ref="CA518:CA519"/>
    <mergeCell ref="CB518:CB519"/>
    <mergeCell ref="CC518:CC519"/>
    <mergeCell ref="CD518:CD519"/>
    <mergeCell ref="BS518:BS519"/>
    <mergeCell ref="BT518:BT519"/>
    <mergeCell ref="BU518:BU519"/>
    <mergeCell ref="BV518:BV519"/>
    <mergeCell ref="BW518:BW519"/>
    <mergeCell ref="BX518:BX519"/>
    <mergeCell ref="BM518:BM519"/>
    <mergeCell ref="BN518:BN519"/>
    <mergeCell ref="BO518:BO519"/>
    <mergeCell ref="BP518:BP519"/>
    <mergeCell ref="BQ518:BQ519"/>
    <mergeCell ref="BR518:BR519"/>
    <mergeCell ref="BG518:BG519"/>
    <mergeCell ref="BH518:BH519"/>
    <mergeCell ref="BI518:BI519"/>
    <mergeCell ref="BJ518:BJ519"/>
    <mergeCell ref="BK518:BK519"/>
    <mergeCell ref="BL518:BL519"/>
    <mergeCell ref="BA518:BA519"/>
    <mergeCell ref="BB518:BB519"/>
    <mergeCell ref="BC518:BC519"/>
    <mergeCell ref="BD518:BD519"/>
    <mergeCell ref="BE518:BE519"/>
    <mergeCell ref="BF518:BF519"/>
    <mergeCell ref="S518:S519"/>
    <mergeCell ref="T518:T519"/>
    <mergeCell ref="U518:U519"/>
    <mergeCell ref="V518:V519"/>
    <mergeCell ref="AU518:AU519"/>
    <mergeCell ref="AV518:AV519"/>
    <mergeCell ref="AW518:AW519"/>
    <mergeCell ref="AX518:AX519"/>
    <mergeCell ref="AY518:AY519"/>
    <mergeCell ref="AZ518:AZ519"/>
    <mergeCell ref="AO518:AO519"/>
    <mergeCell ref="AP518:AP519"/>
    <mergeCell ref="AQ518:AQ519"/>
    <mergeCell ref="AR518:AR519"/>
    <mergeCell ref="AS518:AS519"/>
    <mergeCell ref="AT518:AT519"/>
    <mergeCell ref="AI518:AI519"/>
    <mergeCell ref="AJ518:AJ519"/>
    <mergeCell ref="AK518:AK519"/>
    <mergeCell ref="AL518:AL519"/>
    <mergeCell ref="AM518:AM519"/>
    <mergeCell ref="AN518:AN519"/>
    <mergeCell ref="DR512:DR517"/>
    <mergeCell ref="DS512:DS517"/>
    <mergeCell ref="DT512:DT517"/>
    <mergeCell ref="B518:D519"/>
    <mergeCell ref="E518:E519"/>
    <mergeCell ref="F518:F519"/>
    <mergeCell ref="G518:G519"/>
    <mergeCell ref="H518:H519"/>
    <mergeCell ref="I518:I519"/>
    <mergeCell ref="J518:J519"/>
    <mergeCell ref="DL512:DL517"/>
    <mergeCell ref="DM512:DM517"/>
    <mergeCell ref="DN512:DN517"/>
    <mergeCell ref="DO512:DO517"/>
    <mergeCell ref="DP512:DP517"/>
    <mergeCell ref="DQ512:DQ517"/>
    <mergeCell ref="DF512:DF517"/>
    <mergeCell ref="DG512:DG517"/>
    <mergeCell ref="DH512:DH517"/>
    <mergeCell ref="DI512:DI517"/>
    <mergeCell ref="DJ512:DJ517"/>
    <mergeCell ref="DK512:DK517"/>
    <mergeCell ref="CZ512:CZ517"/>
    <mergeCell ref="DA512:DA517"/>
    <mergeCell ref="DB512:DB517"/>
    <mergeCell ref="DC512:DC517"/>
    <mergeCell ref="AC518:AC519"/>
    <mergeCell ref="AD518:AD519"/>
    <mergeCell ref="AE518:AE519"/>
    <mergeCell ref="AF518:AF519"/>
    <mergeCell ref="AG518:AG519"/>
    <mergeCell ref="AH518:AH519"/>
    <mergeCell ref="DD512:DD517"/>
    <mergeCell ref="DE512:DE517"/>
    <mergeCell ref="CT512:CT517"/>
    <mergeCell ref="CU512:CU517"/>
    <mergeCell ref="CV512:CV517"/>
    <mergeCell ref="CW512:CW517"/>
    <mergeCell ref="CX512:CX517"/>
    <mergeCell ref="CY512:CY517"/>
    <mergeCell ref="CN512:CN517"/>
    <mergeCell ref="CO512:CO517"/>
    <mergeCell ref="CP512:CP517"/>
    <mergeCell ref="CQ512:CQ517"/>
    <mergeCell ref="CR512:CR517"/>
    <mergeCell ref="CS512:CS517"/>
    <mergeCell ref="CH512:CH517"/>
    <mergeCell ref="CI512:CI517"/>
    <mergeCell ref="CJ512:CJ517"/>
    <mergeCell ref="CK512:CK517"/>
    <mergeCell ref="CL512:CL517"/>
    <mergeCell ref="CM512:CM517"/>
    <mergeCell ref="CB512:CB517"/>
    <mergeCell ref="CC512:CC517"/>
    <mergeCell ref="CD512:CD517"/>
    <mergeCell ref="CE512:CE517"/>
    <mergeCell ref="CF512:CF517"/>
    <mergeCell ref="CG512:CG517"/>
    <mergeCell ref="BV512:BV517"/>
    <mergeCell ref="BW512:BW517"/>
    <mergeCell ref="BX512:BX517"/>
    <mergeCell ref="BY512:BY517"/>
    <mergeCell ref="BZ512:BZ517"/>
    <mergeCell ref="CA512:CA517"/>
    <mergeCell ref="BP512:BP517"/>
    <mergeCell ref="BQ512:BQ517"/>
    <mergeCell ref="BR512:BR517"/>
    <mergeCell ref="BS512:BS517"/>
    <mergeCell ref="BT512:BT517"/>
    <mergeCell ref="BU512:BU517"/>
    <mergeCell ref="BJ512:BJ517"/>
    <mergeCell ref="BK512:BK517"/>
    <mergeCell ref="BL512:BL517"/>
    <mergeCell ref="BM512:BM517"/>
    <mergeCell ref="BN512:BN517"/>
    <mergeCell ref="BO512:BO517"/>
    <mergeCell ref="BD512:BD517"/>
    <mergeCell ref="BE512:BE517"/>
    <mergeCell ref="BF512:BF517"/>
    <mergeCell ref="BG512:BG517"/>
    <mergeCell ref="BH512:BH517"/>
    <mergeCell ref="BI512:BI517"/>
    <mergeCell ref="AX512:AX517"/>
    <mergeCell ref="AY512:AY517"/>
    <mergeCell ref="AZ512:AZ517"/>
    <mergeCell ref="BA512:BA517"/>
    <mergeCell ref="BB512:BB517"/>
    <mergeCell ref="BC512:BC517"/>
    <mergeCell ref="AR512:AR517"/>
    <mergeCell ref="AS512:AS517"/>
    <mergeCell ref="AT512:AT517"/>
    <mergeCell ref="AU512:AU517"/>
    <mergeCell ref="AV512:AV517"/>
    <mergeCell ref="AW512:AW517"/>
    <mergeCell ref="AL512:AL517"/>
    <mergeCell ref="AM512:AM517"/>
    <mergeCell ref="AN512:AN517"/>
    <mergeCell ref="AO512:AO517"/>
    <mergeCell ref="AP512:AP517"/>
    <mergeCell ref="AQ512:AQ517"/>
    <mergeCell ref="AF512:AF517"/>
    <mergeCell ref="AG512:AG517"/>
    <mergeCell ref="AH512:AH517"/>
    <mergeCell ref="AI512:AI517"/>
    <mergeCell ref="AJ512:AJ517"/>
    <mergeCell ref="AK512:AK517"/>
    <mergeCell ref="Z512:Z517"/>
    <mergeCell ref="AA512:AA517"/>
    <mergeCell ref="AB512:AB517"/>
    <mergeCell ref="AC512:AC517"/>
    <mergeCell ref="AD512:AD517"/>
    <mergeCell ref="AE512:AE517"/>
    <mergeCell ref="T512:T517"/>
    <mergeCell ref="U512:U517"/>
    <mergeCell ref="V512:V517"/>
    <mergeCell ref="W512:W517"/>
    <mergeCell ref="X512:X517"/>
    <mergeCell ref="Y512:Y517"/>
    <mergeCell ref="N512:N517"/>
    <mergeCell ref="O512:O517"/>
    <mergeCell ref="P512:P517"/>
    <mergeCell ref="Q512:Q517"/>
    <mergeCell ref="R512:R517"/>
    <mergeCell ref="S512:S517"/>
    <mergeCell ref="N518:N519"/>
    <mergeCell ref="O518:O519"/>
    <mergeCell ref="P518:P519"/>
    <mergeCell ref="W518:W519"/>
    <mergeCell ref="X518:X519"/>
    <mergeCell ref="Y518:Y519"/>
    <mergeCell ref="Z518:Z519"/>
    <mergeCell ref="AA518:AA519"/>
    <mergeCell ref="AB518:AB519"/>
    <mergeCell ref="Q518:Q519"/>
    <mergeCell ref="R518:R519"/>
    <mergeCell ref="BY463:BY464"/>
    <mergeCell ref="BZ463:BZ464"/>
    <mergeCell ref="CA463:CA464"/>
    <mergeCell ref="CB463:CB464"/>
    <mergeCell ref="CC463:CC464"/>
    <mergeCell ref="CD463:CD464"/>
    <mergeCell ref="BS463:BS464"/>
    <mergeCell ref="BT463:BT464"/>
    <mergeCell ref="BU463:BU464"/>
    <mergeCell ref="BV463:BV464"/>
    <mergeCell ref="BW463:BW464"/>
    <mergeCell ref="BX463:BX464"/>
    <mergeCell ref="BM463:BM464"/>
    <mergeCell ref="BN463:BN464"/>
    <mergeCell ref="BO463:BO464"/>
    <mergeCell ref="BP463:BP464"/>
    <mergeCell ref="BQ463:BQ464"/>
    <mergeCell ref="BR463:BR464"/>
    <mergeCell ref="BG463:BG464"/>
    <mergeCell ref="BH463:BH464"/>
    <mergeCell ref="BI463:BI464"/>
    <mergeCell ref="H512:H517"/>
    <mergeCell ref="I512:I517"/>
    <mergeCell ref="J512:J517"/>
    <mergeCell ref="K512:K517"/>
    <mergeCell ref="L512:L517"/>
    <mergeCell ref="M512:M517"/>
    <mergeCell ref="B509:D510"/>
    <mergeCell ref="A512:A553"/>
    <mergeCell ref="B512:D517"/>
    <mergeCell ref="E512:E517"/>
    <mergeCell ref="F512:F517"/>
    <mergeCell ref="G512:G517"/>
    <mergeCell ref="B520:D520"/>
    <mergeCell ref="B521:D522"/>
    <mergeCell ref="B523:D524"/>
    <mergeCell ref="B525:D526"/>
    <mergeCell ref="B497:D498"/>
    <mergeCell ref="B499:D500"/>
    <mergeCell ref="B501:D502"/>
    <mergeCell ref="B503:C504"/>
    <mergeCell ref="B505:D506"/>
    <mergeCell ref="B507:D508"/>
    <mergeCell ref="K518:K519"/>
    <mergeCell ref="L518:L519"/>
    <mergeCell ref="M518:M519"/>
    <mergeCell ref="CQ463:CQ464"/>
    <mergeCell ref="CR463:CR464"/>
    <mergeCell ref="CS463:CS464"/>
    <mergeCell ref="CT463:CT464"/>
    <mergeCell ref="CU463:CU464"/>
    <mergeCell ref="CV463:CV464"/>
    <mergeCell ref="CK463:CK464"/>
    <mergeCell ref="CL463:CL464"/>
    <mergeCell ref="CM463:CM464"/>
    <mergeCell ref="CN463:CN464"/>
    <mergeCell ref="CO463:CO464"/>
    <mergeCell ref="CP463:CP464"/>
    <mergeCell ref="CE463:CE464"/>
    <mergeCell ref="CF463:CF464"/>
    <mergeCell ref="CG463:CG464"/>
    <mergeCell ref="CH463:CH464"/>
    <mergeCell ref="CI463:CI464"/>
    <mergeCell ref="CJ463:CJ464"/>
    <mergeCell ref="DT463:DT464"/>
    <mergeCell ref="DI463:DI464"/>
    <mergeCell ref="DJ463:DJ464"/>
    <mergeCell ref="DK463:DK464"/>
    <mergeCell ref="DL463:DL464"/>
    <mergeCell ref="DM463:DM464"/>
    <mergeCell ref="DN463:DN464"/>
    <mergeCell ref="DC463:DC464"/>
    <mergeCell ref="DD463:DD464"/>
    <mergeCell ref="DE463:DE464"/>
    <mergeCell ref="DF463:DF464"/>
    <mergeCell ref="DG463:DG464"/>
    <mergeCell ref="DH463:DH464"/>
    <mergeCell ref="CW463:CW464"/>
    <mergeCell ref="CX463:CX464"/>
    <mergeCell ref="CY463:CY464"/>
    <mergeCell ref="CZ463:CZ464"/>
    <mergeCell ref="DA463:DA464"/>
    <mergeCell ref="DB463:DB464"/>
    <mergeCell ref="DO463:DO464"/>
    <mergeCell ref="DP463:DP464"/>
    <mergeCell ref="DQ463:DQ464"/>
    <mergeCell ref="DR463:DR464"/>
    <mergeCell ref="DS463:DS464"/>
    <mergeCell ref="BJ463:BJ464"/>
    <mergeCell ref="BK463:BK464"/>
    <mergeCell ref="BL463:BL464"/>
    <mergeCell ref="BB463:BB464"/>
    <mergeCell ref="BC463:BC464"/>
    <mergeCell ref="BD463:BD464"/>
    <mergeCell ref="BE463:BE464"/>
    <mergeCell ref="BF463:BF464"/>
    <mergeCell ref="AU463:AU464"/>
    <mergeCell ref="AV463:AV464"/>
    <mergeCell ref="AW463:AW464"/>
    <mergeCell ref="AX463:AX464"/>
    <mergeCell ref="AY463:AY464"/>
    <mergeCell ref="AZ463:AZ464"/>
    <mergeCell ref="AO463:AO464"/>
    <mergeCell ref="AP463:AP464"/>
    <mergeCell ref="AQ463:AQ464"/>
    <mergeCell ref="AR463:AR464"/>
    <mergeCell ref="AS463:AS464"/>
    <mergeCell ref="AT463:AT464"/>
    <mergeCell ref="AK463:AK464"/>
    <mergeCell ref="AL463:AL464"/>
    <mergeCell ref="AM463:AM464"/>
    <mergeCell ref="AN463:AN464"/>
    <mergeCell ref="AC463:AC464"/>
    <mergeCell ref="AD463:AD464"/>
    <mergeCell ref="AE463:AE464"/>
    <mergeCell ref="AF463:AF464"/>
    <mergeCell ref="AG463:AG464"/>
    <mergeCell ref="AH463:AH464"/>
    <mergeCell ref="W463:W464"/>
    <mergeCell ref="X463:X464"/>
    <mergeCell ref="Y463:Y464"/>
    <mergeCell ref="Z463:Z464"/>
    <mergeCell ref="AA463:AA464"/>
    <mergeCell ref="AB463:AB464"/>
    <mergeCell ref="BA463:BA464"/>
    <mergeCell ref="S463:S464"/>
    <mergeCell ref="T463:T464"/>
    <mergeCell ref="U463:U464"/>
    <mergeCell ref="V463:V464"/>
    <mergeCell ref="K463:K464"/>
    <mergeCell ref="L463:L464"/>
    <mergeCell ref="M463:M464"/>
    <mergeCell ref="N463:N464"/>
    <mergeCell ref="O463:O464"/>
    <mergeCell ref="P463:P464"/>
    <mergeCell ref="DS460:DS461"/>
    <mergeCell ref="DT460:DT461"/>
    <mergeCell ref="B462:D462"/>
    <mergeCell ref="B463:D464"/>
    <mergeCell ref="E463:E464"/>
    <mergeCell ref="F463:F464"/>
    <mergeCell ref="G463:G464"/>
    <mergeCell ref="H463:H464"/>
    <mergeCell ref="I463:I464"/>
    <mergeCell ref="J463:J464"/>
    <mergeCell ref="DM460:DM461"/>
    <mergeCell ref="DN460:DN461"/>
    <mergeCell ref="DO460:DO461"/>
    <mergeCell ref="DP460:DP461"/>
    <mergeCell ref="DQ460:DQ461"/>
    <mergeCell ref="DR460:DR461"/>
    <mergeCell ref="DG460:DG461"/>
    <mergeCell ref="DH460:DH461"/>
    <mergeCell ref="DI460:DI461"/>
    <mergeCell ref="DJ460:DJ461"/>
    <mergeCell ref="AI463:AI464"/>
    <mergeCell ref="AJ463:AJ464"/>
    <mergeCell ref="DK460:DK461"/>
    <mergeCell ref="DL460:DL461"/>
    <mergeCell ref="DA460:DA461"/>
    <mergeCell ref="DB460:DB461"/>
    <mergeCell ref="DC460:DC461"/>
    <mergeCell ref="DD460:DD461"/>
    <mergeCell ref="DE460:DE461"/>
    <mergeCell ref="DF460:DF461"/>
    <mergeCell ref="CU460:CU461"/>
    <mergeCell ref="CV460:CV461"/>
    <mergeCell ref="CW460:CW461"/>
    <mergeCell ref="CX460:CX461"/>
    <mergeCell ref="CY460:CY461"/>
    <mergeCell ref="CZ460:CZ461"/>
    <mergeCell ref="CO460:CO461"/>
    <mergeCell ref="CP460:CP461"/>
    <mergeCell ref="CQ460:CQ461"/>
    <mergeCell ref="CR460:CR461"/>
    <mergeCell ref="CS460:CS461"/>
    <mergeCell ref="CT460:CT461"/>
    <mergeCell ref="CJ460:CJ461"/>
    <mergeCell ref="CK460:CK461"/>
    <mergeCell ref="CL460:CL461"/>
    <mergeCell ref="CM460:CM461"/>
    <mergeCell ref="CN460:CN461"/>
    <mergeCell ref="CC460:CC461"/>
    <mergeCell ref="CD460:CD461"/>
    <mergeCell ref="CE460:CE461"/>
    <mergeCell ref="CF460:CF461"/>
    <mergeCell ref="CG460:CG461"/>
    <mergeCell ref="CH460:CH461"/>
    <mergeCell ref="BW460:BW461"/>
    <mergeCell ref="BX460:BX461"/>
    <mergeCell ref="BY460:BY461"/>
    <mergeCell ref="BZ460:BZ461"/>
    <mergeCell ref="CA460:CA461"/>
    <mergeCell ref="CB460:CB461"/>
    <mergeCell ref="BS460:BS461"/>
    <mergeCell ref="BT460:BT461"/>
    <mergeCell ref="BU460:BU461"/>
    <mergeCell ref="BV460:BV461"/>
    <mergeCell ref="BK460:BK461"/>
    <mergeCell ref="BL460:BL461"/>
    <mergeCell ref="BM460:BM461"/>
    <mergeCell ref="BN460:BN461"/>
    <mergeCell ref="BO460:BO461"/>
    <mergeCell ref="BP460:BP461"/>
    <mergeCell ref="BE460:BE461"/>
    <mergeCell ref="BF460:BF461"/>
    <mergeCell ref="BG460:BG461"/>
    <mergeCell ref="BH460:BH461"/>
    <mergeCell ref="BI460:BI461"/>
    <mergeCell ref="BJ460:BJ461"/>
    <mergeCell ref="CI460:CI461"/>
    <mergeCell ref="BB460:BB461"/>
    <mergeCell ref="BC460:BC461"/>
    <mergeCell ref="BD460:BD461"/>
    <mergeCell ref="AS460:AS461"/>
    <mergeCell ref="AT460:AT461"/>
    <mergeCell ref="AU460:AU461"/>
    <mergeCell ref="AV460:AV461"/>
    <mergeCell ref="AW460:AW461"/>
    <mergeCell ref="AX460:AX461"/>
    <mergeCell ref="AM460:AM461"/>
    <mergeCell ref="AN460:AN461"/>
    <mergeCell ref="AO460:AO461"/>
    <mergeCell ref="AP460:AP461"/>
    <mergeCell ref="AQ460:AQ461"/>
    <mergeCell ref="AR460:AR461"/>
    <mergeCell ref="BQ460:BQ461"/>
    <mergeCell ref="BR460:BR461"/>
    <mergeCell ref="AK460:AK461"/>
    <mergeCell ref="AL460:AL461"/>
    <mergeCell ref="AA460:AA461"/>
    <mergeCell ref="AB460:AB461"/>
    <mergeCell ref="AC460:AC461"/>
    <mergeCell ref="AD460:AD461"/>
    <mergeCell ref="AE460:AE461"/>
    <mergeCell ref="AF460:AF461"/>
    <mergeCell ref="U460:U461"/>
    <mergeCell ref="V460:V461"/>
    <mergeCell ref="W460:W461"/>
    <mergeCell ref="X460:X461"/>
    <mergeCell ref="Y460:Y461"/>
    <mergeCell ref="Z460:Z461"/>
    <mergeCell ref="AY460:AY461"/>
    <mergeCell ref="AZ460:AZ461"/>
    <mergeCell ref="BA460:BA461"/>
    <mergeCell ref="S460:S461"/>
    <mergeCell ref="T460:T461"/>
    <mergeCell ref="I460:I461"/>
    <mergeCell ref="J460:J461"/>
    <mergeCell ref="K460:K461"/>
    <mergeCell ref="L460:L461"/>
    <mergeCell ref="M460:M461"/>
    <mergeCell ref="N460:N461"/>
    <mergeCell ref="DQ454:DQ459"/>
    <mergeCell ref="DR454:DR459"/>
    <mergeCell ref="DS454:DS459"/>
    <mergeCell ref="DT454:DT459"/>
    <mergeCell ref="B458:D459"/>
    <mergeCell ref="B460:D461"/>
    <mergeCell ref="E460:E461"/>
    <mergeCell ref="F460:F461"/>
    <mergeCell ref="G460:G461"/>
    <mergeCell ref="H460:H461"/>
    <mergeCell ref="DK454:DK459"/>
    <mergeCell ref="DL454:DL459"/>
    <mergeCell ref="DM454:DM459"/>
    <mergeCell ref="DN454:DN459"/>
    <mergeCell ref="DO454:DO459"/>
    <mergeCell ref="DP454:DP459"/>
    <mergeCell ref="DE454:DE459"/>
    <mergeCell ref="DF454:DF459"/>
    <mergeCell ref="DG454:DG459"/>
    <mergeCell ref="DH454:DH459"/>
    <mergeCell ref="AG460:AG461"/>
    <mergeCell ref="AH460:AH461"/>
    <mergeCell ref="AI460:AI461"/>
    <mergeCell ref="AJ460:AJ461"/>
    <mergeCell ref="DI454:DI459"/>
    <mergeCell ref="DJ454:DJ459"/>
    <mergeCell ref="CY454:CY459"/>
    <mergeCell ref="CZ454:CZ459"/>
    <mergeCell ref="DA454:DA459"/>
    <mergeCell ref="DB454:DB459"/>
    <mergeCell ref="DC454:DC459"/>
    <mergeCell ref="DD454:DD459"/>
    <mergeCell ref="CS454:CS459"/>
    <mergeCell ref="CT454:CT459"/>
    <mergeCell ref="CU454:CU459"/>
    <mergeCell ref="CV454:CV459"/>
    <mergeCell ref="CW454:CW459"/>
    <mergeCell ref="CX454:CX459"/>
    <mergeCell ref="CM454:CM459"/>
    <mergeCell ref="CN454:CN459"/>
    <mergeCell ref="CO454:CO459"/>
    <mergeCell ref="CP454:CP459"/>
    <mergeCell ref="CQ454:CQ459"/>
    <mergeCell ref="CR454:CR459"/>
    <mergeCell ref="CG454:CG459"/>
    <mergeCell ref="CH454:CH459"/>
    <mergeCell ref="CI454:CI459"/>
    <mergeCell ref="CJ454:CJ459"/>
    <mergeCell ref="CK454:CK459"/>
    <mergeCell ref="CL454:CL459"/>
    <mergeCell ref="CA454:CA459"/>
    <mergeCell ref="CB454:CB459"/>
    <mergeCell ref="CC454:CC459"/>
    <mergeCell ref="CD454:CD459"/>
    <mergeCell ref="CE454:CE459"/>
    <mergeCell ref="CF454:CF459"/>
    <mergeCell ref="BU454:BU459"/>
    <mergeCell ref="BV454:BV459"/>
    <mergeCell ref="BW454:BW459"/>
    <mergeCell ref="BX454:BX459"/>
    <mergeCell ref="BY454:BY459"/>
    <mergeCell ref="BZ454:BZ459"/>
    <mergeCell ref="BO454:BO459"/>
    <mergeCell ref="BP454:BP459"/>
    <mergeCell ref="BQ454:BQ459"/>
    <mergeCell ref="BR454:BR459"/>
    <mergeCell ref="BS454:BS459"/>
    <mergeCell ref="BT454:BT459"/>
    <mergeCell ref="BI454:BI459"/>
    <mergeCell ref="BJ454:BJ459"/>
    <mergeCell ref="BK454:BK459"/>
    <mergeCell ref="BL454:BL459"/>
    <mergeCell ref="BM454:BM459"/>
    <mergeCell ref="BN454:BN459"/>
    <mergeCell ref="BC454:BC459"/>
    <mergeCell ref="BD454:BD459"/>
    <mergeCell ref="BE454:BE459"/>
    <mergeCell ref="BF454:BF459"/>
    <mergeCell ref="BG454:BG459"/>
    <mergeCell ref="BH454:BH459"/>
    <mergeCell ref="AW454:AW459"/>
    <mergeCell ref="AX454:AX459"/>
    <mergeCell ref="AY454:AY459"/>
    <mergeCell ref="AZ454:AZ459"/>
    <mergeCell ref="BA454:BA459"/>
    <mergeCell ref="BB454:BB459"/>
    <mergeCell ref="AQ454:AQ459"/>
    <mergeCell ref="AR454:AR459"/>
    <mergeCell ref="AS454:AS459"/>
    <mergeCell ref="AT454:AT459"/>
    <mergeCell ref="AU454:AU459"/>
    <mergeCell ref="AV454:AV459"/>
    <mergeCell ref="AK454:AK459"/>
    <mergeCell ref="AL454:AL459"/>
    <mergeCell ref="AM454:AM459"/>
    <mergeCell ref="AN454:AN459"/>
    <mergeCell ref="AO454:AO459"/>
    <mergeCell ref="AP454:AP459"/>
    <mergeCell ref="AE454:AE459"/>
    <mergeCell ref="AF454:AF459"/>
    <mergeCell ref="AG454:AG459"/>
    <mergeCell ref="AH454:AH459"/>
    <mergeCell ref="AI454:AI459"/>
    <mergeCell ref="AJ454:AJ459"/>
    <mergeCell ref="Y454:Y459"/>
    <mergeCell ref="Z454:Z459"/>
    <mergeCell ref="AA454:AA459"/>
    <mergeCell ref="AB454:AB459"/>
    <mergeCell ref="AC454:AC459"/>
    <mergeCell ref="AD454:AD459"/>
    <mergeCell ref="S454:S459"/>
    <mergeCell ref="T454:T459"/>
    <mergeCell ref="U454:U459"/>
    <mergeCell ref="V454:V459"/>
    <mergeCell ref="W454:W459"/>
    <mergeCell ref="X454:X459"/>
    <mergeCell ref="M454:M459"/>
    <mergeCell ref="N454:N459"/>
    <mergeCell ref="O454:O459"/>
    <mergeCell ref="P454:P459"/>
    <mergeCell ref="Q454:Q459"/>
    <mergeCell ref="R454:R459"/>
    <mergeCell ref="G454:G459"/>
    <mergeCell ref="H454:H459"/>
    <mergeCell ref="I454:I459"/>
    <mergeCell ref="J454:J459"/>
    <mergeCell ref="K454:K459"/>
    <mergeCell ref="L454:L459"/>
    <mergeCell ref="B449:D450"/>
    <mergeCell ref="B451:D452"/>
    <mergeCell ref="A454:A511"/>
    <mergeCell ref="B454:D457"/>
    <mergeCell ref="E454:E459"/>
    <mergeCell ref="F454:F459"/>
    <mergeCell ref="B465:D466"/>
    <mergeCell ref="B467:D468"/>
    <mergeCell ref="B469:D470"/>
    <mergeCell ref="B471:D472"/>
    <mergeCell ref="B495:D496"/>
    <mergeCell ref="O460:O461"/>
    <mergeCell ref="P460:P461"/>
    <mergeCell ref="Q460:Q461"/>
    <mergeCell ref="R460:R461"/>
    <mergeCell ref="Q463:Q464"/>
    <mergeCell ref="R463:R464"/>
    <mergeCell ref="B481:D482"/>
    <mergeCell ref="B483:D484"/>
    <mergeCell ref="B437:D438"/>
    <mergeCell ref="B439:D440"/>
    <mergeCell ref="B441:D442"/>
    <mergeCell ref="B443:D444"/>
    <mergeCell ref="B445:C446"/>
    <mergeCell ref="B447:D448"/>
    <mergeCell ref="B425:D426"/>
    <mergeCell ref="B427:D428"/>
    <mergeCell ref="B429:D430"/>
    <mergeCell ref="B431:D432"/>
    <mergeCell ref="B433:D434"/>
    <mergeCell ref="B435:D436"/>
    <mergeCell ref="B485:D486"/>
    <mergeCell ref="B487:D488"/>
    <mergeCell ref="B489:D490"/>
    <mergeCell ref="B491:D492"/>
    <mergeCell ref="B493:D494"/>
    <mergeCell ref="B473:D474"/>
    <mergeCell ref="B475:D476"/>
    <mergeCell ref="B477:D478"/>
    <mergeCell ref="B479:D480"/>
    <mergeCell ref="B403:D404"/>
    <mergeCell ref="B405:D406"/>
    <mergeCell ref="B407:D408"/>
    <mergeCell ref="B409:D410"/>
    <mergeCell ref="B411:D412"/>
    <mergeCell ref="DP397:DP398"/>
    <mergeCell ref="DQ397:DQ398"/>
    <mergeCell ref="DR397:DR398"/>
    <mergeCell ref="DS397:DS398"/>
    <mergeCell ref="DT397:DT398"/>
    <mergeCell ref="B399:D400"/>
    <mergeCell ref="DJ397:DJ398"/>
    <mergeCell ref="DK397:DK398"/>
    <mergeCell ref="DL397:DL398"/>
    <mergeCell ref="DM397:DM398"/>
    <mergeCell ref="DN397:DN398"/>
    <mergeCell ref="DO397:DO398"/>
    <mergeCell ref="DD397:DD398"/>
    <mergeCell ref="DE397:DE398"/>
    <mergeCell ref="DF397:DF398"/>
    <mergeCell ref="DG397:DG398"/>
    <mergeCell ref="DH397:DH398"/>
    <mergeCell ref="DI397:DI398"/>
    <mergeCell ref="CX397:CX398"/>
    <mergeCell ref="CY397:CY398"/>
    <mergeCell ref="CZ397:CZ398"/>
    <mergeCell ref="DA397:DA398"/>
    <mergeCell ref="DB397:DB398"/>
    <mergeCell ref="DC397:DC398"/>
    <mergeCell ref="CR397:CR398"/>
    <mergeCell ref="CS397:CS398"/>
    <mergeCell ref="CT397:CT398"/>
    <mergeCell ref="CU397:CU398"/>
    <mergeCell ref="CV397:CV398"/>
    <mergeCell ref="CW397:CW398"/>
    <mergeCell ref="CL397:CL398"/>
    <mergeCell ref="CM397:CM398"/>
    <mergeCell ref="CN397:CN398"/>
    <mergeCell ref="CO397:CO398"/>
    <mergeCell ref="CP397:CP398"/>
    <mergeCell ref="CQ397:CQ398"/>
    <mergeCell ref="CF397:CF398"/>
    <mergeCell ref="CG397:CG398"/>
    <mergeCell ref="CH397:CH398"/>
    <mergeCell ref="CI397:CI398"/>
    <mergeCell ref="CJ397:CJ398"/>
    <mergeCell ref="CK397:CK398"/>
    <mergeCell ref="BZ397:BZ398"/>
    <mergeCell ref="CA397:CA398"/>
    <mergeCell ref="CB397:CB398"/>
    <mergeCell ref="CC397:CC398"/>
    <mergeCell ref="CD397:CD398"/>
    <mergeCell ref="CE397:CE398"/>
    <mergeCell ref="BT397:BT398"/>
    <mergeCell ref="BU397:BU398"/>
    <mergeCell ref="BV397:BV398"/>
    <mergeCell ref="BW397:BW398"/>
    <mergeCell ref="BX397:BX398"/>
    <mergeCell ref="BY397:BY398"/>
    <mergeCell ref="BN397:BN398"/>
    <mergeCell ref="BO397:BO398"/>
    <mergeCell ref="BP397:BP398"/>
    <mergeCell ref="BQ397:BQ398"/>
    <mergeCell ref="BR397:BR398"/>
    <mergeCell ref="BS397:BS398"/>
    <mergeCell ref="BH397:BH398"/>
    <mergeCell ref="BI397:BI398"/>
    <mergeCell ref="BJ397:BJ398"/>
    <mergeCell ref="BK397:BK398"/>
    <mergeCell ref="BL397:BL398"/>
    <mergeCell ref="BM397:BM398"/>
    <mergeCell ref="BB397:BB398"/>
    <mergeCell ref="BC397:BC398"/>
    <mergeCell ref="BD397:BD398"/>
    <mergeCell ref="BE397:BE398"/>
    <mergeCell ref="BF397:BF398"/>
    <mergeCell ref="BG397:BG398"/>
    <mergeCell ref="AV397:AV398"/>
    <mergeCell ref="AW397:AW398"/>
    <mergeCell ref="AX397:AX398"/>
    <mergeCell ref="AY397:AY398"/>
    <mergeCell ref="AZ397:AZ398"/>
    <mergeCell ref="BA397:BA398"/>
    <mergeCell ref="AP397:AP398"/>
    <mergeCell ref="AQ397:AQ398"/>
    <mergeCell ref="AR397:AR398"/>
    <mergeCell ref="AS397:AS398"/>
    <mergeCell ref="AT397:AT398"/>
    <mergeCell ref="AU397:AU398"/>
    <mergeCell ref="AJ397:AJ398"/>
    <mergeCell ref="AK397:AK398"/>
    <mergeCell ref="AL397:AL398"/>
    <mergeCell ref="AM397:AM398"/>
    <mergeCell ref="AN397:AN398"/>
    <mergeCell ref="AO397:AO398"/>
    <mergeCell ref="AD397:AD398"/>
    <mergeCell ref="AE397:AE398"/>
    <mergeCell ref="AF397:AF398"/>
    <mergeCell ref="AG397:AG398"/>
    <mergeCell ref="AH397:AH398"/>
    <mergeCell ref="AI397:AI398"/>
    <mergeCell ref="X397:X398"/>
    <mergeCell ref="Y397:Y398"/>
    <mergeCell ref="Z397:Z398"/>
    <mergeCell ref="AA397:AA398"/>
    <mergeCell ref="AB397:AB398"/>
    <mergeCell ref="AC397:AC398"/>
    <mergeCell ref="R397:R398"/>
    <mergeCell ref="S397:S398"/>
    <mergeCell ref="T397:T398"/>
    <mergeCell ref="U397:U398"/>
    <mergeCell ref="V397:V398"/>
    <mergeCell ref="W397:W398"/>
    <mergeCell ref="L397:L398"/>
    <mergeCell ref="M397:M398"/>
    <mergeCell ref="N397:N398"/>
    <mergeCell ref="O397:O398"/>
    <mergeCell ref="P397:P398"/>
    <mergeCell ref="Q397:Q398"/>
    <mergeCell ref="DP394:DP395"/>
    <mergeCell ref="DQ394:DQ395"/>
    <mergeCell ref="DR394:DR395"/>
    <mergeCell ref="DS394:DS395"/>
    <mergeCell ref="DT394:DT395"/>
    <mergeCell ref="CG394:CG395"/>
    <mergeCell ref="CH394:CH395"/>
    <mergeCell ref="CI394:CI395"/>
    <mergeCell ref="CJ394:CJ395"/>
    <mergeCell ref="CK394:CK395"/>
    <mergeCell ref="BZ394:BZ395"/>
    <mergeCell ref="CA394:CA395"/>
    <mergeCell ref="CB394:CB395"/>
    <mergeCell ref="CC394:CC395"/>
    <mergeCell ref="CD394:CD395"/>
    <mergeCell ref="CE394:CE395"/>
    <mergeCell ref="BT394:BT395"/>
    <mergeCell ref="BU394:BU395"/>
    <mergeCell ref="BV394:BV395"/>
    <mergeCell ref="BW394:BW395"/>
    <mergeCell ref="B396:D396"/>
    <mergeCell ref="DJ394:DJ395"/>
    <mergeCell ref="DK394:DK395"/>
    <mergeCell ref="DL394:DL395"/>
    <mergeCell ref="DM394:DM395"/>
    <mergeCell ref="DN394:DN395"/>
    <mergeCell ref="DO394:DO395"/>
    <mergeCell ref="DD394:DD395"/>
    <mergeCell ref="DE394:DE395"/>
    <mergeCell ref="DF394:DF395"/>
    <mergeCell ref="DG394:DG395"/>
    <mergeCell ref="DH394:DH395"/>
    <mergeCell ref="DI394:DI395"/>
    <mergeCell ref="CX394:CX395"/>
    <mergeCell ref="CY394:CY395"/>
    <mergeCell ref="CZ394:CZ395"/>
    <mergeCell ref="DA394:DA395"/>
    <mergeCell ref="DB394:DB395"/>
    <mergeCell ref="DC394:DC395"/>
    <mergeCell ref="CR394:CR395"/>
    <mergeCell ref="CS394:CS395"/>
    <mergeCell ref="CT394:CT395"/>
    <mergeCell ref="CU394:CU395"/>
    <mergeCell ref="CV394:CV395"/>
    <mergeCell ref="CW394:CW395"/>
    <mergeCell ref="CL394:CL395"/>
    <mergeCell ref="CM394:CM395"/>
    <mergeCell ref="CN394:CN395"/>
    <mergeCell ref="CO394:CO395"/>
    <mergeCell ref="CP394:CP395"/>
    <mergeCell ref="CQ394:CQ395"/>
    <mergeCell ref="CF394:CF395"/>
    <mergeCell ref="BX394:BX395"/>
    <mergeCell ref="BY394:BY395"/>
    <mergeCell ref="BN394:BN395"/>
    <mergeCell ref="BO394:BO395"/>
    <mergeCell ref="BP394:BP395"/>
    <mergeCell ref="BQ394:BQ395"/>
    <mergeCell ref="BR394:BR395"/>
    <mergeCell ref="BS394:BS395"/>
    <mergeCell ref="BH394:BH395"/>
    <mergeCell ref="BI394:BI395"/>
    <mergeCell ref="BJ394:BJ395"/>
    <mergeCell ref="BK394:BK395"/>
    <mergeCell ref="BL394:BL395"/>
    <mergeCell ref="BM394:BM395"/>
    <mergeCell ref="BB394:BB395"/>
    <mergeCell ref="BC394:BC395"/>
    <mergeCell ref="BD394:BD395"/>
    <mergeCell ref="BE394:BE395"/>
    <mergeCell ref="BF394:BF395"/>
    <mergeCell ref="BG394:BG395"/>
    <mergeCell ref="AW394:AW395"/>
    <mergeCell ref="AX394:AX395"/>
    <mergeCell ref="AY394:AY395"/>
    <mergeCell ref="AZ394:AZ395"/>
    <mergeCell ref="BA394:BA395"/>
    <mergeCell ref="AP394:AP395"/>
    <mergeCell ref="AQ394:AQ395"/>
    <mergeCell ref="AR394:AR395"/>
    <mergeCell ref="AS394:AS395"/>
    <mergeCell ref="AT394:AT395"/>
    <mergeCell ref="AU394:AU395"/>
    <mergeCell ref="AJ394:AJ395"/>
    <mergeCell ref="AK394:AK395"/>
    <mergeCell ref="AL394:AL395"/>
    <mergeCell ref="AM394:AM395"/>
    <mergeCell ref="AN394:AN395"/>
    <mergeCell ref="AO394:AO395"/>
    <mergeCell ref="F394:F395"/>
    <mergeCell ref="G394:G395"/>
    <mergeCell ref="H394:H395"/>
    <mergeCell ref="I394:I395"/>
    <mergeCell ref="J394:J395"/>
    <mergeCell ref="K394:K395"/>
    <mergeCell ref="DP388:DP393"/>
    <mergeCell ref="DQ388:DQ393"/>
    <mergeCell ref="DR388:DR393"/>
    <mergeCell ref="DS388:DS393"/>
    <mergeCell ref="DT388:DT393"/>
    <mergeCell ref="CG388:CG393"/>
    <mergeCell ref="CH388:CH393"/>
    <mergeCell ref="CI388:CI393"/>
    <mergeCell ref="CJ388:CJ393"/>
    <mergeCell ref="CK388:CK393"/>
    <mergeCell ref="BZ388:BZ393"/>
    <mergeCell ref="CA388:CA393"/>
    <mergeCell ref="CB388:CB393"/>
    <mergeCell ref="CC388:CC393"/>
    <mergeCell ref="CD388:CD393"/>
    <mergeCell ref="CE388:CE393"/>
    <mergeCell ref="BT388:BT393"/>
    <mergeCell ref="BU388:BU393"/>
    <mergeCell ref="BV388:BV393"/>
    <mergeCell ref="BW388:BW393"/>
    <mergeCell ref="AD394:AD395"/>
    <mergeCell ref="AE394:AE395"/>
    <mergeCell ref="AF394:AF395"/>
    <mergeCell ref="AG394:AG395"/>
    <mergeCell ref="AH394:AH395"/>
    <mergeCell ref="AI394:AI395"/>
    <mergeCell ref="CR388:CR393"/>
    <mergeCell ref="CS388:CS393"/>
    <mergeCell ref="CT388:CT393"/>
    <mergeCell ref="CU388:CU393"/>
    <mergeCell ref="CV388:CV393"/>
    <mergeCell ref="CW388:CW393"/>
    <mergeCell ref="CL388:CL393"/>
    <mergeCell ref="CM388:CM393"/>
    <mergeCell ref="CN388:CN393"/>
    <mergeCell ref="CO388:CO393"/>
    <mergeCell ref="CP388:CP393"/>
    <mergeCell ref="CQ388:CQ393"/>
    <mergeCell ref="CF388:CF393"/>
    <mergeCell ref="L394:L395"/>
    <mergeCell ref="M394:M395"/>
    <mergeCell ref="N394:N395"/>
    <mergeCell ref="O394:O395"/>
    <mergeCell ref="P394:P395"/>
    <mergeCell ref="Q394:Q395"/>
    <mergeCell ref="X394:X395"/>
    <mergeCell ref="Y394:Y395"/>
    <mergeCell ref="Z394:Z395"/>
    <mergeCell ref="AA394:AA395"/>
    <mergeCell ref="AB394:AB395"/>
    <mergeCell ref="AC394:AC395"/>
    <mergeCell ref="R394:R395"/>
    <mergeCell ref="S394:S395"/>
    <mergeCell ref="T394:T395"/>
    <mergeCell ref="U394:U395"/>
    <mergeCell ref="V394:V395"/>
    <mergeCell ref="W394:W395"/>
    <mergeCell ref="AV394:AV395"/>
    <mergeCell ref="DJ388:DJ393"/>
    <mergeCell ref="DK388:DK393"/>
    <mergeCell ref="DL388:DL393"/>
    <mergeCell ref="DM388:DM393"/>
    <mergeCell ref="DN388:DN393"/>
    <mergeCell ref="DO388:DO393"/>
    <mergeCell ref="DD388:DD393"/>
    <mergeCell ref="DE388:DE393"/>
    <mergeCell ref="DF388:DF393"/>
    <mergeCell ref="DG388:DG393"/>
    <mergeCell ref="DH388:DH393"/>
    <mergeCell ref="DI388:DI393"/>
    <mergeCell ref="CX388:CX393"/>
    <mergeCell ref="CY388:CY393"/>
    <mergeCell ref="CZ388:CZ393"/>
    <mergeCell ref="DA388:DA393"/>
    <mergeCell ref="DB388:DB393"/>
    <mergeCell ref="DC388:DC393"/>
    <mergeCell ref="BX388:BX393"/>
    <mergeCell ref="BY388:BY393"/>
    <mergeCell ref="BN388:BN393"/>
    <mergeCell ref="BO388:BO393"/>
    <mergeCell ref="BP388:BP393"/>
    <mergeCell ref="BQ388:BQ393"/>
    <mergeCell ref="BR388:BR393"/>
    <mergeCell ref="BS388:BS393"/>
    <mergeCell ref="BH388:BH393"/>
    <mergeCell ref="BI388:BI393"/>
    <mergeCell ref="BJ388:BJ393"/>
    <mergeCell ref="BK388:BK393"/>
    <mergeCell ref="BL388:BL393"/>
    <mergeCell ref="BM388:BM393"/>
    <mergeCell ref="BB388:BB393"/>
    <mergeCell ref="BC388:BC393"/>
    <mergeCell ref="BD388:BD393"/>
    <mergeCell ref="BE388:BE393"/>
    <mergeCell ref="BF388:BF393"/>
    <mergeCell ref="BG388:BG393"/>
    <mergeCell ref="AV388:AV393"/>
    <mergeCell ref="AW388:AW393"/>
    <mergeCell ref="AX388:AX393"/>
    <mergeCell ref="AY388:AY393"/>
    <mergeCell ref="AZ388:AZ393"/>
    <mergeCell ref="BA388:BA393"/>
    <mergeCell ref="AP388:AP393"/>
    <mergeCell ref="AQ388:AQ393"/>
    <mergeCell ref="AR388:AR393"/>
    <mergeCell ref="AS388:AS393"/>
    <mergeCell ref="AT388:AT393"/>
    <mergeCell ref="AU388:AU393"/>
    <mergeCell ref="AJ388:AJ393"/>
    <mergeCell ref="AK388:AK393"/>
    <mergeCell ref="AL388:AL393"/>
    <mergeCell ref="AM388:AM393"/>
    <mergeCell ref="AN388:AN393"/>
    <mergeCell ref="AO388:AO393"/>
    <mergeCell ref="AD388:AD393"/>
    <mergeCell ref="AE388:AE393"/>
    <mergeCell ref="AF388:AF393"/>
    <mergeCell ref="AG388:AG393"/>
    <mergeCell ref="AH388:AH393"/>
    <mergeCell ref="AI388:AI393"/>
    <mergeCell ref="X388:X393"/>
    <mergeCell ref="Y388:Y393"/>
    <mergeCell ref="Z388:Z393"/>
    <mergeCell ref="AA388:AA393"/>
    <mergeCell ref="AB388:AB393"/>
    <mergeCell ref="AC388:AC393"/>
    <mergeCell ref="R388:R393"/>
    <mergeCell ref="S388:S393"/>
    <mergeCell ref="T388:T393"/>
    <mergeCell ref="U388:U393"/>
    <mergeCell ref="V388:V393"/>
    <mergeCell ref="W388:W393"/>
    <mergeCell ref="O388:O393"/>
    <mergeCell ref="P388:P393"/>
    <mergeCell ref="Q388:Q393"/>
    <mergeCell ref="F388:F393"/>
    <mergeCell ref="G388:G393"/>
    <mergeCell ref="H388:H393"/>
    <mergeCell ref="I388:I393"/>
    <mergeCell ref="J388:J393"/>
    <mergeCell ref="K388:K393"/>
    <mergeCell ref="B381:D382"/>
    <mergeCell ref="B383:D384"/>
    <mergeCell ref="B385:D386"/>
    <mergeCell ref="A388:A453"/>
    <mergeCell ref="B388:D391"/>
    <mergeCell ref="E388:E393"/>
    <mergeCell ref="B394:D395"/>
    <mergeCell ref="E394:E395"/>
    <mergeCell ref="B397:D398"/>
    <mergeCell ref="E397:E398"/>
    <mergeCell ref="F397:F398"/>
    <mergeCell ref="G397:G398"/>
    <mergeCell ref="H397:H398"/>
    <mergeCell ref="I397:I398"/>
    <mergeCell ref="J397:J398"/>
    <mergeCell ref="K397:K398"/>
    <mergeCell ref="B413:D414"/>
    <mergeCell ref="B415:D416"/>
    <mergeCell ref="B417:D418"/>
    <mergeCell ref="B419:D420"/>
    <mergeCell ref="B421:D422"/>
    <mergeCell ref="B423:D424"/>
    <mergeCell ref="B401:D402"/>
    <mergeCell ref="B377:D378"/>
    <mergeCell ref="B379:C380"/>
    <mergeCell ref="B357:D358"/>
    <mergeCell ref="B359:D360"/>
    <mergeCell ref="B361:D362"/>
    <mergeCell ref="B363:D364"/>
    <mergeCell ref="B365:D366"/>
    <mergeCell ref="B367:D368"/>
    <mergeCell ref="B345:D346"/>
    <mergeCell ref="B347:D348"/>
    <mergeCell ref="B349:D350"/>
    <mergeCell ref="B351:D352"/>
    <mergeCell ref="B353:D354"/>
    <mergeCell ref="B355:D356"/>
    <mergeCell ref="L388:L393"/>
    <mergeCell ref="M388:M393"/>
    <mergeCell ref="N388:N393"/>
    <mergeCell ref="B392:D393"/>
    <mergeCell ref="DP333:DP334"/>
    <mergeCell ref="DQ333:DQ334"/>
    <mergeCell ref="DR333:DR334"/>
    <mergeCell ref="DS333:DS334"/>
    <mergeCell ref="DT333:DT334"/>
    <mergeCell ref="B335:D336"/>
    <mergeCell ref="DJ333:DJ334"/>
    <mergeCell ref="DK333:DK334"/>
    <mergeCell ref="DL333:DL334"/>
    <mergeCell ref="DM333:DM334"/>
    <mergeCell ref="DN333:DN334"/>
    <mergeCell ref="DO333:DO334"/>
    <mergeCell ref="DD333:DD334"/>
    <mergeCell ref="DE333:DE334"/>
    <mergeCell ref="DF333:DF334"/>
    <mergeCell ref="DG333:DG334"/>
    <mergeCell ref="DH333:DH334"/>
    <mergeCell ref="DI333:DI334"/>
    <mergeCell ref="CX333:CX334"/>
    <mergeCell ref="CY333:CY334"/>
    <mergeCell ref="CZ333:CZ334"/>
    <mergeCell ref="DA333:DA334"/>
    <mergeCell ref="DB333:DB334"/>
    <mergeCell ref="DC333:DC334"/>
    <mergeCell ref="CR333:CR334"/>
    <mergeCell ref="CS333:CS334"/>
    <mergeCell ref="CT333:CT334"/>
    <mergeCell ref="CU333:CU334"/>
    <mergeCell ref="CV333:CV334"/>
    <mergeCell ref="CW333:CW334"/>
    <mergeCell ref="CL333:CL334"/>
    <mergeCell ref="CM333:CM334"/>
    <mergeCell ref="CN333:CN334"/>
    <mergeCell ref="CO333:CO334"/>
    <mergeCell ref="CP333:CP334"/>
    <mergeCell ref="CQ333:CQ334"/>
    <mergeCell ref="CF333:CF334"/>
    <mergeCell ref="CG333:CG334"/>
    <mergeCell ref="CH333:CH334"/>
    <mergeCell ref="CI333:CI334"/>
    <mergeCell ref="CJ333:CJ334"/>
    <mergeCell ref="CK333:CK334"/>
    <mergeCell ref="BZ333:BZ334"/>
    <mergeCell ref="CA333:CA334"/>
    <mergeCell ref="CB333:CB334"/>
    <mergeCell ref="CC333:CC334"/>
    <mergeCell ref="CD333:CD334"/>
    <mergeCell ref="CE333:CE334"/>
    <mergeCell ref="BT333:BT334"/>
    <mergeCell ref="BU333:BU334"/>
    <mergeCell ref="BV333:BV334"/>
    <mergeCell ref="BW333:BW334"/>
    <mergeCell ref="BX333:BX334"/>
    <mergeCell ref="BY333:BY334"/>
    <mergeCell ref="BN333:BN334"/>
    <mergeCell ref="BO333:BO334"/>
    <mergeCell ref="BP333:BP334"/>
    <mergeCell ref="BQ333:BQ334"/>
    <mergeCell ref="BR333:BR334"/>
    <mergeCell ref="BS333:BS334"/>
    <mergeCell ref="BH333:BH334"/>
    <mergeCell ref="BI333:BI334"/>
    <mergeCell ref="BJ333:BJ334"/>
    <mergeCell ref="BK333:BK334"/>
    <mergeCell ref="BL333:BL334"/>
    <mergeCell ref="BM333:BM334"/>
    <mergeCell ref="BB333:BB334"/>
    <mergeCell ref="BC333:BC334"/>
    <mergeCell ref="BD333:BD334"/>
    <mergeCell ref="BE333:BE334"/>
    <mergeCell ref="BF333:BF334"/>
    <mergeCell ref="BG333:BG334"/>
    <mergeCell ref="AW333:AW334"/>
    <mergeCell ref="AX333:AX334"/>
    <mergeCell ref="AY333:AY334"/>
    <mergeCell ref="AZ333:AZ334"/>
    <mergeCell ref="BA333:BA334"/>
    <mergeCell ref="AP333:AP334"/>
    <mergeCell ref="AQ333:AQ334"/>
    <mergeCell ref="AR333:AR334"/>
    <mergeCell ref="AS333:AS334"/>
    <mergeCell ref="AT333:AT334"/>
    <mergeCell ref="AU333:AU334"/>
    <mergeCell ref="AJ333:AJ334"/>
    <mergeCell ref="AK333:AK334"/>
    <mergeCell ref="AL333:AL334"/>
    <mergeCell ref="AM333:AM334"/>
    <mergeCell ref="AN333:AN334"/>
    <mergeCell ref="AO333:AO334"/>
    <mergeCell ref="AF333:AF334"/>
    <mergeCell ref="AG333:AG334"/>
    <mergeCell ref="AH333:AH334"/>
    <mergeCell ref="AI333:AI334"/>
    <mergeCell ref="X333:X334"/>
    <mergeCell ref="Y333:Y334"/>
    <mergeCell ref="Z333:Z334"/>
    <mergeCell ref="AA333:AA334"/>
    <mergeCell ref="AB333:AB334"/>
    <mergeCell ref="AC333:AC334"/>
    <mergeCell ref="R333:R334"/>
    <mergeCell ref="S333:S334"/>
    <mergeCell ref="T333:T334"/>
    <mergeCell ref="U333:U334"/>
    <mergeCell ref="V333:V334"/>
    <mergeCell ref="W333:W334"/>
    <mergeCell ref="AV333:AV334"/>
    <mergeCell ref="N333:N334"/>
    <mergeCell ref="O333:O334"/>
    <mergeCell ref="P333:P334"/>
    <mergeCell ref="Q333:Q334"/>
    <mergeCell ref="DT330:DT331"/>
    <mergeCell ref="B332:D332"/>
    <mergeCell ref="B333:D334"/>
    <mergeCell ref="E333:E334"/>
    <mergeCell ref="F333:F334"/>
    <mergeCell ref="G333:G334"/>
    <mergeCell ref="H333:H334"/>
    <mergeCell ref="I333:I334"/>
    <mergeCell ref="J333:J334"/>
    <mergeCell ref="K333:K334"/>
    <mergeCell ref="DN330:DN331"/>
    <mergeCell ref="DO330:DO331"/>
    <mergeCell ref="DP330:DP331"/>
    <mergeCell ref="DQ330:DQ331"/>
    <mergeCell ref="DR330:DR331"/>
    <mergeCell ref="DS330:DS331"/>
    <mergeCell ref="DH330:DH331"/>
    <mergeCell ref="DI330:DI331"/>
    <mergeCell ref="DJ330:DJ331"/>
    <mergeCell ref="DK330:DK331"/>
    <mergeCell ref="DL330:DL331"/>
    <mergeCell ref="DM330:DM331"/>
    <mergeCell ref="DB330:DB331"/>
    <mergeCell ref="DC330:DC331"/>
    <mergeCell ref="DD330:DD331"/>
    <mergeCell ref="DE330:DE331"/>
    <mergeCell ref="AD333:AD334"/>
    <mergeCell ref="AE333:AE334"/>
    <mergeCell ref="DF330:DF331"/>
    <mergeCell ref="DG330:DG331"/>
    <mergeCell ref="CV330:CV331"/>
    <mergeCell ref="CW330:CW331"/>
    <mergeCell ref="CX330:CX331"/>
    <mergeCell ref="CY330:CY331"/>
    <mergeCell ref="CZ330:CZ331"/>
    <mergeCell ref="DA330:DA331"/>
    <mergeCell ref="CP330:CP331"/>
    <mergeCell ref="CQ330:CQ331"/>
    <mergeCell ref="CR330:CR331"/>
    <mergeCell ref="CS330:CS331"/>
    <mergeCell ref="CT330:CT331"/>
    <mergeCell ref="CU330:CU331"/>
    <mergeCell ref="CJ330:CJ331"/>
    <mergeCell ref="CK330:CK331"/>
    <mergeCell ref="CL330:CL331"/>
    <mergeCell ref="CM330:CM331"/>
    <mergeCell ref="CN330:CN331"/>
    <mergeCell ref="CO330:CO331"/>
    <mergeCell ref="CE330:CE331"/>
    <mergeCell ref="CF330:CF331"/>
    <mergeCell ref="CG330:CG331"/>
    <mergeCell ref="CH330:CH331"/>
    <mergeCell ref="CI330:CI331"/>
    <mergeCell ref="BX330:BX331"/>
    <mergeCell ref="BY330:BY331"/>
    <mergeCell ref="BZ330:BZ331"/>
    <mergeCell ref="CA330:CA331"/>
    <mergeCell ref="CB330:CB331"/>
    <mergeCell ref="CC330:CC331"/>
    <mergeCell ref="BR330:BR331"/>
    <mergeCell ref="BS330:BS331"/>
    <mergeCell ref="BT330:BT331"/>
    <mergeCell ref="BU330:BU331"/>
    <mergeCell ref="BV330:BV331"/>
    <mergeCell ref="BW330:BW331"/>
    <mergeCell ref="BN330:BN331"/>
    <mergeCell ref="BO330:BO331"/>
    <mergeCell ref="BP330:BP331"/>
    <mergeCell ref="BQ330:BQ331"/>
    <mergeCell ref="BF330:BF331"/>
    <mergeCell ref="BG330:BG331"/>
    <mergeCell ref="BH330:BH331"/>
    <mergeCell ref="BI330:BI331"/>
    <mergeCell ref="BJ330:BJ331"/>
    <mergeCell ref="BK330:BK331"/>
    <mergeCell ref="AZ330:AZ331"/>
    <mergeCell ref="BA330:BA331"/>
    <mergeCell ref="BB330:BB331"/>
    <mergeCell ref="BC330:BC331"/>
    <mergeCell ref="BD330:BD331"/>
    <mergeCell ref="BE330:BE331"/>
    <mergeCell ref="CD330:CD331"/>
    <mergeCell ref="AW330:AW331"/>
    <mergeCell ref="AX330:AX331"/>
    <mergeCell ref="AY330:AY331"/>
    <mergeCell ref="AN330:AN331"/>
    <mergeCell ref="AO330:AO331"/>
    <mergeCell ref="AP330:AP331"/>
    <mergeCell ref="AQ330:AQ331"/>
    <mergeCell ref="AR330:AR331"/>
    <mergeCell ref="AS330:AS331"/>
    <mergeCell ref="AH330:AH331"/>
    <mergeCell ref="AI330:AI331"/>
    <mergeCell ref="AJ330:AJ331"/>
    <mergeCell ref="AK330:AK331"/>
    <mergeCell ref="AL330:AL331"/>
    <mergeCell ref="AM330:AM331"/>
    <mergeCell ref="BL330:BL331"/>
    <mergeCell ref="BM330:BM331"/>
    <mergeCell ref="AF330:AF331"/>
    <mergeCell ref="AG330:AG331"/>
    <mergeCell ref="V330:V331"/>
    <mergeCell ref="W330:W331"/>
    <mergeCell ref="X330:X331"/>
    <mergeCell ref="Y330:Y331"/>
    <mergeCell ref="Z330:Z331"/>
    <mergeCell ref="AA330:AA331"/>
    <mergeCell ref="P330:P331"/>
    <mergeCell ref="Q330:Q331"/>
    <mergeCell ref="R330:R331"/>
    <mergeCell ref="S330:S331"/>
    <mergeCell ref="T330:T331"/>
    <mergeCell ref="U330:U331"/>
    <mergeCell ref="AT330:AT331"/>
    <mergeCell ref="AU330:AU331"/>
    <mergeCell ref="AV330:AV331"/>
    <mergeCell ref="N330:N331"/>
    <mergeCell ref="O330:O331"/>
    <mergeCell ref="DR324:DR329"/>
    <mergeCell ref="DS324:DS329"/>
    <mergeCell ref="DT324:DT329"/>
    <mergeCell ref="B328:D329"/>
    <mergeCell ref="B330:D331"/>
    <mergeCell ref="E330:E331"/>
    <mergeCell ref="F330:F331"/>
    <mergeCell ref="G330:G331"/>
    <mergeCell ref="H330:H331"/>
    <mergeCell ref="I330:I331"/>
    <mergeCell ref="DL324:DL329"/>
    <mergeCell ref="DM324:DM329"/>
    <mergeCell ref="DN324:DN329"/>
    <mergeCell ref="DO324:DO329"/>
    <mergeCell ref="DP324:DP329"/>
    <mergeCell ref="DQ324:DQ329"/>
    <mergeCell ref="DF324:DF329"/>
    <mergeCell ref="DG324:DG329"/>
    <mergeCell ref="DH324:DH329"/>
    <mergeCell ref="DI324:DI329"/>
    <mergeCell ref="DJ324:DJ329"/>
    <mergeCell ref="DK324:DK329"/>
    <mergeCell ref="CZ324:CZ329"/>
    <mergeCell ref="DA324:DA329"/>
    <mergeCell ref="DB324:DB329"/>
    <mergeCell ref="DC324:DC329"/>
    <mergeCell ref="AB330:AB331"/>
    <mergeCell ref="AC330:AC331"/>
    <mergeCell ref="AD330:AD331"/>
    <mergeCell ref="AE330:AE331"/>
    <mergeCell ref="DD324:DD329"/>
    <mergeCell ref="DE324:DE329"/>
    <mergeCell ref="CT324:CT329"/>
    <mergeCell ref="CU324:CU329"/>
    <mergeCell ref="CV324:CV329"/>
    <mergeCell ref="CW324:CW329"/>
    <mergeCell ref="CX324:CX329"/>
    <mergeCell ref="CY324:CY329"/>
    <mergeCell ref="CN324:CN329"/>
    <mergeCell ref="CO324:CO329"/>
    <mergeCell ref="CP324:CP329"/>
    <mergeCell ref="CQ324:CQ329"/>
    <mergeCell ref="CR324:CR329"/>
    <mergeCell ref="CS324:CS329"/>
    <mergeCell ref="CH324:CH329"/>
    <mergeCell ref="CI324:CI329"/>
    <mergeCell ref="CJ324:CJ329"/>
    <mergeCell ref="CK324:CK329"/>
    <mergeCell ref="CL324:CL329"/>
    <mergeCell ref="CM324:CM329"/>
    <mergeCell ref="CB324:CB329"/>
    <mergeCell ref="CC324:CC329"/>
    <mergeCell ref="CD324:CD329"/>
    <mergeCell ref="CE324:CE329"/>
    <mergeCell ref="CF324:CF329"/>
    <mergeCell ref="CG324:CG329"/>
    <mergeCell ref="BV324:BV329"/>
    <mergeCell ref="BW324:BW329"/>
    <mergeCell ref="BX324:BX329"/>
    <mergeCell ref="BY324:BY329"/>
    <mergeCell ref="BZ324:BZ329"/>
    <mergeCell ref="CA324:CA329"/>
    <mergeCell ref="BP324:BP329"/>
    <mergeCell ref="BQ324:BQ329"/>
    <mergeCell ref="BR324:BR329"/>
    <mergeCell ref="BS324:BS329"/>
    <mergeCell ref="BT324:BT329"/>
    <mergeCell ref="BU324:BU329"/>
    <mergeCell ref="BJ324:BJ329"/>
    <mergeCell ref="BK324:BK329"/>
    <mergeCell ref="BL324:BL329"/>
    <mergeCell ref="BM324:BM329"/>
    <mergeCell ref="BN324:BN329"/>
    <mergeCell ref="BO324:BO329"/>
    <mergeCell ref="BD324:BD329"/>
    <mergeCell ref="BE324:BE329"/>
    <mergeCell ref="BF324:BF329"/>
    <mergeCell ref="BG324:BG329"/>
    <mergeCell ref="BH324:BH329"/>
    <mergeCell ref="BI324:BI329"/>
    <mergeCell ref="AX324:AX329"/>
    <mergeCell ref="AY324:AY329"/>
    <mergeCell ref="AZ324:AZ329"/>
    <mergeCell ref="BA324:BA329"/>
    <mergeCell ref="BB324:BB329"/>
    <mergeCell ref="BC324:BC329"/>
    <mergeCell ref="AR324:AR329"/>
    <mergeCell ref="AS324:AS329"/>
    <mergeCell ref="AT324:AT329"/>
    <mergeCell ref="AU324:AU329"/>
    <mergeCell ref="AV324:AV329"/>
    <mergeCell ref="AW324:AW329"/>
    <mergeCell ref="AL324:AL329"/>
    <mergeCell ref="AM324:AM329"/>
    <mergeCell ref="AN324:AN329"/>
    <mergeCell ref="AO324:AO329"/>
    <mergeCell ref="AP324:AP329"/>
    <mergeCell ref="AQ324:AQ329"/>
    <mergeCell ref="AF324:AF329"/>
    <mergeCell ref="AG324:AG329"/>
    <mergeCell ref="AH324:AH329"/>
    <mergeCell ref="AI324:AI329"/>
    <mergeCell ref="AJ324:AJ329"/>
    <mergeCell ref="AK324:AK329"/>
    <mergeCell ref="Z324:Z329"/>
    <mergeCell ref="AA324:AA329"/>
    <mergeCell ref="AB324:AB329"/>
    <mergeCell ref="AC324:AC329"/>
    <mergeCell ref="AD324:AD329"/>
    <mergeCell ref="AE324:AE329"/>
    <mergeCell ref="T324:T329"/>
    <mergeCell ref="U324:U329"/>
    <mergeCell ref="V324:V329"/>
    <mergeCell ref="W324:W329"/>
    <mergeCell ref="X324:X329"/>
    <mergeCell ref="Y324:Y329"/>
    <mergeCell ref="N324:N329"/>
    <mergeCell ref="O324:O329"/>
    <mergeCell ref="P324:P329"/>
    <mergeCell ref="Q324:Q329"/>
    <mergeCell ref="R324:R329"/>
    <mergeCell ref="S324:S329"/>
    <mergeCell ref="H324:H329"/>
    <mergeCell ref="I324:I329"/>
    <mergeCell ref="J324:J329"/>
    <mergeCell ref="K324:K329"/>
    <mergeCell ref="L324:L329"/>
    <mergeCell ref="M324:M329"/>
    <mergeCell ref="B321:D322"/>
    <mergeCell ref="A324:A387"/>
    <mergeCell ref="B324:D327"/>
    <mergeCell ref="E324:E329"/>
    <mergeCell ref="F324:F329"/>
    <mergeCell ref="G324:G329"/>
    <mergeCell ref="B337:D338"/>
    <mergeCell ref="B339:D340"/>
    <mergeCell ref="B341:D342"/>
    <mergeCell ref="B343:D344"/>
    <mergeCell ref="B309:D310"/>
    <mergeCell ref="B311:D312"/>
    <mergeCell ref="B313:D314"/>
    <mergeCell ref="B315:C316"/>
    <mergeCell ref="B317:D318"/>
    <mergeCell ref="B319:D320"/>
    <mergeCell ref="J330:J331"/>
    <mergeCell ref="K330:K331"/>
    <mergeCell ref="L330:L331"/>
    <mergeCell ref="M330:M331"/>
    <mergeCell ref="L333:L334"/>
    <mergeCell ref="M333:M334"/>
    <mergeCell ref="B369:D370"/>
    <mergeCell ref="B371:D372"/>
    <mergeCell ref="B373:D374"/>
    <mergeCell ref="B375:D376"/>
    <mergeCell ref="B297:D298"/>
    <mergeCell ref="B299:D300"/>
    <mergeCell ref="B301:D302"/>
    <mergeCell ref="B303:D304"/>
    <mergeCell ref="B305:D306"/>
    <mergeCell ref="B307:D308"/>
    <mergeCell ref="B285:D286"/>
    <mergeCell ref="B287:D288"/>
    <mergeCell ref="B289:D290"/>
    <mergeCell ref="B291:D292"/>
    <mergeCell ref="B293:D294"/>
    <mergeCell ref="B295:D296"/>
    <mergeCell ref="B273:D274"/>
    <mergeCell ref="B275:D276"/>
    <mergeCell ref="B277:D278"/>
    <mergeCell ref="B279:D280"/>
    <mergeCell ref="B281:D282"/>
    <mergeCell ref="B283:D284"/>
    <mergeCell ref="DP269:DP270"/>
    <mergeCell ref="DQ269:DQ270"/>
    <mergeCell ref="DR269:DR270"/>
    <mergeCell ref="DS269:DS270"/>
    <mergeCell ref="DT269:DT270"/>
    <mergeCell ref="B271:D272"/>
    <mergeCell ref="DJ269:DJ270"/>
    <mergeCell ref="DK269:DK270"/>
    <mergeCell ref="DL269:DL270"/>
    <mergeCell ref="DM269:DM270"/>
    <mergeCell ref="DN269:DN270"/>
    <mergeCell ref="DO269:DO270"/>
    <mergeCell ref="DD269:DD270"/>
    <mergeCell ref="DE269:DE270"/>
    <mergeCell ref="DF269:DF270"/>
    <mergeCell ref="DG269:DG270"/>
    <mergeCell ref="DH269:DH270"/>
    <mergeCell ref="DI269:DI270"/>
    <mergeCell ref="CX269:CX270"/>
    <mergeCell ref="CY269:CY270"/>
    <mergeCell ref="CZ269:CZ270"/>
    <mergeCell ref="DA269:DA270"/>
    <mergeCell ref="DB269:DB270"/>
    <mergeCell ref="DC269:DC270"/>
    <mergeCell ref="CR269:CR270"/>
    <mergeCell ref="CS269:CS270"/>
    <mergeCell ref="CT269:CT270"/>
    <mergeCell ref="CU269:CU270"/>
    <mergeCell ref="CV269:CV270"/>
    <mergeCell ref="CW269:CW270"/>
    <mergeCell ref="CL269:CL270"/>
    <mergeCell ref="CM269:CM270"/>
    <mergeCell ref="CN269:CN270"/>
    <mergeCell ref="CO269:CO270"/>
    <mergeCell ref="CP269:CP270"/>
    <mergeCell ref="CQ269:CQ270"/>
    <mergeCell ref="CF269:CF270"/>
    <mergeCell ref="CG269:CG270"/>
    <mergeCell ref="CH269:CH270"/>
    <mergeCell ref="CI269:CI270"/>
    <mergeCell ref="CJ269:CJ270"/>
    <mergeCell ref="CK269:CK270"/>
    <mergeCell ref="BZ269:BZ270"/>
    <mergeCell ref="CA269:CA270"/>
    <mergeCell ref="CB269:CB270"/>
    <mergeCell ref="CC269:CC270"/>
    <mergeCell ref="CD269:CD270"/>
    <mergeCell ref="CE269:CE270"/>
    <mergeCell ref="BT269:BT270"/>
    <mergeCell ref="BU269:BU270"/>
    <mergeCell ref="BV269:BV270"/>
    <mergeCell ref="BW269:BW270"/>
    <mergeCell ref="BX269:BX270"/>
    <mergeCell ref="BY269:BY270"/>
    <mergeCell ref="BN269:BN270"/>
    <mergeCell ref="BO269:BO270"/>
    <mergeCell ref="BP269:BP270"/>
    <mergeCell ref="BQ269:BQ270"/>
    <mergeCell ref="BR269:BR270"/>
    <mergeCell ref="BS269:BS270"/>
    <mergeCell ref="BH269:BH270"/>
    <mergeCell ref="BI269:BI270"/>
    <mergeCell ref="BJ269:BJ270"/>
    <mergeCell ref="BK269:BK270"/>
    <mergeCell ref="BL269:BL270"/>
    <mergeCell ref="BM269:BM270"/>
    <mergeCell ref="BB269:BB270"/>
    <mergeCell ref="BC269:BC270"/>
    <mergeCell ref="BD269:BD270"/>
    <mergeCell ref="BE269:BE270"/>
    <mergeCell ref="BF269:BF270"/>
    <mergeCell ref="BG269:BG270"/>
    <mergeCell ref="AV269:AV270"/>
    <mergeCell ref="AW269:AW270"/>
    <mergeCell ref="AX269:AX270"/>
    <mergeCell ref="AY269:AY270"/>
    <mergeCell ref="AZ269:AZ270"/>
    <mergeCell ref="BA269:BA270"/>
    <mergeCell ref="AP269:AP270"/>
    <mergeCell ref="AQ269:AQ270"/>
    <mergeCell ref="AR269:AR270"/>
    <mergeCell ref="AS269:AS270"/>
    <mergeCell ref="AT269:AT270"/>
    <mergeCell ref="AU269:AU270"/>
    <mergeCell ref="AJ269:AJ270"/>
    <mergeCell ref="AK269:AK270"/>
    <mergeCell ref="AL269:AL270"/>
    <mergeCell ref="AM269:AM270"/>
    <mergeCell ref="AN269:AN270"/>
    <mergeCell ref="AO269:AO270"/>
    <mergeCell ref="AD269:AD270"/>
    <mergeCell ref="AE269:AE270"/>
    <mergeCell ref="AF269:AF270"/>
    <mergeCell ref="AG269:AG270"/>
    <mergeCell ref="AH269:AH270"/>
    <mergeCell ref="AI269:AI270"/>
    <mergeCell ref="X269:X270"/>
    <mergeCell ref="Y269:Y270"/>
    <mergeCell ref="Z269:Z270"/>
    <mergeCell ref="AA269:AA270"/>
    <mergeCell ref="AB269:AB270"/>
    <mergeCell ref="AC269:AC270"/>
    <mergeCell ref="R269:R270"/>
    <mergeCell ref="S269:S270"/>
    <mergeCell ref="T269:T270"/>
    <mergeCell ref="U269:U270"/>
    <mergeCell ref="V269:V270"/>
    <mergeCell ref="W269:W270"/>
    <mergeCell ref="L269:L270"/>
    <mergeCell ref="M269:M270"/>
    <mergeCell ref="N269:N270"/>
    <mergeCell ref="O269:O270"/>
    <mergeCell ref="P269:P270"/>
    <mergeCell ref="Q269:Q270"/>
    <mergeCell ref="F269:F270"/>
    <mergeCell ref="G269:G270"/>
    <mergeCell ref="H269:H270"/>
    <mergeCell ref="I269:I270"/>
    <mergeCell ref="J269:J270"/>
    <mergeCell ref="K269:K270"/>
    <mergeCell ref="B261:D262"/>
    <mergeCell ref="B263:D264"/>
    <mergeCell ref="B265:D266"/>
    <mergeCell ref="B267:D268"/>
    <mergeCell ref="B269:D270"/>
    <mergeCell ref="E269:E270"/>
    <mergeCell ref="DO259:DO260"/>
    <mergeCell ref="DP259:DP260"/>
    <mergeCell ref="DQ259:DQ260"/>
    <mergeCell ref="DR259:DR260"/>
    <mergeCell ref="DS259:DS260"/>
    <mergeCell ref="DT259:DT260"/>
    <mergeCell ref="DI259:DI260"/>
    <mergeCell ref="DJ259:DJ260"/>
    <mergeCell ref="DK259:DK260"/>
    <mergeCell ref="DL259:DL260"/>
    <mergeCell ref="DM259:DM260"/>
    <mergeCell ref="DN259:DN260"/>
    <mergeCell ref="DC259:DC260"/>
    <mergeCell ref="DD259:DD260"/>
    <mergeCell ref="DE259:DE260"/>
    <mergeCell ref="DF259:DF260"/>
    <mergeCell ref="DG259:DG260"/>
    <mergeCell ref="DH259:DH260"/>
    <mergeCell ref="CW259:CW260"/>
    <mergeCell ref="CX259:CX260"/>
    <mergeCell ref="CY259:CY260"/>
    <mergeCell ref="CZ259:CZ260"/>
    <mergeCell ref="DA259:DA260"/>
    <mergeCell ref="DB259:DB260"/>
    <mergeCell ref="CQ259:CQ260"/>
    <mergeCell ref="CR259:CR260"/>
    <mergeCell ref="CS259:CS260"/>
    <mergeCell ref="CT259:CT260"/>
    <mergeCell ref="CU259:CU260"/>
    <mergeCell ref="CV259:CV260"/>
    <mergeCell ref="CK259:CK260"/>
    <mergeCell ref="CL259:CL260"/>
    <mergeCell ref="CM259:CM260"/>
    <mergeCell ref="CN259:CN260"/>
    <mergeCell ref="CO259:CO260"/>
    <mergeCell ref="CP259:CP260"/>
    <mergeCell ref="CE259:CE260"/>
    <mergeCell ref="CF259:CF260"/>
    <mergeCell ref="CG259:CG260"/>
    <mergeCell ref="CH259:CH260"/>
    <mergeCell ref="CI259:CI260"/>
    <mergeCell ref="CJ259:CJ260"/>
    <mergeCell ref="BY259:BY260"/>
    <mergeCell ref="BZ259:BZ260"/>
    <mergeCell ref="CA259:CA260"/>
    <mergeCell ref="CB259:CB260"/>
    <mergeCell ref="CC259:CC260"/>
    <mergeCell ref="CD259:CD260"/>
    <mergeCell ref="BS259:BS260"/>
    <mergeCell ref="BT259:BT260"/>
    <mergeCell ref="BU259:BU260"/>
    <mergeCell ref="BV259:BV260"/>
    <mergeCell ref="BW259:BW260"/>
    <mergeCell ref="BX259:BX260"/>
    <mergeCell ref="BM259:BM260"/>
    <mergeCell ref="BN259:BN260"/>
    <mergeCell ref="BO259:BO260"/>
    <mergeCell ref="BP259:BP260"/>
    <mergeCell ref="BQ259:BQ260"/>
    <mergeCell ref="BR259:BR260"/>
    <mergeCell ref="BG259:BG260"/>
    <mergeCell ref="BH259:BH260"/>
    <mergeCell ref="BI259:BI260"/>
    <mergeCell ref="BJ259:BJ260"/>
    <mergeCell ref="BK259:BK260"/>
    <mergeCell ref="BL259:BL260"/>
    <mergeCell ref="BA259:BA260"/>
    <mergeCell ref="BB259:BB260"/>
    <mergeCell ref="BC259:BC260"/>
    <mergeCell ref="BD259:BD260"/>
    <mergeCell ref="BE259:BE260"/>
    <mergeCell ref="BF259:BF260"/>
    <mergeCell ref="AU259:AU260"/>
    <mergeCell ref="AV259:AV260"/>
    <mergeCell ref="AW259:AW260"/>
    <mergeCell ref="AX259:AX260"/>
    <mergeCell ref="AY259:AY260"/>
    <mergeCell ref="AZ259:AZ260"/>
    <mergeCell ref="AO259:AO260"/>
    <mergeCell ref="AP259:AP260"/>
    <mergeCell ref="AQ259:AQ260"/>
    <mergeCell ref="AR259:AR260"/>
    <mergeCell ref="AS259:AS260"/>
    <mergeCell ref="AT259:AT260"/>
    <mergeCell ref="AI259:AI260"/>
    <mergeCell ref="AJ259:AJ260"/>
    <mergeCell ref="AK259:AK260"/>
    <mergeCell ref="AL259:AL260"/>
    <mergeCell ref="AM259:AM260"/>
    <mergeCell ref="AN259:AN260"/>
    <mergeCell ref="AC259:AC260"/>
    <mergeCell ref="AD259:AD260"/>
    <mergeCell ref="AE259:AE260"/>
    <mergeCell ref="AF259:AF260"/>
    <mergeCell ref="AG259:AG260"/>
    <mergeCell ref="AH259:AH260"/>
    <mergeCell ref="W259:W260"/>
    <mergeCell ref="X259:X260"/>
    <mergeCell ref="Y259:Y260"/>
    <mergeCell ref="Z259:Z260"/>
    <mergeCell ref="AA259:AA260"/>
    <mergeCell ref="AB259:AB260"/>
    <mergeCell ref="Q259:Q260"/>
    <mergeCell ref="R259:R260"/>
    <mergeCell ref="S259:S260"/>
    <mergeCell ref="T259:T260"/>
    <mergeCell ref="U259:U260"/>
    <mergeCell ref="V259:V260"/>
    <mergeCell ref="K259:K260"/>
    <mergeCell ref="L259:L260"/>
    <mergeCell ref="M259:M260"/>
    <mergeCell ref="N259:N260"/>
    <mergeCell ref="O259:O260"/>
    <mergeCell ref="P259:P260"/>
    <mergeCell ref="E259:E260"/>
    <mergeCell ref="F259:F260"/>
    <mergeCell ref="G259:G260"/>
    <mergeCell ref="H259:H260"/>
    <mergeCell ref="I259:I260"/>
    <mergeCell ref="J259:J260"/>
    <mergeCell ref="DO256:DO257"/>
    <mergeCell ref="DP256:DP257"/>
    <mergeCell ref="DQ256:DQ257"/>
    <mergeCell ref="DR256:DR257"/>
    <mergeCell ref="DS256:DS257"/>
    <mergeCell ref="CQ256:CQ257"/>
    <mergeCell ref="CR256:CR257"/>
    <mergeCell ref="CS256:CS257"/>
    <mergeCell ref="CT256:CT257"/>
    <mergeCell ref="CU256:CU257"/>
    <mergeCell ref="CV256:CV257"/>
    <mergeCell ref="CK256:CK257"/>
    <mergeCell ref="CL256:CL257"/>
    <mergeCell ref="CM256:CM257"/>
    <mergeCell ref="CN256:CN257"/>
    <mergeCell ref="CO256:CO257"/>
    <mergeCell ref="CP256:CP257"/>
    <mergeCell ref="CE256:CE257"/>
    <mergeCell ref="CF256:CF257"/>
    <mergeCell ref="CG256:CG257"/>
    <mergeCell ref="DT256:DT257"/>
    <mergeCell ref="DI256:DI257"/>
    <mergeCell ref="DJ256:DJ257"/>
    <mergeCell ref="DK256:DK257"/>
    <mergeCell ref="DL256:DL257"/>
    <mergeCell ref="DM256:DM257"/>
    <mergeCell ref="DN256:DN257"/>
    <mergeCell ref="DC256:DC257"/>
    <mergeCell ref="DD256:DD257"/>
    <mergeCell ref="DE256:DE257"/>
    <mergeCell ref="DF256:DF257"/>
    <mergeCell ref="DG256:DG257"/>
    <mergeCell ref="DH256:DH257"/>
    <mergeCell ref="CW256:CW257"/>
    <mergeCell ref="CX256:CX257"/>
    <mergeCell ref="CY256:CY257"/>
    <mergeCell ref="CZ256:CZ257"/>
    <mergeCell ref="DA256:DA257"/>
    <mergeCell ref="DB256:DB257"/>
    <mergeCell ref="CH256:CH257"/>
    <mergeCell ref="CI256:CI257"/>
    <mergeCell ref="CJ256:CJ257"/>
    <mergeCell ref="BY256:BY257"/>
    <mergeCell ref="BZ256:BZ257"/>
    <mergeCell ref="CA256:CA257"/>
    <mergeCell ref="CB256:CB257"/>
    <mergeCell ref="CC256:CC257"/>
    <mergeCell ref="CD256:CD257"/>
    <mergeCell ref="BS256:BS257"/>
    <mergeCell ref="BT256:BT257"/>
    <mergeCell ref="BU256:BU257"/>
    <mergeCell ref="BV256:BV257"/>
    <mergeCell ref="BW256:BW257"/>
    <mergeCell ref="BX256:BX257"/>
    <mergeCell ref="BM256:BM257"/>
    <mergeCell ref="BN256:BN257"/>
    <mergeCell ref="BO256:BO257"/>
    <mergeCell ref="BP256:BP257"/>
    <mergeCell ref="BQ256:BQ257"/>
    <mergeCell ref="BR256:BR257"/>
    <mergeCell ref="BG256:BG257"/>
    <mergeCell ref="BH256:BH257"/>
    <mergeCell ref="BI256:BI257"/>
    <mergeCell ref="BJ256:BJ257"/>
    <mergeCell ref="BK256:BK257"/>
    <mergeCell ref="BL256:BL257"/>
    <mergeCell ref="BA256:BA257"/>
    <mergeCell ref="BB256:BB257"/>
    <mergeCell ref="BC256:BC257"/>
    <mergeCell ref="BD256:BD257"/>
    <mergeCell ref="BE256:BE257"/>
    <mergeCell ref="BF256:BF257"/>
    <mergeCell ref="AU256:AU257"/>
    <mergeCell ref="AV256:AV257"/>
    <mergeCell ref="AW256:AW257"/>
    <mergeCell ref="AX256:AX257"/>
    <mergeCell ref="AY256:AY257"/>
    <mergeCell ref="AZ256:AZ257"/>
    <mergeCell ref="AO256:AO257"/>
    <mergeCell ref="AP256:AP257"/>
    <mergeCell ref="AQ256:AQ257"/>
    <mergeCell ref="AR256:AR257"/>
    <mergeCell ref="AS256:AS257"/>
    <mergeCell ref="AT256:AT257"/>
    <mergeCell ref="AI256:AI257"/>
    <mergeCell ref="AJ256:AJ257"/>
    <mergeCell ref="AK256:AK257"/>
    <mergeCell ref="AL256:AL257"/>
    <mergeCell ref="AM256:AM257"/>
    <mergeCell ref="AN256:AN257"/>
    <mergeCell ref="AC256:AC257"/>
    <mergeCell ref="AD256:AD257"/>
    <mergeCell ref="AE256:AE257"/>
    <mergeCell ref="AF256:AF257"/>
    <mergeCell ref="AG256:AG257"/>
    <mergeCell ref="AH256:AH257"/>
    <mergeCell ref="W256:W257"/>
    <mergeCell ref="X256:X257"/>
    <mergeCell ref="Y256:Y257"/>
    <mergeCell ref="Z256:Z257"/>
    <mergeCell ref="AA256:AA257"/>
    <mergeCell ref="AB256:AB257"/>
    <mergeCell ref="Q256:Q257"/>
    <mergeCell ref="R256:R257"/>
    <mergeCell ref="S256:S257"/>
    <mergeCell ref="T256:T257"/>
    <mergeCell ref="U256:U257"/>
    <mergeCell ref="V256:V257"/>
    <mergeCell ref="K256:K257"/>
    <mergeCell ref="L256:L257"/>
    <mergeCell ref="M256:M257"/>
    <mergeCell ref="N256:N257"/>
    <mergeCell ref="O256:O257"/>
    <mergeCell ref="P256:P257"/>
    <mergeCell ref="E256:E257"/>
    <mergeCell ref="F256:F257"/>
    <mergeCell ref="G256:G257"/>
    <mergeCell ref="H256:H257"/>
    <mergeCell ref="I256:I257"/>
    <mergeCell ref="J256:J257"/>
    <mergeCell ref="DO250:DO255"/>
    <mergeCell ref="DP250:DP255"/>
    <mergeCell ref="DQ250:DQ255"/>
    <mergeCell ref="DR250:DR255"/>
    <mergeCell ref="DS250:DS255"/>
    <mergeCell ref="DT250:DT255"/>
    <mergeCell ref="DI250:DI255"/>
    <mergeCell ref="DJ250:DJ255"/>
    <mergeCell ref="DK250:DK255"/>
    <mergeCell ref="DL250:DL255"/>
    <mergeCell ref="DM250:DM255"/>
    <mergeCell ref="DN250:DN255"/>
    <mergeCell ref="DC250:DC255"/>
    <mergeCell ref="DD250:DD255"/>
    <mergeCell ref="DE250:DE255"/>
    <mergeCell ref="DF250:DF255"/>
    <mergeCell ref="DG250:DG255"/>
    <mergeCell ref="DH250:DH255"/>
    <mergeCell ref="CW250:CW255"/>
    <mergeCell ref="CX250:CX255"/>
    <mergeCell ref="CY250:CY255"/>
    <mergeCell ref="CZ250:CZ255"/>
    <mergeCell ref="DA250:DA255"/>
    <mergeCell ref="DB250:DB255"/>
    <mergeCell ref="CQ250:CQ255"/>
    <mergeCell ref="CR250:CR255"/>
    <mergeCell ref="CS250:CS255"/>
    <mergeCell ref="CT250:CT255"/>
    <mergeCell ref="CU250:CU255"/>
    <mergeCell ref="CV250:CV255"/>
    <mergeCell ref="CK250:CK255"/>
    <mergeCell ref="CL250:CL255"/>
    <mergeCell ref="CM250:CM255"/>
    <mergeCell ref="CN250:CN255"/>
    <mergeCell ref="CO250:CO255"/>
    <mergeCell ref="CP250:CP255"/>
    <mergeCell ref="CE250:CE255"/>
    <mergeCell ref="CF250:CF255"/>
    <mergeCell ref="CG250:CG255"/>
    <mergeCell ref="CH250:CH255"/>
    <mergeCell ref="CI250:CI255"/>
    <mergeCell ref="CJ250:CJ255"/>
    <mergeCell ref="BY250:BY255"/>
    <mergeCell ref="BZ250:BZ255"/>
    <mergeCell ref="CA250:CA255"/>
    <mergeCell ref="CB250:CB255"/>
    <mergeCell ref="CC250:CC255"/>
    <mergeCell ref="CD250:CD255"/>
    <mergeCell ref="BS250:BS255"/>
    <mergeCell ref="BT250:BT255"/>
    <mergeCell ref="BU250:BU255"/>
    <mergeCell ref="BV250:BV255"/>
    <mergeCell ref="BW250:BW255"/>
    <mergeCell ref="BX250:BX255"/>
    <mergeCell ref="BM250:BM255"/>
    <mergeCell ref="BN250:BN255"/>
    <mergeCell ref="BO250:BO255"/>
    <mergeCell ref="BP250:BP255"/>
    <mergeCell ref="BQ250:BQ255"/>
    <mergeCell ref="BR250:BR255"/>
    <mergeCell ref="BG250:BG255"/>
    <mergeCell ref="BH250:BH255"/>
    <mergeCell ref="BI250:BI255"/>
    <mergeCell ref="BJ250:BJ255"/>
    <mergeCell ref="BK250:BK255"/>
    <mergeCell ref="BL250:BL255"/>
    <mergeCell ref="BA250:BA255"/>
    <mergeCell ref="BB250:BB255"/>
    <mergeCell ref="BC250:BC255"/>
    <mergeCell ref="BD250:BD255"/>
    <mergeCell ref="BE250:BE255"/>
    <mergeCell ref="BF250:BF255"/>
    <mergeCell ref="AU250:AU255"/>
    <mergeCell ref="AV250:AV255"/>
    <mergeCell ref="AW250:AW255"/>
    <mergeCell ref="AX250:AX255"/>
    <mergeCell ref="AY250:AY255"/>
    <mergeCell ref="AZ250:AZ255"/>
    <mergeCell ref="AO250:AO255"/>
    <mergeCell ref="AP250:AP255"/>
    <mergeCell ref="AQ250:AQ255"/>
    <mergeCell ref="AR250:AR255"/>
    <mergeCell ref="AS250:AS255"/>
    <mergeCell ref="AT250:AT255"/>
    <mergeCell ref="AI250:AI255"/>
    <mergeCell ref="AJ250:AJ255"/>
    <mergeCell ref="AK250:AK255"/>
    <mergeCell ref="AL250:AL255"/>
    <mergeCell ref="AM250:AM255"/>
    <mergeCell ref="AN250:AN255"/>
    <mergeCell ref="AC250:AC255"/>
    <mergeCell ref="AD250:AD255"/>
    <mergeCell ref="AE250:AE255"/>
    <mergeCell ref="AF250:AF255"/>
    <mergeCell ref="AG250:AG255"/>
    <mergeCell ref="AH250:AH255"/>
    <mergeCell ref="W250:W255"/>
    <mergeCell ref="X250:X255"/>
    <mergeCell ref="Y250:Y255"/>
    <mergeCell ref="Z250:Z255"/>
    <mergeCell ref="AA250:AA255"/>
    <mergeCell ref="AB250:AB255"/>
    <mergeCell ref="Q250:Q255"/>
    <mergeCell ref="R250:R255"/>
    <mergeCell ref="S250:S255"/>
    <mergeCell ref="T250:T255"/>
    <mergeCell ref="U250:U255"/>
    <mergeCell ref="V250:V255"/>
    <mergeCell ref="K250:K255"/>
    <mergeCell ref="L250:L255"/>
    <mergeCell ref="M250:M255"/>
    <mergeCell ref="N250:N255"/>
    <mergeCell ref="O250:O255"/>
    <mergeCell ref="P250:P255"/>
    <mergeCell ref="E250:E255"/>
    <mergeCell ref="F250:F255"/>
    <mergeCell ref="G250:G255"/>
    <mergeCell ref="H250:H255"/>
    <mergeCell ref="I250:I255"/>
    <mergeCell ref="J250:J255"/>
    <mergeCell ref="B240:D241"/>
    <mergeCell ref="B242:D243"/>
    <mergeCell ref="B244:D245"/>
    <mergeCell ref="B246:D247"/>
    <mergeCell ref="A250:A323"/>
    <mergeCell ref="B250:D253"/>
    <mergeCell ref="B254:D255"/>
    <mergeCell ref="B256:D257"/>
    <mergeCell ref="B258:D258"/>
    <mergeCell ref="B259:D260"/>
    <mergeCell ref="DS230:DS231"/>
    <mergeCell ref="DT230:DT231"/>
    <mergeCell ref="B232:D233"/>
    <mergeCell ref="B234:D235"/>
    <mergeCell ref="B236:C237"/>
    <mergeCell ref="B238:D239"/>
    <mergeCell ref="DM230:DM231"/>
    <mergeCell ref="DN230:DN231"/>
    <mergeCell ref="DO230:DO231"/>
    <mergeCell ref="DP230:DP231"/>
    <mergeCell ref="DQ230:DQ231"/>
    <mergeCell ref="DR230:DR231"/>
    <mergeCell ref="DG230:DG231"/>
    <mergeCell ref="DH230:DH231"/>
    <mergeCell ref="DI230:DI231"/>
    <mergeCell ref="DJ230:DJ231"/>
    <mergeCell ref="DK230:DK231"/>
    <mergeCell ref="DL230:DL231"/>
    <mergeCell ref="DA230:DA231"/>
    <mergeCell ref="DB230:DB231"/>
    <mergeCell ref="DC230:DC231"/>
    <mergeCell ref="DD230:DD231"/>
    <mergeCell ref="DE230:DE231"/>
    <mergeCell ref="DF230:DF231"/>
    <mergeCell ref="CU230:CU231"/>
    <mergeCell ref="CV230:CV231"/>
    <mergeCell ref="CW230:CW231"/>
    <mergeCell ref="CX230:CX231"/>
    <mergeCell ref="CY230:CY231"/>
    <mergeCell ref="CZ230:CZ231"/>
    <mergeCell ref="CO230:CO231"/>
    <mergeCell ref="CP230:CP231"/>
    <mergeCell ref="CQ230:CQ231"/>
    <mergeCell ref="CR230:CR231"/>
    <mergeCell ref="CS230:CS231"/>
    <mergeCell ref="CT230:CT231"/>
    <mergeCell ref="CI230:CI231"/>
    <mergeCell ref="CJ230:CJ231"/>
    <mergeCell ref="CK230:CK231"/>
    <mergeCell ref="CL230:CL231"/>
    <mergeCell ref="CM230:CM231"/>
    <mergeCell ref="CN230:CN231"/>
    <mergeCell ref="CC230:CC231"/>
    <mergeCell ref="CD230:CD231"/>
    <mergeCell ref="CE230:CE231"/>
    <mergeCell ref="CF230:CF231"/>
    <mergeCell ref="CG230:CG231"/>
    <mergeCell ref="CH230:CH231"/>
    <mergeCell ref="BW230:BW231"/>
    <mergeCell ref="BX230:BX231"/>
    <mergeCell ref="BY230:BY231"/>
    <mergeCell ref="BZ230:BZ231"/>
    <mergeCell ref="CA230:CA231"/>
    <mergeCell ref="CB230:CB231"/>
    <mergeCell ref="BQ230:BQ231"/>
    <mergeCell ref="BR230:BR231"/>
    <mergeCell ref="BS230:BS231"/>
    <mergeCell ref="BT230:BT231"/>
    <mergeCell ref="BU230:BU231"/>
    <mergeCell ref="BV230:BV231"/>
    <mergeCell ref="BK230:BK231"/>
    <mergeCell ref="BL230:BL231"/>
    <mergeCell ref="BM230:BM231"/>
    <mergeCell ref="BN230:BN231"/>
    <mergeCell ref="BO230:BO231"/>
    <mergeCell ref="BP230:BP231"/>
    <mergeCell ref="BE230:BE231"/>
    <mergeCell ref="BF230:BF231"/>
    <mergeCell ref="BG230:BG231"/>
    <mergeCell ref="BH230:BH231"/>
    <mergeCell ref="BI230:BI231"/>
    <mergeCell ref="BJ230:BJ231"/>
    <mergeCell ref="AY230:AY231"/>
    <mergeCell ref="AZ230:AZ231"/>
    <mergeCell ref="BA230:BA231"/>
    <mergeCell ref="BB230:BB231"/>
    <mergeCell ref="BC230:BC231"/>
    <mergeCell ref="BD230:BD231"/>
    <mergeCell ref="AS230:AS231"/>
    <mergeCell ref="AT230:AT231"/>
    <mergeCell ref="AU230:AU231"/>
    <mergeCell ref="AV230:AV231"/>
    <mergeCell ref="AW230:AW231"/>
    <mergeCell ref="AX230:AX231"/>
    <mergeCell ref="AM230:AM231"/>
    <mergeCell ref="AN230:AN231"/>
    <mergeCell ref="AO230:AO231"/>
    <mergeCell ref="AP230:AP231"/>
    <mergeCell ref="AQ230:AQ231"/>
    <mergeCell ref="AR230:AR231"/>
    <mergeCell ref="AG230:AG231"/>
    <mergeCell ref="AH230:AH231"/>
    <mergeCell ref="AI230:AI231"/>
    <mergeCell ref="AJ230:AJ231"/>
    <mergeCell ref="AK230:AK231"/>
    <mergeCell ref="AL230:AL231"/>
    <mergeCell ref="AA230:AA231"/>
    <mergeCell ref="AB230:AB231"/>
    <mergeCell ref="AC230:AC231"/>
    <mergeCell ref="AD230:AD231"/>
    <mergeCell ref="AE230:AE231"/>
    <mergeCell ref="AF230:AF231"/>
    <mergeCell ref="U230:U231"/>
    <mergeCell ref="V230:V231"/>
    <mergeCell ref="W230:W231"/>
    <mergeCell ref="X230:X231"/>
    <mergeCell ref="Y230:Y231"/>
    <mergeCell ref="Z230:Z231"/>
    <mergeCell ref="O230:O231"/>
    <mergeCell ref="P230:P231"/>
    <mergeCell ref="Q230:Q231"/>
    <mergeCell ref="R230:R231"/>
    <mergeCell ref="S230:S231"/>
    <mergeCell ref="T230:T231"/>
    <mergeCell ref="I230:I231"/>
    <mergeCell ref="J230:J231"/>
    <mergeCell ref="K230:K231"/>
    <mergeCell ref="L230:L231"/>
    <mergeCell ref="M230:M231"/>
    <mergeCell ref="N230:N231"/>
    <mergeCell ref="B228:D229"/>
    <mergeCell ref="B230:D231"/>
    <mergeCell ref="E230:E231"/>
    <mergeCell ref="F230:F231"/>
    <mergeCell ref="G230:G231"/>
    <mergeCell ref="H230:H231"/>
    <mergeCell ref="B216:D217"/>
    <mergeCell ref="B218:D219"/>
    <mergeCell ref="B220:D221"/>
    <mergeCell ref="B222:D223"/>
    <mergeCell ref="B224:D225"/>
    <mergeCell ref="B226:D227"/>
    <mergeCell ref="B212:D213"/>
    <mergeCell ref="B214:D215"/>
    <mergeCell ref="DP192:DP193"/>
    <mergeCell ref="DQ192:DQ193"/>
    <mergeCell ref="DR192:DR193"/>
    <mergeCell ref="DS192:DS193"/>
    <mergeCell ref="DT192:DT193"/>
    <mergeCell ref="B194:D195"/>
    <mergeCell ref="DJ192:DJ193"/>
    <mergeCell ref="DK192:DK193"/>
    <mergeCell ref="DL192:DL193"/>
    <mergeCell ref="DM192:DM193"/>
    <mergeCell ref="DN192:DN193"/>
    <mergeCell ref="DO192:DO193"/>
    <mergeCell ref="DD192:DD193"/>
    <mergeCell ref="DE192:DE193"/>
    <mergeCell ref="DF192:DF193"/>
    <mergeCell ref="DG192:DG193"/>
    <mergeCell ref="DH192:DH193"/>
    <mergeCell ref="DI192:DI193"/>
    <mergeCell ref="CX192:CX193"/>
    <mergeCell ref="CY192:CY193"/>
    <mergeCell ref="CZ192:CZ193"/>
    <mergeCell ref="DA192:DA193"/>
    <mergeCell ref="DB192:DB193"/>
    <mergeCell ref="DC192:DC193"/>
    <mergeCell ref="CR192:CR193"/>
    <mergeCell ref="CS192:CS193"/>
    <mergeCell ref="CT192:CT193"/>
    <mergeCell ref="CU192:CU193"/>
    <mergeCell ref="CV192:CV193"/>
    <mergeCell ref="CW192:CW193"/>
    <mergeCell ref="CL192:CL193"/>
    <mergeCell ref="CM192:CM193"/>
    <mergeCell ref="CN192:CN193"/>
    <mergeCell ref="CO192:CO193"/>
    <mergeCell ref="CP192:CP193"/>
    <mergeCell ref="CQ192:CQ193"/>
    <mergeCell ref="CF192:CF193"/>
    <mergeCell ref="CG192:CG193"/>
    <mergeCell ref="CH192:CH193"/>
    <mergeCell ref="CI192:CI193"/>
    <mergeCell ref="CJ192:CJ193"/>
    <mergeCell ref="CK192:CK193"/>
    <mergeCell ref="BZ192:BZ193"/>
    <mergeCell ref="CA192:CA193"/>
    <mergeCell ref="CB192:CB193"/>
    <mergeCell ref="CC192:CC193"/>
    <mergeCell ref="CD192:CD193"/>
    <mergeCell ref="CE192:CE193"/>
    <mergeCell ref="BT192:BT193"/>
    <mergeCell ref="BU192:BU193"/>
    <mergeCell ref="BV192:BV193"/>
    <mergeCell ref="BW192:BW193"/>
    <mergeCell ref="BX192:BX193"/>
    <mergeCell ref="BY192:BY193"/>
    <mergeCell ref="BN192:BN193"/>
    <mergeCell ref="BO192:BO193"/>
    <mergeCell ref="BP192:BP193"/>
    <mergeCell ref="BQ192:BQ193"/>
    <mergeCell ref="BR192:BR193"/>
    <mergeCell ref="BS192:BS193"/>
    <mergeCell ref="BH192:BH193"/>
    <mergeCell ref="BI192:BI193"/>
    <mergeCell ref="BJ192:BJ193"/>
    <mergeCell ref="BK192:BK193"/>
    <mergeCell ref="BL192:BL193"/>
    <mergeCell ref="BM192:BM193"/>
    <mergeCell ref="BC192:BC193"/>
    <mergeCell ref="BD192:BD193"/>
    <mergeCell ref="BE192:BE193"/>
    <mergeCell ref="BF192:BF193"/>
    <mergeCell ref="BG192:BG193"/>
    <mergeCell ref="AV192:AV193"/>
    <mergeCell ref="AW192:AW193"/>
    <mergeCell ref="AX192:AX193"/>
    <mergeCell ref="AY192:AY193"/>
    <mergeCell ref="AZ192:AZ193"/>
    <mergeCell ref="BA192:BA193"/>
    <mergeCell ref="AP192:AP193"/>
    <mergeCell ref="AQ192:AQ193"/>
    <mergeCell ref="AR192:AR193"/>
    <mergeCell ref="AS192:AS193"/>
    <mergeCell ref="AT192:AT193"/>
    <mergeCell ref="AU192:AU193"/>
    <mergeCell ref="AL192:AL193"/>
    <mergeCell ref="AM192:AM193"/>
    <mergeCell ref="AN192:AN193"/>
    <mergeCell ref="AO192:AO193"/>
    <mergeCell ref="AD192:AD193"/>
    <mergeCell ref="AE192:AE193"/>
    <mergeCell ref="AF192:AF193"/>
    <mergeCell ref="AG192:AG193"/>
    <mergeCell ref="AH192:AH193"/>
    <mergeCell ref="AI192:AI193"/>
    <mergeCell ref="X192:X193"/>
    <mergeCell ref="Y192:Y193"/>
    <mergeCell ref="Z192:Z193"/>
    <mergeCell ref="AA192:AA193"/>
    <mergeCell ref="AB192:AB193"/>
    <mergeCell ref="AC192:AC193"/>
    <mergeCell ref="BB192:BB193"/>
    <mergeCell ref="T192:T193"/>
    <mergeCell ref="U192:U193"/>
    <mergeCell ref="V192:V193"/>
    <mergeCell ref="W192:W193"/>
    <mergeCell ref="L192:L193"/>
    <mergeCell ref="M192:M193"/>
    <mergeCell ref="N192:N193"/>
    <mergeCell ref="O192:O193"/>
    <mergeCell ref="P192:P193"/>
    <mergeCell ref="Q192:Q193"/>
    <mergeCell ref="DT189:DT190"/>
    <mergeCell ref="B191:D191"/>
    <mergeCell ref="B192:D193"/>
    <mergeCell ref="E192:E193"/>
    <mergeCell ref="F192:F193"/>
    <mergeCell ref="G192:G193"/>
    <mergeCell ref="H192:H193"/>
    <mergeCell ref="I192:I193"/>
    <mergeCell ref="J192:J193"/>
    <mergeCell ref="K192:K193"/>
    <mergeCell ref="DN189:DN190"/>
    <mergeCell ref="DO189:DO190"/>
    <mergeCell ref="DP189:DP190"/>
    <mergeCell ref="DQ189:DQ190"/>
    <mergeCell ref="DR189:DR190"/>
    <mergeCell ref="DS189:DS190"/>
    <mergeCell ref="DH189:DH190"/>
    <mergeCell ref="DI189:DI190"/>
    <mergeCell ref="DJ189:DJ190"/>
    <mergeCell ref="DK189:DK190"/>
    <mergeCell ref="AJ192:AJ193"/>
    <mergeCell ref="AK192:AK193"/>
    <mergeCell ref="DL189:DL190"/>
    <mergeCell ref="DM189:DM190"/>
    <mergeCell ref="DB189:DB190"/>
    <mergeCell ref="DC189:DC190"/>
    <mergeCell ref="DD189:DD190"/>
    <mergeCell ref="DE189:DE190"/>
    <mergeCell ref="DF189:DF190"/>
    <mergeCell ref="DG189:DG190"/>
    <mergeCell ref="CV189:CV190"/>
    <mergeCell ref="CW189:CW190"/>
    <mergeCell ref="CX189:CX190"/>
    <mergeCell ref="CY189:CY190"/>
    <mergeCell ref="CZ189:CZ190"/>
    <mergeCell ref="DA189:DA190"/>
    <mergeCell ref="CP189:CP190"/>
    <mergeCell ref="CQ189:CQ190"/>
    <mergeCell ref="CR189:CR190"/>
    <mergeCell ref="CS189:CS190"/>
    <mergeCell ref="CT189:CT190"/>
    <mergeCell ref="CU189:CU190"/>
    <mergeCell ref="CK189:CK190"/>
    <mergeCell ref="CL189:CL190"/>
    <mergeCell ref="CM189:CM190"/>
    <mergeCell ref="CN189:CN190"/>
    <mergeCell ref="CO189:CO190"/>
    <mergeCell ref="CD189:CD190"/>
    <mergeCell ref="CE189:CE190"/>
    <mergeCell ref="CF189:CF190"/>
    <mergeCell ref="CG189:CG190"/>
    <mergeCell ref="CH189:CH190"/>
    <mergeCell ref="CI189:CI190"/>
    <mergeCell ref="BX189:BX190"/>
    <mergeCell ref="BY189:BY190"/>
    <mergeCell ref="BZ189:BZ190"/>
    <mergeCell ref="CA189:CA190"/>
    <mergeCell ref="CB189:CB190"/>
    <mergeCell ref="CC189:CC190"/>
    <mergeCell ref="BT189:BT190"/>
    <mergeCell ref="BU189:BU190"/>
    <mergeCell ref="BV189:BV190"/>
    <mergeCell ref="BW189:BW190"/>
    <mergeCell ref="BL189:BL190"/>
    <mergeCell ref="BM189:BM190"/>
    <mergeCell ref="BN189:BN190"/>
    <mergeCell ref="BO189:BO190"/>
    <mergeCell ref="BP189:BP190"/>
    <mergeCell ref="BQ189:BQ190"/>
    <mergeCell ref="BF189:BF190"/>
    <mergeCell ref="BG189:BG190"/>
    <mergeCell ref="BH189:BH190"/>
    <mergeCell ref="BI189:BI190"/>
    <mergeCell ref="BJ189:BJ190"/>
    <mergeCell ref="BK189:BK190"/>
    <mergeCell ref="CJ189:CJ190"/>
    <mergeCell ref="BC189:BC190"/>
    <mergeCell ref="BD189:BD190"/>
    <mergeCell ref="BE189:BE190"/>
    <mergeCell ref="AT189:AT190"/>
    <mergeCell ref="AU189:AU190"/>
    <mergeCell ref="AV189:AV190"/>
    <mergeCell ref="AW189:AW190"/>
    <mergeCell ref="AX189:AX190"/>
    <mergeCell ref="AY189:AY190"/>
    <mergeCell ref="AN189:AN190"/>
    <mergeCell ref="AO189:AO190"/>
    <mergeCell ref="AP189:AP190"/>
    <mergeCell ref="AQ189:AQ190"/>
    <mergeCell ref="AR189:AR190"/>
    <mergeCell ref="AS189:AS190"/>
    <mergeCell ref="BR189:BR190"/>
    <mergeCell ref="BS189:BS190"/>
    <mergeCell ref="AL189:AL190"/>
    <mergeCell ref="AM189:AM190"/>
    <mergeCell ref="AB189:AB190"/>
    <mergeCell ref="AC189:AC190"/>
    <mergeCell ref="AD189:AD190"/>
    <mergeCell ref="AE189:AE190"/>
    <mergeCell ref="AF189:AF190"/>
    <mergeCell ref="AG189:AG190"/>
    <mergeCell ref="V189:V190"/>
    <mergeCell ref="W189:W190"/>
    <mergeCell ref="X189:X190"/>
    <mergeCell ref="Y189:Y190"/>
    <mergeCell ref="Z189:Z190"/>
    <mergeCell ref="AA189:AA190"/>
    <mergeCell ref="AZ189:AZ190"/>
    <mergeCell ref="BA189:BA190"/>
    <mergeCell ref="BB189:BB190"/>
    <mergeCell ref="T189:T190"/>
    <mergeCell ref="U189:U190"/>
    <mergeCell ref="J189:J190"/>
    <mergeCell ref="K189:K190"/>
    <mergeCell ref="L189:L190"/>
    <mergeCell ref="M189:M190"/>
    <mergeCell ref="N189:N190"/>
    <mergeCell ref="O189:O190"/>
    <mergeCell ref="DR183:DR188"/>
    <mergeCell ref="DS183:DS188"/>
    <mergeCell ref="DT183:DT188"/>
    <mergeCell ref="B187:D188"/>
    <mergeCell ref="B189:D190"/>
    <mergeCell ref="E189:E190"/>
    <mergeCell ref="F189:F190"/>
    <mergeCell ref="G189:G190"/>
    <mergeCell ref="H189:H190"/>
    <mergeCell ref="I189:I190"/>
    <mergeCell ref="DL183:DL188"/>
    <mergeCell ref="DM183:DM188"/>
    <mergeCell ref="DN183:DN188"/>
    <mergeCell ref="DO183:DO188"/>
    <mergeCell ref="DP183:DP188"/>
    <mergeCell ref="DQ183:DQ188"/>
    <mergeCell ref="DF183:DF188"/>
    <mergeCell ref="DG183:DG188"/>
    <mergeCell ref="DH183:DH188"/>
    <mergeCell ref="DI183:DI188"/>
    <mergeCell ref="AH189:AH190"/>
    <mergeCell ref="AI189:AI190"/>
    <mergeCell ref="AJ189:AJ190"/>
    <mergeCell ref="AK189:AK190"/>
    <mergeCell ref="DJ183:DJ188"/>
    <mergeCell ref="DK183:DK188"/>
    <mergeCell ref="CZ183:CZ188"/>
    <mergeCell ref="DA183:DA188"/>
    <mergeCell ref="DB183:DB188"/>
    <mergeCell ref="DC183:DC188"/>
    <mergeCell ref="DD183:DD188"/>
    <mergeCell ref="DE183:DE188"/>
    <mergeCell ref="CT183:CT188"/>
    <mergeCell ref="CU183:CU188"/>
    <mergeCell ref="CV183:CV188"/>
    <mergeCell ref="CW183:CW188"/>
    <mergeCell ref="CX183:CX188"/>
    <mergeCell ref="CY183:CY188"/>
    <mergeCell ref="CN183:CN188"/>
    <mergeCell ref="CO183:CO188"/>
    <mergeCell ref="CP183:CP188"/>
    <mergeCell ref="CQ183:CQ188"/>
    <mergeCell ref="CR183:CR188"/>
    <mergeCell ref="CS183:CS188"/>
    <mergeCell ref="CH183:CH188"/>
    <mergeCell ref="CI183:CI188"/>
    <mergeCell ref="CJ183:CJ188"/>
    <mergeCell ref="CK183:CK188"/>
    <mergeCell ref="CL183:CL188"/>
    <mergeCell ref="CM183:CM188"/>
    <mergeCell ref="CB183:CB188"/>
    <mergeCell ref="CC183:CC188"/>
    <mergeCell ref="CD183:CD188"/>
    <mergeCell ref="CE183:CE188"/>
    <mergeCell ref="CF183:CF188"/>
    <mergeCell ref="CG183:CG188"/>
    <mergeCell ref="BV183:BV188"/>
    <mergeCell ref="BW183:BW188"/>
    <mergeCell ref="BX183:BX188"/>
    <mergeCell ref="BY183:BY188"/>
    <mergeCell ref="BZ183:BZ188"/>
    <mergeCell ref="CA183:CA188"/>
    <mergeCell ref="BP183:BP188"/>
    <mergeCell ref="BQ183:BQ188"/>
    <mergeCell ref="BR183:BR188"/>
    <mergeCell ref="BS183:BS188"/>
    <mergeCell ref="BT183:BT188"/>
    <mergeCell ref="BU183:BU188"/>
    <mergeCell ref="BJ183:BJ188"/>
    <mergeCell ref="BK183:BK188"/>
    <mergeCell ref="BL183:BL188"/>
    <mergeCell ref="BM183:BM188"/>
    <mergeCell ref="BN183:BN188"/>
    <mergeCell ref="BO183:BO188"/>
    <mergeCell ref="BD183:BD188"/>
    <mergeCell ref="BE183:BE188"/>
    <mergeCell ref="BF183:BF188"/>
    <mergeCell ref="BG183:BG188"/>
    <mergeCell ref="BH183:BH188"/>
    <mergeCell ref="BI183:BI188"/>
    <mergeCell ref="AX183:AX188"/>
    <mergeCell ref="AY183:AY188"/>
    <mergeCell ref="AZ183:AZ188"/>
    <mergeCell ref="BA183:BA188"/>
    <mergeCell ref="BB183:BB188"/>
    <mergeCell ref="BC183:BC188"/>
    <mergeCell ref="AR183:AR188"/>
    <mergeCell ref="AS183:AS188"/>
    <mergeCell ref="AT183:AT188"/>
    <mergeCell ref="AU183:AU188"/>
    <mergeCell ref="AV183:AV188"/>
    <mergeCell ref="AW183:AW188"/>
    <mergeCell ref="AL183:AL188"/>
    <mergeCell ref="AM183:AM188"/>
    <mergeCell ref="AN183:AN188"/>
    <mergeCell ref="AO183:AO188"/>
    <mergeCell ref="AP183:AP188"/>
    <mergeCell ref="AQ183:AQ188"/>
    <mergeCell ref="AF183:AF188"/>
    <mergeCell ref="AG183:AG188"/>
    <mergeCell ref="AH183:AH188"/>
    <mergeCell ref="AI183:AI188"/>
    <mergeCell ref="AJ183:AJ188"/>
    <mergeCell ref="AK183:AK188"/>
    <mergeCell ref="Z183:Z188"/>
    <mergeCell ref="AA183:AA188"/>
    <mergeCell ref="AB183:AB188"/>
    <mergeCell ref="AC183:AC188"/>
    <mergeCell ref="AD183:AD188"/>
    <mergeCell ref="AE183:AE188"/>
    <mergeCell ref="T183:T188"/>
    <mergeCell ref="U183:U188"/>
    <mergeCell ref="V183:V188"/>
    <mergeCell ref="W183:W188"/>
    <mergeCell ref="X183:X188"/>
    <mergeCell ref="Y183:Y188"/>
    <mergeCell ref="N183:N188"/>
    <mergeCell ref="O183:O188"/>
    <mergeCell ref="P183:P188"/>
    <mergeCell ref="Q183:Q188"/>
    <mergeCell ref="R183:R188"/>
    <mergeCell ref="S183:S188"/>
    <mergeCell ref="H183:H188"/>
    <mergeCell ref="I183:I188"/>
    <mergeCell ref="J183:J188"/>
    <mergeCell ref="K183:K188"/>
    <mergeCell ref="L183:L188"/>
    <mergeCell ref="M183:M188"/>
    <mergeCell ref="B180:D181"/>
    <mergeCell ref="A183:A249"/>
    <mergeCell ref="B183:D186"/>
    <mergeCell ref="E183:E188"/>
    <mergeCell ref="F183:F188"/>
    <mergeCell ref="G183:G188"/>
    <mergeCell ref="B196:D197"/>
    <mergeCell ref="B198:D199"/>
    <mergeCell ref="B200:D201"/>
    <mergeCell ref="B202:D203"/>
    <mergeCell ref="P189:P190"/>
    <mergeCell ref="Q189:Q190"/>
    <mergeCell ref="R189:R190"/>
    <mergeCell ref="S189:S190"/>
    <mergeCell ref="R192:R193"/>
    <mergeCell ref="S192:S193"/>
    <mergeCell ref="B204:D205"/>
    <mergeCell ref="B206:D207"/>
    <mergeCell ref="B208:D209"/>
    <mergeCell ref="B210:D211"/>
    <mergeCell ref="DS170:DS171"/>
    <mergeCell ref="DT170:DT171"/>
    <mergeCell ref="B172:D173"/>
    <mergeCell ref="B174:D175"/>
    <mergeCell ref="B176:D177"/>
    <mergeCell ref="B178:D179"/>
    <mergeCell ref="DM170:DM171"/>
    <mergeCell ref="DN170:DN171"/>
    <mergeCell ref="DO170:DO171"/>
    <mergeCell ref="DP170:DP171"/>
    <mergeCell ref="DQ170:DQ171"/>
    <mergeCell ref="DR170:DR171"/>
    <mergeCell ref="DG170:DG171"/>
    <mergeCell ref="DH170:DH171"/>
    <mergeCell ref="DI170:DI171"/>
    <mergeCell ref="DJ170:DJ171"/>
    <mergeCell ref="DK170:DK171"/>
    <mergeCell ref="DL170:DL171"/>
    <mergeCell ref="DA170:DA171"/>
    <mergeCell ref="DB170:DB171"/>
    <mergeCell ref="DC170:DC171"/>
    <mergeCell ref="DD170:DD171"/>
    <mergeCell ref="DE170:DE171"/>
    <mergeCell ref="DF170:DF171"/>
    <mergeCell ref="CU170:CU171"/>
    <mergeCell ref="CV170:CV171"/>
    <mergeCell ref="CW170:CW171"/>
    <mergeCell ref="CX170:CX171"/>
    <mergeCell ref="CY170:CY171"/>
    <mergeCell ref="CZ170:CZ171"/>
    <mergeCell ref="CO170:CO171"/>
    <mergeCell ref="CP170:CP171"/>
    <mergeCell ref="CQ170:CQ171"/>
    <mergeCell ref="CR170:CR171"/>
    <mergeCell ref="CS170:CS171"/>
    <mergeCell ref="CT170:CT171"/>
    <mergeCell ref="CI170:CI171"/>
    <mergeCell ref="CJ170:CJ171"/>
    <mergeCell ref="CK170:CK171"/>
    <mergeCell ref="CL170:CL171"/>
    <mergeCell ref="CM170:CM171"/>
    <mergeCell ref="CN170:CN171"/>
    <mergeCell ref="CC170:CC171"/>
    <mergeCell ref="CD170:CD171"/>
    <mergeCell ref="CE170:CE171"/>
    <mergeCell ref="CF170:CF171"/>
    <mergeCell ref="CG170:CG171"/>
    <mergeCell ref="CH170:CH171"/>
    <mergeCell ref="BW170:BW171"/>
    <mergeCell ref="BX170:BX171"/>
    <mergeCell ref="BY170:BY171"/>
    <mergeCell ref="BZ170:BZ171"/>
    <mergeCell ref="CA170:CA171"/>
    <mergeCell ref="CB170:CB171"/>
    <mergeCell ref="BQ170:BQ171"/>
    <mergeCell ref="BR170:BR171"/>
    <mergeCell ref="BS170:BS171"/>
    <mergeCell ref="BT170:BT171"/>
    <mergeCell ref="BU170:BU171"/>
    <mergeCell ref="BV170:BV171"/>
    <mergeCell ref="BK170:BK171"/>
    <mergeCell ref="BL170:BL171"/>
    <mergeCell ref="BM170:BM171"/>
    <mergeCell ref="BN170:BN171"/>
    <mergeCell ref="BO170:BO171"/>
    <mergeCell ref="BP170:BP171"/>
    <mergeCell ref="BE170:BE171"/>
    <mergeCell ref="BF170:BF171"/>
    <mergeCell ref="BG170:BG171"/>
    <mergeCell ref="BH170:BH171"/>
    <mergeCell ref="BI170:BI171"/>
    <mergeCell ref="BJ170:BJ171"/>
    <mergeCell ref="AY170:AY171"/>
    <mergeCell ref="AZ170:AZ171"/>
    <mergeCell ref="BA170:BA171"/>
    <mergeCell ref="BB170:BB171"/>
    <mergeCell ref="BC170:BC171"/>
    <mergeCell ref="BD170:BD171"/>
    <mergeCell ref="AS170:AS171"/>
    <mergeCell ref="AT170:AT171"/>
    <mergeCell ref="AU170:AU171"/>
    <mergeCell ref="AV170:AV171"/>
    <mergeCell ref="AW170:AW171"/>
    <mergeCell ref="AX170:AX171"/>
    <mergeCell ref="AM170:AM171"/>
    <mergeCell ref="AN170:AN171"/>
    <mergeCell ref="AO170:AO171"/>
    <mergeCell ref="AP170:AP171"/>
    <mergeCell ref="AQ170:AQ171"/>
    <mergeCell ref="AR170:AR171"/>
    <mergeCell ref="AG170:AG171"/>
    <mergeCell ref="AH170:AH171"/>
    <mergeCell ref="AI170:AI171"/>
    <mergeCell ref="AJ170:AJ171"/>
    <mergeCell ref="AK170:AK171"/>
    <mergeCell ref="AL170:AL171"/>
    <mergeCell ref="AA170:AA171"/>
    <mergeCell ref="AB170:AB171"/>
    <mergeCell ref="AC170:AC171"/>
    <mergeCell ref="AD170:AD171"/>
    <mergeCell ref="AE170:AE171"/>
    <mergeCell ref="AF170:AF171"/>
    <mergeCell ref="U170:U171"/>
    <mergeCell ref="V170:V171"/>
    <mergeCell ref="W170:W171"/>
    <mergeCell ref="X170:X171"/>
    <mergeCell ref="Y170:Y171"/>
    <mergeCell ref="Z170:Z171"/>
    <mergeCell ref="O170:O171"/>
    <mergeCell ref="P170:P171"/>
    <mergeCell ref="Q170:Q171"/>
    <mergeCell ref="R170:R171"/>
    <mergeCell ref="S170:S171"/>
    <mergeCell ref="T170:T171"/>
    <mergeCell ref="I170:I171"/>
    <mergeCell ref="J170:J171"/>
    <mergeCell ref="K170:K171"/>
    <mergeCell ref="L170:L171"/>
    <mergeCell ref="M170:M171"/>
    <mergeCell ref="N170:N171"/>
    <mergeCell ref="DP168:DP169"/>
    <mergeCell ref="DQ168:DQ169"/>
    <mergeCell ref="DR168:DR169"/>
    <mergeCell ref="DS168:DS169"/>
    <mergeCell ref="DT168:DT169"/>
    <mergeCell ref="CO168:CO169"/>
    <mergeCell ref="CP168:CP169"/>
    <mergeCell ref="CQ168:CQ169"/>
    <mergeCell ref="CF168:CF169"/>
    <mergeCell ref="CG168:CG169"/>
    <mergeCell ref="CH168:CH169"/>
    <mergeCell ref="CI168:CI169"/>
    <mergeCell ref="CJ168:CJ169"/>
    <mergeCell ref="CK168:CK169"/>
    <mergeCell ref="BZ168:BZ169"/>
    <mergeCell ref="CA168:CA169"/>
    <mergeCell ref="CB168:CB169"/>
    <mergeCell ref="CC168:CC169"/>
    <mergeCell ref="CD168:CD169"/>
    <mergeCell ref="CE168:CE169"/>
    <mergeCell ref="B170:D171"/>
    <mergeCell ref="E170:E171"/>
    <mergeCell ref="F170:F171"/>
    <mergeCell ref="G170:G171"/>
    <mergeCell ref="H170:H171"/>
    <mergeCell ref="DJ168:DJ169"/>
    <mergeCell ref="DK168:DK169"/>
    <mergeCell ref="DL168:DL169"/>
    <mergeCell ref="DM168:DM169"/>
    <mergeCell ref="DN168:DN169"/>
    <mergeCell ref="DO168:DO169"/>
    <mergeCell ref="DD168:DD169"/>
    <mergeCell ref="DE168:DE169"/>
    <mergeCell ref="DF168:DF169"/>
    <mergeCell ref="DG168:DG169"/>
    <mergeCell ref="DH168:DH169"/>
    <mergeCell ref="DI168:DI169"/>
    <mergeCell ref="CX168:CX169"/>
    <mergeCell ref="CY168:CY169"/>
    <mergeCell ref="CZ168:CZ169"/>
    <mergeCell ref="DA168:DA169"/>
    <mergeCell ref="DB168:DB169"/>
    <mergeCell ref="DC168:DC169"/>
    <mergeCell ref="CR168:CR169"/>
    <mergeCell ref="CS168:CS169"/>
    <mergeCell ref="CT168:CT169"/>
    <mergeCell ref="CU168:CU169"/>
    <mergeCell ref="CV168:CV169"/>
    <mergeCell ref="CW168:CW169"/>
    <mergeCell ref="CL168:CL169"/>
    <mergeCell ref="CM168:CM169"/>
    <mergeCell ref="CN168:CN169"/>
    <mergeCell ref="AP168:AP169"/>
    <mergeCell ref="AQ168:AQ169"/>
    <mergeCell ref="AR168:AR169"/>
    <mergeCell ref="AS168:AS169"/>
    <mergeCell ref="AT168:AT169"/>
    <mergeCell ref="AU168:AU169"/>
    <mergeCell ref="BT168:BT169"/>
    <mergeCell ref="BU168:BU169"/>
    <mergeCell ref="BV168:BV169"/>
    <mergeCell ref="BW168:BW169"/>
    <mergeCell ref="BX168:BX169"/>
    <mergeCell ref="BY168:BY169"/>
    <mergeCell ref="BN168:BN169"/>
    <mergeCell ref="BO168:BO169"/>
    <mergeCell ref="BP168:BP169"/>
    <mergeCell ref="BQ168:BQ169"/>
    <mergeCell ref="BR168:BR169"/>
    <mergeCell ref="BS168:BS169"/>
    <mergeCell ref="BH168:BH169"/>
    <mergeCell ref="BI168:BI169"/>
    <mergeCell ref="BJ168:BJ169"/>
    <mergeCell ref="BK168:BK169"/>
    <mergeCell ref="BL168:BL169"/>
    <mergeCell ref="BM168:BM169"/>
    <mergeCell ref="B168:D169"/>
    <mergeCell ref="E168:E169"/>
    <mergeCell ref="F168:F169"/>
    <mergeCell ref="G168:G169"/>
    <mergeCell ref="H168:H169"/>
    <mergeCell ref="I168:I169"/>
    <mergeCell ref="J168:J169"/>
    <mergeCell ref="K168:K169"/>
    <mergeCell ref="AJ168:AJ169"/>
    <mergeCell ref="AK168:AK169"/>
    <mergeCell ref="AL168:AL169"/>
    <mergeCell ref="AM168:AM169"/>
    <mergeCell ref="AN168:AN169"/>
    <mergeCell ref="AO168:AO169"/>
    <mergeCell ref="AD168:AD169"/>
    <mergeCell ref="AE168:AE169"/>
    <mergeCell ref="AF168:AF169"/>
    <mergeCell ref="AG168:AG169"/>
    <mergeCell ref="AH168:AH169"/>
    <mergeCell ref="AI168:AI169"/>
    <mergeCell ref="X168:X169"/>
    <mergeCell ref="Y168:Y169"/>
    <mergeCell ref="Z168:Z169"/>
    <mergeCell ref="AA168:AA169"/>
    <mergeCell ref="AB168:AB169"/>
    <mergeCell ref="AC168:AC169"/>
    <mergeCell ref="BY132:BY133"/>
    <mergeCell ref="BZ132:BZ133"/>
    <mergeCell ref="CA132:CA133"/>
    <mergeCell ref="CB132:CB133"/>
    <mergeCell ref="CC132:CC133"/>
    <mergeCell ref="CD132:CD133"/>
    <mergeCell ref="BS132:BS133"/>
    <mergeCell ref="R168:R169"/>
    <mergeCell ref="S168:S169"/>
    <mergeCell ref="T168:T169"/>
    <mergeCell ref="U168:U169"/>
    <mergeCell ref="V168:V169"/>
    <mergeCell ref="W168:W169"/>
    <mergeCell ref="L168:L169"/>
    <mergeCell ref="M168:M169"/>
    <mergeCell ref="N168:N169"/>
    <mergeCell ref="O168:O169"/>
    <mergeCell ref="P168:P169"/>
    <mergeCell ref="Q168:Q169"/>
    <mergeCell ref="AC164:AC165"/>
    <mergeCell ref="BB168:BB169"/>
    <mergeCell ref="BC168:BC169"/>
    <mergeCell ref="BD168:BD169"/>
    <mergeCell ref="BE168:BE169"/>
    <mergeCell ref="BF168:BF169"/>
    <mergeCell ref="BG168:BG169"/>
    <mergeCell ref="AV168:AV169"/>
    <mergeCell ref="AW168:AW169"/>
    <mergeCell ref="AX168:AX169"/>
    <mergeCell ref="AY168:AY169"/>
    <mergeCell ref="AZ168:AZ169"/>
    <mergeCell ref="BA168:BA169"/>
    <mergeCell ref="CQ132:CQ133"/>
    <mergeCell ref="CR132:CR133"/>
    <mergeCell ref="CS132:CS133"/>
    <mergeCell ref="CT132:CT133"/>
    <mergeCell ref="CU132:CU133"/>
    <mergeCell ref="CV132:CV133"/>
    <mergeCell ref="CK132:CK133"/>
    <mergeCell ref="CL132:CL133"/>
    <mergeCell ref="CM132:CM133"/>
    <mergeCell ref="CN132:CN133"/>
    <mergeCell ref="CO132:CO133"/>
    <mergeCell ref="CP132:CP133"/>
    <mergeCell ref="CE132:CE133"/>
    <mergeCell ref="CF132:CF133"/>
    <mergeCell ref="CG132:CG133"/>
    <mergeCell ref="CH132:CH133"/>
    <mergeCell ref="CI132:CI133"/>
    <mergeCell ref="CJ132:CJ133"/>
    <mergeCell ref="DT132:DT133"/>
    <mergeCell ref="DI132:DI133"/>
    <mergeCell ref="DJ132:DJ133"/>
    <mergeCell ref="DK132:DK133"/>
    <mergeCell ref="DL132:DL133"/>
    <mergeCell ref="DM132:DM133"/>
    <mergeCell ref="DN132:DN133"/>
    <mergeCell ref="DC132:DC133"/>
    <mergeCell ref="DD132:DD133"/>
    <mergeCell ref="DE132:DE133"/>
    <mergeCell ref="DF132:DF133"/>
    <mergeCell ref="DG132:DG133"/>
    <mergeCell ref="DH132:DH133"/>
    <mergeCell ref="CW132:CW133"/>
    <mergeCell ref="CX132:CX133"/>
    <mergeCell ref="CY132:CY133"/>
    <mergeCell ref="CZ132:CZ133"/>
    <mergeCell ref="DA132:DA133"/>
    <mergeCell ref="DB132:DB133"/>
    <mergeCell ref="DO132:DO133"/>
    <mergeCell ref="DP132:DP133"/>
    <mergeCell ref="DQ132:DQ133"/>
    <mergeCell ref="DR132:DR133"/>
    <mergeCell ref="DS132:DS133"/>
    <mergeCell ref="BT132:BT133"/>
    <mergeCell ref="BU132:BU133"/>
    <mergeCell ref="BV132:BV133"/>
    <mergeCell ref="BW132:BW133"/>
    <mergeCell ref="BX132:BX133"/>
    <mergeCell ref="BM132:BM133"/>
    <mergeCell ref="BN132:BN133"/>
    <mergeCell ref="BO132:BO133"/>
    <mergeCell ref="BP132:BP133"/>
    <mergeCell ref="BQ132:BQ133"/>
    <mergeCell ref="BR132:BR133"/>
    <mergeCell ref="BG132:BG133"/>
    <mergeCell ref="BH132:BH133"/>
    <mergeCell ref="BI132:BI133"/>
    <mergeCell ref="BJ132:BJ133"/>
    <mergeCell ref="BK132:BK133"/>
    <mergeCell ref="BL132:BL133"/>
    <mergeCell ref="BB132:BB133"/>
    <mergeCell ref="BC132:BC133"/>
    <mergeCell ref="BD132:BD133"/>
    <mergeCell ref="BE132:BE133"/>
    <mergeCell ref="BF132:BF133"/>
    <mergeCell ref="AU132:AU133"/>
    <mergeCell ref="AV132:AV133"/>
    <mergeCell ref="AW132:AW133"/>
    <mergeCell ref="AX132:AX133"/>
    <mergeCell ref="AY132:AY133"/>
    <mergeCell ref="AZ132:AZ133"/>
    <mergeCell ref="AO132:AO133"/>
    <mergeCell ref="AP132:AP133"/>
    <mergeCell ref="AQ132:AQ133"/>
    <mergeCell ref="AR132:AR133"/>
    <mergeCell ref="AS132:AS133"/>
    <mergeCell ref="AT132:AT133"/>
    <mergeCell ref="AK132:AK133"/>
    <mergeCell ref="AL132:AL133"/>
    <mergeCell ref="AM132:AM133"/>
    <mergeCell ref="AN132:AN133"/>
    <mergeCell ref="AC132:AC133"/>
    <mergeCell ref="AD132:AD133"/>
    <mergeCell ref="AE132:AE133"/>
    <mergeCell ref="AF132:AF133"/>
    <mergeCell ref="AG132:AG133"/>
    <mergeCell ref="AH132:AH133"/>
    <mergeCell ref="W132:W133"/>
    <mergeCell ref="X132:X133"/>
    <mergeCell ref="Y132:Y133"/>
    <mergeCell ref="Z132:Z133"/>
    <mergeCell ref="AA132:AA133"/>
    <mergeCell ref="AB132:AB133"/>
    <mergeCell ref="BA132:BA133"/>
    <mergeCell ref="S132:S133"/>
    <mergeCell ref="T132:T133"/>
    <mergeCell ref="U132:U133"/>
    <mergeCell ref="V132:V133"/>
    <mergeCell ref="K132:K133"/>
    <mergeCell ref="L132:L133"/>
    <mergeCell ref="M132:M133"/>
    <mergeCell ref="N132:N133"/>
    <mergeCell ref="O132:O133"/>
    <mergeCell ref="P132:P133"/>
    <mergeCell ref="DS129:DS130"/>
    <mergeCell ref="DT129:DT130"/>
    <mergeCell ref="B131:D131"/>
    <mergeCell ref="B132:D133"/>
    <mergeCell ref="E132:E133"/>
    <mergeCell ref="F132:F133"/>
    <mergeCell ref="G132:G133"/>
    <mergeCell ref="H132:H133"/>
    <mergeCell ref="I132:I133"/>
    <mergeCell ref="J132:J133"/>
    <mergeCell ref="DM129:DM130"/>
    <mergeCell ref="DN129:DN130"/>
    <mergeCell ref="DO129:DO130"/>
    <mergeCell ref="DP129:DP130"/>
    <mergeCell ref="DQ129:DQ130"/>
    <mergeCell ref="DR129:DR130"/>
    <mergeCell ref="DG129:DG130"/>
    <mergeCell ref="DH129:DH130"/>
    <mergeCell ref="DI129:DI130"/>
    <mergeCell ref="DJ129:DJ130"/>
    <mergeCell ref="AI132:AI133"/>
    <mergeCell ref="AJ132:AJ133"/>
    <mergeCell ref="DK129:DK130"/>
    <mergeCell ref="DL129:DL130"/>
    <mergeCell ref="DA129:DA130"/>
    <mergeCell ref="DB129:DB130"/>
    <mergeCell ref="DC129:DC130"/>
    <mergeCell ref="DD129:DD130"/>
    <mergeCell ref="DE129:DE130"/>
    <mergeCell ref="DF129:DF130"/>
    <mergeCell ref="CU129:CU130"/>
    <mergeCell ref="CV129:CV130"/>
    <mergeCell ref="CW129:CW130"/>
    <mergeCell ref="CX129:CX130"/>
    <mergeCell ref="CY129:CY130"/>
    <mergeCell ref="CZ129:CZ130"/>
    <mergeCell ref="CO129:CO130"/>
    <mergeCell ref="CP129:CP130"/>
    <mergeCell ref="CQ129:CQ130"/>
    <mergeCell ref="CR129:CR130"/>
    <mergeCell ref="CS129:CS130"/>
    <mergeCell ref="CT129:CT130"/>
    <mergeCell ref="CJ129:CJ130"/>
    <mergeCell ref="CK129:CK130"/>
    <mergeCell ref="CL129:CL130"/>
    <mergeCell ref="CM129:CM130"/>
    <mergeCell ref="CN129:CN130"/>
    <mergeCell ref="CC129:CC130"/>
    <mergeCell ref="CD129:CD130"/>
    <mergeCell ref="CE129:CE130"/>
    <mergeCell ref="CF129:CF130"/>
    <mergeCell ref="CG129:CG130"/>
    <mergeCell ref="CH129:CH130"/>
    <mergeCell ref="BW129:BW130"/>
    <mergeCell ref="BX129:BX130"/>
    <mergeCell ref="BY129:BY130"/>
    <mergeCell ref="BZ129:BZ130"/>
    <mergeCell ref="CA129:CA130"/>
    <mergeCell ref="CB129:CB130"/>
    <mergeCell ref="BS129:BS130"/>
    <mergeCell ref="BT129:BT130"/>
    <mergeCell ref="BU129:BU130"/>
    <mergeCell ref="BV129:BV130"/>
    <mergeCell ref="BK129:BK130"/>
    <mergeCell ref="BL129:BL130"/>
    <mergeCell ref="BM129:BM130"/>
    <mergeCell ref="BN129:BN130"/>
    <mergeCell ref="BO129:BO130"/>
    <mergeCell ref="BP129:BP130"/>
    <mergeCell ref="BE129:BE130"/>
    <mergeCell ref="BF129:BF130"/>
    <mergeCell ref="BG129:BG130"/>
    <mergeCell ref="BH129:BH130"/>
    <mergeCell ref="BI129:BI130"/>
    <mergeCell ref="BJ129:BJ130"/>
    <mergeCell ref="CI129:CI130"/>
    <mergeCell ref="BB129:BB130"/>
    <mergeCell ref="BC129:BC130"/>
    <mergeCell ref="BD129:BD130"/>
    <mergeCell ref="AS129:AS130"/>
    <mergeCell ref="AT129:AT130"/>
    <mergeCell ref="AU129:AU130"/>
    <mergeCell ref="AV129:AV130"/>
    <mergeCell ref="AW129:AW130"/>
    <mergeCell ref="AX129:AX130"/>
    <mergeCell ref="AM129:AM130"/>
    <mergeCell ref="AN129:AN130"/>
    <mergeCell ref="AO129:AO130"/>
    <mergeCell ref="AP129:AP130"/>
    <mergeCell ref="AQ129:AQ130"/>
    <mergeCell ref="AR129:AR130"/>
    <mergeCell ref="BQ129:BQ130"/>
    <mergeCell ref="BR129:BR130"/>
    <mergeCell ref="AK129:AK130"/>
    <mergeCell ref="AL129:AL130"/>
    <mergeCell ref="AA129:AA130"/>
    <mergeCell ref="AB129:AB130"/>
    <mergeCell ref="AC129:AC130"/>
    <mergeCell ref="AD129:AD130"/>
    <mergeCell ref="AE129:AE130"/>
    <mergeCell ref="AF129:AF130"/>
    <mergeCell ref="U129:U130"/>
    <mergeCell ref="V129:V130"/>
    <mergeCell ref="W129:W130"/>
    <mergeCell ref="X129:X130"/>
    <mergeCell ref="Y129:Y130"/>
    <mergeCell ref="Z129:Z130"/>
    <mergeCell ref="AY129:AY130"/>
    <mergeCell ref="AZ129:AZ130"/>
    <mergeCell ref="BA129:BA130"/>
    <mergeCell ref="S129:S130"/>
    <mergeCell ref="T129:T130"/>
    <mergeCell ref="I129:I130"/>
    <mergeCell ref="J129:J130"/>
    <mergeCell ref="K129:K130"/>
    <mergeCell ref="L129:L130"/>
    <mergeCell ref="M129:M130"/>
    <mergeCell ref="N129:N130"/>
    <mergeCell ref="DQ123:DQ128"/>
    <mergeCell ref="DR123:DR128"/>
    <mergeCell ref="DS123:DS128"/>
    <mergeCell ref="DT123:DT128"/>
    <mergeCell ref="B127:D128"/>
    <mergeCell ref="B129:D130"/>
    <mergeCell ref="E129:E130"/>
    <mergeCell ref="F129:F130"/>
    <mergeCell ref="G129:G130"/>
    <mergeCell ref="H129:H130"/>
    <mergeCell ref="DK123:DK128"/>
    <mergeCell ref="DL123:DL128"/>
    <mergeCell ref="DM123:DM128"/>
    <mergeCell ref="DN123:DN128"/>
    <mergeCell ref="DO123:DO128"/>
    <mergeCell ref="DP123:DP128"/>
    <mergeCell ref="DE123:DE128"/>
    <mergeCell ref="DF123:DF128"/>
    <mergeCell ref="DG123:DG128"/>
    <mergeCell ref="DH123:DH128"/>
    <mergeCell ref="AG129:AG130"/>
    <mergeCell ref="AH129:AH130"/>
    <mergeCell ref="AI129:AI130"/>
    <mergeCell ref="AJ129:AJ130"/>
    <mergeCell ref="DI123:DI128"/>
    <mergeCell ref="DJ123:DJ128"/>
    <mergeCell ref="CY123:CY128"/>
    <mergeCell ref="CZ123:CZ128"/>
    <mergeCell ref="DA123:DA128"/>
    <mergeCell ref="DB123:DB128"/>
    <mergeCell ref="DC123:DC128"/>
    <mergeCell ref="DD123:DD128"/>
    <mergeCell ref="CS123:CS128"/>
    <mergeCell ref="CT123:CT128"/>
    <mergeCell ref="CU123:CU128"/>
    <mergeCell ref="CV123:CV128"/>
    <mergeCell ref="CW123:CW128"/>
    <mergeCell ref="CX123:CX128"/>
    <mergeCell ref="CM123:CM128"/>
    <mergeCell ref="CN123:CN128"/>
    <mergeCell ref="CO123:CO128"/>
    <mergeCell ref="CP123:CP128"/>
    <mergeCell ref="CQ123:CQ128"/>
    <mergeCell ref="CR123:CR128"/>
    <mergeCell ref="CG123:CG128"/>
    <mergeCell ref="CH123:CH128"/>
    <mergeCell ref="CI123:CI128"/>
    <mergeCell ref="CJ123:CJ128"/>
    <mergeCell ref="CK123:CK128"/>
    <mergeCell ref="CL123:CL128"/>
    <mergeCell ref="CA123:CA128"/>
    <mergeCell ref="CB123:CB128"/>
    <mergeCell ref="CC123:CC128"/>
    <mergeCell ref="CD123:CD128"/>
    <mergeCell ref="CE123:CE128"/>
    <mergeCell ref="CF123:CF128"/>
    <mergeCell ref="BU123:BU128"/>
    <mergeCell ref="BV123:BV128"/>
    <mergeCell ref="BW123:BW128"/>
    <mergeCell ref="BX123:BX128"/>
    <mergeCell ref="BY123:BY128"/>
    <mergeCell ref="BZ123:BZ128"/>
    <mergeCell ref="BO123:BO128"/>
    <mergeCell ref="BP123:BP128"/>
    <mergeCell ref="BQ123:BQ128"/>
    <mergeCell ref="BR123:BR128"/>
    <mergeCell ref="BS123:BS128"/>
    <mergeCell ref="BT123:BT128"/>
    <mergeCell ref="BI123:BI128"/>
    <mergeCell ref="BJ123:BJ128"/>
    <mergeCell ref="BK123:BK128"/>
    <mergeCell ref="BL123:BL128"/>
    <mergeCell ref="BM123:BM128"/>
    <mergeCell ref="BN123:BN128"/>
    <mergeCell ref="BC123:BC128"/>
    <mergeCell ref="BD123:BD128"/>
    <mergeCell ref="BE123:BE128"/>
    <mergeCell ref="BF123:BF128"/>
    <mergeCell ref="BG123:BG128"/>
    <mergeCell ref="BH123:BH128"/>
    <mergeCell ref="AW123:AW128"/>
    <mergeCell ref="AX123:AX128"/>
    <mergeCell ref="AY123:AY128"/>
    <mergeCell ref="AZ123:AZ128"/>
    <mergeCell ref="BA123:BA128"/>
    <mergeCell ref="BB123:BB128"/>
    <mergeCell ref="AQ123:AQ128"/>
    <mergeCell ref="AR123:AR128"/>
    <mergeCell ref="AS123:AS128"/>
    <mergeCell ref="AT123:AT128"/>
    <mergeCell ref="AU123:AU128"/>
    <mergeCell ref="AV123:AV128"/>
    <mergeCell ref="AK123:AK128"/>
    <mergeCell ref="AL123:AL128"/>
    <mergeCell ref="AM123:AM128"/>
    <mergeCell ref="AN123:AN128"/>
    <mergeCell ref="AO123:AO128"/>
    <mergeCell ref="AP123:AP128"/>
    <mergeCell ref="AE123:AE128"/>
    <mergeCell ref="AF123:AF128"/>
    <mergeCell ref="AG123:AG128"/>
    <mergeCell ref="AH123:AH128"/>
    <mergeCell ref="AI123:AI128"/>
    <mergeCell ref="AJ123:AJ128"/>
    <mergeCell ref="Y123:Y128"/>
    <mergeCell ref="Z123:Z128"/>
    <mergeCell ref="AA123:AA128"/>
    <mergeCell ref="AB123:AB128"/>
    <mergeCell ref="AC123:AC128"/>
    <mergeCell ref="AD123:AD128"/>
    <mergeCell ref="S123:S128"/>
    <mergeCell ref="T123:T128"/>
    <mergeCell ref="U123:U128"/>
    <mergeCell ref="V123:V128"/>
    <mergeCell ref="W123:W128"/>
    <mergeCell ref="X123:X128"/>
    <mergeCell ref="M123:M128"/>
    <mergeCell ref="N123:N128"/>
    <mergeCell ref="O123:O128"/>
    <mergeCell ref="P123:P128"/>
    <mergeCell ref="Q123:Q128"/>
    <mergeCell ref="R123:R128"/>
    <mergeCell ref="G123:G128"/>
    <mergeCell ref="H123:H128"/>
    <mergeCell ref="I123:I128"/>
    <mergeCell ref="J123:J128"/>
    <mergeCell ref="K123:K128"/>
    <mergeCell ref="L123:L128"/>
    <mergeCell ref="B118:D119"/>
    <mergeCell ref="B120:D121"/>
    <mergeCell ref="A123:A182"/>
    <mergeCell ref="B123:D126"/>
    <mergeCell ref="E123:E128"/>
    <mergeCell ref="F123:F128"/>
    <mergeCell ref="B134:D135"/>
    <mergeCell ref="B136:D137"/>
    <mergeCell ref="B138:D139"/>
    <mergeCell ref="B140:D141"/>
    <mergeCell ref="B164:D165"/>
    <mergeCell ref="O129:O130"/>
    <mergeCell ref="P129:P130"/>
    <mergeCell ref="Q129:Q130"/>
    <mergeCell ref="R129:R130"/>
    <mergeCell ref="Q132:Q133"/>
    <mergeCell ref="R132:R133"/>
    <mergeCell ref="B150:D151"/>
    <mergeCell ref="B152:D153"/>
    <mergeCell ref="B166:C167"/>
    <mergeCell ref="B106:D107"/>
    <mergeCell ref="B108:D109"/>
    <mergeCell ref="B110:D111"/>
    <mergeCell ref="B112:C113"/>
    <mergeCell ref="B114:D115"/>
    <mergeCell ref="B116:D117"/>
    <mergeCell ref="B94:D95"/>
    <mergeCell ref="B96:D97"/>
    <mergeCell ref="B98:D99"/>
    <mergeCell ref="B100:D101"/>
    <mergeCell ref="B102:D103"/>
    <mergeCell ref="B104:D105"/>
    <mergeCell ref="B154:D155"/>
    <mergeCell ref="B156:D157"/>
    <mergeCell ref="B158:D159"/>
    <mergeCell ref="B160:D161"/>
    <mergeCell ref="B162:D163"/>
    <mergeCell ref="B142:D143"/>
    <mergeCell ref="B144:D145"/>
    <mergeCell ref="B146:D147"/>
    <mergeCell ref="B148:D149"/>
    <mergeCell ref="DQ76:DQ77"/>
    <mergeCell ref="DR76:DR77"/>
    <mergeCell ref="DS76:DS77"/>
    <mergeCell ref="DT76:DT77"/>
    <mergeCell ref="B78:D79"/>
    <mergeCell ref="B80:D81"/>
    <mergeCell ref="DK76:DK77"/>
    <mergeCell ref="DL76:DL77"/>
    <mergeCell ref="DM76:DM77"/>
    <mergeCell ref="DN76:DN77"/>
    <mergeCell ref="DO76:DO77"/>
    <mergeCell ref="DP76:DP77"/>
    <mergeCell ref="DE76:DE77"/>
    <mergeCell ref="DF76:DF77"/>
    <mergeCell ref="DG76:DG77"/>
    <mergeCell ref="DH76:DH77"/>
    <mergeCell ref="DI76:DI77"/>
    <mergeCell ref="DJ76:DJ77"/>
    <mergeCell ref="CY76:CY77"/>
    <mergeCell ref="CZ76:CZ77"/>
    <mergeCell ref="DA76:DA77"/>
    <mergeCell ref="DB76:DB77"/>
    <mergeCell ref="DC76:DC77"/>
    <mergeCell ref="DD76:DD77"/>
    <mergeCell ref="CS76:CS77"/>
    <mergeCell ref="CT76:CT77"/>
    <mergeCell ref="CU76:CU77"/>
    <mergeCell ref="CV76:CV77"/>
    <mergeCell ref="CW76:CW77"/>
    <mergeCell ref="CX76:CX77"/>
    <mergeCell ref="CM76:CM77"/>
    <mergeCell ref="CN76:CN77"/>
    <mergeCell ref="CO76:CO77"/>
    <mergeCell ref="CP76:CP77"/>
    <mergeCell ref="CQ76:CQ77"/>
    <mergeCell ref="CR76:CR77"/>
    <mergeCell ref="CG76:CG77"/>
    <mergeCell ref="CH76:CH77"/>
    <mergeCell ref="CI76:CI77"/>
    <mergeCell ref="CJ76:CJ77"/>
    <mergeCell ref="CK76:CK77"/>
    <mergeCell ref="CL76:CL77"/>
    <mergeCell ref="CA76:CA77"/>
    <mergeCell ref="CB76:CB77"/>
    <mergeCell ref="CC76:CC77"/>
    <mergeCell ref="CD76:CD77"/>
    <mergeCell ref="CE76:CE77"/>
    <mergeCell ref="CF76:CF77"/>
    <mergeCell ref="BU76:BU77"/>
    <mergeCell ref="BV76:BV77"/>
    <mergeCell ref="BW76:BW77"/>
    <mergeCell ref="BX76:BX77"/>
    <mergeCell ref="BY76:BY77"/>
    <mergeCell ref="BZ76:BZ77"/>
    <mergeCell ref="BO76:BO77"/>
    <mergeCell ref="BP76:BP77"/>
    <mergeCell ref="BQ76:BQ77"/>
    <mergeCell ref="BR76:BR77"/>
    <mergeCell ref="BS76:BS77"/>
    <mergeCell ref="BT76:BT77"/>
    <mergeCell ref="BI76:BI77"/>
    <mergeCell ref="BJ76:BJ77"/>
    <mergeCell ref="BK76:BK77"/>
    <mergeCell ref="BL76:BL77"/>
    <mergeCell ref="BM76:BM77"/>
    <mergeCell ref="BN76:BN77"/>
    <mergeCell ref="BC76:BC77"/>
    <mergeCell ref="BD76:BD77"/>
    <mergeCell ref="BE76:BE77"/>
    <mergeCell ref="BF76:BF77"/>
    <mergeCell ref="BG76:BG77"/>
    <mergeCell ref="BH76:BH77"/>
    <mergeCell ref="AW76:AW77"/>
    <mergeCell ref="AX76:AX77"/>
    <mergeCell ref="AY76:AY77"/>
    <mergeCell ref="AZ76:AZ77"/>
    <mergeCell ref="BA76:BA77"/>
    <mergeCell ref="BB76:BB77"/>
    <mergeCell ref="AQ76:AQ77"/>
    <mergeCell ref="AR76:AR77"/>
    <mergeCell ref="AS76:AS77"/>
    <mergeCell ref="AT76:AT77"/>
    <mergeCell ref="AU76:AU77"/>
    <mergeCell ref="AV76:AV77"/>
    <mergeCell ref="AK76:AK77"/>
    <mergeCell ref="AL76:AL77"/>
    <mergeCell ref="AM76:AM77"/>
    <mergeCell ref="AN76:AN77"/>
    <mergeCell ref="AO76:AO77"/>
    <mergeCell ref="AP76:AP77"/>
    <mergeCell ref="AE76:AE77"/>
    <mergeCell ref="AF76:AF77"/>
    <mergeCell ref="AG76:AG77"/>
    <mergeCell ref="AH76:AH77"/>
    <mergeCell ref="AI76:AI77"/>
    <mergeCell ref="AJ76:AJ77"/>
    <mergeCell ref="Y76:Y77"/>
    <mergeCell ref="Z76:Z77"/>
    <mergeCell ref="AA76:AA77"/>
    <mergeCell ref="AB76:AB77"/>
    <mergeCell ref="AC76:AC77"/>
    <mergeCell ref="AD76:AD77"/>
    <mergeCell ref="S76:S77"/>
    <mergeCell ref="T76:T77"/>
    <mergeCell ref="U76:U77"/>
    <mergeCell ref="V76:V77"/>
    <mergeCell ref="W76:W77"/>
    <mergeCell ref="X76:X77"/>
    <mergeCell ref="M76:M77"/>
    <mergeCell ref="N76:N77"/>
    <mergeCell ref="O76:O77"/>
    <mergeCell ref="P76:P77"/>
    <mergeCell ref="Q76:Q77"/>
    <mergeCell ref="R76:R77"/>
    <mergeCell ref="G76:G77"/>
    <mergeCell ref="H76:H77"/>
    <mergeCell ref="I76:I77"/>
    <mergeCell ref="J76:J77"/>
    <mergeCell ref="K76:K77"/>
    <mergeCell ref="L76:L77"/>
    <mergeCell ref="DO73:DO74"/>
    <mergeCell ref="DP73:DP74"/>
    <mergeCell ref="DQ73:DQ74"/>
    <mergeCell ref="DR73:DR74"/>
    <mergeCell ref="DS73:DS74"/>
    <mergeCell ref="CQ73:CQ74"/>
    <mergeCell ref="CR73:CR74"/>
    <mergeCell ref="CS73:CS74"/>
    <mergeCell ref="CT73:CT74"/>
    <mergeCell ref="CU73:CU74"/>
    <mergeCell ref="CV73:CV74"/>
    <mergeCell ref="CK73:CK74"/>
    <mergeCell ref="CL73:CL74"/>
    <mergeCell ref="CM73:CM74"/>
    <mergeCell ref="CN73:CN74"/>
    <mergeCell ref="CO73:CO74"/>
    <mergeCell ref="CP73:CP74"/>
    <mergeCell ref="CF73:CF74"/>
    <mergeCell ref="CG73:CG74"/>
    <mergeCell ref="CH73:CH74"/>
    <mergeCell ref="BR73:BR74"/>
    <mergeCell ref="DT73:DT74"/>
    <mergeCell ref="DI73:DI74"/>
    <mergeCell ref="DJ73:DJ74"/>
    <mergeCell ref="DK73:DK74"/>
    <mergeCell ref="DL73:DL74"/>
    <mergeCell ref="DM73:DM74"/>
    <mergeCell ref="DN73:DN74"/>
    <mergeCell ref="DC73:DC74"/>
    <mergeCell ref="DD73:DD74"/>
    <mergeCell ref="DE73:DE74"/>
    <mergeCell ref="DF73:DF74"/>
    <mergeCell ref="DG73:DG74"/>
    <mergeCell ref="DH73:DH74"/>
    <mergeCell ref="CW73:CW74"/>
    <mergeCell ref="CX73:CX74"/>
    <mergeCell ref="CY73:CY74"/>
    <mergeCell ref="CZ73:CZ74"/>
    <mergeCell ref="DA73:DA74"/>
    <mergeCell ref="DB73:DB74"/>
    <mergeCell ref="BB73:BB74"/>
    <mergeCell ref="BC73:BC74"/>
    <mergeCell ref="BD73:BD74"/>
    <mergeCell ref="BE73:BE74"/>
    <mergeCell ref="BF73:BF74"/>
    <mergeCell ref="CE73:CE74"/>
    <mergeCell ref="AX73:AX74"/>
    <mergeCell ref="AY73:AY74"/>
    <mergeCell ref="AZ73:AZ74"/>
    <mergeCell ref="AO73:AO74"/>
    <mergeCell ref="AP73:AP74"/>
    <mergeCell ref="AQ73:AQ74"/>
    <mergeCell ref="AR73:AR74"/>
    <mergeCell ref="AS73:AS74"/>
    <mergeCell ref="AT73:AT74"/>
    <mergeCell ref="CI73:CI74"/>
    <mergeCell ref="CJ73:CJ74"/>
    <mergeCell ref="BY73:BY74"/>
    <mergeCell ref="BZ73:BZ74"/>
    <mergeCell ref="CA73:CA74"/>
    <mergeCell ref="CB73:CB74"/>
    <mergeCell ref="CC73:CC74"/>
    <mergeCell ref="CD73:CD74"/>
    <mergeCell ref="BS73:BS74"/>
    <mergeCell ref="BT73:BT74"/>
    <mergeCell ref="BU73:BU74"/>
    <mergeCell ref="BV73:BV74"/>
    <mergeCell ref="BW73:BW74"/>
    <mergeCell ref="BX73:BX74"/>
    <mergeCell ref="BO73:BO74"/>
    <mergeCell ref="BP73:BP74"/>
    <mergeCell ref="BQ73:BQ74"/>
    <mergeCell ref="AI73:AI74"/>
    <mergeCell ref="AJ73:AJ74"/>
    <mergeCell ref="AK73:AK74"/>
    <mergeCell ref="AL73:AL74"/>
    <mergeCell ref="AM73:AM74"/>
    <mergeCell ref="AN73:AN74"/>
    <mergeCell ref="BM73:BM74"/>
    <mergeCell ref="BN73:BN74"/>
    <mergeCell ref="AG73:AG74"/>
    <mergeCell ref="AH73:AH74"/>
    <mergeCell ref="W73:W74"/>
    <mergeCell ref="X73:X74"/>
    <mergeCell ref="Y73:Y74"/>
    <mergeCell ref="Z73:Z74"/>
    <mergeCell ref="AA73:AA74"/>
    <mergeCell ref="AB73:AB74"/>
    <mergeCell ref="Q73:Q74"/>
    <mergeCell ref="R73:R74"/>
    <mergeCell ref="S73:S74"/>
    <mergeCell ref="T73:T74"/>
    <mergeCell ref="U73:U74"/>
    <mergeCell ref="V73:V74"/>
    <mergeCell ref="AU73:AU74"/>
    <mergeCell ref="AV73:AV74"/>
    <mergeCell ref="AW73:AW74"/>
    <mergeCell ref="BG73:BG74"/>
    <mergeCell ref="BH73:BH74"/>
    <mergeCell ref="BI73:BI74"/>
    <mergeCell ref="BJ73:BJ74"/>
    <mergeCell ref="BK73:BK74"/>
    <mergeCell ref="BL73:BL74"/>
    <mergeCell ref="BA73:BA74"/>
    <mergeCell ref="O73:O74"/>
    <mergeCell ref="P73:P74"/>
    <mergeCell ref="DS67:DS72"/>
    <mergeCell ref="DT67:DT72"/>
    <mergeCell ref="B71:D72"/>
    <mergeCell ref="B73:D74"/>
    <mergeCell ref="E73:E74"/>
    <mergeCell ref="F73:F74"/>
    <mergeCell ref="G73:G74"/>
    <mergeCell ref="H73:H74"/>
    <mergeCell ref="I73:I74"/>
    <mergeCell ref="J73:J74"/>
    <mergeCell ref="DM67:DM72"/>
    <mergeCell ref="DN67:DN72"/>
    <mergeCell ref="DO67:DO72"/>
    <mergeCell ref="DP67:DP72"/>
    <mergeCell ref="DQ67:DQ72"/>
    <mergeCell ref="DR67:DR72"/>
    <mergeCell ref="DG67:DG72"/>
    <mergeCell ref="DH67:DH72"/>
    <mergeCell ref="DI67:DI72"/>
    <mergeCell ref="DJ67:DJ72"/>
    <mergeCell ref="DK67:DK72"/>
    <mergeCell ref="DL67:DL72"/>
    <mergeCell ref="DA67:DA72"/>
    <mergeCell ref="DB67:DB72"/>
    <mergeCell ref="DC67:DC72"/>
    <mergeCell ref="DD67:DD72"/>
    <mergeCell ref="AC73:AC74"/>
    <mergeCell ref="AD73:AD74"/>
    <mergeCell ref="AE73:AE74"/>
    <mergeCell ref="AF73:AF74"/>
    <mergeCell ref="DE67:DE72"/>
    <mergeCell ref="DF67:DF72"/>
    <mergeCell ref="CU67:CU72"/>
    <mergeCell ref="CV67:CV72"/>
    <mergeCell ref="CW67:CW72"/>
    <mergeCell ref="CX67:CX72"/>
    <mergeCell ref="CY67:CY72"/>
    <mergeCell ref="CZ67:CZ72"/>
    <mergeCell ref="CO67:CO72"/>
    <mergeCell ref="CP67:CP72"/>
    <mergeCell ref="CQ67:CQ72"/>
    <mergeCell ref="CR67:CR72"/>
    <mergeCell ref="CS67:CS72"/>
    <mergeCell ref="CT67:CT72"/>
    <mergeCell ref="CI67:CI72"/>
    <mergeCell ref="CJ67:CJ72"/>
    <mergeCell ref="CK67:CK72"/>
    <mergeCell ref="CL67:CL72"/>
    <mergeCell ref="CM67:CM72"/>
    <mergeCell ref="CN67:CN72"/>
    <mergeCell ref="CC67:CC72"/>
    <mergeCell ref="CD67:CD72"/>
    <mergeCell ref="CE67:CE72"/>
    <mergeCell ref="CF67:CF72"/>
    <mergeCell ref="CG67:CG72"/>
    <mergeCell ref="CH67:CH72"/>
    <mergeCell ref="BW67:BW72"/>
    <mergeCell ref="BX67:BX72"/>
    <mergeCell ref="BY67:BY72"/>
    <mergeCell ref="BZ67:BZ72"/>
    <mergeCell ref="CA67:CA72"/>
    <mergeCell ref="CB67:CB72"/>
    <mergeCell ref="BQ67:BQ72"/>
    <mergeCell ref="BR67:BR72"/>
    <mergeCell ref="BS67:BS72"/>
    <mergeCell ref="BT67:BT72"/>
    <mergeCell ref="BU67:BU72"/>
    <mergeCell ref="BV67:BV72"/>
    <mergeCell ref="BK67:BK72"/>
    <mergeCell ref="BL67:BL72"/>
    <mergeCell ref="BM67:BM72"/>
    <mergeCell ref="BN67:BN72"/>
    <mergeCell ref="BO67:BO72"/>
    <mergeCell ref="BP67:BP72"/>
    <mergeCell ref="BE67:BE72"/>
    <mergeCell ref="BF67:BF72"/>
    <mergeCell ref="BG67:BG72"/>
    <mergeCell ref="BH67:BH72"/>
    <mergeCell ref="BI67:BI72"/>
    <mergeCell ref="BJ67:BJ72"/>
    <mergeCell ref="AY67:AY72"/>
    <mergeCell ref="AZ67:AZ72"/>
    <mergeCell ref="BA67:BA72"/>
    <mergeCell ref="BB67:BB72"/>
    <mergeCell ref="BC67:BC72"/>
    <mergeCell ref="BD67:BD72"/>
    <mergeCell ref="AS67:AS72"/>
    <mergeCell ref="AT67:AT72"/>
    <mergeCell ref="AU67:AU72"/>
    <mergeCell ref="AV67:AV72"/>
    <mergeCell ref="AW67:AW72"/>
    <mergeCell ref="AX67:AX72"/>
    <mergeCell ref="AM67:AM72"/>
    <mergeCell ref="AN67:AN72"/>
    <mergeCell ref="AO67:AO72"/>
    <mergeCell ref="AP67:AP72"/>
    <mergeCell ref="AQ67:AQ72"/>
    <mergeCell ref="AR67:AR72"/>
    <mergeCell ref="AG67:AG72"/>
    <mergeCell ref="AH67:AH72"/>
    <mergeCell ref="AI67:AI72"/>
    <mergeCell ref="AJ67:AJ72"/>
    <mergeCell ref="AK67:AK72"/>
    <mergeCell ref="AL67:AL72"/>
    <mergeCell ref="AA67:AA72"/>
    <mergeCell ref="AB67:AB72"/>
    <mergeCell ref="AC67:AC72"/>
    <mergeCell ref="AD67:AD72"/>
    <mergeCell ref="AE67:AE72"/>
    <mergeCell ref="AF67:AF72"/>
    <mergeCell ref="U67:U72"/>
    <mergeCell ref="V67:V72"/>
    <mergeCell ref="W67:W72"/>
    <mergeCell ref="X67:X72"/>
    <mergeCell ref="Y67:Y72"/>
    <mergeCell ref="Z67:Z72"/>
    <mergeCell ref="O67:O72"/>
    <mergeCell ref="P67:P72"/>
    <mergeCell ref="Q67:Q72"/>
    <mergeCell ref="R67:R72"/>
    <mergeCell ref="S67:S72"/>
    <mergeCell ref="T67:T72"/>
    <mergeCell ref="I67:I72"/>
    <mergeCell ref="J67:J72"/>
    <mergeCell ref="K67:K72"/>
    <mergeCell ref="L67:L72"/>
    <mergeCell ref="M67:M72"/>
    <mergeCell ref="N67:N72"/>
    <mergeCell ref="A67:A122"/>
    <mergeCell ref="B67:D70"/>
    <mergeCell ref="E67:E72"/>
    <mergeCell ref="F67:F72"/>
    <mergeCell ref="G67:G72"/>
    <mergeCell ref="H67:H72"/>
    <mergeCell ref="B75:D75"/>
    <mergeCell ref="B76:D77"/>
    <mergeCell ref="E76:E77"/>
    <mergeCell ref="F76:F77"/>
    <mergeCell ref="B54:D55"/>
    <mergeCell ref="B56:C57"/>
    <mergeCell ref="B58:D59"/>
    <mergeCell ref="B60:D61"/>
    <mergeCell ref="B62:D63"/>
    <mergeCell ref="B64:D65"/>
    <mergeCell ref="K73:K74"/>
    <mergeCell ref="L73:L74"/>
    <mergeCell ref="M73:M74"/>
    <mergeCell ref="N73:N74"/>
    <mergeCell ref="B82:D83"/>
    <mergeCell ref="B84:D85"/>
    <mergeCell ref="B86:D87"/>
    <mergeCell ref="B88:D89"/>
    <mergeCell ref="B90:D91"/>
    <mergeCell ref="B92:D93"/>
    <mergeCell ref="B42:D43"/>
    <mergeCell ref="B44:D45"/>
    <mergeCell ref="B46:D47"/>
    <mergeCell ref="B48:D49"/>
    <mergeCell ref="B50:D51"/>
    <mergeCell ref="B52:D53"/>
    <mergeCell ref="B30:D31"/>
    <mergeCell ref="B32:D33"/>
    <mergeCell ref="B34:D35"/>
    <mergeCell ref="B36:D37"/>
    <mergeCell ref="B38:D39"/>
    <mergeCell ref="B40:D41"/>
    <mergeCell ref="B18:D19"/>
    <mergeCell ref="B20:D21"/>
    <mergeCell ref="B22:D23"/>
    <mergeCell ref="B24:D25"/>
    <mergeCell ref="B26:D27"/>
    <mergeCell ref="B28:D29"/>
    <mergeCell ref="DO16:DO17"/>
    <mergeCell ref="DP16:DP17"/>
    <mergeCell ref="DQ16:DQ17"/>
    <mergeCell ref="DR16:DR17"/>
    <mergeCell ref="DS16:DS17"/>
    <mergeCell ref="DT16:DT17"/>
    <mergeCell ref="DI16:DI17"/>
    <mergeCell ref="DJ16:DJ17"/>
    <mergeCell ref="DK16:DK17"/>
    <mergeCell ref="DL16:DL17"/>
    <mergeCell ref="DM16:DM17"/>
    <mergeCell ref="DN16:DN17"/>
    <mergeCell ref="DC16:DC17"/>
    <mergeCell ref="DD16:DD17"/>
    <mergeCell ref="DE16:DE17"/>
    <mergeCell ref="DF16:DF17"/>
    <mergeCell ref="DG16:DG17"/>
    <mergeCell ref="DH16:DH17"/>
    <mergeCell ref="CW16:CW17"/>
    <mergeCell ref="CX16:CX17"/>
    <mergeCell ref="CY16:CY17"/>
    <mergeCell ref="CZ16:CZ17"/>
    <mergeCell ref="DA16:DA17"/>
    <mergeCell ref="DB16:DB17"/>
    <mergeCell ref="CQ16:CQ17"/>
    <mergeCell ref="CR16:CR17"/>
    <mergeCell ref="CS16:CS17"/>
    <mergeCell ref="CT16:CT17"/>
    <mergeCell ref="CU16:CU17"/>
    <mergeCell ref="CV16:CV17"/>
    <mergeCell ref="CK16:CK17"/>
    <mergeCell ref="CL16:CL17"/>
    <mergeCell ref="CM16:CM17"/>
    <mergeCell ref="CN16:CN17"/>
    <mergeCell ref="CO16:CO17"/>
    <mergeCell ref="CP16:CP17"/>
    <mergeCell ref="CE16:CE17"/>
    <mergeCell ref="CF16:CF17"/>
    <mergeCell ref="CG16:CG17"/>
    <mergeCell ref="CH16:CH17"/>
    <mergeCell ref="CI16:CI17"/>
    <mergeCell ref="CJ16:CJ17"/>
    <mergeCell ref="BY16:BY17"/>
    <mergeCell ref="BZ16:BZ17"/>
    <mergeCell ref="CA16:CA17"/>
    <mergeCell ref="CB16:CB17"/>
    <mergeCell ref="CC16:CC17"/>
    <mergeCell ref="CD16:CD17"/>
    <mergeCell ref="BS16:BS17"/>
    <mergeCell ref="BT16:BT17"/>
    <mergeCell ref="BU16:BU17"/>
    <mergeCell ref="BV16:BV17"/>
    <mergeCell ref="BW16:BW17"/>
    <mergeCell ref="BX16:BX17"/>
    <mergeCell ref="BM16:BM17"/>
    <mergeCell ref="BN16:BN17"/>
    <mergeCell ref="BO16:BO17"/>
    <mergeCell ref="BP16:BP17"/>
    <mergeCell ref="BQ16:BQ17"/>
    <mergeCell ref="BR16:BR17"/>
    <mergeCell ref="BG16:BG17"/>
    <mergeCell ref="BH16:BH17"/>
    <mergeCell ref="BI16:BI17"/>
    <mergeCell ref="BJ16:BJ17"/>
    <mergeCell ref="BK16:BK17"/>
    <mergeCell ref="BL16:BL17"/>
    <mergeCell ref="BA16:BA17"/>
    <mergeCell ref="BB16:BB17"/>
    <mergeCell ref="BC16:BC17"/>
    <mergeCell ref="BD16:BD17"/>
    <mergeCell ref="BE16:BE17"/>
    <mergeCell ref="BF16:BF17"/>
    <mergeCell ref="AU16:AU17"/>
    <mergeCell ref="AV16:AV17"/>
    <mergeCell ref="AW16:AW17"/>
    <mergeCell ref="AX16:AX17"/>
    <mergeCell ref="AY16:AY17"/>
    <mergeCell ref="AZ16:AZ17"/>
    <mergeCell ref="AO16:AO17"/>
    <mergeCell ref="AP16:AP17"/>
    <mergeCell ref="AQ16:AQ17"/>
    <mergeCell ref="AR16:AR17"/>
    <mergeCell ref="AS16:AS17"/>
    <mergeCell ref="AT16:AT17"/>
    <mergeCell ref="AI16:AI17"/>
    <mergeCell ref="AJ16:AJ17"/>
    <mergeCell ref="AK16:AK17"/>
    <mergeCell ref="AL16:AL17"/>
    <mergeCell ref="AM16:AM17"/>
    <mergeCell ref="AN16:AN17"/>
    <mergeCell ref="AC16:AC17"/>
    <mergeCell ref="AD16:AD17"/>
    <mergeCell ref="AE16:AE17"/>
    <mergeCell ref="AF16:AF17"/>
    <mergeCell ref="AG16:AG17"/>
    <mergeCell ref="AH16:AH17"/>
    <mergeCell ref="W16:W17"/>
    <mergeCell ref="X16:X17"/>
    <mergeCell ref="Y16:Y17"/>
    <mergeCell ref="Z16:Z17"/>
    <mergeCell ref="AA16:AA17"/>
    <mergeCell ref="AB16:AB17"/>
    <mergeCell ref="Q16:Q17"/>
    <mergeCell ref="R16:R17"/>
    <mergeCell ref="S16:S17"/>
    <mergeCell ref="T16:T17"/>
    <mergeCell ref="U16:U17"/>
    <mergeCell ref="V16:V17"/>
    <mergeCell ref="K16:K17"/>
    <mergeCell ref="L16:L17"/>
    <mergeCell ref="M16:M17"/>
    <mergeCell ref="N16:N17"/>
    <mergeCell ref="O16:O17"/>
    <mergeCell ref="P16:P17"/>
    <mergeCell ref="DS13:DS14"/>
    <mergeCell ref="DT13:DT14"/>
    <mergeCell ref="B15:D15"/>
    <mergeCell ref="B16:D17"/>
    <mergeCell ref="E16:E17"/>
    <mergeCell ref="F16:F17"/>
    <mergeCell ref="G16:G17"/>
    <mergeCell ref="H16:H17"/>
    <mergeCell ref="I16:I17"/>
    <mergeCell ref="J16:J17"/>
    <mergeCell ref="DM13:DM14"/>
    <mergeCell ref="DN13:DN14"/>
    <mergeCell ref="DO13:DO14"/>
    <mergeCell ref="DP13:DP14"/>
    <mergeCell ref="DQ13:DQ14"/>
    <mergeCell ref="DR13:DR14"/>
    <mergeCell ref="DG13:DG14"/>
    <mergeCell ref="DH13:DH14"/>
    <mergeCell ref="DI13:DI14"/>
    <mergeCell ref="DJ13:DJ14"/>
    <mergeCell ref="DK13:DK14"/>
    <mergeCell ref="DL13:DL14"/>
    <mergeCell ref="DA13:DA14"/>
    <mergeCell ref="DB13:DB14"/>
    <mergeCell ref="DC13:DC14"/>
    <mergeCell ref="DD13:DD14"/>
    <mergeCell ref="DE13:DE14"/>
    <mergeCell ref="DF13:DF14"/>
    <mergeCell ref="CU13:CU14"/>
    <mergeCell ref="CV13:CV14"/>
    <mergeCell ref="CW13:CW14"/>
    <mergeCell ref="CX13:CX14"/>
    <mergeCell ref="CY13:CY14"/>
    <mergeCell ref="CZ13:CZ14"/>
    <mergeCell ref="CO13:CO14"/>
    <mergeCell ref="CP13:CP14"/>
    <mergeCell ref="CQ13:CQ14"/>
    <mergeCell ref="CR13:CR14"/>
    <mergeCell ref="CS13:CS14"/>
    <mergeCell ref="CT13:CT14"/>
    <mergeCell ref="CI13:CI14"/>
    <mergeCell ref="CJ13:CJ14"/>
    <mergeCell ref="CK13:CK14"/>
    <mergeCell ref="CL13:CL14"/>
    <mergeCell ref="CM13:CM14"/>
    <mergeCell ref="CN13:CN14"/>
    <mergeCell ref="CC13:CC14"/>
    <mergeCell ref="CD13:CD14"/>
    <mergeCell ref="CE13:CE14"/>
    <mergeCell ref="CF13:CF14"/>
    <mergeCell ref="CG13:CG14"/>
    <mergeCell ref="CH13:CH14"/>
    <mergeCell ref="BW13:BW14"/>
    <mergeCell ref="BX13:BX14"/>
    <mergeCell ref="BY13:BY14"/>
    <mergeCell ref="BZ13:BZ14"/>
    <mergeCell ref="CA13:CA14"/>
    <mergeCell ref="CB13:CB14"/>
    <mergeCell ref="BQ13:BQ14"/>
    <mergeCell ref="BR13:BR14"/>
    <mergeCell ref="BS13:BS14"/>
    <mergeCell ref="BT13:BT14"/>
    <mergeCell ref="BU13:BU14"/>
    <mergeCell ref="BV13:BV14"/>
    <mergeCell ref="BK13:BK14"/>
    <mergeCell ref="BL13:BL14"/>
    <mergeCell ref="BM13:BM14"/>
    <mergeCell ref="BN13:BN14"/>
    <mergeCell ref="BO13:BO14"/>
    <mergeCell ref="BP13:BP14"/>
    <mergeCell ref="BE13:BE14"/>
    <mergeCell ref="BF13:BF14"/>
    <mergeCell ref="BG13:BG14"/>
    <mergeCell ref="BH13:BH14"/>
    <mergeCell ref="BI13:BI14"/>
    <mergeCell ref="BJ13:BJ14"/>
    <mergeCell ref="AY13:AY14"/>
    <mergeCell ref="AZ13:AZ14"/>
    <mergeCell ref="BA13:BA14"/>
    <mergeCell ref="BB13:BB14"/>
    <mergeCell ref="BC13:BC14"/>
    <mergeCell ref="BD13:BD14"/>
    <mergeCell ref="AS13:AS14"/>
    <mergeCell ref="AT13:AT14"/>
    <mergeCell ref="AU13:AU14"/>
    <mergeCell ref="AV13:AV14"/>
    <mergeCell ref="AW13:AW14"/>
    <mergeCell ref="AX13:AX14"/>
    <mergeCell ref="AM13:AM14"/>
    <mergeCell ref="AN13:AN14"/>
    <mergeCell ref="AO13:AO14"/>
    <mergeCell ref="AP13:AP14"/>
    <mergeCell ref="AQ13:AQ14"/>
    <mergeCell ref="AR13:AR14"/>
    <mergeCell ref="AG13:AG14"/>
    <mergeCell ref="AH13:AH14"/>
    <mergeCell ref="AI13:AI14"/>
    <mergeCell ref="AJ13:AJ14"/>
    <mergeCell ref="AK13:AK14"/>
    <mergeCell ref="AL13:AL14"/>
    <mergeCell ref="AA13:AA14"/>
    <mergeCell ref="AB13:AB14"/>
    <mergeCell ref="AC13:AC14"/>
    <mergeCell ref="AD13:AD14"/>
    <mergeCell ref="AE13:AE14"/>
    <mergeCell ref="AF13:AF14"/>
    <mergeCell ref="U13:U14"/>
    <mergeCell ref="V13:V14"/>
    <mergeCell ref="W13:W14"/>
    <mergeCell ref="X13:X14"/>
    <mergeCell ref="Y13:Y14"/>
    <mergeCell ref="Z13:Z14"/>
    <mergeCell ref="O13:O14"/>
    <mergeCell ref="P13:P14"/>
    <mergeCell ref="Q13:Q14"/>
    <mergeCell ref="R13:R14"/>
    <mergeCell ref="S13:S14"/>
    <mergeCell ref="T13:T14"/>
    <mergeCell ref="I13:I14"/>
    <mergeCell ref="J13:J14"/>
    <mergeCell ref="K13:K14"/>
    <mergeCell ref="L13:L14"/>
    <mergeCell ref="M13:M14"/>
    <mergeCell ref="N13:N14"/>
    <mergeCell ref="B11:D12"/>
    <mergeCell ref="B13:D14"/>
    <mergeCell ref="E13:E14"/>
    <mergeCell ref="F13:F14"/>
    <mergeCell ref="G13:G14"/>
    <mergeCell ref="H13:H14"/>
    <mergeCell ref="DO7:DO12"/>
    <mergeCell ref="DP7:DP12"/>
    <mergeCell ref="DQ7:DQ12"/>
    <mergeCell ref="DR7:DR12"/>
    <mergeCell ref="DS7:DS12"/>
    <mergeCell ref="CQ7:CQ12"/>
    <mergeCell ref="CR7:CR12"/>
    <mergeCell ref="CS7:CS12"/>
    <mergeCell ref="CT7:CT12"/>
    <mergeCell ref="CU7:CU12"/>
    <mergeCell ref="CV7:CV12"/>
    <mergeCell ref="CK7:CK12"/>
    <mergeCell ref="CL7:CL12"/>
    <mergeCell ref="CM7:CM12"/>
    <mergeCell ref="CN7:CN12"/>
    <mergeCell ref="CO7:CO12"/>
    <mergeCell ref="CP7:CP12"/>
    <mergeCell ref="CE7:CE12"/>
    <mergeCell ref="CF7:CF12"/>
    <mergeCell ref="CG7:CG12"/>
    <mergeCell ref="DT7:DT12"/>
    <mergeCell ref="DI7:DI12"/>
    <mergeCell ref="DJ7:DJ12"/>
    <mergeCell ref="DK7:DK12"/>
    <mergeCell ref="DL7:DL12"/>
    <mergeCell ref="DM7:DM12"/>
    <mergeCell ref="DN7:DN12"/>
    <mergeCell ref="DC7:DC12"/>
    <mergeCell ref="DD7:DD12"/>
    <mergeCell ref="DE7:DE12"/>
    <mergeCell ref="DF7:DF12"/>
    <mergeCell ref="DG7:DG12"/>
    <mergeCell ref="DH7:DH12"/>
    <mergeCell ref="CW7:CW12"/>
    <mergeCell ref="CX7:CX12"/>
    <mergeCell ref="CY7:CY12"/>
    <mergeCell ref="CZ7:CZ12"/>
    <mergeCell ref="DA7:DA12"/>
    <mergeCell ref="DB7:DB12"/>
    <mergeCell ref="CH7:CH12"/>
    <mergeCell ref="CI7:CI12"/>
    <mergeCell ref="CJ7:CJ12"/>
    <mergeCell ref="BY7:BY12"/>
    <mergeCell ref="BZ7:BZ12"/>
    <mergeCell ref="CA7:CA12"/>
    <mergeCell ref="CB7:CB12"/>
    <mergeCell ref="CC7:CC12"/>
    <mergeCell ref="CD7:CD12"/>
    <mergeCell ref="BS7:BS12"/>
    <mergeCell ref="BT7:BT12"/>
    <mergeCell ref="BU7:BU12"/>
    <mergeCell ref="BV7:BV12"/>
    <mergeCell ref="BW7:BW12"/>
    <mergeCell ref="BX7:BX12"/>
    <mergeCell ref="BM7:BM12"/>
    <mergeCell ref="BN7:BN12"/>
    <mergeCell ref="BO7:BO12"/>
    <mergeCell ref="BP7:BP12"/>
    <mergeCell ref="BQ7:BQ12"/>
    <mergeCell ref="BR7:BR12"/>
    <mergeCell ref="BG7:BG12"/>
    <mergeCell ref="BH7:BH12"/>
    <mergeCell ref="BI7:BI12"/>
    <mergeCell ref="BJ7:BJ12"/>
    <mergeCell ref="BK7:BK12"/>
    <mergeCell ref="BL7:BL12"/>
    <mergeCell ref="BA7:BA12"/>
    <mergeCell ref="BB7:BB12"/>
    <mergeCell ref="BC7:BC12"/>
    <mergeCell ref="BD7:BD12"/>
    <mergeCell ref="BE7:BE12"/>
    <mergeCell ref="BF7:BF12"/>
    <mergeCell ref="AU7:AU12"/>
    <mergeCell ref="AV7:AV12"/>
    <mergeCell ref="AW7:AW12"/>
    <mergeCell ref="AX7:AX12"/>
    <mergeCell ref="AY7:AY12"/>
    <mergeCell ref="AZ7:AZ12"/>
    <mergeCell ref="AO7:AO12"/>
    <mergeCell ref="AP7:AP12"/>
    <mergeCell ref="AQ7:AQ12"/>
    <mergeCell ref="AR7:AR12"/>
    <mergeCell ref="AS7:AS12"/>
    <mergeCell ref="AT7:AT12"/>
    <mergeCell ref="AI7:AI12"/>
    <mergeCell ref="AJ7:AJ12"/>
    <mergeCell ref="AK7:AK12"/>
    <mergeCell ref="AL7:AL12"/>
    <mergeCell ref="AM7:AM12"/>
    <mergeCell ref="AN7:AN12"/>
    <mergeCell ref="AC7:AC12"/>
    <mergeCell ref="AD7:AD12"/>
    <mergeCell ref="AE7:AE12"/>
    <mergeCell ref="AF7:AF12"/>
    <mergeCell ref="AG7:AG12"/>
    <mergeCell ref="AH7:AH12"/>
    <mergeCell ref="W7:W12"/>
    <mergeCell ref="X7:X12"/>
    <mergeCell ref="Y7:Y12"/>
    <mergeCell ref="Z7:Z12"/>
    <mergeCell ref="AA7:AA12"/>
    <mergeCell ref="AB7:AB12"/>
    <mergeCell ref="Q7:Q12"/>
    <mergeCell ref="R7:R12"/>
    <mergeCell ref="S7:S12"/>
    <mergeCell ref="T7:T12"/>
    <mergeCell ref="U7:U12"/>
    <mergeCell ref="V7:V12"/>
    <mergeCell ref="K7:K12"/>
    <mergeCell ref="L7:L12"/>
    <mergeCell ref="M7:M12"/>
    <mergeCell ref="N7:N12"/>
    <mergeCell ref="O7:O12"/>
    <mergeCell ref="P7:P12"/>
    <mergeCell ref="DT3:DT6"/>
    <mergeCell ref="B6:D6"/>
    <mergeCell ref="A7:A66"/>
    <mergeCell ref="B7:D10"/>
    <mergeCell ref="E7:E12"/>
    <mergeCell ref="F7:F12"/>
    <mergeCell ref="G7:G12"/>
    <mergeCell ref="H7:H12"/>
    <mergeCell ref="I7:I12"/>
    <mergeCell ref="J7:J12"/>
    <mergeCell ref="DN3:DN6"/>
    <mergeCell ref="DO3:DO6"/>
    <mergeCell ref="DP3:DP6"/>
    <mergeCell ref="DQ3:DQ6"/>
    <mergeCell ref="DR3:DR6"/>
    <mergeCell ref="DS3:DS6"/>
    <mergeCell ref="DH3:DH6"/>
    <mergeCell ref="DI3:DI6"/>
    <mergeCell ref="DJ3:DJ6"/>
    <mergeCell ref="DK3:DK6"/>
    <mergeCell ref="DL3:DL6"/>
    <mergeCell ref="DM3:DM6"/>
    <mergeCell ref="DB3:DB6"/>
    <mergeCell ref="DC3:DC6"/>
    <mergeCell ref="DD3:DD6"/>
    <mergeCell ref="DE3:DE6"/>
    <mergeCell ref="DF3:DF6"/>
    <mergeCell ref="DG3:DG6"/>
    <mergeCell ref="CV3:CV6"/>
    <mergeCell ref="CW3:CW6"/>
    <mergeCell ref="CX3:CX6"/>
    <mergeCell ref="CY3:CY6"/>
    <mergeCell ref="CZ3:CZ6"/>
    <mergeCell ref="DA3:DA6"/>
    <mergeCell ref="CP3:CP6"/>
    <mergeCell ref="CQ3:CQ6"/>
    <mergeCell ref="CR3:CR6"/>
    <mergeCell ref="CS3:CS6"/>
    <mergeCell ref="CT3:CT6"/>
    <mergeCell ref="CU3:CU6"/>
    <mergeCell ref="CJ3:CJ6"/>
    <mergeCell ref="CK3:CK6"/>
    <mergeCell ref="CL3:CL6"/>
    <mergeCell ref="CM3:CM6"/>
    <mergeCell ref="CN3:CN6"/>
    <mergeCell ref="CO3:CO6"/>
    <mergeCell ref="CD3:CD6"/>
    <mergeCell ref="CE3:CE6"/>
    <mergeCell ref="CF3:CF6"/>
    <mergeCell ref="CG3:CG6"/>
    <mergeCell ref="CH3:CH6"/>
    <mergeCell ref="CI3:CI6"/>
    <mergeCell ref="BX3:BX6"/>
    <mergeCell ref="BY3:BY6"/>
    <mergeCell ref="BZ3:BZ6"/>
    <mergeCell ref="CA3:CA6"/>
    <mergeCell ref="CB3:CB6"/>
    <mergeCell ref="CC3:CC6"/>
    <mergeCell ref="BR3:BR6"/>
    <mergeCell ref="BS3:BS6"/>
    <mergeCell ref="BT3:BT6"/>
    <mergeCell ref="BU3:BU6"/>
    <mergeCell ref="BV3:BV6"/>
    <mergeCell ref="BW3:BW6"/>
    <mergeCell ref="BL3:BL6"/>
    <mergeCell ref="BM3:BM6"/>
    <mergeCell ref="BN3:BN6"/>
    <mergeCell ref="BO3:BO6"/>
    <mergeCell ref="BP3:BP6"/>
    <mergeCell ref="BQ3:BQ6"/>
    <mergeCell ref="BF3:BF6"/>
    <mergeCell ref="BG3:BG6"/>
    <mergeCell ref="BH3:BH6"/>
    <mergeCell ref="BI3:BI6"/>
    <mergeCell ref="BJ3:BJ6"/>
    <mergeCell ref="BK3:BK6"/>
    <mergeCell ref="AZ3:AZ6"/>
    <mergeCell ref="BA3:BA6"/>
    <mergeCell ref="BB3:BB6"/>
    <mergeCell ref="BC3:BC6"/>
    <mergeCell ref="BD3:BD6"/>
    <mergeCell ref="BE3:BE6"/>
    <mergeCell ref="AT3:AT6"/>
    <mergeCell ref="AU3:AU6"/>
    <mergeCell ref="AV3:AV6"/>
    <mergeCell ref="AW3:AW6"/>
    <mergeCell ref="AX3:AX6"/>
    <mergeCell ref="AY3:AY6"/>
    <mergeCell ref="AN3:AN6"/>
    <mergeCell ref="AO3:AO6"/>
    <mergeCell ref="AP3:AP6"/>
    <mergeCell ref="AQ3:AQ6"/>
    <mergeCell ref="AR3:AR6"/>
    <mergeCell ref="AS3:AS6"/>
    <mergeCell ref="AH3:AH6"/>
    <mergeCell ref="AI3:AI6"/>
    <mergeCell ref="AJ3:AJ6"/>
    <mergeCell ref="AK3:AK6"/>
    <mergeCell ref="AL3:AL6"/>
    <mergeCell ref="AM3:AM6"/>
    <mergeCell ref="AB3:AB6"/>
    <mergeCell ref="AC3:AC6"/>
    <mergeCell ref="AD3:AD6"/>
    <mergeCell ref="AE3:AE6"/>
    <mergeCell ref="AF3:AF6"/>
    <mergeCell ref="AG3:AG6"/>
    <mergeCell ref="B3:D4"/>
    <mergeCell ref="E3:E6"/>
    <mergeCell ref="F3:F6"/>
    <mergeCell ref="G3:G6"/>
    <mergeCell ref="H3:H6"/>
    <mergeCell ref="I3:I6"/>
    <mergeCell ref="V3:V6"/>
    <mergeCell ref="W3:W6"/>
    <mergeCell ref="X3:X6"/>
    <mergeCell ref="Y3:Y6"/>
    <mergeCell ref="Z3:Z6"/>
    <mergeCell ref="AA3:AA6"/>
    <mergeCell ref="P3:P6"/>
    <mergeCell ref="Q3:Q6"/>
    <mergeCell ref="R3:R6"/>
    <mergeCell ref="S3:S6"/>
    <mergeCell ref="T3:T6"/>
    <mergeCell ref="U3:U6"/>
    <mergeCell ref="J3:J6"/>
    <mergeCell ref="K3:K6"/>
    <mergeCell ref="L3:L6"/>
    <mergeCell ref="M3:M6"/>
    <mergeCell ref="N3:N6"/>
    <mergeCell ref="O3:O6"/>
  </mergeCells>
  <pageMargins left="0.39370078740157483" right="0.39370078740157483" top="0.39370078740157483" bottom="0.39370078740157483" header="0.31496062992125984" footer="0.31496062992125984"/>
  <pageSetup paperSize="9" scale="35"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ubactivity xmlns="4f9c820c-e7e2-444d-97ee-45f2b3485c1d" xsi:nil="true"/>
    <BusinessValue xmlns="4f9c820c-e7e2-444d-97ee-45f2b3485c1d" xsi:nil="true"/>
    <PRADateDisposal xmlns="4f9c820c-e7e2-444d-97ee-45f2b3485c1d" xsi:nil="true"/>
    <KeyWords xmlns="15ffb055-6eb4-45a1-bc20-bf2ac0d420da" xsi:nil="true"/>
    <SecurityClassification xmlns="15ffb055-6eb4-45a1-bc20-bf2ac0d420da" xsi:nil="true"/>
    <PRADate3 xmlns="4f9c820c-e7e2-444d-97ee-45f2b3485c1d" xsi:nil="true"/>
    <PRAText5 xmlns="4f9c820c-e7e2-444d-97ee-45f2b3485c1d" xsi:nil="true"/>
    <Level2 xmlns="c91a514c-9034-4fa3-897a-8352025b26ed">NA</Level2>
    <Activity xmlns="4f9c820c-e7e2-444d-97ee-45f2b3485c1d">Programmes</Activity>
    <AggregationStatus xmlns="4f9c820c-e7e2-444d-97ee-45f2b3485c1d">Normal</AggregationStatus>
    <CategoryValue xmlns="4f9c820c-e7e2-444d-97ee-45f2b3485c1d">NA</CategoryValue>
    <PRADate2 xmlns="4f9c820c-e7e2-444d-97ee-45f2b3485c1d" xsi:nil="true"/>
    <Case xmlns="4f9c820c-e7e2-444d-97ee-45f2b3485c1d">NA</Case>
    <PRAText1 xmlns="4f9c820c-e7e2-444d-97ee-45f2b3485c1d" xsi:nil="true"/>
    <PRAText4 xmlns="4f9c820c-e7e2-444d-97ee-45f2b3485c1d" xsi:nil="true"/>
    <Level3 xmlns="c91a514c-9034-4fa3-897a-8352025b26ed" xsi:nil="true"/>
    <Team xmlns="c91a514c-9034-4fa3-897a-8352025b26ed">NA</Team>
    <Project xmlns="4f9c820c-e7e2-444d-97ee-45f2b3485c1d">NA</Project>
    <FunctionGroup xmlns="4f9c820c-e7e2-444d-97ee-45f2b3485c1d">NA</FunctionGroup>
    <Function xmlns="4f9c820c-e7e2-444d-97ee-45f2b3485c1d">Athletes and Programmes</Function>
    <RelatedPeople xmlns="4f9c820c-e7e2-444d-97ee-45f2b3485c1d">
      <UserInfo>
        <DisplayName/>
        <AccountId xsi:nil="true"/>
        <AccountType/>
      </UserInfo>
    </RelatedPeople>
    <AggregationNarrative xmlns="725c79e5-42ce-4aa0-ac78-b6418001f0d2" xsi:nil="true"/>
    <Channel xmlns="c91a514c-9034-4fa3-897a-8352025b26ed">NA</Channel>
    <PRAType xmlns="4f9c820c-e7e2-444d-97ee-45f2b3485c1d">Doc</PRAType>
    <PRADate1 xmlns="4f9c820c-e7e2-444d-97ee-45f2b3485c1d" xsi:nil="true"/>
    <DocumentType xmlns="4f9c820c-e7e2-444d-97ee-45f2b3485c1d" xsi:nil="true"/>
    <PRAText3 xmlns="4f9c820c-e7e2-444d-97ee-45f2b3485c1d" xsi:nil="true"/>
    <HarmonieUIHidden xmlns="15ffb055-6eb4-45a1-bc20-bf2ac0d420da" xsi:nil="true"/>
    <Year xmlns="c91a514c-9034-4fa3-897a-8352025b26ed">NA</Year>
    <Narrative xmlns="4f9c820c-e7e2-444d-97ee-45f2b3485c1d" xsi:nil="true"/>
    <CategoryName xmlns="4f9c820c-e7e2-444d-97ee-45f2b3485c1d">NA</CategoryName>
    <PRADateTrigger xmlns="4f9c820c-e7e2-444d-97ee-45f2b3485c1d" xsi:nil="true"/>
    <PRAText2 xmlns="4f9c820c-e7e2-444d-97ee-45f2b3485c1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Excel" ma:contentTypeID="0x010100C13FC186F1CA7740A8B02D40D46E178700F6E9301C03174F4C842E8563A58064C5" ma:contentTypeVersion="36" ma:contentTypeDescription="Create a new document." ma:contentTypeScope="" ma:versionID="32b578f9b3e7fb807113f8e35e876481">
  <xsd:schema xmlns:xsd="http://www.w3.org/2001/XMLSchema" xmlns:xs="http://www.w3.org/2001/XMLSchema" xmlns:p="http://schemas.microsoft.com/office/2006/metadata/properties" xmlns:ns2="4f9c820c-e7e2-444d-97ee-45f2b3485c1d" xmlns:ns3="15ffb055-6eb4-45a1-bc20-bf2ac0d420da" xmlns:ns4="725c79e5-42ce-4aa0-ac78-b6418001f0d2" xmlns:ns5="c91a514c-9034-4fa3-897a-8352025b26ed" targetNamespace="http://schemas.microsoft.com/office/2006/metadata/properties" ma:root="true" ma:fieldsID="189bf231e0b9aaec0524160f462ea755" ns2:_="" ns3:_="" ns4:_="" ns5:_="">
    <xsd:import namespace="4f9c820c-e7e2-444d-97ee-45f2b3485c1d"/>
    <xsd:import namespace="15ffb055-6eb4-45a1-bc20-bf2ac0d420da"/>
    <xsd:import namespace="725c79e5-42ce-4aa0-ac78-b6418001f0d2"/>
    <xsd:import namespace="c91a514c-9034-4fa3-897a-8352025b26ed"/>
    <xsd:element name="properties">
      <xsd:complexType>
        <xsd:sequence>
          <xsd:element name="documentManagement">
            <xsd:complexType>
              <xsd:all>
                <xsd:element ref="ns2:DocumentType" minOccurs="0"/>
                <xsd:element ref="ns3:KeyWords" minOccurs="0"/>
                <xsd:element ref="ns2:Narrative" minOccurs="0"/>
                <xsd:element ref="ns3:SecurityClassification" minOccurs="0"/>
                <xsd:element ref="ns2:Subactivity" minOccurs="0"/>
                <xsd:element ref="ns2:Case" minOccurs="0"/>
                <xsd:element ref="ns2:RelatedPeople" minOccurs="0"/>
                <xsd:element ref="ns2:CategoryName" minOccurs="0"/>
                <xsd:element ref="ns2:CategoryValue" minOccurs="0"/>
                <xsd:element ref="ns2:BusinessValue" minOccurs="0"/>
                <xsd:element ref="ns2:FunctionGroup" minOccurs="0"/>
                <xsd:element ref="ns2:Function" minOccurs="0"/>
                <xsd:element ref="ns2:PRAType" minOccurs="0"/>
                <xsd:element ref="ns2:PRADate1" minOccurs="0"/>
                <xsd:element ref="ns2:PRADate2" minOccurs="0"/>
                <xsd:element ref="ns2:PRADate3" minOccurs="0"/>
                <xsd:element ref="ns2:PRADateDisposal" minOccurs="0"/>
                <xsd:element ref="ns2:PRADateTrigger" minOccurs="0"/>
                <xsd:element ref="ns2:PRAText1" minOccurs="0"/>
                <xsd:element ref="ns2:PRAText2" minOccurs="0"/>
                <xsd:element ref="ns2:PRAText3" minOccurs="0"/>
                <xsd:element ref="ns2:PRAText4" minOccurs="0"/>
                <xsd:element ref="ns2:PRAText5" minOccurs="0"/>
                <xsd:element ref="ns2:AggregationStatus" minOccurs="0"/>
                <xsd:element ref="ns2:Project" minOccurs="0"/>
                <xsd:element ref="ns2:Activity" minOccurs="0"/>
                <xsd:element ref="ns4:AggregationNarrative" minOccurs="0"/>
                <xsd:element ref="ns5:Channel" minOccurs="0"/>
                <xsd:element ref="ns5:Team" minOccurs="0"/>
                <xsd:element ref="ns5:Level2" minOccurs="0"/>
                <xsd:element ref="ns5:Level3" minOccurs="0"/>
                <xsd:element ref="ns5:Year" minOccurs="0"/>
                <xsd:element ref="ns3:HarmonieUIHidd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9c820c-e7e2-444d-97ee-45f2b3485c1d" elementFormDefault="qualified">
    <xsd:import namespace="http://schemas.microsoft.com/office/2006/documentManagement/types"/>
    <xsd:import namespace="http://schemas.microsoft.com/office/infopath/2007/PartnerControls"/>
    <xsd:element name="DocumentType" ma:index="8" nillable="true" ma:displayName="Document Type" ma:format="Dropdown" ma:hidden="true" ma:internalName="DocumentType" ma:readOnly="false">
      <xsd:simpleType>
        <xsd:restriction base="dms:Choice">
          <xsd:enumeration value="APPLICATION, certificate, consent related"/>
          <xsd:enumeration value="CONTRACT, Variation, Agreement"/>
          <xsd:enumeration value="CORRESPONDENCE"/>
          <xsd:enumeration value="DRAWING, Plan, Map"/>
          <xsd:enumeration value="EMPLOYMENT related"/>
          <xsd:enumeration value="FINANCIAL related"/>
          <xsd:enumeration value="KNOWLEDGE article"/>
          <xsd:enumeration value="MEETING related"/>
          <xsd:enumeration value="MEMO, Filenote, Email"/>
          <xsd:enumeration value="MODEL, Calculation, Working"/>
          <xsd:enumeration value="PHOTO, Image or Multi-media"/>
          <xsd:enumeration value="PRESENTATION"/>
          <xsd:enumeration value="PUBLICATION material"/>
          <xsd:enumeration value="PURCHASING related"/>
          <xsd:enumeration value="REPORT, or planning related"/>
          <xsd:enumeration value="RULES, Policy, Bylaw, procedure"/>
          <xsd:enumeration value="SERVICE REQUEST related"/>
          <xsd:enumeration value="SPECIFICATION or standard"/>
          <xsd:enumeration value="SUPPLIER PRODUCT Info"/>
          <xsd:enumeration value="TEMPLATE, Checklist or Form"/>
        </xsd:restriction>
      </xsd:simpleType>
    </xsd:element>
    <xsd:element name="Narrative" ma:index="10" nillable="true" ma:displayName="Narrative" ma:hidden="true" ma:internalName="Narrative" ma:readOnly="false">
      <xsd:simpleType>
        <xsd:restriction base="dms:Note"/>
      </xsd:simpleType>
    </xsd:element>
    <xsd:element name="Subactivity" ma:index="12" nillable="true" ma:displayName="Subactivity" ma:default="" ma:hidden="true" ma:internalName="Subactivity" ma:readOnly="false">
      <xsd:simpleType>
        <xsd:restriction base="dms:Text">
          <xsd:maxLength value="255"/>
        </xsd:restriction>
      </xsd:simpleType>
    </xsd:element>
    <xsd:element name="Case" ma:index="13" nillable="true" ma:displayName="Case" ma:default="NA" ma:hidden="true" ma:internalName="Case" ma:readOnly="false">
      <xsd:simpleType>
        <xsd:restriction base="dms:Text">
          <xsd:maxLength value="255"/>
        </xsd:restriction>
      </xsd:simpleType>
    </xsd:element>
    <xsd:element name="RelatedPeople" ma:index="14" nillable="true" ma:displayName="Related People" ma:hidden="true" ma:list="UserInfo" ma:SharePointGroup="0" ma:internalName="RelatedPeople"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ategoryName" ma:index="15" nillable="true" ma:displayName="Category 1" ma:default="NA" ma:hidden="true" ma:internalName="CategoryName" ma:readOnly="false">
      <xsd:simpleType>
        <xsd:restriction base="dms:Text">
          <xsd:maxLength value="255"/>
        </xsd:restriction>
      </xsd:simpleType>
    </xsd:element>
    <xsd:element name="CategoryValue" ma:index="16" nillable="true" ma:displayName="Category 2" ma:default="NA" ma:hidden="true" ma:internalName="CategoryValue" ma:readOnly="false">
      <xsd:simpleType>
        <xsd:restriction base="dms:Text">
          <xsd:maxLength value="255"/>
        </xsd:restriction>
      </xsd:simpleType>
    </xsd:element>
    <xsd:element name="BusinessValue" ma:index="17" nillable="true" ma:displayName="Business Value" ma:hidden="true" ma:internalName="BusinessValue" ma:readOnly="false">
      <xsd:simpleType>
        <xsd:restriction base="dms:Text">
          <xsd:maxLength value="255"/>
        </xsd:restriction>
      </xsd:simpleType>
    </xsd:element>
    <xsd:element name="FunctionGroup" ma:index="18" nillable="true" ma:displayName="Function Group" ma:default="NA" ma:hidden="true" ma:internalName="FunctionGroup" ma:readOnly="false">
      <xsd:simpleType>
        <xsd:restriction base="dms:Text">
          <xsd:maxLength value="255"/>
        </xsd:restriction>
      </xsd:simpleType>
    </xsd:element>
    <xsd:element name="Function" ma:index="19" nillable="true" ma:displayName="Function" ma:default="Athletes and Programmes" ma:hidden="true" ma:internalName="Function" ma:readOnly="false">
      <xsd:simpleType>
        <xsd:restriction base="dms:Text">
          <xsd:maxLength value="255"/>
        </xsd:restriction>
      </xsd:simpleType>
    </xsd:element>
    <xsd:element name="PRAType" ma:index="20" nillable="true" ma:displayName="PRA Type" ma:default="Doc" ma:hidden="true" ma:indexed="true" ma:internalName="PRAType" ma:readOnly="false">
      <xsd:simpleType>
        <xsd:restriction base="dms:Text">
          <xsd:maxLength value="255"/>
        </xsd:restriction>
      </xsd:simpleType>
    </xsd:element>
    <xsd:element name="PRADate1" ma:index="21" nillable="true" ma:displayName="PRA Date 1" ma:format="DateOnly" ma:hidden="true" ma:internalName="PRADate1" ma:readOnly="false">
      <xsd:simpleType>
        <xsd:restriction base="dms:DateTime"/>
      </xsd:simpleType>
    </xsd:element>
    <xsd:element name="PRADate2" ma:index="22" nillable="true" ma:displayName="PRA Date 2" ma:format="DateOnly" ma:hidden="true" ma:internalName="PRADate2" ma:readOnly="false">
      <xsd:simpleType>
        <xsd:restriction base="dms:DateTime"/>
      </xsd:simpleType>
    </xsd:element>
    <xsd:element name="PRADate3" ma:index="23" nillable="true" ma:displayName="PRA Date 3" ma:format="DateOnly" ma:hidden="true" ma:internalName="PRADate3" ma:readOnly="false">
      <xsd:simpleType>
        <xsd:restriction base="dms:DateTime"/>
      </xsd:simpleType>
    </xsd:element>
    <xsd:element name="PRADateDisposal" ma:index="24" nillable="true" ma:displayName="PRA Date Disposal" ma:format="DateOnly" ma:hidden="true" ma:internalName="PRADateDisposal" ma:readOnly="false">
      <xsd:simpleType>
        <xsd:restriction base="dms:DateTime"/>
      </xsd:simpleType>
    </xsd:element>
    <xsd:element name="PRADateTrigger" ma:index="25" nillable="true" ma:displayName="PRA Date Trigger" ma:format="DateOnly" ma:hidden="true" ma:internalName="PRADateTrigger" ma:readOnly="false">
      <xsd:simpleType>
        <xsd:restriction base="dms:DateTime"/>
      </xsd:simpleType>
    </xsd:element>
    <xsd:element name="PRAText1" ma:index="26" nillable="true" ma:displayName="PRA Text 1" ma:hidden="true" ma:internalName="PRAText1" ma:readOnly="false">
      <xsd:simpleType>
        <xsd:restriction base="dms:Text">
          <xsd:maxLength value="255"/>
        </xsd:restriction>
      </xsd:simpleType>
    </xsd:element>
    <xsd:element name="PRAText2" ma:index="27" nillable="true" ma:displayName="PRA Text 2" ma:hidden="true" ma:internalName="PRAText2" ma:readOnly="false">
      <xsd:simpleType>
        <xsd:restriction base="dms:Text">
          <xsd:maxLength value="255"/>
        </xsd:restriction>
      </xsd:simpleType>
    </xsd:element>
    <xsd:element name="PRAText3" ma:index="28" nillable="true" ma:displayName="PRA Text 3" ma:hidden="true" ma:internalName="PRAText3" ma:readOnly="false">
      <xsd:simpleType>
        <xsd:restriction base="dms:Text">
          <xsd:maxLength value="255"/>
        </xsd:restriction>
      </xsd:simpleType>
    </xsd:element>
    <xsd:element name="PRAText4" ma:index="29" nillable="true" ma:displayName="PRA Text 4" ma:hidden="true" ma:internalName="PRAText4" ma:readOnly="false">
      <xsd:simpleType>
        <xsd:restriction base="dms:Text">
          <xsd:maxLength value="255"/>
        </xsd:restriction>
      </xsd:simpleType>
    </xsd:element>
    <xsd:element name="PRAText5" ma:index="30" nillable="true" ma:displayName="PRA Text 5" ma:hidden="true" ma:internalName="PRAText5" ma:readOnly="false">
      <xsd:simpleType>
        <xsd:restriction base="dms:Text">
          <xsd:maxLength value="255"/>
        </xsd:restriction>
      </xsd:simpleType>
    </xsd:element>
    <xsd:element name="AggregationStatus" ma:index="31" nillable="true" ma:displayName="Aggregation Status" ma:default="Normal" ma:format="Dropdown" ma:hidden="true" ma:internalName="AggregationStatus" ma:readOnly="false">
      <xsd:simpleType>
        <xsd:union memberTypes="dms:Text">
          <xsd:simpleType>
            <xsd:restriction base="dms:Choice">
              <xsd:enumeration value="Delete Soon"/>
              <xsd:enumeration value="Transfer Soon"/>
              <xsd:enumeration value="Appraise Soon"/>
              <xsd:enumeration value="Delete"/>
              <xsd:enumeration value="Transfer"/>
              <xsd:enumeration value="Appraise"/>
              <xsd:enumeration value="Hold"/>
              <xsd:enumeration value="Normal"/>
              <xsd:enumeration value="Archive"/>
            </xsd:restriction>
          </xsd:simpleType>
        </xsd:union>
      </xsd:simpleType>
    </xsd:element>
    <xsd:element name="Project" ma:index="32" nillable="true" ma:displayName="Project" ma:default="NA" ma:hidden="true" ma:internalName="Project" ma:readOnly="false">
      <xsd:simpleType>
        <xsd:restriction base="dms:Text">
          <xsd:maxLength value="255"/>
        </xsd:restriction>
      </xsd:simpleType>
    </xsd:element>
    <xsd:element name="Activity" ma:index="33" nillable="true" ma:displayName="Activity" ma:default="Programmes" ma:hidden="true" ma:internalName="Activity"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ffb055-6eb4-45a1-bc20-bf2ac0d420da" elementFormDefault="qualified">
    <xsd:import namespace="http://schemas.microsoft.com/office/2006/documentManagement/types"/>
    <xsd:import namespace="http://schemas.microsoft.com/office/infopath/2007/PartnerControls"/>
    <xsd:element name="KeyWords" ma:index="9" nillable="true" ma:displayName="Key Words" ma:hidden="true" ma:internalName="KeyWords" ma:readOnly="false">
      <xsd:simpleType>
        <xsd:restriction base="dms:Note"/>
      </xsd:simpleType>
    </xsd:element>
    <xsd:element name="SecurityClassification" ma:index="11" nillable="true" ma:displayName="Security Classification" ma:format="Dropdown" ma:hidden="true" ma:internalName="SecurityClassification" ma:readOnly="false">
      <xsd:simpleType>
        <xsd:restriction base="dms:Choice">
          <xsd:enumeration value="Confidential"/>
          <xsd:enumeration value="Restricted"/>
          <xsd:enumeration value="Unrestricted"/>
        </xsd:restriction>
      </xsd:simpleType>
    </xsd:element>
    <xsd:element name="HarmonieUIHidden" ma:index="40" nillable="true" ma:displayName="HarmonieUIHidden" ma:hidden="true" ma:internalName="HarmonieUIHidden"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25c79e5-42ce-4aa0-ac78-b6418001f0d2" elementFormDefault="qualified">
    <xsd:import namespace="http://schemas.microsoft.com/office/2006/documentManagement/types"/>
    <xsd:import namespace="http://schemas.microsoft.com/office/infopath/2007/PartnerControls"/>
    <xsd:element name="AggregationNarrative" ma:index="34" nillable="true" ma:displayName="Aggregation Narrative" ma:hidden="true" ma:internalName="AggregationNarrativ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1a514c-9034-4fa3-897a-8352025b26ed" elementFormDefault="qualified">
    <xsd:import namespace="http://schemas.microsoft.com/office/2006/documentManagement/types"/>
    <xsd:import namespace="http://schemas.microsoft.com/office/infopath/2007/PartnerControls"/>
    <xsd:element name="Channel" ma:index="35" nillable="true" ma:displayName="Channel" ma:default="NA" ma:hidden="true" ma:internalName="Channel" ma:readOnly="false">
      <xsd:simpleType>
        <xsd:restriction base="dms:Text">
          <xsd:maxLength value="255"/>
        </xsd:restriction>
      </xsd:simpleType>
    </xsd:element>
    <xsd:element name="Team" ma:index="36" nillable="true" ma:displayName="Team" ma:default="NA" ma:hidden="true" ma:internalName="Team" ma:readOnly="false">
      <xsd:simpleType>
        <xsd:restriction base="dms:Text">
          <xsd:maxLength value="255"/>
        </xsd:restriction>
      </xsd:simpleType>
    </xsd:element>
    <xsd:element name="Level2" ma:index="37" nillable="true" ma:displayName="Level2" ma:default="NA" ma:hidden="true" ma:internalName="Level2" ma:readOnly="false">
      <xsd:simpleType>
        <xsd:restriction base="dms:Text">
          <xsd:maxLength value="255"/>
        </xsd:restriction>
      </xsd:simpleType>
    </xsd:element>
    <xsd:element name="Level3" ma:index="38" nillable="true" ma:displayName="Level3" ma:hidden="true" ma:internalName="Level3" ma:readOnly="false">
      <xsd:simpleType>
        <xsd:restriction base="dms:Text">
          <xsd:maxLength value="255"/>
        </xsd:restriction>
      </xsd:simpleType>
    </xsd:element>
    <xsd:element name="Year" ma:index="39" nillable="true" ma:displayName="Year" ma:default="NA" ma:hidden="true" ma:internalName="Year" ma:readOnly="fals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F41346-E437-4BE7-B2F9-FF0FDAF6EE04}"/>
</file>

<file path=customXml/itemProps2.xml><?xml version="1.0" encoding="utf-8"?>
<ds:datastoreItem xmlns:ds="http://schemas.openxmlformats.org/officeDocument/2006/customXml" ds:itemID="{9377F023-A5F5-4690-8579-9F81EE76A21E}"/>
</file>

<file path=customXml/itemProps3.xml><?xml version="1.0" encoding="utf-8"?>
<ds:datastoreItem xmlns:ds="http://schemas.openxmlformats.org/officeDocument/2006/customXml" ds:itemID="{798F758C-C14E-4877-8BF1-454CEF62673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andrewk</dc:creator>
  <cp:keywords/>
  <dc:description/>
  <cp:lastModifiedBy>Fionn Cullinane</cp:lastModifiedBy>
  <cp:revision/>
  <dcterms:created xsi:type="dcterms:W3CDTF">2019-09-22T23:00:56Z</dcterms:created>
  <dcterms:modified xsi:type="dcterms:W3CDTF">2025-04-27T06:38:06Z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0x010100C13FC186F1CA7740A8B02D40D46E178700F6E9301C03174F4C842E8563A58064C5</vt:lpwstr>
  </property>
</Properties>
</file>