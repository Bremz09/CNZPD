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ortnzgroup-my.sharepoint.com/personal/jamie_douglas_hpsnz_org_nz/Documents/Desktop/Cycling NZ 2018-2024/3. Profiling and Monitoring/1. Databases/Archive/"/>
    </mc:Choice>
  </mc:AlternateContent>
  <xr:revisionPtr revIDLastSave="98" documentId="8_{7BDE1E87-27A4-48FF-9B22-B609DA26F6D7}" xr6:coauthVersionLast="47" xr6:coauthVersionMax="47" xr10:uidLastSave="{01648046-EF90-438F-914F-D933C0696D25}"/>
  <bookViews>
    <workbookView xWindow="-108" yWindow="-108" windowWidth="23256" windowHeight="14160" xr2:uid="{00000000-000D-0000-FFFF-FFFF00000000}"/>
  </bookViews>
  <sheets>
    <sheet name="HPSNZ Erg" sheetId="12" r:id="rId1"/>
    <sheet name="CNZ Erg_Track Sprint" sheetId="1" r:id="rId2"/>
    <sheet name="Track Pivot" sheetId="7" r:id="rId3"/>
    <sheet name="CNZ Erg_BMX" sheetId="9" r:id="rId4"/>
    <sheet name="BMX Pivot" sheetId="11" r:id="rId5"/>
    <sheet name="HPSNZErg Pivot" sheetId="16" r:id="rId6"/>
  </sheets>
  <calcPr calcId="191028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9" l="1"/>
  <c r="H28" i="9"/>
  <c r="G28" i="9"/>
  <c r="F28" i="9"/>
  <c r="D28" i="9"/>
  <c r="E28" i="9" s="1"/>
  <c r="I27" i="9"/>
  <c r="H27" i="9"/>
  <c r="G27" i="9"/>
  <c r="F27" i="9"/>
  <c r="D27" i="9"/>
  <c r="E27" i="9" s="1"/>
  <c r="I26" i="9"/>
  <c r="H26" i="9"/>
  <c r="G26" i="9"/>
  <c r="F26" i="9"/>
  <c r="D26" i="9"/>
  <c r="E26" i="9" s="1"/>
  <c r="I25" i="9"/>
  <c r="H25" i="9"/>
  <c r="G25" i="9"/>
  <c r="F25" i="9"/>
  <c r="D25" i="9"/>
  <c r="E25" i="9" s="1"/>
  <c r="I24" i="9"/>
  <c r="H24" i="9"/>
  <c r="G24" i="9"/>
  <c r="F24" i="9"/>
  <c r="D24" i="9"/>
  <c r="E24" i="9" s="1"/>
  <c r="I23" i="9"/>
  <c r="H23" i="9"/>
  <c r="G23" i="9"/>
  <c r="F23" i="9"/>
  <c r="D23" i="9"/>
  <c r="E23" i="9" s="1"/>
  <c r="I22" i="9"/>
  <c r="H22" i="9"/>
  <c r="G22" i="9"/>
  <c r="F22" i="9"/>
  <c r="D22" i="9"/>
  <c r="E22" i="9" s="1"/>
  <c r="I21" i="9"/>
  <c r="H21" i="9"/>
  <c r="G21" i="9"/>
  <c r="F21" i="9"/>
  <c r="D21" i="9"/>
  <c r="E21" i="9" s="1"/>
  <c r="I20" i="9"/>
  <c r="H20" i="9"/>
  <c r="G20" i="9"/>
  <c r="F20" i="9"/>
  <c r="D20" i="9"/>
  <c r="E20" i="9" s="1"/>
  <c r="I19" i="9"/>
  <c r="H19" i="9"/>
  <c r="G19" i="9"/>
  <c r="F19" i="9"/>
  <c r="D19" i="9"/>
  <c r="E19" i="9" s="1"/>
  <c r="I18" i="9"/>
  <c r="H18" i="9"/>
  <c r="G18" i="9"/>
  <c r="F18" i="9"/>
  <c r="D18" i="9"/>
  <c r="E18" i="9" s="1"/>
  <c r="I17" i="9"/>
  <c r="H17" i="9"/>
  <c r="G17" i="9"/>
  <c r="F17" i="9"/>
  <c r="D17" i="9"/>
  <c r="E17" i="9" s="1"/>
  <c r="I16" i="9"/>
  <c r="H16" i="9"/>
  <c r="G16" i="9"/>
  <c r="F16" i="9"/>
  <c r="D16" i="9"/>
  <c r="E16" i="9" s="1"/>
  <c r="I15" i="9"/>
  <c r="H15" i="9"/>
  <c r="G15" i="9"/>
  <c r="F15" i="9"/>
  <c r="D15" i="9"/>
  <c r="E15" i="9" s="1"/>
  <c r="I14" i="9"/>
  <c r="H14" i="9"/>
  <c r="G14" i="9"/>
  <c r="F14" i="9"/>
  <c r="E14" i="9"/>
  <c r="D14" i="9"/>
  <c r="I13" i="9"/>
  <c r="H13" i="9"/>
  <c r="G13" i="9"/>
  <c r="F13" i="9"/>
  <c r="D13" i="9"/>
  <c r="E13" i="9" s="1"/>
  <c r="I12" i="9"/>
  <c r="H12" i="9"/>
  <c r="G12" i="9"/>
  <c r="F12" i="9"/>
  <c r="D12" i="9"/>
  <c r="E12" i="9" s="1"/>
  <c r="I11" i="9"/>
  <c r="H11" i="9"/>
  <c r="G11" i="9"/>
  <c r="F11" i="9"/>
  <c r="D11" i="9"/>
  <c r="E11" i="9" s="1"/>
  <c r="I10" i="9"/>
  <c r="H10" i="9"/>
  <c r="G10" i="9"/>
  <c r="F10" i="9"/>
  <c r="D10" i="9"/>
  <c r="E10" i="9" s="1"/>
  <c r="I9" i="9"/>
  <c r="H9" i="9"/>
  <c r="G9" i="9"/>
  <c r="F9" i="9"/>
  <c r="D9" i="9"/>
  <c r="E9" i="9" s="1"/>
  <c r="I8" i="9"/>
  <c r="H8" i="9"/>
  <c r="G8" i="9"/>
  <c r="F8" i="9"/>
  <c r="D8" i="9"/>
  <c r="E8" i="9" s="1"/>
  <c r="I7" i="9"/>
  <c r="H7" i="9"/>
  <c r="G7" i="9"/>
  <c r="F7" i="9"/>
  <c r="D7" i="9"/>
  <c r="E7" i="9" s="1"/>
  <c r="I6" i="9"/>
  <c r="H6" i="9"/>
  <c r="G6" i="9"/>
  <c r="F6" i="9"/>
  <c r="D6" i="9"/>
  <c r="E6" i="9" s="1"/>
  <c r="I5" i="9"/>
  <c r="H5" i="9"/>
  <c r="G5" i="9"/>
  <c r="F5" i="9"/>
  <c r="D5" i="9"/>
  <c r="E5" i="9" s="1"/>
  <c r="I4" i="9"/>
  <c r="H4" i="9"/>
  <c r="G4" i="9"/>
  <c r="F4" i="9"/>
  <c r="D4" i="9"/>
  <c r="E4" i="9" s="1"/>
  <c r="I3" i="9"/>
  <c r="H3" i="9"/>
  <c r="G3" i="9"/>
  <c r="F3" i="9"/>
  <c r="D3" i="9"/>
  <c r="E3" i="9" s="1"/>
  <c r="I2" i="9"/>
  <c r="H2" i="9"/>
  <c r="G2" i="9"/>
  <c r="F2" i="9"/>
  <c r="D2" i="9"/>
  <c r="E2" i="9" s="1"/>
  <c r="P906" i="1"/>
  <c r="Q906" i="1"/>
  <c r="P907" i="1"/>
  <c r="Q907" i="1"/>
  <c r="P908" i="1"/>
  <c r="Q908" i="1"/>
  <c r="P909" i="1"/>
  <c r="Q909" i="1"/>
  <c r="P910" i="1"/>
  <c r="Q910" i="1"/>
  <c r="P898" i="1" l="1"/>
  <c r="Q898" i="1"/>
  <c r="P899" i="1"/>
  <c r="Q899" i="1"/>
  <c r="P900" i="1"/>
  <c r="Q900" i="1"/>
  <c r="P901" i="1"/>
  <c r="Q901" i="1"/>
  <c r="P902" i="1"/>
  <c r="Q902" i="1"/>
  <c r="P903" i="1"/>
  <c r="Q903" i="1"/>
  <c r="P904" i="1"/>
  <c r="Q904" i="1"/>
  <c r="P905" i="1"/>
  <c r="Q905" i="1"/>
  <c r="P891" i="1" l="1"/>
  <c r="Q891" i="1"/>
  <c r="P892" i="1"/>
  <c r="Q892" i="1"/>
  <c r="P893" i="1"/>
  <c r="Q893" i="1"/>
  <c r="P894" i="1"/>
  <c r="Q894" i="1"/>
  <c r="P895" i="1"/>
  <c r="Q895" i="1"/>
  <c r="P896" i="1"/>
  <c r="Q896" i="1"/>
  <c r="P897" i="1"/>
  <c r="Q897" i="1"/>
  <c r="P890" i="1" l="1"/>
  <c r="Q890" i="1"/>
  <c r="P888" i="1" l="1"/>
  <c r="Q888" i="1"/>
  <c r="P889" i="1"/>
  <c r="Q889" i="1"/>
  <c r="P881" i="1" l="1"/>
  <c r="Q881" i="1"/>
  <c r="P882" i="1"/>
  <c r="Q882" i="1"/>
  <c r="P883" i="1"/>
  <c r="Q883" i="1"/>
  <c r="P884" i="1"/>
  <c r="Q884" i="1"/>
  <c r="P885" i="1"/>
  <c r="Q885" i="1"/>
  <c r="P886" i="1"/>
  <c r="Q886" i="1"/>
  <c r="P887" i="1"/>
  <c r="Q887" i="1"/>
  <c r="P872" i="1" l="1"/>
  <c r="Q872" i="1"/>
  <c r="P874" i="1" l="1"/>
  <c r="Q874" i="1"/>
  <c r="P875" i="1"/>
  <c r="Q875" i="1"/>
  <c r="P876" i="1"/>
  <c r="Q876" i="1"/>
  <c r="P877" i="1"/>
  <c r="Q877" i="1"/>
  <c r="P878" i="1"/>
  <c r="Q878" i="1"/>
  <c r="P879" i="1"/>
  <c r="Q879" i="1"/>
  <c r="P880" i="1"/>
  <c r="Q880" i="1"/>
  <c r="P873" i="1" l="1"/>
  <c r="Q873" i="1"/>
  <c r="P867" i="1" l="1"/>
  <c r="Q867" i="1"/>
  <c r="P868" i="1"/>
  <c r="Q868" i="1"/>
  <c r="P869" i="1"/>
  <c r="Q869" i="1"/>
  <c r="P870" i="1"/>
  <c r="Q870" i="1"/>
  <c r="P871" i="1"/>
  <c r="Q871" i="1"/>
  <c r="P861" i="1" l="1"/>
  <c r="Q861" i="1"/>
  <c r="P862" i="1"/>
  <c r="Q862" i="1"/>
  <c r="P863" i="1"/>
  <c r="Q863" i="1"/>
  <c r="P864" i="1"/>
  <c r="Q864" i="1"/>
  <c r="P865" i="1"/>
  <c r="Q865" i="1"/>
  <c r="P866" i="1"/>
  <c r="Q866" i="1"/>
  <c r="Q860" i="1" l="1"/>
  <c r="P860" i="1"/>
  <c r="P849" i="1" l="1"/>
  <c r="Q849" i="1"/>
  <c r="P850" i="1"/>
  <c r="Q850" i="1"/>
  <c r="P851" i="1"/>
  <c r="Q851" i="1"/>
  <c r="P852" i="1"/>
  <c r="Q852" i="1"/>
  <c r="P853" i="1"/>
  <c r="Q853" i="1"/>
  <c r="P854" i="1"/>
  <c r="Q854" i="1"/>
  <c r="P855" i="1"/>
  <c r="Q855" i="1"/>
  <c r="P856" i="1"/>
  <c r="Q856" i="1"/>
  <c r="P857" i="1"/>
  <c r="Q857" i="1"/>
  <c r="P858" i="1"/>
  <c r="Q858" i="1"/>
  <c r="P859" i="1"/>
  <c r="Q859" i="1"/>
  <c r="P848" i="1" l="1"/>
  <c r="Q848" i="1"/>
  <c r="P838" i="1" l="1"/>
  <c r="Q838" i="1"/>
  <c r="P839" i="1"/>
  <c r="Q839" i="1"/>
  <c r="P840" i="1"/>
  <c r="Q840" i="1"/>
  <c r="P841" i="1"/>
  <c r="Q841" i="1"/>
  <c r="P842" i="1"/>
  <c r="Q842" i="1"/>
  <c r="P843" i="1"/>
  <c r="Q843" i="1"/>
  <c r="P844" i="1"/>
  <c r="Q844" i="1"/>
  <c r="P845" i="1"/>
  <c r="Q845" i="1"/>
  <c r="P846" i="1"/>
  <c r="Q846" i="1"/>
  <c r="P847" i="1"/>
  <c r="Q847" i="1"/>
  <c r="P830" i="1" l="1"/>
  <c r="Q830" i="1"/>
  <c r="P831" i="1"/>
  <c r="Q831" i="1"/>
  <c r="P832" i="1"/>
  <c r="Q832" i="1"/>
  <c r="P833" i="1"/>
  <c r="Q833" i="1"/>
  <c r="P834" i="1"/>
  <c r="Q834" i="1"/>
  <c r="P835" i="1"/>
  <c r="Q835" i="1"/>
  <c r="P836" i="1"/>
  <c r="Q836" i="1"/>
  <c r="P837" i="1"/>
  <c r="Q837" i="1"/>
  <c r="P827" i="1" l="1"/>
  <c r="Q827" i="1"/>
  <c r="P828" i="1"/>
  <c r="Q828" i="1"/>
  <c r="P829" i="1"/>
  <c r="Q829" i="1"/>
  <c r="P785" i="1" l="1"/>
  <c r="Q785" i="1"/>
  <c r="P786" i="1"/>
  <c r="Q786" i="1"/>
  <c r="P787" i="1"/>
  <c r="Q787" i="1"/>
  <c r="P788" i="1"/>
  <c r="Q788" i="1"/>
  <c r="P789" i="1"/>
  <c r="Q789" i="1"/>
  <c r="P790" i="1"/>
  <c r="Q790" i="1"/>
  <c r="P791" i="1"/>
  <c r="Q791" i="1"/>
  <c r="P792" i="1"/>
  <c r="Q792" i="1"/>
  <c r="P793" i="1"/>
  <c r="Q793" i="1"/>
  <c r="P794" i="1"/>
  <c r="Q794" i="1"/>
  <c r="P826" i="1" l="1"/>
  <c r="Q826" i="1"/>
  <c r="P817" i="1" l="1"/>
  <c r="Q817" i="1"/>
  <c r="P818" i="1"/>
  <c r="Q818" i="1"/>
  <c r="P819" i="1"/>
  <c r="Q819" i="1"/>
  <c r="P820" i="1"/>
  <c r="Q820" i="1"/>
  <c r="P821" i="1"/>
  <c r="Q821" i="1"/>
  <c r="P822" i="1"/>
  <c r="Q822" i="1"/>
  <c r="P823" i="1"/>
  <c r="Q823" i="1"/>
  <c r="P824" i="1"/>
  <c r="Q824" i="1"/>
  <c r="P825" i="1"/>
  <c r="Q825" i="1"/>
  <c r="P816" i="1" l="1"/>
  <c r="Q816" i="1"/>
  <c r="P808" i="1" l="1"/>
  <c r="Q808" i="1"/>
  <c r="P810" i="1"/>
  <c r="Q810" i="1"/>
  <c r="P811" i="1"/>
  <c r="Q811" i="1"/>
  <c r="P815" i="1"/>
  <c r="Q815" i="1"/>
  <c r="P809" i="1"/>
  <c r="Q809" i="1"/>
  <c r="P813" i="1"/>
  <c r="Q813" i="1"/>
  <c r="P812" i="1"/>
  <c r="Q812" i="1"/>
  <c r="P814" i="1"/>
  <c r="Q814" i="1"/>
  <c r="P807" i="1"/>
  <c r="Q807" i="1"/>
  <c r="P802" i="1"/>
  <c r="Q802" i="1"/>
  <c r="P801" i="1"/>
  <c r="Q801" i="1"/>
  <c r="P795" i="1"/>
  <c r="Q795" i="1"/>
  <c r="P804" i="1"/>
  <c r="Q804" i="1"/>
  <c r="P796" i="1"/>
  <c r="Q796" i="1"/>
  <c r="P800" i="1"/>
  <c r="Q800" i="1"/>
  <c r="P797" i="1"/>
  <c r="Q797" i="1"/>
  <c r="P803" i="1"/>
  <c r="Q803" i="1"/>
  <c r="P805" i="1"/>
  <c r="Q805" i="1"/>
  <c r="P806" i="1"/>
  <c r="Q806" i="1"/>
  <c r="P799" i="1"/>
  <c r="Q799" i="1"/>
  <c r="P798" i="1"/>
  <c r="Q798" i="1"/>
  <c r="P783" i="1" l="1"/>
  <c r="Q783" i="1"/>
  <c r="P781" i="1"/>
  <c r="Q781" i="1"/>
  <c r="P784" i="1"/>
  <c r="Q784" i="1"/>
  <c r="P782" i="1"/>
  <c r="Q782" i="1"/>
  <c r="P780" i="1"/>
  <c r="Q780" i="1"/>
</calcChain>
</file>

<file path=xl/sharedStrings.xml><?xml version="1.0" encoding="utf-8"?>
<sst xmlns="http://schemas.openxmlformats.org/spreadsheetml/2006/main" count="2981" uniqueCount="508">
  <si>
    <t>Date</t>
  </si>
  <si>
    <t>About</t>
  </si>
  <si>
    <t>by</t>
  </si>
  <si>
    <t>description</t>
  </si>
  <si>
    <t>raw_data</t>
  </si>
  <si>
    <t>optimal_cadence</t>
  </si>
  <si>
    <t>optimal_power</t>
  </si>
  <si>
    <t>max_cadence</t>
  </si>
  <si>
    <t>max_power</t>
  </si>
  <si>
    <t>max_torque</t>
  </si>
  <si>
    <t>r_squared</t>
  </si>
  <si>
    <t>_cadence_data</t>
  </si>
  <si>
    <t>_power_data</t>
  </si>
  <si>
    <t>_torque_data</t>
  </si>
  <si>
    <t>_power_model_data</t>
  </si>
  <si>
    <t>_torque_model_data</t>
  </si>
  <si>
    <t>_data_info</t>
  </si>
  <si>
    <t>Patrick Clancy</t>
  </si>
  <si>
    <t>HPSNZ Goldmine</t>
  </si>
  <si>
    <t>PowerBike-28443-1616444252.dat</t>
  </si>
  <si>
    <t>76,97,113,126,137,146,154,161,167,173,178,183,188,192</t>
  </si>
  <si>
    <t>179,147,133,120,109,101,93,86,81,78,73,69,66,64</t>
  </si>
  <si>
    <t>170,150,135,122,112,103,96,89,83,77,72,67,63,59</t>
  </si>
  <si>
    <t>0,CSV</t>
  </si>
  <si>
    <t>PowerBike-28443-1616444408.dat</t>
  </si>
  <si>
    <t>77,98,114,127,138,147,155,162,169,175,180,185,190,194</t>
  </si>
  <si>
    <t>183,147,131,128,110,105,95,92,83,82,73,73,67,67</t>
  </si>
  <si>
    <t>172,152,138,125,115,106,99,92,86,80,75,70,66,62</t>
  </si>
  <si>
    <t>PowerBike-28443-1616444581.dat</t>
  </si>
  <si>
    <t>78,99,114,127,138,147,155,163,169,175,181,186,190,195</t>
  </si>
  <si>
    <t>183,150,134,126,110,105,94,92,84,82,76,74,68,66</t>
  </si>
  <si>
    <t>173,153,138,126,116,107,99,92,86,80,75,70,66,62</t>
  </si>
  <si>
    <t>PowerBike-28443-1616444772.dat</t>
  </si>
  <si>
    <t>77,98,114,127,138,148,156,163,170,176,181,186,191,195</t>
  </si>
  <si>
    <t>181,151,133,129,113,107,95,90,84,79,76,73,71,69</t>
  </si>
  <si>
    <t>173,153,138,126,116,107,99,93,87,81,76,71,67,63</t>
  </si>
  <si>
    <t>Reuben Webster</t>
  </si>
  <si>
    <t>PowerBike-28443-1616444895.dat</t>
  </si>
  <si>
    <t>74,93,108,120,130,139,147,153,159,165,170,175,179,183</t>
  </si>
  <si>
    <t>156,130,119,106,100,91,85,79,76,67,67,59,62,51</t>
  </si>
  <si>
    <t>150,133,120,109,100,92,86,79,74,69,65,60,57,53</t>
  </si>
  <si>
    <t>PowerBike-28443-1616445090.dat</t>
  </si>
  <si>
    <t>76,95,109,122,132,141,148,155,162,167,172,177,181,185</t>
  </si>
  <si>
    <t>164,132,120,109,104,95,87,83,78,71,69,61,63,55</t>
  </si>
  <si>
    <t>154,137,124,113,104,96,89,82,77,72,67,63,59,55</t>
  </si>
  <si>
    <t>PowerBike-28443-1616445314.dat</t>
  </si>
  <si>
    <t>76,95,110,122,132,141,149,156,162,168,173,178,182,186</t>
  </si>
  <si>
    <t>163,132,120,108,106,95,88,84,79,72,71,63,63,57</t>
  </si>
  <si>
    <t>154,137,124,113,104,96,90,83,78,73,68,64,60,57</t>
  </si>
  <si>
    <t>PowerBike-28443-1616445470.dat</t>
  </si>
  <si>
    <t>75,95,110,122,132,141,149,156,163,169,174,178,183,187</t>
  </si>
  <si>
    <t>164,132,125,109,105,96,91,84,81,73,71,62,63,55</t>
  </si>
  <si>
    <t>156,139,125,114,105,97,90,84,78,73,68,64,60,57</t>
  </si>
  <si>
    <t>Bradly Knipe</t>
  </si>
  <si>
    <t>PowerBike-28443-1616445635.dat</t>
  </si>
  <si>
    <t>193,158,141,130,116,106,94,91,79,79,68,73,60,61,53</t>
  </si>
  <si>
    <t>186,162,144,129,117,107,98,90,83,77,71,66,61,57,53</t>
  </si>
  <si>
    <t>PowerBike-28443-1616445823.dat</t>
  </si>
  <si>
    <t>72,96,113,127,138,148,156,164,170,176,181,186,190,194,198</t>
  </si>
  <si>
    <t>176,159,141,128,120,105,98,97,79,82,68,69,61,65,47</t>
  </si>
  <si>
    <t>181,158,141,127,116,106,98,90,83,78,72,68,64,59,56</t>
  </si>
  <si>
    <t>PowerBike-28443-1616446009.dat</t>
  </si>
  <si>
    <t>192,159,141,131,119,108,99,89,83,81,73,75,63,62</t>
  </si>
  <si>
    <t>186,162,145,131,119,109,100,92,86,80,74,69,64,60</t>
  </si>
  <si>
    <t>PowerBike-28443-1616446226.dat</t>
  </si>
  <si>
    <t>189,155,136,132,119,107,98,89,86,79,71,72,68,59</t>
  </si>
  <si>
    <t>182,159,143,129,117,107,99,92,85,79,74,69,64,60</t>
  </si>
  <si>
    <t>Jordan Castle</t>
  </si>
  <si>
    <t>PowerBike-28443-1616446332.dat</t>
  </si>
  <si>
    <t>193,151,134,124,109,98,84,78,70,68,58,59,49,46</t>
  </si>
  <si>
    <t>186,158,138,121,108,97,87,79,72,65,60,54,50,45</t>
  </si>
  <si>
    <t>PowerBike-28443-1616446488.dat</t>
  </si>
  <si>
    <t>200,153,141,129,112,96,86,81,67,68,64,57,54,51,44</t>
  </si>
  <si>
    <t>191,162,142,125,111,99,90,81,74,68,62,56,52,47,43</t>
  </si>
  <si>
    <t>PowerBike-28443-1616446624.dat</t>
  </si>
  <si>
    <t>194,160,144,129,114,100,94,81,74,72,66,61,54,53</t>
  </si>
  <si>
    <t>191,164,143,127,113,102,93,84,77,71,65,59,55,50</t>
  </si>
  <si>
    <t>PowerBike-28443-1616446750.dat</t>
  </si>
  <si>
    <t>194,157,140,133,115,106,92,86,79,74,62,63,53,57,51</t>
  </si>
  <si>
    <t>189,163,144,128,115,103,94,86,79,72,67,61,57,53,49</t>
  </si>
  <si>
    <t>PowerBike-28443-1616446882.dat</t>
  </si>
  <si>
    <t>201,161,148,132,117,104,92,87,76,72,64,62,58,55</t>
  </si>
  <si>
    <t>196,167,147,130,116,105,95,86,79,72,67,61,56,51</t>
  </si>
  <si>
    <t>Olivia King</t>
  </si>
  <si>
    <t>PowerBike-28443-1616447135.dat</t>
  </si>
  <si>
    <t>73,90,104,116,126,133,140,146,151,156,160,165,168,172</t>
  </si>
  <si>
    <t>133,117,111,100,91,77,74,64,63,52,59,50,50,47</t>
  </si>
  <si>
    <t>136,119,107,96,87,80,74,68,63,59,55,51,48,45</t>
  </si>
  <si>
    <t>Hamish Coltman</t>
  </si>
  <si>
    <t>PowerBike-28443-1616447225.dat</t>
  </si>
  <si>
    <t>74,92,106,117,127,135,143,150,156,161,166,171,175,179</t>
  </si>
  <si>
    <t>147,119,111,99,97,86,84,77,73,66,64,59,58,53</t>
  </si>
  <si>
    <t>139,124,113,104,95,89,82,77,72,67,63,59,56,53</t>
  </si>
  <si>
    <t>PowerBike-28443-1616447294.dat</t>
  </si>
  <si>
    <t>72,90,104,116,126,134,141,147,153,157,162,166,169,173</t>
  </si>
  <si>
    <t>138,115,111,100,93,83,74,66,65,54,53,49,49,44</t>
  </si>
  <si>
    <t>139,121,108,97,88,80,74,68,63,59,55,51,48,44</t>
  </si>
  <si>
    <t>PowerBike-28443-1616447424.dat</t>
  </si>
  <si>
    <t>75,93,107,119,129,138,146,153,159,164,169,174,178,182</t>
  </si>
  <si>
    <t>153,123,115,105,104,92,88,77,74,67,66,60,58,54</t>
  </si>
  <si>
    <t>146,130,118,108,99,91,85,79,74,69,65,61,57,54</t>
  </si>
  <si>
    <t>PowerBike-28443-1616447587.dat</t>
  </si>
  <si>
    <t>76,94,108,120,130,139,146,153,159,165,170,175,179,183,186</t>
  </si>
  <si>
    <t>159,124,120,102,103,91,88,79,74,69,68,61,61,54,55</t>
  </si>
  <si>
    <t>148,132,120,110,101,93,86,80,75,70,66,62,58,55,51</t>
  </si>
  <si>
    <t>PowerBike-28443-1616447648.dat</t>
  </si>
  <si>
    <t>72,90,104,116,125,134,141,147,153,158,162,166,170,174</t>
  </si>
  <si>
    <t>134,115,109,100,94,83,77,71,63,58,56,53,50,51</t>
  </si>
  <si>
    <t>135,119,107,98,89,82,76,71,66,62,58,54,51,48</t>
  </si>
  <si>
    <t>PowerBike-28443-1616447804.dat</t>
  </si>
  <si>
    <t>75,94,109,121,131,140,147,154,160,165,170,175,179,183</t>
  </si>
  <si>
    <t>161,127,120,106,105,90,88,80,74,66,66,62,60,52</t>
  </si>
  <si>
    <t>152,135,121,111,101,93,86,80,74,69,65,61,57,53</t>
  </si>
  <si>
    <t>Emma Cumming</t>
  </si>
  <si>
    <t>PowerBike-28443-1616448530.dat</t>
  </si>
  <si>
    <t>73,89,103,114,123,131,138,144,150,155,159,164,167,171</t>
  </si>
  <si>
    <t>122,112,104,97,88,81,73,69,64,61,53,53,47,49</t>
  </si>
  <si>
    <t>126,113,102,93,86,79,74,69,64,60,56,53,50,47</t>
  </si>
  <si>
    <t>PowerBike-28443-1616448801.dat</t>
  </si>
  <si>
    <t>72,88,102,113,122,131,138,144,149,154,159,163,167,170</t>
  </si>
  <si>
    <t>120,109,103,94,90,81,73,70,61,61,52,52,45,47</t>
  </si>
  <si>
    <t>125,111,101,92,85,78,73,68,63,59,56,52,49,47</t>
  </si>
  <si>
    <t>PowerBike-28443-1616449107.dat</t>
  </si>
  <si>
    <t>73,89,103,113,123,130,137,143,149,154,158,163,166,170</t>
  </si>
  <si>
    <t>131,113,98,92,83,78,74,66,65,57,57,51,50,45</t>
  </si>
  <si>
    <t>127,113,102,93,85,79,73,67,63,59,55,51,48,45</t>
  </si>
  <si>
    <t>PowerBike-28443-1616449534.dat</t>
  </si>
  <si>
    <t>71,88,101,112,121,129,136,142,148,153,157,161,165,169</t>
  </si>
  <si>
    <t>119,108,101,91,87,77,72,65,62,59,55,49,48,50</t>
  </si>
  <si>
    <t>121,109,99,90,83,77,71,67,63,59,55,52,49,46</t>
  </si>
  <si>
    <t>Shaane Fulton</t>
  </si>
  <si>
    <t>PowerBike-28443-1616458266.dat</t>
  </si>
  <si>
    <t>74,93,108,120,131,140,148,155,161,166,171,175,179,182</t>
  </si>
  <si>
    <t>160,128,122,108,104,95,88,79,73,67,61,55,54,48</t>
  </si>
  <si>
    <t>156,137,122,111,100,92,84,78,72,66,62,58,54,51</t>
  </si>
  <si>
    <t>Olivia Podmore</t>
  </si>
  <si>
    <t>PowerBike-28443-1616458409.dat</t>
  </si>
  <si>
    <t>75,94,108,120,130,138,145,151,156,161,165,169,172,175</t>
  </si>
  <si>
    <t>159,123,116,103,97,83,78,68,65,55,54,45,46,41</t>
  </si>
  <si>
    <t>154,132,117,103,92,83,75,68,62,57,52,49,45,41</t>
  </si>
  <si>
    <t>PowerBike-28443-1616458483.dat</t>
  </si>
  <si>
    <t>75,94,109,121,132,141,148,155,161,166,171,175,179,183</t>
  </si>
  <si>
    <t>163,127,123,110,104,96,87,78,73,67,61,56,55,51</t>
  </si>
  <si>
    <t>157,138,124,112,101,92,85,78,72,67,62,58,55,51</t>
  </si>
  <si>
    <t>PowerBike-28443-1616458586.dat</t>
  </si>
  <si>
    <t>75,95,109,121,131,139,147,153,158,163,167,171,175,178</t>
  </si>
  <si>
    <t>164,130,121,106,99,86,80,72,69,58,56,50,49,42</t>
  </si>
  <si>
    <t>159,137,121,107,96,87,79,72,66,60,56,51,47,43</t>
  </si>
  <si>
    <t>PowerBike-28443-1616458682.dat</t>
  </si>
  <si>
    <t>75,95,109,121,132,141,148,155,161,167,172,176,180,184</t>
  </si>
  <si>
    <t>165,128,123,109,103,95,89,81,75,70,64,58,55,49</t>
  </si>
  <si>
    <t>157,138,124,112,102,94,86,79,73,68,63,59,55,52</t>
  </si>
  <si>
    <t>PowerBike-28443-1616458777.dat</t>
  </si>
  <si>
    <t>76,96,110,123,132,141,148,155,160,165,170,174,177,181</t>
  </si>
  <si>
    <t>165,131,127,109,101,89,83,74,69,61,59,53,52,44</t>
  </si>
  <si>
    <t>161,140,123,110,99,90,82,75,68,63,58,54,49,46</t>
  </si>
  <si>
    <t>PowerBike-28443-1616458858.dat</t>
  </si>
  <si>
    <t>76,95,110,122,132,141,149,156,162,167,172,176,180,183</t>
  </si>
  <si>
    <t>168,128,123,112,104,97,88,79,74,67,59,60,52,52</t>
  </si>
  <si>
    <t>159,140,125,113,102,93,85,79,73,67,63,58,54,51</t>
  </si>
  <si>
    <t>PowerBike-28443-1616458962.dat</t>
  </si>
  <si>
    <t>76,95,110,122,132,141,148,154,160,165,169,173,176,180</t>
  </si>
  <si>
    <t>161,132,127,109,101,87,84,71,69,59,59,49,49,43</t>
  </si>
  <si>
    <t>161,139,122,109,98,88,80,73,67,61,57,52,48,45</t>
  </si>
  <si>
    <t>PowerBike-28443-1616615871.dat</t>
  </si>
  <si>
    <t>75,94,109,121,131,140,147,154,159,165,170,174,178,182</t>
  </si>
  <si>
    <t>156,130,120,106,102,90,85,77,75,65,65,59,58,49</t>
  </si>
  <si>
    <t>152,134,120,109,100,91,84,78,73,67,63,59,55,52</t>
  </si>
  <si>
    <t>PowerBike-28443-1616616115.dat</t>
  </si>
  <si>
    <t>76,95,109,122,132,141,148,155,161,167,172,176,181,185</t>
  </si>
  <si>
    <t>160,130,121,107,103,94,87,81,77,70,68,63,62,53</t>
  </si>
  <si>
    <t>153,135,122,112,103,94,88,81,76,71,66,62,58,55</t>
  </si>
  <si>
    <t>PowerBike-28443-1616616309.dat</t>
  </si>
  <si>
    <t>75,95,109,122,132,141,148,155,161,167,172,176,181,185</t>
  </si>
  <si>
    <t>160,131,121,109,105,93,88,82,77,70,65,61,63,54</t>
  </si>
  <si>
    <t>154,136,123,112,103,95,88,81,76,71,66,62,59,55</t>
  </si>
  <si>
    <t>PowerBike-28443-1616616509.dat</t>
  </si>
  <si>
    <t>75,95,109,122,132,142,149,157,162,168,173,178,182,186</t>
  </si>
  <si>
    <t>160,132,121,111,108,99,91,81,77,70,68,60,60,59</t>
  </si>
  <si>
    <t>155,138,125,113,104,96,89,82,77,72,68,64,60,56</t>
  </si>
  <si>
    <t>PowerBike-28443-1616616709.dat</t>
  </si>
  <si>
    <t>76,96,110,123,133,142,150,157,163,169,174,178,182,186</t>
  </si>
  <si>
    <t>165,133,123,114,107,93,89,85,81,70,67,61,63,53</t>
  </si>
  <si>
    <t>158,140,126,114,105,96,89,83,77,72,67,63,59,55</t>
  </si>
  <si>
    <t>PowerBike-28443-1616616786.dat</t>
  </si>
  <si>
    <t>74,92,106,117,128,136,144,150,156,162,167,171,175,179</t>
  </si>
  <si>
    <t>146,123,111,100,98,88,83,75,73,65,64,58,58,51</t>
  </si>
  <si>
    <t>141,126,114,104,96,88,82,76,71,67,62,59,55,52</t>
  </si>
  <si>
    <t>PowerBike-28443-1616616931.dat</t>
  </si>
  <si>
    <t>75,95,109,122,132,141,149,156,162,168,172,177,181,186</t>
  </si>
  <si>
    <t>164,131,122,111,106,95,92,80,78,66,66,61,66,52</t>
  </si>
  <si>
    <t>156,138,125,113,104,95,88,82,76,71,67,62,58,54</t>
  </si>
  <si>
    <t>PowerBike-28443-1616617152.dat</t>
  </si>
  <si>
    <t>74,93,107,119,129,138,145,152,158,163,168,172,177,180</t>
  </si>
  <si>
    <t>151,124,115,103,101,92,85,74,72,66,65,59,59,50</t>
  </si>
  <si>
    <t>146,129,117,107,98,90,83,77,72,67,63,59,55,52</t>
  </si>
  <si>
    <t>PowerBike-28443-1616617361.dat</t>
  </si>
  <si>
    <t>74,93,107,118,128,137,145,151,158,163,168,172,177,181</t>
  </si>
  <si>
    <t>152,122,113,101,98,91,88,76,76,65,65,58,60,51</t>
  </si>
  <si>
    <t>144,128,116,106,98,90,84,78,73,68,64,60,56,53</t>
  </si>
  <si>
    <t>PowerBike-28443-1616617552.dat</t>
  </si>
  <si>
    <t>75,93,108,119,130,138,146,152,158,164,169,173,177,181</t>
  </si>
  <si>
    <t>154,125,117,103,104,89,85,76,74,66,63,58,57,47</t>
  </si>
  <si>
    <t>149,132,118,108,98,90,83,77,71,66,62,58,54,51</t>
  </si>
  <si>
    <t>PowerBike-28443-1616620681.dat</t>
  </si>
  <si>
    <t>76,97,112,126,136,146,154,161,167,173,178,183,187,192</t>
  </si>
  <si>
    <t>171,149,133,124,111,103,92,88,80,78,70,68,65,64</t>
  </si>
  <si>
    <t>169,149,134,122,112,103,95,88,83,77,72,68,64,59</t>
  </si>
  <si>
    <t>PowerBike-28443-1616620768.dat</t>
  </si>
  <si>
    <t>72,90,104,116,126,134,141,147,153,158,162,166,170,174</t>
  </si>
  <si>
    <t>136,115,112,99,94,84,75,70,63,59,56,55,52,49</t>
  </si>
  <si>
    <t>136,120,108,98,90,82,76,71,66,62,58,54,51,47</t>
  </si>
  <si>
    <t>PowerBike-28443-1616620906.dat</t>
  </si>
  <si>
    <t>77,97,113,127,137,147,154,162,168,174,179,184,189,193</t>
  </si>
  <si>
    <t>175,150,133,127,110,103,93,90,81,79,73,72,65,65</t>
  </si>
  <si>
    <t>170,151,136,123,113,105,97,90,84,79,74,69,65,61</t>
  </si>
  <si>
    <t>PowerBike-28443-1616620995.dat</t>
  </si>
  <si>
    <t>71,90,104,115,125,133,140,147,152,157,162,166,170,174</t>
  </si>
  <si>
    <t>138,115,107,96,97,79,78,70,65,61,55,52,51,46</t>
  </si>
  <si>
    <t>136,120,108,98,89,82,76,70,65,61,57,53,50,47</t>
  </si>
  <si>
    <t>PowerBike-28443-1616621106.dat</t>
  </si>
  <si>
    <t>77,98,114,127,138,147,155,162,169,175,180,185,189,193,197</t>
  </si>
  <si>
    <t>176,150,134,130,111,106,93,95,81,82,70,77,61,67,55</t>
  </si>
  <si>
    <t>172,152,137,125,114,105,98,91,85,79,74,69,65,61,57</t>
  </si>
  <si>
    <t>PowerBike-28443-1616621181.dat</t>
  </si>
  <si>
    <t>72,90,104,115,125,133,140,147,152,157,162,166,170,173</t>
  </si>
  <si>
    <t>138,108,115,96,93,80,78,67,66,61,55,54,49,50</t>
  </si>
  <si>
    <t>135,119,107,97,89,82,76,70,65,61,57,54,50,47</t>
  </si>
  <si>
    <t>PowerBike-28443-1616621355.dat</t>
  </si>
  <si>
    <t>77,98,114,127,138,148,155,163,169,175,180,185,189,194</t>
  </si>
  <si>
    <t>178,152,135,129,112,104,94,88,82,80,71,68,66,69</t>
  </si>
  <si>
    <t>174,153,138,125,114,105,97,90,84,79,74,69,65,60</t>
  </si>
  <si>
    <t>PowerBike-28443-1616630118.dat</t>
  </si>
  <si>
    <t>196,160,147,134,114,116,94,94,79,80,69,72,65,58</t>
  </si>
  <si>
    <t>191,166,147,132,119,109,100,92,85,78,73,67,62,58</t>
  </si>
  <si>
    <t>PowerBike-28443-1616630328.dat</t>
  </si>
  <si>
    <t>190,160,145,133,122,108,107,91,82,84,71,67,68,63</t>
  </si>
  <si>
    <t>188,164,146,132,120,110,101,93,87,80,75,70,65,61</t>
  </si>
  <si>
    <t>PowerBike-28443-1616630535.dat</t>
  </si>
  <si>
    <t>202,158,147,136,119,112,105,93,85,82,77,69,65</t>
  </si>
  <si>
    <t>193,168,150,135,122,112,102,94,87,81,75,69,65</t>
  </si>
  <si>
    <t>PowerBike-28443-1616630618.dat</t>
  </si>
  <si>
    <t>75,94,108,120,130,139,146,153,159,164,169,173,176,180</t>
  </si>
  <si>
    <t>158,127,119,105,100,92,83,77,70,65,58,55,49,45</t>
  </si>
  <si>
    <t>154,134,120,108,98,89,81,75,69,64,59,55,51,48</t>
  </si>
  <si>
    <t>PowerBike-28443-1616630695.dat</t>
  </si>
  <si>
    <t>75,95,110,122,132,140,148,154,160,164,169,173,176,180</t>
  </si>
  <si>
    <t>158,136,126,107,100,89,83,72,70,57,58,51,51,46</t>
  </si>
  <si>
    <t>160,138,122,109,98,89,81,74,68,62,58,53,49,46</t>
  </si>
  <si>
    <t>PowerBike-28443-1616630792.dat</t>
  </si>
  <si>
    <t>199,159,147,133,122,106,106,94,85,82,75,66,64,59</t>
  </si>
  <si>
    <t>192,167,148,134,121,111,101,93,86,79,74,68,64,59</t>
  </si>
  <si>
    <t>PowerBike-28443-1616630862.dat</t>
  </si>
  <si>
    <t>76,96,110,122,132,140,148,155,161,166,171,175,179,183</t>
  </si>
  <si>
    <t>168,128,119,109,102,91,87,76,74,67,61,60,52,51</t>
  </si>
  <si>
    <t>157,138,123,111,101,92,85,78,72,66,62,57,53,50</t>
  </si>
  <si>
    <t>PowerBike-28443-1616630937.dat</t>
  </si>
  <si>
    <t>77,97,112,124,134,142,149,155,161,166,171,175,179,182</t>
  </si>
  <si>
    <t>172,139,129,109,100,87,83,73,72,62,62,55,53,47</t>
  </si>
  <si>
    <t>166,143,126,112,101,92,83,76,70,64,59,54,50,46</t>
  </si>
  <si>
    <t>PowerBike-28443-1616631050.dat</t>
  </si>
  <si>
    <t>73,91,104,116,125,133,140,146,151,156,160,164,168,172</t>
  </si>
  <si>
    <t>128,117,108,100,89,81,69,70,62,58,54,53,48,47</t>
  </si>
  <si>
    <t>133,117,105,95,87,80,74,69,64,59,56,52,49,46</t>
  </si>
  <si>
    <t>PowerBike-28443-1616631127.dat</t>
  </si>
  <si>
    <t>76,96,110,122,132,140,148,154,160,166,170,174,178,181</t>
  </si>
  <si>
    <t>169,128,120,108,102,90,84,78,71,69,53,61,49,47</t>
  </si>
  <si>
    <t>159,138,123,111,100,91,83,76,70,64,60,55,51,47</t>
  </si>
  <si>
    <t>PowerBike-28443-1616631192.dat</t>
  </si>
  <si>
    <t>75,95,111,123,133,142,150,156,162,167,172,176,180,183</t>
  </si>
  <si>
    <t>163,137,130,111,105,94,86,76,73,63,63,54,54,46</t>
  </si>
  <si>
    <t>163,142,126,112,102,92,84,77,71,66,61,56,52,49</t>
  </si>
  <si>
    <t>PowerBike-28443-1616631290.dat</t>
  </si>
  <si>
    <t>70,87,101,113,122,131,138,144,150,155,160,164,168,171</t>
  </si>
  <si>
    <t>117,110,106,99,91,82,75,70,63,61,54,54,46,49</t>
  </si>
  <si>
    <t>125,112,102,93,86,79,74,69,65,61,57,54,51,49</t>
  </si>
  <si>
    <t>PowerBike-28443-1616631407.dat</t>
  </si>
  <si>
    <t>75,95,110,122,132,140,148,154,160,165,170,174,178,182</t>
  </si>
  <si>
    <t>165,129,122,111,101,91,83,74,73,66,62,59,51,50</t>
  </si>
  <si>
    <t>157,137,123,110,100,91,84,77,71,66,61,56,53,49</t>
  </si>
  <si>
    <t>PowerBike-28443-1616631477.dat</t>
  </si>
  <si>
    <t>76,95,109,122,132,141,148,155,161,166,171,175,179,182</t>
  </si>
  <si>
    <t>158,130,124,112,103,92,88,75,74,64,62,53,53,46</t>
  </si>
  <si>
    <t>157,138,123,110,100,91,83,77,71,66,61,57,53,50</t>
  </si>
  <si>
    <t>PowerBike-28443-1616631554.dat</t>
  </si>
  <si>
    <t>72,89,103,114,123,132,138,145,150,155,159,163,167,170</t>
  </si>
  <si>
    <t>125,112,108,95,89,80,74,67,61,57,53,48,48,49</t>
  </si>
  <si>
    <t>129,114,103,93,85,78,73,67,63,59,55,52,49,46</t>
  </si>
  <si>
    <t>PowerBike-26916-1620696616.dat</t>
  </si>
  <si>
    <t>203,154,151,134,126,108,107,96,86,85,76,66,70</t>
  </si>
  <si>
    <t>192,168,150,135,123,112,103,95,88,82,76,71,66</t>
  </si>
  <si>
    <t>PowerBike-26916-1620696407.dat</t>
  </si>
  <si>
    <t>204,161,152,136,122,112,105,99,84,81,78,73,71</t>
  </si>
  <si>
    <t>195,170,152,137,124,114,104,96,89,83,77,71,66</t>
  </si>
  <si>
    <t>PowerBike-28702-1620696317.dat</t>
  </si>
  <si>
    <t>76,96,111,123,133,141,149,156,162,168,173,177,181,185</t>
  </si>
  <si>
    <t>169,132,121,112,102,94,88,82,77,70,64,60,57,52</t>
  </si>
  <si>
    <t>159,140,126,114,104,95,87,81,75,69,64,60,56,52</t>
  </si>
  <si>
    <t>PowerBike-26916-1620696238.dat</t>
  </si>
  <si>
    <t>201,157,150,132,126,113,102,93,81,80,69,76,71</t>
  </si>
  <si>
    <t>192,167,150,134,122,111,102,94,87,81,75,70,65</t>
  </si>
  <si>
    <t>PowerBike-28702-1620696137.dat</t>
  </si>
  <si>
    <t>76,95,110,123,133,142,150,157,163,169,173,178,182,185</t>
  </si>
  <si>
    <t>168,129,128,115,108,96,88,80,78,70,63,60,53,51</t>
  </si>
  <si>
    <t>162,142,127,115,104,95,87,81,75,69,64,60,56,52</t>
  </si>
  <si>
    <t>PowerBike-27089-1620695992.dat</t>
  </si>
  <si>
    <t>203,162,151,129,120,102,92,85,82,71,70,58,62,55</t>
  </si>
  <si>
    <t>196,169,148,131,117,106,96,88,80,73,67,62,57,52</t>
  </si>
  <si>
    <t>PowerBike-27089-1620695706.dat</t>
  </si>
  <si>
    <t>202,156,150,129,117,99,98,75,86,71,72,62,65,46,47</t>
  </si>
  <si>
    <t>194,167,146,130,116,105,95,87,80,73,67,61,56,52,48</t>
  </si>
  <si>
    <t>Ellesse Andrews</t>
  </si>
  <si>
    <t>PowerBike-27658-1622511428.dat</t>
  </si>
  <si>
    <t>75,93,106,118,128,137,144,151,157,162,167,171,175,178</t>
  </si>
  <si>
    <t>146,121,111,106,99,89,84,76,73,63,61,51,53,46</t>
  </si>
  <si>
    <t>144,127,115,104,95,87,80,74,69,64,60,56,53,49</t>
  </si>
  <si>
    <t>PowerBike-27210-1622511337.dat</t>
  </si>
  <si>
    <t>76,95,111,123,133,142,149,156,162,167,172,175,179,182</t>
  </si>
  <si>
    <t>163,135,127,112,106,91,88,77,72,65,60,52,50,47</t>
  </si>
  <si>
    <t>162,141,125,112,101,92,84,77,70,65,60,56,52,48</t>
  </si>
  <si>
    <t>Samuel Dakin</t>
  </si>
  <si>
    <t>PowerBike-28000-1622511272.dat</t>
  </si>
  <si>
    <t>192,171,160,130,120,101,97,84,84,62,67,58,67,54,58</t>
  </si>
  <si>
    <t>197,169,148,131,118,106,97,88,81,75,69,64,59,54,50</t>
  </si>
  <si>
    <t>Callum Saunders</t>
  </si>
  <si>
    <t>PowerBike-26931-1622511191.dat</t>
  </si>
  <si>
    <t>197,156,143,131,120,111,101,98,80,85,78,70,68,59</t>
  </si>
  <si>
    <t>187,164,147,133,121,111,102,94,87,81,75,70,65,61</t>
  </si>
  <si>
    <t>PowerBike-27658-1622511088.dat</t>
  </si>
  <si>
    <t>73,91,104,116,126,135,142,149,155,160,165,169,173,177</t>
  </si>
  <si>
    <t>136,117,108,102,96,88,83,75,72,63,60,54,54,48</t>
  </si>
  <si>
    <t>136,122,110,101,93,86,79,74,69,65,61,57,54,51</t>
  </si>
  <si>
    <t>Sam Webster</t>
  </si>
  <si>
    <t>PowerBike-27256-1622511011.dat</t>
  </si>
  <si>
    <t>72,96,114,128,140,149,158,165,172,178,183,188,193,197</t>
  </si>
  <si>
    <t>184,165,148,136,113,112,94,96,82,84,73,76,66,69</t>
  </si>
  <si>
    <t>186,162,145,131,119,110,102,94,88,82,77,72,67,63</t>
  </si>
  <si>
    <t>PowerBike-27210-1622510944.dat</t>
  </si>
  <si>
    <t>75,95,110,122,132,141,148,154,160,165,170,173,177,180</t>
  </si>
  <si>
    <t>160,132,128,110,101,87,84,74,72,60,58,51,49,43</t>
  </si>
  <si>
    <t>161,139,123,109,98,89,81,74,68,62,57,53,49,46</t>
  </si>
  <si>
    <t>Ethan Mitchell</t>
  </si>
  <si>
    <t>PowerBike-27000-1622510839.dat</t>
  </si>
  <si>
    <t>73,99,118,133,145,155,164,172,178,184,189,194</t>
  </si>
  <si>
    <t>195,190,156,150,127,122,102,102,84,83,76,74</t>
  </si>
  <si>
    <t>207,178,157,141,128,116,107,98,91,84,79,73</t>
  </si>
  <si>
    <t>PowerBike-28000-1622510726.dat</t>
  </si>
  <si>
    <t>198,165,156,130,111,105,99,81,88,70,69,64,71,51</t>
  </si>
  <si>
    <t>195,168,147,131,118,107,98,90,82,75,70,64,59,54</t>
  </si>
  <si>
    <t>PowerBike-26931-1622510637.dat</t>
  </si>
  <si>
    <t>201,158,144,135,119,110,99,95,84,82,76,70,70</t>
  </si>
  <si>
    <t>191,166,149,134,121,111,102,94,87,81,75,70,64</t>
  </si>
  <si>
    <t>PowerBike-27658-1622510494.dat</t>
  </si>
  <si>
    <t>71,89,102,114,123,132,139,146,151,157,162,166,170,174</t>
  </si>
  <si>
    <t>127,116,101,97,91,82,79,71,68,64,60,56,54,53</t>
  </si>
  <si>
    <t>128,114,104,96,89,83,77,72,68,64,61,57,54,51</t>
  </si>
  <si>
    <t>PowerBike-27256-1622510421.dat</t>
  </si>
  <si>
    <t>187,160,147,129,121,104,97,89,86,75,73,68,65,62</t>
  </si>
  <si>
    <t>186,162,144,130,118,107,99,91,84,78,73,68,63,59</t>
  </si>
  <si>
    <t>PowerBike-27000-1622510346.dat</t>
  </si>
  <si>
    <t>205,176,155,142,128,112,102,94,84,81,70,72,61</t>
  </si>
  <si>
    <t>206,177,156,138,125,113,103,94,87,79,74,67,63</t>
  </si>
  <si>
    <t>PowerBike-28702-1632261607.dat</t>
  </si>
  <si>
    <t>75,94,109,121,131,140,148,155,161,166,171,175,179,183</t>
  </si>
  <si>
    <t>156,125,123,113,105,93,86,79,76,67,64,59,57,52</t>
  </si>
  <si>
    <t>153,135,122,110,101,93,86,79,74,69,64,60,56,53</t>
  </si>
  <si>
    <t>PowerBike-28702-1632261459.dat</t>
  </si>
  <si>
    <t>78,99,115,128,138,147,154,160,166,171,175,180,183,187</t>
  </si>
  <si>
    <t>185,149,139,118,106,95,85,79,73,65,59,59,53,47</t>
  </si>
  <si>
    <t>181,155,135,119,107,96,87,79,72,66,61,56,51,47</t>
  </si>
  <si>
    <t>PowerBike-28702-1632261207.dat</t>
  </si>
  <si>
    <t>74,94,108,120,130,139,147,153,159,165,170,174,178,182</t>
  </si>
  <si>
    <t>158,126,120,109,101,91,85,78,73,68,62,59,54,50</t>
  </si>
  <si>
    <t>153,134,121,109,100,91,84,78,72,67,62,58,54,51</t>
  </si>
  <si>
    <t>Year</t>
  </si>
  <si>
    <t>Month</t>
  </si>
  <si>
    <t>Time of Day</t>
  </si>
  <si>
    <t>Athlete</t>
  </si>
  <si>
    <t>Discipline</t>
  </si>
  <si>
    <t>Class</t>
  </si>
  <si>
    <t>PP1 (W)</t>
  </si>
  <si>
    <t>OC1 (rpm)</t>
  </si>
  <si>
    <t>PP2 (W)</t>
  </si>
  <si>
    <t>OC2 (rpm)</t>
  </si>
  <si>
    <t>PP3 (W)</t>
  </si>
  <si>
    <t>OC3 (rpm)</t>
  </si>
  <si>
    <t>PP4 (W)</t>
  </si>
  <si>
    <t>OC4 (rpm)</t>
  </si>
  <si>
    <t>Mean PP (W)</t>
  </si>
  <si>
    <t>Mean OC (rpm)</t>
  </si>
  <si>
    <t>CPP</t>
  </si>
  <si>
    <t>Weighted CPP</t>
  </si>
  <si>
    <t>BW (kg)</t>
  </si>
  <si>
    <t>SF (mm)</t>
  </si>
  <si>
    <t>PM</t>
  </si>
  <si>
    <t>NH</t>
  </si>
  <si>
    <t>Track</t>
  </si>
  <si>
    <t>AM</t>
  </si>
  <si>
    <t>SV</t>
  </si>
  <si>
    <t>EM</t>
  </si>
  <si>
    <t>SW</t>
  </si>
  <si>
    <t>ED</t>
  </si>
  <si>
    <t>MA</t>
  </si>
  <si>
    <t>KP</t>
  </si>
  <si>
    <t>BMX</t>
  </si>
  <si>
    <t>CS</t>
  </si>
  <si>
    <t>U19</t>
  </si>
  <si>
    <t>ZW</t>
  </si>
  <si>
    <t>Elite</t>
  </si>
  <si>
    <t>JC</t>
  </si>
  <si>
    <t>OP</t>
  </si>
  <si>
    <t>1:30pm</t>
  </si>
  <si>
    <t>9.00am</t>
  </si>
  <si>
    <t>12pm</t>
  </si>
  <si>
    <t>EC</t>
  </si>
  <si>
    <t>BK</t>
  </si>
  <si>
    <t>9am</t>
  </si>
  <si>
    <t>1.30pm</t>
  </si>
  <si>
    <t>1pm</t>
  </si>
  <si>
    <t>11.30am</t>
  </si>
  <si>
    <t>2.00pm</t>
  </si>
  <si>
    <t>SD</t>
  </si>
  <si>
    <t>TC</t>
  </si>
  <si>
    <t>TY</t>
  </si>
  <si>
    <t>EA</t>
  </si>
  <si>
    <t>JO</t>
  </si>
  <si>
    <t>SF</t>
  </si>
  <si>
    <t>9:30am</t>
  </si>
  <si>
    <t>1:00pm</t>
  </si>
  <si>
    <t>10:30am</t>
  </si>
  <si>
    <t>OR</t>
  </si>
  <si>
    <t>9:00am</t>
  </si>
  <si>
    <t>Row Labels</t>
  </si>
  <si>
    <t>Average of Mean PP (W)</t>
  </si>
  <si>
    <t>Average of Mean OC (rpm)</t>
  </si>
  <si>
    <t>27-May</t>
  </si>
  <si>
    <t>1-Jun</t>
  </si>
  <si>
    <t>24-Jul</t>
  </si>
  <si>
    <t>23-Sep</t>
  </si>
  <si>
    <t>5-Nov</t>
  </si>
  <si>
    <t>2020 Total</t>
  </si>
  <si>
    <t>8-Jan</t>
  </si>
  <si>
    <t>8-Feb</t>
  </si>
  <si>
    <t>2021 Total</t>
  </si>
  <si>
    <t>Name</t>
  </si>
  <si>
    <t>Weight</t>
  </si>
  <si>
    <t>Max W</t>
  </si>
  <si>
    <t>Max W.kg</t>
  </si>
  <si>
    <t>Optimal Cadence</t>
  </si>
  <si>
    <t>Time to Max Power</t>
  </si>
  <si>
    <t>Max Cadence</t>
  </si>
  <si>
    <t>Max Torque</t>
  </si>
  <si>
    <t>W</t>
  </si>
  <si>
    <t>OC</t>
  </si>
  <si>
    <t>TTP</t>
  </si>
  <si>
    <t>PRPM</t>
  </si>
  <si>
    <t>PT</t>
  </si>
  <si>
    <t>W2</t>
  </si>
  <si>
    <t>OC2</t>
  </si>
  <si>
    <t>TTP2</t>
  </si>
  <si>
    <t>PRPM2</t>
  </si>
  <si>
    <t>PT2</t>
  </si>
  <si>
    <t>W3</t>
  </si>
  <si>
    <t>OC3</t>
  </si>
  <si>
    <t>TTP3</t>
  </si>
  <si>
    <t>PRPM3</t>
  </si>
  <si>
    <t>PT3</t>
  </si>
  <si>
    <t>Sarah Walker</t>
  </si>
  <si>
    <t>Laura Smulders</t>
  </si>
  <si>
    <t>Saya Sakakibara</t>
  </si>
  <si>
    <t>Rebecca Petch</t>
  </si>
  <si>
    <t>Rico D'anvers</t>
  </si>
  <si>
    <t>Tasman Wakelin</t>
  </si>
  <si>
    <t>Mason James</t>
  </si>
  <si>
    <t>Cailen Calkin</t>
  </si>
  <si>
    <t>Jessie Smith</t>
  </si>
  <si>
    <t>Luey Cotton</t>
  </si>
  <si>
    <t>Bennett Greenough</t>
  </si>
  <si>
    <t>Max of Weight</t>
  </si>
  <si>
    <t>Max of Max W</t>
  </si>
  <si>
    <t>Max of Max W.kg</t>
  </si>
  <si>
    <t>Max of Optimal Cadence</t>
  </si>
  <si>
    <t>Min of Time to Max Power</t>
  </si>
  <si>
    <t>Max of Max Cadence</t>
  </si>
  <si>
    <t>Max of Max Torque</t>
  </si>
  <si>
    <t>2019</t>
  </si>
  <si>
    <t>11-Jan</t>
  </si>
  <si>
    <t>22-Mar</t>
  </si>
  <si>
    <t>29-Mar</t>
  </si>
  <si>
    <t>10-Apr</t>
  </si>
  <si>
    <t>13-Aug</t>
  </si>
  <si>
    <t>16-Aug</t>
  </si>
  <si>
    <t>20-Aug</t>
  </si>
  <si>
    <t>23-Aug</t>
  </si>
  <si>
    <t>4-Oct</t>
  </si>
  <si>
    <t>2020</t>
  </si>
  <si>
    <t>10-Jan</t>
  </si>
  <si>
    <t>3-Nov</t>
  </si>
  <si>
    <t>17-Nov</t>
  </si>
  <si>
    <t>23-Nov</t>
  </si>
  <si>
    <t>1-Dec</t>
  </si>
  <si>
    <t>Grand Total</t>
  </si>
  <si>
    <t>Seated</t>
  </si>
  <si>
    <t>Standing</t>
  </si>
  <si>
    <t>Max of optimal_power</t>
  </si>
  <si>
    <t>Max of optimal_cadence</t>
  </si>
  <si>
    <t>Max of max_cadence</t>
  </si>
  <si>
    <t>Max of max_torque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</si>
</sst>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;@"/>
    <numFmt numFmtId="165" formatCode="0.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1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left" indent="1"/>
    </xf>
    <xf numFmtId="3" fontId="0" fillId="0" borderId="0" xfId="0" applyNumberFormat="1"/>
    <xf numFmtId="0" fontId="0" fillId="0" borderId="1" xfId="0" applyBorder="1"/>
    <xf numFmtId="0" fontId="0" fillId="0" borderId="2" xfId="0" applyBorder="1"/>
    <xf numFmtId="166" fontId="0" fillId="0" borderId="0" xfId="0" applyNumberFormat="1"/>
    <xf numFmtId="14" fontId="0" fillId="0" borderId="0" xfId="0" applyNumberForma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23">
    <dxf>
      <numFmt numFmtId="165" formatCode="0.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right" vertical="center" textRotation="0" wrapText="0" indent="0" justifyLastLine="0" shrinkToFit="0" readingOrder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65" formatCode="0.0"/>
    </dxf>
    <dxf>
      <numFmt numFmtId="1" formatCode="0"/>
    </dxf>
    <dxf>
      <numFmt numFmtId="19" formatCode="d/mm/yyyy"/>
    </dxf>
    <dxf>
      <alignment horizontal="general" vertical="bottom" textRotation="0" wrapText="1" indent="0" justifyLastLine="0" shrinkToFit="0" readingOrder="0"/>
    </dxf>
    <dxf>
      <numFmt numFmtId="1" formatCode="0"/>
    </dxf>
    <dxf>
      <numFmt numFmtId="164" formatCode="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166" formatCode="0.00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[Inertial Ergometer Data - Track Sprint.xlsx]Track Pivot!PivotTable1</c:name>
    <c:fmtId val="2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'Track Pivot'!$B$3</c:f>
              <c:strCache>
                <c:ptCount val="1"/>
                <c:pt idx="0">
                  <c:v>Average of Mean PP (W)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'Track Pivot'!$A$4:$A$14</c:f>
              <c:multiLvlStrCache>
                <c:ptCount val="7"/>
                <c:lvl>
                  <c:pt idx="0">
                    <c:v>27-May</c:v>
                  </c:pt>
                  <c:pt idx="1">
                    <c:v>1-Jun</c:v>
                  </c:pt>
                  <c:pt idx="2">
                    <c:v>24-Jul</c:v>
                  </c:pt>
                  <c:pt idx="3">
                    <c:v>23-Sep</c:v>
                  </c:pt>
                  <c:pt idx="4">
                    <c:v>5-Nov</c:v>
                  </c:pt>
                  <c:pt idx="5">
                    <c:v>8-Jan</c:v>
                  </c:pt>
                  <c:pt idx="6">
                    <c:v>8-Feb</c:v>
                  </c:pt>
                </c:lvl>
                <c:lvl>
                  <c:pt idx="0">
                    <c:v>2020</c:v>
                  </c:pt>
                  <c:pt idx="5">
                    <c:v>2021</c:v>
                  </c:pt>
                </c:lvl>
              </c:multiLvlStrCache>
            </c:multiLvlStrRef>
          </c:cat>
          <c:val>
            <c:numRef>
              <c:f>'Track Pivot'!$B$4:$B$14</c:f>
              <c:numCache>
                <c:formatCode>0</c:formatCode>
                <c:ptCount val="7"/>
                <c:pt idx="0">
                  <c:v>1369</c:v>
                </c:pt>
                <c:pt idx="1">
                  <c:v>1334</c:v>
                </c:pt>
                <c:pt idx="2">
                  <c:v>1414.5</c:v>
                </c:pt>
                <c:pt idx="3">
                  <c:v>1402</c:v>
                </c:pt>
                <c:pt idx="4">
                  <c:v>1390</c:v>
                </c:pt>
                <c:pt idx="5">
                  <c:v>1409</c:v>
                </c:pt>
                <c:pt idx="6">
                  <c:v>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6-D04C-95CC-787AC1DC5AD3}"/>
            </c:ext>
          </c:extLst>
        </c:ser>
        <c:ser>
          <c:idx val="1"/>
          <c:order val="1"/>
          <c:tx>
            <c:strRef>
              <c:f>'Track Pivot'!$C$3</c:f>
              <c:strCache>
                <c:ptCount val="1"/>
                <c:pt idx="0">
                  <c:v>Average of Mean OC (rpm)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'Track Pivot'!$A$4:$A$14</c:f>
              <c:multiLvlStrCache>
                <c:ptCount val="7"/>
                <c:lvl>
                  <c:pt idx="0">
                    <c:v>27-May</c:v>
                  </c:pt>
                  <c:pt idx="1">
                    <c:v>1-Jun</c:v>
                  </c:pt>
                  <c:pt idx="2">
                    <c:v>24-Jul</c:v>
                  </c:pt>
                  <c:pt idx="3">
                    <c:v>23-Sep</c:v>
                  </c:pt>
                  <c:pt idx="4">
                    <c:v>5-Nov</c:v>
                  </c:pt>
                  <c:pt idx="5">
                    <c:v>8-Jan</c:v>
                  </c:pt>
                  <c:pt idx="6">
                    <c:v>8-Feb</c:v>
                  </c:pt>
                </c:lvl>
                <c:lvl>
                  <c:pt idx="0">
                    <c:v>2020</c:v>
                  </c:pt>
                  <c:pt idx="5">
                    <c:v>2021</c:v>
                  </c:pt>
                </c:lvl>
              </c:multiLvlStrCache>
            </c:multiLvlStrRef>
          </c:cat>
          <c:val>
            <c:numRef>
              <c:f>'Track Pivot'!$C$4:$C$14</c:f>
              <c:numCache>
                <c:formatCode>0</c:formatCode>
                <c:ptCount val="7"/>
                <c:pt idx="0">
                  <c:v>133.5</c:v>
                </c:pt>
                <c:pt idx="1">
                  <c:v>135.5</c:v>
                </c:pt>
                <c:pt idx="2">
                  <c:v>136</c:v>
                </c:pt>
                <c:pt idx="3">
                  <c:v>135</c:v>
                </c:pt>
                <c:pt idx="4">
                  <c:v>135.5</c:v>
                </c:pt>
                <c:pt idx="5">
                  <c:v>136</c:v>
                </c:pt>
                <c:pt idx="6">
                  <c:v>138.5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56-D04C-95CC-787AC1DC5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0398664"/>
        <c:axId val="360400232"/>
      </c:barChart>
      <c:catAx>
        <c:axId val="360398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400232"/>
        <c:crosses val="autoZero"/>
        <c:auto val="1"/>
        <c:lblAlgn val="ctr"/>
        <c:lblOffset val="100"/>
        <c:noMultiLvlLbl val="0"/>
      </c:catAx>
      <c:valAx>
        <c:axId val="360400232"/>
        <c:scaling>
          <c:orientation val="minMax"/>
          <c:max val="2200"/>
          <c:min val="8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986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[Inertial Ergometer Data - Track Sprint.xlsx]HPSNZErg 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'HPSNZErg Pivot'!$B$4</c:f>
              <c:strCache>
                <c:ptCount val="1"/>
                <c:pt idx="0">
                  <c:v>Max of optimal_power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'HPSNZErg Pivot'!$A$5:$A$8</c:f>
              <c:strCache>
                <c:ptCount val="3"/>
                <c:pt idx="0">
                  <c:v>22/09/2021</c:v>
                </c:pt>
                <c:pt idx="1">
                  <c:v>16/10/2023</c:v>
                </c:pt>
                <c:pt idx="2">
                  <c:v>13/11/2023</c:v>
                </c:pt>
              </c:strCache>
            </c:strRef>
          </c:cat>
          <c:val>
            <c:numRef>
              <c:f>'HPSNZErg Pivot'!$B$5:$B$8</c:f>
              <c:numCache>
                <c:formatCode>General</c:formatCode>
                <c:ptCount val="3"/>
                <c:pt idx="0">
                  <c:v>1585.3179120903901</c:v>
                </c:pt>
                <c:pt idx="1">
                  <c:v>1727</c:v>
                </c:pt>
                <c:pt idx="2">
                  <c:v>1690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C-406E-862F-F166ED555157}"/>
            </c:ext>
          </c:extLst>
        </c:ser>
        <c:ser>
          <c:idx val="1"/>
          <c:order val="1"/>
          <c:tx>
            <c:strRef>
              <c:f>'HPSNZErg Pivot'!$C$4</c:f>
              <c:strCache>
                <c:ptCount val="1"/>
                <c:pt idx="0">
                  <c:v>Max of optimal_cadence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'HPSNZErg Pivot'!$A$5:$A$8</c:f>
              <c:strCache>
                <c:ptCount val="3"/>
                <c:pt idx="0">
                  <c:v>22/09/2021</c:v>
                </c:pt>
                <c:pt idx="1">
                  <c:v>16/10/2023</c:v>
                </c:pt>
                <c:pt idx="2">
                  <c:v>13/11/2023</c:v>
                </c:pt>
              </c:strCache>
            </c:strRef>
          </c:cat>
          <c:val>
            <c:numRef>
              <c:f>'HPSNZErg Pivot'!$C$5:$C$8</c:f>
              <c:numCache>
                <c:formatCode>General</c:formatCode>
                <c:ptCount val="3"/>
                <c:pt idx="0">
                  <c:v>112.70637753890399</c:v>
                </c:pt>
                <c:pt idx="1">
                  <c:v>114</c:v>
                </c:pt>
                <c:pt idx="2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CC-406E-862F-F166ED555157}"/>
            </c:ext>
          </c:extLst>
        </c:ser>
        <c:ser>
          <c:idx val="2"/>
          <c:order val="2"/>
          <c:tx>
            <c:strRef>
              <c:f>'HPSNZErg Pivot'!$D$4</c:f>
              <c:strCache>
                <c:ptCount val="1"/>
                <c:pt idx="0">
                  <c:v>Max of max_cadence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'HPSNZErg Pivot'!$A$5:$A$8</c:f>
              <c:strCache>
                <c:ptCount val="3"/>
                <c:pt idx="0">
                  <c:v>22/09/2021</c:v>
                </c:pt>
                <c:pt idx="1">
                  <c:v>16/10/2023</c:v>
                </c:pt>
                <c:pt idx="2">
                  <c:v>13/11/2023</c:v>
                </c:pt>
              </c:strCache>
            </c:strRef>
          </c:cat>
          <c:val>
            <c:numRef>
              <c:f>'HPSNZErg Pivot'!$D$5:$D$8</c:f>
              <c:numCache>
                <c:formatCode>General</c:formatCode>
                <c:ptCount val="3"/>
                <c:pt idx="0">
                  <c:v>224.76109566177601</c:v>
                </c:pt>
                <c:pt idx="1">
                  <c:v>226</c:v>
                </c:pt>
                <c:pt idx="2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CC-406E-862F-F166ED555157}"/>
            </c:ext>
          </c:extLst>
        </c:ser>
        <c:ser>
          <c:idx val="3"/>
          <c:order val="3"/>
          <c:tx>
            <c:strRef>
              <c:f>'HPSNZErg Pivot'!$E$4</c:f>
              <c:strCache>
                <c:ptCount val="1"/>
                <c:pt idx="0">
                  <c:v>Max of max_torque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'HPSNZErg Pivot'!$A$5:$A$8</c:f>
              <c:strCache>
                <c:ptCount val="3"/>
                <c:pt idx="0">
                  <c:v>22/09/2021</c:v>
                </c:pt>
                <c:pt idx="1">
                  <c:v>16/10/2023</c:v>
                </c:pt>
                <c:pt idx="2">
                  <c:v>13/11/2023</c:v>
                </c:pt>
              </c:strCache>
            </c:strRef>
          </c:cat>
          <c:val>
            <c:numRef>
              <c:f>'HPSNZErg Pivot'!$E$5:$E$8</c:f>
              <c:numCache>
                <c:formatCode>General</c:formatCode>
                <c:ptCount val="3"/>
                <c:pt idx="0">
                  <c:v>276.01441273338702</c:v>
                </c:pt>
                <c:pt idx="1">
                  <c:v>299</c:v>
                </c:pt>
                <c:pt idx="2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CC-406E-862F-F166ED5551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8572640"/>
        <c:axId val="2002009760"/>
      </c:barChart>
      <c:catAx>
        <c:axId val="195857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009760"/>
        <c:crosses val="autoZero"/>
        <c:auto val="1"/>
        <c:lblAlgn val="ctr"/>
        <c:lblOffset val="100"/>
        <c:noMultiLvlLbl val="0"/>
      </c:catAx>
      <c:valAx>
        <c:axId val="200200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57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362307</xdr:colOff>
      <xdr:row>0</xdr:row>
      <xdr:rowOff>176842</xdr:rowOff>
    </xdr:from>
    <xdr:to>
      <xdr:col>20</xdr:col>
      <xdr:colOff>612475</xdr:colOff>
      <xdr:row>31</xdr:row>
      <xdr:rowOff>163902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FDEE0B23-2FD2-4AE9-9D24-E2C992875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14</xdr:row>
      <xdr:rowOff>129540</xdr:rowOff>
    </xdr:from>
    <xdr:to>
      <xdr:col>7</xdr:col>
      <xdr:colOff>571500</xdr:colOff>
      <xdr:row>29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D2CBC2-E388-2654-4FEE-2B2378721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3" Type="http://schemas.microsoft.com/office/2019/04/relationships/externalLinkLongPath" Target="Cycling%20NZ%202018-2021/3.%20Profiling%20and%20Monitoring/1.%20Databases/Inertial%20Load%20Data%20-%20BMX.xlsx?B44E164A" TargetMode="External"/><Relationship Id="rId2" Type="http://schemas.openxmlformats.org/officeDocument/2006/relationships/externalLinkPath" Target="file:///\\B44E164A\Inertial%20Load%20Data%20-%20BMX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iedo" refreshedDate="44349.766108449076" createdVersion="6" refreshedVersion="6" minRefreshableVersion="3" recordCount="909" xr:uid="{00000000-000A-0000-FFFF-FFFF00000000}">
  <cacheSource type="worksheet">
    <worksheetSource name="CNZergSprint"/>
  </cacheSource>
  <cacheFields count="21">
    <cacheField name="Date" numFmtId="164">
      <sharedItems containsSemiMixedTypes="0" containsNonDate="0" containsDate="1" containsString="0" minDate="2011-10-20T00:00:00" maxDate="2021-06-03T00:00:00" count="207"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1-16T00:00:00"/>
        <d v="2011-11-24T00:00:00"/>
        <d v="2012-02-08T00:00:00"/>
        <d v="2012-02-09T00:00:00"/>
        <d v="2012-03-14T00:00:00"/>
        <d v="2012-03-15T00:00:00"/>
        <d v="2012-03-16T00:00:00"/>
        <d v="2012-03-17T00:00:00"/>
        <d v="2012-03-19T00:00:00"/>
        <d v="2012-03-20T00:00:00"/>
        <d v="2012-03-21T00:00:00"/>
        <d v="2012-03-24T00:00:00"/>
        <d v="2012-03-25T00:00:00"/>
        <d v="2012-03-27T00:00:00"/>
        <d v="2012-03-28T00:00:00"/>
        <d v="2012-05-07T00:00:00"/>
        <d v="2012-05-08T00:00:00"/>
        <d v="2012-05-09T00:00:00"/>
        <d v="2012-05-10T00:00:00"/>
        <d v="2012-05-11T00:00:00"/>
        <d v="2012-06-12T00:00:00"/>
        <d v="2012-06-18T00:00:00"/>
        <d v="2012-06-19T00:00:00"/>
        <d v="2012-06-20T00:00:00"/>
        <d v="2012-06-22T00:00:00"/>
        <d v="2012-06-23T00:00:00"/>
        <d v="2012-06-24T00:00:00"/>
        <d v="2012-06-26T00:00:00"/>
        <d v="2012-06-27T00:00:00"/>
        <d v="2012-06-28T00:00:00"/>
        <d v="2012-06-30T00:00:00"/>
        <d v="2012-07-01T00:00:00"/>
        <d v="2012-07-02T00:00:00"/>
        <d v="2012-07-04T00:00:00"/>
        <d v="2012-07-05T00:00:00"/>
        <d v="2012-07-09T00:00:00"/>
        <d v="2012-07-10T00:00:00"/>
        <d v="2012-07-11T00:00:00"/>
        <d v="2012-07-12T00:00:00"/>
        <d v="2012-07-15T00:00:00"/>
        <d v="2012-07-16T00:00:00"/>
        <d v="2012-07-17T00:00:00"/>
        <d v="2012-07-18T00:00:00"/>
        <d v="2012-07-20T00:00:00"/>
        <d v="2012-07-23T00:00:00"/>
        <d v="2012-07-24T00:00:00"/>
        <d v="2012-07-25T00:00:00"/>
        <d v="2012-12-18T00:00:00"/>
        <d v="2012-12-20T00:00:00"/>
        <d v="2012-12-29T00:00:00"/>
        <d v="2013-01-06T00:00:00"/>
        <d v="2013-01-08T00:00:00"/>
        <d v="2013-01-11T00:00:00"/>
        <d v="2013-02-15T00:00:00"/>
        <d v="2013-03-18T00:00:00"/>
        <d v="2013-03-20T00:00:00"/>
        <d v="2013-03-22T00:00:00"/>
        <d v="2013-03-25T00:00:00"/>
        <d v="2013-04-01T00:00:00"/>
        <d v="2013-04-02T00:00:00"/>
        <d v="2013-04-08T00:00:00"/>
        <d v="2013-04-10T00:00:00"/>
        <d v="2013-04-11T00:00:00"/>
        <d v="2013-04-12T00:00:00"/>
        <d v="2013-04-13T00:00:00"/>
        <d v="2013-04-15T00:00:00"/>
        <d v="2013-04-22T00:00:00"/>
        <d v="2013-04-23T00:00:00"/>
        <d v="2013-04-29T00:00:00"/>
        <d v="2013-05-06T00:00:00"/>
        <d v="2013-05-13T00:00:00"/>
        <d v="2013-05-18T00:00:00"/>
        <d v="2013-05-20T00:00:00"/>
        <d v="2013-05-21T00:00:00"/>
        <d v="2013-05-22T00:00:00"/>
        <d v="2013-05-24T00:00:00"/>
        <d v="2013-05-25T00:00:00"/>
        <d v="2013-07-29T00:00:00"/>
        <d v="2013-08-12T00:00:00"/>
        <d v="2013-08-26T00:00:00"/>
        <d v="2013-09-02T00:00:00"/>
        <d v="2013-09-09T00:00:00"/>
        <d v="2013-09-16T00:00:00"/>
        <d v="2013-09-23T00:00:00"/>
        <d v="2013-09-27T00:00:00"/>
        <d v="2013-09-30T00:00:00"/>
        <d v="2013-10-10T00:00:00"/>
        <d v="2013-10-14T00:00:00"/>
        <d v="2013-10-16T00:00:00"/>
        <d v="2013-12-17T00:00:00"/>
        <d v="2014-01-06T00:00:00"/>
        <d v="2014-01-08T00:00:00"/>
        <d v="2014-01-13T00:00:00"/>
        <d v="2014-01-15T00:00:00"/>
        <d v="2014-01-17T00:00:00"/>
        <d v="2014-01-20T00:00:00"/>
        <d v="2014-01-27T00:00:00"/>
        <d v="2014-02-04T00:00:00"/>
        <d v="2014-02-05T00:00:00"/>
        <d v="2014-02-19T00:00:00"/>
        <d v="2014-02-26T00:00:00"/>
        <d v="2014-02-27T00:00:00"/>
        <d v="2014-04-02T00:00:00"/>
        <d v="2014-04-09T00:00:00"/>
        <d v="2014-04-25T00:00:00"/>
        <d v="2014-05-09T00:00:00"/>
        <d v="2014-05-28T00:00:00"/>
        <d v="2014-09-01T00:00:00"/>
        <d v="2014-09-08T00:00:00"/>
        <d v="2014-09-15T00:00:00"/>
        <d v="2014-09-22T00:00:00"/>
        <d v="2014-09-29T00:00:00"/>
        <d v="2014-10-13T00:00:00"/>
        <d v="2014-10-16T00:00:00"/>
        <d v="2014-10-20T00:00:00"/>
        <d v="2014-10-27T00:00:00"/>
        <d v="2014-10-29T00:00:00"/>
        <d v="2014-11-03T00:00:00"/>
        <d v="2014-11-05T00:00:00"/>
        <d v="2014-11-12T00:00:00"/>
        <d v="2014-11-17T00:00:00"/>
        <d v="2014-11-24T00:00:00"/>
        <d v="2015-01-02T00:00:00"/>
        <d v="2015-01-05T00:00:00"/>
        <d v="2015-01-12T00:00:00"/>
        <d v="2015-01-15T00:00:00"/>
        <d v="2015-01-19T00:00:00"/>
        <d v="2015-01-22T00:00:00"/>
        <d v="2015-01-26T00:00:00"/>
        <d v="2015-01-29T00:00:00"/>
        <d v="2015-02-07T00:00:00"/>
        <d v="2015-04-28T00:00:00"/>
        <d v="2015-05-05T00:00:00"/>
        <d v="2015-05-12T00:00:00"/>
        <d v="2015-05-13T00:00:00"/>
        <d v="2015-05-14T00:00:00"/>
        <d v="2015-05-19T00:00:00"/>
        <d v="2015-05-29T00:00:00"/>
        <d v="2015-09-21T00:00:00"/>
        <d v="2015-11-25T00:00:00"/>
        <d v="2016-01-02T00:00:00"/>
        <d v="2016-01-03T00:00:00"/>
        <d v="2016-01-06T00:00:00"/>
        <d v="2016-04-25T00:00:00"/>
        <d v="2016-04-27T00:00:00"/>
        <d v="2016-04-29T00:00:00"/>
        <d v="2016-05-02T00:00:00"/>
        <d v="2016-05-06T00:00:00"/>
        <d v="2016-05-09T00:00:00"/>
        <d v="2016-05-11T00:00:00"/>
        <d v="2016-05-13T00:00:00"/>
        <d v="2016-05-17T00:00:00"/>
        <d v="2016-05-30T00:00:00"/>
        <d v="2016-06-07T00:00:00"/>
        <d v="2016-11-10T00:00:00"/>
        <d v="2016-11-14T00:00:00"/>
        <d v="2016-11-21T00:00:00"/>
        <d v="2017-03-14T00:00:00"/>
        <d v="2017-04-07T00:00:00"/>
        <d v="2017-04-10T00:00:00"/>
        <d v="2017-04-21T00:00:00"/>
        <d v="2017-04-28T00:00:00"/>
        <d v="2017-05-05T00:00:00"/>
        <d v="2017-05-22T00:00:00"/>
        <d v="2017-08-16T00:00:00"/>
        <d v="2017-09-19T00:00:00"/>
        <d v="2017-09-26T00:00:00"/>
        <d v="2017-10-02T00:00:00"/>
        <d v="2017-10-10T00:00:00"/>
        <d v="2017-10-17T00:00:00"/>
        <d v="2017-10-24T00:00:00"/>
        <d v="2017-10-30T00:00:00"/>
        <d v="2017-11-14T00:00:00"/>
        <d v="2018-10-01T00:00:00"/>
        <d v="2018-11-29T00:00:00"/>
        <d v="2018-12-19T00:00:00"/>
        <d v="2019-01-07T00:00:00"/>
        <d v="2019-04-08T00:00:00"/>
        <d v="2019-05-15T00:00:00"/>
        <d v="2019-05-23T00:00:00"/>
        <d v="2019-07-09T00:00:00"/>
        <d v="2019-08-13T00:00:00"/>
        <d v="2019-08-21T00:00:00"/>
        <d v="2019-08-22T00:00:00"/>
        <d v="2019-08-29T00:00:00"/>
        <d v="2019-10-01T00:00:00"/>
        <d v="2020-05-27T00:00:00"/>
        <d v="2020-06-01T00:00:00"/>
        <d v="2020-07-24T00:00:00"/>
        <d v="2020-07-31T00:00:00"/>
        <d v="2020-08-05T00:00:00"/>
        <d v="2020-09-23T00:00:00"/>
        <d v="2020-11-05T00:00:00"/>
        <d v="2020-11-20T00:00:00"/>
        <d v="2020-12-09T00:00:00"/>
        <d v="2021-01-08T00:00:00"/>
        <d v="2021-02-08T00:00:00"/>
        <d v="2021-06-02T00:00:00"/>
      </sharedItems>
      <fieldGroup base="0">
        <rangePr groupBy="days" startDate="2011-10-20T00:00:00" endDate="2021-06-03T00:00:00"/>
        <groupItems count="368">
          <s v="&lt;20/10/2011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06/2021"/>
        </groupItems>
      </fieldGroup>
    </cacheField>
    <cacheField name="Year" numFmtId="0">
      <sharedItems containsSemiMixedTypes="0" containsString="0" containsNumber="1" containsInteger="1" minValue="2011" maxValue="2021" count="11"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Month" numFmtId="0">
      <sharedItems containsSemiMixedTypes="0" containsString="0" containsNumber="1" containsInteger="1" minValue="1" maxValue="12" count="12">
        <n v="10"/>
        <n v="11"/>
        <n v="2"/>
        <n v="3"/>
        <n v="5"/>
        <n v="6"/>
        <n v="7"/>
        <n v="12"/>
        <n v="1"/>
        <n v="4"/>
        <n v="8"/>
        <n v="9"/>
      </sharedItems>
    </cacheField>
    <cacheField name="Time of Day" numFmtId="0">
      <sharedItems containsBlank="1"/>
    </cacheField>
    <cacheField name="Athlete" numFmtId="0">
      <sharedItems containsBlank="1" count="48">
        <s v="NH"/>
        <s v="SV"/>
        <s v="EM"/>
        <s v="SW"/>
        <s v="ED"/>
        <s v="MA"/>
        <s v="KP"/>
        <s v="CS"/>
        <s v="ZW"/>
        <s v="JC"/>
        <s v="OP"/>
        <s v="EC"/>
        <s v="BK"/>
        <s v="SD"/>
        <s v="TC"/>
        <s v="TY"/>
        <s v="EA"/>
        <s v="JO"/>
        <s v="SF"/>
        <s v="OR"/>
        <m u="1"/>
        <s v="SC" u="1"/>
        <s v="TH" u="1"/>
        <s v="TJ" u="1"/>
        <s v="NSA" u="1"/>
        <s v="LE" u="1"/>
        <s v="JV" u="1"/>
        <s v="BS" u="1"/>
        <s v="SM" u="1"/>
        <s v="DF" u="1"/>
        <s v="Fox" u="1"/>
        <s v="KJ" u="1"/>
        <s v="QK" u="1"/>
        <s v="HG" u="1"/>
        <s v="MC" u="1"/>
        <s v="DR" u="1"/>
        <s v="R?" u="1"/>
        <s v="Woodcock" u="1"/>
        <s v="PP" u="1"/>
        <s v="SWK" u="1"/>
        <s v="HS" u="1"/>
        <s v="GP" u="1"/>
        <s v="MS" u="1"/>
        <s v="CH" u="1"/>
        <s v="MW" u="1"/>
        <s v="TB" u="1"/>
        <s v="KS" u="1"/>
        <s v="JP" u="1"/>
      </sharedItems>
    </cacheField>
    <cacheField name="Discipline" numFmtId="0">
      <sharedItems/>
    </cacheField>
    <cacheField name="Class" numFmtId="0">
      <sharedItems containsBlank="1"/>
    </cacheField>
    <cacheField name="PP1 (W)" numFmtId="0">
      <sharedItems containsString="0" containsBlank="1" containsNumber="1" minValue="974" maxValue="2518"/>
    </cacheField>
    <cacheField name="OC1 (rpm)" numFmtId="0">
      <sharedItems containsString="0" containsBlank="1" containsNumber="1" containsInteger="1" minValue="106" maxValue="163"/>
    </cacheField>
    <cacheField name="PP2 (W)" numFmtId="0">
      <sharedItems containsString="0" containsBlank="1" containsNumber="1" containsInteger="1" minValue="974" maxValue="2580"/>
    </cacheField>
    <cacheField name="OC2 (rpm)" numFmtId="0">
      <sharedItems containsString="0" containsBlank="1" containsNumber="1" containsInteger="1" minValue="106" maxValue="162"/>
    </cacheField>
    <cacheField name="PP3 (W)" numFmtId="0">
      <sharedItems containsString="0" containsBlank="1" containsNumber="1" containsInteger="1" minValue="1672" maxValue="2201"/>
    </cacheField>
    <cacheField name="OC3 (rpm)" numFmtId="0">
      <sharedItems containsString="0" containsBlank="1" containsNumber="1" containsInteger="1" minValue="113" maxValue="142"/>
    </cacheField>
    <cacheField name="PP4 (W)" numFmtId="0">
      <sharedItems containsString="0" containsBlank="1" containsNumber="1" containsInteger="1" minValue="1697" maxValue="2245"/>
    </cacheField>
    <cacheField name="OC4 (rpm)" numFmtId="0">
      <sharedItems containsString="0" containsBlank="1" containsNumber="1" containsInteger="1" minValue="131" maxValue="141"/>
    </cacheField>
    <cacheField name="Mean PP (W)" numFmtId="0">
      <sharedItems containsSemiMixedTypes="0" containsString="0" containsNumber="1" minValue="974" maxValue="2531"/>
    </cacheField>
    <cacheField name="Mean OC (rpm)" numFmtId="0">
      <sharedItems containsSemiMixedTypes="0" containsString="0" containsNumber="1" minValue="106" maxValue="161.5"/>
    </cacheField>
    <cacheField name="CPP" numFmtId="0">
      <sharedItems containsString="0" containsBlank="1" containsNumber="1" minValue="129921.75" maxValue="347467.25"/>
    </cacheField>
    <cacheField name="Weighted CPP" numFmtId="0">
      <sharedItems containsString="0" containsBlank="1" containsNumber="1" minValue="14226.431624999999" maxValue="56115.960874999997"/>
    </cacheField>
    <cacheField name="BW (kg)" numFmtId="0">
      <sharedItems containsString="0" containsBlank="1" containsNumber="1" minValue="84.3" maxValue="104"/>
    </cacheField>
    <cacheField name="SF (mm)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204211614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iedo" refreshedDate="44166.510975578705" createdVersion="6" refreshedVersion="6" minRefreshableVersion="3" recordCount="27" xr:uid="{49A8A95A-E8F1-402F-B7E3-32A7453E2360}">
  <cacheSource type="worksheet">
    <worksheetSource name="Table1" r:id="rId2"/>
  </cacheSource>
  <cacheFields count="25">
    <cacheField name="Name" numFmtId="0">
      <sharedItems count="11">
        <s v="Sarah Walker"/>
        <s v="Laura Smulders"/>
        <s v="Saya Sakakibara"/>
        <s v="Rebecca Petch"/>
        <s v="Rico D'anvers"/>
        <s v="Tasman Wakelin"/>
        <s v="Mason James"/>
        <s v="Cailen Calkin"/>
        <s v="Jessie Smith"/>
        <s v="Luey Cotton"/>
        <s v="Bennett Greenough"/>
      </sharedItems>
    </cacheField>
    <cacheField name="Date" numFmtId="14">
      <sharedItems containsSemiMixedTypes="0" containsNonDate="0" containsDate="1" containsString="0" minDate="2019-01-09T00:00:00" maxDate="2020-12-02T00:00:00" count="17">
        <d v="2019-01-09T00:00:00"/>
        <d v="2019-01-11T00:00:00"/>
        <d v="2019-03-18T00:00:00"/>
        <d v="2019-03-22T00:00:00"/>
        <d v="2019-03-29T00:00:00"/>
        <d v="2019-04-10T00:00:00"/>
        <d v="2019-08-13T00:00:00"/>
        <d v="2019-08-16T00:00:00"/>
        <d v="2019-08-20T00:00:00"/>
        <d v="2019-08-23T00:00:00"/>
        <d v="2019-10-03T00:00:00"/>
        <d v="2019-10-04T00:00:00"/>
        <d v="2020-01-10T00:00:00"/>
        <d v="2020-11-03T00:00:00"/>
        <d v="2020-11-17T00:00:00"/>
        <d v="2020-11-23T00:00:00"/>
        <d v="2020-12-01T00:00:00"/>
      </sharedItems>
      <fieldGroup par="24" base="1">
        <rangePr groupBy="days" startDate="2019-01-09T00:00:00" endDate="2020-12-02T00:00:00"/>
        <groupItems count="368">
          <s v="&lt;9/01/2019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12/2020"/>
        </groupItems>
      </fieldGroup>
    </cacheField>
    <cacheField name="Weight" numFmtId="0">
      <sharedItems containsSemiMixedTypes="0" containsString="0" containsNumber="1" minValue="63" maxValue="95.5"/>
    </cacheField>
    <cacheField name="Max W" numFmtId="1">
      <sharedItems containsSemiMixedTypes="0" containsString="0" containsNumber="1" minValue="1340.5" maxValue="1954.5"/>
    </cacheField>
    <cacheField name="Max W.kg" numFmtId="165">
      <sharedItems containsSemiMixedTypes="0" containsString="0" containsNumber="1" minValue="18.744884038199181" maxValue="24.625"/>
    </cacheField>
    <cacheField name="Optimal Cadence" numFmtId="1">
      <sharedItems containsSemiMixedTypes="0" containsString="0" containsNumber="1" minValue="118" maxValue="157"/>
    </cacheField>
    <cacheField name="Time to Max Power" numFmtId="2">
      <sharedItems containsSemiMixedTypes="0" containsString="0" containsNumber="1" minValue="0.92500000000000004" maxValue="1.625"/>
    </cacheField>
    <cacheField name="Max Cadence" numFmtId="1">
      <sharedItems containsSemiMixedTypes="0" containsString="0" containsNumber="1" minValue="190" maxValue="220.5"/>
    </cacheField>
    <cacheField name="Max Torque" numFmtId="1">
      <sharedItems containsSemiMixedTypes="0" containsString="0" containsNumber="1" minValue="185.5" maxValue="267"/>
    </cacheField>
    <cacheField name="W" numFmtId="0">
      <sharedItems containsSemiMixedTypes="0" containsString="0" containsNumber="1" containsInteger="1" minValue="1368" maxValue="1913"/>
    </cacheField>
    <cacheField name="OC" numFmtId="0">
      <sharedItems containsSemiMixedTypes="0" containsString="0" containsNumber="1" containsInteger="1" minValue="117" maxValue="154"/>
    </cacheField>
    <cacheField name="TTP" numFmtId="0">
      <sharedItems containsSemiMixedTypes="0" containsString="0" containsNumber="1" minValue="0.89" maxValue="1.73"/>
    </cacheField>
    <cacheField name="PRPM" numFmtId="0">
      <sharedItems containsSemiMixedTypes="0" containsString="0" containsNumber="1" containsInteger="1" minValue="189" maxValue="220"/>
    </cacheField>
    <cacheField name="PT" numFmtId="0">
      <sharedItems containsSemiMixedTypes="0" containsString="0" containsNumber="1" containsInteger="1" minValue="179" maxValue="259"/>
    </cacheField>
    <cacheField name="W2" numFmtId="0">
      <sharedItems containsSemiMixedTypes="0" containsString="0" containsNumber="1" containsInteger="1" minValue="1313" maxValue="1996"/>
    </cacheField>
    <cacheField name="OC2" numFmtId="0">
      <sharedItems containsSemiMixedTypes="0" containsString="0" containsNumber="1" containsInteger="1" minValue="108" maxValue="160"/>
    </cacheField>
    <cacheField name="TTP2" numFmtId="0">
      <sharedItems containsSemiMixedTypes="0" containsString="0" containsNumber="1" minValue="0.96" maxValue="1.52"/>
    </cacheField>
    <cacheField name="PRPM2" numFmtId="0">
      <sharedItems containsSemiMixedTypes="0" containsString="0" containsNumber="1" containsInteger="1" minValue="191" maxValue="221"/>
    </cacheField>
    <cacheField name="PT2" numFmtId="0">
      <sharedItems containsSemiMixedTypes="0" containsString="0" containsNumber="1" containsInteger="1" minValue="192" maxValue="275"/>
    </cacheField>
    <cacheField name="W3" numFmtId="0">
      <sharedItems containsString="0" containsBlank="1" containsNumber="1" containsInteger="1" minValue="1352" maxValue="1700"/>
    </cacheField>
    <cacheField name="OC3" numFmtId="0">
      <sharedItems containsString="0" containsBlank="1" containsNumber="1" containsInteger="1" minValue="120" maxValue="138"/>
    </cacheField>
    <cacheField name="TTP3" numFmtId="0">
      <sharedItems containsString="0" containsBlank="1" containsNumber="1" minValue="0.99" maxValue="1.45"/>
    </cacheField>
    <cacheField name="PRPM3" numFmtId="0">
      <sharedItems containsString="0" containsBlank="1" containsNumber="1" containsInteger="1" minValue="193" maxValue="217"/>
    </cacheField>
    <cacheField name="PT3" numFmtId="0">
      <sharedItems containsString="0" containsBlank="1" containsNumber="1" containsInteger="1" minValue="195" maxValue="246"/>
    </cacheField>
    <cacheField name="Years" numFmtId="0" databaseField="0">
      <fieldGroup base="1">
        <rangePr groupBy="years" startDate="2019-01-09T00:00:00" endDate="2020-12-02T00:00:00"/>
        <groupItems count="4">
          <s v="&lt;9/01/2019"/>
          <s v="2019"/>
          <s v="2020"/>
          <s v="&gt;2/12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ie Douglas" refreshedDate="45243.564784374998" createdVersion="8" refreshedVersion="8" minRefreshableVersion="3" recordCount="114" xr:uid="{03FE66FE-5EE5-45F3-B877-AE1328D54299}">
  <cacheSource type="worksheet">
    <worksheetSource name="HPSNZerg"/>
  </cacheSource>
  <cacheFields count="17">
    <cacheField name="Date" numFmtId="14">
      <sharedItems containsSemiMixedTypes="0" containsNonDate="0" containsDate="1" containsString="0" minDate="2021-03-23T00:00:00" maxDate="2023-11-14T00:00:00" count="8">
        <d v="2021-03-23T00:00:00"/>
        <d v="2021-03-25T00:00:00"/>
        <d v="2021-05-11T00:00:00"/>
        <d v="2021-06-01T00:00:00"/>
        <d v="2021-09-22T00:00:00"/>
        <d v="2023-09-27T00:00:00"/>
        <d v="2023-10-16T00:00:00"/>
        <d v="2023-11-13T00:00:00"/>
      </sharedItems>
    </cacheField>
    <cacheField name="About" numFmtId="0">
      <sharedItems count="16">
        <s v="Patrick Clancy"/>
        <s v="Reuben Webster"/>
        <s v="Bradly Knipe"/>
        <s v="Jordan Castle"/>
        <s v="Olivia King"/>
        <s v="Hamish Coltman"/>
        <s v="Emma Cumming"/>
        <s v="Shaane Fulton"/>
        <s v="Olivia Podmore"/>
        <s v="Ellesse Andrews"/>
        <s v="Samuel Dakin"/>
        <s v="Callum Saunders"/>
        <s v="Sam Webster"/>
        <s v="Ethan Mitchell"/>
        <s v="Rebecca Petch"/>
        <s v="Sam Dakin" u="1"/>
      </sharedItems>
    </cacheField>
    <cacheField name="by" numFmtId="0">
      <sharedItems/>
    </cacheField>
    <cacheField name="description" numFmtId="0">
      <sharedItems count="8">
        <s v="Seated"/>
        <s v="Standing"/>
        <s v="rep 3" u="1"/>
        <s v="rep 1" u="1"/>
        <s v="Rep 6" u="1"/>
        <s v="rep 4" u="1"/>
        <s v="rep 2" u="1"/>
        <s v="Rep 5" u="1"/>
      </sharedItems>
    </cacheField>
    <cacheField name="raw_data" numFmtId="0">
      <sharedItems containsBlank="1"/>
    </cacheField>
    <cacheField name="optimal_cadence" numFmtId="0">
      <sharedItems containsSemiMixedTypes="0" containsString="0" containsNumber="1" minValue="108.743594440425" maxValue="131.476435158003"/>
    </cacheField>
    <cacheField name="optimal_power" numFmtId="0">
      <sharedItems containsSemiMixedTypes="0" containsString="0" containsNumber="1" minValue="1057.9380757962399" maxValue="2139"/>
    </cacheField>
    <cacheField name="max_cadence" numFmtId="0">
      <sharedItems containsSemiMixedTypes="0" containsString="0" containsNumber="1" minValue="211.48196674118299" maxValue="262.219611792666"/>
    </cacheField>
    <cacheField name="max_power" numFmtId="0">
      <sharedItems containsString="0" containsBlank="1" containsNumber="1" minValue="1788.4261768184499" maxValue="3366.8605189832001"/>
    </cacheField>
    <cacheField name="max_torque" numFmtId="0">
      <sharedItems containsSemiMixedTypes="0" containsString="0" containsNumber="1" minValue="176.494141102849" maxValue="338"/>
    </cacheField>
    <cacheField name="r_squared" numFmtId="0">
      <sharedItems containsSemiMixedTypes="0" containsString="0" containsNumber="1" minValue="0.77200000000000002" maxValue="0.98059102853475899"/>
    </cacheField>
    <cacheField name="_cadence_data" numFmtId="0">
      <sharedItems containsBlank="1" containsMixedTypes="1" containsNumber="1" containsInteger="1" minValue="7.9102118131142099E+37" maxValue="7.9101118131142098E+43"/>
    </cacheField>
    <cacheField name="_power_data" numFmtId="3">
      <sharedItems containsString="0" containsBlank="1" containsNumber="1" containsInteger="1" minValue="8.7197910551061095E+46" maxValue="1.52616191683178E+59"/>
    </cacheField>
    <cacheField name="_torque_data" numFmtId="0">
      <sharedItems containsBlank="1"/>
    </cacheField>
    <cacheField name="_power_model_data" numFmtId="3">
      <sharedItems containsString="0" containsBlank="1" containsNumber="1" containsInteger="1" minValue="8.80988103810571E+46" maxValue="1.5801753179717799E+59"/>
    </cacheField>
    <cacheField name="_torque_model_data" numFmtId="0">
      <sharedItems containsBlank="1"/>
    </cacheField>
    <cacheField name="_data_inf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9">
  <r>
    <x v="0"/>
    <x v="0"/>
    <x v="0"/>
    <s v="PM"/>
    <x v="0"/>
    <s v="Track"/>
    <m/>
    <n v="1244"/>
    <n v="123"/>
    <n v="1215"/>
    <n v="121"/>
    <m/>
    <m/>
    <m/>
    <m/>
    <n v="1229.5"/>
    <n v="122"/>
    <n v="149999"/>
    <n v="18299.878000000001"/>
    <m/>
    <m/>
  </r>
  <r>
    <x v="0"/>
    <x v="0"/>
    <x v="0"/>
    <s v="AM"/>
    <x v="1"/>
    <s v="Track"/>
    <m/>
    <n v="1689"/>
    <n v="124"/>
    <m/>
    <m/>
    <m/>
    <m/>
    <m/>
    <m/>
    <n v="1689"/>
    <n v="124"/>
    <n v="209436"/>
    <n v="25970.063999999998"/>
    <m/>
    <m/>
  </r>
  <r>
    <x v="0"/>
    <x v="0"/>
    <x v="0"/>
    <s v="AM"/>
    <x v="2"/>
    <s v="Track"/>
    <m/>
    <n v="1799"/>
    <n v="126"/>
    <n v="1771"/>
    <n v="126"/>
    <m/>
    <m/>
    <m/>
    <m/>
    <n v="1785"/>
    <n v="126"/>
    <n v="224910"/>
    <n v="28338.66"/>
    <m/>
    <m/>
  </r>
  <r>
    <x v="0"/>
    <x v="0"/>
    <x v="0"/>
    <s v="AM"/>
    <x v="3"/>
    <s v="Track"/>
    <m/>
    <n v="1871"/>
    <n v="130"/>
    <n v="1842"/>
    <n v="130"/>
    <m/>
    <m/>
    <m/>
    <m/>
    <n v="1856.5"/>
    <n v="130"/>
    <n v="241345"/>
    <n v="31374.85"/>
    <m/>
    <m/>
  </r>
  <r>
    <x v="0"/>
    <x v="0"/>
    <x v="0"/>
    <s v="PM"/>
    <x v="2"/>
    <s v="Track"/>
    <m/>
    <n v="1877"/>
    <n v="135"/>
    <n v="1870"/>
    <n v="135"/>
    <m/>
    <m/>
    <m/>
    <m/>
    <n v="1873.5"/>
    <n v="135"/>
    <n v="252922.5"/>
    <n v="34144.537499999999"/>
    <m/>
    <m/>
  </r>
  <r>
    <x v="0"/>
    <x v="0"/>
    <x v="0"/>
    <s v="AM"/>
    <x v="4"/>
    <s v="Track"/>
    <m/>
    <n v="1983"/>
    <n v="118"/>
    <n v="1957"/>
    <n v="120"/>
    <m/>
    <m/>
    <m/>
    <m/>
    <n v="1970"/>
    <n v="119"/>
    <n v="234430"/>
    <n v="27897.17"/>
    <m/>
    <m/>
  </r>
  <r>
    <x v="0"/>
    <x v="0"/>
    <x v="0"/>
    <s v="PM"/>
    <x v="3"/>
    <s v="Track"/>
    <m/>
    <n v="2028"/>
    <n v="135"/>
    <n v="1950"/>
    <n v="132"/>
    <m/>
    <m/>
    <m/>
    <m/>
    <n v="1989"/>
    <n v="133.5"/>
    <n v="265531.5"/>
    <n v="35448.455249999999"/>
    <m/>
    <m/>
  </r>
  <r>
    <x v="0"/>
    <x v="0"/>
    <x v="0"/>
    <s v="AM"/>
    <x v="5"/>
    <s v="Track"/>
    <m/>
    <n v="2042"/>
    <n v="133"/>
    <n v="1999"/>
    <n v="130"/>
    <m/>
    <m/>
    <m/>
    <m/>
    <n v="2020.5"/>
    <n v="131.5"/>
    <n v="265695.75"/>
    <n v="34938.991125"/>
    <m/>
    <m/>
  </r>
  <r>
    <x v="0"/>
    <x v="0"/>
    <x v="0"/>
    <s v="PM"/>
    <x v="5"/>
    <s v="Track"/>
    <m/>
    <n v="2133"/>
    <n v="135"/>
    <n v="2130"/>
    <n v="137"/>
    <m/>
    <m/>
    <m/>
    <m/>
    <n v="2131.5"/>
    <n v="136"/>
    <n v="289884"/>
    <n v="39424.224000000002"/>
    <m/>
    <m/>
  </r>
  <r>
    <x v="0"/>
    <x v="0"/>
    <x v="0"/>
    <s v="PM"/>
    <x v="4"/>
    <s v="Track"/>
    <m/>
    <n v="2192"/>
    <n v="132"/>
    <n v="2080"/>
    <n v="126"/>
    <m/>
    <m/>
    <m/>
    <m/>
    <n v="2136"/>
    <n v="129"/>
    <n v="275544"/>
    <n v="35545.175999999999"/>
    <m/>
    <m/>
  </r>
  <r>
    <x v="1"/>
    <x v="0"/>
    <x v="0"/>
    <s v="AM"/>
    <x v="0"/>
    <s v="Track"/>
    <m/>
    <n v="1234"/>
    <n v="119"/>
    <n v="1216"/>
    <n v="120"/>
    <m/>
    <m/>
    <m/>
    <m/>
    <n v="1225"/>
    <n v="119.5"/>
    <n v="146387.5"/>
    <n v="17493.306250000001"/>
    <m/>
    <m/>
  </r>
  <r>
    <x v="1"/>
    <x v="0"/>
    <x v="0"/>
    <s v="PM"/>
    <x v="1"/>
    <s v="Track"/>
    <m/>
    <n v="1488"/>
    <n v="124"/>
    <n v="1449"/>
    <n v="123"/>
    <m/>
    <m/>
    <m/>
    <m/>
    <n v="1468.5"/>
    <n v="123.5"/>
    <n v="181359.75"/>
    <n v="22397.929124999999"/>
    <m/>
    <m/>
  </r>
  <r>
    <x v="1"/>
    <x v="0"/>
    <x v="0"/>
    <s v="AM"/>
    <x v="1"/>
    <s v="Track"/>
    <m/>
    <n v="1647"/>
    <n v="126"/>
    <n v="1608"/>
    <n v="126"/>
    <m/>
    <m/>
    <m/>
    <m/>
    <n v="1627.5"/>
    <n v="126"/>
    <n v="205065"/>
    <n v="25838.19"/>
    <m/>
    <m/>
  </r>
  <r>
    <x v="1"/>
    <x v="0"/>
    <x v="0"/>
    <s v="AM"/>
    <x v="2"/>
    <s v="Track"/>
    <m/>
    <n v="1691"/>
    <n v="120"/>
    <n v="1687"/>
    <n v="122"/>
    <m/>
    <m/>
    <m/>
    <m/>
    <n v="1689"/>
    <n v="121"/>
    <n v="204369"/>
    <n v="24728.649000000001"/>
    <m/>
    <m/>
  </r>
  <r>
    <x v="1"/>
    <x v="0"/>
    <x v="0"/>
    <s v="PM"/>
    <x v="5"/>
    <s v="Track"/>
    <m/>
    <n v="1913"/>
    <n v="132"/>
    <n v="1557"/>
    <n v="123"/>
    <m/>
    <m/>
    <m/>
    <m/>
    <n v="1735"/>
    <n v="127.5"/>
    <n v="221212.5"/>
    <n v="28204.59375"/>
    <m/>
    <m/>
  </r>
  <r>
    <x v="1"/>
    <x v="0"/>
    <x v="0"/>
    <s v="AM"/>
    <x v="3"/>
    <s v="Track"/>
    <m/>
    <n v="1782"/>
    <n v="126"/>
    <n v="1780"/>
    <n v="127"/>
    <m/>
    <m/>
    <m/>
    <m/>
    <n v="1781"/>
    <n v="126.5"/>
    <n v="225296.5"/>
    <n v="28500.007249999999"/>
    <m/>
    <m/>
  </r>
  <r>
    <x v="1"/>
    <x v="0"/>
    <x v="0"/>
    <s v="PM"/>
    <x v="2"/>
    <s v="Track"/>
    <m/>
    <n v="1795"/>
    <n v="128"/>
    <n v="1794"/>
    <n v="129"/>
    <m/>
    <m/>
    <m/>
    <m/>
    <n v="1794.5"/>
    <n v="128.5"/>
    <n v="230593.25"/>
    <n v="29631.232625000001"/>
    <m/>
    <m/>
  </r>
  <r>
    <x v="1"/>
    <x v="0"/>
    <x v="0"/>
    <s v="PM"/>
    <x v="4"/>
    <s v="Track"/>
    <m/>
    <n v="1895"/>
    <n v="120"/>
    <n v="1695"/>
    <n v="115"/>
    <m/>
    <m/>
    <m/>
    <m/>
    <n v="1795"/>
    <n v="117.5"/>
    <n v="210912.5"/>
    <n v="24782.21875"/>
    <m/>
    <m/>
  </r>
  <r>
    <x v="1"/>
    <x v="0"/>
    <x v="0"/>
    <s v="PM"/>
    <x v="3"/>
    <s v="Track"/>
    <m/>
    <n v="1871"/>
    <n v="128"/>
    <n v="1799"/>
    <n v="128"/>
    <m/>
    <m/>
    <m/>
    <m/>
    <n v="1835"/>
    <n v="128"/>
    <n v="234880"/>
    <n v="30064.639999999999"/>
    <m/>
    <m/>
  </r>
  <r>
    <x v="1"/>
    <x v="0"/>
    <x v="0"/>
    <s v="AM"/>
    <x v="4"/>
    <s v="Track"/>
    <m/>
    <n v="1952"/>
    <n v="118"/>
    <n v="1851"/>
    <n v="116"/>
    <m/>
    <m/>
    <m/>
    <m/>
    <n v="1901.5"/>
    <n v="117"/>
    <n v="222475.5"/>
    <n v="26029.6335"/>
    <m/>
    <m/>
  </r>
  <r>
    <x v="1"/>
    <x v="0"/>
    <x v="0"/>
    <s v="AM"/>
    <x v="5"/>
    <s v="Track"/>
    <m/>
    <n v="2059"/>
    <n v="132"/>
    <n v="1925"/>
    <n v="130"/>
    <m/>
    <m/>
    <m/>
    <m/>
    <n v="1992"/>
    <n v="131"/>
    <n v="260952"/>
    <n v="34184.712"/>
    <m/>
    <m/>
  </r>
  <r>
    <x v="2"/>
    <x v="0"/>
    <x v="0"/>
    <s v="AM"/>
    <x v="0"/>
    <s v="Track"/>
    <m/>
    <n v="1164"/>
    <n v="113"/>
    <n v="1146"/>
    <n v="113"/>
    <m/>
    <m/>
    <m/>
    <m/>
    <n v="1155"/>
    <n v="113"/>
    <n v="130515"/>
    <n v="14748.195"/>
    <m/>
    <m/>
  </r>
  <r>
    <x v="2"/>
    <x v="0"/>
    <x v="0"/>
    <s v="PM"/>
    <x v="0"/>
    <s v="Track"/>
    <m/>
    <n v="1233"/>
    <n v="113"/>
    <n v="1215"/>
    <n v="117"/>
    <m/>
    <m/>
    <m/>
    <m/>
    <n v="1224"/>
    <n v="115"/>
    <n v="140760"/>
    <n v="16187.4"/>
    <m/>
    <m/>
  </r>
  <r>
    <x v="2"/>
    <x v="0"/>
    <x v="0"/>
    <s v="AM"/>
    <x v="1"/>
    <s v="Track"/>
    <m/>
    <n v="1723"/>
    <n v="133"/>
    <n v="1671"/>
    <n v="128"/>
    <m/>
    <m/>
    <m/>
    <m/>
    <n v="1697"/>
    <n v="130.5"/>
    <n v="221458.5"/>
    <n v="28900.33425"/>
    <m/>
    <m/>
  </r>
  <r>
    <x v="2"/>
    <x v="0"/>
    <x v="0"/>
    <s v="AM"/>
    <x v="2"/>
    <s v="Track"/>
    <m/>
    <n v="1826"/>
    <n v="126"/>
    <n v="1779"/>
    <n v="124"/>
    <m/>
    <m/>
    <m/>
    <m/>
    <n v="1802.5"/>
    <n v="125"/>
    <n v="225312.5"/>
    <n v="28164.0625"/>
    <m/>
    <m/>
  </r>
  <r>
    <x v="2"/>
    <x v="0"/>
    <x v="0"/>
    <s v="AM"/>
    <x v="3"/>
    <s v="Track"/>
    <m/>
    <n v="1830"/>
    <n v="123"/>
    <n v="1797"/>
    <n v="129"/>
    <m/>
    <m/>
    <m/>
    <m/>
    <n v="1813.5"/>
    <n v="126"/>
    <n v="228501"/>
    <n v="28791.126"/>
    <m/>
    <m/>
  </r>
  <r>
    <x v="2"/>
    <x v="0"/>
    <x v="0"/>
    <s v="PM"/>
    <x v="2"/>
    <s v="Track"/>
    <m/>
    <n v="1826"/>
    <n v="126"/>
    <n v="1801"/>
    <n v="126"/>
    <m/>
    <m/>
    <m/>
    <m/>
    <n v="1813.5"/>
    <n v="126"/>
    <n v="228501"/>
    <n v="28791.126"/>
    <m/>
    <m/>
  </r>
  <r>
    <x v="2"/>
    <x v="0"/>
    <x v="0"/>
    <s v="AM"/>
    <x v="4"/>
    <s v="Track"/>
    <m/>
    <n v="1894"/>
    <n v="117"/>
    <n v="1870"/>
    <n v="118"/>
    <m/>
    <m/>
    <m/>
    <m/>
    <n v="1882"/>
    <n v="117.5"/>
    <n v="221135"/>
    <n v="25983.362499999999"/>
    <m/>
    <m/>
  </r>
  <r>
    <x v="2"/>
    <x v="0"/>
    <x v="0"/>
    <s v="AM"/>
    <x v="5"/>
    <s v="Track"/>
    <m/>
    <n v="1940"/>
    <n v="128"/>
    <n v="1898"/>
    <n v="131"/>
    <m/>
    <m/>
    <m/>
    <m/>
    <n v="1919"/>
    <n v="129.5"/>
    <n v="248510.5"/>
    <n v="32182.10975"/>
    <m/>
    <m/>
  </r>
  <r>
    <x v="2"/>
    <x v="0"/>
    <x v="0"/>
    <s v="PM"/>
    <x v="3"/>
    <s v="Track"/>
    <m/>
    <n v="1958"/>
    <n v="130"/>
    <n v="1900"/>
    <n v="126"/>
    <m/>
    <m/>
    <m/>
    <m/>
    <n v="1929"/>
    <n v="128"/>
    <n v="246912"/>
    <n v="31604.736000000001"/>
    <m/>
    <m/>
  </r>
  <r>
    <x v="2"/>
    <x v="0"/>
    <x v="0"/>
    <s v="PM"/>
    <x v="4"/>
    <s v="Track"/>
    <m/>
    <n v="2045"/>
    <n v="125"/>
    <n v="2014"/>
    <n v="126"/>
    <m/>
    <m/>
    <m/>
    <m/>
    <n v="2029.5"/>
    <n v="125.5"/>
    <n v="254702.25"/>
    <n v="31965.132375000001"/>
    <m/>
    <m/>
  </r>
  <r>
    <x v="2"/>
    <x v="0"/>
    <x v="0"/>
    <s v="PM"/>
    <x v="5"/>
    <s v="Track"/>
    <m/>
    <n v="2056"/>
    <n v="132"/>
    <n v="2030"/>
    <n v="133"/>
    <m/>
    <m/>
    <m/>
    <m/>
    <n v="2043"/>
    <n v="132.5"/>
    <n v="270697.5"/>
    <n v="35867.418749999997"/>
    <m/>
    <m/>
  </r>
  <r>
    <x v="3"/>
    <x v="0"/>
    <x v="0"/>
    <s v="PM"/>
    <x v="0"/>
    <s v="Track"/>
    <m/>
    <n v="1289"/>
    <n v="117"/>
    <n v="1273"/>
    <n v="117"/>
    <m/>
    <m/>
    <m/>
    <m/>
    <n v="1281"/>
    <n v="117"/>
    <n v="149877"/>
    <n v="17535.609"/>
    <m/>
    <m/>
  </r>
  <r>
    <x v="3"/>
    <x v="0"/>
    <x v="0"/>
    <s v="AM"/>
    <x v="2"/>
    <s v="Track"/>
    <m/>
    <n v="1752"/>
    <n v="120"/>
    <n v="1657"/>
    <n v="119"/>
    <m/>
    <m/>
    <m/>
    <m/>
    <n v="1704.5"/>
    <n v="119.5"/>
    <n v="203687.75"/>
    <n v="24340.686125"/>
    <m/>
    <m/>
  </r>
  <r>
    <x v="3"/>
    <x v="0"/>
    <x v="0"/>
    <s v="PM"/>
    <x v="1"/>
    <s v="Track"/>
    <m/>
    <n v="1718"/>
    <n v="127"/>
    <n v="1691"/>
    <n v="129"/>
    <m/>
    <m/>
    <m/>
    <m/>
    <n v="1704.5"/>
    <n v="128"/>
    <n v="218176"/>
    <n v="27926.527999999998"/>
    <m/>
    <m/>
  </r>
  <r>
    <x v="3"/>
    <x v="0"/>
    <x v="0"/>
    <s v="PM"/>
    <x v="2"/>
    <s v="Track"/>
    <m/>
    <n v="1796"/>
    <n v="126"/>
    <n v="1789"/>
    <n v="125"/>
    <m/>
    <m/>
    <m/>
    <m/>
    <n v="1792.5"/>
    <n v="125.5"/>
    <n v="224958.75"/>
    <n v="28232.323124999999"/>
    <m/>
    <m/>
  </r>
  <r>
    <x v="3"/>
    <x v="0"/>
    <x v="0"/>
    <s v="PM"/>
    <x v="3"/>
    <s v="Track"/>
    <m/>
    <n v="1876"/>
    <n v="126"/>
    <n v="1810"/>
    <n v="126"/>
    <m/>
    <m/>
    <m/>
    <m/>
    <n v="1843"/>
    <n v="126"/>
    <n v="232218"/>
    <n v="29259.468000000001"/>
    <m/>
    <m/>
  </r>
  <r>
    <x v="3"/>
    <x v="0"/>
    <x v="0"/>
    <s v="AM"/>
    <x v="5"/>
    <s v="Track"/>
    <m/>
    <n v="1912"/>
    <n v="126"/>
    <n v="1876"/>
    <n v="125"/>
    <m/>
    <m/>
    <m/>
    <m/>
    <n v="1894"/>
    <n v="125.5"/>
    <n v="237697"/>
    <n v="29830.9735"/>
    <m/>
    <m/>
  </r>
  <r>
    <x v="3"/>
    <x v="0"/>
    <x v="0"/>
    <s v="AM"/>
    <x v="4"/>
    <s v="Track"/>
    <m/>
    <n v="1929"/>
    <n v="119"/>
    <n v="1880"/>
    <n v="119"/>
    <m/>
    <m/>
    <m/>
    <m/>
    <n v="1904.5"/>
    <n v="119"/>
    <n v="226635.5"/>
    <n v="26969.624500000002"/>
    <m/>
    <m/>
  </r>
  <r>
    <x v="3"/>
    <x v="0"/>
    <x v="0"/>
    <s v="AM"/>
    <x v="3"/>
    <s v="Track"/>
    <m/>
    <n v="1939"/>
    <n v="129"/>
    <n v="1916"/>
    <n v="128"/>
    <m/>
    <m/>
    <m/>
    <m/>
    <n v="1927.5"/>
    <n v="128.5"/>
    <n v="247683.75"/>
    <n v="31827.361874999999"/>
    <m/>
    <m/>
  </r>
  <r>
    <x v="3"/>
    <x v="0"/>
    <x v="0"/>
    <s v="PM"/>
    <x v="5"/>
    <s v="Track"/>
    <m/>
    <n v="2117"/>
    <n v="133"/>
    <n v="1978"/>
    <n v="131"/>
    <m/>
    <m/>
    <m/>
    <m/>
    <n v="2047.5"/>
    <n v="132"/>
    <n v="270270"/>
    <n v="35675.64"/>
    <m/>
    <m/>
  </r>
  <r>
    <x v="3"/>
    <x v="0"/>
    <x v="0"/>
    <s v="PM"/>
    <x v="4"/>
    <s v="Track"/>
    <m/>
    <n v="2198"/>
    <n v="126"/>
    <n v="2189"/>
    <n v="124"/>
    <m/>
    <m/>
    <m/>
    <m/>
    <n v="2193.5"/>
    <n v="125"/>
    <n v="274187.5"/>
    <n v="34273.4375"/>
    <m/>
    <m/>
  </r>
  <r>
    <x v="4"/>
    <x v="0"/>
    <x v="0"/>
    <s v="PM"/>
    <x v="1"/>
    <s v="Track"/>
    <m/>
    <n v="1761"/>
    <n v="131"/>
    <n v="1719"/>
    <n v="130"/>
    <m/>
    <m/>
    <m/>
    <m/>
    <n v="1740"/>
    <n v="130.5"/>
    <n v="227070"/>
    <n v="29632.634999999998"/>
    <m/>
    <m/>
  </r>
  <r>
    <x v="4"/>
    <x v="0"/>
    <x v="0"/>
    <s v="AM"/>
    <x v="1"/>
    <s v="Track"/>
    <m/>
    <n v="1793"/>
    <n v="129"/>
    <n v="1768"/>
    <n v="132"/>
    <m/>
    <m/>
    <m/>
    <m/>
    <n v="1780.5"/>
    <n v="130.5"/>
    <n v="232355.25"/>
    <n v="30322.360124999999"/>
    <m/>
    <m/>
  </r>
  <r>
    <x v="4"/>
    <x v="0"/>
    <x v="0"/>
    <s v="AM"/>
    <x v="2"/>
    <s v="Track"/>
    <m/>
    <n v="1832"/>
    <n v="125"/>
    <n v="1772"/>
    <n v="121"/>
    <m/>
    <m/>
    <m/>
    <m/>
    <n v="1802"/>
    <n v="123"/>
    <n v="221646"/>
    <n v="27262.457999999999"/>
    <m/>
    <m/>
  </r>
  <r>
    <x v="4"/>
    <x v="0"/>
    <x v="0"/>
    <s v="PM"/>
    <x v="3"/>
    <s v="Track"/>
    <m/>
    <n v="1902"/>
    <n v="128"/>
    <n v="1858"/>
    <n v="125"/>
    <m/>
    <m/>
    <m/>
    <m/>
    <n v="1880"/>
    <n v="126.5"/>
    <n v="237820"/>
    <n v="30084.23"/>
    <m/>
    <m/>
  </r>
  <r>
    <x v="4"/>
    <x v="0"/>
    <x v="0"/>
    <s v="AM"/>
    <x v="3"/>
    <s v="Track"/>
    <m/>
    <n v="1913"/>
    <n v="131"/>
    <n v="1874"/>
    <n v="127"/>
    <m/>
    <m/>
    <m/>
    <m/>
    <n v="1893.5"/>
    <n v="129"/>
    <n v="244261.5"/>
    <n v="31509.733499999998"/>
    <m/>
    <m/>
  </r>
  <r>
    <x v="4"/>
    <x v="0"/>
    <x v="0"/>
    <s v="PM"/>
    <x v="2"/>
    <s v="Track"/>
    <m/>
    <n v="1915"/>
    <n v="127"/>
    <n v="1891"/>
    <n v="124"/>
    <m/>
    <m/>
    <m/>
    <m/>
    <n v="1903"/>
    <n v="125.5"/>
    <n v="238826.5"/>
    <n v="29972.725750000001"/>
    <m/>
    <m/>
  </r>
  <r>
    <x v="4"/>
    <x v="0"/>
    <x v="0"/>
    <s v="AM"/>
    <x v="5"/>
    <s v="Track"/>
    <m/>
    <n v="1973"/>
    <n v="136"/>
    <n v="1955"/>
    <n v="133"/>
    <m/>
    <m/>
    <m/>
    <m/>
    <n v="1964"/>
    <n v="134.5"/>
    <n v="264158"/>
    <n v="35529.250999999997"/>
    <m/>
    <m/>
  </r>
  <r>
    <x v="4"/>
    <x v="0"/>
    <x v="0"/>
    <s v="AM"/>
    <x v="4"/>
    <s v="Track"/>
    <m/>
    <n v="2069"/>
    <n v="116"/>
    <n v="2007"/>
    <n v="116"/>
    <m/>
    <m/>
    <m/>
    <m/>
    <n v="2038"/>
    <n v="116"/>
    <n v="236408"/>
    <n v="27423.328000000001"/>
    <m/>
    <m/>
  </r>
  <r>
    <x v="5"/>
    <x v="0"/>
    <x v="0"/>
    <s v="PM"/>
    <x v="0"/>
    <s v="Track"/>
    <m/>
    <n v="1240"/>
    <n v="110"/>
    <n v="1250"/>
    <n v="114"/>
    <m/>
    <m/>
    <m/>
    <m/>
    <n v="1245"/>
    <n v="112"/>
    <n v="139440"/>
    <n v="15617.28"/>
    <m/>
    <m/>
  </r>
  <r>
    <x v="5"/>
    <x v="0"/>
    <x v="0"/>
    <s v="AM"/>
    <x v="0"/>
    <s v="Track"/>
    <m/>
    <n v="1251"/>
    <n v="116"/>
    <m/>
    <m/>
    <m/>
    <m/>
    <m/>
    <m/>
    <n v="1251"/>
    <n v="116"/>
    <n v="145116"/>
    <n v="16833.455999999998"/>
    <m/>
    <m/>
  </r>
  <r>
    <x v="5"/>
    <x v="0"/>
    <x v="0"/>
    <s v="PM"/>
    <x v="1"/>
    <s v="Track"/>
    <m/>
    <n v="1652"/>
    <n v="130"/>
    <n v="1634"/>
    <n v="127"/>
    <m/>
    <m/>
    <m/>
    <m/>
    <n v="1643"/>
    <n v="128.5"/>
    <n v="211125.5"/>
    <n v="27129.626749999999"/>
    <m/>
    <m/>
  </r>
  <r>
    <x v="5"/>
    <x v="0"/>
    <x v="0"/>
    <s v="AM"/>
    <x v="1"/>
    <s v="Track"/>
    <m/>
    <n v="1720"/>
    <n v="130"/>
    <n v="1711"/>
    <n v="126"/>
    <m/>
    <m/>
    <m/>
    <m/>
    <n v="1715.5"/>
    <n v="128"/>
    <n v="219584"/>
    <n v="28106.752"/>
    <m/>
    <m/>
  </r>
  <r>
    <x v="5"/>
    <x v="0"/>
    <x v="0"/>
    <s v="PM"/>
    <x v="2"/>
    <s v="Track"/>
    <m/>
    <n v="1775"/>
    <n v="123"/>
    <n v="1826"/>
    <n v="125"/>
    <m/>
    <m/>
    <m/>
    <m/>
    <n v="1800.5"/>
    <n v="124"/>
    <n v="223262"/>
    <n v="27684.488000000001"/>
    <m/>
    <m/>
  </r>
  <r>
    <x v="5"/>
    <x v="0"/>
    <x v="0"/>
    <s v="AM"/>
    <x v="2"/>
    <s v="Track"/>
    <m/>
    <n v="1839"/>
    <n v="124"/>
    <n v="1928"/>
    <n v="130"/>
    <m/>
    <m/>
    <m/>
    <m/>
    <n v="1883.5"/>
    <n v="127"/>
    <n v="239204.5"/>
    <n v="30378.9715"/>
    <m/>
    <m/>
  </r>
  <r>
    <x v="5"/>
    <x v="0"/>
    <x v="0"/>
    <s v="AM"/>
    <x v="3"/>
    <s v="Track"/>
    <m/>
    <n v="1867"/>
    <n v="123"/>
    <n v="1967"/>
    <n v="136"/>
    <m/>
    <m/>
    <m/>
    <m/>
    <n v="1917"/>
    <n v="129.5"/>
    <n v="248251.5"/>
    <n v="32148.56925"/>
    <m/>
    <m/>
  </r>
  <r>
    <x v="5"/>
    <x v="0"/>
    <x v="0"/>
    <s v="PM"/>
    <x v="3"/>
    <s v="Track"/>
    <m/>
    <n v="1940"/>
    <n v="130"/>
    <n v="1920"/>
    <n v="127"/>
    <m/>
    <m/>
    <m/>
    <m/>
    <n v="1930"/>
    <n v="128.5"/>
    <n v="248005"/>
    <n v="31868.642500000002"/>
    <m/>
    <m/>
  </r>
  <r>
    <x v="5"/>
    <x v="0"/>
    <x v="0"/>
    <s v="PM"/>
    <x v="5"/>
    <s v="Track"/>
    <m/>
    <n v="1914"/>
    <n v="130"/>
    <n v="2037"/>
    <n v="134"/>
    <m/>
    <m/>
    <m/>
    <m/>
    <n v="1975.5"/>
    <n v="132"/>
    <n v="260766"/>
    <n v="34421.112000000001"/>
    <m/>
    <m/>
  </r>
  <r>
    <x v="5"/>
    <x v="0"/>
    <x v="0"/>
    <s v="AM"/>
    <x v="5"/>
    <s v="Track"/>
    <m/>
    <n v="2028"/>
    <n v="134"/>
    <n v="1954"/>
    <n v="137"/>
    <m/>
    <m/>
    <m/>
    <m/>
    <n v="1991"/>
    <n v="135.5"/>
    <n v="269780.5"/>
    <n v="36555.257749999997"/>
    <m/>
    <m/>
  </r>
  <r>
    <x v="5"/>
    <x v="0"/>
    <x v="0"/>
    <s v="PM"/>
    <x v="4"/>
    <s v="Track"/>
    <m/>
    <n v="2060"/>
    <n v="129"/>
    <n v="2004"/>
    <n v="120"/>
    <m/>
    <m/>
    <m/>
    <m/>
    <n v="2032"/>
    <n v="124.5"/>
    <n v="252984"/>
    <n v="31496.508000000002"/>
    <m/>
    <m/>
  </r>
  <r>
    <x v="5"/>
    <x v="0"/>
    <x v="0"/>
    <s v="AM"/>
    <x v="4"/>
    <s v="Track"/>
    <m/>
    <n v="2090"/>
    <n v="122"/>
    <n v="2045"/>
    <n v="120"/>
    <m/>
    <m/>
    <m/>
    <m/>
    <n v="2067.5"/>
    <n v="121"/>
    <n v="250167.5"/>
    <n v="30270.267500000002"/>
    <m/>
    <m/>
  </r>
  <r>
    <x v="6"/>
    <x v="0"/>
    <x v="0"/>
    <s v="AM"/>
    <x v="0"/>
    <s v="Track"/>
    <m/>
    <n v="1167"/>
    <n v="110"/>
    <n v="1206"/>
    <n v="109"/>
    <m/>
    <m/>
    <m/>
    <m/>
    <n v="1186.5"/>
    <n v="109.5"/>
    <n v="129921.75"/>
    <n v="14226.431624999999"/>
    <m/>
    <m/>
  </r>
  <r>
    <x v="6"/>
    <x v="0"/>
    <x v="0"/>
    <s v="PM"/>
    <x v="0"/>
    <s v="Track"/>
    <m/>
    <n v="1282"/>
    <n v="118"/>
    <n v="1296"/>
    <n v="118"/>
    <m/>
    <m/>
    <m/>
    <m/>
    <n v="1289"/>
    <n v="118"/>
    <n v="152102"/>
    <n v="17948.036"/>
    <m/>
    <m/>
  </r>
  <r>
    <x v="6"/>
    <x v="0"/>
    <x v="0"/>
    <s v="PM"/>
    <x v="1"/>
    <s v="Track"/>
    <m/>
    <n v="1557"/>
    <n v="128"/>
    <n v="1590"/>
    <n v="125"/>
    <m/>
    <m/>
    <m/>
    <m/>
    <n v="1573.5"/>
    <n v="126.5"/>
    <n v="199047.75"/>
    <n v="25179.540375"/>
    <m/>
    <m/>
  </r>
  <r>
    <x v="6"/>
    <x v="0"/>
    <x v="0"/>
    <s v="AM"/>
    <x v="1"/>
    <s v="Track"/>
    <m/>
    <n v="1785"/>
    <n v="130"/>
    <n v="1776"/>
    <n v="131"/>
    <m/>
    <m/>
    <m/>
    <m/>
    <n v="1780.5"/>
    <n v="130.5"/>
    <n v="232355.25"/>
    <n v="30322.360124999999"/>
    <m/>
    <m/>
  </r>
  <r>
    <x v="6"/>
    <x v="0"/>
    <x v="0"/>
    <s v="PM"/>
    <x v="3"/>
    <s v="Track"/>
    <m/>
    <n v="1815"/>
    <n v="119"/>
    <n v="1826"/>
    <n v="127"/>
    <m/>
    <m/>
    <m/>
    <m/>
    <n v="1820.5"/>
    <n v="123"/>
    <n v="223921.5"/>
    <n v="27542.344499999999"/>
    <m/>
    <m/>
  </r>
  <r>
    <x v="6"/>
    <x v="0"/>
    <x v="0"/>
    <s v="AM"/>
    <x v="2"/>
    <s v="Track"/>
    <m/>
    <n v="1819"/>
    <n v="123"/>
    <n v="1847"/>
    <n v="126"/>
    <m/>
    <m/>
    <m/>
    <m/>
    <n v="1833"/>
    <n v="124.5"/>
    <n v="228208.5"/>
    <n v="28411.95825"/>
    <m/>
    <m/>
  </r>
  <r>
    <x v="6"/>
    <x v="0"/>
    <x v="0"/>
    <s v="PM"/>
    <x v="2"/>
    <s v="Track"/>
    <m/>
    <n v="1900"/>
    <n v="132"/>
    <n v="1838"/>
    <n v="126"/>
    <m/>
    <m/>
    <m/>
    <m/>
    <n v="1869"/>
    <n v="129"/>
    <n v="241101"/>
    <n v="31102.028999999999"/>
    <m/>
    <m/>
  </r>
  <r>
    <x v="6"/>
    <x v="0"/>
    <x v="0"/>
    <s v="AM"/>
    <x v="3"/>
    <s v="Track"/>
    <m/>
    <n v="1904"/>
    <n v="124"/>
    <n v="1972"/>
    <n v="132"/>
    <m/>
    <m/>
    <m/>
    <m/>
    <n v="1938"/>
    <n v="128"/>
    <n v="248064"/>
    <n v="31752.191999999999"/>
    <m/>
    <m/>
  </r>
  <r>
    <x v="6"/>
    <x v="0"/>
    <x v="0"/>
    <s v="PM"/>
    <x v="4"/>
    <s v="Track"/>
    <m/>
    <n v="1942"/>
    <n v="118"/>
    <n v="1948"/>
    <n v="122"/>
    <m/>
    <m/>
    <m/>
    <m/>
    <n v="1945"/>
    <n v="120"/>
    <n v="233400"/>
    <n v="28008"/>
    <m/>
    <m/>
  </r>
  <r>
    <x v="6"/>
    <x v="0"/>
    <x v="0"/>
    <s v="AM"/>
    <x v="5"/>
    <s v="Track"/>
    <m/>
    <n v="1953"/>
    <n v="130"/>
    <n v="2020"/>
    <n v="133"/>
    <m/>
    <m/>
    <m/>
    <m/>
    <n v="1986.5"/>
    <n v="131.5"/>
    <n v="261224.75"/>
    <n v="34351.054624999997"/>
    <m/>
    <m/>
  </r>
  <r>
    <x v="6"/>
    <x v="0"/>
    <x v="0"/>
    <s v="AM"/>
    <x v="4"/>
    <s v="Track"/>
    <m/>
    <n v="2072"/>
    <n v="122"/>
    <n v="1999"/>
    <n v="118"/>
    <m/>
    <m/>
    <m/>
    <m/>
    <n v="2035.5"/>
    <n v="120"/>
    <n v="244260"/>
    <n v="29311.200000000001"/>
    <m/>
    <m/>
  </r>
  <r>
    <x v="7"/>
    <x v="0"/>
    <x v="0"/>
    <s v="PM"/>
    <x v="0"/>
    <s v="Track"/>
    <m/>
    <n v="1250"/>
    <n v="112"/>
    <n v="1244"/>
    <n v="115"/>
    <m/>
    <m/>
    <m/>
    <m/>
    <n v="1247"/>
    <n v="113.5"/>
    <n v="141534.5"/>
    <n v="16064.16575"/>
    <m/>
    <m/>
  </r>
  <r>
    <x v="7"/>
    <x v="0"/>
    <x v="0"/>
    <s v="AM"/>
    <x v="0"/>
    <s v="Track"/>
    <m/>
    <n v="1298"/>
    <n v="117"/>
    <n v="1322"/>
    <n v="117"/>
    <m/>
    <m/>
    <m/>
    <m/>
    <n v="1310"/>
    <n v="117"/>
    <n v="153270"/>
    <n v="17932.59"/>
    <m/>
    <m/>
  </r>
  <r>
    <x v="7"/>
    <x v="0"/>
    <x v="0"/>
    <s v="AM"/>
    <x v="1"/>
    <s v="Track"/>
    <m/>
    <n v="1654"/>
    <n v="130"/>
    <n v="1654"/>
    <n v="128"/>
    <m/>
    <m/>
    <m/>
    <m/>
    <n v="1654"/>
    <n v="129"/>
    <n v="213366"/>
    <n v="27524.214"/>
    <m/>
    <m/>
  </r>
  <r>
    <x v="7"/>
    <x v="0"/>
    <x v="0"/>
    <s v="AM"/>
    <x v="2"/>
    <s v="Track"/>
    <m/>
    <n v="1709"/>
    <n v="119"/>
    <n v="1757"/>
    <n v="121"/>
    <m/>
    <m/>
    <m/>
    <m/>
    <n v="1733"/>
    <n v="120"/>
    <n v="207960"/>
    <n v="24955.200000000001"/>
    <m/>
    <m/>
  </r>
  <r>
    <x v="7"/>
    <x v="0"/>
    <x v="0"/>
    <s v="PM"/>
    <x v="1"/>
    <s v="Track"/>
    <m/>
    <n v="1774"/>
    <n v="130"/>
    <n v="1785"/>
    <n v="129"/>
    <m/>
    <m/>
    <m/>
    <m/>
    <n v="1779.5"/>
    <n v="129.5"/>
    <n v="230445.25"/>
    <n v="29842.659875000001"/>
    <m/>
    <m/>
  </r>
  <r>
    <x v="7"/>
    <x v="0"/>
    <x v="0"/>
    <s v="PM"/>
    <x v="3"/>
    <s v="Track"/>
    <m/>
    <n v="1765"/>
    <n v="124"/>
    <n v="1837"/>
    <n v="128"/>
    <m/>
    <m/>
    <m/>
    <m/>
    <n v="1801"/>
    <n v="126"/>
    <n v="226926"/>
    <n v="28592.675999999999"/>
    <m/>
    <m/>
  </r>
  <r>
    <x v="7"/>
    <x v="0"/>
    <x v="0"/>
    <s v="AM"/>
    <x v="3"/>
    <s v="Track"/>
    <m/>
    <n v="1804"/>
    <n v="129"/>
    <n v="1801"/>
    <n v="125"/>
    <m/>
    <m/>
    <m/>
    <m/>
    <n v="1802.5"/>
    <n v="127"/>
    <n v="228917.5"/>
    <n v="29072.522499999999"/>
    <m/>
    <m/>
  </r>
  <r>
    <x v="7"/>
    <x v="0"/>
    <x v="0"/>
    <s v="PM"/>
    <x v="2"/>
    <s v="Track"/>
    <m/>
    <n v="1824"/>
    <n v="126"/>
    <n v="1787"/>
    <n v="122"/>
    <m/>
    <m/>
    <m/>
    <m/>
    <n v="1805.5"/>
    <n v="124"/>
    <n v="223882"/>
    <n v="27761.367999999999"/>
    <m/>
    <m/>
  </r>
  <r>
    <x v="7"/>
    <x v="0"/>
    <x v="0"/>
    <s v="AM"/>
    <x v="4"/>
    <s v="Track"/>
    <m/>
    <n v="2022"/>
    <n v="124"/>
    <n v="1897"/>
    <n v="121"/>
    <m/>
    <m/>
    <m/>
    <m/>
    <n v="1959.5"/>
    <n v="122.5"/>
    <n v="240038.75"/>
    <n v="29404.746875000001"/>
    <m/>
    <m/>
  </r>
  <r>
    <x v="7"/>
    <x v="0"/>
    <x v="0"/>
    <s v="AM"/>
    <x v="5"/>
    <s v="Track"/>
    <m/>
    <n v="2031"/>
    <n v="137"/>
    <n v="1966"/>
    <n v="139"/>
    <m/>
    <m/>
    <m/>
    <m/>
    <n v="1998.5"/>
    <n v="138"/>
    <n v="275793"/>
    <n v="38059.434000000001"/>
    <m/>
    <m/>
  </r>
  <r>
    <x v="7"/>
    <x v="0"/>
    <x v="0"/>
    <s v="PM"/>
    <x v="5"/>
    <s v="Track"/>
    <m/>
    <n v="2104"/>
    <n v="133"/>
    <n v="1989"/>
    <n v="133"/>
    <m/>
    <m/>
    <m/>
    <m/>
    <n v="2046.5"/>
    <n v="133"/>
    <n v="272184.5"/>
    <n v="36200.538500000002"/>
    <m/>
    <m/>
  </r>
  <r>
    <x v="8"/>
    <x v="0"/>
    <x v="0"/>
    <s v="AM"/>
    <x v="0"/>
    <s v="Track"/>
    <m/>
    <n v="1217"/>
    <n v="110"/>
    <n v="1224"/>
    <n v="113"/>
    <m/>
    <m/>
    <m/>
    <m/>
    <n v="1220.5"/>
    <n v="111.5"/>
    <n v="136085.75"/>
    <n v="15173.561125"/>
    <m/>
    <m/>
  </r>
  <r>
    <x v="8"/>
    <x v="0"/>
    <x v="0"/>
    <s v="AM"/>
    <x v="2"/>
    <s v="Track"/>
    <m/>
    <n v="1692"/>
    <n v="119"/>
    <n v="1672"/>
    <n v="117"/>
    <m/>
    <m/>
    <m/>
    <m/>
    <n v="1682"/>
    <n v="118"/>
    <n v="198476"/>
    <n v="23420.168000000001"/>
    <m/>
    <m/>
  </r>
  <r>
    <x v="8"/>
    <x v="0"/>
    <x v="0"/>
    <s v="AM"/>
    <x v="3"/>
    <s v="Track"/>
    <m/>
    <n v="1722"/>
    <n v="123"/>
    <n v="1747"/>
    <n v="127"/>
    <m/>
    <m/>
    <m/>
    <m/>
    <n v="1734.5"/>
    <n v="125"/>
    <n v="216812.5"/>
    <n v="27101.5625"/>
    <m/>
    <m/>
  </r>
  <r>
    <x v="8"/>
    <x v="0"/>
    <x v="0"/>
    <s v="AM"/>
    <x v="1"/>
    <s v="Track"/>
    <m/>
    <n v="1652"/>
    <n v="125"/>
    <n v="1826"/>
    <n v="132"/>
    <m/>
    <m/>
    <m/>
    <m/>
    <n v="1739"/>
    <n v="128.5"/>
    <n v="223461.5"/>
    <n v="28714.802749999999"/>
    <m/>
    <m/>
  </r>
  <r>
    <x v="8"/>
    <x v="0"/>
    <x v="0"/>
    <s v="PM"/>
    <x v="2"/>
    <s v="Track"/>
    <m/>
    <n v="1727"/>
    <n v="123"/>
    <n v="1757"/>
    <n v="122"/>
    <m/>
    <m/>
    <m/>
    <m/>
    <n v="1742"/>
    <n v="122.5"/>
    <n v="213395"/>
    <n v="26140.887500000001"/>
    <m/>
    <m/>
  </r>
  <r>
    <x v="8"/>
    <x v="0"/>
    <x v="0"/>
    <s v="AM"/>
    <x v="5"/>
    <s v="Track"/>
    <m/>
    <n v="1907"/>
    <n v="130"/>
    <n v="1849"/>
    <n v="130"/>
    <m/>
    <m/>
    <m/>
    <m/>
    <n v="1878"/>
    <n v="130"/>
    <n v="244140"/>
    <n v="31738.2"/>
    <m/>
    <m/>
  </r>
  <r>
    <x v="8"/>
    <x v="0"/>
    <x v="0"/>
    <s v="PM"/>
    <x v="1"/>
    <s v="Track"/>
    <m/>
    <n v="1891"/>
    <n v="136"/>
    <m/>
    <m/>
    <m/>
    <m/>
    <m/>
    <m/>
    <n v="1891"/>
    <n v="136"/>
    <n v="257176"/>
    <n v="34975.936000000002"/>
    <m/>
    <m/>
  </r>
  <r>
    <x v="8"/>
    <x v="0"/>
    <x v="0"/>
    <s v="AM"/>
    <x v="4"/>
    <s v="Track"/>
    <m/>
    <n v="1896"/>
    <n v="116"/>
    <n v="1955"/>
    <n v="121"/>
    <m/>
    <m/>
    <m/>
    <m/>
    <n v="1925.5"/>
    <n v="118.5"/>
    <n v="228171.75"/>
    <n v="27038.352374999999"/>
    <m/>
    <m/>
  </r>
  <r>
    <x v="8"/>
    <x v="0"/>
    <x v="0"/>
    <s v="PM"/>
    <x v="3"/>
    <s v="Track"/>
    <m/>
    <n v="1856"/>
    <n v="131"/>
    <n v="2082"/>
    <n v="136"/>
    <m/>
    <m/>
    <m/>
    <m/>
    <n v="1969"/>
    <n v="133.5"/>
    <n v="262861.5"/>
    <n v="35092.010249999999"/>
    <m/>
    <m/>
  </r>
  <r>
    <x v="8"/>
    <x v="0"/>
    <x v="0"/>
    <s v="PM"/>
    <x v="5"/>
    <s v="Track"/>
    <m/>
    <n v="2002"/>
    <n v="139"/>
    <m/>
    <m/>
    <m/>
    <m/>
    <m/>
    <m/>
    <n v="2002"/>
    <n v="139"/>
    <n v="278278"/>
    <n v="38680.642"/>
    <m/>
    <m/>
  </r>
  <r>
    <x v="8"/>
    <x v="0"/>
    <x v="0"/>
    <s v="PM"/>
    <x v="4"/>
    <s v="Track"/>
    <m/>
    <n v="2125"/>
    <n v="122"/>
    <n v="2176"/>
    <n v="119"/>
    <m/>
    <m/>
    <m/>
    <m/>
    <n v="2150.5"/>
    <n v="120.5"/>
    <n v="259135.25"/>
    <n v="31225.797624999999"/>
    <m/>
    <m/>
  </r>
  <r>
    <x v="9"/>
    <x v="0"/>
    <x v="1"/>
    <s v="PM"/>
    <x v="2"/>
    <s v="Track"/>
    <m/>
    <n v="1881"/>
    <n v="125"/>
    <n v="1805"/>
    <n v="123"/>
    <m/>
    <m/>
    <m/>
    <m/>
    <n v="1843"/>
    <n v="124"/>
    <n v="228532"/>
    <n v="28337.968000000001"/>
    <m/>
    <m/>
  </r>
  <r>
    <x v="9"/>
    <x v="0"/>
    <x v="1"/>
    <s v="PM"/>
    <x v="3"/>
    <s v="Track"/>
    <m/>
    <n v="1875"/>
    <n v="130"/>
    <n v="1849"/>
    <n v="125"/>
    <m/>
    <m/>
    <m/>
    <m/>
    <n v="1862"/>
    <n v="127.5"/>
    <n v="237405"/>
    <n v="30269.137500000001"/>
    <m/>
    <m/>
  </r>
  <r>
    <x v="9"/>
    <x v="0"/>
    <x v="1"/>
    <s v="PM"/>
    <x v="4"/>
    <s v="Track"/>
    <m/>
    <n v="2081"/>
    <n v="116"/>
    <n v="1949"/>
    <n v="109"/>
    <m/>
    <m/>
    <m/>
    <m/>
    <n v="2015"/>
    <n v="112.5"/>
    <n v="226687.5"/>
    <n v="25502.34375"/>
    <m/>
    <m/>
  </r>
  <r>
    <x v="9"/>
    <x v="0"/>
    <x v="1"/>
    <s v="PM"/>
    <x v="5"/>
    <s v="Track"/>
    <m/>
    <n v="2069"/>
    <n v="135"/>
    <n v="2219"/>
    <n v="133"/>
    <m/>
    <m/>
    <m/>
    <m/>
    <n v="2144"/>
    <n v="134"/>
    <n v="287296"/>
    <n v="38497.663999999997"/>
    <m/>
    <m/>
  </r>
  <r>
    <x v="10"/>
    <x v="0"/>
    <x v="1"/>
    <s v="PM"/>
    <x v="0"/>
    <s v="Track"/>
    <m/>
    <n v="1182"/>
    <n v="114"/>
    <n v="1217"/>
    <n v="112"/>
    <m/>
    <m/>
    <m/>
    <m/>
    <n v="1199.5"/>
    <n v="113"/>
    <n v="135543.5"/>
    <n v="15316.415499999999"/>
    <m/>
    <m/>
  </r>
  <r>
    <x v="10"/>
    <x v="0"/>
    <x v="1"/>
    <s v="PM"/>
    <x v="1"/>
    <s v="Track"/>
    <m/>
    <n v="1628"/>
    <n v="132"/>
    <n v="1552"/>
    <n v="129"/>
    <m/>
    <m/>
    <m/>
    <m/>
    <n v="1590"/>
    <n v="130.5"/>
    <n v="207495"/>
    <n v="27078.0975"/>
    <m/>
    <m/>
  </r>
  <r>
    <x v="10"/>
    <x v="0"/>
    <x v="1"/>
    <s v="PM"/>
    <x v="2"/>
    <s v="Track"/>
    <m/>
    <n v="1695"/>
    <n v="123"/>
    <n v="1809"/>
    <n v="135"/>
    <m/>
    <m/>
    <m/>
    <m/>
    <n v="1752"/>
    <n v="129"/>
    <n v="226008"/>
    <n v="29155.031999999999"/>
    <m/>
    <m/>
  </r>
  <r>
    <x v="10"/>
    <x v="0"/>
    <x v="1"/>
    <s v="PM"/>
    <x v="3"/>
    <s v="Track"/>
    <m/>
    <n v="1794"/>
    <n v="133"/>
    <n v="1819"/>
    <n v="131"/>
    <m/>
    <m/>
    <m/>
    <m/>
    <n v="1806.5"/>
    <n v="132"/>
    <n v="238458"/>
    <n v="31476.455999999998"/>
    <m/>
    <m/>
  </r>
  <r>
    <x v="10"/>
    <x v="0"/>
    <x v="1"/>
    <s v="PM"/>
    <x v="4"/>
    <s v="Track"/>
    <m/>
    <n v="1871"/>
    <n v="133"/>
    <n v="1958"/>
    <n v="136"/>
    <m/>
    <m/>
    <m/>
    <m/>
    <n v="1914.5"/>
    <n v="134.5"/>
    <n v="257500.25"/>
    <n v="34633.783624999996"/>
    <m/>
    <m/>
  </r>
  <r>
    <x v="10"/>
    <x v="0"/>
    <x v="1"/>
    <s v="PM"/>
    <x v="5"/>
    <s v="Track"/>
    <m/>
    <n v="1949"/>
    <n v="134"/>
    <n v="1961"/>
    <n v="136"/>
    <m/>
    <m/>
    <m/>
    <m/>
    <n v="1955"/>
    <n v="135"/>
    <n v="263925"/>
    <n v="35629.875"/>
    <m/>
    <m/>
  </r>
  <r>
    <x v="11"/>
    <x v="1"/>
    <x v="2"/>
    <m/>
    <x v="0"/>
    <s v="Track"/>
    <m/>
    <n v="1189"/>
    <n v="118"/>
    <n v="1194"/>
    <n v="117"/>
    <m/>
    <m/>
    <m/>
    <m/>
    <n v="1191.5"/>
    <n v="117.5"/>
    <n v="140001.25"/>
    <n v="16450.146874999999"/>
    <m/>
    <m/>
  </r>
  <r>
    <x v="12"/>
    <x v="1"/>
    <x v="2"/>
    <m/>
    <x v="0"/>
    <s v="Track"/>
    <m/>
    <n v="1232"/>
    <n v="120"/>
    <n v="1225"/>
    <n v="119"/>
    <m/>
    <m/>
    <m/>
    <m/>
    <n v="1228.5"/>
    <n v="119.5"/>
    <n v="146805.75"/>
    <n v="17543.287124999999"/>
    <m/>
    <m/>
  </r>
  <r>
    <x v="12"/>
    <x v="1"/>
    <x v="2"/>
    <m/>
    <x v="2"/>
    <s v="Track"/>
    <m/>
    <n v="1717"/>
    <n v="130"/>
    <n v="1695"/>
    <n v="129"/>
    <m/>
    <m/>
    <m/>
    <m/>
    <n v="1706"/>
    <n v="129.5"/>
    <n v="220927"/>
    <n v="28610.0465"/>
    <m/>
    <m/>
  </r>
  <r>
    <x v="12"/>
    <x v="1"/>
    <x v="2"/>
    <m/>
    <x v="3"/>
    <s v="Track"/>
    <m/>
    <n v="1685"/>
    <n v="134"/>
    <n v="1770"/>
    <n v="138"/>
    <m/>
    <m/>
    <m/>
    <m/>
    <n v="1727.5"/>
    <n v="136"/>
    <n v="234940"/>
    <n v="31951.84"/>
    <m/>
    <m/>
  </r>
  <r>
    <x v="12"/>
    <x v="1"/>
    <x v="2"/>
    <m/>
    <x v="1"/>
    <s v="Track"/>
    <m/>
    <n v="1731"/>
    <n v="139"/>
    <n v="1782"/>
    <n v="138"/>
    <m/>
    <m/>
    <m/>
    <m/>
    <n v="1756.5"/>
    <n v="138.5"/>
    <n v="243275.25"/>
    <n v="33693.622125000002"/>
    <m/>
    <m/>
  </r>
  <r>
    <x v="13"/>
    <x v="1"/>
    <x v="3"/>
    <m/>
    <x v="0"/>
    <s v="Track"/>
    <m/>
    <n v="1229"/>
    <n v="123"/>
    <n v="1249"/>
    <n v="121"/>
    <m/>
    <m/>
    <m/>
    <m/>
    <n v="1239"/>
    <n v="122"/>
    <n v="151158"/>
    <n v="18441.276000000002"/>
    <m/>
    <m/>
  </r>
  <r>
    <x v="13"/>
    <x v="1"/>
    <x v="3"/>
    <m/>
    <x v="2"/>
    <s v="Track"/>
    <m/>
    <n v="1656"/>
    <n v="132"/>
    <n v="1700"/>
    <n v="128"/>
    <m/>
    <m/>
    <m/>
    <m/>
    <n v="1678"/>
    <n v="130"/>
    <n v="218140"/>
    <n v="28358.2"/>
    <m/>
    <m/>
  </r>
  <r>
    <x v="13"/>
    <x v="1"/>
    <x v="3"/>
    <m/>
    <x v="1"/>
    <s v="Track"/>
    <m/>
    <n v="1739"/>
    <n v="134"/>
    <n v="1758"/>
    <n v="135"/>
    <m/>
    <m/>
    <m/>
    <m/>
    <n v="1748.5"/>
    <n v="134.5"/>
    <n v="235173.25"/>
    <n v="31630.802124999998"/>
    <m/>
    <m/>
  </r>
  <r>
    <x v="13"/>
    <x v="1"/>
    <x v="3"/>
    <m/>
    <x v="3"/>
    <s v="Track"/>
    <m/>
    <n v="1789"/>
    <n v="129"/>
    <n v="1821"/>
    <n v="129"/>
    <m/>
    <m/>
    <m/>
    <m/>
    <n v="1805"/>
    <n v="129"/>
    <n v="232845"/>
    <n v="30037.005000000001"/>
    <m/>
    <m/>
  </r>
  <r>
    <x v="13"/>
    <x v="1"/>
    <x v="3"/>
    <m/>
    <x v="4"/>
    <s v="Track"/>
    <m/>
    <n v="2059"/>
    <n v="134"/>
    <n v="2054"/>
    <n v="129"/>
    <m/>
    <m/>
    <m/>
    <m/>
    <n v="2056.5"/>
    <n v="131.5"/>
    <n v="270429.75"/>
    <n v="35561.512125000001"/>
    <m/>
    <m/>
  </r>
  <r>
    <x v="14"/>
    <x v="1"/>
    <x v="3"/>
    <m/>
    <x v="0"/>
    <s v="Track"/>
    <m/>
    <n v="1173"/>
    <n v="118"/>
    <m/>
    <m/>
    <m/>
    <m/>
    <m/>
    <m/>
    <n v="1173"/>
    <n v="118"/>
    <n v="138414"/>
    <n v="16332.852000000001"/>
    <m/>
    <m/>
  </r>
  <r>
    <x v="14"/>
    <x v="1"/>
    <x v="3"/>
    <m/>
    <x v="2"/>
    <s v="Track"/>
    <m/>
    <n v="1710"/>
    <n v="133"/>
    <m/>
    <m/>
    <m/>
    <m/>
    <m/>
    <m/>
    <n v="1710"/>
    <n v="133"/>
    <n v="227430"/>
    <n v="30248.19"/>
    <m/>
    <m/>
  </r>
  <r>
    <x v="14"/>
    <x v="1"/>
    <x v="3"/>
    <m/>
    <x v="1"/>
    <s v="Track"/>
    <m/>
    <n v="1794"/>
    <n v="135"/>
    <n v="1704"/>
    <n v="135"/>
    <m/>
    <m/>
    <m/>
    <m/>
    <n v="1749"/>
    <n v="135"/>
    <n v="236115"/>
    <n v="31875.525000000001"/>
    <m/>
    <m/>
  </r>
  <r>
    <x v="14"/>
    <x v="1"/>
    <x v="3"/>
    <m/>
    <x v="3"/>
    <s v="Track"/>
    <m/>
    <n v="1818"/>
    <n v="133"/>
    <m/>
    <m/>
    <m/>
    <m/>
    <m/>
    <m/>
    <n v="1818"/>
    <n v="133"/>
    <n v="241794"/>
    <n v="32158.601999999999"/>
    <m/>
    <m/>
  </r>
  <r>
    <x v="14"/>
    <x v="1"/>
    <x v="3"/>
    <m/>
    <x v="4"/>
    <s v="Track"/>
    <m/>
    <n v="1992"/>
    <n v="129"/>
    <m/>
    <m/>
    <m/>
    <m/>
    <m/>
    <m/>
    <n v="1992"/>
    <n v="129"/>
    <n v="256968"/>
    <n v="33148.872000000003"/>
    <m/>
    <m/>
  </r>
  <r>
    <x v="14"/>
    <x v="1"/>
    <x v="3"/>
    <m/>
    <x v="5"/>
    <s v="Track"/>
    <m/>
    <n v="2064"/>
    <n v="138"/>
    <m/>
    <m/>
    <m/>
    <m/>
    <m/>
    <m/>
    <n v="2064"/>
    <n v="138"/>
    <n v="284832"/>
    <n v="39306.815999999999"/>
    <m/>
    <m/>
  </r>
  <r>
    <x v="15"/>
    <x v="1"/>
    <x v="3"/>
    <m/>
    <x v="0"/>
    <s v="Track"/>
    <m/>
    <n v="1199"/>
    <n v="120"/>
    <n v="1180"/>
    <n v="121"/>
    <m/>
    <m/>
    <m/>
    <m/>
    <n v="1189.5"/>
    <n v="120.5"/>
    <n v="143334.75"/>
    <n v="17271.837374999999"/>
    <m/>
    <m/>
  </r>
  <r>
    <x v="15"/>
    <x v="1"/>
    <x v="3"/>
    <m/>
    <x v="2"/>
    <s v="Track"/>
    <m/>
    <n v="1714"/>
    <n v="126"/>
    <m/>
    <m/>
    <m/>
    <m/>
    <m/>
    <m/>
    <n v="1714"/>
    <n v="126"/>
    <n v="215964"/>
    <n v="27211.464"/>
    <m/>
    <m/>
  </r>
  <r>
    <x v="15"/>
    <x v="1"/>
    <x v="3"/>
    <m/>
    <x v="1"/>
    <s v="Track"/>
    <m/>
    <n v="1751"/>
    <n v="136"/>
    <m/>
    <m/>
    <m/>
    <m/>
    <m/>
    <m/>
    <n v="1751"/>
    <n v="136"/>
    <n v="238136"/>
    <n v="32386.495999999999"/>
    <m/>
    <m/>
  </r>
  <r>
    <x v="15"/>
    <x v="1"/>
    <x v="3"/>
    <m/>
    <x v="3"/>
    <s v="Track"/>
    <m/>
    <n v="1833"/>
    <n v="138"/>
    <m/>
    <m/>
    <m/>
    <m/>
    <m/>
    <m/>
    <n v="1833"/>
    <n v="138"/>
    <n v="252954"/>
    <n v="34907.652000000002"/>
    <m/>
    <m/>
  </r>
  <r>
    <x v="15"/>
    <x v="1"/>
    <x v="3"/>
    <m/>
    <x v="5"/>
    <s v="Track"/>
    <m/>
    <n v="1986"/>
    <n v="140"/>
    <m/>
    <m/>
    <m/>
    <m/>
    <m/>
    <m/>
    <n v="1986"/>
    <n v="140"/>
    <n v="278040"/>
    <n v="38925.599999999999"/>
    <m/>
    <m/>
  </r>
  <r>
    <x v="15"/>
    <x v="1"/>
    <x v="3"/>
    <m/>
    <x v="4"/>
    <s v="Track"/>
    <m/>
    <n v="2096"/>
    <n v="136"/>
    <m/>
    <m/>
    <m/>
    <m/>
    <m/>
    <m/>
    <n v="2096"/>
    <n v="136"/>
    <n v="285056"/>
    <n v="38767.616000000002"/>
    <m/>
    <m/>
  </r>
  <r>
    <x v="16"/>
    <x v="1"/>
    <x v="3"/>
    <m/>
    <x v="2"/>
    <s v="Track"/>
    <m/>
    <n v="1609"/>
    <n v="128"/>
    <n v="1747"/>
    <n v="131"/>
    <m/>
    <m/>
    <m/>
    <m/>
    <n v="1678"/>
    <n v="129.5"/>
    <n v="217301"/>
    <n v="28140.479500000001"/>
    <m/>
    <m/>
  </r>
  <r>
    <x v="16"/>
    <x v="1"/>
    <x v="3"/>
    <m/>
    <x v="1"/>
    <s v="Track"/>
    <m/>
    <n v="1774"/>
    <n v="131"/>
    <n v="1747"/>
    <n v="133"/>
    <m/>
    <m/>
    <m/>
    <m/>
    <n v="1760.5"/>
    <n v="132"/>
    <n v="232386"/>
    <n v="30674.952000000001"/>
    <m/>
    <m/>
  </r>
  <r>
    <x v="16"/>
    <x v="1"/>
    <x v="3"/>
    <m/>
    <x v="3"/>
    <s v="Track"/>
    <m/>
    <n v="1810"/>
    <n v="132"/>
    <n v="1799"/>
    <n v="130"/>
    <m/>
    <m/>
    <m/>
    <m/>
    <n v="1804.5"/>
    <n v="131"/>
    <n v="236389.5"/>
    <n v="30967.0245"/>
    <m/>
    <m/>
  </r>
  <r>
    <x v="16"/>
    <x v="1"/>
    <x v="3"/>
    <m/>
    <x v="5"/>
    <s v="Track"/>
    <m/>
    <n v="1981"/>
    <n v="139"/>
    <n v="2017"/>
    <n v="140"/>
    <m/>
    <m/>
    <m/>
    <m/>
    <n v="1999"/>
    <n v="139.5"/>
    <n v="278860.5"/>
    <n v="38901.039750000004"/>
    <m/>
    <m/>
  </r>
  <r>
    <x v="16"/>
    <x v="1"/>
    <x v="3"/>
    <m/>
    <x v="4"/>
    <s v="Track"/>
    <m/>
    <n v="2038"/>
    <n v="130"/>
    <n v="2016"/>
    <n v="125"/>
    <m/>
    <m/>
    <m/>
    <m/>
    <n v="2027"/>
    <n v="127.5"/>
    <n v="258442.5"/>
    <n v="32951.418749999997"/>
    <m/>
    <m/>
  </r>
  <r>
    <x v="17"/>
    <x v="1"/>
    <x v="3"/>
    <m/>
    <x v="0"/>
    <s v="Track"/>
    <m/>
    <n v="1212"/>
    <n v="117"/>
    <n v="1183"/>
    <n v="124"/>
    <m/>
    <m/>
    <m/>
    <m/>
    <n v="1197.5"/>
    <n v="120.5"/>
    <n v="144298.75"/>
    <n v="17387.999374999999"/>
    <m/>
    <m/>
  </r>
  <r>
    <x v="17"/>
    <x v="1"/>
    <x v="3"/>
    <m/>
    <x v="2"/>
    <s v="Track"/>
    <m/>
    <n v="1770"/>
    <n v="125"/>
    <m/>
    <m/>
    <m/>
    <m/>
    <m/>
    <m/>
    <n v="1770"/>
    <n v="125"/>
    <n v="221250"/>
    <n v="27656.25"/>
    <m/>
    <m/>
  </r>
  <r>
    <x v="18"/>
    <x v="1"/>
    <x v="3"/>
    <m/>
    <x v="0"/>
    <s v="Track"/>
    <m/>
    <n v="1218"/>
    <n v="123"/>
    <n v="1244"/>
    <n v="125"/>
    <m/>
    <m/>
    <m/>
    <m/>
    <n v="1231"/>
    <n v="124"/>
    <n v="152644"/>
    <n v="18927.856"/>
    <m/>
    <m/>
  </r>
  <r>
    <x v="18"/>
    <x v="1"/>
    <x v="3"/>
    <m/>
    <x v="1"/>
    <s v="Track"/>
    <m/>
    <n v="1756"/>
    <n v="138"/>
    <n v="1744"/>
    <n v="129"/>
    <m/>
    <m/>
    <m/>
    <m/>
    <n v="1750"/>
    <n v="133.5"/>
    <n v="233625"/>
    <n v="31188.9375"/>
    <m/>
    <m/>
  </r>
  <r>
    <x v="18"/>
    <x v="1"/>
    <x v="3"/>
    <m/>
    <x v="3"/>
    <s v="Track"/>
    <m/>
    <n v="1741"/>
    <n v="131"/>
    <n v="1764"/>
    <n v="131"/>
    <m/>
    <m/>
    <m/>
    <m/>
    <n v="1752.5"/>
    <n v="131"/>
    <n v="229577.5"/>
    <n v="30074.6525"/>
    <m/>
    <m/>
  </r>
  <r>
    <x v="18"/>
    <x v="1"/>
    <x v="3"/>
    <m/>
    <x v="2"/>
    <s v="Track"/>
    <m/>
    <n v="1854"/>
    <n v="134"/>
    <m/>
    <m/>
    <m/>
    <m/>
    <m/>
    <m/>
    <n v="1854"/>
    <n v="134"/>
    <n v="248436"/>
    <n v="33290.423999999999"/>
    <m/>
    <m/>
  </r>
  <r>
    <x v="18"/>
    <x v="1"/>
    <x v="3"/>
    <m/>
    <x v="5"/>
    <s v="Track"/>
    <m/>
    <n v="1935"/>
    <n v="138"/>
    <n v="1946"/>
    <n v="137"/>
    <m/>
    <m/>
    <m/>
    <m/>
    <n v="1940.5"/>
    <n v="137.5"/>
    <n v="266818.75"/>
    <n v="36687.578125"/>
    <m/>
    <m/>
  </r>
  <r>
    <x v="18"/>
    <x v="1"/>
    <x v="3"/>
    <m/>
    <x v="4"/>
    <s v="Track"/>
    <m/>
    <n v="2117"/>
    <n v="135"/>
    <n v="2142"/>
    <n v="132"/>
    <m/>
    <m/>
    <m/>
    <m/>
    <n v="2129.5"/>
    <n v="133.5"/>
    <n v="284288.25"/>
    <n v="37952.481375000003"/>
    <m/>
    <m/>
  </r>
  <r>
    <x v="19"/>
    <x v="1"/>
    <x v="3"/>
    <m/>
    <x v="0"/>
    <s v="Track"/>
    <m/>
    <n v="1282"/>
    <n v="122"/>
    <n v="1288"/>
    <n v="121"/>
    <m/>
    <m/>
    <m/>
    <m/>
    <n v="1285"/>
    <n v="121.5"/>
    <n v="156127.5"/>
    <n v="18969.491249999999"/>
    <m/>
    <m/>
  </r>
  <r>
    <x v="19"/>
    <x v="1"/>
    <x v="3"/>
    <m/>
    <x v="1"/>
    <s v="Track"/>
    <m/>
    <n v="1724"/>
    <n v="132"/>
    <n v="1610"/>
    <n v="125"/>
    <m/>
    <m/>
    <m/>
    <m/>
    <n v="1667"/>
    <n v="128.5"/>
    <n v="214209.5"/>
    <n v="27525.920750000001"/>
    <m/>
    <m/>
  </r>
  <r>
    <x v="19"/>
    <x v="1"/>
    <x v="3"/>
    <m/>
    <x v="2"/>
    <s v="Track"/>
    <m/>
    <n v="1702"/>
    <n v="126"/>
    <n v="1722"/>
    <n v="126"/>
    <m/>
    <m/>
    <m/>
    <m/>
    <n v="1712"/>
    <n v="126"/>
    <n v="215712"/>
    <n v="27179.712"/>
    <m/>
    <m/>
  </r>
  <r>
    <x v="19"/>
    <x v="1"/>
    <x v="3"/>
    <m/>
    <x v="3"/>
    <s v="Track"/>
    <m/>
    <n v="1731"/>
    <n v="125"/>
    <n v="1743"/>
    <n v="124"/>
    <m/>
    <m/>
    <m/>
    <m/>
    <n v="1737"/>
    <n v="124.5"/>
    <n v="216256.5"/>
    <n v="26923.934249999998"/>
    <m/>
    <m/>
  </r>
  <r>
    <x v="19"/>
    <x v="1"/>
    <x v="3"/>
    <m/>
    <x v="5"/>
    <s v="Track"/>
    <m/>
    <n v="1953"/>
    <n v="135"/>
    <n v="1898"/>
    <n v="141"/>
    <m/>
    <m/>
    <m/>
    <m/>
    <n v="1925.5"/>
    <n v="138"/>
    <n v="265719"/>
    <n v="36669.222000000002"/>
    <m/>
    <m/>
  </r>
  <r>
    <x v="19"/>
    <x v="1"/>
    <x v="3"/>
    <m/>
    <x v="4"/>
    <s v="Track"/>
    <m/>
    <n v="1975"/>
    <n v="120"/>
    <n v="1957"/>
    <n v="120"/>
    <m/>
    <m/>
    <m/>
    <m/>
    <n v="1966"/>
    <n v="120"/>
    <n v="235920"/>
    <n v="28310.400000000001"/>
    <m/>
    <m/>
  </r>
  <r>
    <x v="20"/>
    <x v="1"/>
    <x v="3"/>
    <m/>
    <x v="1"/>
    <s v="Track"/>
    <m/>
    <n v="1665"/>
    <n v="132"/>
    <n v="1649"/>
    <n v="130"/>
    <m/>
    <m/>
    <m/>
    <m/>
    <n v="1657"/>
    <n v="131"/>
    <n v="217067"/>
    <n v="28435.776999999998"/>
    <m/>
    <m/>
  </r>
  <r>
    <x v="20"/>
    <x v="1"/>
    <x v="3"/>
    <m/>
    <x v="3"/>
    <s v="Track"/>
    <m/>
    <n v="1740"/>
    <n v="132"/>
    <n v="1687"/>
    <n v="129"/>
    <m/>
    <m/>
    <m/>
    <m/>
    <n v="1713.5"/>
    <n v="130.5"/>
    <n v="223611.75"/>
    <n v="29181.333374999998"/>
    <m/>
    <m/>
  </r>
  <r>
    <x v="20"/>
    <x v="1"/>
    <x v="3"/>
    <m/>
    <x v="2"/>
    <s v="Track"/>
    <m/>
    <n v="1779"/>
    <n v="133"/>
    <n v="1816"/>
    <n v="132"/>
    <m/>
    <m/>
    <m/>
    <m/>
    <n v="1797.5"/>
    <n v="132.5"/>
    <n v="238168.75"/>
    <n v="31557.359375"/>
    <m/>
    <m/>
  </r>
  <r>
    <x v="20"/>
    <x v="1"/>
    <x v="3"/>
    <m/>
    <x v="5"/>
    <s v="Track"/>
    <m/>
    <n v="1893"/>
    <n v="137"/>
    <n v="1937"/>
    <n v="140"/>
    <m/>
    <m/>
    <m/>
    <m/>
    <n v="1915"/>
    <n v="138.5"/>
    <n v="265227.5"/>
    <n v="36734.008750000001"/>
    <m/>
    <m/>
  </r>
  <r>
    <x v="20"/>
    <x v="1"/>
    <x v="3"/>
    <m/>
    <x v="4"/>
    <s v="Track"/>
    <m/>
    <n v="2121"/>
    <n v="131"/>
    <n v="2054"/>
    <n v="125"/>
    <m/>
    <m/>
    <m/>
    <m/>
    <n v="2087.5"/>
    <n v="128"/>
    <n v="267200"/>
    <n v="34201.599999999999"/>
    <m/>
    <m/>
  </r>
  <r>
    <x v="21"/>
    <x v="1"/>
    <x v="3"/>
    <m/>
    <x v="2"/>
    <s v="Track"/>
    <m/>
    <n v="1667"/>
    <n v="130"/>
    <n v="1678"/>
    <n v="131"/>
    <m/>
    <m/>
    <m/>
    <m/>
    <n v="1672.5"/>
    <n v="130.5"/>
    <n v="218261.25"/>
    <n v="28483.093124999999"/>
    <m/>
    <m/>
  </r>
  <r>
    <x v="21"/>
    <x v="1"/>
    <x v="3"/>
    <m/>
    <x v="3"/>
    <s v="Track"/>
    <m/>
    <n v="1666"/>
    <n v="125"/>
    <n v="1712"/>
    <n v="125"/>
    <m/>
    <m/>
    <m/>
    <m/>
    <n v="1689"/>
    <n v="125"/>
    <n v="211125"/>
    <n v="26390.625"/>
    <m/>
    <m/>
  </r>
  <r>
    <x v="21"/>
    <x v="1"/>
    <x v="3"/>
    <m/>
    <x v="1"/>
    <s v="Track"/>
    <m/>
    <n v="1745"/>
    <n v="126"/>
    <m/>
    <m/>
    <m/>
    <m/>
    <m/>
    <m/>
    <n v="1745"/>
    <n v="126"/>
    <n v="219870"/>
    <n v="27703.62"/>
    <m/>
    <m/>
  </r>
  <r>
    <x v="21"/>
    <x v="1"/>
    <x v="3"/>
    <m/>
    <x v="5"/>
    <s v="Track"/>
    <m/>
    <n v="1934"/>
    <n v="146"/>
    <n v="1929"/>
    <n v="147"/>
    <m/>
    <m/>
    <m/>
    <m/>
    <n v="1931.5"/>
    <n v="146.5"/>
    <n v="282964.75"/>
    <n v="41454.335874999997"/>
    <m/>
    <m/>
  </r>
  <r>
    <x v="21"/>
    <x v="1"/>
    <x v="3"/>
    <m/>
    <x v="4"/>
    <s v="Track"/>
    <m/>
    <n v="2041"/>
    <n v="129"/>
    <n v="1922"/>
    <n v="132"/>
    <m/>
    <m/>
    <m/>
    <m/>
    <n v="1981.5"/>
    <n v="130.5"/>
    <n v="258585.75"/>
    <n v="33745.440374999998"/>
    <m/>
    <m/>
  </r>
  <r>
    <x v="22"/>
    <x v="1"/>
    <x v="3"/>
    <m/>
    <x v="1"/>
    <s v="Track"/>
    <m/>
    <n v="1743"/>
    <n v="132"/>
    <n v="1749"/>
    <n v="132"/>
    <m/>
    <m/>
    <m/>
    <m/>
    <n v="1746"/>
    <n v="132"/>
    <n v="230472"/>
    <n v="30422.304"/>
    <m/>
    <m/>
  </r>
  <r>
    <x v="22"/>
    <x v="1"/>
    <x v="3"/>
    <m/>
    <x v="5"/>
    <s v="Track"/>
    <m/>
    <n v="1984"/>
    <n v="149"/>
    <n v="2013"/>
    <n v="142"/>
    <m/>
    <m/>
    <m/>
    <m/>
    <n v="1998.5"/>
    <n v="145.5"/>
    <n v="290781.75"/>
    <n v="42308.744624999999"/>
    <m/>
    <m/>
  </r>
  <r>
    <x v="22"/>
    <x v="1"/>
    <x v="3"/>
    <m/>
    <x v="4"/>
    <s v="Track"/>
    <m/>
    <n v="2002"/>
    <n v="123"/>
    <m/>
    <m/>
    <m/>
    <m/>
    <m/>
    <m/>
    <n v="2002"/>
    <n v="123"/>
    <n v="246246"/>
    <n v="30288.258000000002"/>
    <m/>
    <m/>
  </r>
  <r>
    <x v="23"/>
    <x v="1"/>
    <x v="3"/>
    <m/>
    <x v="2"/>
    <s v="Track"/>
    <m/>
    <n v="1674"/>
    <n v="130"/>
    <m/>
    <m/>
    <m/>
    <m/>
    <m/>
    <m/>
    <n v="1674"/>
    <n v="130"/>
    <n v="217620"/>
    <n v="28290.6"/>
    <m/>
    <m/>
  </r>
  <r>
    <x v="23"/>
    <x v="1"/>
    <x v="3"/>
    <m/>
    <x v="3"/>
    <s v="Track"/>
    <m/>
    <n v="1690"/>
    <n v="129"/>
    <m/>
    <m/>
    <m/>
    <m/>
    <m/>
    <m/>
    <n v="1690"/>
    <n v="129"/>
    <n v="218010"/>
    <n v="28123.29"/>
    <m/>
    <m/>
  </r>
  <r>
    <x v="23"/>
    <x v="1"/>
    <x v="3"/>
    <m/>
    <x v="2"/>
    <s v="Track"/>
    <m/>
    <n v="1728"/>
    <n v="130"/>
    <m/>
    <m/>
    <m/>
    <m/>
    <m/>
    <m/>
    <n v="1728"/>
    <n v="130"/>
    <n v="224640"/>
    <n v="29203.200000000001"/>
    <m/>
    <m/>
  </r>
  <r>
    <x v="23"/>
    <x v="1"/>
    <x v="3"/>
    <m/>
    <x v="1"/>
    <s v="Track"/>
    <m/>
    <n v="1738"/>
    <n v="132"/>
    <m/>
    <m/>
    <m/>
    <m/>
    <m/>
    <m/>
    <n v="1738"/>
    <n v="132"/>
    <n v="229416"/>
    <n v="30282.912"/>
    <m/>
    <m/>
  </r>
  <r>
    <x v="23"/>
    <x v="1"/>
    <x v="3"/>
    <m/>
    <x v="3"/>
    <s v="Track"/>
    <m/>
    <n v="1805"/>
    <n v="133"/>
    <m/>
    <m/>
    <m/>
    <m/>
    <m/>
    <m/>
    <n v="1805"/>
    <n v="133"/>
    <n v="240065"/>
    <n v="31928.645"/>
    <m/>
    <m/>
  </r>
  <r>
    <x v="23"/>
    <x v="1"/>
    <x v="3"/>
    <m/>
    <x v="1"/>
    <s v="Track"/>
    <m/>
    <n v="1812"/>
    <n v="132"/>
    <m/>
    <m/>
    <m/>
    <m/>
    <m/>
    <m/>
    <n v="1812"/>
    <n v="132"/>
    <n v="239184"/>
    <n v="31572.288"/>
    <m/>
    <m/>
  </r>
  <r>
    <x v="23"/>
    <x v="1"/>
    <x v="3"/>
    <m/>
    <x v="5"/>
    <s v="Track"/>
    <m/>
    <n v="1855"/>
    <n v="140"/>
    <m/>
    <m/>
    <m/>
    <m/>
    <m/>
    <m/>
    <n v="1855"/>
    <n v="140"/>
    <n v="259700"/>
    <n v="36358"/>
    <m/>
    <m/>
  </r>
  <r>
    <x v="23"/>
    <x v="1"/>
    <x v="3"/>
    <m/>
    <x v="5"/>
    <s v="Track"/>
    <m/>
    <n v="1916"/>
    <n v="140"/>
    <m/>
    <m/>
    <m/>
    <m/>
    <m/>
    <m/>
    <n v="1916"/>
    <n v="140"/>
    <n v="268240"/>
    <n v="37553.599999999999"/>
    <m/>
    <m/>
  </r>
  <r>
    <x v="23"/>
    <x v="1"/>
    <x v="3"/>
    <m/>
    <x v="4"/>
    <s v="Track"/>
    <m/>
    <n v="2017"/>
    <n v="125"/>
    <m/>
    <m/>
    <m/>
    <m/>
    <m/>
    <m/>
    <n v="2017"/>
    <n v="125"/>
    <n v="252125"/>
    <n v="31515.625"/>
    <m/>
    <m/>
  </r>
  <r>
    <x v="23"/>
    <x v="1"/>
    <x v="3"/>
    <m/>
    <x v="4"/>
    <s v="Track"/>
    <m/>
    <n v="2071"/>
    <n v="133"/>
    <m/>
    <m/>
    <m/>
    <m/>
    <m/>
    <m/>
    <n v="2071"/>
    <n v="133"/>
    <n v="275443"/>
    <n v="36633.919000000002"/>
    <m/>
    <m/>
  </r>
  <r>
    <x v="24"/>
    <x v="1"/>
    <x v="4"/>
    <m/>
    <x v="1"/>
    <s v="Track"/>
    <m/>
    <n v="1730"/>
    <n v="127"/>
    <n v="1696"/>
    <n v="125"/>
    <m/>
    <m/>
    <m/>
    <m/>
    <n v="1713"/>
    <n v="126"/>
    <n v="215838"/>
    <n v="27195.588"/>
    <m/>
    <m/>
  </r>
  <r>
    <x v="24"/>
    <x v="1"/>
    <x v="4"/>
    <m/>
    <x v="3"/>
    <s v="Track"/>
    <m/>
    <n v="1728"/>
    <n v="131"/>
    <n v="1714"/>
    <n v="133"/>
    <m/>
    <m/>
    <m/>
    <m/>
    <n v="1721"/>
    <n v="132"/>
    <n v="227172"/>
    <n v="29986.704000000002"/>
    <m/>
    <m/>
  </r>
  <r>
    <x v="24"/>
    <x v="1"/>
    <x v="4"/>
    <m/>
    <x v="2"/>
    <s v="Track"/>
    <m/>
    <n v="1797"/>
    <n v="129"/>
    <n v="1791"/>
    <n v="128"/>
    <m/>
    <m/>
    <m/>
    <m/>
    <n v="1794"/>
    <n v="128.5"/>
    <n v="230529"/>
    <n v="29622.976500000001"/>
    <m/>
    <m/>
  </r>
  <r>
    <x v="24"/>
    <x v="1"/>
    <x v="4"/>
    <m/>
    <x v="5"/>
    <s v="Track"/>
    <m/>
    <n v="1903"/>
    <n v="132"/>
    <n v="1947"/>
    <n v="136"/>
    <m/>
    <m/>
    <m/>
    <m/>
    <n v="1925"/>
    <n v="134"/>
    <n v="257950"/>
    <n v="34565.300000000003"/>
    <m/>
    <m/>
  </r>
  <r>
    <x v="24"/>
    <x v="1"/>
    <x v="4"/>
    <m/>
    <x v="4"/>
    <s v="Track"/>
    <m/>
    <n v="1960"/>
    <n v="126"/>
    <n v="1945"/>
    <n v="127"/>
    <m/>
    <m/>
    <m/>
    <m/>
    <n v="1952.5"/>
    <n v="126.5"/>
    <n v="246991.25"/>
    <n v="31244.393124999999"/>
    <m/>
    <m/>
  </r>
  <r>
    <x v="25"/>
    <x v="1"/>
    <x v="4"/>
    <m/>
    <x v="1"/>
    <s v="Track"/>
    <m/>
    <n v="1795"/>
    <n v="131"/>
    <n v="1782"/>
    <n v="129"/>
    <m/>
    <m/>
    <m/>
    <m/>
    <n v="1788.5"/>
    <n v="130"/>
    <n v="232505"/>
    <n v="30225.65"/>
    <m/>
    <m/>
  </r>
  <r>
    <x v="25"/>
    <x v="1"/>
    <x v="4"/>
    <m/>
    <x v="2"/>
    <s v="Track"/>
    <m/>
    <n v="1844"/>
    <n v="133"/>
    <n v="1827"/>
    <n v="133"/>
    <m/>
    <m/>
    <m/>
    <m/>
    <n v="1835.5"/>
    <n v="133"/>
    <n v="244121.5"/>
    <n v="32468.159500000002"/>
    <m/>
    <m/>
  </r>
  <r>
    <x v="25"/>
    <x v="1"/>
    <x v="4"/>
    <m/>
    <x v="3"/>
    <s v="Track"/>
    <m/>
    <n v="1859"/>
    <n v="138"/>
    <n v="1836"/>
    <n v="134"/>
    <m/>
    <m/>
    <m/>
    <m/>
    <n v="1847.5"/>
    <n v="136"/>
    <n v="251260"/>
    <n v="34171.360000000001"/>
    <m/>
    <m/>
  </r>
  <r>
    <x v="25"/>
    <x v="1"/>
    <x v="4"/>
    <m/>
    <x v="5"/>
    <s v="Track"/>
    <m/>
    <n v="2016"/>
    <n v="135"/>
    <n v="1949"/>
    <n v="136"/>
    <m/>
    <m/>
    <m/>
    <m/>
    <n v="1982.5"/>
    <n v="135.5"/>
    <n v="268628.75"/>
    <n v="36399.195625"/>
    <m/>
    <m/>
  </r>
  <r>
    <x v="25"/>
    <x v="1"/>
    <x v="4"/>
    <m/>
    <x v="4"/>
    <s v="Track"/>
    <m/>
    <n v="2183"/>
    <n v="137"/>
    <n v="2234"/>
    <n v="132"/>
    <m/>
    <m/>
    <m/>
    <m/>
    <n v="2208.5"/>
    <n v="134.5"/>
    <n v="297043.25"/>
    <n v="39952.317125000001"/>
    <m/>
    <m/>
  </r>
  <r>
    <x v="26"/>
    <x v="1"/>
    <x v="4"/>
    <m/>
    <x v="1"/>
    <s v="Track"/>
    <m/>
    <n v="1688"/>
    <n v="123"/>
    <n v="1732"/>
    <n v="127"/>
    <m/>
    <m/>
    <m/>
    <m/>
    <n v="1710"/>
    <n v="125"/>
    <n v="213750"/>
    <n v="26718.75"/>
    <m/>
    <m/>
  </r>
  <r>
    <x v="26"/>
    <x v="1"/>
    <x v="4"/>
    <m/>
    <x v="3"/>
    <s v="Track"/>
    <m/>
    <n v="1760"/>
    <n v="132"/>
    <n v="1757"/>
    <n v="133"/>
    <m/>
    <m/>
    <m/>
    <m/>
    <n v="1758.5"/>
    <n v="132.5"/>
    <n v="233001.25"/>
    <n v="30872.665625000001"/>
    <m/>
    <m/>
  </r>
  <r>
    <x v="26"/>
    <x v="1"/>
    <x v="4"/>
    <m/>
    <x v="2"/>
    <s v="Track"/>
    <m/>
    <n v="1862"/>
    <n v="133"/>
    <n v="1842"/>
    <n v="134"/>
    <m/>
    <m/>
    <m/>
    <m/>
    <n v="1852"/>
    <n v="133.5"/>
    <n v="247242"/>
    <n v="33006.807000000001"/>
    <m/>
    <m/>
  </r>
  <r>
    <x v="26"/>
    <x v="1"/>
    <x v="4"/>
    <m/>
    <x v="5"/>
    <s v="Track"/>
    <m/>
    <n v="2054"/>
    <n v="138"/>
    <n v="1985"/>
    <n v="139"/>
    <m/>
    <m/>
    <m/>
    <m/>
    <n v="2019.5"/>
    <n v="138.5"/>
    <n v="279700.75"/>
    <n v="38738.553874999998"/>
    <m/>
    <m/>
  </r>
  <r>
    <x v="26"/>
    <x v="1"/>
    <x v="4"/>
    <m/>
    <x v="4"/>
    <s v="Track"/>
    <m/>
    <n v="2172"/>
    <n v="126"/>
    <n v="2186"/>
    <n v="129"/>
    <m/>
    <m/>
    <m/>
    <m/>
    <n v="2179"/>
    <n v="127.5"/>
    <n v="277822.5"/>
    <n v="35422.368750000001"/>
    <m/>
    <m/>
  </r>
  <r>
    <x v="27"/>
    <x v="1"/>
    <x v="4"/>
    <m/>
    <x v="1"/>
    <s v="Track"/>
    <m/>
    <n v="1735"/>
    <n v="128"/>
    <n v="1648"/>
    <n v="126"/>
    <m/>
    <m/>
    <m/>
    <m/>
    <n v="1691.5"/>
    <n v="127"/>
    <n v="214820.5"/>
    <n v="27282.2035"/>
    <m/>
    <m/>
  </r>
  <r>
    <x v="27"/>
    <x v="1"/>
    <x v="4"/>
    <m/>
    <x v="3"/>
    <s v="Track"/>
    <m/>
    <n v="1770"/>
    <n v="132"/>
    <n v="1720"/>
    <n v="133"/>
    <m/>
    <m/>
    <m/>
    <m/>
    <n v="1745"/>
    <n v="132.5"/>
    <n v="231212.5"/>
    <n v="30635.65625"/>
    <m/>
    <m/>
  </r>
  <r>
    <x v="27"/>
    <x v="1"/>
    <x v="4"/>
    <m/>
    <x v="2"/>
    <s v="Track"/>
    <m/>
    <n v="1740"/>
    <n v="129"/>
    <n v="1758"/>
    <n v="132"/>
    <m/>
    <m/>
    <m/>
    <m/>
    <n v="1749"/>
    <n v="130.5"/>
    <n v="228244.5"/>
    <n v="29785.90725"/>
    <m/>
    <m/>
  </r>
  <r>
    <x v="27"/>
    <x v="1"/>
    <x v="4"/>
    <m/>
    <x v="5"/>
    <s v="Track"/>
    <m/>
    <n v="1946"/>
    <n v="139"/>
    <n v="1921"/>
    <n v="141"/>
    <m/>
    <m/>
    <m/>
    <m/>
    <n v="1933.5"/>
    <n v="140"/>
    <n v="270690"/>
    <n v="37896.6"/>
    <m/>
    <m/>
  </r>
  <r>
    <x v="27"/>
    <x v="1"/>
    <x v="4"/>
    <m/>
    <x v="4"/>
    <s v="Track"/>
    <m/>
    <n v="2250"/>
    <n v="131"/>
    <n v="2170"/>
    <n v="127"/>
    <m/>
    <m/>
    <m/>
    <m/>
    <n v="2210"/>
    <n v="129"/>
    <n v="285090"/>
    <n v="36776.61"/>
    <m/>
    <m/>
  </r>
  <r>
    <x v="28"/>
    <x v="1"/>
    <x v="4"/>
    <m/>
    <x v="1"/>
    <s v="Track"/>
    <m/>
    <n v="1724"/>
    <n v="128"/>
    <n v="1718"/>
    <n v="127"/>
    <m/>
    <m/>
    <m/>
    <m/>
    <n v="1721"/>
    <n v="127.5"/>
    <n v="219427.5"/>
    <n v="27977.006249999999"/>
    <m/>
    <m/>
  </r>
  <r>
    <x v="28"/>
    <x v="1"/>
    <x v="4"/>
    <m/>
    <x v="3"/>
    <s v="Track"/>
    <m/>
    <n v="1755"/>
    <n v="130"/>
    <n v="1748"/>
    <n v="131"/>
    <m/>
    <m/>
    <m/>
    <m/>
    <n v="1751.5"/>
    <n v="130.5"/>
    <n v="228570.75"/>
    <n v="29828.482875000002"/>
    <m/>
    <m/>
  </r>
  <r>
    <x v="28"/>
    <x v="1"/>
    <x v="4"/>
    <m/>
    <x v="2"/>
    <s v="Track"/>
    <m/>
    <n v="1842"/>
    <n v="128"/>
    <n v="1777"/>
    <n v="128"/>
    <m/>
    <m/>
    <m/>
    <m/>
    <n v="1809.5"/>
    <n v="128"/>
    <n v="231616"/>
    <n v="29646.848000000002"/>
    <m/>
    <m/>
  </r>
  <r>
    <x v="28"/>
    <x v="1"/>
    <x v="4"/>
    <m/>
    <x v="5"/>
    <s v="Track"/>
    <m/>
    <n v="1855"/>
    <n v="133"/>
    <n v="1820"/>
    <n v="132"/>
    <m/>
    <m/>
    <m/>
    <m/>
    <n v="1837.5"/>
    <n v="132.5"/>
    <n v="243468.75"/>
    <n v="32259.609375"/>
    <m/>
    <m/>
  </r>
  <r>
    <x v="28"/>
    <x v="1"/>
    <x v="4"/>
    <m/>
    <x v="4"/>
    <s v="Track"/>
    <m/>
    <n v="2091"/>
    <n v="127"/>
    <n v="2090"/>
    <n v="126"/>
    <m/>
    <m/>
    <m/>
    <m/>
    <n v="2090.5"/>
    <n v="126.5"/>
    <n v="264448.25"/>
    <n v="33452.703625000002"/>
    <m/>
    <m/>
  </r>
  <r>
    <x v="29"/>
    <x v="1"/>
    <x v="5"/>
    <m/>
    <x v="3"/>
    <s v="Track"/>
    <m/>
    <n v="1697"/>
    <n v="126"/>
    <n v="1710"/>
    <n v="125"/>
    <m/>
    <m/>
    <m/>
    <m/>
    <n v="1703.5"/>
    <n v="125.5"/>
    <n v="213789.25"/>
    <n v="26830.550875000001"/>
    <m/>
    <m/>
  </r>
  <r>
    <x v="29"/>
    <x v="1"/>
    <x v="5"/>
    <m/>
    <x v="2"/>
    <s v="Track"/>
    <m/>
    <n v="1879"/>
    <n v="133"/>
    <n v="1838"/>
    <n v="130"/>
    <m/>
    <m/>
    <m/>
    <m/>
    <n v="1858.5"/>
    <n v="131.5"/>
    <n v="244392.75"/>
    <n v="32137.646625000001"/>
    <m/>
    <m/>
  </r>
  <r>
    <x v="30"/>
    <x v="1"/>
    <x v="5"/>
    <m/>
    <x v="0"/>
    <s v="Track"/>
    <m/>
    <n v="1244.9073000000001"/>
    <n v="122"/>
    <m/>
    <m/>
    <m/>
    <m/>
    <m/>
    <m/>
    <n v="1244.9073000000001"/>
    <n v="122"/>
    <n v="151878.6906"/>
    <n v="18529.200253200001"/>
    <m/>
    <m/>
  </r>
  <r>
    <x v="30"/>
    <x v="1"/>
    <x v="5"/>
    <m/>
    <x v="3"/>
    <s v="Track"/>
    <m/>
    <n v="1862.7273"/>
    <n v="136"/>
    <m/>
    <m/>
    <m/>
    <m/>
    <m/>
    <m/>
    <n v="1862.7273"/>
    <n v="136"/>
    <n v="253330.91279999999"/>
    <n v="34453.004140799996"/>
    <m/>
    <m/>
  </r>
  <r>
    <x v="30"/>
    <x v="1"/>
    <x v="5"/>
    <m/>
    <x v="2"/>
    <s v="Track"/>
    <m/>
    <n v="1928.6281000000001"/>
    <n v="138"/>
    <m/>
    <m/>
    <m/>
    <m/>
    <m/>
    <m/>
    <n v="1928.6281000000001"/>
    <n v="138"/>
    <n v="266150.6778"/>
    <n v="36728.7935364"/>
    <m/>
    <m/>
  </r>
  <r>
    <x v="30"/>
    <x v="1"/>
    <x v="5"/>
    <m/>
    <x v="1"/>
    <s v="Track"/>
    <m/>
    <n v="1949.2221000000002"/>
    <n v="137"/>
    <m/>
    <m/>
    <m/>
    <m/>
    <m/>
    <m/>
    <n v="1949.2221000000002"/>
    <n v="137"/>
    <n v="267043.4277"/>
    <n v="36584.949594899997"/>
    <m/>
    <m/>
  </r>
  <r>
    <x v="30"/>
    <x v="1"/>
    <x v="5"/>
    <m/>
    <x v="5"/>
    <s v="Track"/>
    <m/>
    <n v="2233.4193"/>
    <n v="145"/>
    <m/>
    <m/>
    <m/>
    <m/>
    <m/>
    <m/>
    <n v="2233.4193"/>
    <n v="145"/>
    <n v="323845.79849999998"/>
    <n v="46957.640782499999"/>
    <m/>
    <m/>
  </r>
  <r>
    <x v="31"/>
    <x v="1"/>
    <x v="5"/>
    <m/>
    <x v="0"/>
    <s v="Track"/>
    <m/>
    <n v="1222.2539000000002"/>
    <n v="121"/>
    <m/>
    <m/>
    <m/>
    <m/>
    <m/>
    <m/>
    <n v="1222.2539000000002"/>
    <n v="121"/>
    <n v="147892.72190000003"/>
    <n v="17895.019349900005"/>
    <m/>
    <m/>
  </r>
  <r>
    <x v="31"/>
    <x v="1"/>
    <x v="5"/>
    <m/>
    <x v="3"/>
    <s v="Track"/>
    <m/>
    <n v="1830.8066000000001"/>
    <n v="140"/>
    <m/>
    <m/>
    <m/>
    <m/>
    <m/>
    <m/>
    <n v="1830.8066000000001"/>
    <n v="140"/>
    <n v="256312.92400000003"/>
    <n v="35883.809360000007"/>
    <m/>
    <m/>
  </r>
  <r>
    <x v="31"/>
    <x v="1"/>
    <x v="5"/>
    <m/>
    <x v="2"/>
    <s v="Track"/>
    <m/>
    <n v="1896.7074"/>
    <n v="138"/>
    <m/>
    <m/>
    <m/>
    <m/>
    <m/>
    <m/>
    <n v="1896.7074"/>
    <n v="138"/>
    <n v="261745.62119999999"/>
    <n v="36120.895725599999"/>
    <m/>
    <m/>
  </r>
  <r>
    <x v="31"/>
    <x v="1"/>
    <x v="5"/>
    <m/>
    <x v="1"/>
    <s v="Track"/>
    <m/>
    <n v="1905.9747000000002"/>
    <n v="137"/>
    <m/>
    <m/>
    <m/>
    <m/>
    <m/>
    <m/>
    <n v="1905.9747000000002"/>
    <n v="137"/>
    <n v="261118.53390000004"/>
    <n v="35773.239144300009"/>
    <m/>
    <m/>
  </r>
  <r>
    <x v="31"/>
    <x v="1"/>
    <x v="5"/>
    <m/>
    <x v="5"/>
    <s v="Track"/>
    <m/>
    <n v="2083.0831000000003"/>
    <n v="149"/>
    <m/>
    <m/>
    <m/>
    <m/>
    <m/>
    <m/>
    <n v="2083.0831000000003"/>
    <n v="149"/>
    <n v="310379.38190000004"/>
    <n v="46246.527903100003"/>
    <m/>
    <m/>
  </r>
  <r>
    <x v="31"/>
    <x v="1"/>
    <x v="5"/>
    <m/>
    <x v="4"/>
    <s v="Track"/>
    <m/>
    <n v="2113.9740999999999"/>
    <n v="134"/>
    <m/>
    <m/>
    <m/>
    <m/>
    <m/>
    <m/>
    <n v="2113.9740999999999"/>
    <n v="134"/>
    <n v="283272.5294"/>
    <n v="37958.518939599999"/>
    <m/>
    <m/>
  </r>
  <r>
    <x v="32"/>
    <x v="1"/>
    <x v="5"/>
    <m/>
    <x v="0"/>
    <s v="Track"/>
    <m/>
    <n v="1242.8479"/>
    <n v="121"/>
    <m/>
    <m/>
    <m/>
    <m/>
    <m/>
    <m/>
    <n v="1242.8479"/>
    <n v="121"/>
    <n v="150384.59589999999"/>
    <n v="18196.536103899998"/>
    <m/>
    <m/>
  </r>
  <r>
    <x v="32"/>
    <x v="1"/>
    <x v="5"/>
    <m/>
    <x v="3"/>
    <s v="Track"/>
    <m/>
    <n v="1824.6284000000001"/>
    <n v="138"/>
    <m/>
    <m/>
    <m/>
    <m/>
    <m/>
    <m/>
    <n v="1824.6284000000001"/>
    <n v="138"/>
    <n v="251798.71920000002"/>
    <n v="34748.2232496"/>
    <m/>
    <m/>
  </r>
  <r>
    <x v="32"/>
    <x v="1"/>
    <x v="5"/>
    <m/>
    <x v="2"/>
    <s v="Track"/>
    <m/>
    <n v="1847.2818000000002"/>
    <n v="133"/>
    <m/>
    <m/>
    <m/>
    <m/>
    <m/>
    <m/>
    <n v="1847.2818000000002"/>
    <n v="133"/>
    <n v="245688.47940000004"/>
    <n v="32676.567760200003"/>
    <m/>
    <m/>
  </r>
  <r>
    <x v="32"/>
    <x v="1"/>
    <x v="5"/>
    <m/>
    <x v="1"/>
    <s v="Track"/>
    <m/>
    <n v="2001.7368000000001"/>
    <n v="145"/>
    <m/>
    <m/>
    <m/>
    <m/>
    <m/>
    <m/>
    <n v="2001.7368000000001"/>
    <n v="145"/>
    <n v="290251.83600000001"/>
    <n v="42086.516219999998"/>
    <m/>
    <m/>
  </r>
  <r>
    <x v="32"/>
    <x v="1"/>
    <x v="5"/>
    <m/>
    <x v="4"/>
    <s v="Track"/>
    <m/>
    <n v="2220.0332000000003"/>
    <n v="133"/>
    <m/>
    <m/>
    <m/>
    <m/>
    <m/>
    <m/>
    <n v="2220.0332000000003"/>
    <n v="133"/>
    <n v="295264.41560000007"/>
    <n v="39270.167274800013"/>
    <m/>
    <m/>
  </r>
  <r>
    <x v="32"/>
    <x v="1"/>
    <x v="5"/>
    <m/>
    <x v="5"/>
    <s v="Track"/>
    <m/>
    <n v="2260.1914999999999"/>
    <n v="153"/>
    <m/>
    <m/>
    <m/>
    <m/>
    <m/>
    <m/>
    <n v="2260.1914999999999"/>
    <n v="153"/>
    <n v="345809.29949999996"/>
    <n v="52908.822823499992"/>
    <m/>
    <m/>
  </r>
  <r>
    <x v="33"/>
    <x v="1"/>
    <x v="5"/>
    <m/>
    <x v="3"/>
    <s v="Track"/>
    <m/>
    <n v="1705.1832000000002"/>
    <n v="134"/>
    <n v="1528"/>
    <n v="129"/>
    <m/>
    <m/>
    <m/>
    <m/>
    <n v="1616.5916000000002"/>
    <n v="131.5"/>
    <n v="212581.79540000003"/>
    <n v="27954.506095100005"/>
    <m/>
    <m/>
  </r>
  <r>
    <x v="33"/>
    <x v="1"/>
    <x v="5"/>
    <m/>
    <x v="2"/>
    <s v="Track"/>
    <m/>
    <n v="1761.8167000000001"/>
    <n v="133"/>
    <n v="1795"/>
    <n v="133"/>
    <m/>
    <m/>
    <m/>
    <m/>
    <n v="1778.4083500000002"/>
    <n v="133"/>
    <n v="236528.31055000002"/>
    <n v="31458.265303150001"/>
    <m/>
    <m/>
  </r>
  <r>
    <x v="33"/>
    <x v="1"/>
    <x v="5"/>
    <m/>
    <x v="1"/>
    <s v="Track"/>
    <m/>
    <n v="1795.7968000000001"/>
    <n v="136"/>
    <n v="1782"/>
    <n v="132"/>
    <m/>
    <m/>
    <m/>
    <m/>
    <n v="1788.8984"/>
    <n v="134"/>
    <n v="239712.38560000001"/>
    <n v="32121.4596704"/>
    <m/>
    <m/>
  </r>
  <r>
    <x v="33"/>
    <x v="1"/>
    <x v="5"/>
    <m/>
    <x v="2"/>
    <s v="Track"/>
    <m/>
    <n v="1851.4006000000002"/>
    <n v="128"/>
    <m/>
    <m/>
    <m/>
    <m/>
    <m/>
    <m/>
    <n v="1851.4006000000002"/>
    <n v="128"/>
    <n v="236979.27680000002"/>
    <n v="30333.347430400001"/>
    <m/>
    <m/>
  </r>
  <r>
    <x v="33"/>
    <x v="1"/>
    <x v="5"/>
    <m/>
    <x v="1"/>
    <s v="Track"/>
    <m/>
    <n v="1877.1431"/>
    <n v="135"/>
    <m/>
    <m/>
    <m/>
    <m/>
    <m/>
    <m/>
    <n v="1877.1431"/>
    <n v="135"/>
    <n v="253414.31849999999"/>
    <n v="34210.9329975"/>
    <m/>
    <m/>
  </r>
  <r>
    <x v="33"/>
    <x v="1"/>
    <x v="5"/>
    <m/>
    <x v="4"/>
    <s v="Track"/>
    <m/>
    <n v="2208.7065000000002"/>
    <n v="135"/>
    <m/>
    <m/>
    <m/>
    <m/>
    <m/>
    <m/>
    <n v="2208.7065000000002"/>
    <n v="135"/>
    <n v="298175.37750000006"/>
    <n v="40253.675962500005"/>
    <m/>
    <m/>
  </r>
  <r>
    <x v="34"/>
    <x v="1"/>
    <x v="5"/>
    <m/>
    <x v="1"/>
    <s v="Track"/>
    <m/>
    <n v="1824.6284000000001"/>
    <n v="133"/>
    <n v="1700"/>
    <n v="133"/>
    <m/>
    <m/>
    <m/>
    <m/>
    <n v="1762.3142"/>
    <n v="133"/>
    <n v="234387.7886"/>
    <n v="31173.5758838"/>
    <m/>
    <m/>
  </r>
  <r>
    <x v="34"/>
    <x v="1"/>
    <x v="5"/>
    <m/>
    <x v="2"/>
    <s v="Track"/>
    <m/>
    <n v="1884.3510000000001"/>
    <n v="131"/>
    <n v="1846"/>
    <n v="133"/>
    <m/>
    <m/>
    <m/>
    <m/>
    <n v="1865.1755000000001"/>
    <n v="132"/>
    <n v="246203.166"/>
    <n v="32498.817912000002"/>
    <m/>
    <m/>
  </r>
  <r>
    <x v="34"/>
    <x v="1"/>
    <x v="5"/>
    <m/>
    <x v="5"/>
    <s v="Track"/>
    <m/>
    <n v="2028.509"/>
    <n v="137"/>
    <n v="2056"/>
    <n v="142"/>
    <m/>
    <m/>
    <m/>
    <m/>
    <n v="2042.2545"/>
    <n v="139.5"/>
    <n v="284894.50274999999"/>
    <n v="39742.783133625002"/>
    <m/>
    <m/>
  </r>
  <r>
    <x v="34"/>
    <x v="1"/>
    <x v="5"/>
    <m/>
    <x v="4"/>
    <s v="Track"/>
    <m/>
    <n v="2112.9444000000003"/>
    <n v="126"/>
    <n v="2115"/>
    <n v="127"/>
    <m/>
    <m/>
    <m/>
    <m/>
    <n v="2113.9722000000002"/>
    <n v="126.5"/>
    <n v="267417.48330000002"/>
    <n v="33828.311637450002"/>
    <m/>
    <m/>
  </r>
  <r>
    <x v="35"/>
    <x v="1"/>
    <x v="5"/>
    <m/>
    <x v="1"/>
    <s v="Track"/>
    <m/>
    <n v="1812.2720000000002"/>
    <n v="136"/>
    <m/>
    <m/>
    <m/>
    <m/>
    <m/>
    <m/>
    <n v="1812.2720000000002"/>
    <n v="136"/>
    <n v="246468.99200000003"/>
    <n v="33519.782912000002"/>
    <m/>
    <m/>
  </r>
  <r>
    <x v="35"/>
    <x v="1"/>
    <x v="5"/>
    <m/>
    <x v="2"/>
    <s v="Track"/>
    <m/>
    <n v="2005.8556000000001"/>
    <n v="137"/>
    <m/>
    <m/>
    <m/>
    <m/>
    <m/>
    <m/>
    <n v="2005.8556000000001"/>
    <n v="137"/>
    <n v="274802.21720000001"/>
    <n v="37647.903756400003"/>
    <m/>
    <m/>
  </r>
  <r>
    <x v="35"/>
    <x v="1"/>
    <x v="5"/>
    <m/>
    <x v="5"/>
    <s v="Track"/>
    <m/>
    <n v="2221.0629000000004"/>
    <n v="149"/>
    <m/>
    <m/>
    <m/>
    <m/>
    <m/>
    <m/>
    <n v="2221.0629000000004"/>
    <n v="149"/>
    <n v="330938.37210000004"/>
    <n v="49309.817442899999"/>
    <m/>
    <m/>
  </r>
  <r>
    <x v="35"/>
    <x v="1"/>
    <x v="5"/>
    <m/>
    <x v="4"/>
    <s v="Track"/>
    <m/>
    <n v="2223.1223"/>
    <n v="132"/>
    <m/>
    <m/>
    <m/>
    <m/>
    <m/>
    <m/>
    <n v="2223.1223"/>
    <n v="132"/>
    <n v="293452.14360000001"/>
    <n v="38735.682955199998"/>
    <m/>
    <m/>
  </r>
  <r>
    <x v="36"/>
    <x v="1"/>
    <x v="5"/>
    <m/>
    <x v="1"/>
    <s v="Track"/>
    <m/>
    <n v="1890.5292000000002"/>
    <n v="133"/>
    <m/>
    <m/>
    <m/>
    <m/>
    <m/>
    <m/>
    <n v="1890.5292000000002"/>
    <n v="133"/>
    <n v="251440.38360000003"/>
    <n v="33441.571018800008"/>
    <m/>
    <m/>
  </r>
  <r>
    <x v="36"/>
    <x v="1"/>
    <x v="5"/>
    <m/>
    <x v="2"/>
    <s v="Track"/>
    <m/>
    <n v="1896.7074"/>
    <n v="130"/>
    <m/>
    <m/>
    <m/>
    <m/>
    <m/>
    <m/>
    <n v="1896.7074"/>
    <n v="130"/>
    <n v="246571.962"/>
    <n v="32054.355059999998"/>
    <m/>
    <m/>
  </r>
  <r>
    <x v="36"/>
    <x v="1"/>
    <x v="5"/>
    <m/>
    <x v="5"/>
    <s v="Track"/>
    <m/>
    <n v="2148.9839000000002"/>
    <n v="139"/>
    <m/>
    <m/>
    <m/>
    <m/>
    <m/>
    <m/>
    <n v="2148.9839000000002"/>
    <n v="139"/>
    <n v="298708.76210000005"/>
    <n v="41520.517931900009"/>
    <m/>
    <m/>
  </r>
  <r>
    <x v="36"/>
    <x v="1"/>
    <x v="5"/>
    <m/>
    <x v="4"/>
    <s v="Track"/>
    <m/>
    <n v="2207.6768000000002"/>
    <n v="128"/>
    <m/>
    <m/>
    <m/>
    <m/>
    <m/>
    <m/>
    <n v="2207.6768000000002"/>
    <n v="128"/>
    <n v="282582.63040000002"/>
    <n v="36170.576691200004"/>
    <m/>
    <m/>
  </r>
  <r>
    <x v="37"/>
    <x v="1"/>
    <x v="5"/>
    <m/>
    <x v="1"/>
    <s v="Track"/>
    <m/>
    <n v="1846.2521000000002"/>
    <n v="131"/>
    <m/>
    <m/>
    <m/>
    <m/>
    <m/>
    <m/>
    <n v="1846.2521000000002"/>
    <n v="131"/>
    <n v="241859.02510000003"/>
    <n v="31683.532288100003"/>
    <m/>
    <m/>
  </r>
  <r>
    <x v="37"/>
    <x v="1"/>
    <x v="5"/>
    <m/>
    <x v="2"/>
    <s v="Track"/>
    <m/>
    <n v="2013.0635000000002"/>
    <n v="135"/>
    <m/>
    <m/>
    <m/>
    <m/>
    <m/>
    <m/>
    <n v="2013.0635000000002"/>
    <n v="135"/>
    <n v="271763.57250000001"/>
    <n v="36688.082287500001"/>
    <m/>
    <m/>
  </r>
  <r>
    <x v="37"/>
    <x v="1"/>
    <x v="5"/>
    <m/>
    <x v="4"/>
    <s v="Track"/>
    <m/>
    <n v="2232.3896"/>
    <n v="130"/>
    <m/>
    <m/>
    <m/>
    <m/>
    <m/>
    <m/>
    <n v="2232.3896"/>
    <n v="130"/>
    <n v="290210.64799999999"/>
    <n v="37727.384239999992"/>
    <m/>
    <m/>
  </r>
  <r>
    <x v="37"/>
    <x v="1"/>
    <x v="5"/>
    <m/>
    <x v="5"/>
    <s v="Track"/>
    <m/>
    <n v="2232.3896"/>
    <n v="145"/>
    <m/>
    <m/>
    <m/>
    <m/>
    <m/>
    <m/>
    <n v="2232.3896"/>
    <n v="145"/>
    <n v="323696.49199999997"/>
    <n v="46935.991339999993"/>
    <m/>
    <m/>
  </r>
  <r>
    <x v="38"/>
    <x v="1"/>
    <x v="5"/>
    <m/>
    <x v="3"/>
    <s v="Track"/>
    <m/>
    <n v="1853.46"/>
    <n v="142"/>
    <m/>
    <m/>
    <m/>
    <m/>
    <m/>
    <m/>
    <n v="1853.46"/>
    <n v="142"/>
    <n v="263191.32"/>
    <n v="37373.167439999997"/>
    <m/>
    <m/>
  </r>
  <r>
    <x v="38"/>
    <x v="1"/>
    <x v="5"/>
    <m/>
    <x v="1"/>
    <s v="Track"/>
    <m/>
    <n v="1953.3409000000001"/>
    <n v="138"/>
    <m/>
    <m/>
    <m/>
    <m/>
    <m/>
    <m/>
    <n v="1953.3409000000001"/>
    <n v="138"/>
    <n v="269561.0442"/>
    <n v="37199.424099600001"/>
    <m/>
    <m/>
  </r>
  <r>
    <x v="38"/>
    <x v="1"/>
    <x v="5"/>
    <m/>
    <x v="2"/>
    <s v="Track"/>
    <m/>
    <n v="1979.0834000000002"/>
    <n v="127"/>
    <m/>
    <m/>
    <m/>
    <m/>
    <m/>
    <m/>
    <n v="1979.0834000000002"/>
    <n v="127"/>
    <n v="251343.59180000002"/>
    <n v="31920.636158600002"/>
    <m/>
    <m/>
  </r>
  <r>
    <x v="38"/>
    <x v="1"/>
    <x v="5"/>
    <m/>
    <x v="5"/>
    <s v="Track"/>
    <m/>
    <n v="2239.5975000000003"/>
    <n v="144"/>
    <m/>
    <m/>
    <m/>
    <m/>
    <m/>
    <m/>
    <n v="2239.5975000000003"/>
    <n v="144"/>
    <n v="322502.04000000004"/>
    <n v="46440.293760000008"/>
    <m/>
    <m/>
  </r>
  <r>
    <x v="38"/>
    <x v="1"/>
    <x v="5"/>
    <m/>
    <x v="4"/>
    <s v="Track"/>
    <m/>
    <n v="2247.8351000000002"/>
    <n v="123"/>
    <m/>
    <m/>
    <m/>
    <m/>
    <m/>
    <m/>
    <n v="2247.8351000000002"/>
    <n v="123"/>
    <n v="276483.71730000002"/>
    <n v="34007.497227900007"/>
    <m/>
    <m/>
  </r>
  <r>
    <x v="39"/>
    <x v="1"/>
    <x v="5"/>
    <m/>
    <x v="3"/>
    <s v="Track"/>
    <m/>
    <n v="1639"/>
    <n v="132"/>
    <n v="1676"/>
    <n v="131"/>
    <n v="1672"/>
    <n v="129"/>
    <m/>
    <m/>
    <n v="1662.3333333333333"/>
    <n v="130.66666666666666"/>
    <n v="217211.55555555553"/>
    <n v="28382.309925925922"/>
    <m/>
    <m/>
  </r>
  <r>
    <x v="39"/>
    <x v="1"/>
    <x v="5"/>
    <m/>
    <x v="3"/>
    <s v="Track"/>
    <m/>
    <n v="1743"/>
    <n v="133"/>
    <m/>
    <m/>
    <m/>
    <m/>
    <m/>
    <m/>
    <n v="1743"/>
    <n v="133"/>
    <n v="231819"/>
    <n v="30831.927"/>
    <m/>
    <m/>
  </r>
  <r>
    <x v="39"/>
    <x v="1"/>
    <x v="5"/>
    <m/>
    <x v="1"/>
    <s v="Track"/>
    <m/>
    <n v="1727"/>
    <n v="129"/>
    <n v="1778"/>
    <n v="128"/>
    <n v="1785"/>
    <n v="131"/>
    <m/>
    <m/>
    <n v="1763.3333333333333"/>
    <n v="129.33333333333334"/>
    <n v="228057.77777777778"/>
    <n v="29495.472592592596"/>
    <m/>
    <m/>
  </r>
  <r>
    <x v="39"/>
    <x v="1"/>
    <x v="5"/>
    <m/>
    <x v="2"/>
    <s v="Track"/>
    <m/>
    <n v="1792"/>
    <n v="129"/>
    <n v="1870"/>
    <n v="130"/>
    <n v="1876"/>
    <n v="130"/>
    <m/>
    <m/>
    <n v="1846"/>
    <n v="129.66666666666666"/>
    <n v="239364.66666666666"/>
    <n v="31037.618444444441"/>
    <m/>
    <m/>
  </r>
  <r>
    <x v="39"/>
    <x v="1"/>
    <x v="5"/>
    <m/>
    <x v="2"/>
    <s v="Track"/>
    <m/>
    <n v="1901"/>
    <n v="128"/>
    <m/>
    <m/>
    <m/>
    <m/>
    <m/>
    <m/>
    <n v="1901"/>
    <n v="128"/>
    <n v="243328"/>
    <n v="31145.984"/>
    <m/>
    <m/>
  </r>
  <r>
    <x v="39"/>
    <x v="1"/>
    <x v="5"/>
    <m/>
    <x v="1"/>
    <s v="Track"/>
    <m/>
    <n v="1902"/>
    <n v="137"/>
    <m/>
    <m/>
    <m/>
    <m/>
    <m/>
    <m/>
    <n v="1902"/>
    <n v="137"/>
    <n v="260574"/>
    <n v="35698.637999999999"/>
    <m/>
    <m/>
  </r>
  <r>
    <x v="39"/>
    <x v="1"/>
    <x v="5"/>
    <m/>
    <x v="5"/>
    <s v="Track"/>
    <m/>
    <n v="2094"/>
    <n v="138"/>
    <m/>
    <m/>
    <m/>
    <m/>
    <m/>
    <m/>
    <n v="2094"/>
    <n v="138"/>
    <n v="288972"/>
    <n v="39878.135999999999"/>
    <m/>
    <m/>
  </r>
  <r>
    <x v="39"/>
    <x v="1"/>
    <x v="5"/>
    <m/>
    <x v="5"/>
    <s v="Track"/>
    <m/>
    <n v="2143"/>
    <n v="142"/>
    <n v="2103"/>
    <n v="144"/>
    <n v="2051"/>
    <n v="137"/>
    <m/>
    <m/>
    <n v="2099"/>
    <n v="141"/>
    <n v="295959"/>
    <n v="41730.218999999997"/>
    <m/>
    <m/>
  </r>
  <r>
    <x v="39"/>
    <x v="1"/>
    <x v="5"/>
    <m/>
    <x v="4"/>
    <s v="Track"/>
    <m/>
    <n v="2155"/>
    <n v="120"/>
    <m/>
    <m/>
    <m/>
    <m/>
    <m/>
    <m/>
    <n v="2155"/>
    <n v="120"/>
    <n v="258600"/>
    <n v="31032"/>
    <m/>
    <m/>
  </r>
  <r>
    <x v="40"/>
    <x v="1"/>
    <x v="6"/>
    <m/>
    <x v="3"/>
    <s v="Track"/>
    <m/>
    <n v="1783"/>
    <n v="133"/>
    <m/>
    <m/>
    <m/>
    <m/>
    <m/>
    <m/>
    <n v="1783"/>
    <n v="133"/>
    <n v="237139"/>
    <n v="31539.487000000001"/>
    <m/>
    <m/>
  </r>
  <r>
    <x v="40"/>
    <x v="1"/>
    <x v="6"/>
    <m/>
    <x v="1"/>
    <s v="Track"/>
    <m/>
    <n v="1928"/>
    <n v="134"/>
    <m/>
    <m/>
    <m/>
    <m/>
    <m/>
    <m/>
    <n v="1928"/>
    <n v="134"/>
    <n v="258352"/>
    <n v="34619.167999999998"/>
    <m/>
    <m/>
  </r>
  <r>
    <x v="40"/>
    <x v="1"/>
    <x v="6"/>
    <m/>
    <x v="2"/>
    <s v="Track"/>
    <m/>
    <n v="2019"/>
    <n v="132"/>
    <m/>
    <m/>
    <m/>
    <m/>
    <m/>
    <m/>
    <n v="2019"/>
    <n v="132"/>
    <n v="266508"/>
    <n v="35179.055999999997"/>
    <m/>
    <m/>
  </r>
  <r>
    <x v="40"/>
    <x v="1"/>
    <x v="6"/>
    <m/>
    <x v="5"/>
    <s v="Track"/>
    <m/>
    <n v="2101"/>
    <n v="144"/>
    <m/>
    <m/>
    <m/>
    <m/>
    <m/>
    <m/>
    <n v="2101"/>
    <n v="144"/>
    <n v="302544"/>
    <n v="43566.336000000003"/>
    <m/>
    <m/>
  </r>
  <r>
    <x v="40"/>
    <x v="1"/>
    <x v="6"/>
    <m/>
    <x v="4"/>
    <s v="Track"/>
    <m/>
    <n v="2149"/>
    <n v="125"/>
    <m/>
    <m/>
    <m/>
    <m/>
    <m/>
    <m/>
    <n v="2149"/>
    <n v="125"/>
    <n v="268625"/>
    <n v="33578.125"/>
    <m/>
    <m/>
  </r>
  <r>
    <x v="41"/>
    <x v="1"/>
    <x v="6"/>
    <m/>
    <x v="3"/>
    <s v="Track"/>
    <m/>
    <n v="1810"/>
    <n v="135"/>
    <m/>
    <m/>
    <m/>
    <m/>
    <m/>
    <m/>
    <n v="1810"/>
    <n v="135"/>
    <n v="244350"/>
    <n v="32987.25"/>
    <m/>
    <m/>
  </r>
  <r>
    <x v="41"/>
    <x v="1"/>
    <x v="6"/>
    <m/>
    <x v="1"/>
    <s v="Track"/>
    <m/>
    <n v="1870"/>
    <n v="134"/>
    <m/>
    <m/>
    <m/>
    <m/>
    <m/>
    <m/>
    <n v="1870"/>
    <n v="134"/>
    <n v="250580"/>
    <n v="33577.72"/>
    <m/>
    <m/>
  </r>
  <r>
    <x v="41"/>
    <x v="1"/>
    <x v="6"/>
    <m/>
    <x v="2"/>
    <s v="Track"/>
    <m/>
    <n v="1920"/>
    <n v="131"/>
    <m/>
    <m/>
    <m/>
    <m/>
    <m/>
    <m/>
    <n v="1920"/>
    <n v="131"/>
    <n v="251520"/>
    <n v="32949.120000000003"/>
    <m/>
    <m/>
  </r>
  <r>
    <x v="41"/>
    <x v="1"/>
    <x v="6"/>
    <m/>
    <x v="5"/>
    <s v="Track"/>
    <m/>
    <n v="2132"/>
    <n v="146"/>
    <m/>
    <m/>
    <m/>
    <m/>
    <m/>
    <m/>
    <n v="2132"/>
    <n v="146"/>
    <n v="311272"/>
    <n v="45445.712"/>
    <m/>
    <m/>
  </r>
  <r>
    <x v="41"/>
    <x v="1"/>
    <x v="6"/>
    <m/>
    <x v="4"/>
    <s v="Track"/>
    <m/>
    <n v="2138"/>
    <n v="127"/>
    <m/>
    <m/>
    <m/>
    <m/>
    <m/>
    <m/>
    <n v="2138"/>
    <n v="127"/>
    <n v="271526"/>
    <n v="34483.802000000003"/>
    <m/>
    <m/>
  </r>
  <r>
    <x v="42"/>
    <x v="1"/>
    <x v="6"/>
    <m/>
    <x v="3"/>
    <s v="Track"/>
    <m/>
    <n v="1854"/>
    <n v="134"/>
    <m/>
    <m/>
    <m/>
    <m/>
    <m/>
    <m/>
    <n v="1854"/>
    <n v="134"/>
    <n v="248436"/>
    <n v="33290.423999999999"/>
    <m/>
    <m/>
  </r>
  <r>
    <x v="42"/>
    <x v="1"/>
    <x v="6"/>
    <m/>
    <x v="1"/>
    <s v="Track"/>
    <m/>
    <n v="1933"/>
    <n v="134"/>
    <m/>
    <m/>
    <m/>
    <m/>
    <m/>
    <m/>
    <n v="1933"/>
    <n v="134"/>
    <n v="259022"/>
    <n v="34708.947999999997"/>
    <m/>
    <m/>
  </r>
  <r>
    <x v="42"/>
    <x v="1"/>
    <x v="6"/>
    <m/>
    <x v="5"/>
    <s v="Track"/>
    <m/>
    <n v="2136"/>
    <n v="142"/>
    <m/>
    <m/>
    <m/>
    <m/>
    <m/>
    <m/>
    <n v="2136"/>
    <n v="142"/>
    <n v="303312"/>
    <n v="43070.303999999996"/>
    <m/>
    <m/>
  </r>
  <r>
    <x v="43"/>
    <x v="1"/>
    <x v="6"/>
    <m/>
    <x v="3"/>
    <s v="Track"/>
    <m/>
    <n v="1811"/>
    <n v="129"/>
    <m/>
    <m/>
    <m/>
    <m/>
    <m/>
    <m/>
    <n v="1811"/>
    <n v="129"/>
    <n v="233619"/>
    <n v="30136.850999999999"/>
    <m/>
    <m/>
  </r>
  <r>
    <x v="43"/>
    <x v="1"/>
    <x v="6"/>
    <m/>
    <x v="2"/>
    <s v="Track"/>
    <m/>
    <n v="1843"/>
    <n v="126"/>
    <m/>
    <m/>
    <m/>
    <m/>
    <m/>
    <m/>
    <n v="1843"/>
    <n v="126"/>
    <n v="232218"/>
    <n v="29259.468000000001"/>
    <m/>
    <m/>
  </r>
  <r>
    <x v="43"/>
    <x v="1"/>
    <x v="6"/>
    <m/>
    <x v="1"/>
    <s v="Track"/>
    <m/>
    <n v="2001"/>
    <n v="137"/>
    <m/>
    <m/>
    <m/>
    <m/>
    <m/>
    <m/>
    <n v="2001"/>
    <n v="137"/>
    <n v="274137"/>
    <n v="37556.769"/>
    <m/>
    <m/>
  </r>
  <r>
    <x v="43"/>
    <x v="1"/>
    <x v="6"/>
    <m/>
    <x v="5"/>
    <s v="Track"/>
    <m/>
    <n v="2065"/>
    <n v="140"/>
    <m/>
    <m/>
    <m/>
    <m/>
    <m/>
    <m/>
    <n v="2065"/>
    <n v="140"/>
    <n v="289100"/>
    <n v="40474"/>
    <m/>
    <m/>
  </r>
  <r>
    <x v="44"/>
    <x v="1"/>
    <x v="6"/>
    <m/>
    <x v="3"/>
    <s v="Track"/>
    <m/>
    <n v="1838"/>
    <n v="132"/>
    <n v="1802"/>
    <n v="132"/>
    <m/>
    <m/>
    <m/>
    <m/>
    <n v="1820"/>
    <n v="132"/>
    <n v="240240"/>
    <n v="31711.68"/>
    <m/>
    <m/>
  </r>
  <r>
    <x v="44"/>
    <x v="1"/>
    <x v="6"/>
    <m/>
    <x v="2"/>
    <s v="Track"/>
    <m/>
    <n v="2009"/>
    <n v="130"/>
    <m/>
    <m/>
    <m/>
    <m/>
    <m/>
    <m/>
    <n v="2009"/>
    <n v="130"/>
    <n v="261170"/>
    <n v="33952.1"/>
    <m/>
    <m/>
  </r>
  <r>
    <x v="44"/>
    <x v="1"/>
    <x v="6"/>
    <m/>
    <x v="4"/>
    <s v="Track"/>
    <m/>
    <n v="2126"/>
    <n v="125"/>
    <m/>
    <m/>
    <m/>
    <m/>
    <m/>
    <m/>
    <n v="2126"/>
    <n v="125"/>
    <n v="265750"/>
    <n v="33218.75"/>
    <m/>
    <m/>
  </r>
  <r>
    <x v="45"/>
    <x v="1"/>
    <x v="6"/>
    <m/>
    <x v="3"/>
    <s v="Track"/>
    <m/>
    <n v="1790"/>
    <n v="130"/>
    <m/>
    <m/>
    <m/>
    <m/>
    <m/>
    <m/>
    <n v="1790"/>
    <n v="130"/>
    <n v="232700"/>
    <n v="30251"/>
    <m/>
    <m/>
  </r>
  <r>
    <x v="45"/>
    <x v="1"/>
    <x v="6"/>
    <m/>
    <x v="2"/>
    <s v="Track"/>
    <m/>
    <n v="1872"/>
    <n v="124"/>
    <m/>
    <m/>
    <m/>
    <m/>
    <m/>
    <m/>
    <n v="1872"/>
    <n v="124"/>
    <n v="232128"/>
    <n v="28783.871999999999"/>
    <m/>
    <m/>
  </r>
  <r>
    <x v="45"/>
    <x v="1"/>
    <x v="6"/>
    <m/>
    <x v="4"/>
    <s v="Track"/>
    <m/>
    <n v="2190"/>
    <n v="124"/>
    <m/>
    <m/>
    <m/>
    <m/>
    <m/>
    <m/>
    <n v="2190"/>
    <n v="124"/>
    <n v="271560"/>
    <n v="33673.440000000002"/>
    <m/>
    <m/>
  </r>
  <r>
    <x v="46"/>
    <x v="1"/>
    <x v="6"/>
    <m/>
    <x v="4"/>
    <s v="Track"/>
    <m/>
    <n v="2112"/>
    <n v="117"/>
    <m/>
    <m/>
    <m/>
    <m/>
    <m/>
    <m/>
    <n v="2112"/>
    <n v="117"/>
    <n v="247104"/>
    <n v="28911.168000000001"/>
    <m/>
    <m/>
  </r>
  <r>
    <x v="47"/>
    <x v="1"/>
    <x v="6"/>
    <m/>
    <x v="3"/>
    <s v="Track"/>
    <m/>
    <n v="1761"/>
    <n v="133"/>
    <m/>
    <m/>
    <m/>
    <m/>
    <m/>
    <m/>
    <n v="1761"/>
    <n v="133"/>
    <n v="234213"/>
    <n v="31150.329000000002"/>
    <m/>
    <m/>
  </r>
  <r>
    <x v="47"/>
    <x v="1"/>
    <x v="6"/>
    <m/>
    <x v="1"/>
    <s v="Track"/>
    <m/>
    <n v="1875"/>
    <n v="132"/>
    <m/>
    <m/>
    <m/>
    <m/>
    <m/>
    <m/>
    <n v="1875"/>
    <n v="132"/>
    <n v="247500"/>
    <n v="32670"/>
    <m/>
    <m/>
  </r>
  <r>
    <x v="47"/>
    <x v="1"/>
    <x v="6"/>
    <m/>
    <x v="2"/>
    <s v="Track"/>
    <m/>
    <n v="1927"/>
    <n v="129"/>
    <m/>
    <m/>
    <m/>
    <m/>
    <m/>
    <m/>
    <n v="1927"/>
    <n v="129"/>
    <n v="248583"/>
    <n v="32067.206999999999"/>
    <m/>
    <m/>
  </r>
  <r>
    <x v="47"/>
    <x v="1"/>
    <x v="6"/>
    <m/>
    <x v="5"/>
    <s v="Track"/>
    <m/>
    <n v="2003"/>
    <n v="138"/>
    <m/>
    <m/>
    <m/>
    <m/>
    <m/>
    <m/>
    <n v="2003"/>
    <n v="138"/>
    <n v="276414"/>
    <n v="38145.131999999998"/>
    <m/>
    <m/>
  </r>
  <r>
    <x v="48"/>
    <x v="1"/>
    <x v="6"/>
    <m/>
    <x v="3"/>
    <s v="Track"/>
    <m/>
    <n v="1879"/>
    <n v="139"/>
    <m/>
    <m/>
    <m/>
    <m/>
    <m/>
    <m/>
    <n v="1879"/>
    <n v="139"/>
    <n v="261181"/>
    <n v="36304.159"/>
    <m/>
    <m/>
  </r>
  <r>
    <x v="48"/>
    <x v="1"/>
    <x v="6"/>
    <m/>
    <x v="1"/>
    <s v="Track"/>
    <m/>
    <n v="1977"/>
    <n v="137"/>
    <m/>
    <m/>
    <m/>
    <m/>
    <m/>
    <m/>
    <n v="1977"/>
    <n v="137"/>
    <n v="270849"/>
    <n v="37106.313000000002"/>
    <m/>
    <m/>
  </r>
  <r>
    <x v="48"/>
    <x v="1"/>
    <x v="6"/>
    <m/>
    <x v="2"/>
    <s v="Track"/>
    <m/>
    <n v="2057"/>
    <n v="135"/>
    <m/>
    <m/>
    <m/>
    <m/>
    <m/>
    <m/>
    <n v="2057"/>
    <n v="135"/>
    <n v="277695"/>
    <n v="37488.824999999997"/>
    <m/>
    <m/>
  </r>
  <r>
    <x v="48"/>
    <x v="1"/>
    <x v="6"/>
    <m/>
    <x v="5"/>
    <s v="Track"/>
    <m/>
    <n v="2159"/>
    <n v="140"/>
    <m/>
    <m/>
    <m/>
    <m/>
    <m/>
    <m/>
    <n v="2159"/>
    <n v="140"/>
    <n v="302260"/>
    <n v="42316.4"/>
    <m/>
    <m/>
  </r>
  <r>
    <x v="49"/>
    <x v="1"/>
    <x v="6"/>
    <m/>
    <x v="0"/>
    <s v="Track"/>
    <m/>
    <n v="1209"/>
    <n v="121"/>
    <m/>
    <m/>
    <m/>
    <m/>
    <m/>
    <m/>
    <n v="1209"/>
    <n v="121"/>
    <n v="146289"/>
    <n v="17700.969000000001"/>
    <m/>
    <m/>
  </r>
  <r>
    <x v="49"/>
    <x v="1"/>
    <x v="6"/>
    <m/>
    <x v="3"/>
    <s v="Track"/>
    <m/>
    <n v="1858"/>
    <n v="140"/>
    <m/>
    <m/>
    <m/>
    <m/>
    <m/>
    <m/>
    <n v="1858"/>
    <n v="140"/>
    <n v="260120"/>
    <n v="36416.800000000003"/>
    <m/>
    <m/>
  </r>
  <r>
    <x v="49"/>
    <x v="1"/>
    <x v="6"/>
    <m/>
    <x v="1"/>
    <s v="Track"/>
    <m/>
    <n v="1896"/>
    <n v="134"/>
    <m/>
    <m/>
    <m/>
    <m/>
    <m/>
    <m/>
    <n v="1896"/>
    <n v="134"/>
    <n v="254064"/>
    <n v="34044.576000000001"/>
    <m/>
    <m/>
  </r>
  <r>
    <x v="49"/>
    <x v="1"/>
    <x v="6"/>
    <m/>
    <x v="2"/>
    <s v="Track"/>
    <m/>
    <n v="1983"/>
    <n v="130"/>
    <m/>
    <m/>
    <m/>
    <m/>
    <m/>
    <m/>
    <n v="1983"/>
    <n v="130"/>
    <n v="257790"/>
    <n v="33512.699999999997"/>
    <m/>
    <m/>
  </r>
  <r>
    <x v="49"/>
    <x v="1"/>
    <x v="6"/>
    <m/>
    <x v="4"/>
    <s v="Track"/>
    <m/>
    <n v="2129"/>
    <n v="121"/>
    <m/>
    <m/>
    <m/>
    <m/>
    <m/>
    <m/>
    <n v="2129"/>
    <n v="121"/>
    <n v="257609"/>
    <n v="31170.688999999998"/>
    <m/>
    <m/>
  </r>
  <r>
    <x v="49"/>
    <x v="1"/>
    <x v="6"/>
    <m/>
    <x v="5"/>
    <s v="Track"/>
    <m/>
    <n v="2229"/>
    <n v="142"/>
    <m/>
    <m/>
    <m/>
    <m/>
    <m/>
    <m/>
    <n v="2229"/>
    <n v="142"/>
    <n v="316518"/>
    <n v="44945.555999999997"/>
    <m/>
    <m/>
  </r>
  <r>
    <x v="50"/>
    <x v="1"/>
    <x v="6"/>
    <m/>
    <x v="0"/>
    <s v="Track"/>
    <m/>
    <n v="1241"/>
    <n v="120"/>
    <m/>
    <m/>
    <m/>
    <m/>
    <m/>
    <m/>
    <n v="1241"/>
    <n v="120"/>
    <n v="148920"/>
    <n v="17870.400000000001"/>
    <m/>
    <m/>
  </r>
  <r>
    <x v="50"/>
    <x v="1"/>
    <x v="6"/>
    <m/>
    <x v="3"/>
    <s v="Track"/>
    <m/>
    <n v="1811"/>
    <n v="134"/>
    <m/>
    <m/>
    <m/>
    <m/>
    <m/>
    <m/>
    <n v="1811"/>
    <n v="134"/>
    <n v="242674"/>
    <n v="32518.315999999999"/>
    <m/>
    <m/>
  </r>
  <r>
    <x v="50"/>
    <x v="1"/>
    <x v="6"/>
    <m/>
    <x v="1"/>
    <s v="Track"/>
    <m/>
    <n v="1946"/>
    <n v="136"/>
    <m/>
    <m/>
    <m/>
    <m/>
    <m/>
    <m/>
    <n v="1946"/>
    <n v="136"/>
    <n v="264656"/>
    <n v="35993.216"/>
    <m/>
    <m/>
  </r>
  <r>
    <x v="50"/>
    <x v="1"/>
    <x v="6"/>
    <m/>
    <x v="2"/>
    <s v="Track"/>
    <m/>
    <n v="1989"/>
    <n v="130"/>
    <m/>
    <m/>
    <m/>
    <m/>
    <m/>
    <m/>
    <n v="1989"/>
    <n v="130"/>
    <n v="258570"/>
    <n v="33614.1"/>
    <m/>
    <m/>
  </r>
  <r>
    <x v="50"/>
    <x v="1"/>
    <x v="6"/>
    <m/>
    <x v="4"/>
    <s v="Track"/>
    <m/>
    <n v="2200"/>
    <n v="124"/>
    <m/>
    <m/>
    <m/>
    <m/>
    <m/>
    <m/>
    <n v="2200"/>
    <n v="124"/>
    <n v="272800"/>
    <n v="33827.199999999997"/>
    <m/>
    <m/>
  </r>
  <r>
    <x v="50"/>
    <x v="1"/>
    <x v="6"/>
    <m/>
    <x v="5"/>
    <s v="Track"/>
    <m/>
    <n v="2238"/>
    <n v="146"/>
    <m/>
    <m/>
    <m/>
    <m/>
    <m/>
    <m/>
    <n v="2238"/>
    <n v="146"/>
    <n v="326748"/>
    <n v="47705.207999999999"/>
    <m/>
    <m/>
  </r>
  <r>
    <x v="51"/>
    <x v="1"/>
    <x v="6"/>
    <m/>
    <x v="3"/>
    <s v="Track"/>
    <m/>
    <n v="1752"/>
    <n v="133"/>
    <m/>
    <m/>
    <m/>
    <m/>
    <m/>
    <m/>
    <n v="1752"/>
    <n v="133"/>
    <n v="233016"/>
    <n v="30991.128000000001"/>
    <m/>
    <m/>
  </r>
  <r>
    <x v="51"/>
    <x v="1"/>
    <x v="6"/>
    <m/>
    <x v="1"/>
    <s v="Track"/>
    <m/>
    <n v="1878"/>
    <n v="134"/>
    <m/>
    <m/>
    <m/>
    <m/>
    <m/>
    <m/>
    <n v="1878"/>
    <n v="134"/>
    <n v="251652"/>
    <n v="33721.368000000002"/>
    <m/>
    <m/>
  </r>
  <r>
    <x v="51"/>
    <x v="1"/>
    <x v="6"/>
    <m/>
    <x v="2"/>
    <s v="Track"/>
    <m/>
    <n v="1979"/>
    <n v="131"/>
    <m/>
    <m/>
    <m/>
    <m/>
    <m/>
    <m/>
    <n v="1979"/>
    <n v="131"/>
    <n v="259249"/>
    <n v="33961.618999999999"/>
    <m/>
    <m/>
  </r>
  <r>
    <x v="51"/>
    <x v="1"/>
    <x v="6"/>
    <m/>
    <x v="5"/>
    <s v="Track"/>
    <m/>
    <n v="2094"/>
    <n v="139"/>
    <m/>
    <m/>
    <m/>
    <m/>
    <m/>
    <m/>
    <n v="2094"/>
    <n v="139"/>
    <n v="291066"/>
    <n v="40458.173999999999"/>
    <m/>
    <m/>
  </r>
  <r>
    <x v="51"/>
    <x v="1"/>
    <x v="6"/>
    <m/>
    <x v="4"/>
    <s v="Track"/>
    <m/>
    <n v="2149"/>
    <n v="120"/>
    <m/>
    <m/>
    <m/>
    <m/>
    <m/>
    <m/>
    <n v="2149"/>
    <n v="120"/>
    <n v="257880"/>
    <n v="30945.599999999999"/>
    <m/>
    <m/>
  </r>
  <r>
    <x v="52"/>
    <x v="1"/>
    <x v="6"/>
    <m/>
    <x v="0"/>
    <s v="Track"/>
    <m/>
    <n v="1303"/>
    <n v="123"/>
    <m/>
    <m/>
    <m/>
    <m/>
    <m/>
    <m/>
    <n v="1303"/>
    <n v="123"/>
    <n v="160269"/>
    <n v="19713.087"/>
    <m/>
    <m/>
  </r>
  <r>
    <x v="52"/>
    <x v="1"/>
    <x v="6"/>
    <m/>
    <x v="3"/>
    <s v="Track"/>
    <m/>
    <n v="1806"/>
    <n v="130"/>
    <m/>
    <m/>
    <m/>
    <m/>
    <m/>
    <m/>
    <n v="1806"/>
    <n v="130"/>
    <n v="234780"/>
    <n v="30521.4"/>
    <m/>
    <m/>
  </r>
  <r>
    <x v="52"/>
    <x v="1"/>
    <x v="6"/>
    <m/>
    <x v="1"/>
    <s v="Track"/>
    <m/>
    <n v="1903"/>
    <n v="133"/>
    <m/>
    <m/>
    <m/>
    <m/>
    <m/>
    <m/>
    <n v="1903"/>
    <n v="133"/>
    <n v="253099"/>
    <n v="33662.167000000001"/>
    <m/>
    <m/>
  </r>
  <r>
    <x v="52"/>
    <x v="1"/>
    <x v="6"/>
    <m/>
    <x v="2"/>
    <s v="Track"/>
    <m/>
    <n v="1935"/>
    <n v="124"/>
    <m/>
    <m/>
    <m/>
    <m/>
    <m/>
    <m/>
    <n v="1935"/>
    <n v="124"/>
    <n v="239940"/>
    <n v="29752.560000000001"/>
    <m/>
    <m/>
  </r>
  <r>
    <x v="52"/>
    <x v="1"/>
    <x v="6"/>
    <m/>
    <x v="4"/>
    <s v="Track"/>
    <m/>
    <n v="2166"/>
    <n v="120"/>
    <m/>
    <m/>
    <m/>
    <m/>
    <m/>
    <m/>
    <n v="2166"/>
    <n v="120"/>
    <n v="259920"/>
    <n v="31190.400000000001"/>
    <m/>
    <m/>
  </r>
  <r>
    <x v="52"/>
    <x v="1"/>
    <x v="6"/>
    <m/>
    <x v="5"/>
    <s v="Track"/>
    <m/>
    <n v="2200"/>
    <n v="140"/>
    <m/>
    <m/>
    <m/>
    <m/>
    <m/>
    <m/>
    <n v="2200"/>
    <n v="140"/>
    <n v="308000"/>
    <n v="43120"/>
    <m/>
    <m/>
  </r>
  <r>
    <x v="53"/>
    <x v="1"/>
    <x v="6"/>
    <m/>
    <x v="3"/>
    <s v="Track"/>
    <m/>
    <n v="1827"/>
    <n v="133"/>
    <m/>
    <m/>
    <n v="1740"/>
    <n v="126"/>
    <m/>
    <m/>
    <n v="1783.5"/>
    <n v="129.5"/>
    <n v="230963.25"/>
    <n v="29909.740875"/>
    <m/>
    <m/>
  </r>
  <r>
    <x v="53"/>
    <x v="1"/>
    <x v="6"/>
    <m/>
    <x v="1"/>
    <s v="Track"/>
    <m/>
    <n v="1902"/>
    <n v="128"/>
    <m/>
    <m/>
    <m/>
    <m/>
    <m/>
    <m/>
    <n v="1902"/>
    <n v="128"/>
    <n v="243456"/>
    <n v="31162.367999999999"/>
    <m/>
    <m/>
  </r>
  <r>
    <x v="53"/>
    <x v="1"/>
    <x v="6"/>
    <m/>
    <x v="2"/>
    <s v="Track"/>
    <m/>
    <n v="1956"/>
    <n v="127"/>
    <m/>
    <m/>
    <n v="1941"/>
    <n v="128"/>
    <m/>
    <m/>
    <n v="1948.5"/>
    <n v="127.5"/>
    <n v="248433.75"/>
    <n v="31675.303124999999"/>
    <m/>
    <m/>
  </r>
  <r>
    <x v="53"/>
    <x v="1"/>
    <x v="6"/>
    <m/>
    <x v="2"/>
    <s v="Track"/>
    <m/>
    <n v="2004"/>
    <n v="128"/>
    <m/>
    <m/>
    <m/>
    <m/>
    <m/>
    <m/>
    <n v="2004"/>
    <n v="128"/>
    <n v="256512"/>
    <n v="32833.536"/>
    <m/>
    <m/>
  </r>
  <r>
    <x v="53"/>
    <x v="1"/>
    <x v="6"/>
    <m/>
    <x v="5"/>
    <s v="Track"/>
    <m/>
    <n v="2008"/>
    <n v="136"/>
    <m/>
    <m/>
    <n v="2067"/>
    <n v="135"/>
    <m/>
    <m/>
    <n v="2037.5"/>
    <n v="135.5"/>
    <n v="276081.25"/>
    <n v="37409.009375000001"/>
    <m/>
    <m/>
  </r>
  <r>
    <x v="53"/>
    <x v="1"/>
    <x v="6"/>
    <m/>
    <x v="4"/>
    <s v="Track"/>
    <m/>
    <n v="2115"/>
    <n v="119"/>
    <m/>
    <m/>
    <n v="2107"/>
    <n v="117"/>
    <m/>
    <m/>
    <n v="2111"/>
    <n v="118"/>
    <n v="249098"/>
    <n v="29393.563999999998"/>
    <m/>
    <m/>
  </r>
  <r>
    <x v="53"/>
    <x v="1"/>
    <x v="6"/>
    <m/>
    <x v="4"/>
    <s v="Track"/>
    <m/>
    <n v="2200"/>
    <n v="121"/>
    <m/>
    <m/>
    <m/>
    <m/>
    <m/>
    <m/>
    <n v="2200"/>
    <n v="121"/>
    <n v="266200"/>
    <n v="32210.2"/>
    <m/>
    <m/>
  </r>
  <r>
    <x v="54"/>
    <x v="1"/>
    <x v="6"/>
    <m/>
    <x v="3"/>
    <s v="Track"/>
    <m/>
    <n v="1780"/>
    <n v="134"/>
    <m/>
    <m/>
    <m/>
    <m/>
    <m/>
    <m/>
    <n v="1780"/>
    <n v="134"/>
    <n v="238520"/>
    <n v="31961.68"/>
    <m/>
    <m/>
  </r>
  <r>
    <x v="54"/>
    <x v="1"/>
    <x v="6"/>
    <m/>
    <x v="1"/>
    <s v="Track"/>
    <m/>
    <n v="1928"/>
    <n v="133"/>
    <m/>
    <m/>
    <m/>
    <m/>
    <m/>
    <m/>
    <n v="1928"/>
    <n v="133"/>
    <n v="256424"/>
    <n v="34104.392"/>
    <m/>
    <m/>
  </r>
  <r>
    <x v="55"/>
    <x v="1"/>
    <x v="6"/>
    <m/>
    <x v="3"/>
    <s v="Track"/>
    <m/>
    <n v="1856"/>
    <n v="134"/>
    <m/>
    <m/>
    <m/>
    <m/>
    <m/>
    <m/>
    <n v="1856"/>
    <n v="134"/>
    <n v="248704"/>
    <n v="33326.336000000003"/>
    <m/>
    <m/>
  </r>
  <r>
    <x v="55"/>
    <x v="1"/>
    <x v="6"/>
    <m/>
    <x v="1"/>
    <s v="Track"/>
    <m/>
    <n v="1913"/>
    <n v="138"/>
    <m/>
    <m/>
    <m/>
    <m/>
    <m/>
    <m/>
    <n v="1913"/>
    <n v="138"/>
    <n v="263994"/>
    <n v="36431.171999999999"/>
    <m/>
    <m/>
  </r>
  <r>
    <x v="55"/>
    <x v="1"/>
    <x v="6"/>
    <m/>
    <x v="2"/>
    <s v="Track"/>
    <m/>
    <n v="2079"/>
    <n v="134"/>
    <m/>
    <m/>
    <m/>
    <m/>
    <m/>
    <m/>
    <n v="2079"/>
    <n v="134"/>
    <n v="278586"/>
    <n v="37330.523999999998"/>
    <m/>
    <m/>
  </r>
  <r>
    <x v="55"/>
    <x v="1"/>
    <x v="6"/>
    <m/>
    <x v="4"/>
    <s v="Track"/>
    <m/>
    <n v="2081"/>
    <n v="128"/>
    <m/>
    <m/>
    <m/>
    <m/>
    <m/>
    <m/>
    <n v="2081"/>
    <n v="128"/>
    <n v="266368"/>
    <n v="34095.103999999999"/>
    <m/>
    <m/>
  </r>
  <r>
    <x v="55"/>
    <x v="1"/>
    <x v="6"/>
    <m/>
    <x v="5"/>
    <s v="Track"/>
    <m/>
    <n v="2102"/>
    <n v="139"/>
    <m/>
    <m/>
    <m/>
    <m/>
    <m/>
    <m/>
    <n v="2102"/>
    <n v="139"/>
    <n v="292178"/>
    <n v="40612.741999999998"/>
    <m/>
    <m/>
  </r>
  <r>
    <x v="56"/>
    <x v="1"/>
    <x v="7"/>
    <m/>
    <x v="5"/>
    <s v="Track"/>
    <m/>
    <n v="1978"/>
    <n v="143"/>
    <n v="2057"/>
    <n v="147"/>
    <m/>
    <m/>
    <m/>
    <m/>
    <n v="2017.5"/>
    <n v="145"/>
    <n v="292537.5"/>
    <n v="42417.9375"/>
    <m/>
    <m/>
  </r>
  <r>
    <x v="56"/>
    <x v="1"/>
    <x v="7"/>
    <m/>
    <x v="4"/>
    <s v="Track"/>
    <m/>
    <n v="2115"/>
    <n v="120"/>
    <n v="2162"/>
    <n v="128"/>
    <m/>
    <m/>
    <m/>
    <m/>
    <n v="2138.5"/>
    <n v="124"/>
    <n v="265174"/>
    <n v="32881.576000000001"/>
    <m/>
    <m/>
  </r>
  <r>
    <x v="57"/>
    <x v="1"/>
    <x v="7"/>
    <m/>
    <x v="4"/>
    <s v="Track"/>
    <m/>
    <n v="1974"/>
    <n v="126"/>
    <n v="2022"/>
    <n v="115"/>
    <m/>
    <m/>
    <m/>
    <m/>
    <n v="1998"/>
    <n v="120.5"/>
    <n v="240759"/>
    <n v="29011.459500000001"/>
    <m/>
    <m/>
  </r>
  <r>
    <x v="57"/>
    <x v="1"/>
    <x v="7"/>
    <m/>
    <x v="5"/>
    <s v="Track"/>
    <m/>
    <n v="2016"/>
    <n v="143"/>
    <n v="2018"/>
    <n v="144"/>
    <m/>
    <m/>
    <m/>
    <m/>
    <n v="2017"/>
    <n v="143.5"/>
    <n v="289439.5"/>
    <n v="41534.568249999997"/>
    <m/>
    <m/>
  </r>
  <r>
    <x v="58"/>
    <x v="1"/>
    <x v="7"/>
    <m/>
    <x v="3"/>
    <s v="Track"/>
    <m/>
    <n v="1795"/>
    <n v="128"/>
    <n v="1821"/>
    <n v="130"/>
    <n v="1800"/>
    <n v="128"/>
    <m/>
    <m/>
    <n v="1805.3333333333333"/>
    <n v="128.66666666666666"/>
    <n v="232286.22222222219"/>
    <n v="29887.493925925919"/>
    <m/>
    <m/>
  </r>
  <r>
    <x v="58"/>
    <x v="1"/>
    <x v="7"/>
    <m/>
    <x v="2"/>
    <s v="Track"/>
    <m/>
    <n v="1895"/>
    <n v="124"/>
    <n v="2009"/>
    <n v="129"/>
    <n v="1953"/>
    <n v="126"/>
    <m/>
    <m/>
    <n v="1952.3333333333333"/>
    <n v="126.33333333333333"/>
    <n v="246644.77777777775"/>
    <n v="31159.456925925922"/>
    <m/>
    <m/>
  </r>
  <r>
    <x v="59"/>
    <x v="2"/>
    <x v="8"/>
    <m/>
    <x v="1"/>
    <s v="Track"/>
    <m/>
    <n v="1647"/>
    <n v="127"/>
    <n v="1600"/>
    <n v="129"/>
    <m/>
    <m/>
    <m/>
    <m/>
    <n v="1623.5"/>
    <n v="128"/>
    <n v="207808"/>
    <n v="26599.423999999999"/>
    <m/>
    <m/>
  </r>
  <r>
    <x v="59"/>
    <x v="2"/>
    <x v="8"/>
    <m/>
    <x v="3"/>
    <s v="Track"/>
    <m/>
    <n v="1823"/>
    <n v="133"/>
    <n v="1753"/>
    <n v="132"/>
    <m/>
    <m/>
    <m/>
    <m/>
    <n v="1788"/>
    <n v="132.5"/>
    <n v="236910"/>
    <n v="31390.575000000001"/>
    <m/>
    <m/>
  </r>
  <r>
    <x v="59"/>
    <x v="2"/>
    <x v="8"/>
    <m/>
    <x v="2"/>
    <s v="Track"/>
    <m/>
    <n v="2003"/>
    <n v="136"/>
    <n v="1945"/>
    <n v="134"/>
    <m/>
    <m/>
    <m/>
    <m/>
    <n v="1974"/>
    <n v="135"/>
    <n v="266490"/>
    <n v="35976.15"/>
    <m/>
    <m/>
  </r>
  <r>
    <x v="59"/>
    <x v="2"/>
    <x v="8"/>
    <m/>
    <x v="5"/>
    <s v="Track"/>
    <m/>
    <n v="2120"/>
    <n v="148"/>
    <n v="1932"/>
    <n v="150"/>
    <m/>
    <m/>
    <m/>
    <m/>
    <n v="2026"/>
    <n v="149"/>
    <n v="301874"/>
    <n v="44979.226000000002"/>
    <m/>
    <m/>
  </r>
  <r>
    <x v="59"/>
    <x v="2"/>
    <x v="8"/>
    <m/>
    <x v="4"/>
    <s v="Track"/>
    <m/>
    <n v="2195"/>
    <n v="127"/>
    <n v="2080"/>
    <n v="120"/>
    <m/>
    <m/>
    <m/>
    <m/>
    <n v="2137.5"/>
    <n v="123.5"/>
    <n v="263981.25"/>
    <n v="32601.684375000001"/>
    <m/>
    <m/>
  </r>
  <r>
    <x v="60"/>
    <x v="2"/>
    <x v="8"/>
    <m/>
    <x v="3"/>
    <s v="Track"/>
    <m/>
    <n v="1725"/>
    <n v="128"/>
    <n v="1773"/>
    <n v="130"/>
    <m/>
    <m/>
    <m/>
    <m/>
    <n v="1749"/>
    <n v="129"/>
    <n v="225621"/>
    <n v="29105.109"/>
    <m/>
    <m/>
  </r>
  <r>
    <x v="60"/>
    <x v="2"/>
    <x v="8"/>
    <m/>
    <x v="2"/>
    <s v="Track"/>
    <m/>
    <n v="1903"/>
    <n v="133"/>
    <n v="1891"/>
    <n v="131"/>
    <m/>
    <m/>
    <m/>
    <m/>
    <n v="1897"/>
    <n v="132"/>
    <n v="250404"/>
    <n v="33053.328000000001"/>
    <m/>
    <m/>
  </r>
  <r>
    <x v="60"/>
    <x v="2"/>
    <x v="8"/>
    <m/>
    <x v="5"/>
    <s v="Track"/>
    <m/>
    <n v="1980"/>
    <n v="147"/>
    <n v="1977"/>
    <n v="148"/>
    <m/>
    <m/>
    <m/>
    <m/>
    <n v="1978.5"/>
    <n v="147.5"/>
    <n v="291828.75"/>
    <n v="43044.740624999999"/>
    <m/>
    <m/>
  </r>
  <r>
    <x v="60"/>
    <x v="2"/>
    <x v="8"/>
    <m/>
    <x v="4"/>
    <s v="Track"/>
    <m/>
    <n v="2056"/>
    <n v="117"/>
    <n v="1998"/>
    <n v="121"/>
    <m/>
    <m/>
    <m/>
    <m/>
    <n v="2027"/>
    <n v="119"/>
    <n v="241213"/>
    <n v="28704.347000000002"/>
    <m/>
    <m/>
  </r>
  <r>
    <x v="61"/>
    <x v="2"/>
    <x v="8"/>
    <m/>
    <x v="1"/>
    <s v="Track"/>
    <m/>
    <n v="1725"/>
    <n v="133"/>
    <n v="1707"/>
    <n v="134"/>
    <m/>
    <m/>
    <m/>
    <m/>
    <n v="1716"/>
    <n v="133.5"/>
    <n v="229086"/>
    <n v="30582.981"/>
    <m/>
    <m/>
  </r>
  <r>
    <x v="61"/>
    <x v="2"/>
    <x v="8"/>
    <m/>
    <x v="3"/>
    <s v="Track"/>
    <m/>
    <n v="1728"/>
    <n v="129"/>
    <n v="1742"/>
    <n v="125"/>
    <m/>
    <m/>
    <m/>
    <m/>
    <n v="1735"/>
    <n v="127"/>
    <n v="220345"/>
    <n v="27983.814999999999"/>
    <m/>
    <m/>
  </r>
  <r>
    <x v="61"/>
    <x v="2"/>
    <x v="8"/>
    <m/>
    <x v="2"/>
    <s v="Track"/>
    <m/>
    <n v="1913"/>
    <n v="130"/>
    <n v="1903"/>
    <n v="129"/>
    <m/>
    <m/>
    <m/>
    <m/>
    <n v="1908"/>
    <n v="129.5"/>
    <n v="247086"/>
    <n v="31997.636999999999"/>
    <m/>
    <m/>
  </r>
  <r>
    <x v="61"/>
    <x v="2"/>
    <x v="8"/>
    <m/>
    <x v="5"/>
    <s v="Track"/>
    <m/>
    <n v="1940"/>
    <n v="141"/>
    <n v="1948"/>
    <n v="146"/>
    <m/>
    <m/>
    <m/>
    <m/>
    <n v="1944"/>
    <n v="143.5"/>
    <n v="278964"/>
    <n v="40031.334000000003"/>
    <m/>
    <m/>
  </r>
  <r>
    <x v="61"/>
    <x v="2"/>
    <x v="8"/>
    <m/>
    <x v="4"/>
    <s v="Track"/>
    <m/>
    <n v="2060"/>
    <n v="124"/>
    <n v="2082"/>
    <n v="115"/>
    <m/>
    <m/>
    <m/>
    <m/>
    <n v="2071"/>
    <n v="119.5"/>
    <n v="247484.5"/>
    <n v="29574.39775"/>
    <m/>
    <m/>
  </r>
  <r>
    <x v="62"/>
    <x v="2"/>
    <x v="2"/>
    <m/>
    <x v="6"/>
    <s v="BMX"/>
    <m/>
    <n v="2163"/>
    <n v="148"/>
    <n v="2301"/>
    <n v="149"/>
    <m/>
    <m/>
    <m/>
    <m/>
    <n v="2232"/>
    <n v="148.5"/>
    <n v="331452"/>
    <n v="49220.622000000003"/>
    <n v="85"/>
    <m/>
  </r>
  <r>
    <x v="63"/>
    <x v="2"/>
    <x v="3"/>
    <m/>
    <x v="5"/>
    <s v="Track"/>
    <m/>
    <n v="2071"/>
    <n v="139"/>
    <n v="1945"/>
    <n v="141"/>
    <m/>
    <m/>
    <m/>
    <m/>
    <n v="2008"/>
    <n v="140"/>
    <n v="281120"/>
    <n v="39356.800000000003"/>
    <m/>
    <m/>
  </r>
  <r>
    <x v="64"/>
    <x v="2"/>
    <x v="3"/>
    <m/>
    <x v="1"/>
    <s v="Track"/>
    <m/>
    <n v="1676"/>
    <n v="127"/>
    <n v="1657"/>
    <n v="133"/>
    <n v="1737"/>
    <n v="130"/>
    <n v="1697"/>
    <n v="131"/>
    <n v="1691.75"/>
    <n v="130.25"/>
    <n v="220350.4375"/>
    <n v="28700.644484375"/>
    <m/>
    <m/>
  </r>
  <r>
    <x v="65"/>
    <x v="2"/>
    <x v="3"/>
    <m/>
    <x v="5"/>
    <s v="Track"/>
    <m/>
    <n v="1896"/>
    <n v="140"/>
    <n v="1845"/>
    <n v="142"/>
    <m/>
    <m/>
    <m/>
    <m/>
    <n v="1870.5"/>
    <n v="141"/>
    <n v="263740.5"/>
    <n v="37187.410499999998"/>
    <m/>
    <m/>
  </r>
  <r>
    <x v="66"/>
    <x v="2"/>
    <x v="3"/>
    <m/>
    <x v="3"/>
    <s v="Track"/>
    <m/>
    <n v="1815"/>
    <n v="133"/>
    <n v="1816"/>
    <n v="133"/>
    <m/>
    <m/>
    <m/>
    <m/>
    <n v="1815.5"/>
    <n v="133"/>
    <n v="241461.5"/>
    <n v="32114.379499999999"/>
    <m/>
    <m/>
  </r>
  <r>
    <x v="66"/>
    <x v="2"/>
    <x v="3"/>
    <m/>
    <x v="5"/>
    <s v="Track"/>
    <m/>
    <n v="1883"/>
    <n v="137"/>
    <n v="1923"/>
    <n v="143"/>
    <m/>
    <m/>
    <m/>
    <m/>
    <n v="1903"/>
    <n v="140"/>
    <n v="266420"/>
    <n v="37298.800000000003"/>
    <m/>
    <m/>
  </r>
  <r>
    <x v="66"/>
    <x v="2"/>
    <x v="3"/>
    <m/>
    <x v="2"/>
    <s v="Track"/>
    <m/>
    <n v="1971"/>
    <n v="133"/>
    <n v="1974"/>
    <n v="132"/>
    <m/>
    <m/>
    <m/>
    <m/>
    <n v="1972.5"/>
    <n v="132.5"/>
    <n v="261356.25"/>
    <n v="34629.703125"/>
    <m/>
    <m/>
  </r>
  <r>
    <x v="67"/>
    <x v="2"/>
    <x v="9"/>
    <m/>
    <x v="3"/>
    <s v="Track"/>
    <m/>
    <n v="1711"/>
    <n v="129"/>
    <n v="1731"/>
    <n v="130"/>
    <m/>
    <m/>
    <m/>
    <m/>
    <n v="1721"/>
    <n v="129.5"/>
    <n v="222869.5"/>
    <n v="28861.60025"/>
    <m/>
    <m/>
  </r>
  <r>
    <x v="67"/>
    <x v="2"/>
    <x v="9"/>
    <m/>
    <x v="2"/>
    <s v="Track"/>
    <m/>
    <n v="1866"/>
    <n v="125"/>
    <n v="1901"/>
    <n v="128"/>
    <m/>
    <m/>
    <m/>
    <m/>
    <n v="1883.5"/>
    <n v="126.5"/>
    <n v="238262.75"/>
    <n v="30140.237874999999"/>
    <m/>
    <m/>
  </r>
  <r>
    <x v="68"/>
    <x v="2"/>
    <x v="9"/>
    <m/>
    <x v="4"/>
    <s v="Track"/>
    <m/>
    <n v="1957"/>
    <n v="123"/>
    <n v="2066"/>
    <n v="124"/>
    <m/>
    <m/>
    <m/>
    <m/>
    <n v="2011.5"/>
    <n v="123.5"/>
    <n v="248420.25"/>
    <n v="30679.900874999999"/>
    <m/>
    <m/>
  </r>
  <r>
    <x v="69"/>
    <x v="2"/>
    <x v="9"/>
    <m/>
    <x v="3"/>
    <s v="Track"/>
    <m/>
    <n v="1756"/>
    <n v="130"/>
    <n v="1745"/>
    <n v="129"/>
    <m/>
    <m/>
    <m/>
    <m/>
    <n v="1750.5"/>
    <n v="129.5"/>
    <n v="226689.75"/>
    <n v="29356.322625000001"/>
    <m/>
    <m/>
  </r>
  <r>
    <x v="69"/>
    <x v="2"/>
    <x v="9"/>
    <m/>
    <x v="5"/>
    <s v="Track"/>
    <m/>
    <n v="1814"/>
    <n v="134"/>
    <m/>
    <m/>
    <m/>
    <m/>
    <m/>
    <m/>
    <n v="1814"/>
    <n v="134"/>
    <n v="243076"/>
    <n v="32572.184000000001"/>
    <m/>
    <m/>
  </r>
  <r>
    <x v="69"/>
    <x v="2"/>
    <x v="9"/>
    <m/>
    <x v="2"/>
    <s v="Track"/>
    <m/>
    <n v="1872"/>
    <n v="124"/>
    <n v="1913"/>
    <n v="127"/>
    <m/>
    <m/>
    <m/>
    <m/>
    <n v="1892.5"/>
    <n v="125.5"/>
    <n v="237508.75"/>
    <n v="29807.348125"/>
    <m/>
    <m/>
  </r>
  <r>
    <x v="69"/>
    <x v="2"/>
    <x v="9"/>
    <m/>
    <x v="4"/>
    <s v="Track"/>
    <m/>
    <n v="2014"/>
    <n v="122"/>
    <n v="2017"/>
    <n v="123"/>
    <m/>
    <m/>
    <m/>
    <m/>
    <n v="2015.5"/>
    <n v="122.5"/>
    <n v="246898.75"/>
    <n v="30245.096874999999"/>
    <m/>
    <m/>
  </r>
  <r>
    <x v="70"/>
    <x v="2"/>
    <x v="9"/>
    <m/>
    <x v="5"/>
    <s v="Track"/>
    <m/>
    <n v="1927"/>
    <n v="139"/>
    <n v="1966"/>
    <n v="143"/>
    <m/>
    <m/>
    <m/>
    <m/>
    <n v="1946.5"/>
    <n v="141"/>
    <n v="274456.5"/>
    <n v="38698.366499999996"/>
    <m/>
    <m/>
  </r>
  <r>
    <x v="70"/>
    <x v="2"/>
    <x v="9"/>
    <m/>
    <x v="4"/>
    <s v="Track"/>
    <m/>
    <n v="1998"/>
    <n v="122"/>
    <n v="2095"/>
    <n v="123"/>
    <m/>
    <m/>
    <m/>
    <m/>
    <n v="2046.5"/>
    <n v="122.5"/>
    <n v="250696.25"/>
    <n v="30710.290625000001"/>
    <m/>
    <m/>
  </r>
  <r>
    <x v="71"/>
    <x v="2"/>
    <x v="9"/>
    <m/>
    <x v="6"/>
    <s v="BMX"/>
    <m/>
    <n v="2121"/>
    <n v="142"/>
    <n v="2166"/>
    <n v="148"/>
    <m/>
    <m/>
    <m/>
    <m/>
    <n v="2143.5"/>
    <n v="145"/>
    <n v="310807.5"/>
    <n v="45067.087500000001"/>
    <n v="85.5"/>
    <m/>
  </r>
  <r>
    <x v="72"/>
    <x v="2"/>
    <x v="9"/>
    <m/>
    <x v="1"/>
    <s v="Track"/>
    <m/>
    <n v="1612"/>
    <n v="128"/>
    <n v="1655"/>
    <n v="127"/>
    <m/>
    <m/>
    <m/>
    <m/>
    <n v="1633.5"/>
    <n v="127.5"/>
    <n v="208271.25"/>
    <n v="26554.584374999999"/>
    <m/>
    <m/>
  </r>
  <r>
    <x v="73"/>
    <x v="2"/>
    <x v="9"/>
    <m/>
    <x v="1"/>
    <s v="Track"/>
    <m/>
    <n v="1721"/>
    <n v="132"/>
    <n v="1614"/>
    <n v="128"/>
    <m/>
    <m/>
    <m/>
    <m/>
    <n v="1667.5"/>
    <n v="130"/>
    <n v="216775"/>
    <n v="28180.75"/>
    <m/>
    <m/>
  </r>
  <r>
    <x v="74"/>
    <x v="2"/>
    <x v="9"/>
    <m/>
    <x v="3"/>
    <s v="Track"/>
    <m/>
    <n v="1779"/>
    <n v="132"/>
    <n v="1729"/>
    <n v="130"/>
    <m/>
    <m/>
    <m/>
    <m/>
    <n v="1754"/>
    <n v="131"/>
    <n v="229774"/>
    <n v="30100.394"/>
    <m/>
    <m/>
  </r>
  <r>
    <x v="74"/>
    <x v="2"/>
    <x v="9"/>
    <m/>
    <x v="2"/>
    <s v="Track"/>
    <m/>
    <n v="1849"/>
    <n v="124"/>
    <n v="1889"/>
    <n v="127"/>
    <m/>
    <m/>
    <m/>
    <m/>
    <n v="1869"/>
    <n v="125.5"/>
    <n v="234559.5"/>
    <n v="29437.217250000002"/>
    <m/>
    <m/>
  </r>
  <r>
    <x v="75"/>
    <x v="2"/>
    <x v="9"/>
    <m/>
    <x v="3"/>
    <s v="Track"/>
    <m/>
    <n v="1721"/>
    <n v="132"/>
    <n v="1748"/>
    <n v="128"/>
    <m/>
    <m/>
    <m/>
    <m/>
    <n v="1734.5"/>
    <n v="130"/>
    <n v="225485"/>
    <n v="29313.05"/>
    <n v="84.3"/>
    <m/>
  </r>
  <r>
    <x v="75"/>
    <x v="2"/>
    <x v="9"/>
    <m/>
    <x v="2"/>
    <s v="Track"/>
    <m/>
    <n v="1975"/>
    <n v="129"/>
    <n v="1977"/>
    <n v="131"/>
    <m/>
    <m/>
    <m/>
    <m/>
    <n v="1976"/>
    <n v="130"/>
    <n v="256880"/>
    <n v="33394.400000000001"/>
    <n v="85"/>
    <m/>
  </r>
  <r>
    <x v="75"/>
    <x v="2"/>
    <x v="9"/>
    <m/>
    <x v="5"/>
    <s v="Track"/>
    <m/>
    <n v="2106"/>
    <n v="144"/>
    <n v="2038"/>
    <n v="145"/>
    <m/>
    <m/>
    <m/>
    <m/>
    <n v="2072"/>
    <n v="144.5"/>
    <n v="299404"/>
    <n v="43263.877999999997"/>
    <n v="96"/>
    <m/>
  </r>
  <r>
    <x v="76"/>
    <x v="2"/>
    <x v="9"/>
    <m/>
    <x v="7"/>
    <s v="Track"/>
    <s v="U19"/>
    <n v="1483"/>
    <n v="135"/>
    <n v="1503"/>
    <n v="138"/>
    <m/>
    <m/>
    <m/>
    <m/>
    <n v="1493"/>
    <n v="136.5"/>
    <n v="203794.5"/>
    <n v="27817.949250000001"/>
    <m/>
    <m/>
  </r>
  <r>
    <x v="76"/>
    <x v="2"/>
    <x v="9"/>
    <m/>
    <x v="8"/>
    <s v="Track"/>
    <s v="U19"/>
    <n v="1660"/>
    <n v="132"/>
    <n v="1654"/>
    <n v="138"/>
    <m/>
    <m/>
    <m/>
    <m/>
    <n v="1657"/>
    <n v="135"/>
    <n v="223695"/>
    <n v="30198.825000000001"/>
    <m/>
    <m/>
  </r>
  <r>
    <x v="77"/>
    <x v="2"/>
    <x v="9"/>
    <m/>
    <x v="3"/>
    <s v="Track"/>
    <s v="Elite"/>
    <n v="1753"/>
    <n v="132"/>
    <n v="1765"/>
    <n v="129"/>
    <m/>
    <m/>
    <m/>
    <m/>
    <n v="1759"/>
    <n v="130.5"/>
    <n v="229549.5"/>
    <n v="29956.209750000002"/>
    <m/>
    <m/>
  </r>
  <r>
    <x v="77"/>
    <x v="2"/>
    <x v="9"/>
    <m/>
    <x v="2"/>
    <s v="Track"/>
    <s v="Elite"/>
    <n v="1881"/>
    <n v="125"/>
    <n v="1841"/>
    <n v="125"/>
    <m/>
    <m/>
    <m/>
    <m/>
    <n v="1861"/>
    <n v="125"/>
    <n v="232625"/>
    <n v="29078.125"/>
    <m/>
    <m/>
  </r>
  <r>
    <x v="77"/>
    <x v="2"/>
    <x v="9"/>
    <m/>
    <x v="5"/>
    <s v="Track"/>
    <s v="Elite"/>
    <n v="2055"/>
    <n v="145"/>
    <n v="1915"/>
    <n v="137"/>
    <m/>
    <m/>
    <m/>
    <m/>
    <n v="1985"/>
    <n v="141"/>
    <n v="279885"/>
    <n v="39463.785000000003"/>
    <m/>
    <m/>
  </r>
  <r>
    <x v="77"/>
    <x v="2"/>
    <x v="9"/>
    <m/>
    <x v="4"/>
    <s v="Track"/>
    <s v="Elite"/>
    <n v="2017"/>
    <n v="119"/>
    <n v="2045"/>
    <n v="117"/>
    <m/>
    <m/>
    <m/>
    <m/>
    <n v="2031"/>
    <n v="118"/>
    <n v="239658"/>
    <n v="28279.644"/>
    <m/>
    <m/>
  </r>
  <r>
    <x v="78"/>
    <x v="2"/>
    <x v="4"/>
    <m/>
    <x v="3"/>
    <s v="Track"/>
    <m/>
    <n v="1766"/>
    <n v="129"/>
    <n v="1748"/>
    <n v="128"/>
    <m/>
    <m/>
    <m/>
    <m/>
    <n v="1757"/>
    <n v="128.5"/>
    <n v="225774.5"/>
    <n v="29012.023249999998"/>
    <m/>
    <m/>
  </r>
  <r>
    <x v="78"/>
    <x v="2"/>
    <x v="4"/>
    <m/>
    <x v="2"/>
    <s v="Track"/>
    <m/>
    <n v="1860"/>
    <n v="125"/>
    <n v="1917"/>
    <n v="125"/>
    <m/>
    <m/>
    <m/>
    <m/>
    <n v="1888.5"/>
    <n v="125"/>
    <n v="236062.5"/>
    <n v="29507.8125"/>
    <m/>
    <m/>
  </r>
  <r>
    <x v="78"/>
    <x v="2"/>
    <x v="4"/>
    <m/>
    <x v="5"/>
    <s v="Track"/>
    <m/>
    <n v="1895"/>
    <n v="129"/>
    <n v="1908"/>
    <n v="136"/>
    <m/>
    <m/>
    <m/>
    <m/>
    <n v="1901.5"/>
    <n v="132.5"/>
    <n v="251948.75"/>
    <n v="33383.209374999999"/>
    <n v="97"/>
    <m/>
  </r>
  <r>
    <x v="78"/>
    <x v="2"/>
    <x v="4"/>
    <m/>
    <x v="4"/>
    <s v="Track"/>
    <m/>
    <n v="2081"/>
    <n v="116"/>
    <n v="2112"/>
    <n v="111"/>
    <m/>
    <m/>
    <m/>
    <m/>
    <n v="2096.5"/>
    <n v="113.5"/>
    <n v="237952.75"/>
    <n v="27007.637125000001"/>
    <n v="104"/>
    <m/>
  </r>
  <r>
    <x v="79"/>
    <x v="2"/>
    <x v="4"/>
    <m/>
    <x v="3"/>
    <s v="Track"/>
    <m/>
    <n v="1768"/>
    <n v="129"/>
    <n v="1759"/>
    <n v="127"/>
    <m/>
    <m/>
    <m/>
    <m/>
    <n v="1763.5"/>
    <n v="128"/>
    <n v="225728"/>
    <n v="28893.184000000001"/>
    <m/>
    <m/>
  </r>
  <r>
    <x v="79"/>
    <x v="2"/>
    <x v="4"/>
    <m/>
    <x v="2"/>
    <s v="Track"/>
    <m/>
    <n v="1818"/>
    <n v="124"/>
    <n v="1850"/>
    <n v="126"/>
    <m/>
    <m/>
    <m/>
    <m/>
    <n v="1834"/>
    <n v="125"/>
    <n v="229250"/>
    <n v="28656.25"/>
    <m/>
    <m/>
  </r>
  <r>
    <x v="79"/>
    <x v="2"/>
    <x v="4"/>
    <m/>
    <x v="5"/>
    <s v="Track"/>
    <m/>
    <n v="1975"/>
    <n v="141"/>
    <n v="1949"/>
    <n v="138"/>
    <m/>
    <m/>
    <m/>
    <m/>
    <n v="1962"/>
    <n v="139.5"/>
    <n v="273699"/>
    <n v="38181.010499999997"/>
    <m/>
    <m/>
  </r>
  <r>
    <x v="79"/>
    <x v="2"/>
    <x v="4"/>
    <m/>
    <x v="4"/>
    <s v="Track"/>
    <m/>
    <n v="2051"/>
    <n v="124"/>
    <n v="2064"/>
    <n v="121"/>
    <m/>
    <m/>
    <m/>
    <m/>
    <n v="2057.5"/>
    <n v="122.5"/>
    <n v="252043.75"/>
    <n v="30875.359375"/>
    <m/>
    <m/>
  </r>
  <r>
    <x v="80"/>
    <x v="2"/>
    <x v="4"/>
    <m/>
    <x v="3"/>
    <s v="Track"/>
    <m/>
    <n v="1917"/>
    <n v="137"/>
    <n v="1806"/>
    <n v="129"/>
    <m/>
    <m/>
    <m/>
    <m/>
    <n v="1861.5"/>
    <n v="133"/>
    <n v="247579.5"/>
    <n v="32928.073499999999"/>
    <m/>
    <m/>
  </r>
  <r>
    <x v="80"/>
    <x v="2"/>
    <x v="4"/>
    <m/>
    <x v="2"/>
    <s v="Track"/>
    <m/>
    <n v="1985"/>
    <n v="130"/>
    <n v="1959"/>
    <n v="128"/>
    <m/>
    <m/>
    <m/>
    <m/>
    <n v="1972"/>
    <n v="129"/>
    <n v="254388"/>
    <n v="32816.052000000003"/>
    <m/>
    <m/>
  </r>
  <r>
    <x v="80"/>
    <x v="2"/>
    <x v="4"/>
    <m/>
    <x v="5"/>
    <s v="Track"/>
    <m/>
    <n v="2181"/>
    <n v="143"/>
    <n v="2143"/>
    <n v="142"/>
    <m/>
    <m/>
    <m/>
    <m/>
    <n v="2162"/>
    <n v="142.5"/>
    <n v="308085"/>
    <n v="43902.112500000003"/>
    <m/>
    <m/>
  </r>
  <r>
    <x v="81"/>
    <x v="2"/>
    <x v="4"/>
    <m/>
    <x v="3"/>
    <s v="Track"/>
    <m/>
    <n v="1791"/>
    <n v="132"/>
    <n v="1739"/>
    <n v="129"/>
    <m/>
    <m/>
    <m/>
    <m/>
    <n v="1765"/>
    <n v="130.5"/>
    <n v="230332.5"/>
    <n v="30058.391250000001"/>
    <m/>
    <m/>
  </r>
  <r>
    <x v="81"/>
    <x v="2"/>
    <x v="4"/>
    <m/>
    <x v="5"/>
    <s v="Track"/>
    <m/>
    <n v="2039"/>
    <n v="142"/>
    <n v="2089"/>
    <n v="139"/>
    <m/>
    <m/>
    <m/>
    <m/>
    <n v="2064"/>
    <n v="140.5"/>
    <n v="289992"/>
    <n v="40743.875999999997"/>
    <m/>
    <m/>
  </r>
  <r>
    <x v="82"/>
    <x v="2"/>
    <x v="4"/>
    <m/>
    <x v="3"/>
    <s v="Track"/>
    <m/>
    <n v="1843"/>
    <n v="131"/>
    <n v="1777"/>
    <n v="128"/>
    <m/>
    <m/>
    <m/>
    <m/>
    <n v="1810"/>
    <n v="129.5"/>
    <n v="234395"/>
    <n v="30354.1525"/>
    <m/>
    <m/>
  </r>
  <r>
    <x v="82"/>
    <x v="2"/>
    <x v="4"/>
    <m/>
    <x v="2"/>
    <s v="Track"/>
    <m/>
    <n v="1934"/>
    <n v="133"/>
    <n v="2039"/>
    <n v="136"/>
    <m/>
    <m/>
    <m/>
    <m/>
    <n v="1986.5"/>
    <n v="134.5"/>
    <n v="267184.25"/>
    <n v="35936.281625000003"/>
    <m/>
    <m/>
  </r>
  <r>
    <x v="82"/>
    <x v="2"/>
    <x v="4"/>
    <m/>
    <x v="5"/>
    <s v="Track"/>
    <m/>
    <n v="2021"/>
    <n v="138"/>
    <n v="2093"/>
    <n v="142"/>
    <m/>
    <m/>
    <m/>
    <m/>
    <n v="2057"/>
    <n v="140"/>
    <n v="287980"/>
    <n v="40317.199999999997"/>
    <m/>
    <m/>
  </r>
  <r>
    <x v="83"/>
    <x v="2"/>
    <x v="4"/>
    <m/>
    <x v="3"/>
    <s v="Track"/>
    <m/>
    <n v="1809"/>
    <n v="130"/>
    <n v="1797"/>
    <n v="128"/>
    <n v="1785"/>
    <n v="130"/>
    <m/>
    <m/>
    <n v="1797"/>
    <n v="129.33333333333334"/>
    <n v="232412.00000000003"/>
    <n v="30058.618666666673"/>
    <m/>
    <m/>
  </r>
  <r>
    <x v="83"/>
    <x v="2"/>
    <x v="4"/>
    <m/>
    <x v="2"/>
    <s v="Track"/>
    <m/>
    <n v="1942"/>
    <n v="126"/>
    <n v="1988"/>
    <n v="130"/>
    <n v="2023"/>
    <n v="132"/>
    <m/>
    <m/>
    <n v="1984.3333333333333"/>
    <n v="129.33333333333334"/>
    <n v="256640.44444444447"/>
    <n v="33192.164148148157"/>
    <m/>
    <m/>
  </r>
  <r>
    <x v="83"/>
    <x v="2"/>
    <x v="4"/>
    <m/>
    <x v="5"/>
    <s v="Track"/>
    <m/>
    <n v="2066"/>
    <n v="133"/>
    <n v="2108"/>
    <n v="136"/>
    <n v="2076"/>
    <n v="140"/>
    <m/>
    <m/>
    <n v="2083.3333333333335"/>
    <n v="136.33333333333334"/>
    <n v="284027.77777777781"/>
    <n v="38722.453703703708"/>
    <m/>
    <m/>
  </r>
  <r>
    <x v="84"/>
    <x v="2"/>
    <x v="4"/>
    <m/>
    <x v="3"/>
    <s v="Track"/>
    <m/>
    <n v="1874"/>
    <n v="135"/>
    <n v="1843"/>
    <n v="134"/>
    <m/>
    <m/>
    <m/>
    <m/>
    <n v="1858.5"/>
    <n v="134.5"/>
    <n v="249968.25"/>
    <n v="33620.729625"/>
    <m/>
    <m/>
  </r>
  <r>
    <x v="84"/>
    <x v="2"/>
    <x v="4"/>
    <m/>
    <x v="2"/>
    <s v="Track"/>
    <m/>
    <n v="1908"/>
    <n v="128"/>
    <n v="1968"/>
    <n v="129"/>
    <m/>
    <m/>
    <m/>
    <m/>
    <n v="1938"/>
    <n v="128.5"/>
    <n v="249033"/>
    <n v="32000.7405"/>
    <m/>
    <m/>
  </r>
  <r>
    <x v="84"/>
    <x v="2"/>
    <x v="4"/>
    <m/>
    <x v="5"/>
    <s v="Track"/>
    <m/>
    <n v="2152"/>
    <n v="137"/>
    <n v="2137"/>
    <n v="138"/>
    <m/>
    <m/>
    <m/>
    <m/>
    <n v="2144.5"/>
    <n v="137.5"/>
    <n v="294868.75"/>
    <n v="40544.453125"/>
    <m/>
    <m/>
  </r>
  <r>
    <x v="84"/>
    <x v="2"/>
    <x v="4"/>
    <m/>
    <x v="4"/>
    <s v="Track"/>
    <m/>
    <n v="2157"/>
    <n v="113"/>
    <n v="2148"/>
    <n v="119"/>
    <m/>
    <m/>
    <m/>
    <m/>
    <n v="2152.5"/>
    <n v="116"/>
    <n v="249690"/>
    <n v="28964.04"/>
    <m/>
    <m/>
  </r>
  <r>
    <x v="85"/>
    <x v="2"/>
    <x v="4"/>
    <m/>
    <x v="3"/>
    <s v="Track"/>
    <m/>
    <n v="1761"/>
    <n v="128"/>
    <n v="1726"/>
    <n v="126"/>
    <m/>
    <m/>
    <m/>
    <m/>
    <n v="1743.5"/>
    <n v="127"/>
    <n v="221424.5"/>
    <n v="28120.911499999998"/>
    <m/>
    <m/>
  </r>
  <r>
    <x v="85"/>
    <x v="2"/>
    <x v="4"/>
    <m/>
    <x v="2"/>
    <s v="Track"/>
    <m/>
    <n v="1892"/>
    <n v="126"/>
    <n v="1901"/>
    <n v="128"/>
    <m/>
    <m/>
    <m/>
    <m/>
    <n v="1896.5"/>
    <n v="127"/>
    <n v="240855.5"/>
    <n v="30588.648499999999"/>
    <m/>
    <m/>
  </r>
  <r>
    <x v="85"/>
    <x v="2"/>
    <x v="4"/>
    <m/>
    <x v="5"/>
    <s v="Track"/>
    <m/>
    <n v="1993"/>
    <n v="128"/>
    <n v="1917"/>
    <n v="131"/>
    <m/>
    <m/>
    <m/>
    <m/>
    <n v="1955"/>
    <n v="129.5"/>
    <n v="253172.5"/>
    <n v="32785.838750000003"/>
    <m/>
    <m/>
  </r>
  <r>
    <x v="85"/>
    <x v="2"/>
    <x v="4"/>
    <m/>
    <x v="4"/>
    <s v="Track"/>
    <m/>
    <n v="2001"/>
    <n v="114"/>
    <n v="2109"/>
    <n v="111"/>
    <m/>
    <m/>
    <m/>
    <m/>
    <n v="2055"/>
    <n v="112.5"/>
    <n v="231187.5"/>
    <n v="26008.59375"/>
    <m/>
    <m/>
  </r>
  <r>
    <x v="86"/>
    <x v="2"/>
    <x v="6"/>
    <m/>
    <x v="3"/>
    <s v="Track"/>
    <m/>
    <n v="1685"/>
    <n v="127"/>
    <n v="1741"/>
    <n v="126"/>
    <m/>
    <m/>
    <m/>
    <m/>
    <n v="1713"/>
    <n v="126.5"/>
    <n v="216694.5"/>
    <n v="27411.85425"/>
    <m/>
    <m/>
  </r>
  <r>
    <x v="86"/>
    <x v="2"/>
    <x v="6"/>
    <m/>
    <x v="2"/>
    <s v="Track"/>
    <m/>
    <n v="1849"/>
    <n v="127"/>
    <n v="1856"/>
    <n v="126"/>
    <m/>
    <m/>
    <m/>
    <m/>
    <n v="1852.5"/>
    <n v="126.5"/>
    <n v="234341.25"/>
    <n v="29644.168125"/>
    <m/>
    <m/>
  </r>
  <r>
    <x v="86"/>
    <x v="2"/>
    <x v="6"/>
    <m/>
    <x v="5"/>
    <s v="Track"/>
    <m/>
    <n v="2051"/>
    <n v="136"/>
    <n v="2032"/>
    <n v="140"/>
    <m/>
    <m/>
    <m/>
    <m/>
    <n v="2041.5"/>
    <n v="138"/>
    <n v="281727"/>
    <n v="38878.326000000001"/>
    <m/>
    <m/>
  </r>
  <r>
    <x v="86"/>
    <x v="2"/>
    <x v="6"/>
    <m/>
    <x v="4"/>
    <s v="Track"/>
    <m/>
    <n v="2308"/>
    <n v="124"/>
    <n v="2286"/>
    <n v="119"/>
    <m/>
    <m/>
    <m/>
    <m/>
    <n v="2297"/>
    <n v="121.5"/>
    <n v="279085.5"/>
    <n v="33908.888250000004"/>
    <m/>
    <m/>
  </r>
  <r>
    <x v="87"/>
    <x v="2"/>
    <x v="10"/>
    <m/>
    <x v="3"/>
    <s v="Track"/>
    <m/>
    <n v="1761"/>
    <n v="126"/>
    <n v="1731"/>
    <n v="126"/>
    <m/>
    <m/>
    <m/>
    <m/>
    <n v="1746"/>
    <n v="126"/>
    <n v="219996"/>
    <n v="27719.495999999999"/>
    <m/>
    <m/>
  </r>
  <r>
    <x v="87"/>
    <x v="2"/>
    <x v="10"/>
    <m/>
    <x v="2"/>
    <s v="Track"/>
    <m/>
    <n v="1849"/>
    <n v="125"/>
    <n v="1823"/>
    <n v="124"/>
    <m/>
    <m/>
    <m/>
    <m/>
    <n v="1836"/>
    <n v="124.5"/>
    <n v="228582"/>
    <n v="28458.458999999999"/>
    <m/>
    <m/>
  </r>
  <r>
    <x v="87"/>
    <x v="2"/>
    <x v="10"/>
    <m/>
    <x v="5"/>
    <s v="Track"/>
    <m/>
    <n v="2148"/>
    <n v="136"/>
    <n v="2083"/>
    <n v="142"/>
    <m/>
    <m/>
    <m/>
    <m/>
    <n v="2115.5"/>
    <n v="139"/>
    <n v="294054.5"/>
    <n v="40873.575499999999"/>
    <m/>
    <m/>
  </r>
  <r>
    <x v="87"/>
    <x v="2"/>
    <x v="10"/>
    <m/>
    <x v="4"/>
    <s v="Track"/>
    <m/>
    <n v="2212"/>
    <n v="121"/>
    <n v="2250"/>
    <n v="121"/>
    <m/>
    <m/>
    <m/>
    <m/>
    <n v="2231"/>
    <n v="121"/>
    <n v="269951"/>
    <n v="32664.071"/>
    <m/>
    <m/>
  </r>
  <r>
    <x v="88"/>
    <x v="2"/>
    <x v="10"/>
    <m/>
    <x v="2"/>
    <s v="Track"/>
    <m/>
    <n v="1820"/>
    <n v="125"/>
    <n v="1807"/>
    <n v="124"/>
    <m/>
    <m/>
    <m/>
    <m/>
    <n v="1813.5"/>
    <n v="124.5"/>
    <n v="225780.75"/>
    <n v="28109.703375000001"/>
    <m/>
    <m/>
  </r>
  <r>
    <x v="88"/>
    <x v="2"/>
    <x v="10"/>
    <m/>
    <x v="5"/>
    <s v="Track"/>
    <m/>
    <n v="2024"/>
    <n v="143"/>
    <n v="1973"/>
    <n v="139"/>
    <m/>
    <m/>
    <m/>
    <m/>
    <n v="1998.5"/>
    <n v="141"/>
    <n v="281788.5"/>
    <n v="39732.178500000002"/>
    <m/>
    <m/>
  </r>
  <r>
    <x v="88"/>
    <x v="2"/>
    <x v="10"/>
    <m/>
    <x v="4"/>
    <s v="Track"/>
    <m/>
    <n v="2233"/>
    <n v="121"/>
    <n v="2263"/>
    <n v="127"/>
    <m/>
    <m/>
    <m/>
    <m/>
    <n v="2248"/>
    <n v="124"/>
    <n v="278752"/>
    <n v="34565.248"/>
    <m/>
    <m/>
  </r>
  <r>
    <x v="89"/>
    <x v="2"/>
    <x v="11"/>
    <m/>
    <x v="4"/>
    <s v="Track"/>
    <m/>
    <n v="2220"/>
    <n v="123"/>
    <n v="2219"/>
    <n v="121"/>
    <m/>
    <m/>
    <m/>
    <m/>
    <n v="2219.5"/>
    <n v="122"/>
    <n v="270779"/>
    <n v="33035.038"/>
    <m/>
    <m/>
  </r>
  <r>
    <x v="90"/>
    <x v="2"/>
    <x v="11"/>
    <m/>
    <x v="3"/>
    <s v="Track"/>
    <m/>
    <n v="1749"/>
    <n v="127"/>
    <n v="1776"/>
    <n v="127"/>
    <m/>
    <m/>
    <m/>
    <m/>
    <n v="1762.5"/>
    <n v="127"/>
    <n v="223837.5"/>
    <n v="28427.362499999999"/>
    <m/>
    <m/>
  </r>
  <r>
    <x v="90"/>
    <x v="2"/>
    <x v="11"/>
    <m/>
    <x v="2"/>
    <s v="Track"/>
    <m/>
    <n v="1893"/>
    <n v="125"/>
    <n v="1859"/>
    <n v="129"/>
    <m/>
    <m/>
    <m/>
    <m/>
    <n v="1876"/>
    <n v="127"/>
    <n v="238252"/>
    <n v="30258.004000000001"/>
    <m/>
    <m/>
  </r>
  <r>
    <x v="90"/>
    <x v="2"/>
    <x v="11"/>
    <m/>
    <x v="5"/>
    <s v="Track"/>
    <m/>
    <n v="2070"/>
    <n v="140"/>
    <n v="2045"/>
    <n v="136"/>
    <m/>
    <m/>
    <m/>
    <m/>
    <n v="2057.5"/>
    <n v="138"/>
    <n v="283935"/>
    <n v="39183.03"/>
    <m/>
    <m/>
  </r>
  <r>
    <x v="90"/>
    <x v="2"/>
    <x v="11"/>
    <m/>
    <x v="4"/>
    <s v="Track"/>
    <m/>
    <n v="2219"/>
    <n v="129"/>
    <n v="2248"/>
    <n v="127"/>
    <m/>
    <m/>
    <m/>
    <m/>
    <n v="2233.5"/>
    <n v="128"/>
    <n v="285888"/>
    <n v="36593.663999999997"/>
    <m/>
    <m/>
  </r>
  <r>
    <x v="91"/>
    <x v="2"/>
    <x v="11"/>
    <m/>
    <x v="1"/>
    <s v="Track"/>
    <m/>
    <n v="1721"/>
    <n v="127"/>
    <n v="1764"/>
    <n v="128"/>
    <m/>
    <m/>
    <m/>
    <m/>
    <n v="1742.5"/>
    <n v="127.5"/>
    <n v="222168.75"/>
    <n v="28326.515625"/>
    <m/>
    <m/>
  </r>
  <r>
    <x v="92"/>
    <x v="2"/>
    <x v="11"/>
    <m/>
    <x v="1"/>
    <s v="Track"/>
    <m/>
    <n v="1790"/>
    <n v="133"/>
    <n v="1791"/>
    <n v="131"/>
    <m/>
    <m/>
    <m/>
    <m/>
    <n v="1790.5"/>
    <n v="132"/>
    <n v="236346"/>
    <n v="31197.671999999999"/>
    <m/>
    <m/>
  </r>
  <r>
    <x v="92"/>
    <x v="2"/>
    <x v="11"/>
    <m/>
    <x v="3"/>
    <s v="Track"/>
    <m/>
    <n v="1881"/>
    <n v="134"/>
    <n v="1856"/>
    <n v="135"/>
    <m/>
    <m/>
    <m/>
    <m/>
    <n v="1868.5"/>
    <n v="134.5"/>
    <n v="251313.25"/>
    <n v="33801.632124999996"/>
    <m/>
    <m/>
  </r>
  <r>
    <x v="92"/>
    <x v="2"/>
    <x v="11"/>
    <m/>
    <x v="2"/>
    <s v="Track"/>
    <m/>
    <n v="1944"/>
    <n v="131"/>
    <n v="1950"/>
    <n v="128"/>
    <m/>
    <m/>
    <m/>
    <m/>
    <n v="1947"/>
    <n v="129.5"/>
    <n v="252136.5"/>
    <n v="32651.676749999999"/>
    <m/>
    <m/>
  </r>
  <r>
    <x v="92"/>
    <x v="2"/>
    <x v="11"/>
    <m/>
    <x v="5"/>
    <s v="Track"/>
    <m/>
    <n v="2153"/>
    <n v="138"/>
    <n v="2099"/>
    <n v="140"/>
    <m/>
    <m/>
    <m/>
    <m/>
    <n v="2126"/>
    <n v="139"/>
    <n v="295514"/>
    <n v="41076.446000000004"/>
    <m/>
    <m/>
  </r>
  <r>
    <x v="92"/>
    <x v="2"/>
    <x v="11"/>
    <m/>
    <x v="4"/>
    <s v="Track"/>
    <m/>
    <n v="2218"/>
    <n v="118"/>
    <n v="2157"/>
    <n v="124"/>
    <m/>
    <m/>
    <m/>
    <m/>
    <n v="2187.5"/>
    <n v="121"/>
    <n v="264687.5"/>
    <n v="32027.1875"/>
    <m/>
    <m/>
  </r>
  <r>
    <x v="93"/>
    <x v="2"/>
    <x v="11"/>
    <m/>
    <x v="1"/>
    <s v="Track"/>
    <m/>
    <n v="1720"/>
    <n v="125"/>
    <n v="1697"/>
    <n v="125"/>
    <m/>
    <m/>
    <m/>
    <m/>
    <n v="1708.5"/>
    <n v="125"/>
    <n v="213562.5"/>
    <n v="26695.3125"/>
    <m/>
    <m/>
  </r>
  <r>
    <x v="93"/>
    <x v="2"/>
    <x v="11"/>
    <m/>
    <x v="3"/>
    <s v="Track"/>
    <m/>
    <n v="1726"/>
    <n v="128"/>
    <n v="1828"/>
    <n v="128"/>
    <m/>
    <m/>
    <m/>
    <m/>
    <n v="1777"/>
    <n v="128"/>
    <n v="227456"/>
    <n v="29114.367999999999"/>
    <m/>
    <m/>
  </r>
  <r>
    <x v="93"/>
    <x v="2"/>
    <x v="11"/>
    <m/>
    <x v="2"/>
    <s v="Track"/>
    <m/>
    <n v="1894"/>
    <n v="129"/>
    <n v="1884"/>
    <n v="127"/>
    <m/>
    <m/>
    <m/>
    <m/>
    <n v="1889"/>
    <n v="128"/>
    <n v="241792"/>
    <n v="30949.376"/>
    <m/>
    <m/>
  </r>
  <r>
    <x v="93"/>
    <x v="2"/>
    <x v="11"/>
    <m/>
    <x v="4"/>
    <s v="Track"/>
    <m/>
    <n v="2053"/>
    <n v="127"/>
    <n v="2019"/>
    <n v="122"/>
    <m/>
    <m/>
    <m/>
    <m/>
    <n v="2036"/>
    <n v="124.5"/>
    <n v="253482"/>
    <n v="31558.508999999998"/>
    <m/>
    <m/>
  </r>
  <r>
    <x v="93"/>
    <x v="2"/>
    <x v="11"/>
    <m/>
    <x v="5"/>
    <s v="Track"/>
    <m/>
    <n v="2105"/>
    <n v="135"/>
    <n v="2055"/>
    <n v="139"/>
    <m/>
    <m/>
    <m/>
    <m/>
    <n v="2080"/>
    <n v="137"/>
    <n v="284960"/>
    <n v="39039.519999999997"/>
    <m/>
    <m/>
  </r>
  <r>
    <x v="94"/>
    <x v="2"/>
    <x v="11"/>
    <m/>
    <x v="3"/>
    <s v="Track"/>
    <m/>
    <n v="1764"/>
    <n v="128"/>
    <n v="1776"/>
    <n v="128"/>
    <n v="1797"/>
    <n v="128"/>
    <m/>
    <m/>
    <n v="1779"/>
    <n v="128"/>
    <n v="227712"/>
    <n v="29147.135999999999"/>
    <m/>
    <m/>
  </r>
  <r>
    <x v="94"/>
    <x v="2"/>
    <x v="11"/>
    <m/>
    <x v="2"/>
    <s v="Track"/>
    <m/>
    <n v="1762"/>
    <n v="120"/>
    <n v="1780"/>
    <n v="122"/>
    <n v="1800"/>
    <n v="122"/>
    <m/>
    <m/>
    <n v="1780.6666666666667"/>
    <n v="121.33333333333333"/>
    <n v="216054.22222222222"/>
    <n v="26214.578962962962"/>
    <m/>
    <m/>
  </r>
  <r>
    <x v="94"/>
    <x v="2"/>
    <x v="11"/>
    <m/>
    <x v="5"/>
    <s v="Track"/>
    <m/>
    <n v="2219"/>
    <n v="139"/>
    <n v="2213"/>
    <n v="141"/>
    <n v="2201"/>
    <n v="142"/>
    <n v="2245"/>
    <n v="141"/>
    <n v="2219.5"/>
    <n v="140.75"/>
    <n v="312394.625"/>
    <n v="43969.543468750002"/>
    <m/>
    <m/>
  </r>
  <r>
    <x v="94"/>
    <x v="2"/>
    <x v="11"/>
    <m/>
    <x v="4"/>
    <s v="Track"/>
    <m/>
    <n v="2213"/>
    <n v="122"/>
    <n v="2257"/>
    <n v="126"/>
    <m/>
    <m/>
    <m/>
    <m/>
    <n v="2235"/>
    <n v="124"/>
    <n v="277140"/>
    <n v="34365.360000000001"/>
    <m/>
    <m/>
  </r>
  <r>
    <x v="95"/>
    <x v="2"/>
    <x v="0"/>
    <m/>
    <x v="3"/>
    <s v="Track"/>
    <m/>
    <n v="1762"/>
    <n v="126"/>
    <n v="1822"/>
    <n v="118"/>
    <m/>
    <m/>
    <m/>
    <m/>
    <n v="1792"/>
    <n v="122"/>
    <n v="218624"/>
    <n v="26672.128000000001"/>
    <m/>
    <m/>
  </r>
  <r>
    <x v="95"/>
    <x v="2"/>
    <x v="0"/>
    <m/>
    <x v="2"/>
    <s v="Track"/>
    <m/>
    <n v="1818"/>
    <n v="122"/>
    <m/>
    <m/>
    <n v="1824"/>
    <n v="131"/>
    <m/>
    <m/>
    <n v="1821"/>
    <n v="126.5"/>
    <n v="230356.5"/>
    <n v="29140.097249999999"/>
    <m/>
    <m/>
  </r>
  <r>
    <x v="95"/>
    <x v="2"/>
    <x v="0"/>
    <m/>
    <x v="1"/>
    <s v="Track"/>
    <m/>
    <n v="1818"/>
    <n v="134"/>
    <n v="1800"/>
    <n v="128"/>
    <n v="1849"/>
    <n v="121"/>
    <m/>
    <m/>
    <n v="1822.3333333333333"/>
    <n v="127.66666666666667"/>
    <n v="232651.22222222222"/>
    <n v="29701.806037037037"/>
    <m/>
    <m/>
  </r>
  <r>
    <x v="95"/>
    <x v="2"/>
    <x v="0"/>
    <m/>
    <x v="4"/>
    <s v="Track"/>
    <m/>
    <n v="1831"/>
    <n v="127"/>
    <n v="1782"/>
    <n v="125"/>
    <n v="2086"/>
    <n v="113"/>
    <m/>
    <m/>
    <n v="1899.6666666666667"/>
    <n v="121.66666666666667"/>
    <n v="231126.11111111112"/>
    <n v="28120.343518518523"/>
    <m/>
    <m/>
  </r>
  <r>
    <x v="95"/>
    <x v="2"/>
    <x v="0"/>
    <m/>
    <x v="5"/>
    <s v="Track"/>
    <m/>
    <n v="2238"/>
    <n v="141"/>
    <n v="2137"/>
    <n v="137"/>
    <n v="2129"/>
    <n v="136"/>
    <n v="2204"/>
    <n v="140"/>
    <n v="2177"/>
    <n v="138.5"/>
    <n v="301514.5"/>
    <n v="41759.758249999999"/>
    <m/>
    <m/>
  </r>
  <r>
    <x v="96"/>
    <x v="2"/>
    <x v="0"/>
    <m/>
    <x v="1"/>
    <s v="Track"/>
    <m/>
    <n v="1796"/>
    <n v="131"/>
    <m/>
    <m/>
    <m/>
    <m/>
    <m/>
    <m/>
    <n v="1796"/>
    <n v="131"/>
    <n v="235276"/>
    <n v="30821.155999999999"/>
    <m/>
    <m/>
  </r>
  <r>
    <x v="96"/>
    <x v="2"/>
    <x v="0"/>
    <m/>
    <x v="2"/>
    <s v="Track"/>
    <m/>
    <n v="1904"/>
    <n v="129"/>
    <n v="1888"/>
    <n v="126"/>
    <m/>
    <m/>
    <m/>
    <m/>
    <n v="1896"/>
    <n v="127.5"/>
    <n v="241740"/>
    <n v="30821.85"/>
    <m/>
    <m/>
  </r>
  <r>
    <x v="97"/>
    <x v="2"/>
    <x v="0"/>
    <m/>
    <x v="1"/>
    <s v="Track"/>
    <m/>
    <n v="1861"/>
    <n v="132"/>
    <n v="1782"/>
    <n v="131"/>
    <m/>
    <m/>
    <m/>
    <m/>
    <n v="1821.5"/>
    <n v="131.5"/>
    <n v="239527.25"/>
    <n v="31497.833374999998"/>
    <m/>
    <m/>
  </r>
  <r>
    <x v="98"/>
    <x v="2"/>
    <x v="7"/>
    <m/>
    <x v="3"/>
    <s v="Track"/>
    <m/>
    <n v="1849"/>
    <n v="136"/>
    <m/>
    <m/>
    <m/>
    <m/>
    <m/>
    <m/>
    <n v="1849"/>
    <n v="136"/>
    <n v="251464"/>
    <n v="34199.103999999999"/>
    <m/>
    <m/>
  </r>
  <r>
    <x v="98"/>
    <x v="2"/>
    <x v="7"/>
    <m/>
    <x v="1"/>
    <s v="Track"/>
    <m/>
    <n v="1894"/>
    <n v="134"/>
    <m/>
    <m/>
    <m/>
    <m/>
    <m/>
    <m/>
    <n v="1894"/>
    <n v="134"/>
    <n v="253796"/>
    <n v="34008.663999999997"/>
    <m/>
    <m/>
  </r>
  <r>
    <x v="99"/>
    <x v="3"/>
    <x v="8"/>
    <m/>
    <x v="1"/>
    <s v="Track"/>
    <m/>
    <n v="1859"/>
    <n v="134"/>
    <n v="1807"/>
    <n v="128"/>
    <m/>
    <m/>
    <m/>
    <m/>
    <n v="1833"/>
    <n v="131"/>
    <n v="240123"/>
    <n v="31456.113000000001"/>
    <m/>
    <m/>
  </r>
  <r>
    <x v="99"/>
    <x v="3"/>
    <x v="8"/>
    <m/>
    <x v="8"/>
    <s v="Track"/>
    <m/>
    <n v="1836"/>
    <n v="131"/>
    <n v="1849"/>
    <n v="137"/>
    <m/>
    <m/>
    <m/>
    <m/>
    <n v="1842.5"/>
    <n v="134"/>
    <n v="246895"/>
    <n v="33083.93"/>
    <m/>
    <m/>
  </r>
  <r>
    <x v="99"/>
    <x v="3"/>
    <x v="8"/>
    <m/>
    <x v="2"/>
    <s v="Track"/>
    <m/>
    <n v="1949"/>
    <n v="129"/>
    <n v="1907"/>
    <n v="128"/>
    <m/>
    <m/>
    <m/>
    <m/>
    <n v="1928"/>
    <n v="128.5"/>
    <n v="247748"/>
    <n v="31835.617999999999"/>
    <m/>
    <m/>
  </r>
  <r>
    <x v="99"/>
    <x v="3"/>
    <x v="8"/>
    <m/>
    <x v="3"/>
    <s v="Track"/>
    <m/>
    <n v="1988"/>
    <n v="142"/>
    <n v="1917"/>
    <n v="136"/>
    <m/>
    <m/>
    <m/>
    <m/>
    <n v="1952.5"/>
    <n v="139"/>
    <n v="271397.5"/>
    <n v="37724.252500000002"/>
    <m/>
    <m/>
  </r>
  <r>
    <x v="99"/>
    <x v="3"/>
    <x v="8"/>
    <m/>
    <x v="5"/>
    <s v="Track"/>
    <m/>
    <n v="2238"/>
    <n v="142"/>
    <n v="2099"/>
    <n v="140"/>
    <m/>
    <m/>
    <m/>
    <m/>
    <n v="2168.5"/>
    <n v="141"/>
    <n v="305758.5"/>
    <n v="43111.948499999999"/>
    <m/>
    <m/>
  </r>
  <r>
    <x v="100"/>
    <x v="3"/>
    <x v="8"/>
    <m/>
    <x v="4"/>
    <s v="Track"/>
    <m/>
    <n v="2250"/>
    <n v="114"/>
    <n v="2101"/>
    <n v="114"/>
    <m/>
    <m/>
    <m/>
    <m/>
    <n v="2175.5"/>
    <n v="114"/>
    <n v="248007"/>
    <n v="28272.797999999999"/>
    <m/>
    <m/>
  </r>
  <r>
    <x v="101"/>
    <x v="3"/>
    <x v="8"/>
    <m/>
    <x v="2"/>
    <s v="Track"/>
    <m/>
    <n v="1886"/>
    <n v="125"/>
    <n v="1864"/>
    <n v="127"/>
    <m/>
    <m/>
    <m/>
    <m/>
    <n v="1875"/>
    <n v="126"/>
    <n v="236250"/>
    <n v="29767.5"/>
    <m/>
    <m/>
  </r>
  <r>
    <x v="102"/>
    <x v="3"/>
    <x v="8"/>
    <s v="PM"/>
    <x v="6"/>
    <s v="BMX"/>
    <m/>
    <n v="2148"/>
    <n v="161"/>
    <n v="2155"/>
    <n v="162"/>
    <m/>
    <m/>
    <m/>
    <m/>
    <n v="2151.5"/>
    <n v="161.5"/>
    <n v="347467.25"/>
    <n v="56115.960874999997"/>
    <m/>
    <m/>
  </r>
  <r>
    <x v="103"/>
    <x v="3"/>
    <x v="8"/>
    <m/>
    <x v="2"/>
    <s v="Track"/>
    <m/>
    <n v="1841"/>
    <n v="124"/>
    <n v="1868"/>
    <n v="124"/>
    <m/>
    <m/>
    <m/>
    <m/>
    <n v="1854.5"/>
    <n v="124"/>
    <n v="229958"/>
    <n v="28514.792000000001"/>
    <m/>
    <m/>
  </r>
  <r>
    <x v="104"/>
    <x v="3"/>
    <x v="8"/>
    <m/>
    <x v="2"/>
    <s v="Track"/>
    <m/>
    <n v="1842"/>
    <n v="123"/>
    <n v="1857"/>
    <n v="123"/>
    <m/>
    <m/>
    <m/>
    <m/>
    <n v="1849.5"/>
    <n v="123"/>
    <n v="227488.5"/>
    <n v="27981.085500000001"/>
    <m/>
    <m/>
  </r>
  <r>
    <x v="105"/>
    <x v="3"/>
    <x v="8"/>
    <m/>
    <x v="1"/>
    <s v="Track"/>
    <m/>
    <n v="1758"/>
    <n v="130"/>
    <n v="1847"/>
    <n v="130"/>
    <m/>
    <m/>
    <m/>
    <m/>
    <n v="1802.5"/>
    <n v="130"/>
    <n v="234325"/>
    <n v="30462.25"/>
    <m/>
    <m/>
  </r>
  <r>
    <x v="105"/>
    <x v="3"/>
    <x v="8"/>
    <m/>
    <x v="3"/>
    <s v="Track"/>
    <m/>
    <n v="1905"/>
    <n v="136"/>
    <n v="1882"/>
    <n v="132"/>
    <m/>
    <m/>
    <m/>
    <m/>
    <n v="1893.5"/>
    <n v="134"/>
    <n v="253729"/>
    <n v="33999.686000000002"/>
    <m/>
    <m/>
  </r>
  <r>
    <x v="105"/>
    <x v="3"/>
    <x v="8"/>
    <m/>
    <x v="2"/>
    <s v="Track"/>
    <m/>
    <n v="1994"/>
    <n v="130"/>
    <n v="1920"/>
    <n v="125"/>
    <m/>
    <m/>
    <m/>
    <m/>
    <n v="1957"/>
    <n v="127.5"/>
    <n v="249517.5"/>
    <n v="31813.481250000001"/>
    <m/>
    <m/>
  </r>
  <r>
    <x v="105"/>
    <x v="3"/>
    <x v="8"/>
    <m/>
    <x v="4"/>
    <s v="Track"/>
    <m/>
    <n v="2104"/>
    <n v="111"/>
    <n v="2037"/>
    <n v="108"/>
    <m/>
    <m/>
    <m/>
    <m/>
    <n v="2070.5"/>
    <n v="109.5"/>
    <n v="226719.75"/>
    <n v="24825.812624999999"/>
    <m/>
    <m/>
  </r>
  <r>
    <x v="105"/>
    <x v="3"/>
    <x v="8"/>
    <m/>
    <x v="5"/>
    <s v="Track"/>
    <m/>
    <n v="2167"/>
    <n v="139"/>
    <n v="2065"/>
    <n v="139"/>
    <m/>
    <m/>
    <m/>
    <m/>
    <n v="2116"/>
    <n v="139"/>
    <n v="294124"/>
    <n v="40883.235999999997"/>
    <m/>
    <m/>
  </r>
  <r>
    <x v="106"/>
    <x v="3"/>
    <x v="2"/>
    <m/>
    <x v="1"/>
    <s v="Track"/>
    <m/>
    <n v="1841"/>
    <n v="132"/>
    <n v="1747"/>
    <n v="129"/>
    <m/>
    <m/>
    <m/>
    <m/>
    <n v="1794"/>
    <n v="130.5"/>
    <n v="234117"/>
    <n v="30552.268499999998"/>
    <m/>
    <m/>
  </r>
  <r>
    <x v="106"/>
    <x v="3"/>
    <x v="2"/>
    <m/>
    <x v="3"/>
    <s v="Track"/>
    <m/>
    <n v="1851"/>
    <n v="136"/>
    <n v="1827"/>
    <n v="130"/>
    <m/>
    <m/>
    <m/>
    <m/>
    <n v="1839"/>
    <n v="133"/>
    <n v="244587"/>
    <n v="32530.071"/>
    <m/>
    <m/>
  </r>
  <r>
    <x v="106"/>
    <x v="3"/>
    <x v="2"/>
    <m/>
    <x v="2"/>
    <s v="Track"/>
    <m/>
    <n v="1944"/>
    <n v="126"/>
    <n v="1885"/>
    <n v="125"/>
    <m/>
    <m/>
    <m/>
    <m/>
    <n v="1914.5"/>
    <n v="125.5"/>
    <n v="240269.75"/>
    <n v="30153.853625"/>
    <m/>
    <m/>
  </r>
  <r>
    <x v="106"/>
    <x v="3"/>
    <x v="2"/>
    <m/>
    <x v="4"/>
    <s v="Track"/>
    <m/>
    <n v="2053"/>
    <n v="115"/>
    <n v="1987"/>
    <n v="111"/>
    <m/>
    <m/>
    <m/>
    <m/>
    <n v="2020"/>
    <n v="113"/>
    <n v="228260"/>
    <n v="25793.38"/>
    <m/>
    <m/>
  </r>
  <r>
    <x v="106"/>
    <x v="3"/>
    <x v="2"/>
    <m/>
    <x v="5"/>
    <s v="Track"/>
    <m/>
    <n v="2067"/>
    <n v="135"/>
    <n v="2052"/>
    <n v="138"/>
    <m/>
    <m/>
    <m/>
    <m/>
    <n v="2059.5"/>
    <n v="136.5"/>
    <n v="281121.75"/>
    <n v="38373.118875"/>
    <m/>
    <m/>
  </r>
  <r>
    <x v="107"/>
    <x v="3"/>
    <x v="2"/>
    <m/>
    <x v="6"/>
    <s v="BMX"/>
    <m/>
    <n v="2170"/>
    <n v="163"/>
    <n v="2057"/>
    <n v="157"/>
    <m/>
    <m/>
    <m/>
    <m/>
    <n v="2113.5"/>
    <n v="160"/>
    <n v="338160"/>
    <n v="54105.599999999999"/>
    <m/>
    <m/>
  </r>
  <r>
    <x v="108"/>
    <x v="3"/>
    <x v="2"/>
    <m/>
    <x v="6"/>
    <s v="BMX"/>
    <m/>
    <n v="2106"/>
    <n v="156"/>
    <n v="2153"/>
    <n v="158"/>
    <m/>
    <m/>
    <m/>
    <m/>
    <n v="2129.5"/>
    <n v="157"/>
    <n v="334331.5"/>
    <n v="52490.0455"/>
    <m/>
    <m/>
  </r>
  <r>
    <x v="109"/>
    <x v="3"/>
    <x v="2"/>
    <m/>
    <x v="6"/>
    <s v="BMX"/>
    <m/>
    <n v="2092"/>
    <n v="157"/>
    <n v="2057"/>
    <n v="156"/>
    <m/>
    <m/>
    <m/>
    <m/>
    <n v="2074.5"/>
    <n v="156.5"/>
    <n v="324659.25"/>
    <n v="50809.172624999999"/>
    <m/>
    <m/>
  </r>
  <r>
    <x v="110"/>
    <x v="3"/>
    <x v="2"/>
    <m/>
    <x v="6"/>
    <s v="BMX"/>
    <m/>
    <n v="2116"/>
    <n v="156"/>
    <m/>
    <m/>
    <m/>
    <m/>
    <m/>
    <m/>
    <n v="2116"/>
    <n v="156"/>
    <m/>
    <m/>
    <m/>
    <m/>
  </r>
  <r>
    <x v="111"/>
    <x v="3"/>
    <x v="9"/>
    <m/>
    <x v="6"/>
    <s v="BMX"/>
    <m/>
    <n v="2208"/>
    <n v="150"/>
    <n v="2262"/>
    <n v="155"/>
    <m/>
    <m/>
    <m/>
    <m/>
    <n v="2235"/>
    <n v="152.5"/>
    <n v="340837.5"/>
    <n v="51977.71875"/>
    <n v="88.4"/>
    <m/>
  </r>
  <r>
    <x v="112"/>
    <x v="3"/>
    <x v="9"/>
    <m/>
    <x v="1"/>
    <s v="Track"/>
    <m/>
    <n v="1705"/>
    <n v="128"/>
    <m/>
    <m/>
    <m/>
    <m/>
    <m/>
    <m/>
    <n v="1705"/>
    <n v="128"/>
    <m/>
    <m/>
    <m/>
    <m/>
  </r>
  <r>
    <x v="112"/>
    <x v="3"/>
    <x v="9"/>
    <m/>
    <x v="8"/>
    <s v="Track"/>
    <m/>
    <n v="1777"/>
    <n v="133"/>
    <m/>
    <m/>
    <m/>
    <m/>
    <m/>
    <m/>
    <n v="1777"/>
    <n v="133"/>
    <m/>
    <m/>
    <m/>
    <m/>
  </r>
  <r>
    <x v="112"/>
    <x v="3"/>
    <x v="9"/>
    <m/>
    <x v="3"/>
    <s v="Track"/>
    <m/>
    <n v="1882"/>
    <n v="133"/>
    <m/>
    <m/>
    <m/>
    <m/>
    <m/>
    <m/>
    <n v="1882"/>
    <n v="133"/>
    <m/>
    <m/>
    <m/>
    <m/>
  </r>
  <r>
    <x v="112"/>
    <x v="3"/>
    <x v="9"/>
    <m/>
    <x v="2"/>
    <s v="Track"/>
    <m/>
    <n v="1981"/>
    <n v="133"/>
    <m/>
    <m/>
    <m/>
    <m/>
    <m/>
    <m/>
    <n v="1981"/>
    <n v="133"/>
    <m/>
    <m/>
    <m/>
    <m/>
  </r>
  <r>
    <x v="112"/>
    <x v="3"/>
    <x v="9"/>
    <m/>
    <x v="5"/>
    <s v="Track"/>
    <m/>
    <n v="2031"/>
    <n v="139"/>
    <m/>
    <m/>
    <m/>
    <m/>
    <m/>
    <m/>
    <n v="2031"/>
    <n v="139"/>
    <m/>
    <m/>
    <m/>
    <m/>
  </r>
  <r>
    <x v="113"/>
    <x v="3"/>
    <x v="9"/>
    <m/>
    <x v="8"/>
    <s v="Track"/>
    <m/>
    <n v="1710"/>
    <n v="135"/>
    <m/>
    <m/>
    <m/>
    <m/>
    <m/>
    <m/>
    <n v="1710"/>
    <n v="135"/>
    <m/>
    <m/>
    <m/>
    <m/>
  </r>
  <r>
    <x v="113"/>
    <x v="3"/>
    <x v="9"/>
    <m/>
    <x v="3"/>
    <s v="Track"/>
    <m/>
    <n v="1807"/>
    <n v="134"/>
    <m/>
    <m/>
    <m/>
    <m/>
    <m/>
    <m/>
    <n v="1807"/>
    <n v="134"/>
    <m/>
    <m/>
    <m/>
    <m/>
  </r>
  <r>
    <x v="113"/>
    <x v="3"/>
    <x v="9"/>
    <m/>
    <x v="2"/>
    <s v="Track"/>
    <m/>
    <n v="1939"/>
    <n v="131"/>
    <m/>
    <m/>
    <m/>
    <m/>
    <m/>
    <m/>
    <n v="1939"/>
    <n v="131"/>
    <m/>
    <m/>
    <m/>
    <m/>
  </r>
  <r>
    <x v="113"/>
    <x v="3"/>
    <x v="9"/>
    <m/>
    <x v="4"/>
    <s v="Track"/>
    <m/>
    <n v="2045"/>
    <n v="117"/>
    <m/>
    <m/>
    <m/>
    <m/>
    <m/>
    <m/>
    <n v="2045"/>
    <n v="117"/>
    <m/>
    <m/>
    <m/>
    <m/>
  </r>
  <r>
    <x v="113"/>
    <x v="3"/>
    <x v="9"/>
    <m/>
    <x v="5"/>
    <s v="Track"/>
    <m/>
    <n v="2076"/>
    <n v="142"/>
    <m/>
    <m/>
    <m/>
    <m/>
    <m/>
    <m/>
    <n v="2076"/>
    <n v="142"/>
    <m/>
    <m/>
    <m/>
    <m/>
  </r>
  <r>
    <x v="114"/>
    <x v="3"/>
    <x v="4"/>
    <m/>
    <x v="8"/>
    <s v="Track"/>
    <m/>
    <n v="1742"/>
    <n v="137"/>
    <m/>
    <m/>
    <m/>
    <m/>
    <m/>
    <m/>
    <n v="1742"/>
    <n v="137"/>
    <m/>
    <m/>
    <m/>
    <m/>
  </r>
  <r>
    <x v="114"/>
    <x v="3"/>
    <x v="4"/>
    <m/>
    <x v="3"/>
    <s v="Track"/>
    <m/>
    <n v="1815"/>
    <n v="133"/>
    <m/>
    <m/>
    <m/>
    <m/>
    <m/>
    <m/>
    <n v="1815"/>
    <n v="133"/>
    <m/>
    <m/>
    <m/>
    <m/>
  </r>
  <r>
    <x v="114"/>
    <x v="3"/>
    <x v="4"/>
    <m/>
    <x v="2"/>
    <s v="Track"/>
    <m/>
    <n v="1917"/>
    <n v="130"/>
    <m/>
    <m/>
    <m/>
    <m/>
    <m/>
    <m/>
    <n v="1917"/>
    <n v="130"/>
    <m/>
    <m/>
    <m/>
    <m/>
  </r>
  <r>
    <x v="114"/>
    <x v="3"/>
    <x v="4"/>
    <m/>
    <x v="4"/>
    <s v="Track"/>
    <m/>
    <n v="2013"/>
    <n v="121"/>
    <m/>
    <m/>
    <m/>
    <m/>
    <m/>
    <m/>
    <n v="2013"/>
    <n v="121"/>
    <m/>
    <m/>
    <m/>
    <m/>
  </r>
  <r>
    <x v="114"/>
    <x v="3"/>
    <x v="4"/>
    <m/>
    <x v="5"/>
    <s v="Track"/>
    <m/>
    <n v="2066"/>
    <n v="143"/>
    <m/>
    <m/>
    <m/>
    <m/>
    <m/>
    <m/>
    <n v="2066"/>
    <n v="143"/>
    <m/>
    <m/>
    <m/>
    <m/>
  </r>
  <r>
    <x v="115"/>
    <x v="3"/>
    <x v="4"/>
    <m/>
    <x v="3"/>
    <s v="Track"/>
    <m/>
    <n v="1825"/>
    <n v="133"/>
    <m/>
    <m/>
    <m/>
    <m/>
    <m/>
    <m/>
    <n v="1825"/>
    <n v="133"/>
    <m/>
    <m/>
    <m/>
    <m/>
  </r>
  <r>
    <x v="115"/>
    <x v="3"/>
    <x v="4"/>
    <m/>
    <x v="5"/>
    <s v="Track"/>
    <m/>
    <n v="1910"/>
    <n v="138"/>
    <m/>
    <m/>
    <m/>
    <m/>
    <m/>
    <m/>
    <n v="1910"/>
    <n v="138"/>
    <m/>
    <m/>
    <m/>
    <m/>
  </r>
  <r>
    <x v="115"/>
    <x v="3"/>
    <x v="4"/>
    <m/>
    <x v="4"/>
    <s v="Track"/>
    <m/>
    <n v="1958"/>
    <n v="114"/>
    <m/>
    <m/>
    <m/>
    <m/>
    <m/>
    <m/>
    <n v="1958"/>
    <n v="114"/>
    <m/>
    <m/>
    <m/>
    <m/>
  </r>
  <r>
    <x v="116"/>
    <x v="3"/>
    <x v="11"/>
    <m/>
    <x v="8"/>
    <s v="Track"/>
    <m/>
    <n v="1741"/>
    <n v="129"/>
    <n v="1731"/>
    <n v="133"/>
    <m/>
    <m/>
    <m/>
    <m/>
    <n v="1736"/>
    <n v="131"/>
    <m/>
    <m/>
    <m/>
    <m/>
  </r>
  <r>
    <x v="116"/>
    <x v="3"/>
    <x v="11"/>
    <m/>
    <x v="3"/>
    <s v="Track"/>
    <m/>
    <n v="1907"/>
    <n v="138"/>
    <n v="1862"/>
    <n v="130"/>
    <m/>
    <m/>
    <m/>
    <m/>
    <n v="1884.5"/>
    <n v="134"/>
    <m/>
    <m/>
    <m/>
    <m/>
  </r>
  <r>
    <x v="116"/>
    <x v="3"/>
    <x v="11"/>
    <m/>
    <x v="2"/>
    <s v="Track"/>
    <m/>
    <n v="1961"/>
    <n v="131"/>
    <n v="1949"/>
    <n v="130"/>
    <m/>
    <m/>
    <m/>
    <m/>
    <n v="1955"/>
    <n v="130.5"/>
    <m/>
    <m/>
    <m/>
    <m/>
  </r>
  <r>
    <x v="116"/>
    <x v="3"/>
    <x v="11"/>
    <m/>
    <x v="5"/>
    <s v="Track"/>
    <m/>
    <n v="2009"/>
    <n v="140"/>
    <n v="2012"/>
    <n v="136"/>
    <m/>
    <m/>
    <m/>
    <m/>
    <n v="2010.5"/>
    <n v="138"/>
    <m/>
    <m/>
    <m/>
    <m/>
  </r>
  <r>
    <x v="116"/>
    <x v="3"/>
    <x v="11"/>
    <m/>
    <x v="4"/>
    <s v="Track"/>
    <m/>
    <n v="2192"/>
    <n v="122"/>
    <n v="2065"/>
    <n v="118"/>
    <m/>
    <m/>
    <m/>
    <m/>
    <n v="2128.5"/>
    <n v="120"/>
    <m/>
    <m/>
    <m/>
    <m/>
  </r>
  <r>
    <x v="117"/>
    <x v="3"/>
    <x v="11"/>
    <m/>
    <x v="8"/>
    <s v="Track"/>
    <m/>
    <n v="1823"/>
    <n v="135"/>
    <m/>
    <m/>
    <m/>
    <m/>
    <m/>
    <m/>
    <n v="1823"/>
    <n v="135"/>
    <m/>
    <m/>
    <m/>
    <m/>
  </r>
  <r>
    <x v="117"/>
    <x v="3"/>
    <x v="11"/>
    <m/>
    <x v="3"/>
    <s v="Track"/>
    <m/>
    <n v="1832"/>
    <n v="132"/>
    <m/>
    <m/>
    <m/>
    <m/>
    <m/>
    <m/>
    <n v="1832"/>
    <n v="132"/>
    <m/>
    <m/>
    <m/>
    <m/>
  </r>
  <r>
    <x v="117"/>
    <x v="3"/>
    <x v="11"/>
    <m/>
    <x v="2"/>
    <s v="Track"/>
    <m/>
    <n v="1952"/>
    <n v="130"/>
    <m/>
    <m/>
    <m/>
    <m/>
    <m/>
    <m/>
    <n v="1952"/>
    <n v="130"/>
    <m/>
    <m/>
    <m/>
    <m/>
  </r>
  <r>
    <x v="117"/>
    <x v="3"/>
    <x v="11"/>
    <m/>
    <x v="5"/>
    <s v="Track"/>
    <m/>
    <n v="1982"/>
    <n v="136"/>
    <m/>
    <m/>
    <m/>
    <m/>
    <m/>
    <m/>
    <n v="1982"/>
    <n v="136"/>
    <m/>
    <m/>
    <m/>
    <m/>
  </r>
  <r>
    <x v="117"/>
    <x v="3"/>
    <x v="11"/>
    <m/>
    <x v="4"/>
    <s v="Track"/>
    <m/>
    <n v="2190"/>
    <n v="118"/>
    <m/>
    <m/>
    <m/>
    <m/>
    <m/>
    <m/>
    <n v="2190"/>
    <n v="118"/>
    <m/>
    <m/>
    <m/>
    <m/>
  </r>
  <r>
    <x v="118"/>
    <x v="3"/>
    <x v="11"/>
    <m/>
    <x v="8"/>
    <s v="Track"/>
    <m/>
    <n v="1799"/>
    <n v="134"/>
    <m/>
    <m/>
    <m/>
    <m/>
    <m/>
    <m/>
    <n v="1799"/>
    <n v="134"/>
    <m/>
    <m/>
    <m/>
    <m/>
  </r>
  <r>
    <x v="118"/>
    <x v="3"/>
    <x v="11"/>
    <m/>
    <x v="3"/>
    <s v="Track"/>
    <m/>
    <n v="1865"/>
    <n v="136"/>
    <m/>
    <m/>
    <m/>
    <m/>
    <m/>
    <m/>
    <n v="1865"/>
    <n v="136"/>
    <m/>
    <m/>
    <m/>
    <m/>
  </r>
  <r>
    <x v="118"/>
    <x v="3"/>
    <x v="11"/>
    <m/>
    <x v="2"/>
    <s v="Track"/>
    <m/>
    <n v="1963"/>
    <n v="129"/>
    <m/>
    <m/>
    <m/>
    <m/>
    <m/>
    <m/>
    <n v="1963"/>
    <n v="129"/>
    <m/>
    <m/>
    <m/>
    <m/>
  </r>
  <r>
    <x v="118"/>
    <x v="3"/>
    <x v="11"/>
    <m/>
    <x v="5"/>
    <s v="Track"/>
    <m/>
    <n v="2023"/>
    <n v="134"/>
    <m/>
    <m/>
    <m/>
    <m/>
    <m/>
    <m/>
    <n v="2023"/>
    <n v="134"/>
    <m/>
    <m/>
    <m/>
    <m/>
  </r>
  <r>
    <x v="118"/>
    <x v="3"/>
    <x v="11"/>
    <m/>
    <x v="4"/>
    <s v="Track"/>
    <m/>
    <n v="2141"/>
    <n v="110"/>
    <m/>
    <m/>
    <m/>
    <m/>
    <m/>
    <m/>
    <n v="2141"/>
    <n v="110"/>
    <m/>
    <m/>
    <m/>
    <m/>
  </r>
  <r>
    <x v="119"/>
    <x v="3"/>
    <x v="11"/>
    <m/>
    <x v="8"/>
    <s v="Track"/>
    <m/>
    <n v="1737"/>
    <n v="136"/>
    <m/>
    <m/>
    <m/>
    <m/>
    <m/>
    <m/>
    <n v="1737"/>
    <n v="136"/>
    <m/>
    <m/>
    <m/>
    <m/>
  </r>
  <r>
    <x v="119"/>
    <x v="3"/>
    <x v="11"/>
    <m/>
    <x v="3"/>
    <s v="Track"/>
    <m/>
    <n v="1831"/>
    <n v="135"/>
    <m/>
    <m/>
    <m/>
    <m/>
    <m/>
    <m/>
    <n v="1831"/>
    <n v="135"/>
    <m/>
    <m/>
    <m/>
    <m/>
  </r>
  <r>
    <x v="119"/>
    <x v="3"/>
    <x v="11"/>
    <m/>
    <x v="2"/>
    <s v="Track"/>
    <m/>
    <n v="1933"/>
    <n v="130"/>
    <m/>
    <m/>
    <m/>
    <m/>
    <m/>
    <m/>
    <n v="1933"/>
    <n v="130"/>
    <m/>
    <m/>
    <m/>
    <m/>
  </r>
  <r>
    <x v="119"/>
    <x v="3"/>
    <x v="11"/>
    <m/>
    <x v="5"/>
    <s v="Track"/>
    <m/>
    <n v="2026"/>
    <n v="135"/>
    <m/>
    <m/>
    <m/>
    <m/>
    <m/>
    <m/>
    <n v="2026"/>
    <n v="135"/>
    <m/>
    <m/>
    <m/>
    <m/>
  </r>
  <r>
    <x v="119"/>
    <x v="3"/>
    <x v="11"/>
    <m/>
    <x v="4"/>
    <s v="Track"/>
    <m/>
    <n v="2070"/>
    <n v="116"/>
    <m/>
    <m/>
    <m/>
    <m/>
    <m/>
    <m/>
    <n v="2070"/>
    <n v="116"/>
    <m/>
    <m/>
    <m/>
    <m/>
  </r>
  <r>
    <x v="120"/>
    <x v="3"/>
    <x v="11"/>
    <m/>
    <x v="8"/>
    <s v="Track"/>
    <m/>
    <n v="1807"/>
    <n v="135"/>
    <m/>
    <m/>
    <m/>
    <m/>
    <m/>
    <m/>
    <n v="1807"/>
    <n v="135"/>
    <m/>
    <m/>
    <m/>
    <m/>
  </r>
  <r>
    <x v="120"/>
    <x v="3"/>
    <x v="11"/>
    <m/>
    <x v="3"/>
    <s v="Track"/>
    <m/>
    <n v="1871"/>
    <n v="135"/>
    <m/>
    <m/>
    <m/>
    <m/>
    <m/>
    <m/>
    <n v="1871"/>
    <n v="135"/>
    <m/>
    <m/>
    <m/>
    <m/>
  </r>
  <r>
    <x v="120"/>
    <x v="3"/>
    <x v="11"/>
    <m/>
    <x v="4"/>
    <s v="Track"/>
    <m/>
    <n v="1991"/>
    <n v="113"/>
    <m/>
    <m/>
    <m/>
    <m/>
    <m/>
    <m/>
    <n v="1991"/>
    <n v="113"/>
    <m/>
    <m/>
    <m/>
    <m/>
  </r>
  <r>
    <x v="120"/>
    <x v="3"/>
    <x v="11"/>
    <m/>
    <x v="5"/>
    <s v="Track"/>
    <m/>
    <n v="2015"/>
    <n v="135"/>
    <m/>
    <m/>
    <m/>
    <m/>
    <m/>
    <m/>
    <n v="2015"/>
    <n v="135"/>
    <m/>
    <m/>
    <m/>
    <m/>
  </r>
  <r>
    <x v="120"/>
    <x v="3"/>
    <x v="11"/>
    <m/>
    <x v="2"/>
    <s v="Track"/>
    <m/>
    <n v="2023"/>
    <n v="133"/>
    <m/>
    <m/>
    <m/>
    <m/>
    <m/>
    <m/>
    <n v="2023"/>
    <n v="133"/>
    <m/>
    <m/>
    <m/>
    <m/>
  </r>
  <r>
    <x v="121"/>
    <x v="3"/>
    <x v="0"/>
    <m/>
    <x v="8"/>
    <s v="Track"/>
    <m/>
    <n v="1822"/>
    <n v="135"/>
    <m/>
    <m/>
    <m/>
    <m/>
    <m/>
    <m/>
    <n v="1822"/>
    <n v="135"/>
    <m/>
    <m/>
    <m/>
    <m/>
  </r>
  <r>
    <x v="121"/>
    <x v="3"/>
    <x v="0"/>
    <m/>
    <x v="1"/>
    <s v="Track"/>
    <m/>
    <n v="1838"/>
    <n v="130"/>
    <m/>
    <m/>
    <m/>
    <m/>
    <m/>
    <m/>
    <n v="1838"/>
    <n v="130"/>
    <m/>
    <m/>
    <m/>
    <m/>
  </r>
  <r>
    <x v="122"/>
    <x v="3"/>
    <x v="0"/>
    <m/>
    <x v="3"/>
    <s v="Track"/>
    <m/>
    <n v="1739"/>
    <n v="130"/>
    <m/>
    <m/>
    <m/>
    <m/>
    <m/>
    <m/>
    <n v="1739"/>
    <n v="130"/>
    <m/>
    <m/>
    <m/>
    <m/>
  </r>
  <r>
    <x v="122"/>
    <x v="3"/>
    <x v="0"/>
    <m/>
    <x v="2"/>
    <s v="Track"/>
    <m/>
    <n v="1995"/>
    <n v="131"/>
    <m/>
    <m/>
    <m/>
    <m/>
    <m/>
    <m/>
    <n v="1995"/>
    <n v="131"/>
    <m/>
    <m/>
    <m/>
    <m/>
  </r>
  <r>
    <x v="122"/>
    <x v="3"/>
    <x v="0"/>
    <m/>
    <x v="4"/>
    <s v="Track"/>
    <m/>
    <n v="2045"/>
    <n v="116"/>
    <m/>
    <m/>
    <m/>
    <m/>
    <m/>
    <m/>
    <n v="2045"/>
    <n v="116"/>
    <m/>
    <m/>
    <m/>
    <m/>
  </r>
  <r>
    <x v="122"/>
    <x v="3"/>
    <x v="0"/>
    <m/>
    <x v="5"/>
    <s v="Track"/>
    <m/>
    <n v="2154"/>
    <n v="133"/>
    <m/>
    <m/>
    <m/>
    <m/>
    <m/>
    <m/>
    <n v="2154"/>
    <n v="133"/>
    <m/>
    <m/>
    <m/>
    <m/>
  </r>
  <r>
    <x v="123"/>
    <x v="3"/>
    <x v="0"/>
    <m/>
    <x v="1"/>
    <s v="Track"/>
    <m/>
    <n v="1782"/>
    <n v="130"/>
    <m/>
    <m/>
    <m/>
    <m/>
    <m/>
    <m/>
    <n v="1782"/>
    <n v="130"/>
    <m/>
    <m/>
    <m/>
    <m/>
  </r>
  <r>
    <x v="123"/>
    <x v="3"/>
    <x v="0"/>
    <m/>
    <x v="3"/>
    <s v="Track"/>
    <m/>
    <n v="1797"/>
    <n v="127"/>
    <m/>
    <m/>
    <m/>
    <m/>
    <m/>
    <m/>
    <n v="1797"/>
    <n v="127"/>
    <m/>
    <m/>
    <m/>
    <m/>
  </r>
  <r>
    <x v="123"/>
    <x v="3"/>
    <x v="0"/>
    <m/>
    <x v="8"/>
    <s v="Track"/>
    <m/>
    <n v="1824"/>
    <n v="136"/>
    <m/>
    <m/>
    <m/>
    <m/>
    <m/>
    <m/>
    <n v="1824"/>
    <n v="136"/>
    <m/>
    <m/>
    <m/>
    <m/>
  </r>
  <r>
    <x v="123"/>
    <x v="3"/>
    <x v="0"/>
    <m/>
    <x v="4"/>
    <s v="Track"/>
    <m/>
    <n v="1937"/>
    <n v="115"/>
    <m/>
    <m/>
    <m/>
    <m/>
    <m/>
    <m/>
    <n v="1937"/>
    <n v="115"/>
    <m/>
    <m/>
    <m/>
    <m/>
  </r>
  <r>
    <x v="123"/>
    <x v="3"/>
    <x v="0"/>
    <m/>
    <x v="2"/>
    <s v="Track"/>
    <m/>
    <n v="1943"/>
    <n v="130"/>
    <m/>
    <m/>
    <m/>
    <m/>
    <m/>
    <m/>
    <n v="1943"/>
    <n v="130"/>
    <m/>
    <m/>
    <m/>
    <m/>
  </r>
  <r>
    <x v="123"/>
    <x v="3"/>
    <x v="0"/>
    <m/>
    <x v="5"/>
    <s v="Track"/>
    <m/>
    <n v="1997"/>
    <n v="134"/>
    <n v="1900"/>
    <n v="129"/>
    <m/>
    <m/>
    <m/>
    <m/>
    <n v="1948.5"/>
    <n v="131.5"/>
    <m/>
    <m/>
    <m/>
    <m/>
  </r>
  <r>
    <x v="124"/>
    <x v="3"/>
    <x v="0"/>
    <m/>
    <x v="8"/>
    <s v="Track"/>
    <m/>
    <n v="1818"/>
    <n v="133"/>
    <m/>
    <m/>
    <m/>
    <m/>
    <m/>
    <m/>
    <n v="1818"/>
    <n v="133"/>
    <m/>
    <m/>
    <m/>
    <m/>
  </r>
  <r>
    <x v="124"/>
    <x v="3"/>
    <x v="0"/>
    <m/>
    <x v="1"/>
    <s v="Track"/>
    <m/>
    <n v="1844"/>
    <n v="133"/>
    <m/>
    <m/>
    <m/>
    <m/>
    <m/>
    <m/>
    <n v="1844"/>
    <n v="133"/>
    <m/>
    <m/>
    <m/>
    <m/>
  </r>
  <r>
    <x v="124"/>
    <x v="3"/>
    <x v="0"/>
    <m/>
    <x v="3"/>
    <s v="Track"/>
    <m/>
    <n v="1876"/>
    <n v="134"/>
    <m/>
    <m/>
    <m/>
    <m/>
    <m/>
    <m/>
    <n v="1876"/>
    <n v="134"/>
    <m/>
    <m/>
    <m/>
    <m/>
  </r>
  <r>
    <x v="124"/>
    <x v="3"/>
    <x v="0"/>
    <m/>
    <x v="4"/>
    <s v="Track"/>
    <m/>
    <n v="1917"/>
    <n v="113"/>
    <m/>
    <m/>
    <m/>
    <m/>
    <m/>
    <m/>
    <n v="1917"/>
    <n v="113"/>
    <m/>
    <m/>
    <m/>
    <m/>
  </r>
  <r>
    <x v="124"/>
    <x v="3"/>
    <x v="0"/>
    <m/>
    <x v="5"/>
    <s v="Track"/>
    <m/>
    <n v="1987"/>
    <n v="131"/>
    <m/>
    <m/>
    <m/>
    <m/>
    <m/>
    <m/>
    <n v="1987"/>
    <n v="131"/>
    <m/>
    <m/>
    <m/>
    <m/>
  </r>
  <r>
    <x v="124"/>
    <x v="3"/>
    <x v="0"/>
    <m/>
    <x v="2"/>
    <s v="Track"/>
    <m/>
    <n v="2024"/>
    <n v="132"/>
    <m/>
    <m/>
    <m/>
    <m/>
    <m/>
    <m/>
    <n v="2024"/>
    <n v="132"/>
    <m/>
    <m/>
    <m/>
    <m/>
  </r>
  <r>
    <x v="125"/>
    <x v="3"/>
    <x v="0"/>
    <m/>
    <x v="8"/>
    <s v="Track"/>
    <m/>
    <n v="1725"/>
    <n v="134"/>
    <m/>
    <m/>
    <m/>
    <m/>
    <m/>
    <m/>
    <n v="1725"/>
    <n v="134"/>
    <m/>
    <m/>
    <m/>
    <m/>
  </r>
  <r>
    <x v="126"/>
    <x v="3"/>
    <x v="1"/>
    <m/>
    <x v="8"/>
    <s v="Track"/>
    <m/>
    <n v="1773"/>
    <n v="134"/>
    <m/>
    <m/>
    <m/>
    <m/>
    <m/>
    <m/>
    <n v="1773"/>
    <n v="134"/>
    <m/>
    <m/>
    <m/>
    <m/>
  </r>
  <r>
    <x v="126"/>
    <x v="3"/>
    <x v="1"/>
    <m/>
    <x v="1"/>
    <s v="Track"/>
    <m/>
    <n v="1815"/>
    <n v="128"/>
    <m/>
    <m/>
    <m/>
    <m/>
    <m/>
    <m/>
    <n v="1815"/>
    <n v="128"/>
    <m/>
    <m/>
    <m/>
    <m/>
  </r>
  <r>
    <x v="127"/>
    <x v="3"/>
    <x v="1"/>
    <m/>
    <x v="1"/>
    <s v="Track"/>
    <m/>
    <n v="1816"/>
    <n v="131"/>
    <m/>
    <m/>
    <m/>
    <m/>
    <m/>
    <m/>
    <n v="1816"/>
    <n v="131"/>
    <m/>
    <m/>
    <m/>
    <m/>
  </r>
  <r>
    <x v="127"/>
    <x v="3"/>
    <x v="1"/>
    <m/>
    <x v="8"/>
    <s v="Track"/>
    <m/>
    <n v="1838"/>
    <n v="131"/>
    <m/>
    <m/>
    <m/>
    <m/>
    <m/>
    <m/>
    <n v="1838"/>
    <n v="131"/>
    <m/>
    <m/>
    <m/>
    <m/>
  </r>
  <r>
    <x v="128"/>
    <x v="3"/>
    <x v="1"/>
    <m/>
    <x v="8"/>
    <s v="Track"/>
    <m/>
    <n v="1859"/>
    <n v="133"/>
    <m/>
    <m/>
    <m/>
    <m/>
    <m/>
    <m/>
    <n v="1859"/>
    <n v="133"/>
    <m/>
    <m/>
    <m/>
    <m/>
  </r>
  <r>
    <x v="129"/>
    <x v="3"/>
    <x v="1"/>
    <m/>
    <x v="3"/>
    <s v="Track"/>
    <m/>
    <n v="1812"/>
    <n v="134"/>
    <m/>
    <m/>
    <m/>
    <m/>
    <m/>
    <m/>
    <n v="1812"/>
    <n v="134"/>
    <m/>
    <m/>
    <m/>
    <m/>
  </r>
  <r>
    <x v="129"/>
    <x v="3"/>
    <x v="1"/>
    <m/>
    <x v="8"/>
    <s v="Track"/>
    <m/>
    <n v="1844"/>
    <n v="138"/>
    <m/>
    <m/>
    <m/>
    <m/>
    <m/>
    <m/>
    <n v="1844"/>
    <n v="138"/>
    <m/>
    <m/>
    <m/>
    <m/>
  </r>
  <r>
    <x v="129"/>
    <x v="3"/>
    <x v="1"/>
    <m/>
    <x v="4"/>
    <s v="Track"/>
    <m/>
    <n v="1963"/>
    <n v="112"/>
    <m/>
    <m/>
    <m/>
    <m/>
    <m/>
    <m/>
    <n v="1963"/>
    <n v="112"/>
    <m/>
    <m/>
    <m/>
    <m/>
  </r>
  <r>
    <x v="129"/>
    <x v="3"/>
    <x v="1"/>
    <m/>
    <x v="2"/>
    <s v="Track"/>
    <m/>
    <n v="2067"/>
    <n v="131"/>
    <m/>
    <m/>
    <m/>
    <m/>
    <m/>
    <m/>
    <n v="2067"/>
    <n v="131"/>
    <m/>
    <m/>
    <m/>
    <m/>
  </r>
  <r>
    <x v="129"/>
    <x v="3"/>
    <x v="1"/>
    <m/>
    <x v="5"/>
    <s v="Track"/>
    <m/>
    <n v="2075"/>
    <n v="132"/>
    <m/>
    <m/>
    <m/>
    <m/>
    <m/>
    <m/>
    <n v="2075"/>
    <n v="132"/>
    <m/>
    <m/>
    <m/>
    <m/>
  </r>
  <r>
    <x v="130"/>
    <x v="3"/>
    <x v="1"/>
    <m/>
    <x v="1"/>
    <s v="Track"/>
    <m/>
    <n v="1756"/>
    <n v="130"/>
    <m/>
    <m/>
    <m/>
    <m/>
    <m/>
    <m/>
    <n v="1756"/>
    <n v="130"/>
    <m/>
    <m/>
    <m/>
    <m/>
  </r>
  <r>
    <x v="130"/>
    <x v="3"/>
    <x v="1"/>
    <m/>
    <x v="8"/>
    <s v="Track"/>
    <m/>
    <n v="1885"/>
    <n v="138"/>
    <m/>
    <m/>
    <m/>
    <m/>
    <m/>
    <m/>
    <n v="1885"/>
    <n v="138"/>
    <m/>
    <m/>
    <m/>
    <m/>
  </r>
  <r>
    <x v="131"/>
    <x v="4"/>
    <x v="8"/>
    <m/>
    <x v="0"/>
    <s v="Track"/>
    <m/>
    <n v="1192"/>
    <n v="121"/>
    <m/>
    <m/>
    <m/>
    <m/>
    <m/>
    <m/>
    <n v="1192"/>
    <n v="121"/>
    <m/>
    <m/>
    <m/>
    <m/>
  </r>
  <r>
    <x v="131"/>
    <x v="4"/>
    <x v="8"/>
    <m/>
    <x v="9"/>
    <s v="Track"/>
    <m/>
    <n v="1377"/>
    <n v="120"/>
    <m/>
    <m/>
    <m/>
    <m/>
    <m/>
    <m/>
    <n v="1377"/>
    <n v="120"/>
    <m/>
    <m/>
    <m/>
    <m/>
  </r>
  <r>
    <x v="131"/>
    <x v="4"/>
    <x v="8"/>
    <m/>
    <x v="3"/>
    <s v="Track"/>
    <m/>
    <n v="1886"/>
    <n v="134"/>
    <m/>
    <m/>
    <m/>
    <m/>
    <m/>
    <m/>
    <n v="1886"/>
    <n v="134"/>
    <m/>
    <m/>
    <m/>
    <m/>
  </r>
  <r>
    <x v="131"/>
    <x v="4"/>
    <x v="8"/>
    <m/>
    <x v="8"/>
    <s v="Track"/>
    <m/>
    <n v="1897"/>
    <n v="133"/>
    <m/>
    <m/>
    <m/>
    <m/>
    <m/>
    <m/>
    <n v="1897"/>
    <n v="133"/>
    <m/>
    <m/>
    <m/>
    <m/>
  </r>
  <r>
    <x v="131"/>
    <x v="4"/>
    <x v="8"/>
    <m/>
    <x v="1"/>
    <s v="Track"/>
    <m/>
    <n v="1923"/>
    <n v="130"/>
    <m/>
    <m/>
    <m/>
    <m/>
    <m/>
    <m/>
    <n v="1923"/>
    <n v="130"/>
    <m/>
    <m/>
    <m/>
    <m/>
  </r>
  <r>
    <x v="131"/>
    <x v="4"/>
    <x v="8"/>
    <m/>
    <x v="4"/>
    <s v="Track"/>
    <m/>
    <n v="2035"/>
    <n v="114"/>
    <m/>
    <m/>
    <m/>
    <m/>
    <m/>
    <m/>
    <n v="2035"/>
    <n v="114"/>
    <m/>
    <m/>
    <m/>
    <m/>
  </r>
  <r>
    <x v="131"/>
    <x v="4"/>
    <x v="8"/>
    <m/>
    <x v="2"/>
    <s v="Track"/>
    <m/>
    <n v="2051"/>
    <n v="130"/>
    <m/>
    <m/>
    <m/>
    <m/>
    <m/>
    <m/>
    <n v="2051"/>
    <n v="130"/>
    <m/>
    <m/>
    <m/>
    <m/>
  </r>
  <r>
    <x v="131"/>
    <x v="4"/>
    <x v="8"/>
    <m/>
    <x v="5"/>
    <s v="Track"/>
    <m/>
    <n v="2194"/>
    <n v="134"/>
    <m/>
    <m/>
    <m/>
    <m/>
    <m/>
    <m/>
    <n v="2194"/>
    <n v="134"/>
    <m/>
    <m/>
    <m/>
    <m/>
  </r>
  <r>
    <x v="132"/>
    <x v="4"/>
    <x v="8"/>
    <m/>
    <x v="3"/>
    <s v="Track"/>
    <m/>
    <n v="1863"/>
    <n v="137"/>
    <m/>
    <m/>
    <m/>
    <m/>
    <m/>
    <m/>
    <n v="1863"/>
    <n v="137"/>
    <m/>
    <m/>
    <m/>
    <m/>
  </r>
  <r>
    <x v="132"/>
    <x v="4"/>
    <x v="8"/>
    <m/>
    <x v="2"/>
    <s v="Track"/>
    <m/>
    <n v="2095"/>
    <n v="135"/>
    <m/>
    <m/>
    <m/>
    <m/>
    <m/>
    <m/>
    <n v="2095"/>
    <n v="135"/>
    <m/>
    <m/>
    <m/>
    <m/>
  </r>
  <r>
    <x v="132"/>
    <x v="4"/>
    <x v="8"/>
    <m/>
    <x v="4"/>
    <s v="Track"/>
    <m/>
    <n v="2153"/>
    <n v="121"/>
    <m/>
    <m/>
    <m/>
    <m/>
    <m/>
    <m/>
    <n v="2153"/>
    <n v="121"/>
    <m/>
    <m/>
    <m/>
    <m/>
  </r>
  <r>
    <x v="132"/>
    <x v="4"/>
    <x v="8"/>
    <m/>
    <x v="5"/>
    <s v="Track"/>
    <m/>
    <n v="2260"/>
    <n v="140"/>
    <m/>
    <m/>
    <m/>
    <m/>
    <m/>
    <m/>
    <n v="2260"/>
    <n v="140"/>
    <m/>
    <m/>
    <m/>
    <m/>
  </r>
  <r>
    <x v="133"/>
    <x v="4"/>
    <x v="8"/>
    <m/>
    <x v="3"/>
    <s v="Track"/>
    <m/>
    <n v="1814"/>
    <n v="130"/>
    <m/>
    <m/>
    <m/>
    <m/>
    <m/>
    <m/>
    <n v="1814"/>
    <n v="130"/>
    <m/>
    <m/>
    <m/>
    <m/>
  </r>
  <r>
    <x v="133"/>
    <x v="4"/>
    <x v="8"/>
    <m/>
    <x v="4"/>
    <s v="Track"/>
    <m/>
    <n v="2021"/>
    <n v="110"/>
    <m/>
    <m/>
    <m/>
    <m/>
    <m/>
    <m/>
    <n v="2021"/>
    <n v="110"/>
    <m/>
    <m/>
    <m/>
    <m/>
  </r>
  <r>
    <x v="133"/>
    <x v="4"/>
    <x v="8"/>
    <m/>
    <x v="2"/>
    <s v="Track"/>
    <m/>
    <n v="2043"/>
    <n v="133"/>
    <m/>
    <m/>
    <m/>
    <m/>
    <m/>
    <m/>
    <n v="2043"/>
    <n v="133"/>
    <m/>
    <m/>
    <m/>
    <m/>
  </r>
  <r>
    <x v="133"/>
    <x v="4"/>
    <x v="8"/>
    <m/>
    <x v="5"/>
    <s v="Track"/>
    <m/>
    <n v="2193"/>
    <n v="134"/>
    <m/>
    <m/>
    <m/>
    <m/>
    <m/>
    <m/>
    <n v="2193"/>
    <n v="134"/>
    <m/>
    <m/>
    <m/>
    <m/>
  </r>
  <r>
    <x v="134"/>
    <x v="4"/>
    <x v="8"/>
    <m/>
    <x v="6"/>
    <s v="BMX"/>
    <m/>
    <n v="2423"/>
    <n v="129"/>
    <n v="2466"/>
    <n v="129"/>
    <m/>
    <m/>
    <m/>
    <m/>
    <n v="2444.5"/>
    <n v="129"/>
    <m/>
    <m/>
    <m/>
    <m/>
  </r>
  <r>
    <x v="135"/>
    <x v="4"/>
    <x v="8"/>
    <m/>
    <x v="3"/>
    <s v="Track"/>
    <m/>
    <n v="1852"/>
    <n v="128"/>
    <m/>
    <m/>
    <m/>
    <m/>
    <m/>
    <m/>
    <n v="1852"/>
    <n v="128"/>
    <m/>
    <m/>
    <m/>
    <m/>
  </r>
  <r>
    <x v="135"/>
    <x v="4"/>
    <x v="8"/>
    <m/>
    <x v="4"/>
    <s v="Track"/>
    <m/>
    <n v="2018"/>
    <n v="114"/>
    <m/>
    <m/>
    <m/>
    <m/>
    <m/>
    <m/>
    <n v="2018"/>
    <n v="114"/>
    <m/>
    <m/>
    <m/>
    <m/>
  </r>
  <r>
    <x v="135"/>
    <x v="4"/>
    <x v="8"/>
    <m/>
    <x v="2"/>
    <s v="Track"/>
    <m/>
    <n v="2026"/>
    <n v="129"/>
    <m/>
    <m/>
    <m/>
    <m/>
    <m/>
    <m/>
    <n v="2026"/>
    <n v="129"/>
    <m/>
    <m/>
    <m/>
    <m/>
  </r>
  <r>
    <x v="135"/>
    <x v="4"/>
    <x v="8"/>
    <m/>
    <x v="5"/>
    <s v="Track"/>
    <m/>
    <n v="2082"/>
    <n v="135"/>
    <m/>
    <m/>
    <m/>
    <m/>
    <m/>
    <m/>
    <n v="2082"/>
    <n v="135"/>
    <m/>
    <m/>
    <m/>
    <m/>
  </r>
  <r>
    <x v="136"/>
    <x v="4"/>
    <x v="8"/>
    <m/>
    <x v="6"/>
    <s v="BMX"/>
    <m/>
    <n v="2482"/>
    <n v="135"/>
    <n v="2580"/>
    <n v="138"/>
    <m/>
    <m/>
    <m/>
    <m/>
    <n v="2531"/>
    <n v="136.5"/>
    <m/>
    <m/>
    <m/>
    <m/>
  </r>
  <r>
    <x v="137"/>
    <x v="4"/>
    <x v="8"/>
    <m/>
    <x v="0"/>
    <s v="Track"/>
    <m/>
    <n v="1232"/>
    <n v="125"/>
    <m/>
    <m/>
    <m/>
    <m/>
    <m/>
    <m/>
    <n v="1232"/>
    <n v="125"/>
    <m/>
    <m/>
    <m/>
    <m/>
  </r>
  <r>
    <x v="137"/>
    <x v="4"/>
    <x v="8"/>
    <m/>
    <x v="3"/>
    <s v="Track"/>
    <m/>
    <n v="1684"/>
    <n v="140"/>
    <m/>
    <m/>
    <m/>
    <m/>
    <m/>
    <m/>
    <n v="1684"/>
    <n v="140"/>
    <m/>
    <m/>
    <m/>
    <m/>
  </r>
  <r>
    <x v="137"/>
    <x v="4"/>
    <x v="8"/>
    <m/>
    <x v="8"/>
    <s v="Track"/>
    <m/>
    <n v="1893"/>
    <n v="132"/>
    <m/>
    <m/>
    <m/>
    <m/>
    <m/>
    <m/>
    <n v="1893"/>
    <n v="132"/>
    <m/>
    <m/>
    <m/>
    <m/>
  </r>
  <r>
    <x v="137"/>
    <x v="4"/>
    <x v="8"/>
    <m/>
    <x v="1"/>
    <s v="Track"/>
    <m/>
    <n v="1902"/>
    <n v="131"/>
    <m/>
    <m/>
    <m/>
    <m/>
    <m/>
    <m/>
    <n v="1902"/>
    <n v="131"/>
    <m/>
    <m/>
    <m/>
    <m/>
  </r>
  <r>
    <x v="137"/>
    <x v="4"/>
    <x v="8"/>
    <m/>
    <x v="4"/>
    <s v="Track"/>
    <m/>
    <n v="1997"/>
    <n v="119"/>
    <m/>
    <m/>
    <m/>
    <m/>
    <m/>
    <m/>
    <n v="1997"/>
    <n v="119"/>
    <m/>
    <m/>
    <m/>
    <m/>
  </r>
  <r>
    <x v="137"/>
    <x v="4"/>
    <x v="8"/>
    <m/>
    <x v="2"/>
    <s v="Track"/>
    <m/>
    <n v="2033"/>
    <n v="131"/>
    <m/>
    <m/>
    <m/>
    <m/>
    <m/>
    <m/>
    <n v="2033"/>
    <n v="131"/>
    <m/>
    <m/>
    <m/>
    <m/>
  </r>
  <r>
    <x v="137"/>
    <x v="4"/>
    <x v="8"/>
    <m/>
    <x v="5"/>
    <s v="Track"/>
    <m/>
    <n v="2193"/>
    <n v="136"/>
    <m/>
    <m/>
    <m/>
    <m/>
    <m/>
    <m/>
    <n v="2193"/>
    <n v="136"/>
    <m/>
    <m/>
    <m/>
    <m/>
  </r>
  <r>
    <x v="138"/>
    <x v="4"/>
    <x v="8"/>
    <m/>
    <x v="6"/>
    <s v="BMX"/>
    <m/>
    <n v="2518"/>
    <n v="143"/>
    <n v="2526"/>
    <n v="145"/>
    <m/>
    <m/>
    <m/>
    <m/>
    <n v="2522"/>
    <n v="144"/>
    <m/>
    <m/>
    <m/>
    <m/>
  </r>
  <r>
    <x v="139"/>
    <x v="4"/>
    <x v="2"/>
    <m/>
    <x v="3"/>
    <s v="Track"/>
    <m/>
    <n v="1934"/>
    <n v="131"/>
    <m/>
    <m/>
    <m/>
    <m/>
    <m/>
    <m/>
    <n v="1934"/>
    <n v="131"/>
    <m/>
    <m/>
    <m/>
    <m/>
  </r>
  <r>
    <x v="139"/>
    <x v="4"/>
    <x v="2"/>
    <m/>
    <x v="1"/>
    <s v="Track"/>
    <m/>
    <n v="1978"/>
    <n v="130"/>
    <m/>
    <m/>
    <m/>
    <m/>
    <m/>
    <m/>
    <n v="1978"/>
    <n v="130"/>
    <m/>
    <m/>
    <m/>
    <m/>
  </r>
  <r>
    <x v="139"/>
    <x v="4"/>
    <x v="2"/>
    <m/>
    <x v="2"/>
    <s v="Track"/>
    <m/>
    <n v="2157"/>
    <n v="137"/>
    <m/>
    <m/>
    <m/>
    <m/>
    <m/>
    <m/>
    <n v="2157"/>
    <n v="137"/>
    <m/>
    <m/>
    <m/>
    <m/>
  </r>
  <r>
    <x v="139"/>
    <x v="4"/>
    <x v="2"/>
    <m/>
    <x v="4"/>
    <s v="Track"/>
    <m/>
    <n v="2171"/>
    <n v="108"/>
    <m/>
    <m/>
    <m/>
    <m/>
    <m/>
    <m/>
    <n v="2171"/>
    <n v="108"/>
    <m/>
    <m/>
    <m/>
    <m/>
  </r>
  <r>
    <x v="139"/>
    <x v="4"/>
    <x v="2"/>
    <m/>
    <x v="5"/>
    <s v="Track"/>
    <m/>
    <n v="2276"/>
    <n v="141"/>
    <m/>
    <m/>
    <m/>
    <m/>
    <m/>
    <m/>
    <n v="2276"/>
    <n v="141"/>
    <m/>
    <m/>
    <m/>
    <m/>
  </r>
  <r>
    <x v="140"/>
    <x v="4"/>
    <x v="9"/>
    <m/>
    <x v="0"/>
    <s v="Track"/>
    <m/>
    <n v="1158"/>
    <n v="129"/>
    <m/>
    <m/>
    <m/>
    <m/>
    <m/>
    <m/>
    <n v="1158"/>
    <n v="129"/>
    <m/>
    <m/>
    <m/>
    <m/>
  </r>
  <r>
    <x v="140"/>
    <x v="4"/>
    <x v="9"/>
    <m/>
    <x v="1"/>
    <s v="Track"/>
    <m/>
    <n v="1788"/>
    <n v="127"/>
    <m/>
    <m/>
    <m/>
    <m/>
    <m/>
    <m/>
    <n v="1788"/>
    <n v="127"/>
    <m/>
    <m/>
    <m/>
    <m/>
  </r>
  <r>
    <x v="140"/>
    <x v="4"/>
    <x v="9"/>
    <m/>
    <x v="3"/>
    <s v="Track"/>
    <m/>
    <n v="1789"/>
    <n v="130"/>
    <m/>
    <m/>
    <m/>
    <m/>
    <m/>
    <m/>
    <n v="1789"/>
    <n v="130"/>
    <m/>
    <m/>
    <m/>
    <m/>
  </r>
  <r>
    <x v="140"/>
    <x v="4"/>
    <x v="9"/>
    <m/>
    <x v="2"/>
    <s v="Track"/>
    <m/>
    <n v="1886"/>
    <n v="129"/>
    <m/>
    <m/>
    <m/>
    <m/>
    <m/>
    <m/>
    <n v="1886"/>
    <n v="129"/>
    <m/>
    <m/>
    <m/>
    <m/>
  </r>
  <r>
    <x v="140"/>
    <x v="4"/>
    <x v="9"/>
    <m/>
    <x v="5"/>
    <s v="Track"/>
    <m/>
    <n v="2062"/>
    <n v="131"/>
    <m/>
    <m/>
    <m/>
    <m/>
    <m/>
    <m/>
    <n v="2062"/>
    <n v="131"/>
    <m/>
    <m/>
    <m/>
    <m/>
  </r>
  <r>
    <x v="140"/>
    <x v="4"/>
    <x v="9"/>
    <m/>
    <x v="4"/>
    <s v="Track"/>
    <m/>
    <n v="2164"/>
    <n v="113"/>
    <m/>
    <m/>
    <m/>
    <m/>
    <m/>
    <m/>
    <n v="2164"/>
    <n v="113"/>
    <m/>
    <m/>
    <m/>
    <m/>
  </r>
  <r>
    <x v="141"/>
    <x v="4"/>
    <x v="4"/>
    <m/>
    <x v="8"/>
    <s v="Track"/>
    <m/>
    <n v="1745"/>
    <n v="127"/>
    <m/>
    <m/>
    <m/>
    <m/>
    <m/>
    <m/>
    <n v="1745"/>
    <n v="127"/>
    <m/>
    <m/>
    <m/>
    <m/>
  </r>
  <r>
    <x v="141"/>
    <x v="4"/>
    <x v="4"/>
    <m/>
    <x v="1"/>
    <s v="Track"/>
    <m/>
    <n v="1788"/>
    <n v="128"/>
    <m/>
    <m/>
    <m/>
    <m/>
    <m/>
    <m/>
    <n v="1788"/>
    <n v="128"/>
    <m/>
    <m/>
    <m/>
    <m/>
  </r>
  <r>
    <x v="141"/>
    <x v="4"/>
    <x v="4"/>
    <m/>
    <x v="3"/>
    <s v="Track"/>
    <m/>
    <n v="1823"/>
    <n v="128"/>
    <m/>
    <m/>
    <m/>
    <m/>
    <m/>
    <m/>
    <n v="1823"/>
    <n v="128"/>
    <m/>
    <m/>
    <m/>
    <m/>
  </r>
  <r>
    <x v="141"/>
    <x v="4"/>
    <x v="4"/>
    <m/>
    <x v="2"/>
    <s v="Track"/>
    <m/>
    <n v="1889"/>
    <n v="131"/>
    <m/>
    <m/>
    <m/>
    <m/>
    <m/>
    <m/>
    <n v="1889"/>
    <n v="131"/>
    <m/>
    <m/>
    <m/>
    <m/>
  </r>
  <r>
    <x v="141"/>
    <x v="4"/>
    <x v="4"/>
    <m/>
    <x v="5"/>
    <s v="Track"/>
    <m/>
    <n v="2097"/>
    <n v="132"/>
    <m/>
    <m/>
    <m/>
    <m/>
    <m/>
    <m/>
    <n v="2097"/>
    <n v="132"/>
    <m/>
    <m/>
    <m/>
    <m/>
  </r>
  <r>
    <x v="142"/>
    <x v="4"/>
    <x v="4"/>
    <m/>
    <x v="9"/>
    <s v="Track"/>
    <m/>
    <n v="1630"/>
    <n v="142"/>
    <m/>
    <m/>
    <m/>
    <m/>
    <m/>
    <m/>
    <n v="1630"/>
    <n v="142"/>
    <m/>
    <m/>
    <m/>
    <m/>
  </r>
  <r>
    <x v="142"/>
    <x v="4"/>
    <x v="4"/>
    <m/>
    <x v="8"/>
    <s v="Track"/>
    <m/>
    <n v="1890"/>
    <n v="136"/>
    <m/>
    <m/>
    <m/>
    <m/>
    <m/>
    <m/>
    <n v="1890"/>
    <n v="136"/>
    <m/>
    <m/>
    <m/>
    <m/>
  </r>
  <r>
    <x v="143"/>
    <x v="4"/>
    <x v="4"/>
    <m/>
    <x v="0"/>
    <s v="Track"/>
    <m/>
    <n v="1157"/>
    <n v="124"/>
    <m/>
    <m/>
    <m/>
    <m/>
    <m/>
    <m/>
    <n v="1157"/>
    <n v="124"/>
    <m/>
    <m/>
    <m/>
    <m/>
  </r>
  <r>
    <x v="143"/>
    <x v="4"/>
    <x v="4"/>
    <m/>
    <x v="1"/>
    <s v="Track"/>
    <m/>
    <n v="1844"/>
    <n v="131"/>
    <m/>
    <m/>
    <m/>
    <m/>
    <m/>
    <m/>
    <n v="1844"/>
    <n v="131"/>
    <m/>
    <m/>
    <m/>
    <m/>
  </r>
  <r>
    <x v="143"/>
    <x v="4"/>
    <x v="4"/>
    <m/>
    <x v="3"/>
    <s v="Track"/>
    <m/>
    <n v="1851"/>
    <n v="132"/>
    <m/>
    <m/>
    <m/>
    <m/>
    <m/>
    <m/>
    <n v="1851"/>
    <n v="132"/>
    <m/>
    <m/>
    <m/>
    <m/>
  </r>
  <r>
    <x v="143"/>
    <x v="4"/>
    <x v="4"/>
    <m/>
    <x v="2"/>
    <s v="Track"/>
    <m/>
    <n v="1906"/>
    <n v="135"/>
    <m/>
    <m/>
    <m/>
    <m/>
    <m/>
    <m/>
    <n v="1906"/>
    <n v="135"/>
    <m/>
    <m/>
    <m/>
    <m/>
  </r>
  <r>
    <x v="144"/>
    <x v="4"/>
    <x v="4"/>
    <m/>
    <x v="5"/>
    <s v="Track"/>
    <m/>
    <n v="2232"/>
    <n v="143"/>
    <m/>
    <m/>
    <m/>
    <m/>
    <m/>
    <m/>
    <n v="2232"/>
    <n v="143"/>
    <m/>
    <m/>
    <m/>
    <m/>
  </r>
  <r>
    <x v="145"/>
    <x v="4"/>
    <x v="4"/>
    <m/>
    <x v="0"/>
    <s v="Track"/>
    <m/>
    <n v="1200"/>
    <n v="123"/>
    <m/>
    <m/>
    <m/>
    <m/>
    <m/>
    <m/>
    <n v="1200"/>
    <n v="123"/>
    <m/>
    <m/>
    <m/>
    <m/>
  </r>
  <r>
    <x v="145"/>
    <x v="4"/>
    <x v="4"/>
    <m/>
    <x v="8"/>
    <s v="Track"/>
    <m/>
    <n v="1845"/>
    <n v="128"/>
    <m/>
    <m/>
    <m/>
    <m/>
    <m/>
    <m/>
    <n v="1845"/>
    <n v="128"/>
    <m/>
    <m/>
    <m/>
    <m/>
  </r>
  <r>
    <x v="145"/>
    <x v="4"/>
    <x v="4"/>
    <m/>
    <x v="1"/>
    <s v="Track"/>
    <m/>
    <n v="1854"/>
    <n v="135"/>
    <m/>
    <m/>
    <m/>
    <m/>
    <m/>
    <m/>
    <n v="1854"/>
    <n v="135"/>
    <m/>
    <m/>
    <m/>
    <m/>
  </r>
  <r>
    <x v="145"/>
    <x v="4"/>
    <x v="4"/>
    <m/>
    <x v="3"/>
    <s v="Track"/>
    <m/>
    <n v="1869"/>
    <n v="134"/>
    <m/>
    <m/>
    <m/>
    <m/>
    <m/>
    <m/>
    <n v="1869"/>
    <n v="134"/>
    <m/>
    <m/>
    <m/>
    <m/>
  </r>
  <r>
    <x v="145"/>
    <x v="4"/>
    <x v="4"/>
    <m/>
    <x v="2"/>
    <s v="Track"/>
    <m/>
    <n v="1934"/>
    <n v="129"/>
    <m/>
    <m/>
    <m/>
    <m/>
    <m/>
    <m/>
    <n v="1934"/>
    <n v="129"/>
    <m/>
    <m/>
    <m/>
    <m/>
  </r>
  <r>
    <x v="145"/>
    <x v="4"/>
    <x v="4"/>
    <m/>
    <x v="4"/>
    <s v="Track"/>
    <m/>
    <n v="1992"/>
    <n v="110"/>
    <m/>
    <m/>
    <m/>
    <m/>
    <m/>
    <m/>
    <n v="1992"/>
    <n v="110"/>
    <m/>
    <m/>
    <m/>
    <m/>
  </r>
  <r>
    <x v="145"/>
    <x v="4"/>
    <x v="4"/>
    <m/>
    <x v="5"/>
    <s v="Track"/>
    <m/>
    <n v="2028"/>
    <n v="135"/>
    <m/>
    <m/>
    <m/>
    <m/>
    <m/>
    <m/>
    <n v="2028"/>
    <n v="135"/>
    <m/>
    <m/>
    <m/>
    <m/>
  </r>
  <r>
    <x v="146"/>
    <x v="4"/>
    <x v="4"/>
    <m/>
    <x v="0"/>
    <s v="Track"/>
    <m/>
    <n v="1162"/>
    <n v="129"/>
    <m/>
    <m/>
    <m/>
    <m/>
    <m/>
    <m/>
    <n v="1162"/>
    <n v="129"/>
    <m/>
    <m/>
    <m/>
    <m/>
  </r>
  <r>
    <x v="146"/>
    <x v="4"/>
    <x v="4"/>
    <m/>
    <x v="3"/>
    <s v="Track"/>
    <m/>
    <n v="1775"/>
    <n v="131"/>
    <m/>
    <m/>
    <m/>
    <m/>
    <m/>
    <m/>
    <n v="1775"/>
    <n v="131"/>
    <m/>
    <m/>
    <m/>
    <m/>
  </r>
  <r>
    <x v="146"/>
    <x v="4"/>
    <x v="4"/>
    <m/>
    <x v="1"/>
    <s v="Track"/>
    <m/>
    <n v="1835"/>
    <n v="140"/>
    <m/>
    <m/>
    <m/>
    <m/>
    <m/>
    <m/>
    <n v="1835"/>
    <n v="140"/>
    <m/>
    <m/>
    <m/>
    <m/>
  </r>
  <r>
    <x v="146"/>
    <x v="4"/>
    <x v="4"/>
    <m/>
    <x v="8"/>
    <s v="Track"/>
    <m/>
    <n v="1867"/>
    <n v="132"/>
    <m/>
    <m/>
    <m/>
    <m/>
    <m/>
    <m/>
    <n v="1867"/>
    <n v="132"/>
    <m/>
    <m/>
    <m/>
    <m/>
  </r>
  <r>
    <x v="146"/>
    <x v="4"/>
    <x v="4"/>
    <m/>
    <x v="2"/>
    <s v="Track"/>
    <m/>
    <n v="1970"/>
    <n v="132"/>
    <m/>
    <m/>
    <m/>
    <m/>
    <m/>
    <m/>
    <n v="1970"/>
    <n v="132"/>
    <m/>
    <m/>
    <m/>
    <m/>
  </r>
  <r>
    <x v="146"/>
    <x v="4"/>
    <x v="4"/>
    <m/>
    <x v="4"/>
    <s v="Track"/>
    <m/>
    <n v="1980"/>
    <n v="106"/>
    <m/>
    <m/>
    <m/>
    <m/>
    <m/>
    <m/>
    <n v="1980"/>
    <n v="106"/>
    <m/>
    <m/>
    <m/>
    <m/>
  </r>
  <r>
    <x v="146"/>
    <x v="4"/>
    <x v="4"/>
    <m/>
    <x v="5"/>
    <s v="Track"/>
    <m/>
    <n v="2197"/>
    <n v="139"/>
    <m/>
    <m/>
    <m/>
    <m/>
    <m/>
    <m/>
    <n v="2197"/>
    <n v="139"/>
    <m/>
    <m/>
    <m/>
    <m/>
  </r>
  <r>
    <x v="147"/>
    <x v="4"/>
    <x v="11"/>
    <m/>
    <x v="0"/>
    <s v="Track"/>
    <m/>
    <n v="1283"/>
    <n v="133"/>
    <m/>
    <m/>
    <m/>
    <m/>
    <m/>
    <m/>
    <n v="1283"/>
    <n v="133"/>
    <m/>
    <m/>
    <m/>
    <m/>
  </r>
  <r>
    <x v="147"/>
    <x v="4"/>
    <x v="11"/>
    <m/>
    <x v="3"/>
    <s v="Track"/>
    <m/>
    <n v="1777"/>
    <n v="133"/>
    <m/>
    <m/>
    <m/>
    <m/>
    <m/>
    <m/>
    <n v="1777"/>
    <n v="133"/>
    <m/>
    <m/>
    <m/>
    <m/>
  </r>
  <r>
    <x v="147"/>
    <x v="4"/>
    <x v="11"/>
    <m/>
    <x v="1"/>
    <s v="Track"/>
    <m/>
    <n v="1821"/>
    <n v="135"/>
    <m/>
    <m/>
    <m/>
    <m/>
    <m/>
    <m/>
    <n v="1821"/>
    <n v="135"/>
    <m/>
    <m/>
    <m/>
    <m/>
  </r>
  <r>
    <x v="147"/>
    <x v="4"/>
    <x v="11"/>
    <m/>
    <x v="8"/>
    <s v="Track"/>
    <m/>
    <n v="1938"/>
    <n v="132"/>
    <n v="1856"/>
    <n v="135"/>
    <n v="1985"/>
    <n v="137"/>
    <n v="1953"/>
    <n v="137"/>
    <n v="1933"/>
    <n v="135.25"/>
    <m/>
    <m/>
    <m/>
    <m/>
  </r>
  <r>
    <x v="147"/>
    <x v="4"/>
    <x v="11"/>
    <m/>
    <x v="2"/>
    <s v="Track"/>
    <m/>
    <n v="1948"/>
    <n v="136"/>
    <m/>
    <m/>
    <m/>
    <m/>
    <m/>
    <m/>
    <n v="1948"/>
    <n v="136"/>
    <m/>
    <m/>
    <m/>
    <m/>
  </r>
  <r>
    <x v="147"/>
    <x v="4"/>
    <x v="11"/>
    <m/>
    <x v="4"/>
    <s v="Track"/>
    <m/>
    <n v="2027"/>
    <n v="120"/>
    <m/>
    <m/>
    <m/>
    <m/>
    <m/>
    <m/>
    <n v="2027"/>
    <n v="120"/>
    <m/>
    <m/>
    <m/>
    <m/>
  </r>
  <r>
    <x v="147"/>
    <x v="4"/>
    <x v="11"/>
    <m/>
    <x v="5"/>
    <s v="Track"/>
    <m/>
    <n v="2049"/>
    <n v="135"/>
    <m/>
    <m/>
    <m/>
    <m/>
    <m/>
    <m/>
    <n v="2049"/>
    <n v="135"/>
    <m/>
    <m/>
    <m/>
    <m/>
  </r>
  <r>
    <x v="148"/>
    <x v="4"/>
    <x v="1"/>
    <m/>
    <x v="10"/>
    <s v="Track"/>
    <m/>
    <n v="1133"/>
    <n v="130"/>
    <n v="1120"/>
    <n v="128"/>
    <m/>
    <m/>
    <m/>
    <m/>
    <n v="1126.5"/>
    <n v="129"/>
    <m/>
    <m/>
    <m/>
    <m/>
  </r>
  <r>
    <x v="148"/>
    <x v="4"/>
    <x v="1"/>
    <m/>
    <x v="0"/>
    <s v="Track"/>
    <m/>
    <n v="1282"/>
    <n v="133"/>
    <n v="1216"/>
    <n v="127"/>
    <m/>
    <m/>
    <m/>
    <m/>
    <n v="1249"/>
    <n v="130"/>
    <m/>
    <m/>
    <m/>
    <m/>
  </r>
  <r>
    <x v="148"/>
    <x v="4"/>
    <x v="1"/>
    <m/>
    <x v="3"/>
    <s v="Track"/>
    <m/>
    <n v="1794"/>
    <n v="134"/>
    <n v="1783"/>
    <n v="129"/>
    <m/>
    <m/>
    <m/>
    <m/>
    <n v="1788.5"/>
    <n v="131.5"/>
    <m/>
    <m/>
    <m/>
    <m/>
  </r>
  <r>
    <x v="148"/>
    <x v="4"/>
    <x v="1"/>
    <m/>
    <x v="1"/>
    <s v="Track"/>
    <m/>
    <n v="1906"/>
    <n v="133"/>
    <n v="1833"/>
    <n v="135"/>
    <m/>
    <m/>
    <m/>
    <m/>
    <n v="1869.5"/>
    <n v="134"/>
    <m/>
    <m/>
    <m/>
    <m/>
  </r>
  <r>
    <x v="148"/>
    <x v="4"/>
    <x v="1"/>
    <m/>
    <x v="8"/>
    <s v="Track"/>
    <m/>
    <n v="1944"/>
    <n v="133"/>
    <n v="1833"/>
    <n v="131"/>
    <m/>
    <m/>
    <m/>
    <m/>
    <n v="1888.5"/>
    <n v="132"/>
    <m/>
    <m/>
    <m/>
    <m/>
  </r>
  <r>
    <x v="148"/>
    <x v="4"/>
    <x v="1"/>
    <m/>
    <x v="2"/>
    <s v="Track"/>
    <m/>
    <n v="1971"/>
    <n v="136"/>
    <n v="1984"/>
    <n v="132"/>
    <m/>
    <m/>
    <m/>
    <m/>
    <n v="1977.5"/>
    <n v="134"/>
    <m/>
    <m/>
    <m/>
    <m/>
  </r>
  <r>
    <x v="148"/>
    <x v="4"/>
    <x v="1"/>
    <m/>
    <x v="5"/>
    <s v="Track"/>
    <m/>
    <n v="2044"/>
    <n v="131"/>
    <n v="2065"/>
    <n v="133"/>
    <m/>
    <m/>
    <m/>
    <m/>
    <n v="2054.5"/>
    <n v="132"/>
    <m/>
    <m/>
    <m/>
    <m/>
  </r>
  <r>
    <x v="148"/>
    <x v="4"/>
    <x v="1"/>
    <m/>
    <x v="4"/>
    <s v="Track"/>
    <m/>
    <n v="2134"/>
    <n v="112"/>
    <n v="2058"/>
    <n v="113"/>
    <m/>
    <m/>
    <m/>
    <m/>
    <n v="2096"/>
    <n v="112.5"/>
    <m/>
    <m/>
    <m/>
    <m/>
  </r>
  <r>
    <x v="149"/>
    <x v="5"/>
    <x v="8"/>
    <s v="1:30pm"/>
    <x v="5"/>
    <s v="Track"/>
    <m/>
    <n v="2098"/>
    <n v="142"/>
    <n v="2096"/>
    <n v="139"/>
    <m/>
    <m/>
    <m/>
    <m/>
    <n v="2097"/>
    <n v="140.5"/>
    <m/>
    <m/>
    <m/>
    <m/>
  </r>
  <r>
    <x v="150"/>
    <x v="5"/>
    <x v="8"/>
    <s v="1:30pm"/>
    <x v="0"/>
    <s v="Track"/>
    <m/>
    <n v="1256"/>
    <n v="132"/>
    <n v="1205"/>
    <n v="128"/>
    <m/>
    <m/>
    <m/>
    <m/>
    <n v="1230.5"/>
    <n v="130"/>
    <m/>
    <m/>
    <m/>
    <m/>
  </r>
  <r>
    <x v="150"/>
    <x v="5"/>
    <x v="8"/>
    <s v="1:30pm"/>
    <x v="8"/>
    <s v="Track"/>
    <m/>
    <n v="1972"/>
    <n v="135"/>
    <n v="1899"/>
    <n v="139"/>
    <m/>
    <m/>
    <m/>
    <m/>
    <n v="1935.5"/>
    <n v="137"/>
    <m/>
    <m/>
    <m/>
    <m/>
  </r>
  <r>
    <x v="151"/>
    <x v="5"/>
    <x v="8"/>
    <s v="1:30pm"/>
    <x v="3"/>
    <s v="Track"/>
    <m/>
    <n v="1778"/>
    <n v="131"/>
    <m/>
    <m/>
    <m/>
    <m/>
    <m/>
    <m/>
    <n v="1778"/>
    <n v="131"/>
    <m/>
    <m/>
    <m/>
    <m/>
  </r>
  <r>
    <x v="151"/>
    <x v="5"/>
    <x v="8"/>
    <s v="1:30pm"/>
    <x v="1"/>
    <s v="Track"/>
    <m/>
    <n v="1872"/>
    <n v="134"/>
    <m/>
    <m/>
    <m/>
    <m/>
    <m/>
    <m/>
    <n v="1872"/>
    <n v="134"/>
    <m/>
    <m/>
    <m/>
    <m/>
  </r>
  <r>
    <x v="151"/>
    <x v="5"/>
    <x v="8"/>
    <s v="1:30pm"/>
    <x v="2"/>
    <s v="Track"/>
    <m/>
    <n v="1917"/>
    <n v="138"/>
    <m/>
    <m/>
    <m/>
    <m/>
    <m/>
    <m/>
    <n v="1917"/>
    <n v="138"/>
    <m/>
    <m/>
    <m/>
    <m/>
  </r>
  <r>
    <x v="151"/>
    <x v="5"/>
    <x v="8"/>
    <s v="1:30pm"/>
    <x v="4"/>
    <s v="Track"/>
    <m/>
    <n v="2089"/>
    <n v="115"/>
    <m/>
    <m/>
    <m/>
    <m/>
    <m/>
    <m/>
    <n v="2089"/>
    <n v="115"/>
    <m/>
    <m/>
    <m/>
    <m/>
  </r>
  <r>
    <x v="152"/>
    <x v="5"/>
    <x v="9"/>
    <s v="1:30pm"/>
    <x v="10"/>
    <s v="Track"/>
    <m/>
    <n v="1166"/>
    <n v="127"/>
    <n v="1201"/>
    <n v="128"/>
    <m/>
    <m/>
    <m/>
    <m/>
    <n v="1183.5"/>
    <n v="127.5"/>
    <m/>
    <m/>
    <m/>
    <m/>
  </r>
  <r>
    <x v="152"/>
    <x v="5"/>
    <x v="9"/>
    <s v="1:30pm"/>
    <x v="0"/>
    <s v="Track"/>
    <m/>
    <n v="1204"/>
    <n v="133"/>
    <n v="1173"/>
    <n v="130"/>
    <m/>
    <m/>
    <m/>
    <m/>
    <n v="1188.5"/>
    <n v="131.5"/>
    <m/>
    <m/>
    <m/>
    <m/>
  </r>
  <r>
    <x v="152"/>
    <x v="5"/>
    <x v="9"/>
    <s v="1:30pm"/>
    <x v="9"/>
    <s v="Track"/>
    <m/>
    <n v="1522"/>
    <n v="135"/>
    <n v="1527"/>
    <n v="132"/>
    <m/>
    <m/>
    <m/>
    <m/>
    <n v="1524.5"/>
    <n v="133.5"/>
    <m/>
    <m/>
    <m/>
    <m/>
  </r>
  <r>
    <x v="152"/>
    <x v="5"/>
    <x v="9"/>
    <s v="9.00am"/>
    <x v="1"/>
    <s v="Track"/>
    <m/>
    <n v="1710"/>
    <n v="133"/>
    <n v="1676"/>
    <n v="130"/>
    <m/>
    <m/>
    <m/>
    <m/>
    <n v="1693"/>
    <n v="131.5"/>
    <m/>
    <m/>
    <m/>
    <m/>
  </r>
  <r>
    <x v="152"/>
    <x v="5"/>
    <x v="9"/>
    <s v="9.00am"/>
    <x v="8"/>
    <s v="Track"/>
    <m/>
    <n v="1744"/>
    <n v="133"/>
    <n v="1779"/>
    <n v="133"/>
    <m/>
    <m/>
    <m/>
    <m/>
    <n v="1761.5"/>
    <n v="133"/>
    <m/>
    <m/>
    <m/>
    <m/>
  </r>
  <r>
    <x v="152"/>
    <x v="5"/>
    <x v="9"/>
    <s v="1:30pm"/>
    <x v="3"/>
    <s v="Track"/>
    <m/>
    <n v="1822"/>
    <n v="136"/>
    <n v="1760"/>
    <n v="128"/>
    <m/>
    <m/>
    <m/>
    <m/>
    <n v="1791"/>
    <n v="132"/>
    <m/>
    <m/>
    <m/>
    <m/>
  </r>
  <r>
    <x v="152"/>
    <x v="5"/>
    <x v="9"/>
    <s v="1:30pm"/>
    <x v="1"/>
    <s v="Track"/>
    <m/>
    <n v="1849"/>
    <n v="140"/>
    <n v="1740"/>
    <n v="135"/>
    <m/>
    <m/>
    <m/>
    <m/>
    <n v="1794.5"/>
    <n v="137.5"/>
    <m/>
    <m/>
    <m/>
    <m/>
  </r>
  <r>
    <x v="152"/>
    <x v="5"/>
    <x v="9"/>
    <s v="1:30pm"/>
    <x v="8"/>
    <s v="Track"/>
    <m/>
    <n v="1858"/>
    <n v="134"/>
    <n v="1884"/>
    <n v="127"/>
    <m/>
    <m/>
    <m/>
    <m/>
    <n v="1871"/>
    <n v="130.5"/>
    <m/>
    <m/>
    <m/>
    <m/>
  </r>
  <r>
    <x v="152"/>
    <x v="5"/>
    <x v="9"/>
    <s v="1:30pm"/>
    <x v="2"/>
    <s v="Track"/>
    <m/>
    <n v="1973"/>
    <n v="139"/>
    <n v="1923"/>
    <n v="133"/>
    <m/>
    <m/>
    <m/>
    <m/>
    <n v="1948"/>
    <n v="136"/>
    <m/>
    <m/>
    <m/>
    <m/>
  </r>
  <r>
    <x v="152"/>
    <x v="5"/>
    <x v="9"/>
    <s v="1:30pm"/>
    <x v="4"/>
    <s v="Track"/>
    <m/>
    <n v="2010"/>
    <n v="123"/>
    <n v="1906"/>
    <n v="112"/>
    <m/>
    <m/>
    <m/>
    <m/>
    <n v="1958"/>
    <n v="117.5"/>
    <m/>
    <m/>
    <m/>
    <m/>
  </r>
  <r>
    <x v="152"/>
    <x v="5"/>
    <x v="9"/>
    <s v="1:30pm"/>
    <x v="5"/>
    <s v="Track"/>
    <m/>
    <n v="2091"/>
    <n v="132"/>
    <n v="2016"/>
    <n v="131"/>
    <m/>
    <m/>
    <m/>
    <m/>
    <n v="2053.5"/>
    <n v="131.5"/>
    <m/>
    <m/>
    <m/>
    <m/>
  </r>
  <r>
    <x v="153"/>
    <x v="5"/>
    <x v="9"/>
    <s v="12pm"/>
    <x v="11"/>
    <s v="Track"/>
    <m/>
    <n v="1051"/>
    <n v="121"/>
    <n v="1068"/>
    <n v="123"/>
    <m/>
    <m/>
    <m/>
    <m/>
    <n v="1059.5"/>
    <n v="122"/>
    <m/>
    <m/>
    <m/>
    <m/>
  </r>
  <r>
    <x v="153"/>
    <x v="5"/>
    <x v="9"/>
    <s v="12pm"/>
    <x v="12"/>
    <s v="Track"/>
    <m/>
    <n v="1580"/>
    <n v="136"/>
    <n v="1595"/>
    <n v="137"/>
    <m/>
    <m/>
    <m/>
    <m/>
    <n v="1587.5"/>
    <n v="136.5"/>
    <m/>
    <m/>
    <m/>
    <m/>
  </r>
  <r>
    <x v="153"/>
    <x v="5"/>
    <x v="9"/>
    <s v="9am"/>
    <x v="5"/>
    <s v="Track"/>
    <m/>
    <n v="2055"/>
    <n v="140"/>
    <n v="2028"/>
    <n v="134"/>
    <m/>
    <m/>
    <m/>
    <m/>
    <n v="2041.5"/>
    <n v="137"/>
    <m/>
    <m/>
    <m/>
    <m/>
  </r>
  <r>
    <x v="154"/>
    <x v="5"/>
    <x v="9"/>
    <s v="9am"/>
    <x v="1"/>
    <s v="Track"/>
    <m/>
    <n v="1667"/>
    <n v="131"/>
    <n v="1650"/>
    <n v="128"/>
    <m/>
    <m/>
    <m/>
    <m/>
    <n v="1658.5"/>
    <n v="129.5"/>
    <m/>
    <m/>
    <m/>
    <m/>
  </r>
  <r>
    <x v="154"/>
    <x v="5"/>
    <x v="9"/>
    <s v="9am"/>
    <x v="8"/>
    <s v="Track"/>
    <m/>
    <n v="1737"/>
    <n v="128"/>
    <n v="1747"/>
    <n v="130"/>
    <m/>
    <m/>
    <m/>
    <m/>
    <n v="1742"/>
    <n v="129"/>
    <m/>
    <m/>
    <m/>
    <m/>
  </r>
  <r>
    <x v="155"/>
    <x v="5"/>
    <x v="4"/>
    <s v="1.30pm"/>
    <x v="0"/>
    <s v="Track"/>
    <m/>
    <m/>
    <m/>
    <n v="1266"/>
    <n v="126"/>
    <m/>
    <m/>
    <m/>
    <m/>
    <n v="1266"/>
    <n v="126"/>
    <m/>
    <m/>
    <m/>
    <m/>
  </r>
  <r>
    <x v="155"/>
    <x v="5"/>
    <x v="4"/>
    <s v="1.30pm"/>
    <x v="10"/>
    <s v="Track"/>
    <m/>
    <n v="1216"/>
    <n v="130"/>
    <n v="1212"/>
    <n v="130"/>
    <m/>
    <m/>
    <m/>
    <m/>
    <n v="1214"/>
    <n v="130"/>
    <m/>
    <m/>
    <m/>
    <m/>
  </r>
  <r>
    <x v="155"/>
    <x v="5"/>
    <x v="4"/>
    <s v="1.30pm"/>
    <x v="9"/>
    <s v="Track"/>
    <m/>
    <n v="1643"/>
    <n v="135"/>
    <n v="1569"/>
    <n v="137"/>
    <m/>
    <m/>
    <m/>
    <m/>
    <n v="1606"/>
    <n v="136"/>
    <m/>
    <m/>
    <m/>
    <m/>
  </r>
  <r>
    <x v="155"/>
    <x v="5"/>
    <x v="4"/>
    <s v="9am"/>
    <x v="1"/>
    <s v="Track"/>
    <m/>
    <n v="1725"/>
    <n v="132"/>
    <n v="1653"/>
    <n v="130"/>
    <m/>
    <m/>
    <m/>
    <m/>
    <n v="1689"/>
    <n v="131"/>
    <m/>
    <m/>
    <m/>
    <m/>
  </r>
  <r>
    <x v="155"/>
    <x v="5"/>
    <x v="4"/>
    <s v="9am"/>
    <x v="8"/>
    <s v="Track"/>
    <m/>
    <n v="1790"/>
    <n v="128"/>
    <n v="1741"/>
    <n v="129"/>
    <m/>
    <m/>
    <m/>
    <m/>
    <n v="1765.5"/>
    <n v="128.5"/>
    <m/>
    <m/>
    <m/>
    <m/>
  </r>
  <r>
    <x v="155"/>
    <x v="5"/>
    <x v="4"/>
    <s v="1.30pm"/>
    <x v="3"/>
    <s v="Track"/>
    <m/>
    <n v="1781"/>
    <n v="130"/>
    <n v="1790"/>
    <n v="132"/>
    <m/>
    <m/>
    <m/>
    <m/>
    <n v="1785.5"/>
    <n v="131"/>
    <m/>
    <m/>
    <m/>
    <m/>
  </r>
  <r>
    <x v="155"/>
    <x v="5"/>
    <x v="4"/>
    <s v="1.30pm"/>
    <x v="4"/>
    <s v="Track"/>
    <m/>
    <n v="2136"/>
    <n v="106"/>
    <n v="2055"/>
    <n v="108"/>
    <m/>
    <m/>
    <m/>
    <m/>
    <n v="2095.5"/>
    <n v="107"/>
    <m/>
    <m/>
    <m/>
    <m/>
  </r>
  <r>
    <x v="156"/>
    <x v="5"/>
    <x v="4"/>
    <s v="9am"/>
    <x v="1"/>
    <s v="Track"/>
    <m/>
    <n v="1752"/>
    <n v="129"/>
    <n v="1710"/>
    <n v="133"/>
    <n v="1693"/>
    <n v="136"/>
    <m/>
    <m/>
    <n v="1718.3333333333333"/>
    <n v="132.66666666666666"/>
    <m/>
    <m/>
    <m/>
    <m/>
  </r>
  <r>
    <x v="156"/>
    <x v="5"/>
    <x v="4"/>
    <s v="9am"/>
    <x v="8"/>
    <s v="Track"/>
    <m/>
    <n v="1822"/>
    <n v="130"/>
    <n v="1805"/>
    <n v="131"/>
    <n v="1794"/>
    <n v="132"/>
    <m/>
    <m/>
    <n v="1807"/>
    <n v="131"/>
    <m/>
    <m/>
    <m/>
    <m/>
  </r>
  <r>
    <x v="156"/>
    <x v="5"/>
    <x v="4"/>
    <s v="1.30pm"/>
    <x v="5"/>
    <s v="Track"/>
    <m/>
    <n v="2116"/>
    <n v="144"/>
    <m/>
    <m/>
    <m/>
    <m/>
    <m/>
    <m/>
    <n v="2116"/>
    <n v="144"/>
    <m/>
    <m/>
    <m/>
    <m/>
  </r>
  <r>
    <x v="157"/>
    <x v="5"/>
    <x v="4"/>
    <s v="1.30pm"/>
    <x v="0"/>
    <s v="Track"/>
    <m/>
    <n v="1281"/>
    <n v="136"/>
    <n v="1245"/>
    <n v="132"/>
    <m/>
    <m/>
    <m/>
    <m/>
    <n v="1263"/>
    <n v="134"/>
    <m/>
    <m/>
    <m/>
    <m/>
  </r>
  <r>
    <x v="157"/>
    <x v="5"/>
    <x v="4"/>
    <s v="1.30pm"/>
    <x v="10"/>
    <s v="Track"/>
    <m/>
    <n v="1271"/>
    <n v="135"/>
    <n v="1277"/>
    <n v="134"/>
    <m/>
    <m/>
    <m/>
    <m/>
    <n v="1274"/>
    <n v="134.5"/>
    <m/>
    <m/>
    <m/>
    <m/>
  </r>
  <r>
    <x v="157"/>
    <x v="5"/>
    <x v="4"/>
    <s v="1.30pm"/>
    <x v="9"/>
    <s v="Track"/>
    <m/>
    <n v="1682"/>
    <n v="138"/>
    <n v="1644"/>
    <n v="136"/>
    <m/>
    <m/>
    <m/>
    <m/>
    <n v="1663"/>
    <n v="137"/>
    <m/>
    <m/>
    <m/>
    <m/>
  </r>
  <r>
    <x v="157"/>
    <x v="5"/>
    <x v="4"/>
    <s v="1.30pm"/>
    <x v="3"/>
    <s v="Track"/>
    <m/>
    <n v="1739"/>
    <n v="131"/>
    <n v="1722"/>
    <n v="131"/>
    <m/>
    <m/>
    <m/>
    <m/>
    <n v="1730.5"/>
    <n v="131"/>
    <m/>
    <m/>
    <m/>
    <m/>
  </r>
  <r>
    <x v="157"/>
    <x v="5"/>
    <x v="4"/>
    <s v="9am"/>
    <x v="1"/>
    <s v="Track"/>
    <m/>
    <n v="1757"/>
    <n v="133"/>
    <n v="1756"/>
    <n v="132"/>
    <m/>
    <m/>
    <m/>
    <m/>
    <n v="1756.5"/>
    <n v="132.5"/>
    <m/>
    <m/>
    <m/>
    <m/>
  </r>
  <r>
    <x v="157"/>
    <x v="5"/>
    <x v="4"/>
    <s v="9am"/>
    <x v="8"/>
    <s v="Track"/>
    <m/>
    <n v="1825"/>
    <n v="131"/>
    <n v="1790"/>
    <n v="138"/>
    <m/>
    <m/>
    <m/>
    <m/>
    <n v="1807.5"/>
    <n v="134.5"/>
    <m/>
    <m/>
    <m/>
    <m/>
  </r>
  <r>
    <x v="157"/>
    <x v="5"/>
    <x v="4"/>
    <s v="1.30pm"/>
    <x v="4"/>
    <s v="Track"/>
    <m/>
    <n v="1945"/>
    <n v="118"/>
    <n v="1895"/>
    <n v="119"/>
    <m/>
    <m/>
    <m/>
    <m/>
    <n v="1920"/>
    <n v="118.5"/>
    <m/>
    <m/>
    <m/>
    <m/>
  </r>
  <r>
    <x v="157"/>
    <x v="5"/>
    <x v="4"/>
    <s v="1.30pm"/>
    <x v="2"/>
    <s v="Track"/>
    <m/>
    <n v="1967"/>
    <n v="137"/>
    <n v="1990"/>
    <n v="137"/>
    <m/>
    <m/>
    <m/>
    <m/>
    <n v="1978.5"/>
    <n v="137"/>
    <m/>
    <m/>
    <m/>
    <m/>
  </r>
  <r>
    <x v="157"/>
    <x v="5"/>
    <x v="4"/>
    <s v="1.30pm"/>
    <x v="5"/>
    <s v="Track"/>
    <m/>
    <n v="2125"/>
    <n v="130"/>
    <n v="2049"/>
    <n v="129"/>
    <m/>
    <m/>
    <m/>
    <m/>
    <n v="2087"/>
    <n v="129.5"/>
    <m/>
    <m/>
    <m/>
    <m/>
  </r>
  <r>
    <x v="158"/>
    <x v="5"/>
    <x v="4"/>
    <s v="9am"/>
    <x v="5"/>
    <s v="Track"/>
    <m/>
    <n v="2008"/>
    <n v="128"/>
    <n v="2025"/>
    <n v="126"/>
    <m/>
    <m/>
    <m/>
    <m/>
    <n v="2016.5"/>
    <n v="127"/>
    <m/>
    <m/>
    <m/>
    <m/>
  </r>
  <r>
    <x v="159"/>
    <x v="5"/>
    <x v="4"/>
    <s v="9am"/>
    <x v="1"/>
    <s v="Track"/>
    <m/>
    <n v="1761"/>
    <n v="131"/>
    <n v="1699"/>
    <n v="128"/>
    <n v="1720"/>
    <n v="127"/>
    <m/>
    <m/>
    <n v="1726.6666666666667"/>
    <n v="128.66666666666666"/>
    <m/>
    <m/>
    <m/>
    <m/>
  </r>
  <r>
    <x v="159"/>
    <x v="5"/>
    <x v="4"/>
    <s v="9am"/>
    <x v="8"/>
    <s v="Track"/>
    <m/>
    <n v="1819"/>
    <n v="131"/>
    <n v="1770"/>
    <n v="130"/>
    <n v="1788"/>
    <n v="131"/>
    <m/>
    <m/>
    <n v="1792.3333333333333"/>
    <n v="130.66666666666666"/>
    <m/>
    <m/>
    <m/>
    <m/>
  </r>
  <r>
    <x v="160"/>
    <x v="5"/>
    <x v="4"/>
    <s v="1pm"/>
    <x v="10"/>
    <s v="Track"/>
    <m/>
    <n v="1257"/>
    <n v="130"/>
    <n v="1235"/>
    <n v="131"/>
    <m/>
    <m/>
    <m/>
    <m/>
    <n v="1246"/>
    <n v="130.5"/>
    <m/>
    <m/>
    <m/>
    <m/>
  </r>
  <r>
    <x v="160"/>
    <x v="5"/>
    <x v="4"/>
    <s v="1pm"/>
    <x v="0"/>
    <s v="Track"/>
    <m/>
    <n v="1271"/>
    <n v="134"/>
    <n v="1251"/>
    <n v="131"/>
    <m/>
    <m/>
    <m/>
    <m/>
    <n v="1261"/>
    <n v="132.5"/>
    <m/>
    <m/>
    <m/>
    <m/>
  </r>
  <r>
    <x v="160"/>
    <x v="5"/>
    <x v="4"/>
    <s v="1pm"/>
    <x v="9"/>
    <s v="Track"/>
    <m/>
    <n v="1733"/>
    <n v="136"/>
    <n v="1693"/>
    <n v="136"/>
    <m/>
    <m/>
    <m/>
    <m/>
    <n v="1713"/>
    <n v="136"/>
    <m/>
    <m/>
    <m/>
    <m/>
  </r>
  <r>
    <x v="160"/>
    <x v="5"/>
    <x v="4"/>
    <s v="1pm"/>
    <x v="3"/>
    <s v="Track"/>
    <m/>
    <n v="1738"/>
    <n v="128"/>
    <n v="1710"/>
    <n v="134"/>
    <m/>
    <m/>
    <m/>
    <m/>
    <n v="1724"/>
    <n v="131"/>
    <m/>
    <m/>
    <m/>
    <m/>
  </r>
  <r>
    <x v="160"/>
    <x v="5"/>
    <x v="4"/>
    <s v="1pm"/>
    <x v="4"/>
    <s v="Track"/>
    <m/>
    <n v="1802"/>
    <n v="110"/>
    <n v="1793"/>
    <n v="126"/>
    <m/>
    <m/>
    <m/>
    <m/>
    <n v="1797.5"/>
    <n v="118"/>
    <m/>
    <m/>
    <m/>
    <m/>
  </r>
  <r>
    <x v="160"/>
    <x v="5"/>
    <x v="4"/>
    <s v="1pm"/>
    <x v="1"/>
    <s v="Track"/>
    <m/>
    <n v="1928"/>
    <n v="140"/>
    <n v="1693"/>
    <n v="136"/>
    <m/>
    <m/>
    <m/>
    <m/>
    <n v="1810.5"/>
    <n v="138"/>
    <m/>
    <m/>
    <m/>
    <m/>
  </r>
  <r>
    <x v="160"/>
    <x v="5"/>
    <x v="4"/>
    <s v="1pm"/>
    <x v="8"/>
    <s v="Track"/>
    <m/>
    <n v="1863"/>
    <n v="129"/>
    <n v="1903"/>
    <n v="130"/>
    <m/>
    <m/>
    <m/>
    <m/>
    <n v="1883"/>
    <n v="129.5"/>
    <m/>
    <m/>
    <m/>
    <m/>
  </r>
  <r>
    <x v="160"/>
    <x v="5"/>
    <x v="4"/>
    <s v="1pm"/>
    <x v="2"/>
    <s v="Track"/>
    <m/>
    <n v="2012"/>
    <n v="137"/>
    <n v="1973"/>
    <n v="135"/>
    <m/>
    <m/>
    <m/>
    <m/>
    <n v="1992.5"/>
    <n v="136"/>
    <m/>
    <m/>
    <m/>
    <m/>
  </r>
  <r>
    <x v="160"/>
    <x v="5"/>
    <x v="4"/>
    <s v="1pm"/>
    <x v="5"/>
    <s v="Track"/>
    <m/>
    <n v="2047"/>
    <n v="131"/>
    <n v="2094"/>
    <n v="132"/>
    <m/>
    <m/>
    <m/>
    <m/>
    <n v="2070.5"/>
    <n v="131.5"/>
    <m/>
    <m/>
    <m/>
    <m/>
  </r>
  <r>
    <x v="161"/>
    <x v="5"/>
    <x v="4"/>
    <s v="1.30pm"/>
    <x v="0"/>
    <s v="Track"/>
    <m/>
    <n v="1241"/>
    <n v="129"/>
    <n v="1217"/>
    <n v="129"/>
    <m/>
    <m/>
    <m/>
    <m/>
    <n v="1229"/>
    <n v="129"/>
    <m/>
    <m/>
    <m/>
    <m/>
  </r>
  <r>
    <x v="161"/>
    <x v="5"/>
    <x v="4"/>
    <s v="1.30pm"/>
    <x v="10"/>
    <s v="Track"/>
    <m/>
    <n v="1308"/>
    <n v="127"/>
    <n v="1281"/>
    <n v="126"/>
    <m/>
    <m/>
    <m/>
    <m/>
    <n v="1294.5"/>
    <n v="126.5"/>
    <m/>
    <m/>
    <m/>
    <m/>
  </r>
  <r>
    <x v="161"/>
    <x v="5"/>
    <x v="4"/>
    <s v="1.30pm"/>
    <x v="3"/>
    <s v="Track"/>
    <m/>
    <n v="1810"/>
    <n v="131"/>
    <n v="1728"/>
    <n v="130"/>
    <m/>
    <m/>
    <m/>
    <m/>
    <n v="1769"/>
    <n v="130.5"/>
    <m/>
    <m/>
    <m/>
    <m/>
  </r>
  <r>
    <x v="161"/>
    <x v="5"/>
    <x v="4"/>
    <s v="1.30pm"/>
    <x v="2"/>
    <s v="Track"/>
    <m/>
    <n v="1936"/>
    <n v="135"/>
    <n v="1930"/>
    <n v="131"/>
    <m/>
    <m/>
    <m/>
    <m/>
    <n v="1933"/>
    <n v="133"/>
    <m/>
    <m/>
    <m/>
    <m/>
  </r>
  <r>
    <x v="161"/>
    <x v="5"/>
    <x v="4"/>
    <s v="1.30pm"/>
    <x v="8"/>
    <s v="Track"/>
    <m/>
    <n v="1951"/>
    <n v="135"/>
    <n v="1919"/>
    <n v="136"/>
    <m/>
    <m/>
    <m/>
    <m/>
    <n v="1935"/>
    <n v="135.5"/>
    <m/>
    <m/>
    <m/>
    <m/>
  </r>
  <r>
    <x v="161"/>
    <x v="5"/>
    <x v="4"/>
    <s v="1.30pm"/>
    <x v="4"/>
    <s v="Track"/>
    <m/>
    <n v="1969"/>
    <n v="118"/>
    <n v="1977"/>
    <n v="106"/>
    <m/>
    <m/>
    <m/>
    <m/>
    <n v="1973"/>
    <n v="112"/>
    <m/>
    <m/>
    <m/>
    <m/>
  </r>
  <r>
    <x v="162"/>
    <x v="5"/>
    <x v="5"/>
    <s v="1.30pm"/>
    <x v="5"/>
    <s v="Track"/>
    <m/>
    <n v="2143"/>
    <n v="139"/>
    <n v="2082"/>
    <n v="133"/>
    <m/>
    <m/>
    <m/>
    <m/>
    <n v="2112.5"/>
    <n v="136"/>
    <m/>
    <m/>
    <m/>
    <m/>
  </r>
  <r>
    <x v="163"/>
    <x v="5"/>
    <x v="1"/>
    <s v="1.30pm"/>
    <x v="11"/>
    <s v="Track"/>
    <m/>
    <n v="1021"/>
    <n v="121"/>
    <m/>
    <m/>
    <m/>
    <m/>
    <m/>
    <m/>
    <n v="1021"/>
    <n v="121"/>
    <m/>
    <m/>
    <m/>
    <m/>
  </r>
  <r>
    <x v="163"/>
    <x v="5"/>
    <x v="1"/>
    <s v="1.30pm"/>
    <x v="9"/>
    <s v="Track"/>
    <m/>
    <n v="1690"/>
    <n v="131"/>
    <m/>
    <m/>
    <m/>
    <m/>
    <m/>
    <m/>
    <n v="1690"/>
    <n v="131"/>
    <m/>
    <m/>
    <m/>
    <m/>
  </r>
  <r>
    <x v="163"/>
    <x v="5"/>
    <x v="1"/>
    <s v="1.30pm"/>
    <x v="3"/>
    <s v="Track"/>
    <m/>
    <n v="1858"/>
    <n v="130"/>
    <m/>
    <m/>
    <m/>
    <m/>
    <m/>
    <m/>
    <n v="1858"/>
    <n v="130"/>
    <m/>
    <m/>
    <m/>
    <m/>
  </r>
  <r>
    <x v="163"/>
    <x v="5"/>
    <x v="1"/>
    <s v="1.30pm"/>
    <x v="2"/>
    <s v="Track"/>
    <m/>
    <n v="1866"/>
    <n v="129"/>
    <m/>
    <m/>
    <m/>
    <m/>
    <m/>
    <m/>
    <n v="1866"/>
    <n v="129"/>
    <m/>
    <m/>
    <m/>
    <m/>
  </r>
  <r>
    <x v="164"/>
    <x v="5"/>
    <x v="1"/>
    <s v="1.30pm"/>
    <x v="11"/>
    <s v="Track"/>
    <m/>
    <n v="1145"/>
    <n v="123"/>
    <m/>
    <m/>
    <m/>
    <m/>
    <m/>
    <m/>
    <n v="1145"/>
    <n v="123"/>
    <m/>
    <m/>
    <m/>
    <m/>
  </r>
  <r>
    <x v="164"/>
    <x v="5"/>
    <x v="1"/>
    <s v="1.30pm"/>
    <x v="9"/>
    <s v="Track"/>
    <m/>
    <n v="1702"/>
    <n v="130"/>
    <m/>
    <m/>
    <m/>
    <m/>
    <m/>
    <m/>
    <n v="1702"/>
    <n v="130"/>
    <m/>
    <m/>
    <m/>
    <m/>
  </r>
  <r>
    <x v="164"/>
    <x v="5"/>
    <x v="1"/>
    <s v="1.30pm"/>
    <x v="3"/>
    <s v="Track"/>
    <m/>
    <n v="1850"/>
    <n v="137"/>
    <m/>
    <m/>
    <m/>
    <m/>
    <m/>
    <m/>
    <n v="1850"/>
    <n v="137"/>
    <m/>
    <m/>
    <m/>
    <m/>
  </r>
  <r>
    <x v="164"/>
    <x v="5"/>
    <x v="1"/>
    <s v="1.30pm"/>
    <x v="2"/>
    <s v="Track"/>
    <m/>
    <n v="1933"/>
    <n v="132"/>
    <m/>
    <m/>
    <m/>
    <m/>
    <m/>
    <m/>
    <n v="1933"/>
    <n v="132"/>
    <m/>
    <m/>
    <m/>
    <m/>
  </r>
  <r>
    <x v="164"/>
    <x v="5"/>
    <x v="1"/>
    <s v="1.30pm"/>
    <x v="4"/>
    <s v="Track"/>
    <m/>
    <n v="2088"/>
    <n v="114"/>
    <m/>
    <m/>
    <m/>
    <m/>
    <m/>
    <m/>
    <n v="2088"/>
    <n v="114"/>
    <m/>
    <m/>
    <m/>
    <m/>
  </r>
  <r>
    <x v="165"/>
    <x v="5"/>
    <x v="1"/>
    <s v="1.30pm"/>
    <x v="11"/>
    <s v="Track"/>
    <m/>
    <n v="1089"/>
    <n v="124"/>
    <m/>
    <m/>
    <m/>
    <m/>
    <m/>
    <m/>
    <n v="1089"/>
    <n v="124"/>
    <m/>
    <m/>
    <m/>
    <m/>
  </r>
  <r>
    <x v="165"/>
    <x v="5"/>
    <x v="1"/>
    <s v="1.30pm"/>
    <x v="12"/>
    <s v="Track"/>
    <m/>
    <n v="1664"/>
    <n v="144"/>
    <m/>
    <m/>
    <m/>
    <m/>
    <m/>
    <m/>
    <n v="1664"/>
    <n v="144"/>
    <m/>
    <m/>
    <m/>
    <m/>
  </r>
  <r>
    <x v="165"/>
    <x v="5"/>
    <x v="1"/>
    <s v="1.30pm"/>
    <x v="3"/>
    <s v="Track"/>
    <m/>
    <n v="1788"/>
    <n v="133"/>
    <m/>
    <m/>
    <m/>
    <m/>
    <m/>
    <m/>
    <n v="1788"/>
    <n v="133"/>
    <m/>
    <m/>
    <m/>
    <m/>
  </r>
  <r>
    <x v="165"/>
    <x v="5"/>
    <x v="1"/>
    <s v="1.30pm"/>
    <x v="9"/>
    <s v="Track"/>
    <m/>
    <n v="1880"/>
    <n v="141"/>
    <m/>
    <m/>
    <m/>
    <m/>
    <m/>
    <m/>
    <n v="1880"/>
    <n v="141"/>
    <m/>
    <m/>
    <m/>
    <m/>
  </r>
  <r>
    <x v="165"/>
    <x v="5"/>
    <x v="1"/>
    <s v="1.30pm"/>
    <x v="2"/>
    <s v="Track"/>
    <m/>
    <n v="1962"/>
    <n v="135"/>
    <m/>
    <m/>
    <m/>
    <m/>
    <m/>
    <m/>
    <n v="1962"/>
    <n v="135"/>
    <m/>
    <m/>
    <m/>
    <m/>
  </r>
  <r>
    <x v="165"/>
    <x v="5"/>
    <x v="1"/>
    <s v="1.30pm"/>
    <x v="8"/>
    <s v="Track"/>
    <m/>
    <n v="1977"/>
    <n v="129"/>
    <m/>
    <m/>
    <m/>
    <m/>
    <m/>
    <m/>
    <n v="1977"/>
    <n v="129"/>
    <m/>
    <m/>
    <m/>
    <m/>
  </r>
  <r>
    <x v="165"/>
    <x v="5"/>
    <x v="1"/>
    <s v="1.30pm"/>
    <x v="4"/>
    <s v="Track"/>
    <m/>
    <n v="2094"/>
    <n v="110"/>
    <m/>
    <m/>
    <m/>
    <m/>
    <m/>
    <m/>
    <n v="2094"/>
    <n v="110"/>
    <m/>
    <m/>
    <m/>
    <m/>
  </r>
  <r>
    <x v="166"/>
    <x v="6"/>
    <x v="3"/>
    <s v="1.30pm"/>
    <x v="3"/>
    <s v="Track"/>
    <m/>
    <n v="1690"/>
    <n v="135"/>
    <n v="1735"/>
    <n v="131"/>
    <m/>
    <m/>
    <m/>
    <m/>
    <n v="1712.5"/>
    <n v="133"/>
    <m/>
    <m/>
    <m/>
    <m/>
  </r>
  <r>
    <x v="166"/>
    <x v="6"/>
    <x v="3"/>
    <s v="1.30pm"/>
    <x v="8"/>
    <s v="Track"/>
    <m/>
    <n v="1989"/>
    <n v="137"/>
    <n v="1935"/>
    <n v="137"/>
    <m/>
    <m/>
    <m/>
    <m/>
    <n v="1962"/>
    <n v="137"/>
    <m/>
    <m/>
    <m/>
    <m/>
  </r>
  <r>
    <x v="166"/>
    <x v="6"/>
    <x v="3"/>
    <s v="1.30pm"/>
    <x v="4"/>
    <s v="Track"/>
    <m/>
    <n v="1949"/>
    <n v="116"/>
    <n v="2006"/>
    <n v="117"/>
    <m/>
    <m/>
    <m/>
    <m/>
    <n v="1977.5"/>
    <n v="116.5"/>
    <m/>
    <m/>
    <m/>
    <m/>
  </r>
  <r>
    <x v="166"/>
    <x v="6"/>
    <x v="3"/>
    <s v="1.30pm"/>
    <x v="2"/>
    <s v="Track"/>
    <m/>
    <n v="2010"/>
    <n v="135"/>
    <n v="2005"/>
    <n v="135"/>
    <m/>
    <m/>
    <m/>
    <m/>
    <n v="2007.5"/>
    <n v="135"/>
    <m/>
    <m/>
    <m/>
    <m/>
  </r>
  <r>
    <x v="167"/>
    <x v="6"/>
    <x v="9"/>
    <s v="11.30am"/>
    <x v="11"/>
    <s v="Track"/>
    <m/>
    <n v="1148"/>
    <n v="124"/>
    <n v="1113"/>
    <n v="120"/>
    <m/>
    <m/>
    <m/>
    <m/>
    <n v="1130.5"/>
    <n v="122"/>
    <m/>
    <m/>
    <m/>
    <m/>
  </r>
  <r>
    <x v="167"/>
    <x v="6"/>
    <x v="9"/>
    <s v="11.30am"/>
    <x v="10"/>
    <s v="Track"/>
    <m/>
    <n v="1267"/>
    <n v="130"/>
    <n v="1229"/>
    <n v="124"/>
    <m/>
    <m/>
    <m/>
    <m/>
    <n v="1248"/>
    <n v="127"/>
    <m/>
    <m/>
    <m/>
    <m/>
  </r>
  <r>
    <x v="167"/>
    <x v="6"/>
    <x v="9"/>
    <s v="11.30am"/>
    <x v="12"/>
    <s v="Track"/>
    <m/>
    <n v="1707"/>
    <n v="140"/>
    <n v="1629"/>
    <n v="137"/>
    <m/>
    <m/>
    <m/>
    <m/>
    <n v="1668"/>
    <n v="138.5"/>
    <m/>
    <m/>
    <m/>
    <m/>
  </r>
  <r>
    <x v="167"/>
    <x v="6"/>
    <x v="9"/>
    <s v="11.30am"/>
    <x v="7"/>
    <s v="Track"/>
    <m/>
    <n v="1799"/>
    <n v="147"/>
    <n v="1745"/>
    <n v="142"/>
    <m/>
    <m/>
    <m/>
    <m/>
    <n v="1772"/>
    <n v="144.5"/>
    <m/>
    <m/>
    <m/>
    <m/>
  </r>
  <r>
    <x v="167"/>
    <x v="6"/>
    <x v="9"/>
    <s v="11.30am"/>
    <x v="9"/>
    <s v="Track"/>
    <m/>
    <n v="1823"/>
    <n v="139"/>
    <n v="1786"/>
    <n v="133"/>
    <m/>
    <m/>
    <m/>
    <m/>
    <n v="1804.5"/>
    <n v="136"/>
    <m/>
    <m/>
    <m/>
    <m/>
  </r>
  <r>
    <x v="168"/>
    <x v="6"/>
    <x v="9"/>
    <m/>
    <x v="11"/>
    <s v="Track"/>
    <m/>
    <n v="1114"/>
    <n v="124"/>
    <n v="1083"/>
    <n v="119"/>
    <m/>
    <m/>
    <m/>
    <m/>
    <n v="1098.5"/>
    <n v="121.5"/>
    <m/>
    <m/>
    <m/>
    <m/>
  </r>
  <r>
    <x v="168"/>
    <x v="6"/>
    <x v="9"/>
    <m/>
    <x v="10"/>
    <s v="Track"/>
    <m/>
    <n v="1210"/>
    <n v="131"/>
    <n v="1198"/>
    <n v="130"/>
    <m/>
    <m/>
    <m/>
    <m/>
    <n v="1204"/>
    <n v="130.5"/>
    <m/>
    <m/>
    <m/>
    <m/>
  </r>
  <r>
    <x v="168"/>
    <x v="6"/>
    <x v="9"/>
    <m/>
    <x v="12"/>
    <s v="Track"/>
    <m/>
    <n v="1693"/>
    <n v="139"/>
    <n v="1682"/>
    <n v="137"/>
    <m/>
    <m/>
    <m/>
    <m/>
    <n v="1687.5"/>
    <n v="138"/>
    <m/>
    <m/>
    <m/>
    <m/>
  </r>
  <r>
    <x v="168"/>
    <x v="6"/>
    <x v="9"/>
    <m/>
    <x v="7"/>
    <s v="Track"/>
    <m/>
    <n v="1740"/>
    <n v="140"/>
    <n v="1656"/>
    <n v="133"/>
    <m/>
    <m/>
    <m/>
    <m/>
    <n v="1698"/>
    <n v="136.5"/>
    <m/>
    <m/>
    <m/>
    <m/>
  </r>
  <r>
    <x v="168"/>
    <x v="6"/>
    <x v="9"/>
    <m/>
    <x v="9"/>
    <s v="Track"/>
    <m/>
    <n v="1804"/>
    <n v="135"/>
    <n v="1763"/>
    <n v="131"/>
    <m/>
    <m/>
    <m/>
    <m/>
    <n v="1783.5"/>
    <n v="133"/>
    <m/>
    <m/>
    <m/>
    <m/>
  </r>
  <r>
    <x v="169"/>
    <x v="6"/>
    <x v="9"/>
    <m/>
    <x v="10"/>
    <s v="Track"/>
    <m/>
    <n v="1241"/>
    <n v="132"/>
    <n v="1226"/>
    <n v="129"/>
    <m/>
    <m/>
    <m/>
    <m/>
    <n v="1233.5"/>
    <n v="130.5"/>
    <m/>
    <m/>
    <m/>
    <m/>
  </r>
  <r>
    <x v="169"/>
    <x v="6"/>
    <x v="9"/>
    <m/>
    <x v="7"/>
    <s v="Track"/>
    <m/>
    <n v="1644"/>
    <n v="142"/>
    <n v="1634"/>
    <n v="141"/>
    <m/>
    <m/>
    <m/>
    <m/>
    <n v="1639"/>
    <n v="141.5"/>
    <m/>
    <m/>
    <m/>
    <m/>
  </r>
  <r>
    <x v="169"/>
    <x v="6"/>
    <x v="9"/>
    <m/>
    <x v="9"/>
    <s v="Track"/>
    <m/>
    <n v="1751"/>
    <n v="132"/>
    <n v="1768"/>
    <n v="132"/>
    <m/>
    <m/>
    <m/>
    <m/>
    <n v="1759.5"/>
    <n v="132"/>
    <m/>
    <m/>
    <m/>
    <m/>
  </r>
  <r>
    <x v="170"/>
    <x v="6"/>
    <x v="9"/>
    <m/>
    <x v="11"/>
    <s v="Track"/>
    <m/>
    <n v="1116"/>
    <n v="123"/>
    <n v="1130"/>
    <n v="126"/>
    <m/>
    <m/>
    <m/>
    <m/>
    <n v="1123"/>
    <n v="124.5"/>
    <m/>
    <m/>
    <m/>
    <m/>
  </r>
  <r>
    <x v="170"/>
    <x v="6"/>
    <x v="9"/>
    <m/>
    <x v="10"/>
    <s v="Track"/>
    <m/>
    <n v="1225"/>
    <n v="131"/>
    <n v="1200"/>
    <n v="131"/>
    <m/>
    <m/>
    <m/>
    <m/>
    <n v="1212.5"/>
    <n v="131"/>
    <m/>
    <m/>
    <m/>
    <m/>
  </r>
  <r>
    <x v="170"/>
    <x v="6"/>
    <x v="9"/>
    <m/>
    <x v="12"/>
    <s v="Track"/>
    <m/>
    <n v="1615"/>
    <n v="142"/>
    <n v="1699"/>
    <n v="142"/>
    <m/>
    <m/>
    <m/>
    <m/>
    <n v="1657"/>
    <n v="142"/>
    <m/>
    <m/>
    <m/>
    <m/>
  </r>
  <r>
    <x v="170"/>
    <x v="6"/>
    <x v="9"/>
    <m/>
    <x v="7"/>
    <s v="Track"/>
    <m/>
    <n v="1719"/>
    <n v="149"/>
    <n v="1711"/>
    <n v="149"/>
    <m/>
    <m/>
    <m/>
    <m/>
    <n v="1715"/>
    <n v="149"/>
    <m/>
    <m/>
    <m/>
    <m/>
  </r>
  <r>
    <x v="170"/>
    <x v="6"/>
    <x v="9"/>
    <m/>
    <x v="9"/>
    <s v="Track"/>
    <m/>
    <n v="1784"/>
    <n v="131"/>
    <n v="1813"/>
    <n v="133"/>
    <m/>
    <m/>
    <m/>
    <m/>
    <n v="1798.5"/>
    <n v="132"/>
    <m/>
    <m/>
    <m/>
    <m/>
  </r>
  <r>
    <x v="171"/>
    <x v="6"/>
    <x v="4"/>
    <m/>
    <x v="11"/>
    <s v="Track"/>
    <m/>
    <n v="1102"/>
    <n v="123"/>
    <n v="1109"/>
    <n v="121"/>
    <m/>
    <m/>
    <m/>
    <m/>
    <n v="1105.5"/>
    <n v="122"/>
    <m/>
    <m/>
    <m/>
    <m/>
  </r>
  <r>
    <x v="171"/>
    <x v="6"/>
    <x v="4"/>
    <m/>
    <x v="10"/>
    <s v="Track"/>
    <m/>
    <n v="1233"/>
    <n v="130"/>
    <m/>
    <m/>
    <m/>
    <m/>
    <m/>
    <m/>
    <n v="1233"/>
    <n v="130"/>
    <m/>
    <m/>
    <m/>
    <m/>
  </r>
  <r>
    <x v="171"/>
    <x v="6"/>
    <x v="4"/>
    <m/>
    <x v="12"/>
    <s v="Track"/>
    <m/>
    <n v="1448"/>
    <n v="126"/>
    <n v="1492"/>
    <n v="130"/>
    <m/>
    <m/>
    <m/>
    <m/>
    <n v="1470"/>
    <n v="128"/>
    <m/>
    <m/>
    <m/>
    <m/>
  </r>
  <r>
    <x v="171"/>
    <x v="6"/>
    <x v="4"/>
    <m/>
    <x v="7"/>
    <s v="Track"/>
    <m/>
    <n v="1602"/>
    <n v="145"/>
    <n v="1630"/>
    <n v="146"/>
    <m/>
    <m/>
    <m/>
    <m/>
    <n v="1616"/>
    <n v="145.5"/>
    <m/>
    <m/>
    <m/>
    <m/>
  </r>
  <r>
    <x v="171"/>
    <x v="6"/>
    <x v="4"/>
    <m/>
    <x v="9"/>
    <s v="Track"/>
    <m/>
    <n v="1721"/>
    <n v="135"/>
    <n v="1712"/>
    <n v="131"/>
    <m/>
    <m/>
    <m/>
    <m/>
    <n v="1716.5"/>
    <n v="133"/>
    <m/>
    <m/>
    <m/>
    <m/>
  </r>
  <r>
    <x v="172"/>
    <x v="6"/>
    <x v="4"/>
    <m/>
    <x v="10"/>
    <s v="Track"/>
    <m/>
    <n v="1230"/>
    <n v="131"/>
    <n v="1218"/>
    <n v="134"/>
    <m/>
    <m/>
    <m/>
    <m/>
    <n v="1224"/>
    <n v="132.5"/>
    <m/>
    <m/>
    <m/>
    <m/>
  </r>
  <r>
    <x v="172"/>
    <x v="6"/>
    <x v="4"/>
    <m/>
    <x v="12"/>
    <s v="Track"/>
    <m/>
    <n v="1702"/>
    <n v="131"/>
    <n v="1583"/>
    <n v="131"/>
    <m/>
    <m/>
    <m/>
    <m/>
    <n v="1642.5"/>
    <n v="131"/>
    <m/>
    <m/>
    <m/>
    <m/>
  </r>
  <r>
    <x v="172"/>
    <x v="6"/>
    <x v="4"/>
    <m/>
    <x v="9"/>
    <s v="Track"/>
    <m/>
    <n v="1716"/>
    <n v="130"/>
    <n v="1635"/>
    <n v="132"/>
    <m/>
    <m/>
    <m/>
    <m/>
    <n v="1675.5"/>
    <n v="131"/>
    <m/>
    <m/>
    <m/>
    <m/>
  </r>
  <r>
    <x v="173"/>
    <x v="6"/>
    <x v="10"/>
    <s v="2.00pm"/>
    <x v="2"/>
    <s v="Track"/>
    <m/>
    <n v="1965"/>
    <n v="134"/>
    <n v="1909"/>
    <n v="128"/>
    <m/>
    <m/>
    <m/>
    <m/>
    <n v="1937"/>
    <n v="131"/>
    <m/>
    <m/>
    <m/>
    <m/>
  </r>
  <r>
    <x v="174"/>
    <x v="6"/>
    <x v="11"/>
    <m/>
    <x v="11"/>
    <s v="Track"/>
    <m/>
    <n v="1185"/>
    <n v="118"/>
    <n v="1206"/>
    <n v="124"/>
    <m/>
    <m/>
    <m/>
    <m/>
    <n v="1195.5"/>
    <n v="121"/>
    <m/>
    <m/>
    <m/>
    <m/>
  </r>
  <r>
    <x v="174"/>
    <x v="6"/>
    <x v="11"/>
    <m/>
    <x v="10"/>
    <s v="Track"/>
    <m/>
    <n v="1252"/>
    <n v="130"/>
    <n v="1240"/>
    <n v="129"/>
    <m/>
    <m/>
    <m/>
    <m/>
    <n v="1246"/>
    <n v="129.5"/>
    <m/>
    <m/>
    <m/>
    <m/>
  </r>
  <r>
    <x v="174"/>
    <x v="6"/>
    <x v="11"/>
    <m/>
    <x v="7"/>
    <s v="Track"/>
    <m/>
    <n v="1549"/>
    <n v="134"/>
    <n v="1579"/>
    <n v="133"/>
    <m/>
    <m/>
    <m/>
    <m/>
    <n v="1564"/>
    <n v="133.5"/>
    <m/>
    <m/>
    <m/>
    <m/>
  </r>
  <r>
    <x v="174"/>
    <x v="6"/>
    <x v="11"/>
    <m/>
    <x v="12"/>
    <s v="Track"/>
    <m/>
    <n v="1597"/>
    <n v="130"/>
    <n v="1653"/>
    <n v="132"/>
    <m/>
    <m/>
    <m/>
    <m/>
    <n v="1625"/>
    <n v="131"/>
    <m/>
    <m/>
    <m/>
    <m/>
  </r>
  <r>
    <x v="174"/>
    <x v="6"/>
    <x v="11"/>
    <m/>
    <x v="3"/>
    <s v="Track"/>
    <m/>
    <n v="1851"/>
    <n v="137"/>
    <n v="1859"/>
    <n v="135"/>
    <m/>
    <m/>
    <m/>
    <m/>
    <n v="1855"/>
    <n v="136"/>
    <m/>
    <m/>
    <m/>
    <m/>
  </r>
  <r>
    <x v="174"/>
    <x v="6"/>
    <x v="11"/>
    <m/>
    <x v="8"/>
    <s v="Track"/>
    <m/>
    <n v="1888"/>
    <n v="132"/>
    <n v="1851"/>
    <n v="133"/>
    <m/>
    <m/>
    <m/>
    <m/>
    <n v="1869.5"/>
    <n v="132.5"/>
    <m/>
    <m/>
    <m/>
    <m/>
  </r>
  <r>
    <x v="174"/>
    <x v="6"/>
    <x v="11"/>
    <m/>
    <x v="2"/>
    <s v="Track"/>
    <m/>
    <n v="1976"/>
    <n v="132"/>
    <n v="2005"/>
    <n v="134"/>
    <m/>
    <m/>
    <m/>
    <m/>
    <n v="1990.5"/>
    <n v="133"/>
    <m/>
    <m/>
    <m/>
    <m/>
  </r>
  <r>
    <x v="174"/>
    <x v="6"/>
    <x v="11"/>
    <m/>
    <x v="4"/>
    <s v="Track"/>
    <m/>
    <n v="2085"/>
    <n v="115"/>
    <n v="2003"/>
    <n v="112"/>
    <m/>
    <m/>
    <m/>
    <m/>
    <n v="2044"/>
    <n v="113.5"/>
    <m/>
    <m/>
    <m/>
    <m/>
  </r>
  <r>
    <x v="175"/>
    <x v="6"/>
    <x v="11"/>
    <m/>
    <x v="10"/>
    <s v="Track"/>
    <m/>
    <n v="1239"/>
    <n v="128"/>
    <n v="1205"/>
    <n v="125"/>
    <m/>
    <m/>
    <m/>
    <m/>
    <n v="1222"/>
    <n v="126.5"/>
    <m/>
    <m/>
    <m/>
    <m/>
  </r>
  <r>
    <x v="175"/>
    <x v="6"/>
    <x v="11"/>
    <m/>
    <x v="7"/>
    <s v="Track"/>
    <m/>
    <n v="1565"/>
    <n v="130"/>
    <n v="1498"/>
    <n v="131"/>
    <m/>
    <m/>
    <m/>
    <m/>
    <n v="1531.5"/>
    <n v="130.5"/>
    <m/>
    <m/>
    <m/>
    <m/>
  </r>
  <r>
    <x v="175"/>
    <x v="6"/>
    <x v="11"/>
    <m/>
    <x v="12"/>
    <s v="Track"/>
    <m/>
    <n v="1647"/>
    <n v="130"/>
    <n v="1647"/>
    <n v="132"/>
    <m/>
    <m/>
    <m/>
    <m/>
    <n v="1647"/>
    <n v="131"/>
    <m/>
    <m/>
    <m/>
    <m/>
  </r>
  <r>
    <x v="175"/>
    <x v="6"/>
    <x v="11"/>
    <m/>
    <x v="3"/>
    <s v="Track"/>
    <m/>
    <n v="1824"/>
    <n v="127"/>
    <n v="1761"/>
    <n v="126"/>
    <m/>
    <m/>
    <m/>
    <m/>
    <n v="1792.5"/>
    <n v="126.5"/>
    <m/>
    <m/>
    <m/>
    <m/>
  </r>
  <r>
    <x v="175"/>
    <x v="6"/>
    <x v="11"/>
    <m/>
    <x v="4"/>
    <s v="Track"/>
    <m/>
    <n v="1821"/>
    <n v="116"/>
    <n v="1808"/>
    <n v="110"/>
    <m/>
    <m/>
    <m/>
    <m/>
    <n v="1814.5"/>
    <n v="113"/>
    <m/>
    <m/>
    <m/>
    <m/>
  </r>
  <r>
    <x v="175"/>
    <x v="6"/>
    <x v="11"/>
    <m/>
    <x v="8"/>
    <s v="Track"/>
    <m/>
    <n v="1913"/>
    <n v="128"/>
    <n v="1860"/>
    <n v="128"/>
    <m/>
    <m/>
    <m/>
    <m/>
    <n v="1886.5"/>
    <n v="128"/>
    <m/>
    <m/>
    <m/>
    <m/>
  </r>
  <r>
    <x v="175"/>
    <x v="6"/>
    <x v="11"/>
    <m/>
    <x v="2"/>
    <s v="Track"/>
    <m/>
    <n v="1933"/>
    <n v="132"/>
    <n v="1924"/>
    <n v="132"/>
    <m/>
    <m/>
    <m/>
    <m/>
    <n v="1928.5"/>
    <n v="132"/>
    <m/>
    <m/>
    <m/>
    <m/>
  </r>
  <r>
    <x v="176"/>
    <x v="6"/>
    <x v="0"/>
    <m/>
    <x v="11"/>
    <s v="Track"/>
    <m/>
    <n v="1222"/>
    <n v="123"/>
    <n v="1202"/>
    <n v="124"/>
    <m/>
    <m/>
    <m/>
    <m/>
    <n v="1212"/>
    <n v="123.5"/>
    <m/>
    <m/>
    <m/>
    <m/>
  </r>
  <r>
    <x v="176"/>
    <x v="6"/>
    <x v="0"/>
    <m/>
    <x v="10"/>
    <s v="Track"/>
    <m/>
    <n v="1254"/>
    <n v="126"/>
    <n v="1236"/>
    <n v="122"/>
    <m/>
    <m/>
    <m/>
    <m/>
    <n v="1245"/>
    <n v="124"/>
    <m/>
    <m/>
    <m/>
    <m/>
  </r>
  <r>
    <x v="176"/>
    <x v="6"/>
    <x v="0"/>
    <m/>
    <x v="7"/>
    <s v="Track"/>
    <m/>
    <n v="1613"/>
    <n v="136"/>
    <n v="1642"/>
    <n v="132"/>
    <m/>
    <m/>
    <m/>
    <m/>
    <n v="1627.5"/>
    <n v="134"/>
    <m/>
    <m/>
    <m/>
    <m/>
  </r>
  <r>
    <x v="176"/>
    <x v="6"/>
    <x v="0"/>
    <m/>
    <x v="12"/>
    <s v="Track"/>
    <m/>
    <n v="1639"/>
    <n v="131"/>
    <n v="1655"/>
    <n v="130"/>
    <m/>
    <m/>
    <m/>
    <m/>
    <n v="1647"/>
    <n v="130.5"/>
    <m/>
    <m/>
    <m/>
    <m/>
  </r>
  <r>
    <x v="176"/>
    <x v="6"/>
    <x v="0"/>
    <m/>
    <x v="9"/>
    <s v="Track"/>
    <m/>
    <n v="1651"/>
    <n v="126"/>
    <n v="1658"/>
    <n v="129"/>
    <m/>
    <m/>
    <m/>
    <m/>
    <n v="1654.5"/>
    <n v="127.5"/>
    <m/>
    <m/>
    <m/>
    <m/>
  </r>
  <r>
    <x v="176"/>
    <x v="6"/>
    <x v="0"/>
    <m/>
    <x v="3"/>
    <s v="Track"/>
    <m/>
    <n v="1834"/>
    <n v="131"/>
    <n v="1742"/>
    <n v="122"/>
    <m/>
    <m/>
    <m/>
    <m/>
    <n v="1788"/>
    <n v="126.5"/>
    <m/>
    <m/>
    <m/>
    <m/>
  </r>
  <r>
    <x v="176"/>
    <x v="6"/>
    <x v="0"/>
    <m/>
    <x v="8"/>
    <s v="Track"/>
    <m/>
    <n v="1907"/>
    <n v="126"/>
    <n v="1861"/>
    <n v="124"/>
    <m/>
    <m/>
    <m/>
    <m/>
    <n v="1884"/>
    <n v="125"/>
    <m/>
    <m/>
    <m/>
    <m/>
  </r>
  <r>
    <x v="176"/>
    <x v="6"/>
    <x v="0"/>
    <m/>
    <x v="2"/>
    <s v="Track"/>
    <m/>
    <n v="1998"/>
    <n v="131"/>
    <n v="1961"/>
    <n v="131"/>
    <m/>
    <m/>
    <m/>
    <m/>
    <n v="1979.5"/>
    <n v="131"/>
    <m/>
    <m/>
    <m/>
    <m/>
  </r>
  <r>
    <x v="177"/>
    <x v="6"/>
    <x v="0"/>
    <m/>
    <x v="11"/>
    <s v="Track"/>
    <m/>
    <n v="1240"/>
    <n v="122"/>
    <n v="1185"/>
    <n v="116"/>
    <m/>
    <m/>
    <m/>
    <m/>
    <n v="1212.5"/>
    <n v="119"/>
    <m/>
    <m/>
    <m/>
    <m/>
  </r>
  <r>
    <x v="177"/>
    <x v="6"/>
    <x v="0"/>
    <m/>
    <x v="10"/>
    <s v="Track"/>
    <m/>
    <n v="1308"/>
    <n v="127"/>
    <n v="1250"/>
    <n v="123"/>
    <m/>
    <m/>
    <m/>
    <m/>
    <n v="1279"/>
    <n v="125"/>
    <m/>
    <m/>
    <m/>
    <m/>
  </r>
  <r>
    <x v="177"/>
    <x v="6"/>
    <x v="0"/>
    <m/>
    <x v="7"/>
    <s v="Track"/>
    <m/>
    <n v="1593"/>
    <n v="134"/>
    <n v="1551"/>
    <n v="137"/>
    <m/>
    <m/>
    <m/>
    <m/>
    <n v="1572"/>
    <n v="135.5"/>
    <m/>
    <m/>
    <m/>
    <m/>
  </r>
  <r>
    <x v="177"/>
    <x v="6"/>
    <x v="0"/>
    <m/>
    <x v="12"/>
    <s v="Track"/>
    <m/>
    <n v="1655"/>
    <n v="132"/>
    <n v="1680"/>
    <n v="133"/>
    <m/>
    <m/>
    <m/>
    <m/>
    <n v="1667.5"/>
    <n v="132.5"/>
    <m/>
    <m/>
    <m/>
    <m/>
  </r>
  <r>
    <x v="177"/>
    <x v="6"/>
    <x v="0"/>
    <m/>
    <x v="9"/>
    <s v="Track"/>
    <m/>
    <n v="1664"/>
    <n v="127"/>
    <n v="1692"/>
    <n v="131"/>
    <m/>
    <m/>
    <m/>
    <m/>
    <n v="1678"/>
    <n v="129"/>
    <m/>
    <m/>
    <m/>
    <m/>
  </r>
  <r>
    <x v="177"/>
    <x v="6"/>
    <x v="0"/>
    <m/>
    <x v="3"/>
    <s v="Track"/>
    <m/>
    <n v="1802"/>
    <n v="134"/>
    <n v="1822"/>
    <n v="129"/>
    <m/>
    <m/>
    <m/>
    <m/>
    <n v="1812"/>
    <n v="131.5"/>
    <m/>
    <m/>
    <m/>
    <m/>
  </r>
  <r>
    <x v="177"/>
    <x v="6"/>
    <x v="0"/>
    <m/>
    <x v="8"/>
    <s v="Track"/>
    <m/>
    <n v="1915"/>
    <n v="128"/>
    <n v="1887"/>
    <n v="129"/>
    <m/>
    <m/>
    <m/>
    <m/>
    <n v="1901"/>
    <n v="128.5"/>
    <m/>
    <m/>
    <m/>
    <m/>
  </r>
  <r>
    <x v="177"/>
    <x v="6"/>
    <x v="0"/>
    <m/>
    <x v="2"/>
    <s v="Track"/>
    <m/>
    <n v="1964"/>
    <n v="132"/>
    <n v="1958"/>
    <n v="131"/>
    <m/>
    <m/>
    <m/>
    <m/>
    <n v="1961"/>
    <n v="131.5"/>
    <m/>
    <m/>
    <m/>
    <m/>
  </r>
  <r>
    <x v="177"/>
    <x v="6"/>
    <x v="0"/>
    <m/>
    <x v="4"/>
    <s v="Track"/>
    <m/>
    <n v="2093"/>
    <n v="117"/>
    <n v="2044"/>
    <n v="121"/>
    <m/>
    <m/>
    <m/>
    <m/>
    <n v="2068.5"/>
    <n v="119"/>
    <m/>
    <m/>
    <m/>
    <m/>
  </r>
  <r>
    <x v="178"/>
    <x v="6"/>
    <x v="0"/>
    <m/>
    <x v="11"/>
    <s v="Track"/>
    <m/>
    <n v="1198"/>
    <n v="119"/>
    <n v="1204"/>
    <n v="119"/>
    <m/>
    <m/>
    <m/>
    <m/>
    <n v="1201"/>
    <n v="119"/>
    <m/>
    <m/>
    <m/>
    <m/>
  </r>
  <r>
    <x v="178"/>
    <x v="6"/>
    <x v="0"/>
    <m/>
    <x v="10"/>
    <s v="Track"/>
    <m/>
    <n v="1314"/>
    <n v="131"/>
    <n v="1284"/>
    <n v="127"/>
    <m/>
    <m/>
    <m/>
    <m/>
    <n v="1299"/>
    <n v="129"/>
    <m/>
    <m/>
    <m/>
    <m/>
  </r>
  <r>
    <x v="178"/>
    <x v="6"/>
    <x v="0"/>
    <m/>
    <x v="7"/>
    <s v="Track"/>
    <m/>
    <n v="1642"/>
    <n v="136"/>
    <n v="1615"/>
    <n v="128"/>
    <m/>
    <m/>
    <m/>
    <m/>
    <n v="1628.5"/>
    <n v="132"/>
    <m/>
    <m/>
    <m/>
    <m/>
  </r>
  <r>
    <x v="178"/>
    <x v="6"/>
    <x v="0"/>
    <m/>
    <x v="12"/>
    <s v="Track"/>
    <m/>
    <n v="1670"/>
    <n v="130"/>
    <n v="1646"/>
    <n v="128"/>
    <m/>
    <m/>
    <m/>
    <m/>
    <n v="1658"/>
    <n v="129"/>
    <m/>
    <m/>
    <m/>
    <m/>
  </r>
  <r>
    <x v="178"/>
    <x v="6"/>
    <x v="0"/>
    <m/>
    <x v="9"/>
    <s v="Track"/>
    <m/>
    <n v="1696"/>
    <n v="127"/>
    <n v="1695"/>
    <n v="131"/>
    <m/>
    <m/>
    <m/>
    <m/>
    <n v="1695.5"/>
    <n v="129"/>
    <m/>
    <m/>
    <m/>
    <m/>
  </r>
  <r>
    <x v="178"/>
    <x v="6"/>
    <x v="0"/>
    <m/>
    <x v="8"/>
    <s v="Track"/>
    <m/>
    <n v="1952"/>
    <n v="131"/>
    <n v="1908"/>
    <n v="130"/>
    <m/>
    <m/>
    <m/>
    <m/>
    <n v="1930"/>
    <n v="130.5"/>
    <m/>
    <m/>
    <m/>
    <m/>
  </r>
  <r>
    <x v="178"/>
    <x v="6"/>
    <x v="0"/>
    <m/>
    <x v="2"/>
    <s v="Track"/>
    <m/>
    <n v="1944"/>
    <n v="129"/>
    <n v="1954"/>
    <n v="128"/>
    <m/>
    <m/>
    <m/>
    <m/>
    <n v="1949"/>
    <n v="128.5"/>
    <m/>
    <m/>
    <m/>
    <m/>
  </r>
  <r>
    <x v="178"/>
    <x v="6"/>
    <x v="0"/>
    <m/>
    <x v="4"/>
    <s v="Track"/>
    <m/>
    <n v="2079"/>
    <n v="113"/>
    <n v="1944"/>
    <n v="112"/>
    <m/>
    <m/>
    <m/>
    <m/>
    <n v="2011.5"/>
    <n v="112.5"/>
    <m/>
    <m/>
    <m/>
    <m/>
  </r>
  <r>
    <x v="179"/>
    <x v="6"/>
    <x v="0"/>
    <m/>
    <x v="11"/>
    <s v="Track"/>
    <m/>
    <n v="1206"/>
    <n v="123"/>
    <n v="1190"/>
    <n v="119"/>
    <m/>
    <m/>
    <m/>
    <m/>
    <n v="1198"/>
    <n v="121"/>
    <m/>
    <m/>
    <m/>
    <m/>
  </r>
  <r>
    <x v="179"/>
    <x v="6"/>
    <x v="0"/>
    <m/>
    <x v="0"/>
    <s v="Track"/>
    <m/>
    <n v="1214"/>
    <n v="125"/>
    <n v="1214"/>
    <n v="126"/>
    <m/>
    <m/>
    <m/>
    <m/>
    <n v="1214"/>
    <n v="125.5"/>
    <m/>
    <m/>
    <m/>
    <m/>
  </r>
  <r>
    <x v="179"/>
    <x v="6"/>
    <x v="0"/>
    <m/>
    <x v="10"/>
    <s v="Track"/>
    <m/>
    <n v="1313"/>
    <n v="129"/>
    <n v="1317"/>
    <n v="127"/>
    <m/>
    <m/>
    <m/>
    <m/>
    <n v="1315"/>
    <n v="128"/>
    <m/>
    <m/>
    <m/>
    <m/>
  </r>
  <r>
    <x v="179"/>
    <x v="6"/>
    <x v="0"/>
    <m/>
    <x v="12"/>
    <s v="Track"/>
    <m/>
    <n v="1652"/>
    <n v="132"/>
    <n v="1586"/>
    <n v="133"/>
    <m/>
    <m/>
    <m/>
    <m/>
    <n v="1619"/>
    <n v="132.5"/>
    <m/>
    <m/>
    <m/>
    <m/>
  </r>
  <r>
    <x v="179"/>
    <x v="6"/>
    <x v="0"/>
    <m/>
    <x v="7"/>
    <s v="Track"/>
    <m/>
    <n v="1658"/>
    <n v="140"/>
    <n v="1635"/>
    <n v="136"/>
    <m/>
    <m/>
    <m/>
    <m/>
    <n v="1646.5"/>
    <n v="138"/>
    <m/>
    <m/>
    <m/>
    <m/>
  </r>
  <r>
    <x v="179"/>
    <x v="6"/>
    <x v="0"/>
    <m/>
    <x v="9"/>
    <s v="Track"/>
    <m/>
    <n v="1742"/>
    <n v="132"/>
    <n v="1707"/>
    <n v="129"/>
    <m/>
    <m/>
    <m/>
    <m/>
    <n v="1724.5"/>
    <n v="130.5"/>
    <m/>
    <m/>
    <m/>
    <m/>
  </r>
  <r>
    <x v="179"/>
    <x v="6"/>
    <x v="0"/>
    <m/>
    <x v="3"/>
    <s v="Track"/>
    <m/>
    <n v="1793"/>
    <n v="134"/>
    <n v="1767"/>
    <n v="131"/>
    <m/>
    <m/>
    <m/>
    <m/>
    <n v="1780"/>
    <n v="132.5"/>
    <m/>
    <m/>
    <m/>
    <m/>
  </r>
  <r>
    <x v="179"/>
    <x v="6"/>
    <x v="0"/>
    <m/>
    <x v="8"/>
    <s v="Track"/>
    <m/>
    <n v="1936"/>
    <n v="130"/>
    <n v="1881"/>
    <n v="127"/>
    <m/>
    <m/>
    <m/>
    <m/>
    <n v="1908.5"/>
    <n v="128.5"/>
    <m/>
    <m/>
    <m/>
    <m/>
  </r>
  <r>
    <x v="180"/>
    <x v="6"/>
    <x v="0"/>
    <m/>
    <x v="7"/>
    <s v="Track"/>
    <m/>
    <n v="1621"/>
    <n v="136"/>
    <n v="1489"/>
    <n v="135"/>
    <m/>
    <m/>
    <m/>
    <m/>
    <n v="1555"/>
    <n v="135.5"/>
    <m/>
    <m/>
    <m/>
    <m/>
  </r>
  <r>
    <x v="180"/>
    <x v="6"/>
    <x v="0"/>
    <m/>
    <x v="3"/>
    <s v="Track"/>
    <m/>
    <n v="1808"/>
    <n v="132"/>
    <n v="1768"/>
    <n v="126"/>
    <m/>
    <m/>
    <m/>
    <m/>
    <n v="1788"/>
    <n v="129"/>
    <m/>
    <m/>
    <m/>
    <m/>
  </r>
  <r>
    <x v="181"/>
    <x v="6"/>
    <x v="1"/>
    <m/>
    <x v="0"/>
    <s v="Track"/>
    <m/>
    <n v="1136"/>
    <n v="119"/>
    <n v="1161"/>
    <n v="120"/>
    <m/>
    <m/>
    <m/>
    <m/>
    <n v="1148.5"/>
    <n v="119.5"/>
    <m/>
    <m/>
    <m/>
    <m/>
  </r>
  <r>
    <x v="181"/>
    <x v="6"/>
    <x v="1"/>
    <m/>
    <x v="7"/>
    <s v="Track"/>
    <m/>
    <n v="1650"/>
    <n v="144"/>
    <n v="1552"/>
    <n v="133"/>
    <m/>
    <m/>
    <m/>
    <m/>
    <n v="1601"/>
    <n v="138.5"/>
    <m/>
    <m/>
    <m/>
    <m/>
  </r>
  <r>
    <x v="181"/>
    <x v="6"/>
    <x v="1"/>
    <m/>
    <x v="3"/>
    <s v="Track"/>
    <m/>
    <n v="1787"/>
    <n v="130"/>
    <n v="1772"/>
    <n v="129"/>
    <m/>
    <m/>
    <m/>
    <m/>
    <n v="1779.5"/>
    <n v="129.5"/>
    <m/>
    <m/>
    <m/>
    <m/>
  </r>
  <r>
    <x v="182"/>
    <x v="7"/>
    <x v="0"/>
    <m/>
    <x v="11"/>
    <s v="Track"/>
    <m/>
    <n v="1191"/>
    <n v="129"/>
    <n v="1197"/>
    <n v="128"/>
    <m/>
    <m/>
    <m/>
    <m/>
    <n v="1194"/>
    <n v="128.5"/>
    <m/>
    <m/>
    <m/>
    <m/>
  </r>
  <r>
    <x v="182"/>
    <x v="7"/>
    <x v="0"/>
    <m/>
    <x v="10"/>
    <s v="Track"/>
    <m/>
    <n v="1272"/>
    <n v="129"/>
    <n v="1259"/>
    <n v="131"/>
    <m/>
    <m/>
    <m/>
    <m/>
    <n v="1265.5"/>
    <n v="130"/>
    <m/>
    <m/>
    <m/>
    <m/>
  </r>
  <r>
    <x v="182"/>
    <x v="7"/>
    <x v="0"/>
    <m/>
    <x v="12"/>
    <s v="Track"/>
    <m/>
    <n v="1667"/>
    <n v="134"/>
    <n v="1655"/>
    <n v="136"/>
    <m/>
    <m/>
    <m/>
    <m/>
    <n v="1661"/>
    <n v="135"/>
    <m/>
    <m/>
    <m/>
    <m/>
  </r>
  <r>
    <x v="182"/>
    <x v="7"/>
    <x v="0"/>
    <m/>
    <x v="9"/>
    <s v="Track"/>
    <m/>
    <n v="1640"/>
    <n v="132"/>
    <n v="1728"/>
    <n v="134"/>
    <m/>
    <m/>
    <m/>
    <m/>
    <n v="1684"/>
    <n v="133"/>
    <m/>
    <m/>
    <m/>
    <m/>
  </r>
  <r>
    <x v="182"/>
    <x v="7"/>
    <x v="0"/>
    <m/>
    <x v="8"/>
    <s v="Track"/>
    <m/>
    <n v="1937"/>
    <n v="135"/>
    <n v="1893"/>
    <n v="135"/>
    <m/>
    <m/>
    <m/>
    <m/>
    <n v="1915"/>
    <n v="135"/>
    <m/>
    <m/>
    <m/>
    <m/>
  </r>
  <r>
    <x v="183"/>
    <x v="7"/>
    <x v="1"/>
    <m/>
    <x v="3"/>
    <s v="Track"/>
    <m/>
    <n v="1877"/>
    <n v="138"/>
    <n v="1785"/>
    <n v="133"/>
    <m/>
    <m/>
    <m/>
    <m/>
    <n v="1831"/>
    <n v="135.5"/>
    <m/>
    <m/>
    <m/>
    <m/>
  </r>
  <r>
    <x v="183"/>
    <x v="7"/>
    <x v="1"/>
    <m/>
    <x v="2"/>
    <s v="Track"/>
    <m/>
    <n v="2044"/>
    <n v="136"/>
    <n v="1995"/>
    <n v="140"/>
    <m/>
    <m/>
    <m/>
    <m/>
    <n v="2019.5"/>
    <n v="138"/>
    <m/>
    <m/>
    <m/>
    <m/>
  </r>
  <r>
    <x v="183"/>
    <x v="7"/>
    <x v="1"/>
    <m/>
    <x v="4"/>
    <s v="Track"/>
    <m/>
    <n v="2019"/>
    <n v="120"/>
    <n v="1987"/>
    <n v="123"/>
    <m/>
    <m/>
    <m/>
    <m/>
    <n v="2003"/>
    <n v="121.5"/>
    <m/>
    <m/>
    <m/>
    <m/>
  </r>
  <r>
    <x v="183"/>
    <x v="7"/>
    <x v="1"/>
    <m/>
    <x v="8"/>
    <s v="Track"/>
    <m/>
    <n v="1967"/>
    <n v="133"/>
    <n v="1911"/>
    <n v="123"/>
    <m/>
    <m/>
    <m/>
    <m/>
    <n v="1939"/>
    <n v="128"/>
    <m/>
    <m/>
    <m/>
    <m/>
  </r>
  <r>
    <x v="183"/>
    <x v="7"/>
    <x v="1"/>
    <m/>
    <x v="9"/>
    <s v="Track"/>
    <m/>
    <n v="1735"/>
    <n v="131"/>
    <n v="1667"/>
    <n v="131"/>
    <m/>
    <m/>
    <m/>
    <m/>
    <n v="1701"/>
    <n v="131"/>
    <m/>
    <m/>
    <m/>
    <m/>
  </r>
  <r>
    <x v="183"/>
    <x v="7"/>
    <x v="1"/>
    <m/>
    <x v="12"/>
    <s v="Track"/>
    <m/>
    <n v="1665"/>
    <n v="134"/>
    <n v="1685"/>
    <n v="135"/>
    <m/>
    <m/>
    <m/>
    <m/>
    <n v="1675"/>
    <n v="134.5"/>
    <m/>
    <m/>
    <m/>
    <m/>
  </r>
  <r>
    <x v="183"/>
    <x v="7"/>
    <x v="1"/>
    <m/>
    <x v="10"/>
    <s v="Track"/>
    <m/>
    <n v="1346"/>
    <n v="129"/>
    <n v="1305"/>
    <n v="127"/>
    <m/>
    <m/>
    <m/>
    <m/>
    <n v="1325.5"/>
    <n v="128"/>
    <m/>
    <m/>
    <m/>
    <m/>
  </r>
  <r>
    <x v="183"/>
    <x v="7"/>
    <x v="1"/>
    <m/>
    <x v="0"/>
    <s v="Track"/>
    <m/>
    <n v="1190"/>
    <n v="131"/>
    <n v="1191"/>
    <n v="128"/>
    <m/>
    <m/>
    <m/>
    <m/>
    <n v="1190.5"/>
    <n v="129.5"/>
    <m/>
    <m/>
    <m/>
    <m/>
  </r>
  <r>
    <x v="184"/>
    <x v="7"/>
    <x v="7"/>
    <m/>
    <x v="7"/>
    <s v="Track"/>
    <m/>
    <n v="1860"/>
    <n v="143"/>
    <n v="1817"/>
    <n v="145"/>
    <m/>
    <m/>
    <m/>
    <m/>
    <n v="1838.5"/>
    <n v="144"/>
    <m/>
    <m/>
    <m/>
    <m/>
  </r>
  <r>
    <x v="184"/>
    <x v="7"/>
    <x v="7"/>
    <m/>
    <x v="13"/>
    <s v="Track"/>
    <m/>
    <n v="1783"/>
    <n v="142"/>
    <n v="1832"/>
    <n v="144"/>
    <m/>
    <m/>
    <m/>
    <m/>
    <n v="1807.5"/>
    <n v="143"/>
    <m/>
    <m/>
    <m/>
    <m/>
  </r>
  <r>
    <x v="185"/>
    <x v="8"/>
    <x v="8"/>
    <m/>
    <x v="14"/>
    <s v="Track"/>
    <m/>
    <n v="1061"/>
    <n v="132"/>
    <n v="1095"/>
    <n v="132"/>
    <m/>
    <m/>
    <m/>
    <m/>
    <n v="1078"/>
    <n v="132"/>
    <m/>
    <m/>
    <m/>
    <m/>
  </r>
  <r>
    <x v="185"/>
    <x v="8"/>
    <x v="8"/>
    <m/>
    <x v="15"/>
    <s v="Track"/>
    <m/>
    <n v="1147"/>
    <n v="113"/>
    <n v="1126"/>
    <n v="114"/>
    <m/>
    <m/>
    <m/>
    <m/>
    <n v="1136.5"/>
    <n v="113.5"/>
    <m/>
    <m/>
    <m/>
    <m/>
  </r>
  <r>
    <x v="185"/>
    <x v="8"/>
    <x v="8"/>
    <m/>
    <x v="0"/>
    <s v="Track"/>
    <m/>
    <n v="1233"/>
    <n v="130"/>
    <n v="1264"/>
    <n v="133"/>
    <m/>
    <m/>
    <m/>
    <m/>
    <n v="1248.5"/>
    <n v="131.5"/>
    <m/>
    <m/>
    <m/>
    <m/>
  </r>
  <r>
    <x v="185"/>
    <x v="8"/>
    <x v="8"/>
    <m/>
    <x v="10"/>
    <s v="Track"/>
    <m/>
    <n v="1389"/>
    <n v="131"/>
    <n v="1329"/>
    <n v="130"/>
    <m/>
    <m/>
    <m/>
    <m/>
    <n v="1359"/>
    <n v="130.5"/>
    <m/>
    <m/>
    <m/>
    <m/>
  </r>
  <r>
    <x v="185"/>
    <x v="8"/>
    <x v="8"/>
    <m/>
    <x v="9"/>
    <s v="Track"/>
    <m/>
    <n v="1750"/>
    <n v="140"/>
    <n v="1777"/>
    <n v="144"/>
    <m/>
    <m/>
    <m/>
    <m/>
    <n v="1763.5"/>
    <n v="142"/>
    <m/>
    <m/>
    <m/>
    <m/>
  </r>
  <r>
    <x v="185"/>
    <x v="8"/>
    <x v="8"/>
    <m/>
    <x v="12"/>
    <s v="Track"/>
    <m/>
    <n v="1793"/>
    <n v="136"/>
    <n v="1729"/>
    <n v="134"/>
    <m/>
    <m/>
    <m/>
    <m/>
    <n v="1761"/>
    <n v="135"/>
    <m/>
    <m/>
    <m/>
    <m/>
  </r>
  <r>
    <x v="185"/>
    <x v="8"/>
    <x v="8"/>
    <m/>
    <x v="7"/>
    <s v="Track"/>
    <m/>
    <n v="1849"/>
    <n v="150"/>
    <n v="1762"/>
    <n v="144"/>
    <m/>
    <m/>
    <m/>
    <m/>
    <n v="1805.5"/>
    <n v="147"/>
    <m/>
    <m/>
    <m/>
    <m/>
  </r>
  <r>
    <x v="185"/>
    <x v="8"/>
    <x v="8"/>
    <m/>
    <x v="13"/>
    <s v="Track"/>
    <m/>
    <n v="1788"/>
    <n v="139"/>
    <n v="1790"/>
    <n v="140"/>
    <m/>
    <m/>
    <m/>
    <m/>
    <n v="1789"/>
    <n v="139.5"/>
    <m/>
    <m/>
    <m/>
    <m/>
  </r>
  <r>
    <x v="185"/>
    <x v="8"/>
    <x v="8"/>
    <m/>
    <x v="3"/>
    <s v="Track"/>
    <m/>
    <n v="1814"/>
    <n v="131"/>
    <n v="1837"/>
    <n v="134"/>
    <m/>
    <m/>
    <m/>
    <m/>
    <n v="1825.5"/>
    <n v="132.5"/>
    <m/>
    <m/>
    <m/>
    <m/>
  </r>
  <r>
    <x v="185"/>
    <x v="8"/>
    <x v="8"/>
    <m/>
    <x v="2"/>
    <s v="Track"/>
    <m/>
    <n v="1989"/>
    <n v="139"/>
    <n v="1986"/>
    <n v="141"/>
    <m/>
    <m/>
    <m/>
    <m/>
    <n v="1987.5"/>
    <n v="140"/>
    <m/>
    <m/>
    <m/>
    <m/>
  </r>
  <r>
    <x v="185"/>
    <x v="8"/>
    <x v="8"/>
    <m/>
    <x v="4"/>
    <s v="Track"/>
    <m/>
    <n v="2122"/>
    <n v="134"/>
    <n v="2042"/>
    <n v="126"/>
    <m/>
    <m/>
    <m/>
    <m/>
    <n v="2082"/>
    <n v="130"/>
    <m/>
    <m/>
    <m/>
    <m/>
  </r>
  <r>
    <x v="185"/>
    <x v="8"/>
    <x v="8"/>
    <m/>
    <x v="8"/>
    <s v="Track"/>
    <m/>
    <n v="2023"/>
    <n v="134"/>
    <n v="1974"/>
    <n v="137"/>
    <m/>
    <m/>
    <m/>
    <m/>
    <n v="1998.5"/>
    <n v="135.5"/>
    <m/>
    <m/>
    <m/>
    <m/>
  </r>
  <r>
    <x v="186"/>
    <x v="8"/>
    <x v="9"/>
    <m/>
    <x v="15"/>
    <s v="Track"/>
    <m/>
    <n v="1091"/>
    <n v="110"/>
    <n v="1106"/>
    <n v="114"/>
    <m/>
    <m/>
    <m/>
    <m/>
    <n v="1098.5"/>
    <n v="112"/>
    <m/>
    <m/>
    <m/>
    <m/>
  </r>
  <r>
    <x v="186"/>
    <x v="8"/>
    <x v="9"/>
    <m/>
    <x v="16"/>
    <s v="Track"/>
    <m/>
    <n v="1156"/>
    <n v="137"/>
    <n v="1140"/>
    <n v="133"/>
    <m/>
    <m/>
    <m/>
    <m/>
    <n v="1148"/>
    <n v="135"/>
    <m/>
    <m/>
    <m/>
    <m/>
  </r>
  <r>
    <x v="186"/>
    <x v="8"/>
    <x v="9"/>
    <m/>
    <x v="10"/>
    <s v="Track"/>
    <m/>
    <n v="1293"/>
    <n v="128"/>
    <n v="1287"/>
    <n v="130"/>
    <m/>
    <m/>
    <m/>
    <m/>
    <n v="1290"/>
    <n v="129"/>
    <m/>
    <m/>
    <m/>
    <m/>
  </r>
  <r>
    <x v="186"/>
    <x v="8"/>
    <x v="9"/>
    <m/>
    <x v="13"/>
    <s v="Track"/>
    <m/>
    <n v="1669"/>
    <n v="137"/>
    <n v="1713"/>
    <n v="133"/>
    <m/>
    <m/>
    <m/>
    <m/>
    <n v="1691"/>
    <n v="135"/>
    <m/>
    <m/>
    <m/>
    <m/>
  </r>
  <r>
    <x v="186"/>
    <x v="8"/>
    <x v="9"/>
    <m/>
    <x v="12"/>
    <s v="Track"/>
    <m/>
    <n v="1767"/>
    <n v="139"/>
    <n v="1745"/>
    <n v="140"/>
    <m/>
    <m/>
    <m/>
    <m/>
    <n v="1756"/>
    <n v="139.5"/>
    <m/>
    <m/>
    <m/>
    <m/>
  </r>
  <r>
    <x v="186"/>
    <x v="8"/>
    <x v="9"/>
    <m/>
    <x v="3"/>
    <s v="Track"/>
    <m/>
    <n v="1753"/>
    <n v="126"/>
    <n v="1760"/>
    <n v="134"/>
    <m/>
    <m/>
    <m/>
    <m/>
    <n v="1756.5"/>
    <n v="130"/>
    <m/>
    <m/>
    <m/>
    <m/>
  </r>
  <r>
    <x v="186"/>
    <x v="8"/>
    <x v="9"/>
    <m/>
    <x v="7"/>
    <s v="Track"/>
    <m/>
    <n v="1780"/>
    <n v="144"/>
    <n v="1788"/>
    <n v="146"/>
    <m/>
    <m/>
    <m/>
    <m/>
    <n v="1784"/>
    <n v="145"/>
    <m/>
    <m/>
    <m/>
    <m/>
  </r>
  <r>
    <x v="186"/>
    <x v="8"/>
    <x v="9"/>
    <m/>
    <x v="8"/>
    <s v="Track"/>
    <m/>
    <n v="1894"/>
    <n v="133"/>
    <n v="1869"/>
    <n v="139"/>
    <m/>
    <m/>
    <m/>
    <m/>
    <n v="1881.5"/>
    <n v="136"/>
    <m/>
    <m/>
    <m/>
    <m/>
  </r>
  <r>
    <x v="186"/>
    <x v="8"/>
    <x v="9"/>
    <m/>
    <x v="2"/>
    <s v="Track"/>
    <m/>
    <n v="1985"/>
    <n v="142"/>
    <n v="1977"/>
    <n v="140"/>
    <m/>
    <m/>
    <m/>
    <m/>
    <n v="1981"/>
    <n v="141"/>
    <m/>
    <m/>
    <m/>
    <m/>
  </r>
  <r>
    <x v="187"/>
    <x v="8"/>
    <x v="4"/>
    <m/>
    <x v="2"/>
    <s v="Track"/>
    <m/>
    <n v="1966"/>
    <n v="144"/>
    <n v="2014"/>
    <n v="148"/>
    <m/>
    <m/>
    <m/>
    <m/>
    <n v="1990"/>
    <n v="146"/>
    <m/>
    <m/>
    <m/>
    <m/>
  </r>
  <r>
    <x v="187"/>
    <x v="8"/>
    <x v="4"/>
    <m/>
    <x v="9"/>
    <s v="Track"/>
    <m/>
    <n v="1819"/>
    <n v="136"/>
    <n v="1778"/>
    <n v="139"/>
    <m/>
    <m/>
    <m/>
    <m/>
    <n v="1798.5"/>
    <n v="137.5"/>
    <m/>
    <m/>
    <m/>
    <m/>
  </r>
  <r>
    <x v="187"/>
    <x v="8"/>
    <x v="4"/>
    <m/>
    <x v="3"/>
    <s v="Track"/>
    <m/>
    <n v="1873"/>
    <n v="143"/>
    <n v="1799"/>
    <n v="141"/>
    <m/>
    <m/>
    <m/>
    <m/>
    <n v="1836"/>
    <n v="142"/>
    <m/>
    <m/>
    <m/>
    <m/>
  </r>
  <r>
    <x v="187"/>
    <x v="8"/>
    <x v="4"/>
    <m/>
    <x v="10"/>
    <s v="Track"/>
    <m/>
    <n v="1421"/>
    <n v="137"/>
    <n v="1340"/>
    <n v="130"/>
    <m/>
    <m/>
    <m/>
    <m/>
    <n v="1380.5"/>
    <n v="133.5"/>
    <m/>
    <m/>
    <m/>
    <m/>
  </r>
  <r>
    <x v="187"/>
    <x v="8"/>
    <x v="4"/>
    <m/>
    <x v="16"/>
    <s v="Track"/>
    <m/>
    <n v="1229"/>
    <n v="138"/>
    <n v="1224"/>
    <n v="135"/>
    <m/>
    <m/>
    <m/>
    <m/>
    <n v="1226.5"/>
    <n v="136.5"/>
    <m/>
    <m/>
    <m/>
    <m/>
  </r>
  <r>
    <x v="187"/>
    <x v="8"/>
    <x v="4"/>
    <m/>
    <x v="13"/>
    <s v="Track"/>
    <m/>
    <n v="1792"/>
    <n v="141"/>
    <n v="1703"/>
    <n v="139"/>
    <m/>
    <m/>
    <m/>
    <m/>
    <n v="1747.5"/>
    <n v="140"/>
    <m/>
    <m/>
    <m/>
    <m/>
  </r>
  <r>
    <x v="187"/>
    <x v="8"/>
    <x v="4"/>
    <m/>
    <x v="12"/>
    <s v="Track"/>
    <m/>
    <n v="1782"/>
    <n v="141"/>
    <n v="1811"/>
    <n v="138"/>
    <m/>
    <m/>
    <m/>
    <m/>
    <n v="1796.5"/>
    <n v="139.5"/>
    <m/>
    <m/>
    <m/>
    <m/>
  </r>
  <r>
    <x v="187"/>
    <x v="8"/>
    <x v="4"/>
    <m/>
    <x v="7"/>
    <s v="Track"/>
    <m/>
    <n v="1866"/>
    <n v="152"/>
    <n v="1844"/>
    <n v="147"/>
    <m/>
    <m/>
    <m/>
    <m/>
    <n v="1855"/>
    <n v="149.5"/>
    <m/>
    <m/>
    <m/>
    <m/>
  </r>
  <r>
    <x v="187"/>
    <x v="8"/>
    <x v="4"/>
    <m/>
    <x v="8"/>
    <s v="Track"/>
    <m/>
    <n v="1938"/>
    <n v="143"/>
    <n v="1900"/>
    <n v="141"/>
    <m/>
    <m/>
    <m/>
    <m/>
    <n v="1919"/>
    <n v="142"/>
    <m/>
    <m/>
    <m/>
    <m/>
  </r>
  <r>
    <x v="187"/>
    <x v="8"/>
    <x v="4"/>
    <m/>
    <x v="17"/>
    <s v="Track"/>
    <m/>
    <n v="1667"/>
    <n v="133"/>
    <n v="1648"/>
    <n v="136"/>
    <m/>
    <m/>
    <m/>
    <m/>
    <n v="1657.5"/>
    <n v="134.5"/>
    <m/>
    <m/>
    <m/>
    <m/>
  </r>
  <r>
    <x v="187"/>
    <x v="8"/>
    <x v="4"/>
    <m/>
    <x v="4"/>
    <s v="Track"/>
    <m/>
    <n v="2044"/>
    <n v="129"/>
    <n v="2069"/>
    <n v="130"/>
    <m/>
    <m/>
    <m/>
    <m/>
    <n v="2056.5"/>
    <n v="129.5"/>
    <m/>
    <m/>
    <m/>
    <m/>
  </r>
  <r>
    <x v="188"/>
    <x v="8"/>
    <x v="4"/>
    <m/>
    <x v="3"/>
    <s v="Track"/>
    <m/>
    <n v="1768"/>
    <n v="127"/>
    <n v="1776"/>
    <n v="123"/>
    <m/>
    <m/>
    <m/>
    <m/>
    <n v="1772"/>
    <n v="125"/>
    <m/>
    <m/>
    <m/>
    <m/>
  </r>
  <r>
    <x v="188"/>
    <x v="8"/>
    <x v="4"/>
    <m/>
    <x v="2"/>
    <s v="Track"/>
    <m/>
    <n v="1815"/>
    <n v="133"/>
    <n v="1954"/>
    <n v="139"/>
    <m/>
    <m/>
    <m/>
    <m/>
    <n v="1884.5"/>
    <n v="136"/>
    <m/>
    <m/>
    <m/>
    <m/>
  </r>
  <r>
    <x v="188"/>
    <x v="8"/>
    <x v="4"/>
    <m/>
    <x v="4"/>
    <s v="Track"/>
    <m/>
    <n v="2019"/>
    <n v="120"/>
    <n v="2021"/>
    <n v="128"/>
    <m/>
    <m/>
    <m/>
    <m/>
    <n v="2020"/>
    <n v="124"/>
    <m/>
    <m/>
    <m/>
    <m/>
  </r>
  <r>
    <x v="189"/>
    <x v="8"/>
    <x v="6"/>
    <m/>
    <x v="3"/>
    <s v="Track"/>
    <m/>
    <n v="1820"/>
    <n v="128"/>
    <n v="1842"/>
    <n v="126"/>
    <m/>
    <m/>
    <m/>
    <m/>
    <n v="1831"/>
    <n v="127"/>
    <m/>
    <m/>
    <m/>
    <m/>
  </r>
  <r>
    <x v="189"/>
    <x v="8"/>
    <x v="6"/>
    <m/>
    <x v="10"/>
    <s v="Track"/>
    <m/>
    <n v="1396"/>
    <n v="133"/>
    <n v="1367"/>
    <n v="131"/>
    <m/>
    <m/>
    <m/>
    <m/>
    <n v="1381.5"/>
    <n v="132"/>
    <m/>
    <m/>
    <m/>
    <m/>
  </r>
  <r>
    <x v="189"/>
    <x v="8"/>
    <x v="6"/>
    <m/>
    <x v="4"/>
    <s v="Track"/>
    <m/>
    <n v="1987"/>
    <n v="131"/>
    <n v="1898"/>
    <n v="132"/>
    <m/>
    <m/>
    <m/>
    <m/>
    <n v="1942.5"/>
    <n v="131.5"/>
    <m/>
    <m/>
    <m/>
    <m/>
  </r>
  <r>
    <x v="189"/>
    <x v="8"/>
    <x v="6"/>
    <m/>
    <x v="15"/>
    <s v="Track"/>
    <m/>
    <n v="1201"/>
    <n v="117"/>
    <n v="1197"/>
    <n v="109"/>
    <m/>
    <m/>
    <m/>
    <m/>
    <n v="1199"/>
    <n v="113"/>
    <m/>
    <m/>
    <m/>
    <m/>
  </r>
  <r>
    <x v="189"/>
    <x v="8"/>
    <x v="6"/>
    <m/>
    <x v="7"/>
    <s v="Track"/>
    <m/>
    <n v="1803"/>
    <n v="143"/>
    <n v="1854"/>
    <n v="147"/>
    <m/>
    <m/>
    <m/>
    <m/>
    <n v="1828.5"/>
    <n v="145"/>
    <m/>
    <m/>
    <m/>
    <m/>
  </r>
  <r>
    <x v="189"/>
    <x v="8"/>
    <x v="6"/>
    <m/>
    <x v="8"/>
    <s v="Track"/>
    <m/>
    <n v="1924"/>
    <n v="140"/>
    <n v="1939"/>
    <n v="126"/>
    <m/>
    <m/>
    <m/>
    <m/>
    <n v="1931.5"/>
    <n v="133"/>
    <m/>
    <m/>
    <m/>
    <m/>
  </r>
  <r>
    <x v="189"/>
    <x v="8"/>
    <x v="6"/>
    <m/>
    <x v="13"/>
    <s v="Track"/>
    <m/>
    <n v="1781"/>
    <n v="132"/>
    <n v="1770"/>
    <n v="133"/>
    <m/>
    <m/>
    <m/>
    <m/>
    <n v="1775.5"/>
    <n v="132.5"/>
    <m/>
    <m/>
    <m/>
    <m/>
  </r>
  <r>
    <x v="189"/>
    <x v="8"/>
    <x v="6"/>
    <m/>
    <x v="12"/>
    <s v="Track"/>
    <m/>
    <n v="1652"/>
    <n v="147"/>
    <n v="1561"/>
    <n v="135"/>
    <m/>
    <m/>
    <m/>
    <m/>
    <n v="1606.5"/>
    <n v="141"/>
    <m/>
    <m/>
    <m/>
    <m/>
  </r>
  <r>
    <x v="190"/>
    <x v="8"/>
    <x v="10"/>
    <m/>
    <x v="3"/>
    <s v="Track"/>
    <m/>
    <n v="1913"/>
    <n v="133"/>
    <n v="1923"/>
    <n v="137"/>
    <m/>
    <m/>
    <m/>
    <m/>
    <n v="1918"/>
    <n v="135"/>
    <m/>
    <m/>
    <m/>
    <m/>
  </r>
  <r>
    <x v="190"/>
    <x v="8"/>
    <x v="10"/>
    <m/>
    <x v="7"/>
    <s v="Track"/>
    <m/>
    <n v="1902"/>
    <n v="149"/>
    <n v="1882"/>
    <n v="150"/>
    <m/>
    <m/>
    <m/>
    <m/>
    <n v="1892"/>
    <n v="149.5"/>
    <m/>
    <m/>
    <m/>
    <m/>
  </r>
  <r>
    <x v="190"/>
    <x v="8"/>
    <x v="10"/>
    <m/>
    <x v="13"/>
    <s v="Track"/>
    <m/>
    <n v="1854"/>
    <n v="137"/>
    <n v="1895"/>
    <n v="137"/>
    <m/>
    <m/>
    <m/>
    <m/>
    <n v="1874.5"/>
    <n v="137"/>
    <m/>
    <m/>
    <m/>
    <m/>
  </r>
  <r>
    <x v="190"/>
    <x v="8"/>
    <x v="10"/>
    <m/>
    <x v="8"/>
    <s v="Track"/>
    <m/>
    <n v="1942"/>
    <n v="135"/>
    <n v="1929"/>
    <n v="134"/>
    <m/>
    <m/>
    <m/>
    <m/>
    <n v="1935.5"/>
    <n v="134.5"/>
    <m/>
    <m/>
    <m/>
    <m/>
  </r>
  <r>
    <x v="190"/>
    <x v="8"/>
    <x v="10"/>
    <m/>
    <x v="12"/>
    <s v="Track"/>
    <m/>
    <n v="1781"/>
    <n v="139"/>
    <n v="1755"/>
    <n v="137"/>
    <m/>
    <m/>
    <m/>
    <m/>
    <n v="1768"/>
    <n v="138"/>
    <m/>
    <m/>
    <m/>
    <m/>
  </r>
  <r>
    <x v="190"/>
    <x v="8"/>
    <x v="10"/>
    <m/>
    <x v="15"/>
    <s v="Track"/>
    <m/>
    <n v="1157"/>
    <n v="115"/>
    <n v="1167"/>
    <n v="116"/>
    <m/>
    <m/>
    <m/>
    <m/>
    <n v="1162"/>
    <n v="115.5"/>
    <m/>
    <m/>
    <m/>
    <m/>
  </r>
  <r>
    <x v="190"/>
    <x v="8"/>
    <x v="10"/>
    <m/>
    <x v="16"/>
    <s v="Track"/>
    <m/>
    <n v="1267"/>
    <n v="134"/>
    <n v="1254"/>
    <n v="139"/>
    <m/>
    <m/>
    <m/>
    <m/>
    <n v="1260.5"/>
    <n v="136.5"/>
    <m/>
    <m/>
    <m/>
    <m/>
  </r>
  <r>
    <x v="190"/>
    <x v="8"/>
    <x v="10"/>
    <m/>
    <x v="0"/>
    <s v="Track"/>
    <m/>
    <n v="1155"/>
    <n v="128"/>
    <n v="1206"/>
    <n v="132"/>
    <m/>
    <m/>
    <m/>
    <m/>
    <n v="1180.5"/>
    <n v="130"/>
    <m/>
    <m/>
    <m/>
    <m/>
  </r>
  <r>
    <x v="191"/>
    <x v="8"/>
    <x v="10"/>
    <m/>
    <x v="4"/>
    <s v="Track"/>
    <m/>
    <n v="2141"/>
    <n v="132"/>
    <n v="2104"/>
    <n v="130"/>
    <m/>
    <m/>
    <m/>
    <m/>
    <n v="2122.5"/>
    <n v="131"/>
    <m/>
    <m/>
    <m/>
    <m/>
  </r>
  <r>
    <x v="192"/>
    <x v="8"/>
    <x v="10"/>
    <m/>
    <x v="4"/>
    <s v="Track"/>
    <m/>
    <n v="2040"/>
    <n v="132"/>
    <n v="2110"/>
    <n v="135"/>
    <m/>
    <m/>
    <m/>
    <m/>
    <n v="2075"/>
    <n v="133.5"/>
    <m/>
    <m/>
    <m/>
    <m/>
  </r>
  <r>
    <x v="193"/>
    <x v="8"/>
    <x v="10"/>
    <m/>
    <x v="4"/>
    <s v="Track"/>
    <m/>
    <n v="2005"/>
    <n v="123"/>
    <n v="1982"/>
    <n v="123"/>
    <m/>
    <m/>
    <m/>
    <m/>
    <n v="1993.5"/>
    <n v="123"/>
    <m/>
    <m/>
    <m/>
    <m/>
  </r>
  <r>
    <x v="194"/>
    <x v="8"/>
    <x v="0"/>
    <m/>
    <x v="2"/>
    <s v="Track"/>
    <m/>
    <n v="1970"/>
    <n v="128"/>
    <n v="2005"/>
    <n v="130"/>
    <m/>
    <m/>
    <m/>
    <m/>
    <n v="1987.5"/>
    <n v="129"/>
    <m/>
    <m/>
    <m/>
    <m/>
  </r>
  <r>
    <x v="194"/>
    <x v="8"/>
    <x v="0"/>
    <m/>
    <x v="3"/>
    <s v="Track"/>
    <m/>
    <n v="1796"/>
    <n v="132"/>
    <n v="1817"/>
    <n v="137"/>
    <m/>
    <m/>
    <m/>
    <m/>
    <n v="1806.5"/>
    <n v="134.5"/>
    <m/>
    <m/>
    <m/>
    <m/>
  </r>
  <r>
    <x v="194"/>
    <x v="8"/>
    <x v="0"/>
    <m/>
    <x v="4"/>
    <s v="Track"/>
    <m/>
    <n v="2112"/>
    <n v="129"/>
    <n v="2008"/>
    <n v="124"/>
    <m/>
    <m/>
    <m/>
    <m/>
    <n v="2060"/>
    <n v="126.5"/>
    <m/>
    <m/>
    <m/>
    <m/>
  </r>
  <r>
    <x v="194"/>
    <x v="8"/>
    <x v="0"/>
    <m/>
    <x v="8"/>
    <s v="Track"/>
    <m/>
    <n v="1965"/>
    <n v="140"/>
    <n v="1894"/>
    <n v="134"/>
    <m/>
    <m/>
    <m/>
    <m/>
    <n v="1929.5"/>
    <n v="137"/>
    <m/>
    <m/>
    <m/>
    <m/>
  </r>
  <r>
    <x v="194"/>
    <x v="8"/>
    <x v="0"/>
    <m/>
    <x v="12"/>
    <s v="Track"/>
    <m/>
    <n v="1827"/>
    <n v="141"/>
    <n v="1796"/>
    <n v="136"/>
    <m/>
    <m/>
    <m/>
    <m/>
    <n v="1811.5"/>
    <n v="138.5"/>
    <m/>
    <m/>
    <m/>
    <m/>
  </r>
  <r>
    <x v="194"/>
    <x v="8"/>
    <x v="0"/>
    <m/>
    <x v="9"/>
    <s v="Track"/>
    <m/>
    <n v="1807"/>
    <n v="140"/>
    <n v="1772"/>
    <n v="140"/>
    <m/>
    <m/>
    <m/>
    <m/>
    <n v="1789.5"/>
    <n v="140"/>
    <m/>
    <m/>
    <m/>
    <m/>
  </r>
  <r>
    <x v="194"/>
    <x v="8"/>
    <x v="0"/>
    <m/>
    <x v="13"/>
    <s v="Track"/>
    <m/>
    <n v="1770"/>
    <n v="131"/>
    <n v="1852"/>
    <n v="134"/>
    <m/>
    <m/>
    <m/>
    <m/>
    <n v="1811"/>
    <n v="132.5"/>
    <m/>
    <m/>
    <m/>
    <m/>
  </r>
  <r>
    <x v="194"/>
    <x v="8"/>
    <x v="0"/>
    <m/>
    <x v="7"/>
    <s v="Track"/>
    <m/>
    <n v="1797"/>
    <n v="148"/>
    <n v="1793"/>
    <n v="143"/>
    <m/>
    <m/>
    <m/>
    <m/>
    <n v="1795"/>
    <n v="145.5"/>
    <m/>
    <m/>
    <m/>
    <m/>
  </r>
  <r>
    <x v="194"/>
    <x v="8"/>
    <x v="0"/>
    <m/>
    <x v="10"/>
    <s v="Track"/>
    <m/>
    <n v="1435"/>
    <n v="134"/>
    <n v="1384"/>
    <n v="133"/>
    <m/>
    <m/>
    <m/>
    <m/>
    <n v="1409.5"/>
    <n v="133.5"/>
    <m/>
    <m/>
    <m/>
    <m/>
  </r>
  <r>
    <x v="194"/>
    <x v="8"/>
    <x v="0"/>
    <m/>
    <x v="16"/>
    <s v="Track"/>
    <m/>
    <n v="1218"/>
    <n v="131"/>
    <n v="1226"/>
    <n v="135"/>
    <m/>
    <m/>
    <m/>
    <m/>
    <n v="1222"/>
    <n v="133"/>
    <m/>
    <m/>
    <m/>
    <m/>
  </r>
  <r>
    <x v="194"/>
    <x v="8"/>
    <x v="0"/>
    <m/>
    <x v="15"/>
    <s v="Track"/>
    <m/>
    <n v="1226"/>
    <n v="118"/>
    <n v="1239"/>
    <n v="118"/>
    <m/>
    <m/>
    <m/>
    <m/>
    <n v="1232.5"/>
    <n v="118"/>
    <m/>
    <m/>
    <m/>
    <m/>
  </r>
  <r>
    <x v="195"/>
    <x v="9"/>
    <x v="4"/>
    <m/>
    <x v="18"/>
    <s v="Track"/>
    <m/>
    <n v="1387"/>
    <n v="135"/>
    <n v="1351"/>
    <n v="132"/>
    <m/>
    <m/>
    <m/>
    <m/>
    <n v="1369"/>
    <n v="133.5"/>
    <m/>
    <m/>
    <m/>
    <m/>
  </r>
  <r>
    <x v="196"/>
    <x v="9"/>
    <x v="5"/>
    <s v="9:30am"/>
    <x v="3"/>
    <s v="Track"/>
    <m/>
    <n v="1834"/>
    <n v="144"/>
    <n v="1814"/>
    <n v="141"/>
    <m/>
    <m/>
    <m/>
    <m/>
    <n v="1824"/>
    <n v="142.5"/>
    <m/>
    <m/>
    <m/>
    <m/>
  </r>
  <r>
    <x v="196"/>
    <x v="9"/>
    <x v="5"/>
    <s v="9:30am"/>
    <x v="9"/>
    <s v="Track"/>
    <m/>
    <n v="1827"/>
    <n v="139"/>
    <n v="1781"/>
    <n v="135"/>
    <m/>
    <m/>
    <m/>
    <m/>
    <n v="1804"/>
    <n v="137"/>
    <m/>
    <m/>
    <m/>
    <m/>
  </r>
  <r>
    <x v="196"/>
    <x v="9"/>
    <x v="5"/>
    <s v="9:30am"/>
    <x v="10"/>
    <s v="Track"/>
    <m/>
    <n v="1433"/>
    <n v="136"/>
    <n v="1439"/>
    <n v="136"/>
    <m/>
    <m/>
    <m/>
    <m/>
    <n v="1436"/>
    <n v="136"/>
    <m/>
    <m/>
    <m/>
    <m/>
  </r>
  <r>
    <x v="196"/>
    <x v="9"/>
    <x v="5"/>
    <s v="9:30am"/>
    <x v="16"/>
    <s v="Track"/>
    <m/>
    <n v="1172"/>
    <n v="134"/>
    <n v="1144"/>
    <n v="131"/>
    <m/>
    <m/>
    <m/>
    <m/>
    <n v="1158"/>
    <n v="132.5"/>
    <m/>
    <m/>
    <m/>
    <m/>
  </r>
  <r>
    <x v="196"/>
    <x v="9"/>
    <x v="5"/>
    <s v="9:30am"/>
    <x v="18"/>
    <s v="Track"/>
    <m/>
    <n v="1333"/>
    <n v="135"/>
    <n v="1335"/>
    <n v="136"/>
    <m/>
    <m/>
    <m/>
    <m/>
    <n v="1334"/>
    <n v="135.5"/>
    <m/>
    <m/>
    <m/>
    <m/>
  </r>
  <r>
    <x v="196"/>
    <x v="9"/>
    <x v="5"/>
    <s v="9:30am"/>
    <x v="14"/>
    <s v="Track"/>
    <m/>
    <n v="974"/>
    <n v="138"/>
    <n v="974"/>
    <n v="139"/>
    <m/>
    <m/>
    <m/>
    <m/>
    <n v="974"/>
    <n v="138.5"/>
    <m/>
    <m/>
    <m/>
    <m/>
  </r>
  <r>
    <x v="197"/>
    <x v="9"/>
    <x v="6"/>
    <s v="1:00pm"/>
    <x v="2"/>
    <s v="Track"/>
    <m/>
    <n v="1983"/>
    <n v="142"/>
    <n v="2004"/>
    <n v="134"/>
    <m/>
    <m/>
    <m/>
    <m/>
    <n v="1993.5"/>
    <n v="138"/>
    <m/>
    <m/>
    <m/>
    <m/>
  </r>
  <r>
    <x v="197"/>
    <x v="9"/>
    <x v="6"/>
    <s v="1:00pm"/>
    <x v="13"/>
    <s v="Track"/>
    <m/>
    <n v="1808"/>
    <n v="140"/>
    <n v="1866"/>
    <n v="138"/>
    <m/>
    <m/>
    <m/>
    <m/>
    <n v="1837"/>
    <n v="139"/>
    <m/>
    <m/>
    <m/>
    <m/>
  </r>
  <r>
    <x v="197"/>
    <x v="9"/>
    <x v="6"/>
    <s v="1:00pm"/>
    <x v="10"/>
    <s v="Track"/>
    <m/>
    <n v="1506"/>
    <n v="134"/>
    <n v="1457"/>
    <n v="129"/>
    <m/>
    <m/>
    <m/>
    <m/>
    <n v="1481.5"/>
    <n v="131.5"/>
    <m/>
    <m/>
    <m/>
    <m/>
  </r>
  <r>
    <x v="197"/>
    <x v="9"/>
    <x v="6"/>
    <s v="1:00pm"/>
    <x v="18"/>
    <s v="Track"/>
    <m/>
    <n v="1411"/>
    <n v="136"/>
    <n v="1418"/>
    <n v="136"/>
    <m/>
    <m/>
    <m/>
    <m/>
    <n v="1414.5"/>
    <n v="136"/>
    <m/>
    <m/>
    <m/>
    <m/>
  </r>
  <r>
    <x v="197"/>
    <x v="9"/>
    <x v="6"/>
    <s v="1:00pm"/>
    <x v="3"/>
    <s v="Track"/>
    <m/>
    <n v="1794"/>
    <n v="140"/>
    <n v="1828"/>
    <n v="140"/>
    <m/>
    <m/>
    <m/>
    <m/>
    <n v="1811"/>
    <n v="140"/>
    <m/>
    <m/>
    <m/>
    <m/>
  </r>
  <r>
    <x v="198"/>
    <x v="9"/>
    <x v="6"/>
    <s v="1:00pm"/>
    <x v="7"/>
    <s v="Track"/>
    <m/>
    <n v="1823"/>
    <n v="136"/>
    <n v="1810"/>
    <n v="139"/>
    <m/>
    <m/>
    <m/>
    <m/>
    <n v="1816.5"/>
    <n v="137.5"/>
    <m/>
    <m/>
    <m/>
    <m/>
  </r>
  <r>
    <x v="199"/>
    <x v="9"/>
    <x v="10"/>
    <s v="1:00pm"/>
    <x v="0"/>
    <s v="Track"/>
    <m/>
    <n v="1199"/>
    <n v="131"/>
    <n v="1177"/>
    <n v="133"/>
    <m/>
    <m/>
    <m/>
    <m/>
    <n v="1188"/>
    <n v="132"/>
    <m/>
    <m/>
    <m/>
    <m/>
  </r>
  <r>
    <x v="200"/>
    <x v="9"/>
    <x v="11"/>
    <s v="10:30am"/>
    <x v="2"/>
    <s v="Track"/>
    <m/>
    <n v="2012"/>
    <n v="143"/>
    <n v="2050"/>
    <n v="141"/>
    <m/>
    <m/>
    <m/>
    <m/>
    <n v="2031"/>
    <n v="142"/>
    <m/>
    <m/>
    <m/>
    <m/>
  </r>
  <r>
    <x v="200"/>
    <x v="9"/>
    <x v="11"/>
    <s v="10:30am"/>
    <x v="16"/>
    <s v="Track"/>
    <m/>
    <n v="1271"/>
    <n v="133"/>
    <n v="1255"/>
    <n v="134"/>
    <m/>
    <m/>
    <m/>
    <m/>
    <n v="1263"/>
    <n v="133.5"/>
    <m/>
    <m/>
    <m/>
    <m/>
  </r>
  <r>
    <x v="200"/>
    <x v="9"/>
    <x v="11"/>
    <s v="10:30am"/>
    <x v="13"/>
    <s v="Track"/>
    <m/>
    <n v="1842"/>
    <n v="132"/>
    <n v="1856"/>
    <n v="138"/>
    <m/>
    <m/>
    <m/>
    <m/>
    <n v="1849"/>
    <n v="135"/>
    <m/>
    <m/>
    <m/>
    <m/>
  </r>
  <r>
    <x v="200"/>
    <x v="9"/>
    <x v="11"/>
    <s v="10:30am"/>
    <x v="7"/>
    <s v="Track"/>
    <m/>
    <n v="1690"/>
    <n v="138"/>
    <n v="1705"/>
    <n v="140"/>
    <m/>
    <m/>
    <m/>
    <m/>
    <n v="1697.5"/>
    <n v="139"/>
    <m/>
    <m/>
    <m/>
    <m/>
  </r>
  <r>
    <x v="200"/>
    <x v="9"/>
    <x v="11"/>
    <s v="10:30am"/>
    <x v="18"/>
    <s v="Track"/>
    <m/>
    <n v="1401"/>
    <n v="135"/>
    <n v="1403"/>
    <n v="135"/>
    <m/>
    <m/>
    <m/>
    <m/>
    <n v="1402"/>
    <n v="135"/>
    <m/>
    <m/>
    <m/>
    <m/>
  </r>
  <r>
    <x v="200"/>
    <x v="9"/>
    <x v="11"/>
    <s v="10:30am"/>
    <x v="3"/>
    <s v="Track"/>
    <m/>
    <n v="1733"/>
    <n v="143"/>
    <n v="1777"/>
    <n v="139"/>
    <m/>
    <m/>
    <m/>
    <m/>
    <n v="1755"/>
    <n v="141"/>
    <m/>
    <m/>
    <m/>
    <m/>
  </r>
  <r>
    <x v="200"/>
    <x v="9"/>
    <x v="11"/>
    <s v="10:30am"/>
    <x v="0"/>
    <s v="Track"/>
    <m/>
    <n v="1255"/>
    <n v="135"/>
    <n v="1272"/>
    <n v="136"/>
    <m/>
    <m/>
    <m/>
    <m/>
    <n v="1263.5"/>
    <n v="135.5"/>
    <m/>
    <m/>
    <m/>
    <m/>
  </r>
  <r>
    <x v="201"/>
    <x v="9"/>
    <x v="1"/>
    <s v="1:00pm"/>
    <x v="2"/>
    <s v="Track"/>
    <m/>
    <n v="2091"/>
    <n v="126"/>
    <n v="2076"/>
    <n v="136"/>
    <m/>
    <m/>
    <m/>
    <m/>
    <n v="2083.5"/>
    <n v="131"/>
    <m/>
    <m/>
    <m/>
    <m/>
  </r>
  <r>
    <x v="201"/>
    <x v="9"/>
    <x v="1"/>
    <s v="1:00pm"/>
    <x v="3"/>
    <s v="Track"/>
    <m/>
    <n v="1796"/>
    <n v="138"/>
    <n v="1799"/>
    <n v="135"/>
    <m/>
    <m/>
    <m/>
    <m/>
    <n v="1797.5"/>
    <n v="136.5"/>
    <m/>
    <m/>
    <m/>
    <m/>
  </r>
  <r>
    <x v="201"/>
    <x v="9"/>
    <x v="1"/>
    <s v="1:00pm"/>
    <x v="13"/>
    <s v="Track"/>
    <m/>
    <n v="1997"/>
    <n v="146"/>
    <n v="1897"/>
    <n v="140"/>
    <m/>
    <m/>
    <m/>
    <m/>
    <n v="1947"/>
    <n v="143"/>
    <m/>
    <m/>
    <m/>
    <m/>
  </r>
  <r>
    <x v="201"/>
    <x v="9"/>
    <x v="1"/>
    <s v="1:00pm"/>
    <x v="7"/>
    <s v="Track"/>
    <m/>
    <n v="1790"/>
    <n v="143"/>
    <n v="1740"/>
    <n v="138"/>
    <m/>
    <m/>
    <m/>
    <m/>
    <n v="1765"/>
    <n v="140.5"/>
    <m/>
    <m/>
    <m/>
    <m/>
  </r>
  <r>
    <x v="201"/>
    <x v="9"/>
    <x v="1"/>
    <s v="1:00pm"/>
    <x v="9"/>
    <s v="Track"/>
    <m/>
    <n v="1842"/>
    <n v="134"/>
    <n v="1845"/>
    <n v="137"/>
    <m/>
    <m/>
    <m/>
    <m/>
    <n v="1843.5"/>
    <n v="135.5"/>
    <m/>
    <m/>
    <m/>
    <m/>
  </r>
  <r>
    <x v="201"/>
    <x v="9"/>
    <x v="1"/>
    <s v="1:00pm"/>
    <x v="16"/>
    <s v="Track"/>
    <m/>
    <n v="1276"/>
    <n v="134"/>
    <n v="1276"/>
    <n v="138"/>
    <m/>
    <m/>
    <m/>
    <m/>
    <n v="1276"/>
    <n v="136"/>
    <m/>
    <m/>
    <m/>
    <m/>
  </r>
  <r>
    <x v="201"/>
    <x v="9"/>
    <x v="1"/>
    <s v="1:00pm"/>
    <x v="18"/>
    <s v="Track"/>
    <m/>
    <n v="1392"/>
    <n v="134"/>
    <n v="1388"/>
    <n v="137"/>
    <m/>
    <m/>
    <m/>
    <m/>
    <n v="1390"/>
    <n v="135.5"/>
    <m/>
    <m/>
    <m/>
    <m/>
  </r>
  <r>
    <x v="202"/>
    <x v="9"/>
    <x v="1"/>
    <s v="1:00pm"/>
    <x v="19"/>
    <s v="Track"/>
    <m/>
    <n v="1095"/>
    <n v="127"/>
    <n v="1128"/>
    <n v="130"/>
    <m/>
    <m/>
    <m/>
    <m/>
    <n v="1111.5"/>
    <n v="128.5"/>
    <m/>
    <m/>
    <m/>
    <m/>
  </r>
  <r>
    <x v="203"/>
    <x v="9"/>
    <x v="1"/>
    <s v="1:00pm"/>
    <x v="19"/>
    <s v="Track"/>
    <m/>
    <n v="1029"/>
    <n v="119"/>
    <n v="1002"/>
    <n v="126"/>
    <m/>
    <m/>
    <m/>
    <m/>
    <n v="1015.5"/>
    <n v="122.5"/>
    <m/>
    <m/>
    <m/>
    <m/>
  </r>
  <r>
    <x v="204"/>
    <x v="10"/>
    <x v="8"/>
    <s v="1:00pm"/>
    <x v="14"/>
    <s v="Track"/>
    <m/>
    <n v="1025"/>
    <n v="137"/>
    <n v="1009"/>
    <n v="138"/>
    <m/>
    <m/>
    <m/>
    <m/>
    <n v="1017"/>
    <n v="137.5"/>
    <m/>
    <m/>
    <m/>
    <m/>
  </r>
  <r>
    <x v="204"/>
    <x v="10"/>
    <x v="8"/>
    <s v="1:00pm"/>
    <x v="2"/>
    <s v="Track"/>
    <m/>
    <n v="2041"/>
    <n v="149"/>
    <n v="1966"/>
    <n v="140"/>
    <m/>
    <m/>
    <m/>
    <m/>
    <n v="2003.5"/>
    <n v="144.5"/>
    <m/>
    <m/>
    <m/>
    <m/>
  </r>
  <r>
    <x v="204"/>
    <x v="10"/>
    <x v="8"/>
    <s v="1:00pm"/>
    <x v="3"/>
    <s v="Track"/>
    <m/>
    <n v="1772"/>
    <n v="135"/>
    <n v="1792"/>
    <n v="132"/>
    <m/>
    <m/>
    <m/>
    <m/>
    <n v="1782"/>
    <n v="133.5"/>
    <m/>
    <m/>
    <m/>
    <m/>
  </r>
  <r>
    <x v="204"/>
    <x v="10"/>
    <x v="8"/>
    <s v="1:00pm"/>
    <x v="13"/>
    <s v="Track"/>
    <m/>
    <n v="1863"/>
    <n v="136"/>
    <n v="1820"/>
    <n v="128"/>
    <m/>
    <m/>
    <m/>
    <m/>
    <n v="1841.5"/>
    <n v="132"/>
    <m/>
    <m/>
    <m/>
    <m/>
  </r>
  <r>
    <x v="204"/>
    <x v="10"/>
    <x v="8"/>
    <s v="1:00pm"/>
    <x v="9"/>
    <s v="Track"/>
    <m/>
    <n v="1783"/>
    <n v="135"/>
    <n v="1805"/>
    <n v="135"/>
    <m/>
    <m/>
    <m/>
    <m/>
    <n v="1794"/>
    <n v="135"/>
    <m/>
    <m/>
    <m/>
    <m/>
  </r>
  <r>
    <x v="204"/>
    <x v="10"/>
    <x v="8"/>
    <s v="1:00pm"/>
    <x v="10"/>
    <s v="Track"/>
    <m/>
    <n v="1504"/>
    <n v="139"/>
    <n v="1505"/>
    <n v="137"/>
    <m/>
    <m/>
    <m/>
    <m/>
    <n v="1504.5"/>
    <n v="138"/>
    <m/>
    <m/>
    <m/>
    <m/>
  </r>
  <r>
    <x v="204"/>
    <x v="10"/>
    <x v="8"/>
    <s v="1:00pm"/>
    <x v="18"/>
    <s v="Track"/>
    <m/>
    <n v="1406"/>
    <n v="137"/>
    <n v="1412"/>
    <n v="135"/>
    <m/>
    <m/>
    <m/>
    <m/>
    <n v="1409"/>
    <n v="136"/>
    <m/>
    <m/>
    <m/>
    <m/>
  </r>
  <r>
    <x v="204"/>
    <x v="10"/>
    <x v="8"/>
    <s v="9:00am"/>
    <x v="7"/>
    <s v="Track"/>
    <m/>
    <n v="1789"/>
    <n v="139"/>
    <n v="1702"/>
    <n v="137"/>
    <m/>
    <m/>
    <m/>
    <m/>
    <n v="1745.5"/>
    <n v="138"/>
    <m/>
    <m/>
    <m/>
    <m/>
  </r>
  <r>
    <x v="205"/>
    <x v="10"/>
    <x v="2"/>
    <s v="9:00am"/>
    <x v="2"/>
    <s v="Track"/>
    <m/>
    <n v="2013"/>
    <n v="132"/>
    <n v="1987"/>
    <n v="137"/>
    <m/>
    <m/>
    <m/>
    <m/>
    <n v="2000"/>
    <n v="134.5"/>
    <m/>
    <m/>
    <m/>
    <m/>
  </r>
  <r>
    <x v="205"/>
    <x v="10"/>
    <x v="2"/>
    <s v="9:00am"/>
    <x v="3"/>
    <s v="Track"/>
    <m/>
    <n v="1777"/>
    <n v="137"/>
    <n v="1750"/>
    <n v="142"/>
    <m/>
    <m/>
    <m/>
    <m/>
    <n v="1763.5"/>
    <n v="139.5"/>
    <m/>
    <m/>
    <m/>
    <m/>
  </r>
  <r>
    <x v="205"/>
    <x v="10"/>
    <x v="2"/>
    <s v="9:00am"/>
    <x v="13"/>
    <s v="Track"/>
    <m/>
    <n v="1770"/>
    <n v="140"/>
    <n v="1736"/>
    <n v="133"/>
    <m/>
    <m/>
    <m/>
    <m/>
    <n v="1753"/>
    <n v="136.5"/>
    <m/>
    <m/>
    <m/>
    <m/>
  </r>
  <r>
    <x v="205"/>
    <x v="10"/>
    <x v="2"/>
    <s v="9:00am"/>
    <x v="7"/>
    <s v="Track"/>
    <m/>
    <n v="1745"/>
    <n v="139"/>
    <n v="1769"/>
    <n v="140"/>
    <m/>
    <m/>
    <m/>
    <m/>
    <n v="1757"/>
    <n v="139.5"/>
    <m/>
    <m/>
    <m/>
    <m/>
  </r>
  <r>
    <x v="205"/>
    <x v="10"/>
    <x v="2"/>
    <s v="9:00am"/>
    <x v="9"/>
    <s v="Track"/>
    <m/>
    <n v="1912"/>
    <n v="138"/>
    <n v="1962"/>
    <n v="143"/>
    <m/>
    <m/>
    <m/>
    <m/>
    <n v="1937"/>
    <n v="140.5"/>
    <m/>
    <m/>
    <m/>
    <m/>
  </r>
  <r>
    <x v="205"/>
    <x v="10"/>
    <x v="2"/>
    <s v="9:00am"/>
    <x v="16"/>
    <s v="Track"/>
    <m/>
    <n v="1234"/>
    <n v="133"/>
    <n v="1192"/>
    <n v="134"/>
    <m/>
    <m/>
    <m/>
    <m/>
    <n v="1213"/>
    <n v="133.5"/>
    <m/>
    <m/>
    <m/>
    <m/>
  </r>
  <r>
    <x v="205"/>
    <x v="10"/>
    <x v="2"/>
    <s v="9:00am"/>
    <x v="18"/>
    <s v="Track"/>
    <m/>
    <n v="1420"/>
    <n v="137"/>
    <n v="1414"/>
    <n v="140"/>
    <m/>
    <m/>
    <m/>
    <m/>
    <n v="1417"/>
    <n v="138.5"/>
    <m/>
    <m/>
    <m/>
    <m/>
  </r>
  <r>
    <x v="205"/>
    <x v="10"/>
    <x v="2"/>
    <s v="9:00am"/>
    <x v="11"/>
    <s v="Track"/>
    <m/>
    <n v="1220"/>
    <n v="132"/>
    <n v="1204"/>
    <n v="135"/>
    <m/>
    <m/>
    <m/>
    <m/>
    <n v="1212"/>
    <n v="133.5"/>
    <m/>
    <m/>
    <m/>
    <m/>
  </r>
  <r>
    <x v="206"/>
    <x v="10"/>
    <x v="5"/>
    <s v="1:00pm"/>
    <x v="2"/>
    <s v="Track"/>
    <m/>
    <n v="2021"/>
    <n v="146"/>
    <n v="2005"/>
    <n v="140"/>
    <m/>
    <m/>
    <m/>
    <m/>
    <n v="2013"/>
    <n v="143"/>
    <m/>
    <m/>
    <m/>
    <m/>
  </r>
  <r>
    <x v="206"/>
    <x v="10"/>
    <x v="5"/>
    <s v="1:00pm"/>
    <x v="3"/>
    <s v="Track"/>
    <m/>
    <n v="1812"/>
    <n v="139"/>
    <m/>
    <m/>
    <m/>
    <m/>
    <m/>
    <m/>
    <n v="1812"/>
    <n v="139"/>
    <m/>
    <m/>
    <m/>
    <m/>
  </r>
  <r>
    <x v="206"/>
    <x v="10"/>
    <x v="5"/>
    <s v="1:00pm"/>
    <x v="13"/>
    <s v="Track"/>
    <m/>
    <n v="1820"/>
    <n v="137"/>
    <n v="1755"/>
    <n v="130"/>
    <m/>
    <m/>
    <m/>
    <m/>
    <n v="1787.5"/>
    <n v="133.5"/>
    <m/>
    <m/>
    <m/>
    <m/>
  </r>
  <r>
    <x v="206"/>
    <x v="10"/>
    <x v="5"/>
    <s v="1:00pm"/>
    <x v="7"/>
    <s v="Track"/>
    <m/>
    <n v="1677"/>
    <n v="135"/>
    <n v="1723"/>
    <n v="138"/>
    <m/>
    <m/>
    <m/>
    <m/>
    <n v="1700"/>
    <n v="136.5"/>
    <m/>
    <m/>
    <m/>
    <m/>
  </r>
  <r>
    <x v="206"/>
    <x v="10"/>
    <x v="5"/>
    <s v="1:00pm"/>
    <x v="16"/>
    <s v="Track"/>
    <m/>
    <n v="1299"/>
    <n v="140"/>
    <n v="1287"/>
    <n v="137"/>
    <m/>
    <m/>
    <m/>
    <m/>
    <n v="1293"/>
    <n v="138.5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78.3"/>
    <n v="1647"/>
    <n v="21.03448275862069"/>
    <n v="135.33333333333334"/>
    <n v="1.0666666666666667"/>
    <n v="201"/>
    <n v="237.33333333333334"/>
    <n v="1636"/>
    <n v="130"/>
    <n v="1.03"/>
    <n v="200"/>
    <n v="222"/>
    <n v="1605"/>
    <n v="143"/>
    <n v="1.18"/>
    <n v="201"/>
    <n v="248"/>
    <n v="1700"/>
    <n v="133"/>
    <n v="0.99"/>
    <n v="202"/>
    <n v="242"/>
  </r>
  <r>
    <x v="1"/>
    <x v="0"/>
    <n v="73.8"/>
    <n v="1413.3333333333333"/>
    <n v="19.15085817524842"/>
    <n v="130.33333333333334"/>
    <n v="1.22"/>
    <n v="196"/>
    <n v="218.66666666666666"/>
    <n v="1427"/>
    <n v="126"/>
    <n v="1.23"/>
    <n v="197"/>
    <n v="214"/>
    <n v="1430"/>
    <n v="127"/>
    <n v="1.2"/>
    <n v="197"/>
    <n v="223"/>
    <n v="1383"/>
    <n v="138"/>
    <n v="1.23"/>
    <n v="194"/>
    <n v="219"/>
  </r>
  <r>
    <x v="2"/>
    <x v="0"/>
    <n v="70"/>
    <n v="1390"/>
    <n v="19.857142857142858"/>
    <n v="120.66666666666667"/>
    <n v="1.4266666666666667"/>
    <n v="194.66666666666666"/>
    <n v="196"/>
    <n v="1375"/>
    <n v="120"/>
    <n v="1.43"/>
    <n v="194"/>
    <n v="193"/>
    <n v="1398"/>
    <n v="122"/>
    <n v="1.4"/>
    <n v="195"/>
    <n v="200"/>
    <n v="1397"/>
    <n v="120"/>
    <n v="1.45"/>
    <n v="195"/>
    <n v="195"/>
  </r>
  <r>
    <x v="3"/>
    <x v="1"/>
    <n v="65.2"/>
    <n v="1441.6666666666667"/>
    <n v="22.111451942740288"/>
    <n v="124.33333333333333"/>
    <n v="1.1199999999999999"/>
    <n v="195.33333333333334"/>
    <n v="223"/>
    <n v="1452"/>
    <n v="124"/>
    <n v="1.1299999999999999"/>
    <n v="195"/>
    <n v="230"/>
    <n v="1426"/>
    <n v="125"/>
    <n v="1.08"/>
    <n v="196"/>
    <n v="218"/>
    <n v="1447"/>
    <n v="124"/>
    <n v="1.1499999999999999"/>
    <n v="195"/>
    <n v="221"/>
  </r>
  <r>
    <x v="4"/>
    <x v="2"/>
    <n v="72"/>
    <n v="1528"/>
    <n v="21.222222222222221"/>
    <n v="146"/>
    <n v="1.2349999999999999"/>
    <n v="201.5"/>
    <n v="235.5"/>
    <n v="1453"/>
    <n v="149"/>
    <n v="1.25"/>
    <n v="199"/>
    <n v="230"/>
    <n v="1603"/>
    <n v="143"/>
    <n v="1.22"/>
    <n v="204"/>
    <n v="241"/>
    <m/>
    <m/>
    <m/>
    <m/>
    <m/>
  </r>
  <r>
    <x v="5"/>
    <x v="2"/>
    <n v="92"/>
    <n v="1862"/>
    <n v="20.239130434782609"/>
    <n v="136.5"/>
    <n v="1.0049999999999999"/>
    <n v="210"/>
    <n v="267"/>
    <n v="1861"/>
    <n v="136"/>
    <n v="0.96"/>
    <n v="208"/>
    <n v="259"/>
    <n v="1863"/>
    <n v="137"/>
    <n v="1.05"/>
    <n v="212"/>
    <n v="275"/>
    <m/>
    <m/>
    <m/>
    <m/>
    <m/>
  </r>
  <r>
    <x v="6"/>
    <x v="2"/>
    <n v="75.8"/>
    <n v="1426"/>
    <n v="18.812664907651715"/>
    <n v="124"/>
    <n v="1.1299999999999999"/>
    <n v="195"/>
    <n v="233"/>
    <n v="1450"/>
    <n v="124"/>
    <n v="1.18"/>
    <n v="195"/>
    <n v="233"/>
    <n v="1402"/>
    <n v="124"/>
    <n v="1.08"/>
    <n v="195"/>
    <n v="233"/>
    <m/>
    <m/>
    <m/>
    <m/>
    <m/>
  </r>
  <r>
    <x v="7"/>
    <x v="2"/>
    <n v="83.8"/>
    <n v="1755.5"/>
    <n v="20.948687350835321"/>
    <n v="157"/>
    <n v="1.425"/>
    <n v="211"/>
    <n v="240"/>
    <n v="1723"/>
    <n v="154"/>
    <n v="1.58"/>
    <n v="209"/>
    <n v="222"/>
    <n v="1788"/>
    <n v="160"/>
    <n v="1.27"/>
    <n v="213"/>
    <n v="258"/>
    <m/>
    <m/>
    <m/>
    <m/>
    <m/>
  </r>
  <r>
    <x v="8"/>
    <x v="2"/>
    <n v="73.3"/>
    <n v="1374"/>
    <n v="18.744884038199181"/>
    <n v="122"/>
    <n v="1.2549999999999999"/>
    <n v="190"/>
    <n v="203"/>
    <n v="1404"/>
    <n v="122"/>
    <n v="1.28"/>
    <n v="189"/>
    <n v="205"/>
    <n v="1344"/>
    <n v="122"/>
    <n v="1.23"/>
    <n v="191"/>
    <n v="201"/>
    <m/>
    <m/>
    <m/>
    <m/>
    <m/>
  </r>
  <r>
    <x v="3"/>
    <x v="3"/>
    <n v="65.2"/>
    <n v="1415.3333333333333"/>
    <n v="21.707566462167687"/>
    <n v="122.66666666666667"/>
    <n v="1.1433333333333333"/>
    <n v="193"/>
    <n v="214.66666666666666"/>
    <n v="1371"/>
    <n v="122"/>
    <n v="1.1399999999999999"/>
    <n v="192"/>
    <n v="217"/>
    <n v="1438"/>
    <n v="123"/>
    <n v="1.1599999999999999"/>
    <n v="194"/>
    <n v="212"/>
    <n v="1437"/>
    <n v="123"/>
    <n v="1.1299999999999999"/>
    <n v="193"/>
    <n v="215"/>
  </r>
  <r>
    <x v="3"/>
    <x v="4"/>
    <n v="65.2"/>
    <n v="1443.6666666666667"/>
    <n v="22.142126789366053"/>
    <n v="124.33333333333333"/>
    <n v="1.2266666666666668"/>
    <n v="196.66666666666666"/>
    <n v="216.33333333333334"/>
    <n v="1435"/>
    <n v="124"/>
    <n v="1.19"/>
    <n v="196"/>
    <n v="213"/>
    <n v="1430"/>
    <n v="125"/>
    <n v="1.18"/>
    <n v="197"/>
    <n v="224"/>
    <n v="1466"/>
    <n v="124"/>
    <n v="1.31"/>
    <n v="197"/>
    <n v="212"/>
  </r>
  <r>
    <x v="3"/>
    <x v="5"/>
    <n v="65.2"/>
    <n v="1431.6666666666667"/>
    <n v="21.958077709611452"/>
    <n v="123.66666666666667"/>
    <n v="1.1500000000000001"/>
    <n v="195"/>
    <n v="215.33333333333334"/>
    <n v="1423"/>
    <n v="123"/>
    <n v="1.1399999999999999"/>
    <n v="195"/>
    <n v="215"/>
    <n v="1451"/>
    <n v="125"/>
    <n v="1.1499999999999999"/>
    <n v="196"/>
    <n v="212"/>
    <n v="1421"/>
    <n v="123"/>
    <n v="1.1599999999999999"/>
    <n v="194"/>
    <n v="219"/>
  </r>
  <r>
    <x v="3"/>
    <x v="6"/>
    <n v="65.2"/>
    <n v="1407.3333333333333"/>
    <n v="21.584867075664619"/>
    <n v="122.66666666666667"/>
    <n v="1.18"/>
    <n v="193.66666666666666"/>
    <n v="211"/>
    <n v="1421"/>
    <n v="124"/>
    <n v="1.1299999999999999"/>
    <n v="194"/>
    <n v="209"/>
    <n v="1421"/>
    <n v="123"/>
    <n v="1.1200000000000001"/>
    <n v="194"/>
    <n v="211"/>
    <n v="1380"/>
    <n v="121"/>
    <n v="1.29"/>
    <n v="193"/>
    <n v="213"/>
  </r>
  <r>
    <x v="3"/>
    <x v="7"/>
    <n v="65.2"/>
    <n v="1390"/>
    <n v="21.319018404907975"/>
    <n v="122"/>
    <n v="1.2149999999999999"/>
    <n v="193.5"/>
    <n v="213"/>
    <n v="1397"/>
    <n v="122"/>
    <n v="1.22"/>
    <n v="194"/>
    <n v="212"/>
    <n v="1383"/>
    <n v="122"/>
    <n v="1.21"/>
    <n v="193"/>
    <n v="214"/>
    <m/>
    <m/>
    <m/>
    <m/>
    <m/>
  </r>
  <r>
    <x v="3"/>
    <x v="8"/>
    <n v="65.2"/>
    <n v="1386"/>
    <n v="21.257668711656439"/>
    <n v="122"/>
    <n v="1.2033333333333334"/>
    <n v="193.66666666666666"/>
    <n v="214.66666666666666"/>
    <n v="1401"/>
    <n v="123"/>
    <n v="1.23"/>
    <n v="195"/>
    <n v="217"/>
    <n v="1405"/>
    <n v="122"/>
    <n v="1.19"/>
    <n v="193"/>
    <n v="216"/>
    <n v="1352"/>
    <n v="121"/>
    <n v="1.19"/>
    <n v="193"/>
    <n v="211"/>
  </r>
  <r>
    <x v="3"/>
    <x v="9"/>
    <n v="65.2"/>
    <n v="1340.5"/>
    <n v="20.559815950920246"/>
    <n v="132.5"/>
    <n v="1.175"/>
    <n v="192"/>
    <n v="205.5"/>
    <n v="1368"/>
    <n v="121"/>
    <n v="1.1200000000000001"/>
    <n v="192"/>
    <n v="209"/>
    <n v="1313"/>
    <n v="144"/>
    <n v="1.23"/>
    <n v="192"/>
    <n v="202"/>
    <m/>
    <m/>
    <m/>
    <m/>
    <m/>
  </r>
  <r>
    <x v="9"/>
    <x v="10"/>
    <n v="95.5"/>
    <n v="1954.5"/>
    <n v="20.465968586387433"/>
    <n v="118"/>
    <n v="0.92500000000000004"/>
    <n v="214"/>
    <n v="266.5"/>
    <n v="1913"/>
    <n v="117"/>
    <n v="0.89"/>
    <n v="213"/>
    <n v="258"/>
    <n v="1996"/>
    <n v="119"/>
    <n v="0.96"/>
    <n v="215"/>
    <n v="275"/>
    <m/>
    <m/>
    <m/>
    <m/>
    <m/>
  </r>
  <r>
    <x v="4"/>
    <x v="10"/>
    <n v="74"/>
    <n v="1664"/>
    <n v="22.486486486486488"/>
    <n v="129.5"/>
    <n v="1.0350000000000001"/>
    <n v="204.5"/>
    <n v="255"/>
    <n v="1610"/>
    <n v="129"/>
    <n v="1.08"/>
    <n v="203"/>
    <n v="255"/>
    <n v="1718"/>
    <n v="130"/>
    <n v="0.99"/>
    <n v="206"/>
    <n v="255"/>
    <m/>
    <m/>
    <m/>
    <m/>
    <m/>
  </r>
  <r>
    <x v="10"/>
    <x v="10"/>
    <n v="68"/>
    <n v="1674.5"/>
    <n v="24.625"/>
    <n v="144"/>
    <n v="1.625"/>
    <n v="205.5"/>
    <n v="185.5"/>
    <n v="1704"/>
    <n v="149"/>
    <n v="1.73"/>
    <n v="205"/>
    <n v="179"/>
    <n v="1645"/>
    <n v="139"/>
    <n v="1.52"/>
    <n v="206"/>
    <n v="192"/>
    <m/>
    <m/>
    <m/>
    <m/>
    <m/>
  </r>
  <r>
    <x v="3"/>
    <x v="11"/>
    <n v="63.3"/>
    <n v="1373"/>
    <n v="21.690363349131122"/>
    <n v="122.5"/>
    <n v="1"/>
    <n v="192.5"/>
    <n v="214.5"/>
    <n v="1368"/>
    <n v="123"/>
    <n v="1.02"/>
    <n v="193"/>
    <n v="212"/>
    <n v="1378"/>
    <n v="122"/>
    <n v="0.98"/>
    <n v="192"/>
    <n v="217"/>
    <m/>
    <m/>
    <m/>
    <m/>
    <m/>
  </r>
  <r>
    <x v="3"/>
    <x v="12"/>
    <n v="63.5"/>
    <n v="1464"/>
    <n v="23.055118110236222"/>
    <n v="124.33333333333333"/>
    <n v="1.1366666666666665"/>
    <n v="196"/>
    <n v="222"/>
    <n v="1468"/>
    <n v="124"/>
    <n v="1.1599999999999999"/>
    <n v="196"/>
    <n v="223"/>
    <n v="1470"/>
    <n v="125"/>
    <n v="1.1000000000000001"/>
    <n v="196"/>
    <n v="220"/>
    <n v="1454"/>
    <n v="124"/>
    <n v="1.1499999999999999"/>
    <n v="196"/>
    <n v="223"/>
  </r>
  <r>
    <x v="0"/>
    <x v="12"/>
    <n v="78.3"/>
    <n v="1589.6666666666667"/>
    <n v="20.302256279267777"/>
    <n v="138"/>
    <n v="1.05"/>
    <n v="198.66666666666666"/>
    <n v="242"/>
    <n v="1563"/>
    <n v="130"/>
    <n v="1.06"/>
    <n v="196"/>
    <n v="238"/>
    <n v="1603"/>
    <n v="154"/>
    <n v="1.07"/>
    <n v="200"/>
    <n v="242"/>
    <n v="1603"/>
    <n v="130"/>
    <n v="1.02"/>
    <n v="200"/>
    <n v="246"/>
  </r>
  <r>
    <x v="1"/>
    <x v="12"/>
    <n v="73.8"/>
    <n v="1423.3333333333333"/>
    <n v="19.286359530261969"/>
    <n v="125"/>
    <n v="1.07"/>
    <n v="192.66666666666666"/>
    <n v="220.66666666666666"/>
    <n v="1397"/>
    <n v="137"/>
    <n v="1.03"/>
    <n v="193"/>
    <n v="219"/>
    <n v="1445"/>
    <n v="108"/>
    <n v="1.0900000000000001"/>
    <n v="191"/>
    <n v="219"/>
    <n v="1428"/>
    <n v="130"/>
    <n v="1.0900000000000001"/>
    <n v="194"/>
    <n v="224"/>
  </r>
  <r>
    <x v="3"/>
    <x v="13"/>
    <n v="63"/>
    <n v="1494"/>
    <n v="23.714285714285715"/>
    <n v="123.66666666666667"/>
    <n v="1.2233333333333334"/>
    <n v="197.33333333333334"/>
    <n v="217.66666666666666"/>
    <n v="1454"/>
    <n v="123"/>
    <n v="1.26"/>
    <n v="195"/>
    <n v="211"/>
    <n v="1522"/>
    <n v="124"/>
    <n v="1.21"/>
    <n v="198"/>
    <n v="217"/>
    <n v="1506"/>
    <n v="124"/>
    <n v="1.2"/>
    <n v="199"/>
    <n v="225"/>
  </r>
  <r>
    <x v="3"/>
    <x v="14"/>
    <n v="63"/>
    <n v="1481.3333333333333"/>
    <n v="23.513227513227513"/>
    <n v="124.33333333333333"/>
    <n v="1.1666666666666667"/>
    <n v="196.66666666666666"/>
    <n v="225.66666666666666"/>
    <n v="1494"/>
    <n v="124"/>
    <n v="1.17"/>
    <n v="197"/>
    <n v="219"/>
    <n v="1477"/>
    <n v="125"/>
    <n v="1.1299999999999999"/>
    <n v="196"/>
    <n v="228"/>
    <n v="1473"/>
    <n v="124"/>
    <n v="1.2"/>
    <n v="197"/>
    <n v="230"/>
  </r>
  <r>
    <x v="3"/>
    <x v="15"/>
    <n v="63"/>
    <n v="1481.5"/>
    <n v="23.515873015873016"/>
    <n v="125"/>
    <n v="1.175"/>
    <n v="220.5"/>
    <n v="250.5"/>
    <n v="1467"/>
    <n v="124"/>
    <n v="1.23"/>
    <n v="220"/>
    <n v="255"/>
    <n v="1496"/>
    <n v="126"/>
    <n v="1.1200000000000001"/>
    <n v="221"/>
    <n v="246"/>
    <m/>
    <m/>
    <m/>
    <m/>
    <m/>
  </r>
  <r>
    <x v="3"/>
    <x v="16"/>
    <n v="63"/>
    <n v="1461.6666666666667"/>
    <n v="23.201058201058203"/>
    <n v="123.66666666666667"/>
    <n v="1.1866666666666665"/>
    <n v="218.66666666666666"/>
    <n v="216.66666666666666"/>
    <n v="1480"/>
    <n v="124"/>
    <n v="1.1399999999999999"/>
    <n v="218"/>
    <n v="222"/>
    <n v="1438"/>
    <n v="124"/>
    <n v="1.17"/>
    <n v="221"/>
    <n v="218"/>
    <n v="1467"/>
    <n v="123"/>
    <n v="1.25"/>
    <n v="217"/>
    <n v="2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x v="0"/>
    <x v="0"/>
    <s v="HPSNZ Goldmine"/>
    <x v="0"/>
    <s v="PowerBike-28443-1616444252.dat"/>
    <n v="125.47518228599699"/>
    <n v="1556.5319386932499"/>
    <n v="253.40408009814999"/>
    <m/>
    <n v="243.36770698218101"/>
    <n v="0.97192241666780799"/>
    <s v="76,97,113,126,137,146,154,161,167,173,178,183,188,192"/>
    <n v="1.38914821564157E+55"/>
    <s v="179,147,133,120,109,101,93,86,81,78,73,69,66,64"/>
    <n v="1.39115021546155E+55"/>
    <s v="170,150,135,122,112,103,96,89,83,77,72,67,63,59"/>
    <s v="0,CSV"/>
  </r>
  <r>
    <x v="0"/>
    <x v="0"/>
    <s v="HPSNZ Goldmine"/>
    <x v="0"/>
    <s v="PowerBike-28443-1616444408.dat"/>
    <n v="130.63063699551"/>
    <n v="1602.3206744875099"/>
    <n v="259.69528838609301"/>
    <m/>
    <n v="244.867725596036"/>
    <n v="0.85408987285354199"/>
    <s v="77,98,114,127,138,147,155,162,169,175,180,185,190,194"/>
    <n v="1.4251490154316799E+55"/>
    <s v="183,147,131,128,110,105,95,92,83,82,73,73,67,67"/>
    <n v="1.4051530158215999E+55"/>
    <s v="172,152,138,125,115,106,99,92,86,80,75,70,66,62"/>
    <s v="0,CSV"/>
  </r>
  <r>
    <x v="0"/>
    <x v="0"/>
    <s v="HPSNZ Goldmine"/>
    <x v="0"/>
    <s v="PowerBike-28443-1616444581.dat"/>
    <n v="130.38999459581299"/>
    <n v="1611.26869532255"/>
    <n v="260.08199539044301"/>
    <m/>
    <n v="246.44808025060999"/>
    <n v="0.91751726159520597"/>
    <s v="78,99,114,127,138,147,155,163,169,175,181,186,190,195"/>
    <n v="1.4301522158816599E+55"/>
    <s v="183,150,134,126,110,105,94,92,84,82,76,74,68,66"/>
    <n v="1.4241544159416101E+55"/>
    <s v="173,153,138,126,116,107,99,92,86,80,75,70,66,62"/>
    <s v="0,CSV"/>
  </r>
  <r>
    <x v="0"/>
    <x v="0"/>
    <s v="HPSNZ Goldmine"/>
    <x v="0"/>
    <s v="PowerBike-28443-1616444772.dat"/>
    <n v="131.476435158003"/>
    <n v="1620.45416480378"/>
    <n v="262.219611792666"/>
    <m/>
    <n v="245.210846230539"/>
    <n v="0.84464939972645803"/>
    <s v="77,98,114,127,138,148,156,163,170,176,181,186,191,195"/>
    <n v="1.4121531158117099E+55"/>
    <s v="181,151,133,129,113,107,95,90,84,79,76,73,71,69"/>
    <n v="1.4221547160016101E+55"/>
    <s v="173,153,138,126,116,107,99,93,87,81,76,71,67,63"/>
    <s v="0,CSV"/>
  </r>
  <r>
    <x v="0"/>
    <x v="1"/>
    <s v="HPSNZ Goldmine"/>
    <x v="0"/>
    <s v="PowerBike-28443-1616444895.dat"/>
    <n v="121.560272333344"/>
    <n v="1349.1038227549"/>
    <n v="242.16067690129299"/>
    <m/>
    <n v="216.48983439387999"/>
    <n v="0.88141939809039305"/>
    <s v="74,93,108,120,130,139,147,153,159,165,170,175,179,183"/>
    <n v="1.18112561339132E+54"/>
    <s v="156,130,119,106,100,91,85,79,76,67,67,59,62,51"/>
    <n v="1.1611283133413401E+55"/>
    <s v="150,133,120,109,100,92,86,79,74,69,65,60,57,53"/>
    <s v="0,CSV"/>
  </r>
  <r>
    <x v="0"/>
    <x v="1"/>
    <s v="HPSNZ Goldmine"/>
    <x v="0"/>
    <s v="PowerBike-28443-1616445090.dat"/>
    <n v="124.365511114496"/>
    <n v="1400.4401788006201"/>
    <n v="246.654404744609"/>
    <m/>
    <n v="222.64007529199"/>
    <n v="0.90084484315621105"/>
    <s v="76,95,109,122,132,141,148,155,162,167,172,177,181,185"/>
    <n v="1.2491289136313799E+55"/>
    <s v="164,132,120,109,104,95,87,83,78,71,69,61,63,55"/>
    <n v="1.2141332138314001E+55"/>
    <s v="154,137,124,113,104,96,89,82,77,72,67,63,59,55"/>
    <s v="0,CSV"/>
  </r>
  <r>
    <x v="0"/>
    <x v="1"/>
    <s v="HPSNZ Goldmine"/>
    <x v="0"/>
    <s v="PowerBike-28443-1616445314.dat"/>
    <n v="126.70535870819501"/>
    <n v="1408.21982583156"/>
    <n v="250.712819128967"/>
    <m/>
    <n v="220.240158047205"/>
    <n v="0.89610152358062201"/>
    <s v="76,95,110,122,132,141,149,156,162,168,173,178,182,186"/>
    <n v="1.2461297136713601E+55"/>
    <s v="163,132,120,108,106,95,88,84,79,72,71,63,63,57"/>
    <n v="1.2121333138613999E+55"/>
    <s v="154,137,124,113,104,96,90,83,78,73,68,64,60,57"/>
    <s v="0,CSV"/>
  </r>
  <r>
    <x v="0"/>
    <x v="1"/>
    <s v="HPSNZ Goldmine"/>
    <x v="0"/>
    <s v="PowerBike-28443-1616445470.dat"/>
    <n v="126.863143090252"/>
    <n v="1438.3487534342801"/>
    <n v="250.607574134353"/>
    <m/>
    <n v="223.14672551098101"/>
    <n v="0.88398779813135497"/>
    <s v="75,95,110,122,132,141,149,156,163,169,174,178,183,187"/>
    <n v="1.2521294142413801E+55"/>
    <s v="164,132,125,109,105,96,91,84,81,73,71,62,63,55"/>
    <n v="1.21113511413143E+55"/>
    <s v="156,139,125,114,105,97,90,84,78,73,68,64,60,57"/>
    <s v="0,CSV"/>
  </r>
  <r>
    <x v="0"/>
    <x v="2"/>
    <s v="HPSNZ Goldmine"/>
    <x v="0"/>
    <s v="PowerBike-28443-1616445635.dat"/>
    <n v="123.42716686341799"/>
    <n v="1711.3979599517199"/>
    <n v="246.243868099135"/>
    <m/>
    <n v="273.26970638531401"/>
    <n v="0.930135908653276"/>
    <n v="7.8100117130141097E+43"/>
    <n v="1.5171622169817501E+59"/>
    <s v="193,158,141,130,116,106,94,91,79,79,68,73,60,61,53"/>
    <n v="1.5041658170717E+59"/>
    <s v="186,162,144,129,117,107,98,90,83,77,71,66,61,57,53"/>
    <s v="0,CSV"/>
  </r>
  <r>
    <x v="0"/>
    <x v="2"/>
    <s v="HPSNZ Goldmine"/>
    <x v="0"/>
    <s v="PowerBike-28443-1616445823.dat"/>
    <n v="127.510625245719"/>
    <n v="1723.23863076464"/>
    <n v="253.76578786626899"/>
    <m/>
    <n v="253.63411748833701"/>
    <n v="0.87942976856963895"/>
    <s v="72,96,113,127,138,148,156,164,170,176,181,186,190,194,198"/>
    <n v="1.3551608167516999E+58"/>
    <s v="176,159,141,128,120,105,98,97,79,82,68,69,61,65,47"/>
    <n v="1.34816001697172E+59"/>
    <s v="181,158,141,127,116,106,98,90,83,78,72,68,64,59,56"/>
    <s v="0,CSV"/>
  </r>
  <r>
    <x v="0"/>
    <x v="2"/>
    <s v="HPSNZ Goldmine"/>
    <x v="0"/>
    <s v="PowerBike-28443-1616446009.dat"/>
    <n v="127.07998887655801"/>
    <n v="1728.1061307938101"/>
    <n v="252.45652154408501"/>
    <m/>
    <n v="269.32005584502502"/>
    <n v="0.93278355453208195"/>
    <n v="7.8100117130141104E+40"/>
    <n v="1.50716391693177E+55"/>
    <s v="192,159,141,131,119,108,99,89,83,81,73,75,63,62"/>
    <n v="1.4991660171817199E+55"/>
    <s v="186,162,145,131,119,109,100,92,86,80,74,69,64,60"/>
    <s v="0,CSV"/>
  </r>
  <r>
    <x v="0"/>
    <x v="2"/>
    <s v="HPSNZ Goldmine"/>
    <x v="0"/>
    <s v="PowerBike-28443-1616446226.dat"/>
    <n v="128.01362378922599"/>
    <n v="1697.82502689536"/>
    <n v="252.88490184179"/>
    <m/>
    <n v="263.10725972843102"/>
    <n v="0.92874872100114103"/>
    <n v="7.8100116129140099E+40"/>
    <n v="1.4781582162217501E+55"/>
    <s v="189,155,136,132,119,107,98,89,86,79,71,72,68,59"/>
    <n v="1.4511621168316899E+55"/>
    <s v="182,159,143,129,117,107,99,92,85,79,74,69,64,60"/>
    <s v="0,CSV"/>
  </r>
  <r>
    <x v="0"/>
    <x v="3"/>
    <s v="HPSNZ Goldmine"/>
    <x v="0"/>
    <s v="PowerBike-28443-1616446332.dat"/>
    <n v="111.930907627778"/>
    <n v="1626.9140009665"/>
    <n v="222.57778020576299"/>
    <m/>
    <n v="286.5589014446"/>
    <n v="0.96984249142659096"/>
    <n v="7.8100115128139105E+40"/>
    <n v="1.51215501605164E+53"/>
    <s v="193,151,134,124,109,98,84,78,70,68,58,59,49,46"/>
    <n v="1.4841609162615901E+53"/>
    <s v="186,158,138,121,108,97,87,79,72,65,60,54,50,45"/>
    <s v="0,CSV"/>
  </r>
  <r>
    <x v="0"/>
    <x v="3"/>
    <s v="HPSNZ Goldmine"/>
    <x v="0"/>
    <s v="PowerBike-28443-1616446488.dat"/>
    <n v="111.904805026605"/>
    <n v="1683.90932145333"/>
    <n v="225.62494239985801"/>
    <m/>
    <n v="293.94286023129598"/>
    <n v="0.96007769025615097"/>
    <n v="7.9101117130141099E+43"/>
    <n v="1.57815831700173E+58"/>
    <s v="200,153,141,129,112,96,86,81,67,68,64,57,54,51,44"/>
    <n v="1.55716701681164E+57"/>
    <s v="191,162,142,125,111,99,90,81,74,68,62,56,52,47,43"/>
    <s v="0,CSV"/>
  </r>
  <r>
    <x v="0"/>
    <x v="3"/>
    <s v="HPSNZ Goldmine"/>
    <x v="0"/>
    <s v="PowerBike-28443-1616446624.dat"/>
    <n v="117.797639055551"/>
    <n v="1719.0017822829"/>
    <n v="232.03162064839501"/>
    <m/>
    <n v="288.40695130033401"/>
    <n v="0.98059102853475899"/>
    <n v="7.8100117130141104E+40"/>
    <n v="1.51916471736174E+55"/>
    <s v="194,160,144,129,114,100,94,81,74,72,66,61,54,53"/>
    <n v="1.5171680171916999E+55"/>
    <s v="191,164,143,127,113,102,93,84,77,71,65,59,55,50"/>
    <s v="0,CSV"/>
  </r>
  <r>
    <x v="0"/>
    <x v="3"/>
    <s v="HPSNZ Goldmine"/>
    <x v="0"/>
    <s v="PowerBike-28443-1616446750.dat"/>
    <n v="120.655778829543"/>
    <n v="1723.03250416321"/>
    <n v="236.569597752101"/>
    <m/>
    <n v="283.674337086425"/>
    <n v="0.95487064583999504"/>
    <n v="7.9101117130141099E+43"/>
    <n v="1.52616191683178E+59"/>
    <s v="194,157,140,133,115,106,92,86,79,74,62,63,53,57,51"/>
    <n v="1.5021673172117101E+59"/>
    <s v="189,163,144,128,115,103,94,86,79,72,67,61,57,53,49"/>
    <s v="0,CSV"/>
  </r>
  <r>
    <x v="0"/>
    <x v="3"/>
    <s v="HPSNZ Goldmine"/>
    <x v="0"/>
    <s v="PowerBike-28443-1616446882.dat"/>
    <n v="118.37497542030199"/>
    <n v="1771.41934466509"/>
    <n v="234.57725909826399"/>
    <m/>
    <n v="295.04161846875701"/>
    <n v="0.97664065824963198"/>
    <n v="7.9101118131142102E+40"/>
    <n v="1.5841678179918001E+55"/>
    <s v="201,161,148,132,117,104,92,87,76,72,64,62,58,55"/>
    <n v="1.5751736177117499E+55"/>
    <s v="196,167,147,130,116,105,95,86,79,72,67,61,56,51"/>
    <s v="0,CSV"/>
  </r>
  <r>
    <x v="0"/>
    <x v="4"/>
    <s v="HPSNZ Goldmine"/>
    <x v="0"/>
    <s v="PowerBike-28443-1616447135.dat"/>
    <n v="111.43055622321801"/>
    <n v="1160.79499128983"/>
    <n v="220.75630361339"/>
    <m/>
    <n v="201.966615762982"/>
    <n v="0.84202002901112005"/>
    <s v="73,90,104,116,126,133,140,146,151,156,160,165,168,172"/>
    <n v="9.9310911208120795E+48"/>
    <s v="133,117,111,100,91,77,74,64,63,52,59,50,50,47"/>
    <n v="1.0121117115611499E+50"/>
    <s v="136,119,107,96,87,80,74,68,63,59,55,51,48,45"/>
    <s v="0,CSV"/>
  </r>
  <r>
    <x v="0"/>
    <x v="5"/>
    <s v="HPSNZ Goldmine"/>
    <x v="0"/>
    <s v="PowerBike-28443-1616447225.dat"/>
    <n v="122.526257686688"/>
    <n v="1248.35196717862"/>
    <n v="242.632582659333"/>
    <m/>
    <n v="200.33286216465299"/>
    <n v="0.87574939808930097"/>
    <s v="74,92,106,117,127,135,143,150,156,161,166,171,175,179"/>
    <n v="1.1081128121912E+54"/>
    <s v="147,119,111,99,97,86,84,77,73,66,64,59,58,53"/>
    <n v="1.0701177122712399E+55"/>
    <s v="139,124,113,104,95,89,82,77,72,67,63,59,56,53"/>
    <s v="0,CSV"/>
  </r>
  <r>
    <x v="0"/>
    <x v="4"/>
    <s v="HPSNZ Goldmine"/>
    <x v="0"/>
    <s v="PowerBike-28443-1616447294.dat"/>
    <n v="111.85165691984101"/>
    <n v="1196.80617273555"/>
    <n v="219.621178255731"/>
    <m/>
    <n v="206.54155794786101"/>
    <n v="0.93411993302039198"/>
    <s v="72,90,104,116,126,134,141,147,153,157,162,166,169,173"/>
    <n v="1.0341086121112001E+50"/>
    <s v="138,115,111,100,93,83,74,66,65,54,53,49,49,44"/>
    <n v="1.0161145119111901E+50"/>
    <s v="139,121,108,97,88,80,74,68,63,59,55,51,48,44"/>
    <s v="0,CSV"/>
  </r>
  <r>
    <x v="0"/>
    <x v="5"/>
    <s v="HPSNZ Goldmine"/>
    <x v="0"/>
    <s v="PowerBike-28443-1616447424.dat"/>
    <n v="123.876051204565"/>
    <n v="1335.2129827676899"/>
    <n v="244.439234771309"/>
    <m/>
    <n v="210.451861135548"/>
    <n v="0.88097127099083195"/>
    <s v="75,93,107,119,129,138,146,153,159,164,169,174,178,182"/>
    <n v="1.1601186128512999E+55"/>
    <s v="153,123,115,105,104,92,88,77,74,67,66,60,58,54"/>
    <n v="1.1151249131113299E+55"/>
    <s v="146,130,118,108,99,91,85,79,74,69,65,61,57,54"/>
    <s v="0,CSV"/>
  </r>
  <r>
    <x v="0"/>
    <x v="5"/>
    <s v="HPSNZ Goldmine"/>
    <x v="0"/>
    <s v="PowerBike-28443-1616447587.dat"/>
    <n v="123.325285897161"/>
    <n v="1335.3614679693101"/>
    <n v="245.18693281683699"/>
    <m/>
    <n v="214.462889184266"/>
    <n v="0.84292069316077101"/>
    <s v="76,94,108,120,130,139,146,153,159,165,170,175,179,183,186"/>
    <n v="1.20611991349127E+59"/>
    <s v="159,124,120,102,103,91,88,79,74,69,68,61,61,54,55"/>
    <n v="1.16912721319133E+59"/>
    <s v="148,132,120,110,101,93,86,80,75,70,66,62,58,55,51"/>
    <s v="0,CSV"/>
  </r>
  <r>
    <x v="0"/>
    <x v="4"/>
    <s v="HPSNZ Goldmine"/>
    <x v="0"/>
    <s v="PowerBike-28443-1616447648.dat"/>
    <n v="116.04748413698699"/>
    <n v="1183.38884559184"/>
    <n v="229.99838357710399"/>
    <m/>
    <n v="196.06062696528701"/>
    <n v="0.90318738443197399"/>
    <s v="72,90,104,116,125,134,141,147,153,158,162,166,170,174"/>
    <n v="1.0001080117712001E+50"/>
    <s v="134,115,109,100,94,83,77,71,63,58,56,53,50,51"/>
    <n v="9.9411181169118302E+50"/>
    <s v="135,119,107,98,89,82,76,71,66,62,58,54,51,48"/>
    <s v="0,CSV"/>
  </r>
  <r>
    <x v="0"/>
    <x v="5"/>
    <s v="HPSNZ Goldmine"/>
    <x v="0"/>
    <s v="PowerBike-28443-1616447804.dat"/>
    <n v="121.960439958322"/>
    <n v="1365.4250873992801"/>
    <n v="241.14357781813999"/>
    <m/>
    <n v="221.03680995203399"/>
    <n v="0.87396761152326197"/>
    <s v="75,94,109,121,131,140,147,154,160,165,170,175,179,183"/>
    <n v="1.22012331351132E+55"/>
    <s v="161,127,120,106,105,90,88,80,74,66,66,62,60,52"/>
    <n v="1.17913001350136E+55"/>
    <s v="152,135,121,111,101,93,86,80,74,69,65,61,57,53"/>
    <s v="0,CSV"/>
  </r>
  <r>
    <x v="0"/>
    <x v="6"/>
    <s v="HPSNZ Goldmine"/>
    <x v="0"/>
    <s v="PowerBike-28443-1616448530.dat"/>
    <n v="117.626872887383"/>
    <n v="1120.1378797141399"/>
    <n v="229.80859635312001"/>
    <m/>
    <n v="184.54529461158401"/>
    <n v="0.93141882965336698"/>
    <s v="73,89,103,114,123,131,138,144,150,155,159,164,167,171"/>
    <n v="8.9710231107115004E+48"/>
    <s v="122,112,104,97,88,81,73,69,64,61,53,53,47,49"/>
    <n v="9.0410341096111902E+49"/>
    <s v="126,113,102,93,86,79,74,69,64,60,56,53,50,47"/>
    <s v="0,CSV"/>
  </r>
  <r>
    <x v="0"/>
    <x v="6"/>
    <s v="HPSNZ Goldmine"/>
    <x v="0"/>
    <s v="PowerBike-28443-1616448801.dat"/>
    <n v="117.02665238897301"/>
    <n v="1113.2996998905901"/>
    <n v="229.077193258411"/>
    <m/>
    <n v="181.530123926481"/>
    <n v="0.92741237297627999"/>
    <s v="72,88,102,113,122,131,138,144,149,154,159,163,167,170"/>
    <n v="8.8599610911098104E+47"/>
    <s v="120,109,103,94,90,81,73,70,61,61,52,52,45,47"/>
    <n v="8.7510191086111096E+48"/>
    <s v="125,111,101,92,85,78,73,68,63,59,56,52,49,47"/>
    <s v="0,CSV"/>
  </r>
  <r>
    <x v="0"/>
    <x v="6"/>
    <s v="HPSNZ Goldmine"/>
    <x v="0"/>
    <s v="PowerBike-28443-1616449107.dat"/>
    <n v="111.72818319891201"/>
    <n v="1082.6412931402899"/>
    <n v="223.45675940208699"/>
    <m/>
    <n v="188.18547427542299"/>
    <n v="0.94017415691228301"/>
    <s v="73,89,103,113,123,130,137,143,149,154,158,163,166,170"/>
    <n v="9.7410481042108998E+48"/>
    <s v="131,113,98,92,83,78,74,66,65,57,57,51,50,45"/>
    <n v="9.6410441076108203E+48"/>
    <s v="127,113,102,93,85,79,73,67,63,59,55,51,48,45"/>
    <s v="0,CSV"/>
  </r>
  <r>
    <x v="0"/>
    <x v="6"/>
    <s v="HPSNZ Goldmine"/>
    <x v="0"/>
    <s v="PowerBike-28443-1616449534.dat"/>
    <n v="115.732257966251"/>
    <n v="1057.9380757962399"/>
    <n v="228.69294882674799"/>
    <m/>
    <n v="176.494141102849"/>
    <n v="0.892859453467579"/>
    <s v="71,88,101,112,121,129,136,142,148,153,157,161,165,169"/>
    <n v="8.7197910551061095E+46"/>
    <s v="119,108,101,91,87,77,72,65,62,59,55,49,48,50"/>
    <n v="8.80988103810571E+46"/>
    <s v="121,109,99,90,83,77,71,67,63,59,55,52,49,46"/>
    <s v="0,CSV"/>
  </r>
  <r>
    <x v="0"/>
    <x v="7"/>
    <s v="HPSNZ Goldmine"/>
    <x v="0"/>
    <s v="PowerBike-28443-1616458266.dat"/>
    <n v="119.592048363754"/>
    <n v="1412.8393455758201"/>
    <n v="234.42495660572399"/>
    <m/>
    <n v="227.580095243485"/>
    <n v="0.945005833095381"/>
    <s v="74,93,108,120,131,140,148,155,161,166,171,175,179,182"/>
    <n v="1.21912521386136E+54"/>
    <s v="160,128,122,108,104,95,88,79,73,67,61,55,54,48"/>
    <n v="1.1611330139714101E+53"/>
    <s v="156,137,122,111,100,92,84,78,72,66,62,58,54,51"/>
    <s v="0,CSV"/>
  </r>
  <r>
    <x v="0"/>
    <x v="8"/>
    <s v="HPSNZ Goldmine"/>
    <x v="0"/>
    <s v="PowerBike-28443-1616458409.dat"/>
    <n v="108.743594440425"/>
    <n v="1311.36220663066"/>
    <n v="211.48196674118299"/>
    <m/>
    <n v="239.08498374135701"/>
    <n v="0.95443359122655602"/>
    <s v="75,94,108,120,130,138,145,151,156,161,165,169,172,175"/>
    <n v="1.21512011307127E+50"/>
    <s v="159,123,116,103,97,83,78,68,65,55,54,45,46,41"/>
    <n v="1.16812851311129E+50"/>
    <s v="154,132,117,103,92,83,75,68,62,57,52,49,45,41"/>
    <s v="0,CSV"/>
  </r>
  <r>
    <x v="0"/>
    <x v="7"/>
    <s v="HPSNZ Goldmine"/>
    <x v="0"/>
    <s v="PowerBike-28443-1616458483.dat"/>
    <n v="119.83613978070601"/>
    <n v="1414.78212721728"/>
    <n v="234.404395949649"/>
    <m/>
    <n v="231.07518767740299"/>
    <n v="0.93714950866570101"/>
    <s v="75,94,109,121,132,141,148,155,161,166,171,175,179,183"/>
    <n v="1.24712461393139E+54"/>
    <s v="163,127,123,110,104,96,87,78,73,67,61,56,55,51"/>
    <n v="1.18913411402141E+54"/>
    <s v="157,138,124,112,101,92,85,78,72,67,62,58,55,51"/>
    <s v="0,CSV"/>
  </r>
  <r>
    <x v="0"/>
    <x v="8"/>
    <s v="HPSNZ Goldmine"/>
    <x v="0"/>
    <s v="PowerBike-28443-1616458586.dat"/>
    <n v="110.621123087586"/>
    <n v="1364.2684712606101"/>
    <n v="216.70876162419901"/>
    <m/>
    <n v="243.88212440616201"/>
    <n v="0.97151019695177598"/>
    <s v="75,95,109,121,131,139,147,153,158,163,167,171,175,178"/>
    <n v="1.24712741373133E+50"/>
    <s v="164,130,121,106,99,86,80,72,69,58,56,50,49,42"/>
    <n v="1.21413351364135E+51"/>
    <s v="159,137,121,107,96,87,79,72,66,60,56,51,47,43"/>
    <s v="0,CSV"/>
  </r>
  <r>
    <x v="0"/>
    <x v="7"/>
    <s v="HPSNZ Goldmine"/>
    <x v="0"/>
    <s v="PowerBike-28443-1616458682.dat"/>
    <n v="120.706498253132"/>
    <n v="1421.3030907179"/>
    <n v="237.21217053914401"/>
    <m/>
    <n v="229.939088136821"/>
    <n v="0.92501972604506399"/>
    <s v="75,95,109,121,132,141,148,155,161,167,172,176,180,184"/>
    <n v="1.26812551405137E+54"/>
    <s v="165,128,123,109,103,95,89,81,75,70,64,58,55,49"/>
    <n v="1.20013481407142E+54"/>
    <s v="157,138,124,112,102,94,86,79,73,68,63,59,55,52"/>
    <s v="0,CSV"/>
  </r>
  <r>
    <x v="0"/>
    <x v="8"/>
    <s v="HPSNZ Goldmine"/>
    <x v="0"/>
    <s v="PowerBike-28443-1616458777.dat"/>
    <n v="113.600604411001"/>
    <n v="1405.5912783184999"/>
    <n v="222.25593772324601"/>
    <m/>
    <n v="245.02028873760801"/>
    <n v="0.96611304862456304"/>
    <s v="76,96,110,123,132,141,148,155,160,165,170,174,177,181"/>
    <n v="1.26812911447138E+52"/>
    <s v="165,131,127,109,101,89,83,74,69,61,59,53,52,44"/>
    <n v="1.2371367140413899E+52"/>
    <s v="161,140,123,110,99,90,82,75,68,63,58,54,49,46"/>
    <s v="0,CSV"/>
  </r>
  <r>
    <x v="0"/>
    <x v="7"/>
    <s v="HPSNZ Goldmine"/>
    <x v="0"/>
    <s v="PowerBike-28443-1616458858.dat"/>
    <n v="119.11108816433"/>
    <n v="1433.8310618139401"/>
    <n v="234.080677460522"/>
    <m/>
    <n v="235.21286103136001"/>
    <n v="0.91583113149566098"/>
    <s v="76,95,110,122,132,141,149,156,162,167,172,176,180,183"/>
    <n v="1.29112591409142E+53"/>
    <s v="168,128,123,112,104,97,88,79,74,67,59,60,52,52"/>
    <n v="1.2231369142414301E+54"/>
    <s v="159,140,125,113,102,93,85,79,73,67,63,58,54,51"/>
    <s v="0,CSV"/>
  </r>
  <r>
    <x v="0"/>
    <x v="8"/>
    <s v="HPSNZ Goldmine"/>
    <x v="0"/>
    <s v="PowerBike-28443-1616458962.dat"/>
    <n v="113.87732830413501"/>
    <n v="1403.8468767272"/>
    <n v="219.585524891967"/>
    <m/>
    <n v="245.277700750126"/>
    <n v="0.95809314662720202"/>
    <s v="76,95,110,122,132,141,148,154,160,165,169,173,176,180"/>
    <n v="1.2341288144513801E+52"/>
    <s v="161,132,127,109,101,87,84,71,69,59,59,49,49,43"/>
    <n v="1.20713581402139E+51"/>
    <s v="161,139,122,109,98,88,80,73,67,61,57,52,48,45"/>
    <s v="0,CSV"/>
  </r>
  <r>
    <x v="1"/>
    <x v="1"/>
    <s v="HPSNZ Goldmine"/>
    <x v="0"/>
    <s v="PowerBike-28443-1616615871.dat"/>
    <n v="119.898885272434"/>
    <n v="1357.49563373665"/>
    <n v="237.30851234495"/>
    <m/>
    <n v="221.41246513462599"/>
    <n v="0.935141406660432"/>
    <s v="75,94,109,121,131,140,147,154,159,165,170,174,178,182"/>
    <n v="1.1831261135213199E+54"/>
    <s v="156,130,120,106,102,90,85,77,75,65,65,59,58,49"/>
    <n v="1.16412941345135E+54"/>
    <s v="152,134,120,109,100,91,84,78,73,67,63,59,55,52"/>
    <s v="0,CSV"/>
  </r>
  <r>
    <x v="1"/>
    <x v="1"/>
    <s v="HPSNZ Goldmine"/>
    <x v="0"/>
    <s v="PowerBike-28443-1616616115.dat"/>
    <n v="123.83868964548"/>
    <n v="1388.0001354108499"/>
    <n v="245.55359223588701"/>
    <m/>
    <n v="220.92319264354001"/>
    <n v="0.92223165525122397"/>
    <s v="76,95,109,122,132,141,148,155,161,167,172,176,181,185"/>
    <n v="1.2271277137413499E+55"/>
    <s v="160,130,121,107,103,94,87,81,77,70,68,63,62,53"/>
    <n v="1.1971320137113801E+55"/>
    <s v="153,135,122,112,103,94,88,81,76,71,66,62,58,55"/>
    <s v="0,CSV"/>
  </r>
  <r>
    <x v="1"/>
    <x v="1"/>
    <s v="HPSNZ Goldmine"/>
    <x v="0"/>
    <s v="PowerBike-28443-1616616309.dat"/>
    <n v="124.196391020916"/>
    <n v="1398.09518455067"/>
    <n v="245.62259516703099"/>
    <m/>
    <n v="221.32940021019999"/>
    <n v="0.90074934881366397"/>
    <s v="75,95,109,122,132,141,148,155,161,167,172,176,181,185"/>
    <n v="1.21812741375137E+55"/>
    <s v="160,131,121,109,105,93,88,82,77,70,65,61,63,54"/>
    <n v="1.1881321137813899E+55"/>
    <s v="154,136,123,112,103,95,88,81,76,71,66,62,59,55"/>
    <s v="0,CSV"/>
  </r>
  <r>
    <x v="1"/>
    <x v="1"/>
    <s v="HPSNZ Goldmine"/>
    <x v="0"/>
    <s v="PowerBike-28443-1616616509.dat"/>
    <n v="126.39134363595799"/>
    <n v="1434.85347284573"/>
    <n v="248.82751338455901"/>
    <m/>
    <n v="222.10182474217899"/>
    <n v="0.89428294877346004"/>
    <s v="75,95,109,122,132,142,149,157,162,168,173,178,182,186"/>
    <n v="1.2181286137714E+55"/>
    <s v="160,132,121,111,108,99,91,81,77,70,68,60,60,59"/>
    <n v="1.1831338140614299E+55"/>
    <s v="155,138,125,113,104,96,89,82,77,72,68,64,60,56"/>
    <s v="0,CSV"/>
  </r>
  <r>
    <x v="1"/>
    <x v="1"/>
    <s v="HPSNZ Goldmine"/>
    <x v="0"/>
    <s v="PowerBike-28443-1616616709.dat"/>
    <n v="124.646034549226"/>
    <n v="1446.53739720919"/>
    <n v="245.75862994924299"/>
    <m/>
    <n v="228.45333959971899"/>
    <n v="0.87230728292462401"/>
    <s v="76,96,110,123,133,142,150,157,163,169,174,178,182,186"/>
    <n v="1.2671309140014399E+55"/>
    <s v="165,133,123,114,107,93,89,85,81,70,67,61,63,53"/>
    <n v="1.2231367142614399E+55"/>
    <s v="158,140,126,114,105,96,89,83,77,72,67,63,59,55"/>
    <s v="0,CSV"/>
  </r>
  <r>
    <x v="1"/>
    <x v="5"/>
    <s v="HPSNZ Goldmine"/>
    <x v="0"/>
    <s v="PowerBike-28443-1616616786.dat"/>
    <n v="121.101140488288"/>
    <n v="1267.5674759481401"/>
    <n v="240.523191873038"/>
    <m/>
    <n v="203.41073114499801"/>
    <n v="0.91139710130569696"/>
    <s v="74,92,106,117,128,136,144,150,156,162,167,171,175,179"/>
    <n v="1.10011771227123E+54"/>
    <s v="146,123,111,100,98,88,83,75,73,65,64,58,58,51"/>
    <n v="1.07811961249126E+54"/>
    <s v="141,126,114,104,96,88,82,76,71,67,62,59,55,52"/>
    <s v="0,CSV"/>
  </r>
  <r>
    <x v="1"/>
    <x v="1"/>
    <s v="HPSNZ Goldmine"/>
    <x v="0"/>
    <s v="PowerBike-28443-1616616931.dat"/>
    <n v="123.464110906822"/>
    <n v="1421.8389368211399"/>
    <n v="244.813576036901"/>
    <m/>
    <n v="225.41834049165399"/>
    <n v="0.788761834779382"/>
    <s v="75,95,109,122,132,141,149,156,162,168,172,177,181,186"/>
    <n v="1.2521282138914099E+55"/>
    <s v="164,131,122,111,106,95,92,80,78,66,66,61,66,52"/>
    <n v="1.2121348140414199E+55"/>
    <s v="156,138,125,113,104,95,88,82,76,71,67,62,58,54"/>
    <s v="0,CSV"/>
  </r>
  <r>
    <x v="1"/>
    <x v="5"/>
    <s v="HPSNZ Goldmine"/>
    <x v="0"/>
    <s v="PowerBike-28443-1616617152.dat"/>
    <n v="121.481563255456"/>
    <n v="1309.4626339573399"/>
    <n v="239.70613523145801"/>
    <m/>
    <n v="211.16202518686899"/>
    <n v="0.88676427198111796"/>
    <s v="74,93,107,119,129,138,145,152,158,163,168,172,177,180"/>
    <n v="1.13911911277127E+54"/>
    <s v="151,124,115,103,101,92,85,74,72,66,65,59,59,50"/>
    <n v="1.1081235129113001E+54"/>
    <s v="146,129,117,107,98,90,83,77,72,67,63,59,55,52"/>
    <s v="0,CSV"/>
  </r>
  <r>
    <x v="1"/>
    <x v="5"/>
    <s v="HPSNZ Goldmine"/>
    <x v="0"/>
    <s v="PowerBike-28443-1616617361.dat"/>
    <n v="121.965366351326"/>
    <n v="1294.9920889893999"/>
    <n v="242.432757470448"/>
    <m/>
    <n v="207.11698288149"/>
    <n v="0.81244215552285004"/>
    <s v="74,93,107,118,128,137,145,151,158,163,168,172,177,181"/>
    <n v="1.15611791252124E+54"/>
    <s v="152,122,113,101,98,91,88,76,76,65,65,58,60,51"/>
    <n v="1.11012261276129E+55"/>
    <s v="144,128,116,106,98,90,84,78,73,68,64,60,56,53"/>
    <s v="0,CSV"/>
  </r>
  <r>
    <x v="1"/>
    <x v="5"/>
    <s v="HPSNZ Goldmine"/>
    <x v="0"/>
    <s v="PowerBike-28443-1616617552.dat"/>
    <n v="119.976167809522"/>
    <n v="1335.9740879123799"/>
    <n v="235.79306323599701"/>
    <m/>
    <n v="217.716401358528"/>
    <n v="0.89123065838596105"/>
    <s v="75,93,108,119,130,138,146,152,158,164,169,173,177,181"/>
    <n v="1.16712101309127E+54"/>
    <s v="154,125,117,103,104,89,85,76,74,66,63,58,57,47"/>
    <n v="1.12412631321133E+54"/>
    <s v="149,132,118,108,98,90,83,77,71,66,62,58,54,51"/>
    <s v="0,CSV"/>
  </r>
  <r>
    <x v="1"/>
    <x v="0"/>
    <s v="HPSNZ Goldmine"/>
    <x v="0"/>
    <s v="PowerBike-28443-1616620681.dat"/>
    <n v="128.11798427958499"/>
    <n v="1572.9082366902401"/>
    <n v="254.83259106933599"/>
    <m/>
    <n v="240.21994050641101"/>
    <n v="0.93575272473277604"/>
    <s v="76,97,112,126,136,146,154,161,167,173,178,183,187,192"/>
    <n v="1.31514871555162E+55"/>
    <s v="171,149,133,124,111,103,92,88,80,78,70,68,65,64"/>
    <n v="1.3321485155115699E+55"/>
    <s v="169,149,134,122,112,103,95,88,83,77,72,68,64,59"/>
    <s v="0,CSV"/>
  </r>
  <r>
    <x v="1"/>
    <x v="4"/>
    <s v="HPSNZ Goldmine"/>
    <x v="0"/>
    <s v="PowerBike-28443-1616620768.dat"/>
    <n v="114.798382639582"/>
    <n v="1187.5302411560001"/>
    <n v="228.95471720187899"/>
    <m/>
    <n v="198.165557836223"/>
    <n v="0.91504348433238802"/>
    <s v="72,90,104,116,126,134,141,147,153,158,162,166,170,174"/>
    <n v="1.0211079121911901E+50"/>
    <s v="136,115,112,99,94,84,75,70,63,59,56,55,52,49"/>
    <n v="1.01511311177118E+51"/>
    <s v="136,120,108,98,90,82,76,71,66,62,58,54,51,47"/>
    <s v="0,CSV"/>
  </r>
  <r>
    <x v="1"/>
    <x v="0"/>
    <s v="HPSNZ Goldmine"/>
    <x v="0"/>
    <s v="PowerBike-28443-1616620906.dat"/>
    <n v="129.53575606310099"/>
    <n v="1589.20721946971"/>
    <n v="257.68629064930099"/>
    <m/>
    <n v="242.446761407602"/>
    <n v="0.90337898424728003"/>
    <s v="77,97,113,127,137,147,154,162,168,174,179,184,189,193"/>
    <n v="1.35415071566166E+55"/>
    <s v="175,150,133,127,110,103,93,90,81,79,73,72,65,65"/>
    <n v="1.36915081569158E+55"/>
    <s v="170,151,136,123,113,105,97,90,84,79,74,69,65,61"/>
    <s v="0,CSV"/>
  </r>
  <r>
    <x v="1"/>
    <x v="4"/>
    <s v="HPSNZ Goldmine"/>
    <x v="0"/>
    <s v="PowerBike-28443-1616620995.dat"/>
    <n v="114.435292335307"/>
    <n v="1181.1454652324301"/>
    <n v="227.062868827306"/>
    <m/>
    <n v="197.91573411098801"/>
    <n v="0.91584563768026195"/>
    <s v="71,90,104,115,125,133,140,147,152,157,162,166,170,174"/>
    <n v="1.02610741160115E+51"/>
    <s v="138,115,107,96,97,79,78,70,65,61,55,52,51,46"/>
    <n v="9.9811221170118095E+49"/>
    <s v="136,120,108,98,89,82,76,70,65,61,57,53,50,47"/>
    <s v="0,CSV"/>
  </r>
  <r>
    <x v="1"/>
    <x v="0"/>
    <s v="HPSNZ Goldmine"/>
    <x v="0"/>
    <s v="PowerBike-28443-1616621106.dat"/>
    <n v="130.88825452271701"/>
    <n v="1629.02962594112"/>
    <n v="257.608170432961"/>
    <m/>
    <n v="245.533997476216"/>
    <n v="0.77862371485369197"/>
    <s v="77,98,114,127,138,147,155,162,169,175,180,185,189,193,197"/>
    <n v="1.3581503157717099E+59"/>
    <s v="176,150,134,130,111,106,93,95,81,82,70,77,61,67,55"/>
    <n v="1.35115241600162E+59"/>
    <s v="172,152,137,125,114,105,98,91,85,79,74,69,65,61,57"/>
    <s v="0,CSV"/>
  </r>
  <r>
    <x v="1"/>
    <x v="4"/>
    <s v="HPSNZ Goldmine"/>
    <x v="0"/>
    <s v="PowerBike-28443-1616621181.dat"/>
    <n v="114.361873664394"/>
    <n v="1169.87676211949"/>
    <n v="228.207490925966"/>
    <m/>
    <n v="196.39531266661601"/>
    <n v="0.825307304336373"/>
    <s v="72,90,104,115,125,133,140,147,152,157,162,166,170,173"/>
    <n v="1.03210161240115E+51"/>
    <s v="138,108,115,96,93,80,78,67,66,61,55,54,49,50"/>
    <n v="1.0061115116011699E+51"/>
    <s v="135,119,107,97,89,82,76,70,65,61,57,54,50,47"/>
    <s v="0,CSV"/>
  </r>
  <r>
    <x v="1"/>
    <x v="0"/>
    <s v="HPSNZ Goldmine"/>
    <x v="0"/>
    <s v="PowerBike-28443-1616621355.dat"/>
    <n v="128.332272612997"/>
    <n v="1612.6847757179601"/>
    <n v="255.660354581587"/>
    <m/>
    <n v="248.80617912115801"/>
    <n v="0.830713267870965"/>
    <s v="77,98,114,127,138,148,155,163,169,175,180,185,189,194"/>
    <n v="1.37615371597171E+55"/>
    <s v="178,152,135,129,112,104,94,88,82,80,71,68,66,69"/>
    <n v="1.40115391596161E+55"/>
    <s v="174,153,138,125,114,105,97,90,84,79,74,69,65,60"/>
    <s v="0,CSV"/>
  </r>
  <r>
    <x v="1"/>
    <x v="2"/>
    <s v="HPSNZ Goldmine"/>
    <x v="0"/>
    <s v="PowerBike-28443-1616630118.dat"/>
    <n v="126.01053637307"/>
    <n v="1772.63084459314"/>
    <n v="248.285680625346"/>
    <m/>
    <n v="279.15554327973098"/>
    <n v="0.87912056309536502"/>
    <n v="7.9101118131142102E+40"/>
    <n v="1.5371647178518199E+55"/>
    <s v="196,160,147,134,114,116,94,94,79,80,69,72,65,58"/>
    <n v="1.5221702176517701E+55"/>
    <s v="191,166,147,132,119,109,100,92,85,78,73,67,62,58"/>
    <s v="0,CSV"/>
  </r>
  <r>
    <x v="1"/>
    <x v="2"/>
    <s v="HPSNZ Goldmine"/>
    <x v="0"/>
    <s v="PowerBike-28443-1616630328.dat"/>
    <n v="129.677968525285"/>
    <n v="1778.36889491038"/>
    <n v="254.91822070055699"/>
    <m/>
    <n v="269.77398095975798"/>
    <n v="0.90508310675058401"/>
    <n v="7.8100117130141104E+40"/>
    <n v="1.48816451744179E+55"/>
    <s v="190,160,145,133,122,108,107,91,82,84,71,67,68,63"/>
    <n v="1.4711681175917699E+55"/>
    <s v="188,164,146,132,120,110,101,93,87,80,75,70,65,61"/>
    <s v="0,CSV"/>
  </r>
  <r>
    <x v="1"/>
    <x v="2"/>
    <s v="HPSNZ Goldmine"/>
    <x v="0"/>
    <s v="PowerBike-28443-1616630535.dat"/>
    <n v="128.95480085149401"/>
    <n v="1813.2676709837799"/>
    <n v="252.98941640484799"/>
    <m/>
    <n v="279.96365841977303"/>
    <n v="0.93764696547896598"/>
    <n v="7.91021181311431E+37"/>
    <n v="1.58816401788184E+51"/>
    <s v="202,158,147,136,119,112,105,93,85,82,77,69,65"/>
    <n v="1.53717301799181E+51"/>
    <s v="193,168,150,135,122,112,102,94,87,81,75,69,65"/>
    <s v="0,CSV"/>
  </r>
  <r>
    <x v="1"/>
    <x v="7"/>
    <s v="HPSNZ Goldmine"/>
    <x v="0"/>
    <s v="PowerBike-28443-1616630618.dat"/>
    <n v="116.76270922451501"/>
    <n v="1360.1716256443201"/>
    <n v="227.03012500807799"/>
    <m/>
    <n v="229.032373679866"/>
    <n v="0.96282980931318496"/>
    <s v="75,94,108,120,130,139,146,153,159,164,169,173,176,180"/>
    <n v="1.19912321337131E+52"/>
    <s v="158,127,119,105,100,92,83,77,70,65,58,55,49,45"/>
    <n v="1.14712971352135E+52"/>
    <s v="154,134,120,108,98,89,81,75,69,64,59,55,51,48"/>
    <s v="0,CSV"/>
  </r>
  <r>
    <x v="1"/>
    <x v="8"/>
    <s v="HPSNZ Goldmine"/>
    <x v="0"/>
    <s v="PowerBike-28443-1616630695.dat"/>
    <n v="113.982312556949"/>
    <n v="1394.3246260573801"/>
    <n v="221.70921565991799"/>
    <m/>
    <n v="241.637604460901"/>
    <n v="0.96128809318188602"/>
    <s v="75,95,110,122,132,140,148,154,160,164,169,173,176,180"/>
    <n v="1.2021324143613599E+51"/>
    <s v="158,136,126,107,100,89,83,72,70,57,58,51,51,46"/>
    <n v="1.2021348139213801E+52"/>
    <s v="160,138,122,109,98,89,81,74,68,62,58,53,49,46"/>
    <s v="0,CSV"/>
  </r>
  <r>
    <x v="1"/>
    <x v="2"/>
    <s v="HPSNZ Goldmine"/>
    <x v="0"/>
    <s v="PowerBike-28443-1616630792.dat"/>
    <n v="128.23719103445299"/>
    <n v="1803.5427699863701"/>
    <n v="251.37419048351401"/>
    <m/>
    <n v="279.32027285240503"/>
    <n v="0.94962265494526998"/>
    <n v="7.9101118131142102E+40"/>
    <n v="1.5641647178318101E+55"/>
    <s v="199,159,147,133,122,106,106,94,85,82,75,66,64,59"/>
    <n v="1.5201720179117999E+55"/>
    <s v="192,167,148,134,121,111,101,93,86,79,74,68,64,59"/>
    <s v="0,CSV"/>
  </r>
  <r>
    <x v="1"/>
    <x v="7"/>
    <s v="HPSNZ Goldmine"/>
    <x v="0"/>
    <s v="PowerBike-28443-1616630862.dat"/>
    <n v="116.315668407159"/>
    <n v="1387.8511520493801"/>
    <n v="231.79058073398099"/>
    <m/>
    <n v="234.238404886322"/>
    <n v="0.91480430304214699"/>
    <s v="76,96,110,122,132,140,148,155,161,166,171,175,179,183"/>
    <n v="1.2981260136013701E+53"/>
    <s v="168,128,119,109,102,91,87,76,74,67,61,60,52,51"/>
    <n v="1.2391348138413799E+54"/>
    <s v="157,138,123,111,101,92,85,78,72,66,62,57,53,50"/>
    <s v="0,CSV"/>
  </r>
  <r>
    <x v="1"/>
    <x v="8"/>
    <s v="HPSNZ Goldmine"/>
    <x v="0"/>
    <s v="PowerBike-28443-1616630937.dat"/>
    <n v="109.945830205392"/>
    <n v="1433.0415123505099"/>
    <n v="222.56988094203501"/>
    <m/>
    <n v="253.38140488902999"/>
    <n v="0.96426200917943095"/>
    <s v="77,97,112,124,134,142,149,155,161,166,171,175,179,182"/>
    <n v="1.3251381148913999E+53"/>
    <s v="172,139,129,109,100,87,83,73,72,62,62,55,53,47"/>
    <n v="1.32214161433141E+53"/>
    <s v="166,143,126,112,101,92,83,76,70,64,59,54,50,46"/>
    <s v="0,CSV"/>
  </r>
  <r>
    <x v="1"/>
    <x v="6"/>
    <s v="HPSNZ Goldmine"/>
    <x v="0"/>
    <s v="PowerBike-28443-1616631050.dat"/>
    <n v="114.39554428400901"/>
    <n v="1151.2909265697899"/>
    <n v="223.199248211683"/>
    <m/>
    <n v="197.578494682029"/>
    <n v="0.920404185139993"/>
    <s v="73,91,104,116,125,133,140,146,151,156,160,164,168,172"/>
    <n v="9.51109211641194E+48"/>
    <s v="128,117,108,100,89,81,69,70,62,58,54,53,48,47"/>
    <n v="9.7410921140115094E+49"/>
    <s v="133,117,105,95,87,80,74,69,64,59,56,52,49,46"/>
    <s v="0,CSV"/>
  </r>
  <r>
    <x v="1"/>
    <x v="7"/>
    <s v="HPSNZ Goldmine"/>
    <x v="0"/>
    <s v="PowerBike-28443-1616631127.dat"/>
    <n v="114.52073565662199"/>
    <n v="1391.3621452851701"/>
    <n v="226.044873459298"/>
    <m/>
    <n v="239.61108811598899"/>
    <n v="0.86409712561296104"/>
    <s v="76,96,110,122,132,140,148,154,160,166,170,174,178,181"/>
    <n v="1.3011259137113601E+52"/>
    <s v="169,128,120,108,102,90,84,78,71,69,53,61,49,47"/>
    <n v="1.2361353138913799E+53"/>
    <s v="159,138,123,111,100,91,83,76,70,64,60,55,51,47"/>
    <s v="0,CSV"/>
  </r>
  <r>
    <x v="1"/>
    <x v="8"/>
    <s v="HPSNZ Goldmine"/>
    <x v="0"/>
    <s v="PowerBike-28443-1616631192.dat"/>
    <n v="117.867993239402"/>
    <n v="1459.8977553751299"/>
    <n v="229.22723717706199"/>
    <m/>
    <n v="242.66237802519501"/>
    <n v="0.96363616541377894"/>
    <s v="75,95,111,123,133,142,150,156,162,167,172,176,180,183"/>
    <n v="1.24413431487142E+53"/>
    <s v="163,137,130,111,105,94,86,76,73,63,63,54,54,46"/>
    <n v="1.2231394145314501E+53"/>
    <s v="163,142,126,112,102,92,84,77,71,66,61,56,52,49"/>
    <s v="0,CSV"/>
  </r>
  <r>
    <x v="1"/>
    <x v="6"/>
    <s v="HPSNZ Goldmine"/>
    <x v="0"/>
    <s v="PowerBike-28443-1616631290.dat"/>
    <n v="118.521512154693"/>
    <n v="1144.3107248174899"/>
    <n v="236.047333978924"/>
    <m/>
    <n v="177.789726321849"/>
    <n v="0.94400796618055205"/>
    <s v="70,87,101,113,122,131,138,144,150,155,160,164,168,171"/>
    <n v="8.5810031120116903E+48"/>
    <s v="117,110,106,99,91,82,75,70,63,61,54,54,46,49"/>
    <n v="8.5910261106113996E+49"/>
    <s v="125,112,102,93,86,79,74,69,65,61,57,54,51,49"/>
    <s v="0,CSV"/>
  </r>
  <r>
    <x v="1"/>
    <x v="7"/>
    <s v="HPSNZ Goldmine"/>
    <x v="0"/>
    <s v="PowerBike-28443-1616631407.dat"/>
    <n v="115.441153965678"/>
    <n v="1385.0735275940101"/>
    <n v="229.62089107707499"/>
    <m/>
    <n v="234.531375042462"/>
    <n v="0.95232562591159198"/>
    <s v="75,95,110,122,132,140,148,154,160,165,170,174,178,182"/>
    <n v="1.2641268138314E+53"/>
    <s v="165,129,122,111,101,91,83,74,73,66,62,59,51,50"/>
    <n v="1.2261344138213799E+53"/>
    <s v="157,137,123,110,100,91,84,77,71,66,61,56,53,49"/>
    <s v="0,CSV"/>
  </r>
  <r>
    <x v="1"/>
    <x v="8"/>
    <s v="HPSNZ Goldmine"/>
    <x v="0"/>
    <s v="PowerBike-28443-1616631477.dat"/>
    <n v="119.606972531046"/>
    <n v="1421.69479817929"/>
    <n v="230.82921989452399"/>
    <m/>
    <n v="233.82190784315199"/>
    <n v="0.94788229240620403"/>
    <s v="76,95,109,122,132,141,148,155,161,166,171,175,179,182"/>
    <n v="1.2081271140514199E+52"/>
    <s v="158,130,124,112,103,92,88,75,74,64,62,53,53,46"/>
    <n v="1.1661340140814199E+53"/>
    <s v="157,138,123,110,100,91,83,77,71,66,61,57,53,50"/>
    <s v="0,CSV"/>
  </r>
  <r>
    <x v="1"/>
    <x v="6"/>
    <s v="HPSNZ Goldmine"/>
    <x v="0"/>
    <s v="PowerBike-28443-1616631554.dat"/>
    <n v="114.683756981645"/>
    <n v="1121.2521675707601"/>
    <n v="224.16621234709299"/>
    <m/>
    <n v="189.85062018196899"/>
    <n v="0.92124651356995302"/>
    <s v="72,89,103,114,123,132,138,145,150,155,159,163,167,170"/>
    <n v="9.1710301146112098E+48"/>
    <s v="125,112,108,95,89,80,74,67,61,57,53,48,48,49"/>
    <n v="9.2710511106112106E+48"/>
    <s v="129,114,103,93,85,78,73,67,63,59,55,52,49,46"/>
    <s v="0,CSV"/>
  </r>
  <r>
    <x v="2"/>
    <x v="2"/>
    <s v="HPSNZ Goldmine"/>
    <x v="0"/>
    <s v="PowerBike-26916-1620696616.dat"/>
    <n v="130.68791401465299"/>
    <n v="1822.17759588934"/>
    <n v="255.84765643570299"/>
    <n v="3237.8710284725698"/>
    <n v="278.24419604313402"/>
    <n v="0.83299999999999996"/>
    <n v="7.91021181311431E+37"/>
    <n v="1.5991593183218199E+51"/>
    <s v="203,154,151,134,126,108,107,96,86,85,76,66,70"/>
    <n v="1.5341730180418199E+51"/>
    <s v="192,168,150,135,123,112,103,95,88,82,76,71,66"/>
    <s v="0,CSV"/>
  </r>
  <r>
    <x v="2"/>
    <x v="2"/>
    <s v="HPSNZ Goldmine"/>
    <x v="0"/>
    <s v="PowerBike-26916-1620696407.dat"/>
    <n v="129.822725575265"/>
    <n v="1830.90921511908"/>
    <n v="256.56846277965599"/>
    <n v="3240.5734619182699"/>
    <n v="281.76854816581601"/>
    <n v="0.90500000000000003"/>
    <n v="7.9102119132143105E+37"/>
    <n v="1.61416751852185E+51"/>
    <s v="204,161,152,136,122,112,105,99,84,81,78,73,71"/>
    <n v="1.58617571819183E+51"/>
    <s v="195,170,152,137,124,114,104,96,89,83,77,71,66"/>
    <s v="0,CSV"/>
  </r>
  <r>
    <x v="2"/>
    <x v="7"/>
    <s v="HPSNZ Goldmine"/>
    <x v="0"/>
    <s v="PowerBike-28702-1620696317.dat"/>
    <n v="120.025542494383"/>
    <n v="1429.39883159335"/>
    <n v="237.57479772935901"/>
    <n v="2360.1931520547701"/>
    <n v="234.85787693351801"/>
    <n v="0.94499999999999995"/>
    <s v="76,96,111,123,133,141,149,156,162,168,173,177,181,185"/>
    <n v="1.3041308139114201E+55"/>
    <s v="169,132,121,112,102,94,88,82,77,70,64,60,57,52"/>
    <n v="1.2501376142114199E+55"/>
    <s v="159,140,126,114,104,95,87,81,75,69,64,60,56,52"/>
    <s v="0,CSV"/>
  </r>
  <r>
    <x v="2"/>
    <x v="2"/>
    <s v="HPSNZ Goldmine"/>
    <x v="0"/>
    <s v="PowerBike-26916-1620696238.dat"/>
    <n v="128.500605915699"/>
    <n v="1801.5512488074401"/>
    <n v="253.33832079244399"/>
    <n v="3170.1958617325799"/>
    <n v="279.51695900073599"/>
    <n v="0.78100000000000003"/>
    <n v="7.91021181311431E+37"/>
    <n v="1.5831626182318E+51"/>
    <s v="201,157,150,132,126,113,102,93,81,80,69,76,71"/>
    <n v="1.5531727179018001E+51"/>
    <s v="192,167,150,134,122,111,102,94,87,81,75,70,65"/>
    <s v="0,CSV"/>
  </r>
  <r>
    <x v="2"/>
    <x v="7"/>
    <s v="HPSNZ Goldmine"/>
    <x v="0"/>
    <s v="PowerBike-28702-1620696137.dat"/>
    <n v="121.27998490968"/>
    <n v="1476.7786993048701"/>
    <n v="237.82625675122699"/>
    <n v="2440.9035729004199"/>
    <n v="236.974081579471"/>
    <n v="0.92600000000000005"/>
    <s v="76,95,110,123,133,142,150,157,163,169,173,178,182,185"/>
    <n v="1.3001279146614699E+54"/>
    <s v="168,129,128,115,108,96,88,80,78,70,63,60,53,51"/>
    <n v="1.23313981462147E+55"/>
    <s v="162,142,127,115,104,95,87,81,75,69,64,60,56,52"/>
    <s v="0,CSV"/>
  </r>
  <r>
    <x v="2"/>
    <x v="3"/>
    <s v="HPSNZ Goldmine"/>
    <x v="0"/>
    <s v="PowerBike-27089-1620695992.dat"/>
    <n v="118.54142547273599"/>
    <n v="1776.9245405424899"/>
    <n v="235.990933823695"/>
    <n v="3020.5190176982001"/>
    <n v="296.58631833299398"/>
    <n v="0.94699999999999995"/>
    <n v="8.0102119132143101E+40"/>
    <n v="1.60016881850175E+55"/>
    <s v="203,162,151,129,120,102,92,85,82,71,70,58,62,55"/>
    <n v="1.5991743177717501E+55"/>
    <s v="196,169,148,131,117,106,96,88,80,73,67,62,57,52"/>
    <s v="0,CSV"/>
  </r>
  <r>
    <x v="2"/>
    <x v="3"/>
    <s v="HPSNZ Goldmine"/>
    <x v="0"/>
    <s v="PowerBike-27089-1620695706.dat"/>
    <n v="118.79603927060001"/>
    <n v="1753.97378476885"/>
    <n v="235.560599477431"/>
    <n v="2996.60004283529"/>
    <n v="291.75994395442001"/>
    <n v="0.86499999999999999"/>
    <n v="7.9101118131142098E+43"/>
    <n v="1.5951623181817499E+57"/>
    <s v="202,156,150,129,117,99,98,75,86,71,72,62,65,46,47"/>
    <n v="1.56317161754173E+59"/>
    <s v="194,167,146,130,116,105,95,87,80,73,67,61,56,52,48"/>
    <s v="0,CSV"/>
  </r>
  <r>
    <x v="3"/>
    <x v="9"/>
    <s v="HPSNZ Goldmine"/>
    <x v="0"/>
    <s v="PowerBike-27658-1622511428.dat"/>
    <n v="120.15182952218601"/>
    <n v="1302.5396547801699"/>
    <n v="232.345004091965"/>
    <n v="2066.7632845951798"/>
    <n v="212.09793520109599"/>
    <n v="0.92100000000000004"/>
    <s v="75,93,106,118,128,137,144,151,157,162,167,171,175,178"/>
    <n v="1.10011551225129E+52"/>
    <s v="146,121,111,106,99,89,84,76,73,63,61,51,53,46"/>
    <n v="1.0461209127912999E+52"/>
    <s v="144,127,115,104,95,87,80,74,69,64,60,56,53,49"/>
    <s v="0,CSV"/>
  </r>
  <r>
    <x v="3"/>
    <x v="8"/>
    <s v="HPSNZ Goldmine"/>
    <x v="0"/>
    <s v="PowerBike-27210-1622511337.dat"/>
    <n v="118.14238793389499"/>
    <n v="1458.0827176813"/>
    <n v="227.80455111709401"/>
    <n v="2296.0719763241"/>
    <n v="243.03993375244301"/>
    <n v="0.97199999999999998"/>
    <s v="76,95,111,123,133,142,149,156,162,167,172,175,179,182"/>
    <n v="1.2471328145314199E+52"/>
    <s v="163,135,127,112,106,91,88,77,72,65,60,52,50,47"/>
    <n v="1.20913871450145E+53"/>
    <s v="162,141,125,112,101,92,84,77,70,65,60,56,52,48"/>
    <s v="0,CSV"/>
  </r>
  <r>
    <x v="3"/>
    <x v="10"/>
    <s v="HPSNZ Goldmine"/>
    <x v="0"/>
    <s v="PowerBike-28000-1622511272.dat"/>
    <n v="120.305064045612"/>
    <n v="1797.6772755019899"/>
    <n v="239.045229133204"/>
    <n v="3053.03247521205"/>
    <n v="292.96007239449301"/>
    <n v="0.84"/>
    <n v="7.8101118132143102E+43"/>
    <n v="1.50417681957178E+59"/>
    <s v="192,171,160,130,120,101,97,84,84,62,67,58,67,54,58"/>
    <n v="1.5801753179717799E+59"/>
    <s v="197,169,148,131,118,106,97,88,81,75,69,64,59,54,50"/>
    <s v="0,CSV"/>
  </r>
  <r>
    <x v="3"/>
    <x v="11"/>
    <s v="HPSNZ Goldmine"/>
    <x v="0"/>
    <s v="PowerBike-26931-1622511191.dat"/>
    <n v="129.90445483176799"/>
    <n v="1768.21449556065"/>
    <n v="255.55575382169201"/>
    <n v="3093.1677127682301"/>
    <n v="270.61771044313599"/>
    <n v="0.89"/>
    <n v="7.9101117130141098E+40"/>
    <n v="1.54616091731176E+55"/>
    <s v="197,156,143,131,120,111,101,98,80,85,78,70,68,59"/>
    <n v="1.4971681175117601E+55"/>
    <s v="187,164,147,133,121,111,102,94,87,81,75,70,65,61"/>
    <s v="0,CSV"/>
  </r>
  <r>
    <x v="3"/>
    <x v="9"/>
    <s v="HPSNZ Goldmine"/>
    <x v="0"/>
    <s v="PowerBike-27658-1622511088.dat"/>
    <n v="121.95184445827201"/>
    <n v="1245.68213273424"/>
    <n v="239.05181589525299"/>
    <n v="2041.12458969248"/>
    <n v="195.87159352763001"/>
    <n v="0.94399999999999995"/>
    <s v="73,91,104,116,126,135,142,149,155,160,165,169,173,177"/>
    <n v="1.01310951175123E+52"/>
    <s v="136,117,108,102,96,88,83,75,72,63,60,54,54,48"/>
    <n v="9.7511351211124196E+51"/>
    <s v="136,122,110,101,93,86,79,74,69,65,61,57,54,51"/>
    <s v="0,CSV"/>
  </r>
  <r>
    <x v="3"/>
    <x v="12"/>
    <s v="HPSNZ Goldmine"/>
    <x v="0"/>
    <s v="PowerBike-27256-1622511011.dat"/>
    <n v="127.761312096626"/>
    <n v="1743.50799447592"/>
    <n v="260.59865344471001"/>
    <n v="3035.3616592389799"/>
    <n v="257.48770600440298"/>
    <n v="0.77200000000000002"/>
    <s v="72,96,114,128,140,149,158,165,172,178,183,188,193,197"/>
    <n v="1.43016801787183E+55"/>
    <s v="184,165,148,136,113,112,94,96,82,84,73,76,66,69"/>
    <n v="1.4801659172717401E+55"/>
    <s v="186,162,145,131,119,110,102,94,88,82,77,72,67,63"/>
    <s v="0,CSV"/>
  </r>
  <r>
    <x v="3"/>
    <x v="8"/>
    <s v="HPSNZ Goldmine"/>
    <x v="0"/>
    <s v="PowerBike-27210-1622510944.dat"/>
    <n v="115.02929738308001"/>
    <n v="1417.8149321430701"/>
    <n v="222.13308657101999"/>
    <n v="2286.6604623683502"/>
    <n v="242.48106929769099"/>
    <n v="0.96099999999999997"/>
    <s v="75,95,110,122,132,141,148,154,160,165,170,173,177,180"/>
    <n v="1.2231291146113999E+52"/>
    <s v="160,132,128,110,101,87,84,74,72,60,58,51,49,43"/>
    <n v="1.19513601414141E+52"/>
    <s v="161,139,123,109,98,89,81,74,68,62,57,53,49,46"/>
    <s v="0,CSV"/>
  </r>
  <r>
    <x v="3"/>
    <x v="13"/>
    <s v="HPSNZ Goldmine"/>
    <x v="0"/>
    <s v="PowerBike-27000-1622510839.dat"/>
    <n v="129.577595297622"/>
    <n v="2019.2640551156301"/>
    <n v="260.476412096454"/>
    <n v="3366.8605189832001"/>
    <n v="288.13001198236498"/>
    <n v="0.88400000000000001"/>
    <s v="73,99,118,133,145,155,164,172,178,184,189,194"/>
    <n v="1.5251982193920901E+47"/>
    <s v="195,190,156,150,127,122,102,102,84,83,76,74"/>
    <n v="1.56818912001201E+47"/>
    <s v="207,178,157,141,128,116,107,98,91,84,79,73"/>
    <s v="0,CSV"/>
  </r>
  <r>
    <x v="3"/>
    <x v="10"/>
    <s v="HPSNZ Goldmine"/>
    <x v="0"/>
    <s v="PowerBike-28000-1622510726.dat"/>
    <n v="120.32126415494901"/>
    <n v="1776.4962945873499"/>
    <n v="240.38643487168201"/>
    <n v="3072.39704872629"/>
    <n v="290.38137295134101"/>
    <n v="0.82099999999999995"/>
    <n v="7.9101118132142097E+40"/>
    <n v="1.55517141904178E+55"/>
    <s v="198,165,156,130,111,105,99,81,88,70,69,64,71,51"/>
    <n v="1.58317371776176E+55"/>
    <s v="195,168,147,131,118,107,98,90,82,75,70,64,59,54"/>
    <s v="0,CSV"/>
  </r>
  <r>
    <x v="3"/>
    <x v="11"/>
    <s v="HPSNZ Goldmine"/>
    <x v="0"/>
    <s v="PowerBike-26931-1622510637.dat"/>
    <n v="127.003700603502"/>
    <n v="1774.7479306724399"/>
    <n v="253.173310083768"/>
    <n v="3074.6109385596401"/>
    <n v="277.57229526965102"/>
    <n v="0.92700000000000005"/>
    <n v="7.9102118131142099E+37"/>
    <n v="1.5981651175818301E+51"/>
    <s v="201,158,144,135,119,110,99,95,84,82,76,70,70"/>
    <n v="1.57117181767177E+51"/>
    <s v="191,166,149,134,121,111,102,94,87,81,75,70,64"/>
    <s v="0,CSV"/>
  </r>
  <r>
    <x v="3"/>
    <x v="9"/>
    <s v="HPSNZ Goldmine"/>
    <x v="0"/>
    <s v="PowerBike-27658-1622510494.dat"/>
    <n v="121.72858297205499"/>
    <n v="1149.8440945923601"/>
    <n v="243.43470392583501"/>
    <n v="1788.4261768184499"/>
    <n v="180.09893130565001"/>
    <n v="0.93799999999999994"/>
    <s v="71,89,102,114,123,132,139,146,151,157,162,166,170,174"/>
    <n v="9.4410731085115701E+51"/>
    <s v="127,116,101,97,91,82,79,71,68,64,60,56,54,53"/>
    <n v="9.4410641120114404E+51"/>
    <s v="128,114,104,96,89,83,77,72,68,64,61,57,54,51"/>
    <s v="0,CSV"/>
  </r>
  <r>
    <x v="3"/>
    <x v="12"/>
    <s v="HPSNZ Goldmine"/>
    <x v="0"/>
    <s v="PowerBike-27256-1622510421.dat"/>
    <n v="126.813951238195"/>
    <n v="1732.3570661638601"/>
    <n v="249.969222666121"/>
    <n v="2984.9974378260699"/>
    <n v="270.43523815641601"/>
    <n v="0.95399999999999996"/>
    <n v="7.8100117130141104E+40"/>
    <n v="1.4641637176917401E+55"/>
    <s v="187,160,147,129,121,104,97,89,86,75,73,68,65,62"/>
    <n v="1.4791655172117301E+55"/>
    <s v="186,162,144,130,118,107,99,91,84,78,73,68,63,59"/>
    <s v="0,CSV"/>
  </r>
  <r>
    <x v="3"/>
    <x v="13"/>
    <s v="HPSNZ Goldmine"/>
    <x v="0"/>
    <s v="PowerBike-27000-1622510346.dat"/>
    <n v="127.228664231971"/>
    <n v="1943.11088804113"/>
    <n v="247.909278646372"/>
    <n v="3298.8646933906598"/>
    <n v="301.72607199908299"/>
    <n v="0.96799999999999997"/>
    <n v="7.9103120134145103E+37"/>
    <n v="1.6171847192119701E+51"/>
    <s v="205,176,155,142,128,112,102,94,84,81,70,72,61"/>
    <n v="1.6161859193519299E+51"/>
    <s v="206,177,156,138,125,113,103,94,87,79,74,67,63"/>
    <s v="0,CSV"/>
  </r>
  <r>
    <x v="4"/>
    <x v="7"/>
    <s v="HPSNZ Goldmine"/>
    <x v="0"/>
    <s v="PowerBike-28702-1632261607.dat"/>
    <n v="122.98420822913501"/>
    <n v="1400.13137600696"/>
    <n v="240.331503037396"/>
    <n v="2311.0423506639199"/>
    <n v="222.28788561233901"/>
    <n v="0.93700000000000006"/>
    <s v="75,94,109,121,131,140,148,155,161,166,171,175,179,183"/>
    <n v="1.19012141385141E+54"/>
    <s v="156,125,123,113,105,93,86,79,76,67,64,59,57,52"/>
    <n v="1.1451306137713999E+54"/>
    <s v="153,135,122,110,101,93,86,79,74,69,64,60,56,53"/>
    <s v="0,CSV"/>
  </r>
  <r>
    <x v="4"/>
    <x v="7"/>
    <s v="HPSNZ Goldmine"/>
    <x v="1"/>
    <s v="PowerBike-28702-1632261459.dat"/>
    <n v="112.70637753890399"/>
    <n v="1585.3179120903901"/>
    <n v="224.76109566177601"/>
    <n v="2683.9617714210799"/>
    <n v="276.01441273338702"/>
    <n v="0.97899999999999998"/>
    <s v="78,99,115,128,138,147,154,160,166,171,175,180,183,187"/>
    <n v="1.44615131646155E+54"/>
    <s v="185,149,139,118,106,95,85,79,73,65,59,59,53,47"/>
    <n v="1.44015631585155E+53"/>
    <s v="181,155,135,119,107,96,87,79,72,66,61,56,51,47"/>
    <s v="0,CSV"/>
  </r>
  <r>
    <x v="4"/>
    <x v="7"/>
    <s v="HPSNZ Goldmine"/>
    <x v="0"/>
    <s v="PowerBike-28702-1632261207.dat"/>
    <n v="119.299504050639"/>
    <n v="1367.31323921536"/>
    <n v="235.548168261261"/>
    <n v="2207.4057746660801"/>
    <n v="222.94923802313801"/>
    <n v="0.96099999999999997"/>
    <s v="74,94,108,120,130,139,147,153,159,165,170,174,178,182"/>
    <n v="1.20612271350136E+53"/>
    <s v="158,126,120,109,101,91,85,78,73,68,62,59,54,50"/>
    <n v="1.1611299135513601E+54"/>
    <s v="153,134,121,109,100,91,84,78,72,67,62,58,54,51"/>
    <s v="0,CSV"/>
  </r>
  <r>
    <x v="5"/>
    <x v="10"/>
    <s v="HPSNZ Goldmine"/>
    <x v="0"/>
    <m/>
    <n v="123"/>
    <n v="1982"/>
    <n v="237"/>
    <m/>
    <n v="321"/>
    <n v="0.93"/>
    <m/>
    <m/>
    <m/>
    <m/>
    <m/>
    <m/>
  </r>
  <r>
    <x v="5"/>
    <x v="14"/>
    <s v="HPSNZ Goldmine"/>
    <x v="0"/>
    <m/>
    <n v="121"/>
    <n v="1263"/>
    <n v="240"/>
    <m/>
    <n v="204"/>
    <n v="0.83"/>
    <m/>
    <m/>
    <m/>
    <m/>
    <m/>
    <m/>
  </r>
  <r>
    <x v="5"/>
    <x v="4"/>
    <s v="HPSNZ Goldmine"/>
    <x v="0"/>
    <m/>
    <n v="116"/>
    <n v="1265"/>
    <n v="230"/>
    <m/>
    <n v="212"/>
    <n v="0.95"/>
    <m/>
    <m/>
    <m/>
    <m/>
    <m/>
    <m/>
  </r>
  <r>
    <x v="5"/>
    <x v="11"/>
    <s v="HPSNZ Goldmine"/>
    <x v="0"/>
    <m/>
    <n v="127"/>
    <n v="1870"/>
    <n v="245"/>
    <m/>
    <n v="292"/>
    <n v="0.95"/>
    <m/>
    <m/>
    <m/>
    <m/>
    <m/>
    <m/>
  </r>
  <r>
    <x v="5"/>
    <x v="10"/>
    <s v="HPSNZ Goldmine"/>
    <x v="1"/>
    <m/>
    <n v="118"/>
    <n v="2117"/>
    <n v="245"/>
    <m/>
    <n v="326"/>
    <n v="0.88"/>
    <m/>
    <m/>
    <m/>
    <m/>
    <m/>
    <m/>
  </r>
  <r>
    <x v="5"/>
    <x v="14"/>
    <s v="HPSNZ Goldmine"/>
    <x v="1"/>
    <m/>
    <n v="118"/>
    <n v="1381"/>
    <n v="237"/>
    <m/>
    <n v="231"/>
    <n v="0.89"/>
    <m/>
    <m/>
    <m/>
    <m/>
    <m/>
    <m/>
  </r>
  <r>
    <x v="5"/>
    <x v="4"/>
    <s v="HPSNZ Goldmine"/>
    <x v="1"/>
    <m/>
    <n v="109"/>
    <n v="1381"/>
    <n v="227"/>
    <m/>
    <n v="242"/>
    <n v="0.94"/>
    <m/>
    <m/>
    <m/>
    <m/>
    <m/>
    <m/>
  </r>
  <r>
    <x v="5"/>
    <x v="11"/>
    <s v="HPSNZ Goldmine"/>
    <x v="1"/>
    <m/>
    <n v="127"/>
    <n v="2054"/>
    <n v="241"/>
    <m/>
    <n v="323"/>
    <n v="0.79"/>
    <m/>
    <m/>
    <m/>
    <m/>
    <m/>
    <m/>
  </r>
  <r>
    <x v="5"/>
    <x v="9"/>
    <s v="HPSNZ Goldmine"/>
    <x v="0"/>
    <m/>
    <n v="120"/>
    <n v="1283"/>
    <n v="238"/>
    <m/>
    <n v="202"/>
    <n v="0.85"/>
    <m/>
    <m/>
    <m/>
    <m/>
    <m/>
    <m/>
  </r>
  <r>
    <x v="5"/>
    <x v="10"/>
    <s v="HPSNZ Goldmine"/>
    <x v="1"/>
    <m/>
    <n v="115"/>
    <n v="2139"/>
    <n v="238"/>
    <m/>
    <n v="338"/>
    <n v="0.89"/>
    <m/>
    <m/>
    <m/>
    <m/>
    <m/>
    <m/>
  </r>
  <r>
    <x v="5"/>
    <x v="14"/>
    <s v="HPSNZ Goldmine"/>
    <x v="1"/>
    <m/>
    <n v="122"/>
    <n v="1377"/>
    <n v="240"/>
    <m/>
    <n v="223"/>
    <n v="0.93"/>
    <m/>
    <m/>
    <m/>
    <m/>
    <m/>
    <m/>
  </r>
  <r>
    <x v="5"/>
    <x v="4"/>
    <s v="HPSNZ Goldmine"/>
    <x v="1"/>
    <m/>
    <n v="113"/>
    <n v="1329"/>
    <n v="228"/>
    <m/>
    <n v="229"/>
    <n v="0.93"/>
    <m/>
    <m/>
    <m/>
    <m/>
    <m/>
    <m/>
  </r>
  <r>
    <x v="5"/>
    <x v="11"/>
    <s v="HPSNZ Goldmine"/>
    <x v="1"/>
    <m/>
    <n v="124"/>
    <n v="1987"/>
    <n v="241"/>
    <m/>
    <n v="319"/>
    <n v="0.8"/>
    <m/>
    <m/>
    <m/>
    <m/>
    <m/>
    <m/>
  </r>
  <r>
    <x v="5"/>
    <x v="9"/>
    <s v="HPSNZ Goldmine"/>
    <x v="1"/>
    <m/>
    <n v="109"/>
    <n v="1435"/>
    <n v="220"/>
    <m/>
    <n v="256"/>
    <n v="0.79"/>
    <m/>
    <m/>
    <m/>
    <m/>
    <m/>
    <m/>
  </r>
  <r>
    <x v="5"/>
    <x v="10"/>
    <s v="HPSNZ Goldmine"/>
    <x v="0"/>
    <m/>
    <n v="120"/>
    <n v="1895"/>
    <n v="237"/>
    <m/>
    <n v="312"/>
    <n v="0.96"/>
    <m/>
    <m/>
    <m/>
    <m/>
    <m/>
    <m/>
  </r>
  <r>
    <x v="5"/>
    <x v="14"/>
    <s v="HPSNZ Goldmine"/>
    <x v="0"/>
    <m/>
    <n v="118"/>
    <n v="1258"/>
    <n v="235"/>
    <m/>
    <n v="207"/>
    <n v="0.83"/>
    <m/>
    <m/>
    <m/>
    <m/>
    <m/>
    <m/>
  </r>
  <r>
    <x v="5"/>
    <x v="9"/>
    <s v="HPSNZ Goldmine"/>
    <x v="1"/>
    <m/>
    <n v="116"/>
    <n v="1548"/>
    <n v="217"/>
    <m/>
    <n v="270"/>
    <n v="0.94"/>
    <m/>
    <m/>
    <m/>
    <m/>
    <m/>
    <m/>
  </r>
  <r>
    <x v="6"/>
    <x v="14"/>
    <s v="HPSNZ Goldmine"/>
    <x v="0"/>
    <m/>
    <n v="119"/>
    <n v="1243"/>
    <n v="237"/>
    <m/>
    <n v="202"/>
    <n v="0.93"/>
    <m/>
    <m/>
    <m/>
    <m/>
    <m/>
    <m/>
  </r>
  <r>
    <x v="6"/>
    <x v="4"/>
    <s v="HPSNZ Goldmine"/>
    <x v="0"/>
    <m/>
    <n v="118"/>
    <n v="1267"/>
    <n v="233"/>
    <m/>
    <n v="206"/>
    <n v="0.91"/>
    <m/>
    <m/>
    <m/>
    <m/>
    <m/>
    <m/>
  </r>
  <r>
    <x v="6"/>
    <x v="7"/>
    <s v="HPSNZ Goldmine"/>
    <x v="0"/>
    <m/>
    <n v="119"/>
    <n v="1527"/>
    <n v="236"/>
    <m/>
    <n v="253"/>
    <n v="0.93"/>
    <m/>
    <m/>
    <m/>
    <m/>
    <m/>
    <m/>
  </r>
  <r>
    <x v="6"/>
    <x v="7"/>
    <s v="HPSNZ Goldmine"/>
    <x v="1"/>
    <m/>
    <n v="114"/>
    <n v="1727"/>
    <n v="226"/>
    <m/>
    <n v="299"/>
    <n v="0.97"/>
    <m/>
    <m/>
    <m/>
    <m/>
    <m/>
    <m/>
  </r>
  <r>
    <x v="7"/>
    <x v="7"/>
    <s v="HPSNZ Goldmine"/>
    <x v="0"/>
    <m/>
    <n v="119"/>
    <n v="1537"/>
    <n v="233"/>
    <m/>
    <n v="253"/>
    <n v="0.96"/>
    <m/>
    <m/>
    <m/>
    <m/>
    <m/>
    <m/>
  </r>
  <r>
    <x v="7"/>
    <x v="7"/>
    <s v="HPSNZ Goldmine"/>
    <x v="1"/>
    <m/>
    <n v="117"/>
    <n v="1690"/>
    <n v="227"/>
    <m/>
    <n v="289"/>
    <n v="0.9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6" indent="0" outline="1" outlineData="1" multipleFieldFilters="0" chartFormat="3">
  <location ref="A3:C14" firstHeaderRow="0" firstDataRow="1" firstDataCol="1" rowPageCount="1" colPageCount="1"/>
  <pivotFields count="21">
    <pivotField axis="axisRow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ubtotalTop="0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x="9"/>
        <item x="10"/>
        <item t="default"/>
      </items>
    </pivotField>
    <pivotField subtotalTop="0" showAll="0"/>
    <pivotField subtotalTop="0" showAll="0"/>
    <pivotField axis="axisPage" subtotalTop="0" multipleItemSelectionAllowed="1" showAll="0">
      <items count="49">
        <item h="1" x="12"/>
        <item h="1" m="1" x="27"/>
        <item h="1" m="1" x="43"/>
        <item h="1" x="7"/>
        <item h="1" m="1" x="29"/>
        <item h="1" m="1" x="35"/>
        <item h="1" x="11"/>
        <item h="1" x="4"/>
        <item h="1" x="2"/>
        <item h="1" m="1" x="30"/>
        <item h="1" m="1" x="41"/>
        <item h="1" m="1" x="33"/>
        <item h="1" m="1" x="40"/>
        <item h="1" x="9"/>
        <item h="1" x="17"/>
        <item h="1" m="1" x="47"/>
        <item h="1" m="1" x="26"/>
        <item h="1" m="1" x="31"/>
        <item h="1" x="6"/>
        <item h="1" m="1" x="46"/>
        <item h="1" m="1" x="25"/>
        <item h="1" x="5"/>
        <item h="1" m="1" x="34"/>
        <item h="1" m="1" x="42"/>
        <item h="1" m="1" x="44"/>
        <item h="1" x="0"/>
        <item h="1" m="1" x="24"/>
        <item h="1" x="10"/>
        <item h="1" m="1" x="38"/>
        <item h="1" m="1" x="32"/>
        <item h="1" m="1" x="36"/>
        <item h="1" m="1" x="21"/>
        <item h="1" x="13"/>
        <item h="1" m="1" x="28"/>
        <item h="1" x="1"/>
        <item h="1" x="3"/>
        <item h="1" m="1" x="39"/>
        <item h="1" m="1" x="45"/>
        <item h="1" m="1" x="22"/>
        <item h="1" m="1" x="23"/>
        <item h="1" m="1" x="37"/>
        <item h="1" x="8"/>
        <item h="1" m="1" x="20"/>
        <item h="1" x="14"/>
        <item h="1" x="15"/>
        <item h="1" x="16"/>
        <item x="18"/>
        <item h="1" x="19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dataField="1" subtotalTop="0" showAll="0"/>
    <pivotField subtotalTop="0" showAll="0"/>
    <pivotField subtotalTop="0" showAll="0"/>
    <pivotField subtotalTop="0" showAll="0"/>
    <pivotField subtotalTop="0" showAll="0"/>
  </pivotFields>
  <rowFields count="2">
    <field x="1"/>
    <field x="0"/>
  </rowFields>
  <rowItems count="11">
    <i>
      <x v="9"/>
    </i>
    <i r="1">
      <x v="148"/>
    </i>
    <i r="1">
      <x v="153"/>
    </i>
    <i r="1">
      <x v="206"/>
    </i>
    <i r="1">
      <x v="267"/>
    </i>
    <i r="1">
      <x v="310"/>
    </i>
    <i t="default">
      <x v="9"/>
    </i>
    <i>
      <x v="10"/>
    </i>
    <i r="1">
      <x v="8"/>
    </i>
    <i r="1">
      <x v="39"/>
    </i>
    <i t="default">
      <x v="10"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Average of Mean PP (W)" fld="15" subtotal="average" baseField="0" baseItem="0"/>
    <dataField name="Average of Mean OC (rpm)" fld="16" subtotal="average" baseField="0" baseItem="0"/>
  </dataFields>
  <formats count="1">
    <format dxfId="15">
      <pivotArea outline="0" collapsedLevelsAreSubtotals="1" fieldPosition="0"/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6AE20-2A4E-418E-AB61-58E9494347F4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3:H20" firstHeaderRow="0" firstDataRow="1" firstDataCol="1" rowPageCount="1" colPageCount="1"/>
  <pivotFields count="25">
    <pivotField axis="axisPage" showAll="0">
      <items count="12">
        <item x="10"/>
        <item x="7"/>
        <item x="8"/>
        <item x="1"/>
        <item x="9"/>
        <item x="6"/>
        <item x="3"/>
        <item x="4"/>
        <item x="0"/>
        <item x="2"/>
        <item x="5"/>
        <item t="default"/>
      </items>
    </pivotField>
    <pivotField axis="axisRow" numFmtId="14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dataField="1" showAll="0"/>
    <pivotField dataField="1" numFmtId="1" showAll="0"/>
    <pivotField dataField="1" numFmtId="165" showAll="0"/>
    <pivotField dataField="1" numFmtId="1" showAll="0"/>
    <pivotField dataField="1" numFmtId="2"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2">
    <field x="24"/>
    <field x="1"/>
  </rowFields>
  <rowItems count="17">
    <i>
      <x v="1"/>
    </i>
    <i r="1">
      <x v="11"/>
    </i>
    <i r="1">
      <x v="82"/>
    </i>
    <i r="1">
      <x v="89"/>
    </i>
    <i r="1">
      <x v="101"/>
    </i>
    <i r="1">
      <x v="226"/>
    </i>
    <i r="1">
      <x v="229"/>
    </i>
    <i r="1">
      <x v="233"/>
    </i>
    <i r="1">
      <x v="236"/>
    </i>
    <i r="1">
      <x v="278"/>
    </i>
    <i>
      <x v="2"/>
    </i>
    <i r="1">
      <x v="10"/>
    </i>
    <i r="1">
      <x v="308"/>
    </i>
    <i r="1">
      <x v="322"/>
    </i>
    <i r="1">
      <x v="328"/>
    </i>
    <i r="1">
      <x v="33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0" item="6" hier="-1"/>
  </pageFields>
  <dataFields count="7">
    <dataField name="Max of Weight" fld="2" subtotal="max" baseField="0" baseItem="0"/>
    <dataField name="Max of Max W" fld="3" subtotal="max" baseField="0" baseItem="0" numFmtId="1"/>
    <dataField name="Max of Max W.kg" fld="4" subtotal="max" baseField="0" baseItem="0" numFmtId="165"/>
    <dataField name="Max of Optimal Cadence" fld="5" subtotal="max" baseField="0" baseItem="0" numFmtId="1"/>
    <dataField name="Min of Time to Max Power" fld="6" subtotal="min" baseField="0" baseItem="0" numFmtId="2"/>
    <dataField name="Max of Max Cadence" fld="7" subtotal="max" baseField="0" baseItem="0" numFmtId="1"/>
    <dataField name="Max of Max Torque" fld="8" subtotal="max" baseField="0" baseItem="0" numFmtId="1"/>
  </dataFields>
  <formats count="6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8BF05-36A5-404E-B410-D6D2B0DA18D5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E8" firstHeaderRow="0" firstDataRow="1" firstDataCol="1" rowPageCount="2" colPageCount="1"/>
  <pivotFields count="17">
    <pivotField axis="axisRow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17">
        <item x="2"/>
        <item x="11"/>
        <item x="9"/>
        <item x="6"/>
        <item x="13"/>
        <item x="5"/>
        <item x="3"/>
        <item x="4"/>
        <item x="8"/>
        <item x="0"/>
        <item x="14"/>
        <item x="1"/>
        <item m="1" x="15"/>
        <item x="12"/>
        <item x="10"/>
        <item x="7"/>
        <item t="default"/>
      </items>
    </pivotField>
    <pivotField showAll="0"/>
    <pivotField axis="axisPage" showAll="0">
      <items count="9">
        <item m="1" x="3"/>
        <item m="1" x="6"/>
        <item m="1" x="2"/>
        <item m="1" x="5"/>
        <item m="1" x="7"/>
        <item m="1" x="4"/>
        <item x="0"/>
        <item x="1"/>
        <item t="default"/>
      </items>
    </pivotField>
    <pivotField showAll="0"/>
    <pivotField dataField="1" showAll="0"/>
    <pivotField dataField="1" showAll="0"/>
    <pivotField dataField="1" showAll="0"/>
    <pivotField showAll="0"/>
    <pivotField dataField="1" showAll="0"/>
    <pivotField numFmtId="166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 v="4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3" item="7" hier="-1"/>
    <pageField fld="1" item="15" hier="-1"/>
  </pageFields>
  <dataFields count="4">
    <dataField name="Max of optimal_power" fld="6" subtotal="max" baseField="0" baseItem="0"/>
    <dataField name="Max of optimal_cadence" fld="5" subtotal="max" baseField="0" baseItem="0"/>
    <dataField name="Max of max_cadence" fld="7" subtotal="max" baseField="0" baseItem="0"/>
    <dataField name="Max of max_torque" fld="9" subtotal="max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72A6CC-315F-46CD-B9B7-AA3965F1D65F}" name="HPSNZerg" displayName="HPSNZerg" ref="A1:Q115" totalsRowShown="0">
  <autoFilter ref="A1:Q115" xr:uid="{D772A6CC-315F-46CD-B9B7-AA3965F1D65F}"/>
  <sortState xmlns:xlrd2="http://schemas.microsoft.com/office/spreadsheetml/2017/richdata2" ref="A2:Q92">
    <sortCondition ref="A1:A92"/>
  </sortState>
  <tableColumns count="17">
    <tableColumn id="1" xr3:uid="{3749A8FC-71F9-479B-A67C-6F1944EA3CB8}" name="Date" dataDxfId="22"/>
    <tableColumn id="2" xr3:uid="{B0340AB1-5FC9-416E-AC30-E0867DF907F5}" name="About"/>
    <tableColumn id="3" xr3:uid="{CBA462D5-853E-4E59-829A-843A17C39B89}" name="by"/>
    <tableColumn id="4" xr3:uid="{3F4AF96A-26DE-4E7C-94AB-BE3A48E6BA9E}" name="description"/>
    <tableColumn id="5" xr3:uid="{8ED1BFD0-CFFB-4D71-AB03-83156B87488D}" name="raw_data"/>
    <tableColumn id="6" xr3:uid="{2A36727F-2F77-4DBF-956B-D0876AFFCA72}" name="optimal_cadence"/>
    <tableColumn id="7" xr3:uid="{416CFD02-C012-4DD1-BC1C-956059E5FC93}" name="optimal_power"/>
    <tableColumn id="8" xr3:uid="{F9B50402-35B4-485A-AF90-BA27B64A9D39}" name="max_cadence"/>
    <tableColumn id="9" xr3:uid="{9FF15954-D746-445C-8F4E-3FCD4C9F3F5D}" name="max_power"/>
    <tableColumn id="10" xr3:uid="{64910D44-2AD6-4B13-9704-D0065CFD06A8}" name="max_torque"/>
    <tableColumn id="11" xr3:uid="{C7F25CA7-6B42-4152-A903-6593F5480A4D}" name="r_squared" dataDxfId="21"/>
    <tableColumn id="12" xr3:uid="{1BCC3773-95EE-4F2D-858C-CBCDE00C7CD3}" name="_cadence_data" dataDxfId="20"/>
    <tableColumn id="13" xr3:uid="{454455BF-7B0F-4B0D-B23B-3FC19113F3ED}" name="_power_data" dataDxfId="19"/>
    <tableColumn id="14" xr3:uid="{99A4473F-0E34-4C2C-8D63-4953598C3862}" name="_torque_data"/>
    <tableColumn id="15" xr3:uid="{036821E0-7852-4B25-BB47-35D8C51D5FE3}" name="_power_model_data" dataDxfId="18"/>
    <tableColumn id="16" xr3:uid="{508655AC-584E-4635-9AE1-8966BB06642E}" name="_torque_model_data"/>
    <tableColumn id="17" xr3:uid="{DA1FCF7B-A1B6-49EA-B044-B3A0CFEA719A}" name="_data_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NZergSprint" displayName="CNZergSprint" ref="A1:U910" totalsRowShown="0" headerRowDxfId="17">
  <autoFilter ref="A1:U910" xr:uid="{00000000-0009-0000-0100-000003000000}"/>
  <sortState xmlns:xlrd2="http://schemas.microsoft.com/office/spreadsheetml/2017/richdata2" ref="A2:XFD815">
    <sortCondition ref="A1:A815"/>
  </sortState>
  <tableColumns count="21">
    <tableColumn id="1" xr3:uid="{00000000-0010-0000-0000-000001000000}" name="Date" dataDxfId="16"/>
    <tableColumn id="2" xr3:uid="{00000000-0010-0000-0000-000002000000}" name="Year"/>
    <tableColumn id="3" xr3:uid="{00000000-0010-0000-0000-000003000000}" name="Month"/>
    <tableColumn id="4" xr3:uid="{00000000-0010-0000-0000-000004000000}" name="Time of Day"/>
    <tableColumn id="5" xr3:uid="{00000000-0010-0000-0000-000005000000}" name="Athlete"/>
    <tableColumn id="6" xr3:uid="{00000000-0010-0000-0000-000006000000}" name="Discipline"/>
    <tableColumn id="7" xr3:uid="{00000000-0010-0000-0000-000007000000}" name="Class"/>
    <tableColumn id="8" xr3:uid="{00000000-0010-0000-0000-000008000000}" name="PP1 (W)"/>
    <tableColumn id="9" xr3:uid="{00000000-0010-0000-0000-000009000000}" name="OC1 (rpm)"/>
    <tableColumn id="10" xr3:uid="{00000000-0010-0000-0000-00000A000000}" name="PP2 (W)"/>
    <tableColumn id="11" xr3:uid="{00000000-0010-0000-0000-00000B000000}" name="OC2 (rpm)"/>
    <tableColumn id="12" xr3:uid="{00000000-0010-0000-0000-00000C000000}" name="PP3 (W)"/>
    <tableColumn id="13" xr3:uid="{00000000-0010-0000-0000-00000D000000}" name="OC3 (rpm)"/>
    <tableColumn id="14" xr3:uid="{00000000-0010-0000-0000-00000E000000}" name="PP4 (W)"/>
    <tableColumn id="15" xr3:uid="{00000000-0010-0000-0000-00000F000000}" name="OC4 (rpm)"/>
    <tableColumn id="16" xr3:uid="{00000000-0010-0000-0000-000010000000}" name="Mean PP (W)"/>
    <tableColumn id="17" xr3:uid="{00000000-0010-0000-0000-000011000000}" name="Mean OC (rpm)"/>
    <tableColumn id="18" xr3:uid="{00000000-0010-0000-0000-000012000000}" name="CPP"/>
    <tableColumn id="19" xr3:uid="{00000000-0010-0000-0000-000013000000}" name="Weighted CPP"/>
    <tableColumn id="20" xr3:uid="{00000000-0010-0000-0000-000014000000}" name="BW (kg)"/>
    <tableColumn id="21" xr3:uid="{00000000-0010-0000-0000-000015000000}" name="SF (mm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B44D1B-052E-48BD-8A09-3649417CC78C}" name="CNZergBMX" displayName="CNZergBMX" ref="A1:X28" totalsRowShown="0" headerRowDxfId="14">
  <autoFilter ref="A1:X28" xr:uid="{A0B44D1B-052E-48BD-8A09-3649417CC78C}"/>
  <sortState xmlns:xlrd2="http://schemas.microsoft.com/office/spreadsheetml/2017/richdata2" ref="A2:X24">
    <sortCondition ref="B1:B24"/>
  </sortState>
  <tableColumns count="24">
    <tableColumn id="1" xr3:uid="{4B7DAD8C-118B-47F3-9342-BAB78BBCF1B4}" name="Name"/>
    <tableColumn id="2" xr3:uid="{F913FCD2-9E78-4489-BF35-AF2538112DCF}" name="Date" dataDxfId="13"/>
    <tableColumn id="3" xr3:uid="{1057EEF2-1F24-4559-BEB8-BE78D62E1266}" name="Weight"/>
    <tableColumn id="4" xr3:uid="{439ACD5D-3F91-4E03-AD3D-8FA88700AB22}" name="Max W" dataDxfId="12">
      <calculatedColumnFormula>AVERAGE(CNZergBMX[[#This Row],[W]],CNZergBMX[[#This Row],[W2]],CNZergBMX[[#This Row],[W3]])</calculatedColumnFormula>
    </tableColumn>
    <tableColumn id="23" xr3:uid="{7593C936-89A8-46E2-B782-DD5D51AB5EF7}" name="Max W.kg" dataDxfId="11">
      <calculatedColumnFormula>CNZergBMX[[#This Row],[Max W]]/CNZergBMX[[#This Row],[Weight]]</calculatedColumnFormula>
    </tableColumn>
    <tableColumn id="24" xr3:uid="{9F9156C3-3B8B-4F7F-9EAD-588F4BF36AD4}" name="Optimal Cadence" dataDxfId="10">
      <calculatedColumnFormula>AVERAGE(CNZergBMX[[#This Row],[OC]],CNZergBMX[[#This Row],[OC2]],CNZergBMX[[#This Row],[OC3]])</calculatedColumnFormula>
    </tableColumn>
    <tableColumn id="25" xr3:uid="{3CBC356B-F3FD-4D28-8160-055160D6B385}" name="Time to Max Power" dataDxfId="9">
      <calculatedColumnFormula>AVERAGE(CNZergBMX[[#This Row],[TTP]],CNZergBMX[[#This Row],[TTP2]],CNZergBMX[[#This Row],[TTP3]])</calculatedColumnFormula>
    </tableColumn>
    <tableColumn id="26" xr3:uid="{81D43362-3B8F-4926-82A7-3A9D03AB5FCE}" name="Max Cadence" dataDxfId="8">
      <calculatedColumnFormula>AVERAGE(CNZergBMX[[#This Row],[PRPM]],CNZergBMX[[#This Row],[PRPM2]],CNZergBMX[[#This Row],[PRPM3]])</calculatedColumnFormula>
    </tableColumn>
    <tableColumn id="27" xr3:uid="{4107DC79-864A-465C-B871-C0DB5C0DD0C4}" name="Max Torque" dataDxfId="7">
      <calculatedColumnFormula>AVERAGE(CNZergBMX[[#This Row],[PT]],CNZergBMX[[#This Row],[PT2]],CNZergBMX[[#This Row],[PT3]])</calculatedColumnFormula>
    </tableColumn>
    <tableColumn id="5" xr3:uid="{64E8CCAF-0024-410C-8531-ADE374F61BF2}" name="W"/>
    <tableColumn id="7" xr3:uid="{8B681A70-645A-43CC-B759-BA011DD04413}" name="OC"/>
    <tableColumn id="8" xr3:uid="{76F4DBC3-A3AF-423A-BBF6-6B355B89EF60}" name="TTP" dataDxfId="6"/>
    <tableColumn id="9" xr3:uid="{DDADE0AF-99EE-465C-952A-F56905044FD4}" name="PRPM"/>
    <tableColumn id="10" xr3:uid="{EC45061D-35EF-40EB-A3E9-FEE4DEB5461D}" name="PT"/>
    <tableColumn id="11" xr3:uid="{E4CEFDCC-9112-46DC-BABC-B973883A7E64}" name="W2"/>
    <tableColumn id="13" xr3:uid="{63D47B8B-5DDB-47B9-8734-C3BFE0B57D21}" name="OC2"/>
    <tableColumn id="14" xr3:uid="{7F91894F-58F6-4504-ACD7-C2846B40CC07}" name="TTP2"/>
    <tableColumn id="15" xr3:uid="{74D79485-6916-4E21-A24E-0C51DA772CC3}" name="PRPM2"/>
    <tableColumn id="16" xr3:uid="{49A82A9A-17D3-4411-8525-D775B713FD32}" name="PT2"/>
    <tableColumn id="17" xr3:uid="{0890234C-ABE5-4E0D-B349-02F6FAD65119}" name="W3"/>
    <tableColumn id="19" xr3:uid="{CAFAEAF4-8D0D-4B1E-93AC-0F4FB718FB56}" name="OC3"/>
    <tableColumn id="20" xr3:uid="{C4E73ED5-2E3F-4D34-BB5A-400BB8904EC9}" name="TTP3"/>
    <tableColumn id="21" xr3:uid="{39AB9121-5EB6-43D1-A6B2-19578F291D24}" name="PRPM3"/>
    <tableColumn id="22" xr3:uid="{93A9CA74-C0FB-4B9B-9F74-39AED661928A}" name="PT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C1E7-1116-4EA7-B790-2373F3DCF079}">
  <dimension ref="A1:Q115"/>
  <sheetViews>
    <sheetView tabSelected="1" topLeftCell="A86" zoomScaleNormal="100" workbookViewId="0">
      <selection activeCell="I100" sqref="I100"/>
    </sheetView>
  </sheetViews>
  <sheetFormatPr defaultColWidth="8.88671875" defaultRowHeight="14.4" x14ac:dyDescent="0.3"/>
  <cols>
    <col min="1" max="1" width="11" bestFit="1" customWidth="1"/>
    <col min="2" max="2" width="14.44140625" bestFit="1" customWidth="1"/>
    <col min="3" max="3" width="14.6640625" bestFit="1" customWidth="1"/>
    <col min="4" max="4" width="12.6640625" customWidth="1"/>
    <col min="5" max="5" width="29.109375" bestFit="1" customWidth="1"/>
    <col min="6" max="6" width="17.6640625" customWidth="1"/>
    <col min="7" max="7" width="16.109375" customWidth="1"/>
    <col min="8" max="8" width="14.44140625" customWidth="1"/>
    <col min="9" max="9" width="13" customWidth="1"/>
    <col min="10" max="10" width="13.33203125" customWidth="1"/>
    <col min="11" max="11" width="11.6640625" customWidth="1"/>
    <col min="12" max="12" width="53.109375" bestFit="1" customWidth="1"/>
    <col min="13" max="13" width="72.109375" bestFit="1" customWidth="1"/>
    <col min="14" max="14" width="44.88671875" bestFit="1" customWidth="1"/>
    <col min="15" max="15" width="72.109375" bestFit="1" customWidth="1"/>
    <col min="16" max="16" width="21.109375" customWidth="1"/>
    <col min="17" max="17" width="12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8">
        <v>44278</v>
      </c>
      <c r="B2" s="8" t="s">
        <v>17</v>
      </c>
      <c r="C2" t="s">
        <v>18</v>
      </c>
      <c r="D2" t="s">
        <v>502</v>
      </c>
      <c r="E2" t="s">
        <v>19</v>
      </c>
      <c r="F2">
        <v>125.47518228599699</v>
      </c>
      <c r="G2">
        <v>1556.5319386932499</v>
      </c>
      <c r="H2">
        <v>253.40408009814999</v>
      </c>
      <c r="J2">
        <v>243.36770698218101</v>
      </c>
      <c r="K2" s="17">
        <v>0.97192241666780799</v>
      </c>
      <c r="L2" s="14" t="s">
        <v>20</v>
      </c>
      <c r="M2" s="14">
        <v>1.38914821564157E+55</v>
      </c>
      <c r="N2" t="s">
        <v>21</v>
      </c>
      <c r="O2" s="14">
        <v>1.39115021546155E+55</v>
      </c>
      <c r="P2" t="s">
        <v>22</v>
      </c>
      <c r="Q2" t="s">
        <v>23</v>
      </c>
    </row>
    <row r="3" spans="1:17" x14ac:dyDescent="0.3">
      <c r="A3" s="8">
        <v>44278</v>
      </c>
      <c r="B3" s="8" t="s">
        <v>17</v>
      </c>
      <c r="C3" t="s">
        <v>18</v>
      </c>
      <c r="D3" t="s">
        <v>502</v>
      </c>
      <c r="E3" t="s">
        <v>24</v>
      </c>
      <c r="F3">
        <v>130.63063699551</v>
      </c>
      <c r="G3">
        <v>1602.3206744875099</v>
      </c>
      <c r="H3">
        <v>259.69528838609301</v>
      </c>
      <c r="J3">
        <v>244.867725596036</v>
      </c>
      <c r="K3" s="17">
        <v>0.85408987285354199</v>
      </c>
      <c r="L3" s="14" t="s">
        <v>25</v>
      </c>
      <c r="M3" s="14">
        <v>1.4251490154316799E+55</v>
      </c>
      <c r="N3" t="s">
        <v>26</v>
      </c>
      <c r="O3" s="14">
        <v>1.4051530158215999E+55</v>
      </c>
      <c r="P3" t="s">
        <v>27</v>
      </c>
      <c r="Q3" t="s">
        <v>23</v>
      </c>
    </row>
    <row r="4" spans="1:17" x14ac:dyDescent="0.3">
      <c r="A4" s="8">
        <v>44278</v>
      </c>
      <c r="B4" s="8" t="s">
        <v>17</v>
      </c>
      <c r="C4" t="s">
        <v>18</v>
      </c>
      <c r="D4" t="s">
        <v>502</v>
      </c>
      <c r="E4" t="s">
        <v>28</v>
      </c>
      <c r="F4">
        <v>130.38999459581299</v>
      </c>
      <c r="G4">
        <v>1611.26869532255</v>
      </c>
      <c r="H4">
        <v>260.08199539044301</v>
      </c>
      <c r="J4">
        <v>246.44808025060999</v>
      </c>
      <c r="K4" s="17">
        <v>0.91751726159520597</v>
      </c>
      <c r="L4" s="14" t="s">
        <v>29</v>
      </c>
      <c r="M4" s="14">
        <v>1.4301522158816599E+55</v>
      </c>
      <c r="N4" t="s">
        <v>30</v>
      </c>
      <c r="O4" s="14">
        <v>1.4241544159416101E+55</v>
      </c>
      <c r="P4" t="s">
        <v>31</v>
      </c>
      <c r="Q4" t="s">
        <v>23</v>
      </c>
    </row>
    <row r="5" spans="1:17" x14ac:dyDescent="0.3">
      <c r="A5" s="8">
        <v>44278</v>
      </c>
      <c r="B5" s="8" t="s">
        <v>17</v>
      </c>
      <c r="C5" t="s">
        <v>18</v>
      </c>
      <c r="D5" t="s">
        <v>502</v>
      </c>
      <c r="E5" t="s">
        <v>32</v>
      </c>
      <c r="F5">
        <v>131.476435158003</v>
      </c>
      <c r="G5">
        <v>1620.45416480378</v>
      </c>
      <c r="H5">
        <v>262.219611792666</v>
      </c>
      <c r="J5">
        <v>245.210846230539</v>
      </c>
      <c r="K5" s="17">
        <v>0.84464939972645803</v>
      </c>
      <c r="L5" s="14" t="s">
        <v>33</v>
      </c>
      <c r="M5" s="14">
        <v>1.4121531158117099E+55</v>
      </c>
      <c r="N5" t="s">
        <v>34</v>
      </c>
      <c r="O5" s="14">
        <v>1.4221547160016101E+55</v>
      </c>
      <c r="P5" t="s">
        <v>35</v>
      </c>
      <c r="Q5" t="s">
        <v>23</v>
      </c>
    </row>
    <row r="6" spans="1:17" x14ac:dyDescent="0.3">
      <c r="A6" s="8">
        <v>44278</v>
      </c>
      <c r="B6" s="8" t="s">
        <v>36</v>
      </c>
      <c r="C6" t="s">
        <v>18</v>
      </c>
      <c r="D6" t="s">
        <v>502</v>
      </c>
      <c r="E6" t="s">
        <v>37</v>
      </c>
      <c r="F6">
        <v>121.560272333344</v>
      </c>
      <c r="G6">
        <v>1349.1038227549</v>
      </c>
      <c r="H6">
        <v>242.16067690129299</v>
      </c>
      <c r="J6">
        <v>216.48983439387999</v>
      </c>
      <c r="K6" s="17">
        <v>0.88141939809039305</v>
      </c>
      <c r="L6" s="14" t="s">
        <v>38</v>
      </c>
      <c r="M6" s="14">
        <v>1.18112561339132E+54</v>
      </c>
      <c r="N6" t="s">
        <v>39</v>
      </c>
      <c r="O6" s="14">
        <v>1.1611283133413401E+55</v>
      </c>
      <c r="P6" t="s">
        <v>40</v>
      </c>
      <c r="Q6" t="s">
        <v>23</v>
      </c>
    </row>
    <row r="7" spans="1:17" x14ac:dyDescent="0.3">
      <c r="A7" s="8">
        <v>44278</v>
      </c>
      <c r="B7" s="8" t="s">
        <v>36</v>
      </c>
      <c r="C7" t="s">
        <v>18</v>
      </c>
      <c r="D7" t="s">
        <v>502</v>
      </c>
      <c r="E7" t="s">
        <v>41</v>
      </c>
      <c r="F7">
        <v>124.365511114496</v>
      </c>
      <c r="G7">
        <v>1400.4401788006201</v>
      </c>
      <c r="H7">
        <v>246.654404744609</v>
      </c>
      <c r="J7">
        <v>222.64007529199</v>
      </c>
      <c r="K7" s="17">
        <v>0.90084484315621105</v>
      </c>
      <c r="L7" s="14" t="s">
        <v>42</v>
      </c>
      <c r="M7" s="14">
        <v>1.2491289136313799E+55</v>
      </c>
      <c r="N7" t="s">
        <v>43</v>
      </c>
      <c r="O7" s="14">
        <v>1.2141332138314001E+55</v>
      </c>
      <c r="P7" t="s">
        <v>44</v>
      </c>
      <c r="Q7" t="s">
        <v>23</v>
      </c>
    </row>
    <row r="8" spans="1:17" x14ac:dyDescent="0.3">
      <c r="A8" s="8">
        <v>44278</v>
      </c>
      <c r="B8" s="8" t="s">
        <v>36</v>
      </c>
      <c r="C8" t="s">
        <v>18</v>
      </c>
      <c r="D8" t="s">
        <v>502</v>
      </c>
      <c r="E8" t="s">
        <v>45</v>
      </c>
      <c r="F8">
        <v>126.70535870819501</v>
      </c>
      <c r="G8">
        <v>1408.21982583156</v>
      </c>
      <c r="H8">
        <v>250.712819128967</v>
      </c>
      <c r="J8">
        <v>220.240158047205</v>
      </c>
      <c r="K8" s="17">
        <v>0.89610152358062201</v>
      </c>
      <c r="L8" s="14" t="s">
        <v>46</v>
      </c>
      <c r="M8" s="14">
        <v>1.2461297136713601E+55</v>
      </c>
      <c r="N8" t="s">
        <v>47</v>
      </c>
      <c r="O8" s="14">
        <v>1.2121333138613999E+55</v>
      </c>
      <c r="P8" t="s">
        <v>48</v>
      </c>
      <c r="Q8" t="s">
        <v>23</v>
      </c>
    </row>
    <row r="9" spans="1:17" x14ac:dyDescent="0.3">
      <c r="A9" s="8">
        <v>44278</v>
      </c>
      <c r="B9" s="8" t="s">
        <v>36</v>
      </c>
      <c r="C9" t="s">
        <v>18</v>
      </c>
      <c r="D9" t="s">
        <v>502</v>
      </c>
      <c r="E9" t="s">
        <v>49</v>
      </c>
      <c r="F9">
        <v>126.863143090252</v>
      </c>
      <c r="G9">
        <v>1438.3487534342801</v>
      </c>
      <c r="H9">
        <v>250.607574134353</v>
      </c>
      <c r="J9">
        <v>223.14672551098101</v>
      </c>
      <c r="K9" s="17">
        <v>0.88398779813135497</v>
      </c>
      <c r="L9" s="14" t="s">
        <v>50</v>
      </c>
      <c r="M9" s="14">
        <v>1.2521294142413801E+55</v>
      </c>
      <c r="N9" t="s">
        <v>51</v>
      </c>
      <c r="O9" s="14">
        <v>1.21113511413143E+55</v>
      </c>
      <c r="P9" t="s">
        <v>52</v>
      </c>
      <c r="Q9" t="s">
        <v>23</v>
      </c>
    </row>
    <row r="10" spans="1:17" x14ac:dyDescent="0.3">
      <c r="A10" s="8">
        <v>44278</v>
      </c>
      <c r="B10" s="8" t="s">
        <v>53</v>
      </c>
      <c r="C10" t="s">
        <v>18</v>
      </c>
      <c r="D10" t="s">
        <v>502</v>
      </c>
      <c r="E10" t="s">
        <v>54</v>
      </c>
      <c r="F10">
        <v>123.42716686341799</v>
      </c>
      <c r="G10">
        <v>1711.3979599517199</v>
      </c>
      <c r="H10">
        <v>246.243868099135</v>
      </c>
      <c r="J10">
        <v>273.26970638531401</v>
      </c>
      <c r="K10" s="17">
        <v>0.930135908653276</v>
      </c>
      <c r="L10" s="14">
        <v>7.8100117130141097E+43</v>
      </c>
      <c r="M10" s="14">
        <v>1.5171622169817501E+59</v>
      </c>
      <c r="N10" t="s">
        <v>55</v>
      </c>
      <c r="O10" s="14">
        <v>1.5041658170717E+59</v>
      </c>
      <c r="P10" t="s">
        <v>56</v>
      </c>
      <c r="Q10" t="s">
        <v>23</v>
      </c>
    </row>
    <row r="11" spans="1:17" x14ac:dyDescent="0.3">
      <c r="A11" s="8">
        <v>44278</v>
      </c>
      <c r="B11" s="8" t="s">
        <v>53</v>
      </c>
      <c r="C11" t="s">
        <v>18</v>
      </c>
      <c r="D11" t="s">
        <v>502</v>
      </c>
      <c r="E11" t="s">
        <v>57</v>
      </c>
      <c r="F11">
        <v>127.510625245719</v>
      </c>
      <c r="G11">
        <v>1723.23863076464</v>
      </c>
      <c r="H11">
        <v>253.76578786626899</v>
      </c>
      <c r="J11">
        <v>253.63411748833701</v>
      </c>
      <c r="K11" s="17">
        <v>0.87942976856963895</v>
      </c>
      <c r="L11" s="14" t="s">
        <v>58</v>
      </c>
      <c r="M11" s="14">
        <v>1.3551608167516999E+58</v>
      </c>
      <c r="N11" t="s">
        <v>59</v>
      </c>
      <c r="O11" s="14">
        <v>1.34816001697172E+59</v>
      </c>
      <c r="P11" t="s">
        <v>60</v>
      </c>
      <c r="Q11" t="s">
        <v>23</v>
      </c>
    </row>
    <row r="12" spans="1:17" x14ac:dyDescent="0.3">
      <c r="A12" s="8">
        <v>44278</v>
      </c>
      <c r="B12" s="8" t="s">
        <v>53</v>
      </c>
      <c r="C12" t="s">
        <v>18</v>
      </c>
      <c r="D12" t="s">
        <v>502</v>
      </c>
      <c r="E12" t="s">
        <v>61</v>
      </c>
      <c r="F12">
        <v>127.07998887655801</v>
      </c>
      <c r="G12">
        <v>1728.1061307938101</v>
      </c>
      <c r="H12">
        <v>252.45652154408501</v>
      </c>
      <c r="J12">
        <v>269.32005584502502</v>
      </c>
      <c r="K12" s="17">
        <v>0.93278355453208195</v>
      </c>
      <c r="L12" s="14">
        <v>7.8100117130141104E+40</v>
      </c>
      <c r="M12" s="14">
        <v>1.50716391693177E+55</v>
      </c>
      <c r="N12" t="s">
        <v>62</v>
      </c>
      <c r="O12" s="14">
        <v>1.4991660171817199E+55</v>
      </c>
      <c r="P12" t="s">
        <v>63</v>
      </c>
      <c r="Q12" t="s">
        <v>23</v>
      </c>
    </row>
    <row r="13" spans="1:17" x14ac:dyDescent="0.3">
      <c r="A13" s="8">
        <v>44278</v>
      </c>
      <c r="B13" s="8" t="s">
        <v>53</v>
      </c>
      <c r="C13" t="s">
        <v>18</v>
      </c>
      <c r="D13" t="s">
        <v>502</v>
      </c>
      <c r="E13" t="s">
        <v>64</v>
      </c>
      <c r="F13">
        <v>128.01362378922599</v>
      </c>
      <c r="G13">
        <v>1697.82502689536</v>
      </c>
      <c r="H13">
        <v>252.88490184179</v>
      </c>
      <c r="J13">
        <v>263.10725972843102</v>
      </c>
      <c r="K13" s="17">
        <v>0.92874872100114103</v>
      </c>
      <c r="L13" s="14">
        <v>7.8100116129140099E+40</v>
      </c>
      <c r="M13" s="14">
        <v>1.4781582162217501E+55</v>
      </c>
      <c r="N13" t="s">
        <v>65</v>
      </c>
      <c r="O13" s="14">
        <v>1.4511621168316899E+55</v>
      </c>
      <c r="P13" t="s">
        <v>66</v>
      </c>
      <c r="Q13" t="s">
        <v>23</v>
      </c>
    </row>
    <row r="14" spans="1:17" x14ac:dyDescent="0.3">
      <c r="A14" s="8">
        <v>44278</v>
      </c>
      <c r="B14" s="8" t="s">
        <v>67</v>
      </c>
      <c r="C14" t="s">
        <v>18</v>
      </c>
      <c r="D14" t="s">
        <v>502</v>
      </c>
      <c r="E14" t="s">
        <v>68</v>
      </c>
      <c r="F14">
        <v>111.930907627778</v>
      </c>
      <c r="G14">
        <v>1626.9140009665</v>
      </c>
      <c r="H14">
        <v>222.57778020576299</v>
      </c>
      <c r="J14">
        <v>286.5589014446</v>
      </c>
      <c r="K14" s="17">
        <v>0.96984249142659096</v>
      </c>
      <c r="L14" s="14">
        <v>7.8100115128139105E+40</v>
      </c>
      <c r="M14" s="14">
        <v>1.51215501605164E+53</v>
      </c>
      <c r="N14" t="s">
        <v>69</v>
      </c>
      <c r="O14" s="14">
        <v>1.4841609162615901E+53</v>
      </c>
      <c r="P14" t="s">
        <v>70</v>
      </c>
      <c r="Q14" t="s">
        <v>23</v>
      </c>
    </row>
    <row r="15" spans="1:17" x14ac:dyDescent="0.3">
      <c r="A15" s="8">
        <v>44278</v>
      </c>
      <c r="B15" s="8" t="s">
        <v>67</v>
      </c>
      <c r="C15" t="s">
        <v>18</v>
      </c>
      <c r="D15" t="s">
        <v>502</v>
      </c>
      <c r="E15" t="s">
        <v>71</v>
      </c>
      <c r="F15">
        <v>111.904805026605</v>
      </c>
      <c r="G15">
        <v>1683.90932145333</v>
      </c>
      <c r="H15">
        <v>225.62494239985801</v>
      </c>
      <c r="J15">
        <v>293.94286023129598</v>
      </c>
      <c r="K15" s="17">
        <v>0.96007769025615097</v>
      </c>
      <c r="L15" s="14">
        <v>7.9101117130141099E+43</v>
      </c>
      <c r="M15" s="14">
        <v>1.57815831700173E+58</v>
      </c>
      <c r="N15" t="s">
        <v>72</v>
      </c>
      <c r="O15" s="14">
        <v>1.55716701681164E+57</v>
      </c>
      <c r="P15" t="s">
        <v>73</v>
      </c>
      <c r="Q15" t="s">
        <v>23</v>
      </c>
    </row>
    <row r="16" spans="1:17" x14ac:dyDescent="0.3">
      <c r="A16" s="8">
        <v>44278</v>
      </c>
      <c r="B16" s="8" t="s">
        <v>67</v>
      </c>
      <c r="C16" t="s">
        <v>18</v>
      </c>
      <c r="D16" t="s">
        <v>502</v>
      </c>
      <c r="E16" t="s">
        <v>74</v>
      </c>
      <c r="F16">
        <v>117.797639055551</v>
      </c>
      <c r="G16">
        <v>1719.0017822829</v>
      </c>
      <c r="H16">
        <v>232.03162064839501</v>
      </c>
      <c r="J16">
        <v>288.40695130033401</v>
      </c>
      <c r="K16" s="17">
        <v>0.98059102853475899</v>
      </c>
      <c r="L16" s="14">
        <v>7.8100117130141104E+40</v>
      </c>
      <c r="M16" s="14">
        <v>1.51916471736174E+55</v>
      </c>
      <c r="N16" t="s">
        <v>75</v>
      </c>
      <c r="O16" s="14">
        <v>1.5171680171916999E+55</v>
      </c>
      <c r="P16" t="s">
        <v>76</v>
      </c>
      <c r="Q16" t="s">
        <v>23</v>
      </c>
    </row>
    <row r="17" spans="1:17" x14ac:dyDescent="0.3">
      <c r="A17" s="8">
        <v>44278</v>
      </c>
      <c r="B17" s="8" t="s">
        <v>67</v>
      </c>
      <c r="C17" t="s">
        <v>18</v>
      </c>
      <c r="D17" t="s">
        <v>502</v>
      </c>
      <c r="E17" t="s">
        <v>77</v>
      </c>
      <c r="F17">
        <v>120.655778829543</v>
      </c>
      <c r="G17">
        <v>1723.03250416321</v>
      </c>
      <c r="H17">
        <v>236.569597752101</v>
      </c>
      <c r="J17">
        <v>283.674337086425</v>
      </c>
      <c r="K17" s="17">
        <v>0.95487064583999504</v>
      </c>
      <c r="L17" s="14">
        <v>7.9101117130141099E+43</v>
      </c>
      <c r="M17" s="14">
        <v>1.52616191683178E+59</v>
      </c>
      <c r="N17" t="s">
        <v>78</v>
      </c>
      <c r="O17" s="14">
        <v>1.5021673172117101E+59</v>
      </c>
      <c r="P17" t="s">
        <v>79</v>
      </c>
      <c r="Q17" t="s">
        <v>23</v>
      </c>
    </row>
    <row r="18" spans="1:17" x14ac:dyDescent="0.3">
      <c r="A18" s="8">
        <v>44278</v>
      </c>
      <c r="B18" s="8" t="s">
        <v>67</v>
      </c>
      <c r="C18" t="s">
        <v>18</v>
      </c>
      <c r="D18" t="s">
        <v>502</v>
      </c>
      <c r="E18" t="s">
        <v>80</v>
      </c>
      <c r="F18">
        <v>118.37497542030199</v>
      </c>
      <c r="G18">
        <v>1771.41934466509</v>
      </c>
      <c r="H18">
        <v>234.57725909826399</v>
      </c>
      <c r="J18">
        <v>295.04161846875701</v>
      </c>
      <c r="K18" s="17">
        <v>0.97664065824963198</v>
      </c>
      <c r="L18" s="14">
        <v>7.9101118131142102E+40</v>
      </c>
      <c r="M18" s="14">
        <v>1.5841678179918001E+55</v>
      </c>
      <c r="N18" t="s">
        <v>81</v>
      </c>
      <c r="O18" s="14">
        <v>1.5751736177117499E+55</v>
      </c>
      <c r="P18" t="s">
        <v>82</v>
      </c>
      <c r="Q18" t="s">
        <v>23</v>
      </c>
    </row>
    <row r="19" spans="1:17" x14ac:dyDescent="0.3">
      <c r="A19" s="8">
        <v>44278</v>
      </c>
      <c r="B19" s="8" t="s">
        <v>83</v>
      </c>
      <c r="C19" t="s">
        <v>18</v>
      </c>
      <c r="D19" t="s">
        <v>502</v>
      </c>
      <c r="E19" t="s">
        <v>84</v>
      </c>
      <c r="F19">
        <v>111.43055622321801</v>
      </c>
      <c r="G19">
        <v>1160.79499128983</v>
      </c>
      <c r="H19">
        <v>220.75630361339</v>
      </c>
      <c r="J19">
        <v>201.966615762982</v>
      </c>
      <c r="K19" s="17">
        <v>0.84202002901112005</v>
      </c>
      <c r="L19" s="14" t="s">
        <v>85</v>
      </c>
      <c r="M19" s="14">
        <v>9.9310911208120795E+48</v>
      </c>
      <c r="N19" t="s">
        <v>86</v>
      </c>
      <c r="O19" s="14">
        <v>1.0121117115611499E+50</v>
      </c>
      <c r="P19" t="s">
        <v>87</v>
      </c>
      <c r="Q19" t="s">
        <v>23</v>
      </c>
    </row>
    <row r="20" spans="1:17" x14ac:dyDescent="0.3">
      <c r="A20" s="8">
        <v>44278</v>
      </c>
      <c r="B20" s="8" t="s">
        <v>88</v>
      </c>
      <c r="C20" t="s">
        <v>18</v>
      </c>
      <c r="D20" t="s">
        <v>502</v>
      </c>
      <c r="E20" t="s">
        <v>89</v>
      </c>
      <c r="F20">
        <v>122.526257686688</v>
      </c>
      <c r="G20">
        <v>1248.35196717862</v>
      </c>
      <c r="H20">
        <v>242.632582659333</v>
      </c>
      <c r="J20">
        <v>200.33286216465299</v>
      </c>
      <c r="K20" s="17">
        <v>0.87574939808930097</v>
      </c>
      <c r="L20" s="14" t="s">
        <v>90</v>
      </c>
      <c r="M20" s="14">
        <v>1.1081128121912E+54</v>
      </c>
      <c r="N20" t="s">
        <v>91</v>
      </c>
      <c r="O20" s="14">
        <v>1.0701177122712399E+55</v>
      </c>
      <c r="P20" t="s">
        <v>92</v>
      </c>
      <c r="Q20" t="s">
        <v>23</v>
      </c>
    </row>
    <row r="21" spans="1:17" x14ac:dyDescent="0.3">
      <c r="A21" s="8">
        <v>44278</v>
      </c>
      <c r="B21" s="8" t="s">
        <v>83</v>
      </c>
      <c r="C21" t="s">
        <v>18</v>
      </c>
      <c r="D21" t="s">
        <v>502</v>
      </c>
      <c r="E21" t="s">
        <v>93</v>
      </c>
      <c r="F21">
        <v>111.85165691984101</v>
      </c>
      <c r="G21">
        <v>1196.80617273555</v>
      </c>
      <c r="H21">
        <v>219.621178255731</v>
      </c>
      <c r="J21">
        <v>206.54155794786101</v>
      </c>
      <c r="K21" s="17">
        <v>0.93411993302039198</v>
      </c>
      <c r="L21" s="14" t="s">
        <v>94</v>
      </c>
      <c r="M21" s="14">
        <v>1.0341086121112001E+50</v>
      </c>
      <c r="N21" t="s">
        <v>95</v>
      </c>
      <c r="O21" s="14">
        <v>1.0161145119111901E+50</v>
      </c>
      <c r="P21" t="s">
        <v>96</v>
      </c>
      <c r="Q21" t="s">
        <v>23</v>
      </c>
    </row>
    <row r="22" spans="1:17" x14ac:dyDescent="0.3">
      <c r="A22" s="8">
        <v>44278</v>
      </c>
      <c r="B22" s="8" t="s">
        <v>88</v>
      </c>
      <c r="C22" t="s">
        <v>18</v>
      </c>
      <c r="D22" t="s">
        <v>502</v>
      </c>
      <c r="E22" t="s">
        <v>97</v>
      </c>
      <c r="F22">
        <v>123.876051204565</v>
      </c>
      <c r="G22">
        <v>1335.2129827676899</v>
      </c>
      <c r="H22">
        <v>244.439234771309</v>
      </c>
      <c r="J22">
        <v>210.451861135548</v>
      </c>
      <c r="K22" s="17">
        <v>0.88097127099083195</v>
      </c>
      <c r="L22" s="14" t="s">
        <v>98</v>
      </c>
      <c r="M22" s="14">
        <v>1.1601186128512999E+55</v>
      </c>
      <c r="N22" t="s">
        <v>99</v>
      </c>
      <c r="O22" s="14">
        <v>1.1151249131113299E+55</v>
      </c>
      <c r="P22" t="s">
        <v>100</v>
      </c>
      <c r="Q22" t="s">
        <v>23</v>
      </c>
    </row>
    <row r="23" spans="1:17" x14ac:dyDescent="0.3">
      <c r="A23" s="8">
        <v>44278</v>
      </c>
      <c r="B23" s="8" t="s">
        <v>88</v>
      </c>
      <c r="C23" t="s">
        <v>18</v>
      </c>
      <c r="D23" t="s">
        <v>502</v>
      </c>
      <c r="E23" t="s">
        <v>101</v>
      </c>
      <c r="F23">
        <v>123.325285897161</v>
      </c>
      <c r="G23">
        <v>1335.3614679693101</v>
      </c>
      <c r="H23">
        <v>245.18693281683699</v>
      </c>
      <c r="J23">
        <v>214.462889184266</v>
      </c>
      <c r="K23" s="17">
        <v>0.84292069316077101</v>
      </c>
      <c r="L23" s="14" t="s">
        <v>102</v>
      </c>
      <c r="M23" s="14">
        <v>1.20611991349127E+59</v>
      </c>
      <c r="N23" t="s">
        <v>103</v>
      </c>
      <c r="O23" s="14">
        <v>1.16912721319133E+59</v>
      </c>
      <c r="P23" t="s">
        <v>104</v>
      </c>
      <c r="Q23" t="s">
        <v>23</v>
      </c>
    </row>
    <row r="24" spans="1:17" x14ac:dyDescent="0.3">
      <c r="A24" s="8">
        <v>44278</v>
      </c>
      <c r="B24" s="8" t="s">
        <v>83</v>
      </c>
      <c r="C24" t="s">
        <v>18</v>
      </c>
      <c r="D24" t="s">
        <v>502</v>
      </c>
      <c r="E24" t="s">
        <v>105</v>
      </c>
      <c r="F24">
        <v>116.04748413698699</v>
      </c>
      <c r="G24">
        <v>1183.38884559184</v>
      </c>
      <c r="H24">
        <v>229.99838357710399</v>
      </c>
      <c r="J24">
        <v>196.06062696528701</v>
      </c>
      <c r="K24" s="17">
        <v>0.90318738443197399</v>
      </c>
      <c r="L24" s="14" t="s">
        <v>106</v>
      </c>
      <c r="M24" s="14">
        <v>1.0001080117712001E+50</v>
      </c>
      <c r="N24" t="s">
        <v>107</v>
      </c>
      <c r="O24" s="14">
        <v>9.9411181169118302E+50</v>
      </c>
      <c r="P24" t="s">
        <v>108</v>
      </c>
      <c r="Q24" t="s">
        <v>23</v>
      </c>
    </row>
    <row r="25" spans="1:17" x14ac:dyDescent="0.3">
      <c r="A25" s="8">
        <v>44278</v>
      </c>
      <c r="B25" s="8" t="s">
        <v>88</v>
      </c>
      <c r="C25" t="s">
        <v>18</v>
      </c>
      <c r="D25" t="s">
        <v>502</v>
      </c>
      <c r="E25" t="s">
        <v>109</v>
      </c>
      <c r="F25">
        <v>121.960439958322</v>
      </c>
      <c r="G25">
        <v>1365.4250873992801</v>
      </c>
      <c r="H25">
        <v>241.14357781813999</v>
      </c>
      <c r="J25">
        <v>221.03680995203399</v>
      </c>
      <c r="K25" s="17">
        <v>0.87396761152326197</v>
      </c>
      <c r="L25" s="14" t="s">
        <v>110</v>
      </c>
      <c r="M25" s="14">
        <v>1.22012331351132E+55</v>
      </c>
      <c r="N25" t="s">
        <v>111</v>
      </c>
      <c r="O25" s="14">
        <v>1.17913001350136E+55</v>
      </c>
      <c r="P25" t="s">
        <v>112</v>
      </c>
      <c r="Q25" t="s">
        <v>23</v>
      </c>
    </row>
    <row r="26" spans="1:17" x14ac:dyDescent="0.3">
      <c r="A26" s="8">
        <v>44278</v>
      </c>
      <c r="B26" s="8" t="s">
        <v>113</v>
      </c>
      <c r="C26" s="15" t="s">
        <v>18</v>
      </c>
      <c r="D26" t="s">
        <v>502</v>
      </c>
      <c r="E26" t="s">
        <v>114</v>
      </c>
      <c r="F26">
        <v>117.626872887383</v>
      </c>
      <c r="G26">
        <v>1120.1378797141399</v>
      </c>
      <c r="H26">
        <v>229.80859635312001</v>
      </c>
      <c r="J26">
        <v>184.54529461158401</v>
      </c>
      <c r="K26" s="17">
        <v>0.93141882965336698</v>
      </c>
      <c r="L26" s="14" t="s">
        <v>115</v>
      </c>
      <c r="M26" s="14">
        <v>8.9710231107115004E+48</v>
      </c>
      <c r="N26" t="s">
        <v>116</v>
      </c>
      <c r="O26" s="14">
        <v>9.0410341096111902E+49</v>
      </c>
      <c r="P26" t="s">
        <v>117</v>
      </c>
      <c r="Q26" s="16" t="s">
        <v>23</v>
      </c>
    </row>
    <row r="27" spans="1:17" x14ac:dyDescent="0.3">
      <c r="A27" s="8">
        <v>44278</v>
      </c>
      <c r="B27" s="8" t="s">
        <v>113</v>
      </c>
      <c r="C27" s="15" t="s">
        <v>18</v>
      </c>
      <c r="D27" t="s">
        <v>502</v>
      </c>
      <c r="E27" t="s">
        <v>118</v>
      </c>
      <c r="F27">
        <v>117.02665238897301</v>
      </c>
      <c r="G27">
        <v>1113.2996998905901</v>
      </c>
      <c r="H27">
        <v>229.077193258411</v>
      </c>
      <c r="J27">
        <v>181.530123926481</v>
      </c>
      <c r="K27" s="17">
        <v>0.92741237297627999</v>
      </c>
      <c r="L27" s="14" t="s">
        <v>119</v>
      </c>
      <c r="M27" s="14">
        <v>8.8599610911098104E+47</v>
      </c>
      <c r="N27" t="s">
        <v>120</v>
      </c>
      <c r="O27" s="14">
        <v>8.7510191086111096E+48</v>
      </c>
      <c r="P27" t="s">
        <v>121</v>
      </c>
      <c r="Q27" s="16" t="s">
        <v>23</v>
      </c>
    </row>
    <row r="28" spans="1:17" x14ac:dyDescent="0.3">
      <c r="A28" s="8">
        <v>44278</v>
      </c>
      <c r="B28" s="8" t="s">
        <v>113</v>
      </c>
      <c r="C28" s="15" t="s">
        <v>18</v>
      </c>
      <c r="D28" t="s">
        <v>502</v>
      </c>
      <c r="E28" t="s">
        <v>122</v>
      </c>
      <c r="F28">
        <v>111.72818319891201</v>
      </c>
      <c r="G28">
        <v>1082.6412931402899</v>
      </c>
      <c r="H28">
        <v>223.45675940208699</v>
      </c>
      <c r="J28">
        <v>188.18547427542299</v>
      </c>
      <c r="K28" s="17">
        <v>0.94017415691228301</v>
      </c>
      <c r="L28" s="14" t="s">
        <v>123</v>
      </c>
      <c r="M28" s="14">
        <v>9.7410481042108998E+48</v>
      </c>
      <c r="N28" t="s">
        <v>124</v>
      </c>
      <c r="O28" s="14">
        <v>9.6410441076108203E+48</v>
      </c>
      <c r="P28" t="s">
        <v>125</v>
      </c>
      <c r="Q28" s="16" t="s">
        <v>23</v>
      </c>
    </row>
    <row r="29" spans="1:17" x14ac:dyDescent="0.3">
      <c r="A29" s="8">
        <v>44278</v>
      </c>
      <c r="B29" s="8" t="s">
        <v>113</v>
      </c>
      <c r="C29" s="15" t="s">
        <v>18</v>
      </c>
      <c r="D29" t="s">
        <v>502</v>
      </c>
      <c r="E29" t="s">
        <v>126</v>
      </c>
      <c r="F29">
        <v>115.732257966251</v>
      </c>
      <c r="G29">
        <v>1057.9380757962399</v>
      </c>
      <c r="H29">
        <v>228.69294882674799</v>
      </c>
      <c r="J29">
        <v>176.494141102849</v>
      </c>
      <c r="K29" s="17">
        <v>0.892859453467579</v>
      </c>
      <c r="L29" s="14" t="s">
        <v>127</v>
      </c>
      <c r="M29" s="14">
        <v>8.7197910551061095E+46</v>
      </c>
      <c r="N29" t="s">
        <v>128</v>
      </c>
      <c r="O29" s="14">
        <v>8.80988103810571E+46</v>
      </c>
      <c r="P29" t="s">
        <v>129</v>
      </c>
      <c r="Q29" s="16" t="s">
        <v>23</v>
      </c>
    </row>
    <row r="30" spans="1:17" x14ac:dyDescent="0.3">
      <c r="A30" s="8">
        <v>44278</v>
      </c>
      <c r="B30" s="8" t="s">
        <v>130</v>
      </c>
      <c r="C30" s="15" t="s">
        <v>18</v>
      </c>
      <c r="D30" t="s">
        <v>502</v>
      </c>
      <c r="E30" t="s">
        <v>131</v>
      </c>
      <c r="F30">
        <v>119.592048363754</v>
      </c>
      <c r="G30">
        <v>1412.8393455758201</v>
      </c>
      <c r="H30">
        <v>234.42495660572399</v>
      </c>
      <c r="J30">
        <v>227.580095243485</v>
      </c>
      <c r="K30" s="17">
        <v>0.945005833095381</v>
      </c>
      <c r="L30" s="14" t="s">
        <v>132</v>
      </c>
      <c r="M30" s="14">
        <v>1.21912521386136E+54</v>
      </c>
      <c r="N30" t="s">
        <v>133</v>
      </c>
      <c r="O30" s="14">
        <v>1.1611330139714101E+53</v>
      </c>
      <c r="P30" t="s">
        <v>134</v>
      </c>
      <c r="Q30" s="16" t="s">
        <v>23</v>
      </c>
    </row>
    <row r="31" spans="1:17" x14ac:dyDescent="0.3">
      <c r="A31" s="8">
        <v>44278</v>
      </c>
      <c r="B31" s="8" t="s">
        <v>135</v>
      </c>
      <c r="C31" s="15" t="s">
        <v>18</v>
      </c>
      <c r="D31" t="s">
        <v>502</v>
      </c>
      <c r="E31" t="s">
        <v>136</v>
      </c>
      <c r="F31">
        <v>108.743594440425</v>
      </c>
      <c r="G31">
        <v>1311.36220663066</v>
      </c>
      <c r="H31">
        <v>211.48196674118299</v>
      </c>
      <c r="J31">
        <v>239.08498374135701</v>
      </c>
      <c r="K31" s="17">
        <v>0.95443359122655602</v>
      </c>
      <c r="L31" s="14" t="s">
        <v>137</v>
      </c>
      <c r="M31" s="14">
        <v>1.21512011307127E+50</v>
      </c>
      <c r="N31" t="s">
        <v>138</v>
      </c>
      <c r="O31" s="14">
        <v>1.16812851311129E+50</v>
      </c>
      <c r="P31" t="s">
        <v>139</v>
      </c>
      <c r="Q31" s="16" t="s">
        <v>23</v>
      </c>
    </row>
    <row r="32" spans="1:17" x14ac:dyDescent="0.3">
      <c r="A32" s="8">
        <v>44278</v>
      </c>
      <c r="B32" s="8" t="s">
        <v>130</v>
      </c>
      <c r="C32" s="15" t="s">
        <v>18</v>
      </c>
      <c r="D32" t="s">
        <v>502</v>
      </c>
      <c r="E32" t="s">
        <v>140</v>
      </c>
      <c r="F32">
        <v>119.83613978070601</v>
      </c>
      <c r="G32">
        <v>1414.78212721728</v>
      </c>
      <c r="H32">
        <v>234.404395949649</v>
      </c>
      <c r="J32">
        <v>231.07518767740299</v>
      </c>
      <c r="K32" s="17">
        <v>0.93714950866570101</v>
      </c>
      <c r="L32" s="14" t="s">
        <v>141</v>
      </c>
      <c r="M32" s="14">
        <v>1.24712461393139E+54</v>
      </c>
      <c r="N32" t="s">
        <v>142</v>
      </c>
      <c r="O32" s="14">
        <v>1.18913411402141E+54</v>
      </c>
      <c r="P32" t="s">
        <v>143</v>
      </c>
      <c r="Q32" s="16" t="s">
        <v>23</v>
      </c>
    </row>
    <row r="33" spans="1:17" x14ac:dyDescent="0.3">
      <c r="A33" s="8">
        <v>44278</v>
      </c>
      <c r="B33" s="8" t="s">
        <v>135</v>
      </c>
      <c r="C33" s="15" t="s">
        <v>18</v>
      </c>
      <c r="D33" t="s">
        <v>502</v>
      </c>
      <c r="E33" t="s">
        <v>144</v>
      </c>
      <c r="F33">
        <v>110.621123087586</v>
      </c>
      <c r="G33">
        <v>1364.2684712606101</v>
      </c>
      <c r="H33">
        <v>216.70876162419901</v>
      </c>
      <c r="J33">
        <v>243.88212440616201</v>
      </c>
      <c r="K33" s="17">
        <v>0.97151019695177598</v>
      </c>
      <c r="L33" s="14" t="s">
        <v>145</v>
      </c>
      <c r="M33" s="14">
        <v>1.24712741373133E+50</v>
      </c>
      <c r="N33" t="s">
        <v>146</v>
      </c>
      <c r="O33" s="14">
        <v>1.21413351364135E+51</v>
      </c>
      <c r="P33" t="s">
        <v>147</v>
      </c>
      <c r="Q33" s="16" t="s">
        <v>23</v>
      </c>
    </row>
    <row r="34" spans="1:17" x14ac:dyDescent="0.3">
      <c r="A34" s="8">
        <v>44278</v>
      </c>
      <c r="B34" s="8" t="s">
        <v>130</v>
      </c>
      <c r="C34" s="15" t="s">
        <v>18</v>
      </c>
      <c r="D34" t="s">
        <v>502</v>
      </c>
      <c r="E34" t="s">
        <v>148</v>
      </c>
      <c r="F34">
        <v>120.706498253132</v>
      </c>
      <c r="G34">
        <v>1421.3030907179</v>
      </c>
      <c r="H34">
        <v>237.21217053914401</v>
      </c>
      <c r="J34">
        <v>229.939088136821</v>
      </c>
      <c r="K34" s="17">
        <v>0.92501972604506399</v>
      </c>
      <c r="L34" s="14" t="s">
        <v>149</v>
      </c>
      <c r="M34" s="14">
        <v>1.26812551405137E+54</v>
      </c>
      <c r="N34" t="s">
        <v>150</v>
      </c>
      <c r="O34" s="14">
        <v>1.20013481407142E+54</v>
      </c>
      <c r="P34" t="s">
        <v>151</v>
      </c>
      <c r="Q34" s="16" t="s">
        <v>23</v>
      </c>
    </row>
    <row r="35" spans="1:17" x14ac:dyDescent="0.3">
      <c r="A35" s="8">
        <v>44278</v>
      </c>
      <c r="B35" s="8" t="s">
        <v>135</v>
      </c>
      <c r="C35" s="15" t="s">
        <v>18</v>
      </c>
      <c r="D35" t="s">
        <v>502</v>
      </c>
      <c r="E35" t="s">
        <v>152</v>
      </c>
      <c r="F35">
        <v>113.600604411001</v>
      </c>
      <c r="G35">
        <v>1405.5912783184999</v>
      </c>
      <c r="H35">
        <v>222.25593772324601</v>
      </c>
      <c r="J35">
        <v>245.02028873760801</v>
      </c>
      <c r="K35" s="17">
        <v>0.96611304862456304</v>
      </c>
      <c r="L35" s="14" t="s">
        <v>153</v>
      </c>
      <c r="M35" s="14">
        <v>1.26812911447138E+52</v>
      </c>
      <c r="N35" t="s">
        <v>154</v>
      </c>
      <c r="O35" s="14">
        <v>1.2371367140413899E+52</v>
      </c>
      <c r="P35" t="s">
        <v>155</v>
      </c>
      <c r="Q35" s="16" t="s">
        <v>23</v>
      </c>
    </row>
    <row r="36" spans="1:17" x14ac:dyDescent="0.3">
      <c r="A36" s="8">
        <v>44278</v>
      </c>
      <c r="B36" s="8" t="s">
        <v>130</v>
      </c>
      <c r="C36" s="15" t="s">
        <v>18</v>
      </c>
      <c r="D36" t="s">
        <v>502</v>
      </c>
      <c r="E36" t="s">
        <v>156</v>
      </c>
      <c r="F36">
        <v>119.11108816433</v>
      </c>
      <c r="G36">
        <v>1433.8310618139401</v>
      </c>
      <c r="H36">
        <v>234.080677460522</v>
      </c>
      <c r="J36">
        <v>235.21286103136001</v>
      </c>
      <c r="K36" s="17">
        <v>0.91583113149566098</v>
      </c>
      <c r="L36" s="14" t="s">
        <v>157</v>
      </c>
      <c r="M36" s="14">
        <v>1.29112591409142E+53</v>
      </c>
      <c r="N36" t="s">
        <v>158</v>
      </c>
      <c r="O36" s="14">
        <v>1.2231369142414301E+54</v>
      </c>
      <c r="P36" t="s">
        <v>159</v>
      </c>
      <c r="Q36" s="16" t="s">
        <v>23</v>
      </c>
    </row>
    <row r="37" spans="1:17" x14ac:dyDescent="0.3">
      <c r="A37" s="8">
        <v>44278</v>
      </c>
      <c r="B37" s="8" t="s">
        <v>135</v>
      </c>
      <c r="C37" s="15" t="s">
        <v>18</v>
      </c>
      <c r="D37" t="s">
        <v>502</v>
      </c>
      <c r="E37" t="s">
        <v>160</v>
      </c>
      <c r="F37">
        <v>113.87732830413501</v>
      </c>
      <c r="G37">
        <v>1403.8468767272</v>
      </c>
      <c r="H37">
        <v>219.585524891967</v>
      </c>
      <c r="J37">
        <v>245.277700750126</v>
      </c>
      <c r="K37" s="17">
        <v>0.95809314662720202</v>
      </c>
      <c r="L37" s="14" t="s">
        <v>161</v>
      </c>
      <c r="M37" s="14">
        <v>1.2341288144513801E+52</v>
      </c>
      <c r="N37" t="s">
        <v>162</v>
      </c>
      <c r="O37" s="14">
        <v>1.20713581402139E+51</v>
      </c>
      <c r="P37" t="s">
        <v>163</v>
      </c>
      <c r="Q37" s="16" t="s">
        <v>23</v>
      </c>
    </row>
    <row r="38" spans="1:17" x14ac:dyDescent="0.3">
      <c r="A38" s="8">
        <v>44280</v>
      </c>
      <c r="B38" s="8" t="s">
        <v>36</v>
      </c>
      <c r="C38" s="15" t="s">
        <v>18</v>
      </c>
      <c r="D38" t="s">
        <v>502</v>
      </c>
      <c r="E38" t="s">
        <v>164</v>
      </c>
      <c r="F38">
        <v>119.898885272434</v>
      </c>
      <c r="G38">
        <v>1357.49563373665</v>
      </c>
      <c r="H38">
        <v>237.30851234495</v>
      </c>
      <c r="J38">
        <v>221.41246513462599</v>
      </c>
      <c r="K38" s="17">
        <v>0.935141406660432</v>
      </c>
      <c r="L38" s="14" t="s">
        <v>165</v>
      </c>
      <c r="M38" s="14">
        <v>1.1831261135213199E+54</v>
      </c>
      <c r="N38" t="s">
        <v>166</v>
      </c>
      <c r="O38" s="14">
        <v>1.16412941345135E+54</v>
      </c>
      <c r="P38" t="s">
        <v>167</v>
      </c>
      <c r="Q38" s="16" t="s">
        <v>23</v>
      </c>
    </row>
    <row r="39" spans="1:17" x14ac:dyDescent="0.3">
      <c r="A39" s="8">
        <v>44280</v>
      </c>
      <c r="B39" s="8" t="s">
        <v>36</v>
      </c>
      <c r="C39" s="15" t="s">
        <v>18</v>
      </c>
      <c r="D39" t="s">
        <v>502</v>
      </c>
      <c r="E39" t="s">
        <v>168</v>
      </c>
      <c r="F39">
        <v>123.83868964548</v>
      </c>
      <c r="G39">
        <v>1388.0001354108499</v>
      </c>
      <c r="H39">
        <v>245.55359223588701</v>
      </c>
      <c r="J39">
        <v>220.92319264354001</v>
      </c>
      <c r="K39" s="17">
        <v>0.92223165525122397</v>
      </c>
      <c r="L39" s="14" t="s">
        <v>169</v>
      </c>
      <c r="M39" s="14">
        <v>1.2271277137413499E+55</v>
      </c>
      <c r="N39" t="s">
        <v>170</v>
      </c>
      <c r="O39" s="14">
        <v>1.1971320137113801E+55</v>
      </c>
      <c r="P39" t="s">
        <v>171</v>
      </c>
      <c r="Q39" s="16" t="s">
        <v>23</v>
      </c>
    </row>
    <row r="40" spans="1:17" x14ac:dyDescent="0.3">
      <c r="A40" s="8">
        <v>44280</v>
      </c>
      <c r="B40" s="8" t="s">
        <v>36</v>
      </c>
      <c r="C40" s="15" t="s">
        <v>18</v>
      </c>
      <c r="D40" t="s">
        <v>502</v>
      </c>
      <c r="E40" t="s">
        <v>172</v>
      </c>
      <c r="F40">
        <v>124.196391020916</v>
      </c>
      <c r="G40">
        <v>1398.09518455067</v>
      </c>
      <c r="H40">
        <v>245.62259516703099</v>
      </c>
      <c r="J40">
        <v>221.32940021019999</v>
      </c>
      <c r="K40" s="17">
        <v>0.90074934881366397</v>
      </c>
      <c r="L40" s="14" t="s">
        <v>173</v>
      </c>
      <c r="M40" s="14">
        <v>1.21812741375137E+55</v>
      </c>
      <c r="N40" t="s">
        <v>174</v>
      </c>
      <c r="O40" s="14">
        <v>1.1881321137813899E+55</v>
      </c>
      <c r="P40" t="s">
        <v>175</v>
      </c>
      <c r="Q40" s="16" t="s">
        <v>23</v>
      </c>
    </row>
    <row r="41" spans="1:17" x14ac:dyDescent="0.3">
      <c r="A41" s="8">
        <v>44280</v>
      </c>
      <c r="B41" s="8" t="s">
        <v>36</v>
      </c>
      <c r="C41" s="15" t="s">
        <v>18</v>
      </c>
      <c r="D41" t="s">
        <v>502</v>
      </c>
      <c r="E41" t="s">
        <v>176</v>
      </c>
      <c r="F41">
        <v>126.39134363595799</v>
      </c>
      <c r="G41">
        <v>1434.85347284573</v>
      </c>
      <c r="H41">
        <v>248.82751338455901</v>
      </c>
      <c r="J41">
        <v>222.10182474217899</v>
      </c>
      <c r="K41" s="17">
        <v>0.89428294877346004</v>
      </c>
      <c r="L41" s="14" t="s">
        <v>177</v>
      </c>
      <c r="M41" s="14">
        <v>1.2181286137714E+55</v>
      </c>
      <c r="N41" t="s">
        <v>178</v>
      </c>
      <c r="O41" s="14">
        <v>1.1831338140614299E+55</v>
      </c>
      <c r="P41" t="s">
        <v>179</v>
      </c>
      <c r="Q41" s="16" t="s">
        <v>23</v>
      </c>
    </row>
    <row r="42" spans="1:17" x14ac:dyDescent="0.3">
      <c r="A42" s="8">
        <v>44280</v>
      </c>
      <c r="B42" s="8" t="s">
        <v>36</v>
      </c>
      <c r="C42" s="15" t="s">
        <v>18</v>
      </c>
      <c r="D42" t="s">
        <v>502</v>
      </c>
      <c r="E42" t="s">
        <v>180</v>
      </c>
      <c r="F42">
        <v>124.646034549226</v>
      </c>
      <c r="G42">
        <v>1446.53739720919</v>
      </c>
      <c r="H42">
        <v>245.75862994924299</v>
      </c>
      <c r="J42">
        <v>228.45333959971899</v>
      </c>
      <c r="K42" s="17">
        <v>0.87230728292462401</v>
      </c>
      <c r="L42" s="14" t="s">
        <v>181</v>
      </c>
      <c r="M42" s="14">
        <v>1.2671309140014399E+55</v>
      </c>
      <c r="N42" t="s">
        <v>182</v>
      </c>
      <c r="O42" s="14">
        <v>1.2231367142614399E+55</v>
      </c>
      <c r="P42" t="s">
        <v>183</v>
      </c>
      <c r="Q42" s="16" t="s">
        <v>23</v>
      </c>
    </row>
    <row r="43" spans="1:17" x14ac:dyDescent="0.3">
      <c r="A43" s="8">
        <v>44280</v>
      </c>
      <c r="B43" s="8" t="s">
        <v>88</v>
      </c>
      <c r="C43" s="15" t="s">
        <v>18</v>
      </c>
      <c r="D43" t="s">
        <v>502</v>
      </c>
      <c r="E43" t="s">
        <v>184</v>
      </c>
      <c r="F43">
        <v>121.101140488288</v>
      </c>
      <c r="G43">
        <v>1267.5674759481401</v>
      </c>
      <c r="H43">
        <v>240.523191873038</v>
      </c>
      <c r="J43">
        <v>203.41073114499801</v>
      </c>
      <c r="K43" s="17">
        <v>0.91139710130569696</v>
      </c>
      <c r="L43" s="14" t="s">
        <v>185</v>
      </c>
      <c r="M43" s="14">
        <v>1.10011771227123E+54</v>
      </c>
      <c r="N43" t="s">
        <v>186</v>
      </c>
      <c r="O43" s="14">
        <v>1.07811961249126E+54</v>
      </c>
      <c r="P43" t="s">
        <v>187</v>
      </c>
      <c r="Q43" s="16" t="s">
        <v>23</v>
      </c>
    </row>
    <row r="44" spans="1:17" ht="15.9" customHeight="1" x14ac:dyDescent="0.3">
      <c r="A44" s="8">
        <v>44280</v>
      </c>
      <c r="B44" s="8" t="s">
        <v>36</v>
      </c>
      <c r="C44" s="15" t="s">
        <v>18</v>
      </c>
      <c r="D44" t="s">
        <v>502</v>
      </c>
      <c r="E44" t="s">
        <v>188</v>
      </c>
      <c r="F44">
        <v>123.464110906822</v>
      </c>
      <c r="G44">
        <v>1421.8389368211399</v>
      </c>
      <c r="H44">
        <v>244.813576036901</v>
      </c>
      <c r="J44">
        <v>225.41834049165399</v>
      </c>
      <c r="K44" s="17">
        <v>0.788761834779382</v>
      </c>
      <c r="L44" s="14" t="s">
        <v>189</v>
      </c>
      <c r="M44" s="14">
        <v>1.2521282138914099E+55</v>
      </c>
      <c r="N44" t="s">
        <v>190</v>
      </c>
      <c r="O44" s="14">
        <v>1.2121348140414199E+55</v>
      </c>
      <c r="P44" t="s">
        <v>191</v>
      </c>
      <c r="Q44" s="16" t="s">
        <v>23</v>
      </c>
    </row>
    <row r="45" spans="1:17" x14ac:dyDescent="0.3">
      <c r="A45" s="8">
        <v>44280</v>
      </c>
      <c r="B45" s="8" t="s">
        <v>88</v>
      </c>
      <c r="C45" s="15" t="s">
        <v>18</v>
      </c>
      <c r="D45" t="s">
        <v>502</v>
      </c>
      <c r="E45" t="s">
        <v>192</v>
      </c>
      <c r="F45">
        <v>121.481563255456</v>
      </c>
      <c r="G45">
        <v>1309.4626339573399</v>
      </c>
      <c r="H45">
        <v>239.70613523145801</v>
      </c>
      <c r="J45">
        <v>211.16202518686899</v>
      </c>
      <c r="K45" s="17">
        <v>0.88676427198111796</v>
      </c>
      <c r="L45" s="14" t="s">
        <v>193</v>
      </c>
      <c r="M45" s="14">
        <v>1.13911911277127E+54</v>
      </c>
      <c r="N45" t="s">
        <v>194</v>
      </c>
      <c r="O45" s="14">
        <v>1.1081235129113001E+54</v>
      </c>
      <c r="P45" t="s">
        <v>195</v>
      </c>
      <c r="Q45" s="16" t="s">
        <v>23</v>
      </c>
    </row>
    <row r="46" spans="1:17" x14ac:dyDescent="0.3">
      <c r="A46" s="8">
        <v>44280</v>
      </c>
      <c r="B46" s="8" t="s">
        <v>88</v>
      </c>
      <c r="C46" s="15" t="s">
        <v>18</v>
      </c>
      <c r="D46" t="s">
        <v>502</v>
      </c>
      <c r="E46" t="s">
        <v>196</v>
      </c>
      <c r="F46">
        <v>121.965366351326</v>
      </c>
      <c r="G46">
        <v>1294.9920889893999</v>
      </c>
      <c r="H46">
        <v>242.432757470448</v>
      </c>
      <c r="J46">
        <v>207.11698288149</v>
      </c>
      <c r="K46" s="17">
        <v>0.81244215552285004</v>
      </c>
      <c r="L46" s="14" t="s">
        <v>197</v>
      </c>
      <c r="M46" s="14">
        <v>1.15611791252124E+54</v>
      </c>
      <c r="N46" t="s">
        <v>198</v>
      </c>
      <c r="O46" s="14">
        <v>1.11012261276129E+55</v>
      </c>
      <c r="P46" t="s">
        <v>199</v>
      </c>
      <c r="Q46" s="16" t="s">
        <v>23</v>
      </c>
    </row>
    <row r="47" spans="1:17" x14ac:dyDescent="0.3">
      <c r="A47" s="8">
        <v>44280</v>
      </c>
      <c r="B47" s="8" t="s">
        <v>88</v>
      </c>
      <c r="C47" s="15" t="s">
        <v>18</v>
      </c>
      <c r="D47" t="s">
        <v>502</v>
      </c>
      <c r="E47" t="s">
        <v>200</v>
      </c>
      <c r="F47">
        <v>119.976167809522</v>
      </c>
      <c r="G47">
        <v>1335.9740879123799</v>
      </c>
      <c r="H47">
        <v>235.79306323599701</v>
      </c>
      <c r="J47">
        <v>217.716401358528</v>
      </c>
      <c r="K47" s="17">
        <v>0.89123065838596105</v>
      </c>
      <c r="L47" s="14" t="s">
        <v>201</v>
      </c>
      <c r="M47" s="14">
        <v>1.16712101309127E+54</v>
      </c>
      <c r="N47" t="s">
        <v>202</v>
      </c>
      <c r="O47" s="14">
        <v>1.12412631321133E+54</v>
      </c>
      <c r="P47" t="s">
        <v>203</v>
      </c>
      <c r="Q47" s="16" t="s">
        <v>23</v>
      </c>
    </row>
    <row r="48" spans="1:17" x14ac:dyDescent="0.3">
      <c r="A48" s="8">
        <v>44280</v>
      </c>
      <c r="B48" s="8" t="s">
        <v>17</v>
      </c>
      <c r="C48" s="15" t="s">
        <v>18</v>
      </c>
      <c r="D48" t="s">
        <v>502</v>
      </c>
      <c r="E48" t="s">
        <v>204</v>
      </c>
      <c r="F48">
        <v>128.11798427958499</v>
      </c>
      <c r="G48">
        <v>1572.9082366902401</v>
      </c>
      <c r="H48">
        <v>254.83259106933599</v>
      </c>
      <c r="J48">
        <v>240.21994050641101</v>
      </c>
      <c r="K48" s="17">
        <v>0.93575272473277604</v>
      </c>
      <c r="L48" s="14" t="s">
        <v>205</v>
      </c>
      <c r="M48" s="14">
        <v>1.31514871555162E+55</v>
      </c>
      <c r="N48" t="s">
        <v>206</v>
      </c>
      <c r="O48" s="14">
        <v>1.3321485155115699E+55</v>
      </c>
      <c r="P48" t="s">
        <v>207</v>
      </c>
      <c r="Q48" s="16" t="s">
        <v>23</v>
      </c>
    </row>
    <row r="49" spans="1:17" x14ac:dyDescent="0.3">
      <c r="A49" s="8">
        <v>44280</v>
      </c>
      <c r="B49" s="8" t="s">
        <v>83</v>
      </c>
      <c r="C49" s="15" t="s">
        <v>18</v>
      </c>
      <c r="D49" t="s">
        <v>502</v>
      </c>
      <c r="E49" t="s">
        <v>208</v>
      </c>
      <c r="F49">
        <v>114.798382639582</v>
      </c>
      <c r="G49">
        <v>1187.5302411560001</v>
      </c>
      <c r="H49">
        <v>228.95471720187899</v>
      </c>
      <c r="J49">
        <v>198.165557836223</v>
      </c>
      <c r="K49" s="17">
        <v>0.91504348433238802</v>
      </c>
      <c r="L49" s="14" t="s">
        <v>209</v>
      </c>
      <c r="M49" s="14">
        <v>1.0211079121911901E+50</v>
      </c>
      <c r="N49" t="s">
        <v>210</v>
      </c>
      <c r="O49" s="14">
        <v>1.01511311177118E+51</v>
      </c>
      <c r="P49" t="s">
        <v>211</v>
      </c>
      <c r="Q49" s="16" t="s">
        <v>23</v>
      </c>
    </row>
    <row r="50" spans="1:17" x14ac:dyDescent="0.3">
      <c r="A50" s="8">
        <v>44280</v>
      </c>
      <c r="B50" s="8" t="s">
        <v>17</v>
      </c>
      <c r="C50" s="15" t="s">
        <v>18</v>
      </c>
      <c r="D50" t="s">
        <v>502</v>
      </c>
      <c r="E50" t="s">
        <v>212</v>
      </c>
      <c r="F50">
        <v>129.53575606310099</v>
      </c>
      <c r="G50">
        <v>1589.20721946971</v>
      </c>
      <c r="H50">
        <v>257.68629064930099</v>
      </c>
      <c r="J50">
        <v>242.446761407602</v>
      </c>
      <c r="K50" s="17">
        <v>0.90337898424728003</v>
      </c>
      <c r="L50" s="14" t="s">
        <v>213</v>
      </c>
      <c r="M50" s="14">
        <v>1.35415071566166E+55</v>
      </c>
      <c r="N50" t="s">
        <v>214</v>
      </c>
      <c r="O50" s="14">
        <v>1.36915081569158E+55</v>
      </c>
      <c r="P50" t="s">
        <v>215</v>
      </c>
      <c r="Q50" s="16" t="s">
        <v>23</v>
      </c>
    </row>
    <row r="51" spans="1:17" x14ac:dyDescent="0.3">
      <c r="A51" s="8">
        <v>44280</v>
      </c>
      <c r="B51" s="8" t="s">
        <v>83</v>
      </c>
      <c r="C51" s="15" t="s">
        <v>18</v>
      </c>
      <c r="D51" t="s">
        <v>502</v>
      </c>
      <c r="E51" t="s">
        <v>216</v>
      </c>
      <c r="F51">
        <v>114.435292335307</v>
      </c>
      <c r="G51">
        <v>1181.1454652324301</v>
      </c>
      <c r="H51">
        <v>227.062868827306</v>
      </c>
      <c r="J51">
        <v>197.91573411098801</v>
      </c>
      <c r="K51" s="17">
        <v>0.91584563768026195</v>
      </c>
      <c r="L51" s="14" t="s">
        <v>217</v>
      </c>
      <c r="M51" s="14">
        <v>1.02610741160115E+51</v>
      </c>
      <c r="N51" t="s">
        <v>218</v>
      </c>
      <c r="O51" s="14">
        <v>9.9811221170118095E+49</v>
      </c>
      <c r="P51" t="s">
        <v>219</v>
      </c>
      <c r="Q51" s="16" t="s">
        <v>23</v>
      </c>
    </row>
    <row r="52" spans="1:17" x14ac:dyDescent="0.3">
      <c r="A52" s="8">
        <v>44280</v>
      </c>
      <c r="B52" s="8" t="s">
        <v>17</v>
      </c>
      <c r="C52" s="15" t="s">
        <v>18</v>
      </c>
      <c r="D52" t="s">
        <v>502</v>
      </c>
      <c r="E52" t="s">
        <v>220</v>
      </c>
      <c r="F52">
        <v>130.88825452271701</v>
      </c>
      <c r="G52">
        <v>1629.02962594112</v>
      </c>
      <c r="H52">
        <v>257.608170432961</v>
      </c>
      <c r="J52">
        <v>245.533997476216</v>
      </c>
      <c r="K52" s="17">
        <v>0.77862371485369197</v>
      </c>
      <c r="L52" s="14" t="s">
        <v>221</v>
      </c>
      <c r="M52" s="14">
        <v>1.3581503157717099E+59</v>
      </c>
      <c r="N52" t="s">
        <v>222</v>
      </c>
      <c r="O52" s="14">
        <v>1.35115241600162E+59</v>
      </c>
      <c r="P52" t="s">
        <v>223</v>
      </c>
      <c r="Q52" s="16" t="s">
        <v>23</v>
      </c>
    </row>
    <row r="53" spans="1:17" x14ac:dyDescent="0.3">
      <c r="A53" s="8">
        <v>44280</v>
      </c>
      <c r="B53" s="8" t="s">
        <v>83</v>
      </c>
      <c r="C53" s="15" t="s">
        <v>18</v>
      </c>
      <c r="D53" t="s">
        <v>502</v>
      </c>
      <c r="E53" t="s">
        <v>224</v>
      </c>
      <c r="F53">
        <v>114.361873664394</v>
      </c>
      <c r="G53">
        <v>1169.87676211949</v>
      </c>
      <c r="H53">
        <v>228.207490925966</v>
      </c>
      <c r="J53">
        <v>196.39531266661601</v>
      </c>
      <c r="K53" s="17">
        <v>0.825307304336373</v>
      </c>
      <c r="L53" s="14" t="s">
        <v>225</v>
      </c>
      <c r="M53" s="14">
        <v>1.03210161240115E+51</v>
      </c>
      <c r="N53" t="s">
        <v>226</v>
      </c>
      <c r="O53" s="14">
        <v>1.0061115116011699E+51</v>
      </c>
      <c r="P53" t="s">
        <v>227</v>
      </c>
      <c r="Q53" s="16" t="s">
        <v>23</v>
      </c>
    </row>
    <row r="54" spans="1:17" x14ac:dyDescent="0.3">
      <c r="A54" s="8">
        <v>44280</v>
      </c>
      <c r="B54" s="8" t="s">
        <v>17</v>
      </c>
      <c r="C54" s="15" t="s">
        <v>18</v>
      </c>
      <c r="D54" t="s">
        <v>502</v>
      </c>
      <c r="E54" t="s">
        <v>228</v>
      </c>
      <c r="F54">
        <v>128.332272612997</v>
      </c>
      <c r="G54">
        <v>1612.6847757179601</v>
      </c>
      <c r="H54">
        <v>255.660354581587</v>
      </c>
      <c r="J54">
        <v>248.80617912115801</v>
      </c>
      <c r="K54" s="17">
        <v>0.830713267870965</v>
      </c>
      <c r="L54" s="14" t="s">
        <v>229</v>
      </c>
      <c r="M54" s="14">
        <v>1.37615371597171E+55</v>
      </c>
      <c r="N54" t="s">
        <v>230</v>
      </c>
      <c r="O54" s="14">
        <v>1.40115391596161E+55</v>
      </c>
      <c r="P54" t="s">
        <v>231</v>
      </c>
      <c r="Q54" s="16" t="s">
        <v>23</v>
      </c>
    </row>
    <row r="55" spans="1:17" x14ac:dyDescent="0.3">
      <c r="A55" s="8">
        <v>44280</v>
      </c>
      <c r="B55" s="8" t="s">
        <v>53</v>
      </c>
      <c r="C55" s="15" t="s">
        <v>18</v>
      </c>
      <c r="D55" t="s">
        <v>502</v>
      </c>
      <c r="E55" t="s">
        <v>232</v>
      </c>
      <c r="F55">
        <v>126.01053637307</v>
      </c>
      <c r="G55">
        <v>1772.63084459314</v>
      </c>
      <c r="H55">
        <v>248.285680625346</v>
      </c>
      <c r="J55">
        <v>279.15554327973098</v>
      </c>
      <c r="K55" s="17">
        <v>0.87912056309536502</v>
      </c>
      <c r="L55" s="14">
        <v>7.9101118131142102E+40</v>
      </c>
      <c r="M55" s="14">
        <v>1.5371647178518199E+55</v>
      </c>
      <c r="N55" t="s">
        <v>233</v>
      </c>
      <c r="O55" s="14">
        <v>1.5221702176517701E+55</v>
      </c>
      <c r="P55" t="s">
        <v>234</v>
      </c>
      <c r="Q55" s="16" t="s">
        <v>23</v>
      </c>
    </row>
    <row r="56" spans="1:17" x14ac:dyDescent="0.3">
      <c r="A56" s="8">
        <v>44280</v>
      </c>
      <c r="B56" s="8" t="s">
        <v>53</v>
      </c>
      <c r="C56" s="15" t="s">
        <v>18</v>
      </c>
      <c r="D56" t="s">
        <v>502</v>
      </c>
      <c r="E56" t="s">
        <v>235</v>
      </c>
      <c r="F56">
        <v>129.677968525285</v>
      </c>
      <c r="G56">
        <v>1778.36889491038</v>
      </c>
      <c r="H56">
        <v>254.91822070055699</v>
      </c>
      <c r="J56">
        <v>269.77398095975798</v>
      </c>
      <c r="K56" s="17">
        <v>0.90508310675058401</v>
      </c>
      <c r="L56" s="14">
        <v>7.8100117130141104E+40</v>
      </c>
      <c r="M56" s="14">
        <v>1.48816451744179E+55</v>
      </c>
      <c r="N56" t="s">
        <v>236</v>
      </c>
      <c r="O56" s="14">
        <v>1.4711681175917699E+55</v>
      </c>
      <c r="P56" t="s">
        <v>237</v>
      </c>
      <c r="Q56" s="16" t="s">
        <v>23</v>
      </c>
    </row>
    <row r="57" spans="1:17" x14ac:dyDescent="0.3">
      <c r="A57" s="8">
        <v>44280</v>
      </c>
      <c r="B57" s="8" t="s">
        <v>53</v>
      </c>
      <c r="C57" s="15" t="s">
        <v>18</v>
      </c>
      <c r="D57" t="s">
        <v>502</v>
      </c>
      <c r="E57" t="s">
        <v>238</v>
      </c>
      <c r="F57">
        <v>128.95480085149401</v>
      </c>
      <c r="G57">
        <v>1813.2676709837799</v>
      </c>
      <c r="H57">
        <v>252.98941640484799</v>
      </c>
      <c r="J57">
        <v>279.96365841977303</v>
      </c>
      <c r="K57" s="17">
        <v>0.93764696547896598</v>
      </c>
      <c r="L57" s="14">
        <v>7.91021181311431E+37</v>
      </c>
      <c r="M57" s="14">
        <v>1.58816401788184E+51</v>
      </c>
      <c r="N57" t="s">
        <v>239</v>
      </c>
      <c r="O57" s="14">
        <v>1.53717301799181E+51</v>
      </c>
      <c r="P57" t="s">
        <v>240</v>
      </c>
      <c r="Q57" s="16" t="s">
        <v>23</v>
      </c>
    </row>
    <row r="58" spans="1:17" x14ac:dyDescent="0.3">
      <c r="A58" s="8">
        <v>44280</v>
      </c>
      <c r="B58" s="8" t="s">
        <v>130</v>
      </c>
      <c r="C58" s="15" t="s">
        <v>18</v>
      </c>
      <c r="D58" t="s">
        <v>502</v>
      </c>
      <c r="E58" t="s">
        <v>241</v>
      </c>
      <c r="F58">
        <v>116.76270922451501</v>
      </c>
      <c r="G58">
        <v>1360.1716256443201</v>
      </c>
      <c r="H58">
        <v>227.03012500807799</v>
      </c>
      <c r="J58">
        <v>229.032373679866</v>
      </c>
      <c r="K58" s="17">
        <v>0.96282980931318496</v>
      </c>
      <c r="L58" s="14" t="s">
        <v>242</v>
      </c>
      <c r="M58" s="14">
        <v>1.19912321337131E+52</v>
      </c>
      <c r="N58" t="s">
        <v>243</v>
      </c>
      <c r="O58" s="14">
        <v>1.14712971352135E+52</v>
      </c>
      <c r="P58" t="s">
        <v>244</v>
      </c>
      <c r="Q58" s="16" t="s">
        <v>23</v>
      </c>
    </row>
    <row r="59" spans="1:17" x14ac:dyDescent="0.3">
      <c r="A59" s="8">
        <v>44280</v>
      </c>
      <c r="B59" s="8" t="s">
        <v>135</v>
      </c>
      <c r="C59" s="15" t="s">
        <v>18</v>
      </c>
      <c r="D59" t="s">
        <v>502</v>
      </c>
      <c r="E59" t="s">
        <v>245</v>
      </c>
      <c r="F59">
        <v>113.982312556949</v>
      </c>
      <c r="G59">
        <v>1394.3246260573801</v>
      </c>
      <c r="H59">
        <v>221.70921565991799</v>
      </c>
      <c r="J59">
        <v>241.637604460901</v>
      </c>
      <c r="K59" s="17">
        <v>0.96128809318188602</v>
      </c>
      <c r="L59" s="14" t="s">
        <v>246</v>
      </c>
      <c r="M59" s="14">
        <v>1.2021324143613599E+51</v>
      </c>
      <c r="N59" t="s">
        <v>247</v>
      </c>
      <c r="O59" s="14">
        <v>1.2021348139213801E+52</v>
      </c>
      <c r="P59" t="s">
        <v>248</v>
      </c>
      <c r="Q59" s="16" t="s">
        <v>23</v>
      </c>
    </row>
    <row r="60" spans="1:17" x14ac:dyDescent="0.3">
      <c r="A60" s="8">
        <v>44280</v>
      </c>
      <c r="B60" s="8" t="s">
        <v>53</v>
      </c>
      <c r="C60" s="15" t="s">
        <v>18</v>
      </c>
      <c r="D60" t="s">
        <v>502</v>
      </c>
      <c r="E60" t="s">
        <v>249</v>
      </c>
      <c r="F60">
        <v>128.23719103445299</v>
      </c>
      <c r="G60">
        <v>1803.5427699863701</v>
      </c>
      <c r="H60">
        <v>251.37419048351401</v>
      </c>
      <c r="J60">
        <v>279.32027285240503</v>
      </c>
      <c r="K60" s="17">
        <v>0.94962265494526998</v>
      </c>
      <c r="L60" s="14">
        <v>7.9101118131142102E+40</v>
      </c>
      <c r="M60" s="14">
        <v>1.5641647178318101E+55</v>
      </c>
      <c r="N60" t="s">
        <v>250</v>
      </c>
      <c r="O60" s="14">
        <v>1.5201720179117999E+55</v>
      </c>
      <c r="P60" t="s">
        <v>251</v>
      </c>
      <c r="Q60" s="16" t="s">
        <v>23</v>
      </c>
    </row>
    <row r="61" spans="1:17" x14ac:dyDescent="0.3">
      <c r="A61" s="8">
        <v>44280</v>
      </c>
      <c r="B61" s="8" t="s">
        <v>130</v>
      </c>
      <c r="C61" s="15" t="s">
        <v>18</v>
      </c>
      <c r="D61" t="s">
        <v>502</v>
      </c>
      <c r="E61" t="s">
        <v>252</v>
      </c>
      <c r="F61">
        <v>116.315668407159</v>
      </c>
      <c r="G61">
        <v>1387.8511520493801</v>
      </c>
      <c r="H61">
        <v>231.79058073398099</v>
      </c>
      <c r="J61">
        <v>234.238404886322</v>
      </c>
      <c r="K61" s="17">
        <v>0.91480430304214699</v>
      </c>
      <c r="L61" s="14" t="s">
        <v>253</v>
      </c>
      <c r="M61" s="14">
        <v>1.2981260136013701E+53</v>
      </c>
      <c r="N61" t="s">
        <v>254</v>
      </c>
      <c r="O61" s="14">
        <v>1.2391348138413799E+54</v>
      </c>
      <c r="P61" t="s">
        <v>255</v>
      </c>
      <c r="Q61" s="16" t="s">
        <v>23</v>
      </c>
    </row>
    <row r="62" spans="1:17" x14ac:dyDescent="0.3">
      <c r="A62" s="8">
        <v>44280</v>
      </c>
      <c r="B62" s="8" t="s">
        <v>135</v>
      </c>
      <c r="C62" s="15" t="s">
        <v>18</v>
      </c>
      <c r="D62" t="s">
        <v>502</v>
      </c>
      <c r="E62" t="s">
        <v>256</v>
      </c>
      <c r="F62">
        <v>109.945830205392</v>
      </c>
      <c r="G62">
        <v>1433.0415123505099</v>
      </c>
      <c r="H62">
        <v>222.56988094203501</v>
      </c>
      <c r="J62">
        <v>253.38140488902999</v>
      </c>
      <c r="K62" s="17">
        <v>0.96426200917943095</v>
      </c>
      <c r="L62" s="14" t="s">
        <v>257</v>
      </c>
      <c r="M62" s="14">
        <v>1.3251381148913999E+53</v>
      </c>
      <c r="N62" t="s">
        <v>258</v>
      </c>
      <c r="O62" s="14">
        <v>1.32214161433141E+53</v>
      </c>
      <c r="P62" t="s">
        <v>259</v>
      </c>
      <c r="Q62" s="16" t="s">
        <v>23</v>
      </c>
    </row>
    <row r="63" spans="1:17" x14ac:dyDescent="0.3">
      <c r="A63" s="8">
        <v>44280</v>
      </c>
      <c r="B63" s="8" t="s">
        <v>113</v>
      </c>
      <c r="C63" s="15" t="s">
        <v>18</v>
      </c>
      <c r="D63" t="s">
        <v>502</v>
      </c>
      <c r="E63" t="s">
        <v>260</v>
      </c>
      <c r="F63">
        <v>114.39554428400901</v>
      </c>
      <c r="G63">
        <v>1151.2909265697899</v>
      </c>
      <c r="H63">
        <v>223.199248211683</v>
      </c>
      <c r="J63">
        <v>197.578494682029</v>
      </c>
      <c r="K63" s="17">
        <v>0.920404185139993</v>
      </c>
      <c r="L63" s="14" t="s">
        <v>261</v>
      </c>
      <c r="M63" s="14">
        <v>9.51109211641194E+48</v>
      </c>
      <c r="N63" t="s">
        <v>262</v>
      </c>
      <c r="O63" s="14">
        <v>9.7410921140115094E+49</v>
      </c>
      <c r="P63" t="s">
        <v>263</v>
      </c>
      <c r="Q63" s="16" t="s">
        <v>23</v>
      </c>
    </row>
    <row r="64" spans="1:17" x14ac:dyDescent="0.3">
      <c r="A64" s="8">
        <v>44280</v>
      </c>
      <c r="B64" s="8" t="s">
        <v>130</v>
      </c>
      <c r="C64" s="15" t="s">
        <v>18</v>
      </c>
      <c r="D64" t="s">
        <v>502</v>
      </c>
      <c r="E64" t="s">
        <v>264</v>
      </c>
      <c r="F64">
        <v>114.52073565662199</v>
      </c>
      <c r="G64">
        <v>1391.3621452851701</v>
      </c>
      <c r="H64">
        <v>226.044873459298</v>
      </c>
      <c r="J64">
        <v>239.61108811598899</v>
      </c>
      <c r="K64" s="17">
        <v>0.86409712561296104</v>
      </c>
      <c r="L64" s="14" t="s">
        <v>265</v>
      </c>
      <c r="M64" s="14">
        <v>1.3011259137113601E+52</v>
      </c>
      <c r="N64" t="s">
        <v>266</v>
      </c>
      <c r="O64" s="14">
        <v>1.2361353138913799E+53</v>
      </c>
      <c r="P64" t="s">
        <v>267</v>
      </c>
      <c r="Q64" s="16" t="s">
        <v>23</v>
      </c>
    </row>
    <row r="65" spans="1:17" x14ac:dyDescent="0.3">
      <c r="A65" s="8">
        <v>44280</v>
      </c>
      <c r="B65" s="8" t="s">
        <v>135</v>
      </c>
      <c r="C65" s="15" t="s">
        <v>18</v>
      </c>
      <c r="D65" t="s">
        <v>502</v>
      </c>
      <c r="E65" t="s">
        <v>268</v>
      </c>
      <c r="F65">
        <v>117.867993239402</v>
      </c>
      <c r="G65">
        <v>1459.8977553751299</v>
      </c>
      <c r="H65">
        <v>229.22723717706199</v>
      </c>
      <c r="J65">
        <v>242.66237802519501</v>
      </c>
      <c r="K65" s="17">
        <v>0.96363616541377894</v>
      </c>
      <c r="L65" s="14" t="s">
        <v>269</v>
      </c>
      <c r="M65" s="14">
        <v>1.24413431487142E+53</v>
      </c>
      <c r="N65" t="s">
        <v>270</v>
      </c>
      <c r="O65" s="14">
        <v>1.2231394145314501E+53</v>
      </c>
      <c r="P65" t="s">
        <v>271</v>
      </c>
      <c r="Q65" s="16" t="s">
        <v>23</v>
      </c>
    </row>
    <row r="66" spans="1:17" x14ac:dyDescent="0.3">
      <c r="A66" s="8">
        <v>44280</v>
      </c>
      <c r="B66" s="8" t="s">
        <v>113</v>
      </c>
      <c r="C66" s="15" t="s">
        <v>18</v>
      </c>
      <c r="D66" t="s">
        <v>502</v>
      </c>
      <c r="E66" t="s">
        <v>272</v>
      </c>
      <c r="F66">
        <v>118.521512154693</v>
      </c>
      <c r="G66">
        <v>1144.3107248174899</v>
      </c>
      <c r="H66">
        <v>236.047333978924</v>
      </c>
      <c r="J66">
        <v>177.789726321849</v>
      </c>
      <c r="K66" s="17">
        <v>0.94400796618055205</v>
      </c>
      <c r="L66" s="14" t="s">
        <v>273</v>
      </c>
      <c r="M66" s="14">
        <v>8.5810031120116903E+48</v>
      </c>
      <c r="N66" t="s">
        <v>274</v>
      </c>
      <c r="O66" s="14">
        <v>8.5910261106113996E+49</v>
      </c>
      <c r="P66" t="s">
        <v>275</v>
      </c>
      <c r="Q66" s="16" t="s">
        <v>23</v>
      </c>
    </row>
    <row r="67" spans="1:17" x14ac:dyDescent="0.3">
      <c r="A67" s="8">
        <v>44280</v>
      </c>
      <c r="B67" s="8" t="s">
        <v>130</v>
      </c>
      <c r="C67" s="15" t="s">
        <v>18</v>
      </c>
      <c r="D67" t="s">
        <v>502</v>
      </c>
      <c r="E67" t="s">
        <v>276</v>
      </c>
      <c r="F67">
        <v>115.441153965678</v>
      </c>
      <c r="G67">
        <v>1385.0735275940101</v>
      </c>
      <c r="H67">
        <v>229.62089107707499</v>
      </c>
      <c r="J67">
        <v>234.531375042462</v>
      </c>
      <c r="K67" s="17">
        <v>0.95232562591159198</v>
      </c>
      <c r="L67" s="14" t="s">
        <v>277</v>
      </c>
      <c r="M67" s="14">
        <v>1.2641268138314E+53</v>
      </c>
      <c r="N67" t="s">
        <v>278</v>
      </c>
      <c r="O67" s="14">
        <v>1.2261344138213799E+53</v>
      </c>
      <c r="P67" t="s">
        <v>279</v>
      </c>
      <c r="Q67" s="16" t="s">
        <v>23</v>
      </c>
    </row>
    <row r="68" spans="1:17" x14ac:dyDescent="0.3">
      <c r="A68" s="8">
        <v>44280</v>
      </c>
      <c r="B68" s="8" t="s">
        <v>135</v>
      </c>
      <c r="C68" s="15" t="s">
        <v>18</v>
      </c>
      <c r="D68" t="s">
        <v>502</v>
      </c>
      <c r="E68" t="s">
        <v>280</v>
      </c>
      <c r="F68">
        <v>119.606972531046</v>
      </c>
      <c r="G68">
        <v>1421.69479817929</v>
      </c>
      <c r="H68">
        <v>230.82921989452399</v>
      </c>
      <c r="J68">
        <v>233.82190784315199</v>
      </c>
      <c r="K68" s="17">
        <v>0.94788229240620403</v>
      </c>
      <c r="L68" s="14" t="s">
        <v>281</v>
      </c>
      <c r="M68" s="14">
        <v>1.2081271140514199E+52</v>
      </c>
      <c r="N68" t="s">
        <v>282</v>
      </c>
      <c r="O68" s="14">
        <v>1.1661340140814199E+53</v>
      </c>
      <c r="P68" t="s">
        <v>283</v>
      </c>
      <c r="Q68" s="16" t="s">
        <v>23</v>
      </c>
    </row>
    <row r="69" spans="1:17" x14ac:dyDescent="0.3">
      <c r="A69" s="8">
        <v>44280</v>
      </c>
      <c r="B69" s="8" t="s">
        <v>113</v>
      </c>
      <c r="C69" s="15" t="s">
        <v>18</v>
      </c>
      <c r="D69" t="s">
        <v>502</v>
      </c>
      <c r="E69" t="s">
        <v>284</v>
      </c>
      <c r="F69">
        <v>114.683756981645</v>
      </c>
      <c r="G69">
        <v>1121.2521675707601</v>
      </c>
      <c r="H69">
        <v>224.16621234709299</v>
      </c>
      <c r="J69">
        <v>189.85062018196899</v>
      </c>
      <c r="K69" s="17">
        <v>0.92124651356995302</v>
      </c>
      <c r="L69" s="14" t="s">
        <v>285</v>
      </c>
      <c r="M69" s="14">
        <v>9.1710301146112098E+48</v>
      </c>
      <c r="N69" t="s">
        <v>286</v>
      </c>
      <c r="O69" s="14">
        <v>9.2710511106112106E+48</v>
      </c>
      <c r="P69" t="s">
        <v>287</v>
      </c>
      <c r="Q69" s="16" t="s">
        <v>23</v>
      </c>
    </row>
    <row r="70" spans="1:17" x14ac:dyDescent="0.3">
      <c r="A70" s="8">
        <v>44327</v>
      </c>
      <c r="B70" t="s">
        <v>53</v>
      </c>
      <c r="C70" s="15" t="s">
        <v>18</v>
      </c>
      <c r="D70" t="s">
        <v>502</v>
      </c>
      <c r="E70" t="s">
        <v>288</v>
      </c>
      <c r="F70">
        <v>130.68791401465299</v>
      </c>
      <c r="G70">
        <v>1822.17759588934</v>
      </c>
      <c r="H70">
        <v>255.84765643570299</v>
      </c>
      <c r="I70">
        <v>3237.8710284725698</v>
      </c>
      <c r="J70">
        <v>278.24419604313402</v>
      </c>
      <c r="K70" s="17">
        <v>0.83299999999999996</v>
      </c>
      <c r="L70" s="14">
        <v>7.91021181311431E+37</v>
      </c>
      <c r="M70" s="14">
        <v>1.5991593183218199E+51</v>
      </c>
      <c r="N70" t="s">
        <v>289</v>
      </c>
      <c r="O70" s="14">
        <v>1.5341730180418199E+51</v>
      </c>
      <c r="P70" t="s">
        <v>290</v>
      </c>
      <c r="Q70" s="16" t="s">
        <v>23</v>
      </c>
    </row>
    <row r="71" spans="1:17" x14ac:dyDescent="0.3">
      <c r="A71" s="8">
        <v>44327</v>
      </c>
      <c r="B71" t="s">
        <v>53</v>
      </c>
      <c r="C71" s="15" t="s">
        <v>18</v>
      </c>
      <c r="D71" t="s">
        <v>502</v>
      </c>
      <c r="E71" t="s">
        <v>291</v>
      </c>
      <c r="F71">
        <v>129.822725575265</v>
      </c>
      <c r="G71">
        <v>1830.90921511908</v>
      </c>
      <c r="H71">
        <v>256.56846277965599</v>
      </c>
      <c r="I71">
        <v>3240.5734619182699</v>
      </c>
      <c r="J71">
        <v>281.76854816581601</v>
      </c>
      <c r="K71" s="17">
        <v>0.90500000000000003</v>
      </c>
      <c r="L71" s="14">
        <v>7.9102119132143105E+37</v>
      </c>
      <c r="M71" s="14">
        <v>1.61416751852185E+51</v>
      </c>
      <c r="N71" t="s">
        <v>292</v>
      </c>
      <c r="O71" s="14">
        <v>1.58617571819183E+51</v>
      </c>
      <c r="P71" t="s">
        <v>293</v>
      </c>
      <c r="Q71" s="16" t="s">
        <v>23</v>
      </c>
    </row>
    <row r="72" spans="1:17" x14ac:dyDescent="0.3">
      <c r="A72" s="8">
        <v>44327</v>
      </c>
      <c r="B72" t="s">
        <v>130</v>
      </c>
      <c r="C72" s="15" t="s">
        <v>18</v>
      </c>
      <c r="D72" t="s">
        <v>502</v>
      </c>
      <c r="E72" t="s">
        <v>294</v>
      </c>
      <c r="F72">
        <v>120.025542494383</v>
      </c>
      <c r="G72">
        <v>1429.39883159335</v>
      </c>
      <c r="H72">
        <v>237.57479772935901</v>
      </c>
      <c r="I72">
        <v>2360.1931520547701</v>
      </c>
      <c r="J72">
        <v>234.85787693351801</v>
      </c>
      <c r="K72" s="17">
        <v>0.94499999999999995</v>
      </c>
      <c r="L72" t="s">
        <v>295</v>
      </c>
      <c r="M72" s="14">
        <v>1.3041308139114201E+55</v>
      </c>
      <c r="N72" t="s">
        <v>296</v>
      </c>
      <c r="O72" s="14">
        <v>1.2501376142114199E+55</v>
      </c>
      <c r="P72" t="s">
        <v>297</v>
      </c>
      <c r="Q72" s="16" t="s">
        <v>23</v>
      </c>
    </row>
    <row r="73" spans="1:17" x14ac:dyDescent="0.3">
      <c r="A73" s="8">
        <v>44327</v>
      </c>
      <c r="B73" t="s">
        <v>53</v>
      </c>
      <c r="C73" s="15" t="s">
        <v>18</v>
      </c>
      <c r="D73" t="s">
        <v>502</v>
      </c>
      <c r="E73" t="s">
        <v>298</v>
      </c>
      <c r="F73">
        <v>128.500605915699</v>
      </c>
      <c r="G73">
        <v>1801.5512488074401</v>
      </c>
      <c r="H73">
        <v>253.33832079244399</v>
      </c>
      <c r="I73">
        <v>3170.1958617325799</v>
      </c>
      <c r="J73">
        <v>279.51695900073599</v>
      </c>
      <c r="K73" s="17">
        <v>0.78100000000000003</v>
      </c>
      <c r="L73" s="14">
        <v>7.91021181311431E+37</v>
      </c>
      <c r="M73" s="14">
        <v>1.5831626182318E+51</v>
      </c>
      <c r="N73" t="s">
        <v>299</v>
      </c>
      <c r="O73" s="14">
        <v>1.5531727179018001E+51</v>
      </c>
      <c r="P73" t="s">
        <v>300</v>
      </c>
      <c r="Q73" s="16" t="s">
        <v>23</v>
      </c>
    </row>
    <row r="74" spans="1:17" x14ac:dyDescent="0.3">
      <c r="A74" s="8">
        <v>44327</v>
      </c>
      <c r="B74" t="s">
        <v>130</v>
      </c>
      <c r="C74" s="15" t="s">
        <v>18</v>
      </c>
      <c r="D74" t="s">
        <v>502</v>
      </c>
      <c r="E74" t="s">
        <v>301</v>
      </c>
      <c r="F74">
        <v>121.27998490968</v>
      </c>
      <c r="G74">
        <v>1476.7786993048701</v>
      </c>
      <c r="H74">
        <v>237.82625675122699</v>
      </c>
      <c r="I74">
        <v>2440.9035729004199</v>
      </c>
      <c r="J74">
        <v>236.974081579471</v>
      </c>
      <c r="K74" s="17">
        <v>0.92600000000000005</v>
      </c>
      <c r="L74" t="s">
        <v>302</v>
      </c>
      <c r="M74" s="14">
        <v>1.3001279146614699E+54</v>
      </c>
      <c r="N74" t="s">
        <v>303</v>
      </c>
      <c r="O74" s="14">
        <v>1.23313981462147E+55</v>
      </c>
      <c r="P74" t="s">
        <v>304</v>
      </c>
      <c r="Q74" s="16" t="s">
        <v>23</v>
      </c>
    </row>
    <row r="75" spans="1:17" x14ac:dyDescent="0.3">
      <c r="A75" s="8">
        <v>44327</v>
      </c>
      <c r="B75" t="s">
        <v>67</v>
      </c>
      <c r="C75" s="15" t="s">
        <v>18</v>
      </c>
      <c r="D75" t="s">
        <v>502</v>
      </c>
      <c r="E75" t="s">
        <v>305</v>
      </c>
      <c r="F75">
        <v>118.54142547273599</v>
      </c>
      <c r="G75">
        <v>1776.9245405424899</v>
      </c>
      <c r="H75">
        <v>235.990933823695</v>
      </c>
      <c r="I75">
        <v>3020.5190176982001</v>
      </c>
      <c r="J75">
        <v>296.58631833299398</v>
      </c>
      <c r="K75" s="17">
        <v>0.94699999999999995</v>
      </c>
      <c r="L75" s="14">
        <v>8.0102119132143101E+40</v>
      </c>
      <c r="M75" s="14">
        <v>1.60016881850175E+55</v>
      </c>
      <c r="N75" t="s">
        <v>306</v>
      </c>
      <c r="O75" s="14">
        <v>1.5991743177717501E+55</v>
      </c>
      <c r="P75" t="s">
        <v>307</v>
      </c>
      <c r="Q75" s="16" t="s">
        <v>23</v>
      </c>
    </row>
    <row r="76" spans="1:17" x14ac:dyDescent="0.3">
      <c r="A76" s="8">
        <v>44327</v>
      </c>
      <c r="B76" t="s">
        <v>67</v>
      </c>
      <c r="C76" s="15" t="s">
        <v>18</v>
      </c>
      <c r="D76" t="s">
        <v>502</v>
      </c>
      <c r="E76" t="s">
        <v>308</v>
      </c>
      <c r="F76">
        <v>118.79603927060001</v>
      </c>
      <c r="G76">
        <v>1753.97378476885</v>
      </c>
      <c r="H76">
        <v>235.560599477431</v>
      </c>
      <c r="I76">
        <v>2996.60004283529</v>
      </c>
      <c r="J76">
        <v>291.75994395442001</v>
      </c>
      <c r="K76" s="17">
        <v>0.86499999999999999</v>
      </c>
      <c r="L76" s="14">
        <v>7.9101118131142098E+43</v>
      </c>
      <c r="M76" s="14">
        <v>1.5951623181817499E+57</v>
      </c>
      <c r="N76" t="s">
        <v>309</v>
      </c>
      <c r="O76" s="14">
        <v>1.56317161754173E+59</v>
      </c>
      <c r="P76" t="s">
        <v>310</v>
      </c>
      <c r="Q76" s="16" t="s">
        <v>23</v>
      </c>
    </row>
    <row r="77" spans="1:17" x14ac:dyDescent="0.3">
      <c r="A77" s="8">
        <v>44348</v>
      </c>
      <c r="B77" t="s">
        <v>311</v>
      </c>
      <c r="C77" s="15" t="s">
        <v>18</v>
      </c>
      <c r="D77" t="s">
        <v>502</v>
      </c>
      <c r="E77" t="s">
        <v>312</v>
      </c>
      <c r="F77">
        <v>120.15182952218601</v>
      </c>
      <c r="G77">
        <v>1302.5396547801699</v>
      </c>
      <c r="H77">
        <v>232.345004091965</v>
      </c>
      <c r="I77">
        <v>2066.7632845951798</v>
      </c>
      <c r="J77">
        <v>212.09793520109599</v>
      </c>
      <c r="K77" s="17">
        <v>0.92100000000000004</v>
      </c>
      <c r="L77" t="s">
        <v>313</v>
      </c>
      <c r="M77" s="14">
        <v>1.10011551225129E+52</v>
      </c>
      <c r="N77" t="s">
        <v>314</v>
      </c>
      <c r="O77" s="14">
        <v>1.0461209127912999E+52</v>
      </c>
      <c r="P77" t="s">
        <v>315</v>
      </c>
      <c r="Q77" s="16" t="s">
        <v>23</v>
      </c>
    </row>
    <row r="78" spans="1:17" x14ac:dyDescent="0.3">
      <c r="A78" s="8">
        <v>44348</v>
      </c>
      <c r="B78" t="s">
        <v>135</v>
      </c>
      <c r="C78" s="15" t="s">
        <v>18</v>
      </c>
      <c r="D78" t="s">
        <v>502</v>
      </c>
      <c r="E78" t="s">
        <v>316</v>
      </c>
      <c r="F78">
        <v>118.14238793389499</v>
      </c>
      <c r="G78">
        <v>1458.0827176813</v>
      </c>
      <c r="H78">
        <v>227.80455111709401</v>
      </c>
      <c r="I78">
        <v>2296.0719763241</v>
      </c>
      <c r="J78">
        <v>243.03993375244301</v>
      </c>
      <c r="K78" s="17">
        <v>0.97199999999999998</v>
      </c>
      <c r="L78" t="s">
        <v>317</v>
      </c>
      <c r="M78" s="14">
        <v>1.2471328145314199E+52</v>
      </c>
      <c r="N78" t="s">
        <v>318</v>
      </c>
      <c r="O78" s="14">
        <v>1.20913871450145E+53</v>
      </c>
      <c r="P78" t="s">
        <v>319</v>
      </c>
      <c r="Q78" s="16" t="s">
        <v>23</v>
      </c>
    </row>
    <row r="79" spans="1:17" x14ac:dyDescent="0.3">
      <c r="A79" s="8">
        <v>44348</v>
      </c>
      <c r="B79" t="s">
        <v>320</v>
      </c>
      <c r="C79" s="15" t="s">
        <v>18</v>
      </c>
      <c r="D79" t="s">
        <v>502</v>
      </c>
      <c r="E79" t="s">
        <v>321</v>
      </c>
      <c r="F79">
        <v>120.305064045612</v>
      </c>
      <c r="G79">
        <v>1797.6772755019899</v>
      </c>
      <c r="H79">
        <v>239.045229133204</v>
      </c>
      <c r="I79">
        <v>3053.03247521205</v>
      </c>
      <c r="J79">
        <v>292.96007239449301</v>
      </c>
      <c r="K79" s="17">
        <v>0.84</v>
      </c>
      <c r="L79" s="14">
        <v>7.8101118132143102E+43</v>
      </c>
      <c r="M79" s="14">
        <v>1.50417681957178E+59</v>
      </c>
      <c r="N79" t="s">
        <v>322</v>
      </c>
      <c r="O79" s="14">
        <v>1.5801753179717799E+59</v>
      </c>
      <c r="P79" t="s">
        <v>323</v>
      </c>
      <c r="Q79" s="16" t="s">
        <v>23</v>
      </c>
    </row>
    <row r="80" spans="1:17" x14ac:dyDescent="0.3">
      <c r="A80" s="8">
        <v>44348</v>
      </c>
      <c r="B80" t="s">
        <v>324</v>
      </c>
      <c r="C80" s="15" t="s">
        <v>18</v>
      </c>
      <c r="D80" t="s">
        <v>502</v>
      </c>
      <c r="E80" t="s">
        <v>325</v>
      </c>
      <c r="F80">
        <v>129.90445483176799</v>
      </c>
      <c r="G80">
        <v>1768.21449556065</v>
      </c>
      <c r="H80">
        <v>255.55575382169201</v>
      </c>
      <c r="I80">
        <v>3093.1677127682301</v>
      </c>
      <c r="J80">
        <v>270.61771044313599</v>
      </c>
      <c r="K80" s="17">
        <v>0.89</v>
      </c>
      <c r="L80" s="14">
        <v>7.9101117130141098E+40</v>
      </c>
      <c r="M80" s="14">
        <v>1.54616091731176E+55</v>
      </c>
      <c r="N80" t="s">
        <v>326</v>
      </c>
      <c r="O80" s="14">
        <v>1.4971681175117601E+55</v>
      </c>
      <c r="P80" t="s">
        <v>327</v>
      </c>
      <c r="Q80" s="16" t="s">
        <v>23</v>
      </c>
    </row>
    <row r="81" spans="1:17" x14ac:dyDescent="0.3">
      <c r="A81" s="8">
        <v>44348</v>
      </c>
      <c r="B81" t="s">
        <v>311</v>
      </c>
      <c r="C81" s="15" t="s">
        <v>18</v>
      </c>
      <c r="D81" t="s">
        <v>502</v>
      </c>
      <c r="E81" t="s">
        <v>328</v>
      </c>
      <c r="F81">
        <v>121.95184445827201</v>
      </c>
      <c r="G81">
        <v>1245.68213273424</v>
      </c>
      <c r="H81">
        <v>239.05181589525299</v>
      </c>
      <c r="I81">
        <v>2041.12458969248</v>
      </c>
      <c r="J81">
        <v>195.87159352763001</v>
      </c>
      <c r="K81" s="17">
        <v>0.94399999999999995</v>
      </c>
      <c r="L81" t="s">
        <v>329</v>
      </c>
      <c r="M81" s="14">
        <v>1.01310951175123E+52</v>
      </c>
      <c r="N81" t="s">
        <v>330</v>
      </c>
      <c r="O81" s="14">
        <v>9.7511351211124196E+51</v>
      </c>
      <c r="P81" t="s">
        <v>331</v>
      </c>
      <c r="Q81" s="16" t="s">
        <v>23</v>
      </c>
    </row>
    <row r="82" spans="1:17" x14ac:dyDescent="0.3">
      <c r="A82" s="8">
        <v>44348</v>
      </c>
      <c r="B82" t="s">
        <v>332</v>
      </c>
      <c r="C82" s="15" t="s">
        <v>18</v>
      </c>
      <c r="D82" t="s">
        <v>502</v>
      </c>
      <c r="E82" t="s">
        <v>333</v>
      </c>
      <c r="F82">
        <v>127.761312096626</v>
      </c>
      <c r="G82">
        <v>1743.50799447592</v>
      </c>
      <c r="H82">
        <v>260.59865344471001</v>
      </c>
      <c r="I82">
        <v>3035.3616592389799</v>
      </c>
      <c r="J82">
        <v>257.48770600440298</v>
      </c>
      <c r="K82" s="17">
        <v>0.77200000000000002</v>
      </c>
      <c r="L82" t="s">
        <v>334</v>
      </c>
      <c r="M82" s="14">
        <v>1.43016801787183E+55</v>
      </c>
      <c r="N82" t="s">
        <v>335</v>
      </c>
      <c r="O82" s="14">
        <v>1.4801659172717401E+55</v>
      </c>
      <c r="P82" t="s">
        <v>336</v>
      </c>
      <c r="Q82" s="16" t="s">
        <v>23</v>
      </c>
    </row>
    <row r="83" spans="1:17" x14ac:dyDescent="0.3">
      <c r="A83" s="8">
        <v>44348</v>
      </c>
      <c r="B83" t="s">
        <v>135</v>
      </c>
      <c r="C83" s="15" t="s">
        <v>18</v>
      </c>
      <c r="D83" t="s">
        <v>502</v>
      </c>
      <c r="E83" t="s">
        <v>337</v>
      </c>
      <c r="F83">
        <v>115.02929738308001</v>
      </c>
      <c r="G83">
        <v>1417.8149321430701</v>
      </c>
      <c r="H83">
        <v>222.13308657101999</v>
      </c>
      <c r="I83">
        <v>2286.6604623683502</v>
      </c>
      <c r="J83">
        <v>242.48106929769099</v>
      </c>
      <c r="K83" s="17">
        <v>0.96099999999999997</v>
      </c>
      <c r="L83" t="s">
        <v>338</v>
      </c>
      <c r="M83" s="14">
        <v>1.2231291146113999E+52</v>
      </c>
      <c r="N83" t="s">
        <v>339</v>
      </c>
      <c r="O83" s="14">
        <v>1.19513601414141E+52</v>
      </c>
      <c r="P83" t="s">
        <v>340</v>
      </c>
      <c r="Q83" s="16" t="s">
        <v>23</v>
      </c>
    </row>
    <row r="84" spans="1:17" x14ac:dyDescent="0.3">
      <c r="A84" s="8">
        <v>44348</v>
      </c>
      <c r="B84" t="s">
        <v>341</v>
      </c>
      <c r="C84" s="15" t="s">
        <v>18</v>
      </c>
      <c r="D84" t="s">
        <v>502</v>
      </c>
      <c r="E84" t="s">
        <v>342</v>
      </c>
      <c r="F84">
        <v>129.577595297622</v>
      </c>
      <c r="G84">
        <v>2019.2640551156301</v>
      </c>
      <c r="H84">
        <v>260.476412096454</v>
      </c>
      <c r="I84">
        <v>3366.8605189832001</v>
      </c>
      <c r="J84">
        <v>288.13001198236498</v>
      </c>
      <c r="K84" s="17">
        <v>0.88400000000000001</v>
      </c>
      <c r="L84" t="s">
        <v>343</v>
      </c>
      <c r="M84" s="14">
        <v>1.5251982193920901E+47</v>
      </c>
      <c r="N84" t="s">
        <v>344</v>
      </c>
      <c r="O84" s="14">
        <v>1.56818912001201E+47</v>
      </c>
      <c r="P84" t="s">
        <v>345</v>
      </c>
      <c r="Q84" s="16" t="s">
        <v>23</v>
      </c>
    </row>
    <row r="85" spans="1:17" x14ac:dyDescent="0.3">
      <c r="A85" s="8">
        <v>44348</v>
      </c>
      <c r="B85" t="s">
        <v>320</v>
      </c>
      <c r="C85" s="15" t="s">
        <v>18</v>
      </c>
      <c r="D85" t="s">
        <v>502</v>
      </c>
      <c r="E85" t="s">
        <v>346</v>
      </c>
      <c r="F85">
        <v>120.32126415494901</v>
      </c>
      <c r="G85">
        <v>1776.4962945873499</v>
      </c>
      <c r="H85">
        <v>240.38643487168201</v>
      </c>
      <c r="I85">
        <v>3072.39704872629</v>
      </c>
      <c r="J85">
        <v>290.38137295134101</v>
      </c>
      <c r="K85" s="17">
        <v>0.82099999999999995</v>
      </c>
      <c r="L85" s="14">
        <v>7.9101118132142097E+40</v>
      </c>
      <c r="M85" s="14">
        <v>1.55517141904178E+55</v>
      </c>
      <c r="N85" t="s">
        <v>347</v>
      </c>
      <c r="O85" s="14">
        <v>1.58317371776176E+55</v>
      </c>
      <c r="P85" t="s">
        <v>348</v>
      </c>
      <c r="Q85" s="16" t="s">
        <v>23</v>
      </c>
    </row>
    <row r="86" spans="1:17" x14ac:dyDescent="0.3">
      <c r="A86" s="8">
        <v>44348</v>
      </c>
      <c r="B86" t="s">
        <v>324</v>
      </c>
      <c r="C86" s="15" t="s">
        <v>18</v>
      </c>
      <c r="D86" t="s">
        <v>502</v>
      </c>
      <c r="E86" t="s">
        <v>349</v>
      </c>
      <c r="F86">
        <v>127.003700603502</v>
      </c>
      <c r="G86">
        <v>1774.7479306724399</v>
      </c>
      <c r="H86">
        <v>253.173310083768</v>
      </c>
      <c r="I86">
        <v>3074.6109385596401</v>
      </c>
      <c r="J86">
        <v>277.57229526965102</v>
      </c>
      <c r="K86" s="17">
        <v>0.92700000000000005</v>
      </c>
      <c r="L86" s="14">
        <v>7.9102118131142099E+37</v>
      </c>
      <c r="M86" s="14">
        <v>1.5981651175818301E+51</v>
      </c>
      <c r="N86" t="s">
        <v>350</v>
      </c>
      <c r="O86" s="14">
        <v>1.57117181767177E+51</v>
      </c>
      <c r="P86" t="s">
        <v>351</v>
      </c>
      <c r="Q86" s="16" t="s">
        <v>23</v>
      </c>
    </row>
    <row r="87" spans="1:17" x14ac:dyDescent="0.3">
      <c r="A87" s="8">
        <v>44348</v>
      </c>
      <c r="B87" t="s">
        <v>311</v>
      </c>
      <c r="C87" s="15" t="s">
        <v>18</v>
      </c>
      <c r="D87" t="s">
        <v>502</v>
      </c>
      <c r="E87" t="s">
        <v>352</v>
      </c>
      <c r="F87">
        <v>121.72858297205499</v>
      </c>
      <c r="G87">
        <v>1149.8440945923601</v>
      </c>
      <c r="H87">
        <v>243.43470392583501</v>
      </c>
      <c r="I87">
        <v>1788.4261768184499</v>
      </c>
      <c r="J87">
        <v>180.09893130565001</v>
      </c>
      <c r="K87" s="17">
        <v>0.93799999999999994</v>
      </c>
      <c r="L87" t="s">
        <v>353</v>
      </c>
      <c r="M87" s="14">
        <v>9.4410731085115701E+51</v>
      </c>
      <c r="N87" t="s">
        <v>354</v>
      </c>
      <c r="O87" s="14">
        <v>9.4410641120114404E+51</v>
      </c>
      <c r="P87" t="s">
        <v>355</v>
      </c>
      <c r="Q87" s="16" t="s">
        <v>23</v>
      </c>
    </row>
    <row r="88" spans="1:17" x14ac:dyDescent="0.3">
      <c r="A88" s="8">
        <v>44348</v>
      </c>
      <c r="B88" t="s">
        <v>332</v>
      </c>
      <c r="C88" s="15" t="s">
        <v>18</v>
      </c>
      <c r="D88" t="s">
        <v>502</v>
      </c>
      <c r="E88" t="s">
        <v>356</v>
      </c>
      <c r="F88">
        <v>126.813951238195</v>
      </c>
      <c r="G88">
        <v>1732.3570661638601</v>
      </c>
      <c r="H88">
        <v>249.969222666121</v>
      </c>
      <c r="I88">
        <v>2984.9974378260699</v>
      </c>
      <c r="J88">
        <v>270.43523815641601</v>
      </c>
      <c r="K88" s="17">
        <v>0.95399999999999996</v>
      </c>
      <c r="L88" s="14">
        <v>7.8100117130141104E+40</v>
      </c>
      <c r="M88" s="14">
        <v>1.4641637176917401E+55</v>
      </c>
      <c r="N88" t="s">
        <v>357</v>
      </c>
      <c r="O88" s="14">
        <v>1.4791655172117301E+55</v>
      </c>
      <c r="P88" t="s">
        <v>358</v>
      </c>
      <c r="Q88" s="16" t="s">
        <v>23</v>
      </c>
    </row>
    <row r="89" spans="1:17" x14ac:dyDescent="0.3">
      <c r="A89" s="8">
        <v>44348</v>
      </c>
      <c r="B89" t="s">
        <v>341</v>
      </c>
      <c r="C89" s="15" t="s">
        <v>18</v>
      </c>
      <c r="D89" t="s">
        <v>502</v>
      </c>
      <c r="E89" t="s">
        <v>359</v>
      </c>
      <c r="F89">
        <v>127.228664231971</v>
      </c>
      <c r="G89">
        <v>1943.11088804113</v>
      </c>
      <c r="H89">
        <v>247.909278646372</v>
      </c>
      <c r="I89">
        <v>3298.8646933906598</v>
      </c>
      <c r="J89">
        <v>301.72607199908299</v>
      </c>
      <c r="K89" s="17">
        <v>0.96799999999999997</v>
      </c>
      <c r="L89" s="14">
        <v>7.9103120134145103E+37</v>
      </c>
      <c r="M89" s="14">
        <v>1.6171847192119701E+51</v>
      </c>
      <c r="N89" t="s">
        <v>360</v>
      </c>
      <c r="O89" s="14">
        <v>1.6161859193519299E+51</v>
      </c>
      <c r="P89" t="s">
        <v>361</v>
      </c>
      <c r="Q89" s="16" t="s">
        <v>23</v>
      </c>
    </row>
    <row r="90" spans="1:17" x14ac:dyDescent="0.3">
      <c r="A90" s="8">
        <v>44461</v>
      </c>
      <c r="B90" t="s">
        <v>130</v>
      </c>
      <c r="C90" s="15" t="s">
        <v>18</v>
      </c>
      <c r="D90" t="s">
        <v>502</v>
      </c>
      <c r="E90" t="s">
        <v>362</v>
      </c>
      <c r="F90">
        <v>122.98420822913501</v>
      </c>
      <c r="G90">
        <v>1400.13137600696</v>
      </c>
      <c r="H90">
        <v>240.331503037396</v>
      </c>
      <c r="I90">
        <v>2311.0423506639199</v>
      </c>
      <c r="J90">
        <v>222.28788561233901</v>
      </c>
      <c r="K90" s="17">
        <v>0.93700000000000006</v>
      </c>
      <c r="L90" t="s">
        <v>363</v>
      </c>
      <c r="M90" s="14">
        <v>1.19012141385141E+54</v>
      </c>
      <c r="N90" t="s">
        <v>364</v>
      </c>
      <c r="O90" s="14">
        <v>1.1451306137713999E+54</v>
      </c>
      <c r="P90" t="s">
        <v>365</v>
      </c>
      <c r="Q90" s="16" t="s">
        <v>23</v>
      </c>
    </row>
    <row r="91" spans="1:17" x14ac:dyDescent="0.3">
      <c r="A91" s="8">
        <v>44461</v>
      </c>
      <c r="B91" t="s">
        <v>130</v>
      </c>
      <c r="C91" s="15" t="s">
        <v>18</v>
      </c>
      <c r="D91" t="s">
        <v>503</v>
      </c>
      <c r="E91" t="s">
        <v>366</v>
      </c>
      <c r="F91">
        <v>112.70637753890399</v>
      </c>
      <c r="G91">
        <v>1585.3179120903901</v>
      </c>
      <c r="H91">
        <v>224.76109566177601</v>
      </c>
      <c r="I91">
        <v>2683.9617714210799</v>
      </c>
      <c r="J91">
        <v>276.01441273338702</v>
      </c>
      <c r="K91" s="17">
        <v>0.97899999999999998</v>
      </c>
      <c r="L91" t="s">
        <v>367</v>
      </c>
      <c r="M91" s="14">
        <v>1.44615131646155E+54</v>
      </c>
      <c r="N91" t="s">
        <v>368</v>
      </c>
      <c r="O91" s="14">
        <v>1.44015631585155E+53</v>
      </c>
      <c r="P91" t="s">
        <v>369</v>
      </c>
      <c r="Q91" s="16" t="s">
        <v>23</v>
      </c>
    </row>
    <row r="92" spans="1:17" x14ac:dyDescent="0.3">
      <c r="A92" s="8">
        <v>44461</v>
      </c>
      <c r="B92" t="s">
        <v>130</v>
      </c>
      <c r="C92" s="15" t="s">
        <v>18</v>
      </c>
      <c r="D92" t="s">
        <v>502</v>
      </c>
      <c r="E92" t="s">
        <v>370</v>
      </c>
      <c r="F92">
        <v>119.299504050639</v>
      </c>
      <c r="G92">
        <v>1367.31323921536</v>
      </c>
      <c r="H92">
        <v>235.548168261261</v>
      </c>
      <c r="I92">
        <v>2207.4057746660801</v>
      </c>
      <c r="J92">
        <v>222.94923802313801</v>
      </c>
      <c r="K92" s="17">
        <v>0.96099999999999997</v>
      </c>
      <c r="L92" t="s">
        <v>371</v>
      </c>
      <c r="M92" s="14">
        <v>1.20612271350136E+53</v>
      </c>
      <c r="N92" t="s">
        <v>372</v>
      </c>
      <c r="O92" s="14">
        <v>1.1611299135513601E+54</v>
      </c>
      <c r="P92" t="s">
        <v>373</v>
      </c>
      <c r="Q92" s="16" t="s">
        <v>23</v>
      </c>
    </row>
    <row r="93" spans="1:17" x14ac:dyDescent="0.3">
      <c r="A93" s="8">
        <v>45196</v>
      </c>
      <c r="B93" t="s">
        <v>320</v>
      </c>
      <c r="C93" s="15" t="s">
        <v>18</v>
      </c>
      <c r="D93" t="s">
        <v>502</v>
      </c>
      <c r="F93">
        <v>123</v>
      </c>
      <c r="G93">
        <v>1982</v>
      </c>
      <c r="H93">
        <v>237</v>
      </c>
      <c r="J93">
        <v>321</v>
      </c>
      <c r="K93" s="17">
        <v>0.93</v>
      </c>
      <c r="L93" s="14"/>
      <c r="M93" s="14"/>
      <c r="O93" s="14"/>
    </row>
    <row r="94" spans="1:17" x14ac:dyDescent="0.3">
      <c r="A94" s="8">
        <v>45196</v>
      </c>
      <c r="B94" t="s">
        <v>470</v>
      </c>
      <c r="C94" s="15" t="s">
        <v>18</v>
      </c>
      <c r="D94" t="s">
        <v>502</v>
      </c>
      <c r="F94">
        <v>121</v>
      </c>
      <c r="G94">
        <v>1263</v>
      </c>
      <c r="H94">
        <v>240</v>
      </c>
      <c r="J94">
        <v>204</v>
      </c>
      <c r="K94" s="17">
        <v>0.83</v>
      </c>
      <c r="L94" s="14"/>
      <c r="M94" s="14"/>
      <c r="O94" s="14"/>
    </row>
    <row r="95" spans="1:17" x14ac:dyDescent="0.3">
      <c r="A95" s="8">
        <v>45196</v>
      </c>
      <c r="B95" t="s">
        <v>83</v>
      </c>
      <c r="C95" s="15" t="s">
        <v>18</v>
      </c>
      <c r="D95" t="s">
        <v>502</v>
      </c>
      <c r="F95">
        <v>116</v>
      </c>
      <c r="G95">
        <v>1265</v>
      </c>
      <c r="H95">
        <v>230</v>
      </c>
      <c r="J95">
        <v>212</v>
      </c>
      <c r="K95" s="17">
        <v>0.95</v>
      </c>
      <c r="L95" s="14"/>
      <c r="M95" s="14"/>
      <c r="O95" s="14"/>
    </row>
    <row r="96" spans="1:17" x14ac:dyDescent="0.3">
      <c r="A96" s="8">
        <v>45196</v>
      </c>
      <c r="B96" t="s">
        <v>324</v>
      </c>
      <c r="C96" s="15" t="s">
        <v>18</v>
      </c>
      <c r="D96" t="s">
        <v>502</v>
      </c>
      <c r="F96">
        <v>127</v>
      </c>
      <c r="G96">
        <v>1870</v>
      </c>
      <c r="H96">
        <v>245</v>
      </c>
      <c r="J96">
        <v>292</v>
      </c>
      <c r="K96" s="17">
        <v>0.95</v>
      </c>
      <c r="L96" s="14"/>
      <c r="M96" s="14"/>
      <c r="O96" s="14"/>
    </row>
    <row r="97" spans="1:15" x14ac:dyDescent="0.3">
      <c r="A97" s="8">
        <v>45196</v>
      </c>
      <c r="B97" t="s">
        <v>320</v>
      </c>
      <c r="C97" s="15" t="s">
        <v>18</v>
      </c>
      <c r="D97" t="s">
        <v>503</v>
      </c>
      <c r="F97">
        <v>118</v>
      </c>
      <c r="G97">
        <v>2117</v>
      </c>
      <c r="H97">
        <v>245</v>
      </c>
      <c r="J97">
        <v>326</v>
      </c>
      <c r="K97" s="17">
        <v>0.88</v>
      </c>
      <c r="L97" s="14"/>
      <c r="M97" s="14"/>
      <c r="O97" s="14"/>
    </row>
    <row r="98" spans="1:15" x14ac:dyDescent="0.3">
      <c r="A98" s="8">
        <v>45196</v>
      </c>
      <c r="B98" t="s">
        <v>470</v>
      </c>
      <c r="C98" s="15" t="s">
        <v>18</v>
      </c>
      <c r="D98" t="s">
        <v>503</v>
      </c>
      <c r="F98">
        <v>118</v>
      </c>
      <c r="G98">
        <v>1381</v>
      </c>
      <c r="H98">
        <v>237</v>
      </c>
      <c r="J98">
        <v>231</v>
      </c>
      <c r="K98" s="17">
        <v>0.89</v>
      </c>
      <c r="L98" s="14"/>
      <c r="M98" s="14"/>
      <c r="O98" s="14"/>
    </row>
    <row r="99" spans="1:15" x14ac:dyDescent="0.3">
      <c r="A99" s="8">
        <v>45196</v>
      </c>
      <c r="B99" t="s">
        <v>83</v>
      </c>
      <c r="C99" s="15" t="s">
        <v>18</v>
      </c>
      <c r="D99" t="s">
        <v>503</v>
      </c>
      <c r="F99">
        <v>109</v>
      </c>
      <c r="G99">
        <v>1381</v>
      </c>
      <c r="H99">
        <v>227</v>
      </c>
      <c r="J99">
        <v>242</v>
      </c>
      <c r="K99" s="17">
        <v>0.94</v>
      </c>
      <c r="L99" s="14"/>
      <c r="M99" s="14"/>
      <c r="O99" s="14"/>
    </row>
    <row r="100" spans="1:15" x14ac:dyDescent="0.3">
      <c r="A100" s="8">
        <v>45196</v>
      </c>
      <c r="B100" t="s">
        <v>324</v>
      </c>
      <c r="C100" s="15" t="s">
        <v>18</v>
      </c>
      <c r="D100" t="s">
        <v>503</v>
      </c>
      <c r="F100">
        <v>127</v>
      </c>
      <c r="G100">
        <v>2054</v>
      </c>
      <c r="H100">
        <v>241</v>
      </c>
      <c r="J100">
        <v>323</v>
      </c>
      <c r="K100" s="17">
        <v>0.79</v>
      </c>
      <c r="L100" s="14"/>
      <c r="M100" s="14"/>
      <c r="O100" s="14"/>
    </row>
    <row r="101" spans="1:15" x14ac:dyDescent="0.3">
      <c r="A101" s="8">
        <v>45196</v>
      </c>
      <c r="B101" t="s">
        <v>311</v>
      </c>
      <c r="C101" s="15" t="s">
        <v>18</v>
      </c>
      <c r="D101" t="s">
        <v>502</v>
      </c>
      <c r="F101">
        <v>120</v>
      </c>
      <c r="G101">
        <v>1283</v>
      </c>
      <c r="H101">
        <v>238</v>
      </c>
      <c r="J101">
        <v>202</v>
      </c>
      <c r="K101" s="17">
        <v>0.85</v>
      </c>
      <c r="L101" s="14"/>
      <c r="M101" s="14"/>
      <c r="O101" s="14"/>
    </row>
    <row r="102" spans="1:15" x14ac:dyDescent="0.3">
      <c r="A102" s="8">
        <v>45196</v>
      </c>
      <c r="B102" t="s">
        <v>320</v>
      </c>
      <c r="C102" s="15" t="s">
        <v>18</v>
      </c>
      <c r="D102" t="s">
        <v>503</v>
      </c>
      <c r="F102">
        <v>115</v>
      </c>
      <c r="G102">
        <v>2139</v>
      </c>
      <c r="H102">
        <v>238</v>
      </c>
      <c r="J102">
        <v>338</v>
      </c>
      <c r="K102" s="17">
        <v>0.89</v>
      </c>
      <c r="L102" s="14"/>
      <c r="M102" s="14"/>
      <c r="O102" s="14"/>
    </row>
    <row r="103" spans="1:15" x14ac:dyDescent="0.3">
      <c r="A103" s="8">
        <v>45196</v>
      </c>
      <c r="B103" t="s">
        <v>470</v>
      </c>
      <c r="C103" s="15" t="s">
        <v>18</v>
      </c>
      <c r="D103" t="s">
        <v>503</v>
      </c>
      <c r="F103">
        <v>122</v>
      </c>
      <c r="G103">
        <v>1377</v>
      </c>
      <c r="H103">
        <v>240</v>
      </c>
      <c r="J103">
        <v>223</v>
      </c>
      <c r="K103" s="17">
        <v>0.93</v>
      </c>
      <c r="L103" s="14"/>
      <c r="M103" s="14"/>
      <c r="O103" s="14"/>
    </row>
    <row r="104" spans="1:15" x14ac:dyDescent="0.3">
      <c r="A104" s="8">
        <v>45196</v>
      </c>
      <c r="B104" t="s">
        <v>83</v>
      </c>
      <c r="C104" s="15" t="s">
        <v>18</v>
      </c>
      <c r="D104" t="s">
        <v>503</v>
      </c>
      <c r="F104">
        <v>113</v>
      </c>
      <c r="G104">
        <v>1329</v>
      </c>
      <c r="H104">
        <v>228</v>
      </c>
      <c r="J104">
        <v>229</v>
      </c>
      <c r="K104" s="17">
        <v>0.93</v>
      </c>
      <c r="L104" s="14"/>
      <c r="M104" s="14"/>
      <c r="O104" s="14"/>
    </row>
    <row r="105" spans="1:15" x14ac:dyDescent="0.3">
      <c r="A105" s="8">
        <v>45196</v>
      </c>
      <c r="B105" t="s">
        <v>324</v>
      </c>
      <c r="C105" s="15" t="s">
        <v>18</v>
      </c>
      <c r="D105" t="s">
        <v>503</v>
      </c>
      <c r="F105">
        <v>124</v>
      </c>
      <c r="G105">
        <v>1987</v>
      </c>
      <c r="H105">
        <v>241</v>
      </c>
      <c r="J105">
        <v>319</v>
      </c>
      <c r="K105" s="17">
        <v>0.8</v>
      </c>
      <c r="L105" s="14"/>
      <c r="M105" s="14"/>
      <c r="O105" s="14"/>
    </row>
    <row r="106" spans="1:15" x14ac:dyDescent="0.3">
      <c r="A106" s="8">
        <v>45196</v>
      </c>
      <c r="B106" t="s">
        <v>311</v>
      </c>
      <c r="C106" s="15" t="s">
        <v>18</v>
      </c>
      <c r="D106" t="s">
        <v>503</v>
      </c>
      <c r="F106">
        <v>109</v>
      </c>
      <c r="G106">
        <v>1435</v>
      </c>
      <c r="H106">
        <v>220</v>
      </c>
      <c r="J106">
        <v>256</v>
      </c>
      <c r="K106" s="17">
        <v>0.79</v>
      </c>
      <c r="L106" s="14"/>
      <c r="M106" s="14"/>
      <c r="O106" s="14"/>
    </row>
    <row r="107" spans="1:15" x14ac:dyDescent="0.3">
      <c r="A107" s="8">
        <v>45196</v>
      </c>
      <c r="B107" t="s">
        <v>320</v>
      </c>
      <c r="C107" s="15" t="s">
        <v>18</v>
      </c>
      <c r="D107" t="s">
        <v>502</v>
      </c>
      <c r="F107">
        <v>120</v>
      </c>
      <c r="G107">
        <v>1895</v>
      </c>
      <c r="H107">
        <v>237</v>
      </c>
      <c r="J107">
        <v>312</v>
      </c>
      <c r="K107" s="17">
        <v>0.96</v>
      </c>
      <c r="L107" s="14"/>
      <c r="M107" s="14"/>
      <c r="O107" s="14"/>
    </row>
    <row r="108" spans="1:15" x14ac:dyDescent="0.3">
      <c r="A108" s="8">
        <v>45196</v>
      </c>
      <c r="B108" t="s">
        <v>470</v>
      </c>
      <c r="C108" s="15" t="s">
        <v>18</v>
      </c>
      <c r="D108" t="s">
        <v>502</v>
      </c>
      <c r="F108">
        <v>118</v>
      </c>
      <c r="G108">
        <v>1258</v>
      </c>
      <c r="H108">
        <v>235</v>
      </c>
      <c r="J108">
        <v>207</v>
      </c>
      <c r="K108" s="17">
        <v>0.83</v>
      </c>
      <c r="L108" s="14"/>
      <c r="M108" s="14"/>
      <c r="O108" s="14"/>
    </row>
    <row r="109" spans="1:15" x14ac:dyDescent="0.3">
      <c r="A109" s="8">
        <v>45196</v>
      </c>
      <c r="B109" t="s">
        <v>311</v>
      </c>
      <c r="C109" s="15" t="s">
        <v>18</v>
      </c>
      <c r="D109" t="s">
        <v>503</v>
      </c>
      <c r="F109">
        <v>116</v>
      </c>
      <c r="G109">
        <v>1548</v>
      </c>
      <c r="H109">
        <v>217</v>
      </c>
      <c r="J109">
        <v>270</v>
      </c>
      <c r="K109" s="17">
        <v>0.94</v>
      </c>
      <c r="L109" s="14"/>
      <c r="M109" s="14"/>
      <c r="O109" s="14"/>
    </row>
    <row r="110" spans="1:15" x14ac:dyDescent="0.3">
      <c r="A110" s="8">
        <v>45215</v>
      </c>
      <c r="B110" t="s">
        <v>470</v>
      </c>
      <c r="C110" s="15" t="s">
        <v>18</v>
      </c>
      <c r="D110" t="s">
        <v>502</v>
      </c>
      <c r="F110">
        <v>119</v>
      </c>
      <c r="G110">
        <v>1243</v>
      </c>
      <c r="H110">
        <v>237</v>
      </c>
      <c r="J110">
        <v>202</v>
      </c>
      <c r="K110">
        <v>0.93</v>
      </c>
      <c r="L110" s="14"/>
      <c r="M110" s="14"/>
      <c r="O110" s="14"/>
    </row>
    <row r="111" spans="1:15" x14ac:dyDescent="0.3">
      <c r="A111" s="8">
        <v>45215</v>
      </c>
      <c r="B111" t="s">
        <v>83</v>
      </c>
      <c r="C111" s="15" t="s">
        <v>18</v>
      </c>
      <c r="D111" t="s">
        <v>502</v>
      </c>
      <c r="F111">
        <v>118</v>
      </c>
      <c r="G111">
        <v>1267</v>
      </c>
      <c r="H111">
        <v>233</v>
      </c>
      <c r="J111">
        <v>206</v>
      </c>
      <c r="K111">
        <v>0.91</v>
      </c>
      <c r="L111" s="14"/>
      <c r="M111" s="14"/>
      <c r="O111" s="14"/>
    </row>
    <row r="112" spans="1:15" x14ac:dyDescent="0.3">
      <c r="A112" s="8">
        <v>45215</v>
      </c>
      <c r="B112" t="s">
        <v>130</v>
      </c>
      <c r="C112" s="15" t="s">
        <v>18</v>
      </c>
      <c r="D112" t="s">
        <v>502</v>
      </c>
      <c r="F112">
        <v>119</v>
      </c>
      <c r="G112">
        <v>1527</v>
      </c>
      <c r="H112">
        <v>236</v>
      </c>
      <c r="J112">
        <v>253</v>
      </c>
      <c r="K112">
        <v>0.93</v>
      </c>
      <c r="L112" s="14"/>
      <c r="M112" s="14"/>
      <c r="O112" s="14"/>
    </row>
    <row r="113" spans="1:15" x14ac:dyDescent="0.3">
      <c r="A113" s="8">
        <v>45215</v>
      </c>
      <c r="B113" t="s">
        <v>130</v>
      </c>
      <c r="C113" s="15" t="s">
        <v>18</v>
      </c>
      <c r="D113" t="s">
        <v>503</v>
      </c>
      <c r="F113">
        <v>114</v>
      </c>
      <c r="G113">
        <v>1727</v>
      </c>
      <c r="H113">
        <v>226</v>
      </c>
      <c r="J113">
        <v>299</v>
      </c>
      <c r="K113">
        <v>0.97</v>
      </c>
      <c r="L113" s="14"/>
      <c r="M113" s="14"/>
      <c r="O113" s="14"/>
    </row>
    <row r="114" spans="1:15" x14ac:dyDescent="0.3">
      <c r="A114" s="8">
        <v>45243</v>
      </c>
      <c r="B114" t="s">
        <v>130</v>
      </c>
      <c r="C114" s="15" t="s">
        <v>18</v>
      </c>
      <c r="D114" t="s">
        <v>502</v>
      </c>
      <c r="F114">
        <v>119</v>
      </c>
      <c r="G114">
        <v>1537</v>
      </c>
      <c r="H114">
        <v>233</v>
      </c>
      <c r="J114">
        <v>253</v>
      </c>
      <c r="K114">
        <v>0.96</v>
      </c>
      <c r="L114" s="14"/>
      <c r="M114" s="14"/>
      <c r="O114" s="14"/>
    </row>
    <row r="115" spans="1:15" x14ac:dyDescent="0.3">
      <c r="A115" s="8">
        <v>45243</v>
      </c>
      <c r="B115" t="s">
        <v>130</v>
      </c>
      <c r="C115" s="15" t="s">
        <v>18</v>
      </c>
      <c r="D115" t="s">
        <v>503</v>
      </c>
      <c r="F115">
        <v>117</v>
      </c>
      <c r="G115">
        <v>1690</v>
      </c>
      <c r="H115">
        <v>227</v>
      </c>
      <c r="J115">
        <v>289</v>
      </c>
      <c r="K115">
        <v>0.94</v>
      </c>
      <c r="L115" s="14"/>
      <c r="M115" s="14"/>
      <c r="O115" s="14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0"/>
  <sheetViews>
    <sheetView workbookViewId="0">
      <pane ySplit="1" topLeftCell="A884" activePane="bottomLeft" state="frozen"/>
      <selection pane="bottomLeft" activeCell="B910" sqref="B910"/>
    </sheetView>
  </sheetViews>
  <sheetFormatPr defaultColWidth="8.88671875" defaultRowHeight="14.4" x14ac:dyDescent="0.3"/>
  <cols>
    <col min="1" max="1" width="12.109375" customWidth="1"/>
    <col min="4" max="4" width="12.88671875" customWidth="1"/>
    <col min="5" max="5" width="9" customWidth="1"/>
    <col min="6" max="6" width="10.6640625" customWidth="1"/>
    <col min="8" max="8" width="9.6640625" customWidth="1"/>
    <col min="9" max="9" width="11.44140625" customWidth="1"/>
    <col min="10" max="10" width="9.6640625" customWidth="1"/>
    <col min="11" max="11" width="11.44140625" customWidth="1"/>
    <col min="12" max="12" width="9.6640625" customWidth="1"/>
    <col min="13" max="13" width="11.44140625" customWidth="1"/>
    <col min="14" max="14" width="9.6640625" customWidth="1"/>
    <col min="15" max="15" width="11.44140625" customWidth="1"/>
    <col min="16" max="16" width="14" customWidth="1"/>
    <col min="17" max="17" width="15.88671875" customWidth="1"/>
    <col min="19" max="19" width="14.6640625" customWidth="1"/>
    <col min="20" max="20" width="9.44140625" customWidth="1"/>
    <col min="21" max="21" width="9.88671875" customWidth="1"/>
  </cols>
  <sheetData>
    <row r="1" spans="1:21" s="1" customFormat="1" x14ac:dyDescent="0.3">
      <c r="A1" s="1" t="s">
        <v>0</v>
      </c>
      <c r="B1" s="1" t="s">
        <v>374</v>
      </c>
      <c r="C1" s="1" t="s">
        <v>375</v>
      </c>
      <c r="D1" s="1" t="s">
        <v>376</v>
      </c>
      <c r="E1" s="1" t="s">
        <v>377</v>
      </c>
      <c r="F1" s="1" t="s">
        <v>378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392</v>
      </c>
      <c r="U1" s="1" t="s">
        <v>393</v>
      </c>
    </row>
    <row r="2" spans="1:21" x14ac:dyDescent="0.3">
      <c r="A2" s="5">
        <v>40836</v>
      </c>
      <c r="B2">
        <v>2011</v>
      </c>
      <c r="C2">
        <v>10</v>
      </c>
      <c r="D2" t="s">
        <v>394</v>
      </c>
      <c r="E2" t="s">
        <v>395</v>
      </c>
      <c r="F2" t="s">
        <v>396</v>
      </c>
      <c r="H2">
        <v>1244</v>
      </c>
      <c r="I2">
        <v>123</v>
      </c>
      <c r="J2">
        <v>1215</v>
      </c>
      <c r="K2">
        <v>121</v>
      </c>
      <c r="P2">
        <v>1229.5</v>
      </c>
      <c r="Q2">
        <v>122</v>
      </c>
      <c r="R2">
        <v>149999</v>
      </c>
      <c r="S2">
        <v>18299.878000000001</v>
      </c>
    </row>
    <row r="3" spans="1:21" x14ac:dyDescent="0.3">
      <c r="A3" s="5">
        <v>40836</v>
      </c>
      <c r="B3">
        <v>2011</v>
      </c>
      <c r="C3">
        <v>10</v>
      </c>
      <c r="D3" t="s">
        <v>397</v>
      </c>
      <c r="E3" t="s">
        <v>398</v>
      </c>
      <c r="F3" t="s">
        <v>396</v>
      </c>
      <c r="H3">
        <v>1689</v>
      </c>
      <c r="I3">
        <v>124</v>
      </c>
      <c r="P3">
        <v>1689</v>
      </c>
      <c r="Q3">
        <v>124</v>
      </c>
      <c r="R3">
        <v>209436</v>
      </c>
      <c r="S3">
        <v>25970.063999999998</v>
      </c>
    </row>
    <row r="4" spans="1:21" x14ac:dyDescent="0.3">
      <c r="A4" s="5">
        <v>40836</v>
      </c>
      <c r="B4">
        <v>2011</v>
      </c>
      <c r="C4">
        <v>10</v>
      </c>
      <c r="D4" t="s">
        <v>397</v>
      </c>
      <c r="E4" t="s">
        <v>399</v>
      </c>
      <c r="F4" t="s">
        <v>396</v>
      </c>
      <c r="H4">
        <v>1799</v>
      </c>
      <c r="I4">
        <v>126</v>
      </c>
      <c r="J4">
        <v>1771</v>
      </c>
      <c r="K4">
        <v>126</v>
      </c>
      <c r="P4">
        <v>1785</v>
      </c>
      <c r="Q4">
        <v>126</v>
      </c>
      <c r="R4">
        <v>224910</v>
      </c>
      <c r="S4">
        <v>28338.66</v>
      </c>
    </row>
    <row r="5" spans="1:21" x14ac:dyDescent="0.3">
      <c r="A5" s="5">
        <v>40836</v>
      </c>
      <c r="B5">
        <v>2011</v>
      </c>
      <c r="C5">
        <v>10</v>
      </c>
      <c r="D5" t="s">
        <v>397</v>
      </c>
      <c r="E5" t="s">
        <v>400</v>
      </c>
      <c r="F5" t="s">
        <v>396</v>
      </c>
      <c r="H5">
        <v>1871</v>
      </c>
      <c r="I5">
        <v>130</v>
      </c>
      <c r="J5">
        <v>1842</v>
      </c>
      <c r="K5">
        <v>130</v>
      </c>
      <c r="P5">
        <v>1856.5</v>
      </c>
      <c r="Q5">
        <v>130</v>
      </c>
      <c r="R5">
        <v>241345</v>
      </c>
      <c r="S5">
        <v>31374.85</v>
      </c>
    </row>
    <row r="6" spans="1:21" x14ac:dyDescent="0.3">
      <c r="A6" s="5">
        <v>40836</v>
      </c>
      <c r="B6">
        <v>2011</v>
      </c>
      <c r="C6">
        <v>10</v>
      </c>
      <c r="D6" t="s">
        <v>394</v>
      </c>
      <c r="E6" t="s">
        <v>399</v>
      </c>
      <c r="F6" t="s">
        <v>396</v>
      </c>
      <c r="H6">
        <v>1877</v>
      </c>
      <c r="I6">
        <v>135</v>
      </c>
      <c r="J6">
        <v>1870</v>
      </c>
      <c r="K6">
        <v>135</v>
      </c>
      <c r="P6">
        <v>1873.5</v>
      </c>
      <c r="Q6">
        <v>135</v>
      </c>
      <c r="R6">
        <v>252922.5</v>
      </c>
      <c r="S6">
        <v>34144.537499999999</v>
      </c>
    </row>
    <row r="7" spans="1:21" x14ac:dyDescent="0.3">
      <c r="A7" s="5">
        <v>40836</v>
      </c>
      <c r="B7">
        <v>2011</v>
      </c>
      <c r="C7">
        <v>10</v>
      </c>
      <c r="D7" t="s">
        <v>397</v>
      </c>
      <c r="E7" t="s">
        <v>401</v>
      </c>
      <c r="F7" t="s">
        <v>396</v>
      </c>
      <c r="H7">
        <v>1983</v>
      </c>
      <c r="I7">
        <v>118</v>
      </c>
      <c r="J7">
        <v>1957</v>
      </c>
      <c r="K7">
        <v>120</v>
      </c>
      <c r="P7">
        <v>1970</v>
      </c>
      <c r="Q7">
        <v>119</v>
      </c>
      <c r="R7">
        <v>234430</v>
      </c>
      <c r="S7">
        <v>27897.17</v>
      </c>
    </row>
    <row r="8" spans="1:21" x14ac:dyDescent="0.3">
      <c r="A8" s="5">
        <v>40836</v>
      </c>
      <c r="B8">
        <v>2011</v>
      </c>
      <c r="C8">
        <v>10</v>
      </c>
      <c r="D8" t="s">
        <v>394</v>
      </c>
      <c r="E8" t="s">
        <v>400</v>
      </c>
      <c r="F8" t="s">
        <v>396</v>
      </c>
      <c r="H8">
        <v>2028</v>
      </c>
      <c r="I8">
        <v>135</v>
      </c>
      <c r="J8">
        <v>1950</v>
      </c>
      <c r="K8">
        <v>132</v>
      </c>
      <c r="P8">
        <v>1989</v>
      </c>
      <c r="Q8">
        <v>133.5</v>
      </c>
      <c r="R8">
        <v>265531.5</v>
      </c>
      <c r="S8">
        <v>35448.455249999999</v>
      </c>
    </row>
    <row r="9" spans="1:21" x14ac:dyDescent="0.3">
      <c r="A9" s="5">
        <v>40836</v>
      </c>
      <c r="B9">
        <v>2011</v>
      </c>
      <c r="C9">
        <v>10</v>
      </c>
      <c r="D9" t="s">
        <v>397</v>
      </c>
      <c r="E9" t="s">
        <v>402</v>
      </c>
      <c r="F9" t="s">
        <v>396</v>
      </c>
      <c r="H9">
        <v>2042</v>
      </c>
      <c r="I9">
        <v>133</v>
      </c>
      <c r="J9">
        <v>1999</v>
      </c>
      <c r="K9">
        <v>130</v>
      </c>
      <c r="P9">
        <v>2020.5</v>
      </c>
      <c r="Q9">
        <v>131.5</v>
      </c>
      <c r="R9">
        <v>265695.75</v>
      </c>
      <c r="S9">
        <v>34938.991125</v>
      </c>
    </row>
    <row r="10" spans="1:21" x14ac:dyDescent="0.3">
      <c r="A10" s="5">
        <v>40836</v>
      </c>
      <c r="B10">
        <v>2011</v>
      </c>
      <c r="C10">
        <v>10</v>
      </c>
      <c r="D10" t="s">
        <v>394</v>
      </c>
      <c r="E10" t="s">
        <v>402</v>
      </c>
      <c r="F10" t="s">
        <v>396</v>
      </c>
      <c r="H10">
        <v>2133</v>
      </c>
      <c r="I10">
        <v>135</v>
      </c>
      <c r="J10">
        <v>2130</v>
      </c>
      <c r="K10">
        <v>137</v>
      </c>
      <c r="P10">
        <v>2131.5</v>
      </c>
      <c r="Q10">
        <v>136</v>
      </c>
      <c r="R10">
        <v>289884</v>
      </c>
      <c r="S10">
        <v>39424.224000000002</v>
      </c>
    </row>
    <row r="11" spans="1:21" x14ac:dyDescent="0.3">
      <c r="A11" s="5">
        <v>40836</v>
      </c>
      <c r="B11">
        <v>2011</v>
      </c>
      <c r="C11">
        <v>10</v>
      </c>
      <c r="D11" t="s">
        <v>394</v>
      </c>
      <c r="E11" t="s">
        <v>401</v>
      </c>
      <c r="F11" t="s">
        <v>396</v>
      </c>
      <c r="H11">
        <v>2192</v>
      </c>
      <c r="I11">
        <v>132</v>
      </c>
      <c r="J11">
        <v>2080</v>
      </c>
      <c r="K11">
        <v>126</v>
      </c>
      <c r="P11">
        <v>2136</v>
      </c>
      <c r="Q11">
        <v>129</v>
      </c>
      <c r="R11">
        <v>275544</v>
      </c>
      <c r="S11">
        <v>35545.175999999999</v>
      </c>
    </row>
    <row r="12" spans="1:21" x14ac:dyDescent="0.3">
      <c r="A12" s="5">
        <v>40837</v>
      </c>
      <c r="B12">
        <v>2011</v>
      </c>
      <c r="C12">
        <v>10</v>
      </c>
      <c r="D12" t="s">
        <v>397</v>
      </c>
      <c r="E12" t="s">
        <v>395</v>
      </c>
      <c r="F12" t="s">
        <v>396</v>
      </c>
      <c r="H12">
        <v>1234</v>
      </c>
      <c r="I12">
        <v>119</v>
      </c>
      <c r="J12">
        <v>1216</v>
      </c>
      <c r="K12">
        <v>120</v>
      </c>
      <c r="P12">
        <v>1225</v>
      </c>
      <c r="Q12">
        <v>119.5</v>
      </c>
      <c r="R12">
        <v>146387.5</v>
      </c>
      <c r="S12">
        <v>17493.306250000001</v>
      </c>
    </row>
    <row r="13" spans="1:21" x14ac:dyDescent="0.3">
      <c r="A13" s="5">
        <v>40837</v>
      </c>
      <c r="B13">
        <v>2011</v>
      </c>
      <c r="C13">
        <v>10</v>
      </c>
      <c r="D13" t="s">
        <v>394</v>
      </c>
      <c r="E13" t="s">
        <v>398</v>
      </c>
      <c r="F13" t="s">
        <v>396</v>
      </c>
      <c r="H13">
        <v>1488</v>
      </c>
      <c r="I13">
        <v>124</v>
      </c>
      <c r="J13">
        <v>1449</v>
      </c>
      <c r="K13">
        <v>123</v>
      </c>
      <c r="P13">
        <v>1468.5</v>
      </c>
      <c r="Q13">
        <v>123.5</v>
      </c>
      <c r="R13">
        <v>181359.75</v>
      </c>
      <c r="S13">
        <v>22397.929124999999</v>
      </c>
    </row>
    <row r="14" spans="1:21" x14ac:dyDescent="0.3">
      <c r="A14" s="5">
        <v>40837</v>
      </c>
      <c r="B14">
        <v>2011</v>
      </c>
      <c r="C14">
        <v>10</v>
      </c>
      <c r="D14" t="s">
        <v>397</v>
      </c>
      <c r="E14" t="s">
        <v>398</v>
      </c>
      <c r="F14" t="s">
        <v>396</v>
      </c>
      <c r="H14">
        <v>1647</v>
      </c>
      <c r="I14">
        <v>126</v>
      </c>
      <c r="J14">
        <v>1608</v>
      </c>
      <c r="K14">
        <v>126</v>
      </c>
      <c r="P14">
        <v>1627.5</v>
      </c>
      <c r="Q14">
        <v>126</v>
      </c>
      <c r="R14">
        <v>205065</v>
      </c>
      <c r="S14">
        <v>25838.19</v>
      </c>
    </row>
    <row r="15" spans="1:21" x14ac:dyDescent="0.3">
      <c r="A15" s="5">
        <v>40837</v>
      </c>
      <c r="B15">
        <v>2011</v>
      </c>
      <c r="C15">
        <v>10</v>
      </c>
      <c r="D15" t="s">
        <v>397</v>
      </c>
      <c r="E15" t="s">
        <v>399</v>
      </c>
      <c r="F15" t="s">
        <v>396</v>
      </c>
      <c r="H15">
        <v>1691</v>
      </c>
      <c r="I15">
        <v>120</v>
      </c>
      <c r="J15">
        <v>1687</v>
      </c>
      <c r="K15">
        <v>122</v>
      </c>
      <c r="P15">
        <v>1689</v>
      </c>
      <c r="Q15">
        <v>121</v>
      </c>
      <c r="R15">
        <v>204369</v>
      </c>
      <c r="S15">
        <v>24728.649000000001</v>
      </c>
    </row>
    <row r="16" spans="1:21" x14ac:dyDescent="0.3">
      <c r="A16" s="5">
        <v>40837</v>
      </c>
      <c r="B16">
        <v>2011</v>
      </c>
      <c r="C16">
        <v>10</v>
      </c>
      <c r="D16" t="s">
        <v>394</v>
      </c>
      <c r="E16" t="s">
        <v>402</v>
      </c>
      <c r="F16" t="s">
        <v>396</v>
      </c>
      <c r="H16">
        <v>1913</v>
      </c>
      <c r="I16">
        <v>132</v>
      </c>
      <c r="J16">
        <v>1557</v>
      </c>
      <c r="K16">
        <v>123</v>
      </c>
      <c r="P16">
        <v>1735</v>
      </c>
      <c r="Q16">
        <v>127.5</v>
      </c>
      <c r="R16">
        <v>221212.5</v>
      </c>
      <c r="S16">
        <v>28204.59375</v>
      </c>
    </row>
    <row r="17" spans="1:19" x14ac:dyDescent="0.3">
      <c r="A17" s="5">
        <v>40837</v>
      </c>
      <c r="B17">
        <v>2011</v>
      </c>
      <c r="C17">
        <v>10</v>
      </c>
      <c r="D17" t="s">
        <v>397</v>
      </c>
      <c r="E17" t="s">
        <v>400</v>
      </c>
      <c r="F17" t="s">
        <v>396</v>
      </c>
      <c r="H17">
        <v>1782</v>
      </c>
      <c r="I17">
        <v>126</v>
      </c>
      <c r="J17">
        <v>1780</v>
      </c>
      <c r="K17">
        <v>127</v>
      </c>
      <c r="P17">
        <v>1781</v>
      </c>
      <c r="Q17">
        <v>126.5</v>
      </c>
      <c r="R17">
        <v>225296.5</v>
      </c>
      <c r="S17">
        <v>28500.007249999999</v>
      </c>
    </row>
    <row r="18" spans="1:19" x14ac:dyDescent="0.3">
      <c r="A18" s="5">
        <v>40837</v>
      </c>
      <c r="B18">
        <v>2011</v>
      </c>
      <c r="C18">
        <v>10</v>
      </c>
      <c r="D18" t="s">
        <v>394</v>
      </c>
      <c r="E18" t="s">
        <v>399</v>
      </c>
      <c r="F18" t="s">
        <v>396</v>
      </c>
      <c r="H18">
        <v>1795</v>
      </c>
      <c r="I18">
        <v>128</v>
      </c>
      <c r="J18">
        <v>1794</v>
      </c>
      <c r="K18">
        <v>129</v>
      </c>
      <c r="P18">
        <v>1794.5</v>
      </c>
      <c r="Q18">
        <v>128.5</v>
      </c>
      <c r="R18">
        <v>230593.25</v>
      </c>
      <c r="S18">
        <v>29631.232625000001</v>
      </c>
    </row>
    <row r="19" spans="1:19" x14ac:dyDescent="0.3">
      <c r="A19" s="5">
        <v>40837</v>
      </c>
      <c r="B19">
        <v>2011</v>
      </c>
      <c r="C19">
        <v>10</v>
      </c>
      <c r="D19" t="s">
        <v>394</v>
      </c>
      <c r="E19" t="s">
        <v>401</v>
      </c>
      <c r="F19" t="s">
        <v>396</v>
      </c>
      <c r="H19">
        <v>1895</v>
      </c>
      <c r="I19">
        <v>120</v>
      </c>
      <c r="J19">
        <v>1695</v>
      </c>
      <c r="K19">
        <v>115</v>
      </c>
      <c r="P19">
        <v>1795</v>
      </c>
      <c r="Q19">
        <v>117.5</v>
      </c>
      <c r="R19">
        <v>210912.5</v>
      </c>
      <c r="S19">
        <v>24782.21875</v>
      </c>
    </row>
    <row r="20" spans="1:19" x14ac:dyDescent="0.3">
      <c r="A20" s="5">
        <v>40837</v>
      </c>
      <c r="B20">
        <v>2011</v>
      </c>
      <c r="C20">
        <v>10</v>
      </c>
      <c r="D20" t="s">
        <v>394</v>
      </c>
      <c r="E20" t="s">
        <v>400</v>
      </c>
      <c r="F20" t="s">
        <v>396</v>
      </c>
      <c r="H20">
        <v>1871</v>
      </c>
      <c r="I20">
        <v>128</v>
      </c>
      <c r="J20">
        <v>1799</v>
      </c>
      <c r="K20">
        <v>128</v>
      </c>
      <c r="P20">
        <v>1835</v>
      </c>
      <c r="Q20">
        <v>128</v>
      </c>
      <c r="R20">
        <v>234880</v>
      </c>
      <c r="S20">
        <v>30064.639999999999</v>
      </c>
    </row>
    <row r="21" spans="1:19" x14ac:dyDescent="0.3">
      <c r="A21" s="5">
        <v>40837</v>
      </c>
      <c r="B21">
        <v>2011</v>
      </c>
      <c r="C21">
        <v>10</v>
      </c>
      <c r="D21" t="s">
        <v>397</v>
      </c>
      <c r="E21" t="s">
        <v>401</v>
      </c>
      <c r="F21" t="s">
        <v>396</v>
      </c>
      <c r="H21">
        <v>1952</v>
      </c>
      <c r="I21">
        <v>118</v>
      </c>
      <c r="J21">
        <v>1851</v>
      </c>
      <c r="K21">
        <v>116</v>
      </c>
      <c r="P21">
        <v>1901.5</v>
      </c>
      <c r="Q21">
        <v>117</v>
      </c>
      <c r="R21">
        <v>222475.5</v>
      </c>
      <c r="S21">
        <v>26029.6335</v>
      </c>
    </row>
    <row r="22" spans="1:19" x14ac:dyDescent="0.3">
      <c r="A22" s="5">
        <v>40837</v>
      </c>
      <c r="B22">
        <v>2011</v>
      </c>
      <c r="C22">
        <v>10</v>
      </c>
      <c r="D22" t="s">
        <v>397</v>
      </c>
      <c r="E22" t="s">
        <v>402</v>
      </c>
      <c r="F22" t="s">
        <v>396</v>
      </c>
      <c r="H22">
        <v>2059</v>
      </c>
      <c r="I22">
        <v>132</v>
      </c>
      <c r="J22">
        <v>1925</v>
      </c>
      <c r="K22">
        <v>130</v>
      </c>
      <c r="P22">
        <v>1992</v>
      </c>
      <c r="Q22">
        <v>131</v>
      </c>
      <c r="R22">
        <v>260952</v>
      </c>
      <c r="S22">
        <v>34184.712</v>
      </c>
    </row>
    <row r="23" spans="1:19" x14ac:dyDescent="0.3">
      <c r="A23" s="5">
        <v>40838</v>
      </c>
      <c r="B23">
        <v>2011</v>
      </c>
      <c r="C23">
        <v>10</v>
      </c>
      <c r="D23" t="s">
        <v>397</v>
      </c>
      <c r="E23" t="s">
        <v>395</v>
      </c>
      <c r="F23" t="s">
        <v>396</v>
      </c>
      <c r="H23">
        <v>1164</v>
      </c>
      <c r="I23">
        <v>113</v>
      </c>
      <c r="J23">
        <v>1146</v>
      </c>
      <c r="K23">
        <v>113</v>
      </c>
      <c r="P23">
        <v>1155</v>
      </c>
      <c r="Q23">
        <v>113</v>
      </c>
      <c r="R23">
        <v>130515</v>
      </c>
      <c r="S23">
        <v>14748.195</v>
      </c>
    </row>
    <row r="24" spans="1:19" x14ac:dyDescent="0.3">
      <c r="A24" s="5">
        <v>40838</v>
      </c>
      <c r="B24">
        <v>2011</v>
      </c>
      <c r="C24">
        <v>10</v>
      </c>
      <c r="D24" t="s">
        <v>394</v>
      </c>
      <c r="E24" t="s">
        <v>395</v>
      </c>
      <c r="F24" t="s">
        <v>396</v>
      </c>
      <c r="H24">
        <v>1233</v>
      </c>
      <c r="I24">
        <v>113</v>
      </c>
      <c r="J24">
        <v>1215</v>
      </c>
      <c r="K24">
        <v>117</v>
      </c>
      <c r="P24">
        <v>1224</v>
      </c>
      <c r="Q24">
        <v>115</v>
      </c>
      <c r="R24">
        <v>140760</v>
      </c>
      <c r="S24">
        <v>16187.4</v>
      </c>
    </row>
    <row r="25" spans="1:19" x14ac:dyDescent="0.3">
      <c r="A25" s="5">
        <v>40838</v>
      </c>
      <c r="B25">
        <v>2011</v>
      </c>
      <c r="C25">
        <v>10</v>
      </c>
      <c r="D25" t="s">
        <v>397</v>
      </c>
      <c r="E25" t="s">
        <v>398</v>
      </c>
      <c r="F25" t="s">
        <v>396</v>
      </c>
      <c r="H25">
        <v>1723</v>
      </c>
      <c r="I25">
        <v>133</v>
      </c>
      <c r="J25">
        <v>1671</v>
      </c>
      <c r="K25">
        <v>128</v>
      </c>
      <c r="P25">
        <v>1697</v>
      </c>
      <c r="Q25">
        <v>130.5</v>
      </c>
      <c r="R25">
        <v>221458.5</v>
      </c>
      <c r="S25">
        <v>28900.33425</v>
      </c>
    </row>
    <row r="26" spans="1:19" x14ac:dyDescent="0.3">
      <c r="A26" s="5">
        <v>40838</v>
      </c>
      <c r="B26">
        <v>2011</v>
      </c>
      <c r="C26">
        <v>10</v>
      </c>
      <c r="D26" t="s">
        <v>397</v>
      </c>
      <c r="E26" t="s">
        <v>399</v>
      </c>
      <c r="F26" t="s">
        <v>396</v>
      </c>
      <c r="H26">
        <v>1826</v>
      </c>
      <c r="I26">
        <v>126</v>
      </c>
      <c r="J26">
        <v>1779</v>
      </c>
      <c r="K26">
        <v>124</v>
      </c>
      <c r="P26">
        <v>1802.5</v>
      </c>
      <c r="Q26">
        <v>125</v>
      </c>
      <c r="R26">
        <v>225312.5</v>
      </c>
      <c r="S26">
        <v>28164.0625</v>
      </c>
    </row>
    <row r="27" spans="1:19" x14ac:dyDescent="0.3">
      <c r="A27" s="5">
        <v>40838</v>
      </c>
      <c r="B27">
        <v>2011</v>
      </c>
      <c r="C27">
        <v>10</v>
      </c>
      <c r="D27" t="s">
        <v>397</v>
      </c>
      <c r="E27" t="s">
        <v>400</v>
      </c>
      <c r="F27" t="s">
        <v>396</v>
      </c>
      <c r="H27">
        <v>1830</v>
      </c>
      <c r="I27">
        <v>123</v>
      </c>
      <c r="J27">
        <v>1797</v>
      </c>
      <c r="K27">
        <v>129</v>
      </c>
      <c r="P27">
        <v>1813.5</v>
      </c>
      <c r="Q27">
        <v>126</v>
      </c>
      <c r="R27">
        <v>228501</v>
      </c>
      <c r="S27">
        <v>28791.126</v>
      </c>
    </row>
    <row r="28" spans="1:19" x14ac:dyDescent="0.3">
      <c r="A28" s="5">
        <v>40838</v>
      </c>
      <c r="B28">
        <v>2011</v>
      </c>
      <c r="C28">
        <v>10</v>
      </c>
      <c r="D28" t="s">
        <v>394</v>
      </c>
      <c r="E28" t="s">
        <v>399</v>
      </c>
      <c r="F28" t="s">
        <v>396</v>
      </c>
      <c r="H28">
        <v>1826</v>
      </c>
      <c r="I28">
        <v>126</v>
      </c>
      <c r="J28">
        <v>1801</v>
      </c>
      <c r="K28">
        <v>126</v>
      </c>
      <c r="P28">
        <v>1813.5</v>
      </c>
      <c r="Q28">
        <v>126</v>
      </c>
      <c r="R28">
        <v>228501</v>
      </c>
      <c r="S28">
        <v>28791.126</v>
      </c>
    </row>
    <row r="29" spans="1:19" x14ac:dyDescent="0.3">
      <c r="A29" s="5">
        <v>40838</v>
      </c>
      <c r="B29">
        <v>2011</v>
      </c>
      <c r="C29">
        <v>10</v>
      </c>
      <c r="D29" t="s">
        <v>397</v>
      </c>
      <c r="E29" t="s">
        <v>401</v>
      </c>
      <c r="F29" t="s">
        <v>396</v>
      </c>
      <c r="H29">
        <v>1894</v>
      </c>
      <c r="I29">
        <v>117</v>
      </c>
      <c r="J29">
        <v>1870</v>
      </c>
      <c r="K29">
        <v>118</v>
      </c>
      <c r="P29">
        <v>1882</v>
      </c>
      <c r="Q29">
        <v>117.5</v>
      </c>
      <c r="R29">
        <v>221135</v>
      </c>
      <c r="S29">
        <v>25983.362499999999</v>
      </c>
    </row>
    <row r="30" spans="1:19" x14ac:dyDescent="0.3">
      <c r="A30" s="5">
        <v>40838</v>
      </c>
      <c r="B30">
        <v>2011</v>
      </c>
      <c r="C30">
        <v>10</v>
      </c>
      <c r="D30" t="s">
        <v>397</v>
      </c>
      <c r="E30" t="s">
        <v>402</v>
      </c>
      <c r="F30" t="s">
        <v>396</v>
      </c>
      <c r="H30">
        <v>1940</v>
      </c>
      <c r="I30">
        <v>128</v>
      </c>
      <c r="J30">
        <v>1898</v>
      </c>
      <c r="K30">
        <v>131</v>
      </c>
      <c r="P30">
        <v>1919</v>
      </c>
      <c r="Q30">
        <v>129.5</v>
      </c>
      <c r="R30">
        <v>248510.5</v>
      </c>
      <c r="S30">
        <v>32182.10975</v>
      </c>
    </row>
    <row r="31" spans="1:19" x14ac:dyDescent="0.3">
      <c r="A31" s="5">
        <v>40838</v>
      </c>
      <c r="B31">
        <v>2011</v>
      </c>
      <c r="C31">
        <v>10</v>
      </c>
      <c r="D31" t="s">
        <v>394</v>
      </c>
      <c r="E31" t="s">
        <v>400</v>
      </c>
      <c r="F31" t="s">
        <v>396</v>
      </c>
      <c r="H31">
        <v>1958</v>
      </c>
      <c r="I31">
        <v>130</v>
      </c>
      <c r="J31">
        <v>1900</v>
      </c>
      <c r="K31">
        <v>126</v>
      </c>
      <c r="P31">
        <v>1929</v>
      </c>
      <c r="Q31">
        <v>128</v>
      </c>
      <c r="R31">
        <v>246912</v>
      </c>
      <c r="S31">
        <v>31604.736000000001</v>
      </c>
    </row>
    <row r="32" spans="1:19" x14ac:dyDescent="0.3">
      <c r="A32" s="5">
        <v>40838</v>
      </c>
      <c r="B32">
        <v>2011</v>
      </c>
      <c r="C32">
        <v>10</v>
      </c>
      <c r="D32" t="s">
        <v>394</v>
      </c>
      <c r="E32" t="s">
        <v>401</v>
      </c>
      <c r="F32" t="s">
        <v>396</v>
      </c>
      <c r="H32">
        <v>2045</v>
      </c>
      <c r="I32">
        <v>125</v>
      </c>
      <c r="J32">
        <v>2014</v>
      </c>
      <c r="K32">
        <v>126</v>
      </c>
      <c r="P32">
        <v>2029.5</v>
      </c>
      <c r="Q32">
        <v>125.5</v>
      </c>
      <c r="R32">
        <v>254702.25</v>
      </c>
      <c r="S32">
        <v>31965.132375000001</v>
      </c>
    </row>
    <row r="33" spans="1:19" x14ac:dyDescent="0.3">
      <c r="A33" s="5">
        <v>40838</v>
      </c>
      <c r="B33">
        <v>2011</v>
      </c>
      <c r="C33">
        <v>10</v>
      </c>
      <c r="D33" t="s">
        <v>394</v>
      </c>
      <c r="E33" t="s">
        <v>402</v>
      </c>
      <c r="F33" t="s">
        <v>396</v>
      </c>
      <c r="H33">
        <v>2056</v>
      </c>
      <c r="I33">
        <v>132</v>
      </c>
      <c r="J33">
        <v>2030</v>
      </c>
      <c r="K33">
        <v>133</v>
      </c>
      <c r="P33">
        <v>2043</v>
      </c>
      <c r="Q33">
        <v>132.5</v>
      </c>
      <c r="R33">
        <v>270697.5</v>
      </c>
      <c r="S33">
        <v>35867.418749999997</v>
      </c>
    </row>
    <row r="34" spans="1:19" x14ac:dyDescent="0.3">
      <c r="A34" s="5">
        <v>40839</v>
      </c>
      <c r="B34">
        <v>2011</v>
      </c>
      <c r="C34">
        <v>10</v>
      </c>
      <c r="D34" t="s">
        <v>394</v>
      </c>
      <c r="E34" t="s">
        <v>395</v>
      </c>
      <c r="F34" t="s">
        <v>396</v>
      </c>
      <c r="H34">
        <v>1289</v>
      </c>
      <c r="I34">
        <v>117</v>
      </c>
      <c r="J34">
        <v>1273</v>
      </c>
      <c r="K34">
        <v>117</v>
      </c>
      <c r="P34">
        <v>1281</v>
      </c>
      <c r="Q34">
        <v>117</v>
      </c>
      <c r="R34">
        <v>149877</v>
      </c>
      <c r="S34">
        <v>17535.609</v>
      </c>
    </row>
    <row r="35" spans="1:19" x14ac:dyDescent="0.3">
      <c r="A35" s="5">
        <v>40839</v>
      </c>
      <c r="B35">
        <v>2011</v>
      </c>
      <c r="C35">
        <v>10</v>
      </c>
      <c r="D35" t="s">
        <v>397</v>
      </c>
      <c r="E35" t="s">
        <v>399</v>
      </c>
      <c r="F35" t="s">
        <v>396</v>
      </c>
      <c r="H35">
        <v>1752</v>
      </c>
      <c r="I35">
        <v>120</v>
      </c>
      <c r="J35">
        <v>1657</v>
      </c>
      <c r="K35">
        <v>119</v>
      </c>
      <c r="P35">
        <v>1704.5</v>
      </c>
      <c r="Q35">
        <v>119.5</v>
      </c>
      <c r="R35">
        <v>203687.75</v>
      </c>
      <c r="S35">
        <v>24340.686125</v>
      </c>
    </row>
    <row r="36" spans="1:19" x14ac:dyDescent="0.3">
      <c r="A36" s="5">
        <v>40839</v>
      </c>
      <c r="B36">
        <v>2011</v>
      </c>
      <c r="C36">
        <v>10</v>
      </c>
      <c r="D36" t="s">
        <v>394</v>
      </c>
      <c r="E36" t="s">
        <v>398</v>
      </c>
      <c r="F36" t="s">
        <v>396</v>
      </c>
      <c r="H36">
        <v>1718</v>
      </c>
      <c r="I36">
        <v>127</v>
      </c>
      <c r="J36">
        <v>1691</v>
      </c>
      <c r="K36">
        <v>129</v>
      </c>
      <c r="P36">
        <v>1704.5</v>
      </c>
      <c r="Q36">
        <v>128</v>
      </c>
      <c r="R36">
        <v>218176</v>
      </c>
      <c r="S36">
        <v>27926.527999999998</v>
      </c>
    </row>
    <row r="37" spans="1:19" x14ac:dyDescent="0.3">
      <c r="A37" s="5">
        <v>40839</v>
      </c>
      <c r="B37">
        <v>2011</v>
      </c>
      <c r="C37">
        <v>10</v>
      </c>
      <c r="D37" t="s">
        <v>394</v>
      </c>
      <c r="E37" t="s">
        <v>399</v>
      </c>
      <c r="F37" t="s">
        <v>396</v>
      </c>
      <c r="H37">
        <v>1796</v>
      </c>
      <c r="I37">
        <v>126</v>
      </c>
      <c r="J37">
        <v>1789</v>
      </c>
      <c r="K37">
        <v>125</v>
      </c>
      <c r="P37">
        <v>1792.5</v>
      </c>
      <c r="Q37">
        <v>125.5</v>
      </c>
      <c r="R37">
        <v>224958.75</v>
      </c>
      <c r="S37">
        <v>28232.323124999999</v>
      </c>
    </row>
    <row r="38" spans="1:19" x14ac:dyDescent="0.3">
      <c r="A38" s="5">
        <v>40839</v>
      </c>
      <c r="B38">
        <v>2011</v>
      </c>
      <c r="C38">
        <v>10</v>
      </c>
      <c r="D38" t="s">
        <v>394</v>
      </c>
      <c r="E38" t="s">
        <v>400</v>
      </c>
      <c r="F38" t="s">
        <v>396</v>
      </c>
      <c r="H38">
        <v>1876</v>
      </c>
      <c r="I38">
        <v>126</v>
      </c>
      <c r="J38">
        <v>1810</v>
      </c>
      <c r="K38">
        <v>126</v>
      </c>
      <c r="P38">
        <v>1843</v>
      </c>
      <c r="Q38">
        <v>126</v>
      </c>
      <c r="R38">
        <v>232218</v>
      </c>
      <c r="S38">
        <v>29259.468000000001</v>
      </c>
    </row>
    <row r="39" spans="1:19" x14ac:dyDescent="0.3">
      <c r="A39" s="5">
        <v>40839</v>
      </c>
      <c r="B39">
        <v>2011</v>
      </c>
      <c r="C39">
        <v>10</v>
      </c>
      <c r="D39" t="s">
        <v>397</v>
      </c>
      <c r="E39" t="s">
        <v>402</v>
      </c>
      <c r="F39" t="s">
        <v>396</v>
      </c>
      <c r="H39">
        <v>1912</v>
      </c>
      <c r="I39">
        <v>126</v>
      </c>
      <c r="J39">
        <v>1876</v>
      </c>
      <c r="K39">
        <v>125</v>
      </c>
      <c r="P39">
        <v>1894</v>
      </c>
      <c r="Q39">
        <v>125.5</v>
      </c>
      <c r="R39">
        <v>237697</v>
      </c>
      <c r="S39">
        <v>29830.9735</v>
      </c>
    </row>
    <row r="40" spans="1:19" x14ac:dyDescent="0.3">
      <c r="A40" s="5">
        <v>40839</v>
      </c>
      <c r="B40">
        <v>2011</v>
      </c>
      <c r="C40">
        <v>10</v>
      </c>
      <c r="D40" t="s">
        <v>397</v>
      </c>
      <c r="E40" t="s">
        <v>401</v>
      </c>
      <c r="F40" t="s">
        <v>396</v>
      </c>
      <c r="H40">
        <v>1929</v>
      </c>
      <c r="I40">
        <v>119</v>
      </c>
      <c r="J40">
        <v>1880</v>
      </c>
      <c r="K40">
        <v>119</v>
      </c>
      <c r="P40">
        <v>1904.5</v>
      </c>
      <c r="Q40">
        <v>119</v>
      </c>
      <c r="R40">
        <v>226635.5</v>
      </c>
      <c r="S40">
        <v>26969.624500000002</v>
      </c>
    </row>
    <row r="41" spans="1:19" x14ac:dyDescent="0.3">
      <c r="A41" s="5">
        <v>40839</v>
      </c>
      <c r="B41">
        <v>2011</v>
      </c>
      <c r="C41">
        <v>10</v>
      </c>
      <c r="D41" t="s">
        <v>397</v>
      </c>
      <c r="E41" t="s">
        <v>400</v>
      </c>
      <c r="F41" t="s">
        <v>396</v>
      </c>
      <c r="H41">
        <v>1939</v>
      </c>
      <c r="I41">
        <v>129</v>
      </c>
      <c r="J41">
        <v>1916</v>
      </c>
      <c r="K41">
        <v>128</v>
      </c>
      <c r="P41">
        <v>1927.5</v>
      </c>
      <c r="Q41">
        <v>128.5</v>
      </c>
      <c r="R41">
        <v>247683.75</v>
      </c>
      <c r="S41">
        <v>31827.361874999999</v>
      </c>
    </row>
    <row r="42" spans="1:19" x14ac:dyDescent="0.3">
      <c r="A42" s="5">
        <v>40839</v>
      </c>
      <c r="B42">
        <v>2011</v>
      </c>
      <c r="C42">
        <v>10</v>
      </c>
      <c r="D42" t="s">
        <v>394</v>
      </c>
      <c r="E42" t="s">
        <v>402</v>
      </c>
      <c r="F42" t="s">
        <v>396</v>
      </c>
      <c r="H42">
        <v>2117</v>
      </c>
      <c r="I42">
        <v>133</v>
      </c>
      <c r="J42">
        <v>1978</v>
      </c>
      <c r="K42">
        <v>131</v>
      </c>
      <c r="P42">
        <v>2047.5</v>
      </c>
      <c r="Q42">
        <v>132</v>
      </c>
      <c r="R42">
        <v>270270</v>
      </c>
      <c r="S42">
        <v>35675.64</v>
      </c>
    </row>
    <row r="43" spans="1:19" x14ac:dyDescent="0.3">
      <c r="A43" s="5">
        <v>40839</v>
      </c>
      <c r="B43">
        <v>2011</v>
      </c>
      <c r="C43">
        <v>10</v>
      </c>
      <c r="D43" t="s">
        <v>394</v>
      </c>
      <c r="E43" t="s">
        <v>401</v>
      </c>
      <c r="F43" t="s">
        <v>396</v>
      </c>
      <c r="H43">
        <v>2198</v>
      </c>
      <c r="I43">
        <v>126</v>
      </c>
      <c r="J43">
        <v>2189</v>
      </c>
      <c r="K43">
        <v>124</v>
      </c>
      <c r="P43">
        <v>2193.5</v>
      </c>
      <c r="Q43">
        <v>125</v>
      </c>
      <c r="R43">
        <v>274187.5</v>
      </c>
      <c r="S43">
        <v>34273.4375</v>
      </c>
    </row>
    <row r="44" spans="1:19" x14ac:dyDescent="0.3">
      <c r="A44" s="5">
        <v>40840</v>
      </c>
      <c r="B44">
        <v>2011</v>
      </c>
      <c r="C44">
        <v>10</v>
      </c>
      <c r="D44" t="s">
        <v>394</v>
      </c>
      <c r="E44" t="s">
        <v>398</v>
      </c>
      <c r="F44" t="s">
        <v>396</v>
      </c>
      <c r="H44">
        <v>1761</v>
      </c>
      <c r="I44">
        <v>131</v>
      </c>
      <c r="J44">
        <v>1719</v>
      </c>
      <c r="K44">
        <v>130</v>
      </c>
      <c r="P44">
        <v>1740</v>
      </c>
      <c r="Q44">
        <v>130.5</v>
      </c>
      <c r="R44">
        <v>227070</v>
      </c>
      <c r="S44">
        <v>29632.634999999998</v>
      </c>
    </row>
    <row r="45" spans="1:19" x14ac:dyDescent="0.3">
      <c r="A45" s="5">
        <v>40840</v>
      </c>
      <c r="B45">
        <v>2011</v>
      </c>
      <c r="C45">
        <v>10</v>
      </c>
      <c r="D45" t="s">
        <v>397</v>
      </c>
      <c r="E45" t="s">
        <v>398</v>
      </c>
      <c r="F45" t="s">
        <v>396</v>
      </c>
      <c r="H45">
        <v>1793</v>
      </c>
      <c r="I45">
        <v>129</v>
      </c>
      <c r="J45">
        <v>1768</v>
      </c>
      <c r="K45">
        <v>132</v>
      </c>
      <c r="P45">
        <v>1780.5</v>
      </c>
      <c r="Q45">
        <v>130.5</v>
      </c>
      <c r="R45">
        <v>232355.25</v>
      </c>
      <c r="S45">
        <v>30322.360124999999</v>
      </c>
    </row>
    <row r="46" spans="1:19" x14ac:dyDescent="0.3">
      <c r="A46" s="5">
        <v>40840</v>
      </c>
      <c r="B46">
        <v>2011</v>
      </c>
      <c r="C46">
        <v>10</v>
      </c>
      <c r="D46" t="s">
        <v>397</v>
      </c>
      <c r="E46" t="s">
        <v>399</v>
      </c>
      <c r="F46" t="s">
        <v>396</v>
      </c>
      <c r="H46">
        <v>1832</v>
      </c>
      <c r="I46">
        <v>125</v>
      </c>
      <c r="J46">
        <v>1772</v>
      </c>
      <c r="K46">
        <v>121</v>
      </c>
      <c r="P46">
        <v>1802</v>
      </c>
      <c r="Q46">
        <v>123</v>
      </c>
      <c r="R46">
        <v>221646</v>
      </c>
      <c r="S46">
        <v>27262.457999999999</v>
      </c>
    </row>
    <row r="47" spans="1:19" x14ac:dyDescent="0.3">
      <c r="A47" s="5">
        <v>40840</v>
      </c>
      <c r="B47">
        <v>2011</v>
      </c>
      <c r="C47">
        <v>10</v>
      </c>
      <c r="D47" t="s">
        <v>394</v>
      </c>
      <c r="E47" t="s">
        <v>400</v>
      </c>
      <c r="F47" t="s">
        <v>396</v>
      </c>
      <c r="H47">
        <v>1902</v>
      </c>
      <c r="I47">
        <v>128</v>
      </c>
      <c r="J47">
        <v>1858</v>
      </c>
      <c r="K47">
        <v>125</v>
      </c>
      <c r="P47">
        <v>1880</v>
      </c>
      <c r="Q47">
        <v>126.5</v>
      </c>
      <c r="R47">
        <v>237820</v>
      </c>
      <c r="S47">
        <v>30084.23</v>
      </c>
    </row>
    <row r="48" spans="1:19" x14ac:dyDescent="0.3">
      <c r="A48" s="5">
        <v>40840</v>
      </c>
      <c r="B48">
        <v>2011</v>
      </c>
      <c r="C48">
        <v>10</v>
      </c>
      <c r="D48" t="s">
        <v>397</v>
      </c>
      <c r="E48" t="s">
        <v>400</v>
      </c>
      <c r="F48" t="s">
        <v>396</v>
      </c>
      <c r="H48">
        <v>1913</v>
      </c>
      <c r="I48">
        <v>131</v>
      </c>
      <c r="J48">
        <v>1874</v>
      </c>
      <c r="K48">
        <v>127</v>
      </c>
      <c r="P48">
        <v>1893.5</v>
      </c>
      <c r="Q48">
        <v>129</v>
      </c>
      <c r="R48">
        <v>244261.5</v>
      </c>
      <c r="S48">
        <v>31509.733499999998</v>
      </c>
    </row>
    <row r="49" spans="1:19" x14ac:dyDescent="0.3">
      <c r="A49" s="5">
        <v>40840</v>
      </c>
      <c r="B49">
        <v>2011</v>
      </c>
      <c r="C49">
        <v>10</v>
      </c>
      <c r="D49" t="s">
        <v>394</v>
      </c>
      <c r="E49" t="s">
        <v>399</v>
      </c>
      <c r="F49" t="s">
        <v>396</v>
      </c>
      <c r="H49">
        <v>1915</v>
      </c>
      <c r="I49">
        <v>127</v>
      </c>
      <c r="J49">
        <v>1891</v>
      </c>
      <c r="K49">
        <v>124</v>
      </c>
      <c r="P49">
        <v>1903</v>
      </c>
      <c r="Q49">
        <v>125.5</v>
      </c>
      <c r="R49">
        <v>238826.5</v>
      </c>
      <c r="S49">
        <v>29972.725750000001</v>
      </c>
    </row>
    <row r="50" spans="1:19" x14ac:dyDescent="0.3">
      <c r="A50" s="5">
        <v>40840</v>
      </c>
      <c r="B50">
        <v>2011</v>
      </c>
      <c r="C50">
        <v>10</v>
      </c>
      <c r="D50" t="s">
        <v>397</v>
      </c>
      <c r="E50" t="s">
        <v>402</v>
      </c>
      <c r="F50" t="s">
        <v>396</v>
      </c>
      <c r="H50">
        <v>1973</v>
      </c>
      <c r="I50">
        <v>136</v>
      </c>
      <c r="J50">
        <v>1955</v>
      </c>
      <c r="K50">
        <v>133</v>
      </c>
      <c r="P50">
        <v>1964</v>
      </c>
      <c r="Q50">
        <v>134.5</v>
      </c>
      <c r="R50">
        <v>264158</v>
      </c>
      <c r="S50">
        <v>35529.250999999997</v>
      </c>
    </row>
    <row r="51" spans="1:19" x14ac:dyDescent="0.3">
      <c r="A51" s="5">
        <v>40840</v>
      </c>
      <c r="B51">
        <v>2011</v>
      </c>
      <c r="C51">
        <v>10</v>
      </c>
      <c r="D51" t="s">
        <v>397</v>
      </c>
      <c r="E51" t="s">
        <v>401</v>
      </c>
      <c r="F51" t="s">
        <v>396</v>
      </c>
      <c r="H51">
        <v>2069</v>
      </c>
      <c r="I51">
        <v>116</v>
      </c>
      <c r="J51">
        <v>2007</v>
      </c>
      <c r="K51">
        <v>116</v>
      </c>
      <c r="P51">
        <v>2038</v>
      </c>
      <c r="Q51">
        <v>116</v>
      </c>
      <c r="R51">
        <v>236408</v>
      </c>
      <c r="S51">
        <v>27423.328000000001</v>
      </c>
    </row>
    <row r="52" spans="1:19" x14ac:dyDescent="0.3">
      <c r="A52" s="5">
        <v>40841</v>
      </c>
      <c r="B52">
        <v>2011</v>
      </c>
      <c r="C52">
        <v>10</v>
      </c>
      <c r="D52" t="s">
        <v>394</v>
      </c>
      <c r="E52" t="s">
        <v>395</v>
      </c>
      <c r="F52" t="s">
        <v>396</v>
      </c>
      <c r="H52">
        <v>1240</v>
      </c>
      <c r="I52">
        <v>110</v>
      </c>
      <c r="J52">
        <v>1250</v>
      </c>
      <c r="K52">
        <v>114</v>
      </c>
      <c r="P52">
        <v>1245</v>
      </c>
      <c r="Q52">
        <v>112</v>
      </c>
      <c r="R52">
        <v>139440</v>
      </c>
      <c r="S52">
        <v>15617.28</v>
      </c>
    </row>
    <row r="53" spans="1:19" x14ac:dyDescent="0.3">
      <c r="A53" s="5">
        <v>40841</v>
      </c>
      <c r="B53">
        <v>2011</v>
      </c>
      <c r="C53">
        <v>10</v>
      </c>
      <c r="D53" t="s">
        <v>397</v>
      </c>
      <c r="E53" t="s">
        <v>395</v>
      </c>
      <c r="F53" t="s">
        <v>396</v>
      </c>
      <c r="H53">
        <v>1251</v>
      </c>
      <c r="I53">
        <v>116</v>
      </c>
      <c r="P53">
        <v>1251</v>
      </c>
      <c r="Q53">
        <v>116</v>
      </c>
      <c r="R53">
        <v>145116</v>
      </c>
      <c r="S53">
        <v>16833.455999999998</v>
      </c>
    </row>
    <row r="54" spans="1:19" x14ac:dyDescent="0.3">
      <c r="A54" s="5">
        <v>40841</v>
      </c>
      <c r="B54">
        <v>2011</v>
      </c>
      <c r="C54">
        <v>10</v>
      </c>
      <c r="D54" t="s">
        <v>394</v>
      </c>
      <c r="E54" t="s">
        <v>398</v>
      </c>
      <c r="F54" t="s">
        <v>396</v>
      </c>
      <c r="H54">
        <v>1652</v>
      </c>
      <c r="I54">
        <v>130</v>
      </c>
      <c r="J54">
        <v>1634</v>
      </c>
      <c r="K54">
        <v>127</v>
      </c>
      <c r="P54">
        <v>1643</v>
      </c>
      <c r="Q54">
        <v>128.5</v>
      </c>
      <c r="R54">
        <v>211125.5</v>
      </c>
      <c r="S54">
        <v>27129.626749999999</v>
      </c>
    </row>
    <row r="55" spans="1:19" x14ac:dyDescent="0.3">
      <c r="A55" s="5">
        <v>40841</v>
      </c>
      <c r="B55">
        <v>2011</v>
      </c>
      <c r="C55">
        <v>10</v>
      </c>
      <c r="D55" t="s">
        <v>397</v>
      </c>
      <c r="E55" t="s">
        <v>398</v>
      </c>
      <c r="F55" t="s">
        <v>396</v>
      </c>
      <c r="H55">
        <v>1720</v>
      </c>
      <c r="I55">
        <v>130</v>
      </c>
      <c r="J55">
        <v>1711</v>
      </c>
      <c r="K55">
        <v>126</v>
      </c>
      <c r="P55">
        <v>1715.5</v>
      </c>
      <c r="Q55">
        <v>128</v>
      </c>
      <c r="R55">
        <v>219584</v>
      </c>
      <c r="S55">
        <v>28106.752</v>
      </c>
    </row>
    <row r="56" spans="1:19" x14ac:dyDescent="0.3">
      <c r="A56" s="5">
        <v>40841</v>
      </c>
      <c r="B56">
        <v>2011</v>
      </c>
      <c r="C56">
        <v>10</v>
      </c>
      <c r="D56" t="s">
        <v>394</v>
      </c>
      <c r="E56" t="s">
        <v>399</v>
      </c>
      <c r="F56" t="s">
        <v>396</v>
      </c>
      <c r="H56">
        <v>1775</v>
      </c>
      <c r="I56">
        <v>123</v>
      </c>
      <c r="J56">
        <v>1826</v>
      </c>
      <c r="K56">
        <v>125</v>
      </c>
      <c r="P56">
        <v>1800.5</v>
      </c>
      <c r="Q56">
        <v>124</v>
      </c>
      <c r="R56">
        <v>223262</v>
      </c>
      <c r="S56">
        <v>27684.488000000001</v>
      </c>
    </row>
    <row r="57" spans="1:19" x14ac:dyDescent="0.3">
      <c r="A57" s="5">
        <v>40841</v>
      </c>
      <c r="B57">
        <v>2011</v>
      </c>
      <c r="C57">
        <v>10</v>
      </c>
      <c r="D57" t="s">
        <v>397</v>
      </c>
      <c r="E57" t="s">
        <v>399</v>
      </c>
      <c r="F57" t="s">
        <v>396</v>
      </c>
      <c r="H57">
        <v>1839</v>
      </c>
      <c r="I57">
        <v>124</v>
      </c>
      <c r="J57">
        <v>1928</v>
      </c>
      <c r="K57">
        <v>130</v>
      </c>
      <c r="P57">
        <v>1883.5</v>
      </c>
      <c r="Q57">
        <v>127</v>
      </c>
      <c r="R57">
        <v>239204.5</v>
      </c>
      <c r="S57">
        <v>30378.9715</v>
      </c>
    </row>
    <row r="58" spans="1:19" x14ac:dyDescent="0.3">
      <c r="A58" s="5">
        <v>40841</v>
      </c>
      <c r="B58">
        <v>2011</v>
      </c>
      <c r="C58">
        <v>10</v>
      </c>
      <c r="D58" t="s">
        <v>397</v>
      </c>
      <c r="E58" t="s">
        <v>400</v>
      </c>
      <c r="F58" t="s">
        <v>396</v>
      </c>
      <c r="H58">
        <v>1867</v>
      </c>
      <c r="I58">
        <v>123</v>
      </c>
      <c r="J58">
        <v>1967</v>
      </c>
      <c r="K58">
        <v>136</v>
      </c>
      <c r="P58">
        <v>1917</v>
      </c>
      <c r="Q58">
        <v>129.5</v>
      </c>
      <c r="R58">
        <v>248251.5</v>
      </c>
      <c r="S58">
        <v>32148.56925</v>
      </c>
    </row>
    <row r="59" spans="1:19" x14ac:dyDescent="0.3">
      <c r="A59" s="5">
        <v>40841</v>
      </c>
      <c r="B59">
        <v>2011</v>
      </c>
      <c r="C59">
        <v>10</v>
      </c>
      <c r="D59" t="s">
        <v>394</v>
      </c>
      <c r="E59" t="s">
        <v>400</v>
      </c>
      <c r="F59" t="s">
        <v>396</v>
      </c>
      <c r="H59">
        <v>1940</v>
      </c>
      <c r="I59">
        <v>130</v>
      </c>
      <c r="J59">
        <v>1920</v>
      </c>
      <c r="K59">
        <v>127</v>
      </c>
      <c r="P59">
        <v>1930</v>
      </c>
      <c r="Q59">
        <v>128.5</v>
      </c>
      <c r="R59">
        <v>248005</v>
      </c>
      <c r="S59">
        <v>31868.642500000002</v>
      </c>
    </row>
    <row r="60" spans="1:19" x14ac:dyDescent="0.3">
      <c r="A60" s="5">
        <v>40841</v>
      </c>
      <c r="B60">
        <v>2011</v>
      </c>
      <c r="C60">
        <v>10</v>
      </c>
      <c r="D60" t="s">
        <v>394</v>
      </c>
      <c r="E60" t="s">
        <v>402</v>
      </c>
      <c r="F60" t="s">
        <v>396</v>
      </c>
      <c r="H60">
        <v>1914</v>
      </c>
      <c r="I60">
        <v>130</v>
      </c>
      <c r="J60">
        <v>2037</v>
      </c>
      <c r="K60">
        <v>134</v>
      </c>
      <c r="P60">
        <v>1975.5</v>
      </c>
      <c r="Q60">
        <v>132</v>
      </c>
      <c r="R60">
        <v>260766</v>
      </c>
      <c r="S60">
        <v>34421.112000000001</v>
      </c>
    </row>
    <row r="61" spans="1:19" x14ac:dyDescent="0.3">
      <c r="A61" s="5">
        <v>40841</v>
      </c>
      <c r="B61">
        <v>2011</v>
      </c>
      <c r="C61">
        <v>10</v>
      </c>
      <c r="D61" t="s">
        <v>397</v>
      </c>
      <c r="E61" t="s">
        <v>402</v>
      </c>
      <c r="F61" t="s">
        <v>396</v>
      </c>
      <c r="H61">
        <v>2028</v>
      </c>
      <c r="I61">
        <v>134</v>
      </c>
      <c r="J61">
        <v>1954</v>
      </c>
      <c r="K61">
        <v>137</v>
      </c>
      <c r="P61">
        <v>1991</v>
      </c>
      <c r="Q61">
        <v>135.5</v>
      </c>
      <c r="R61">
        <v>269780.5</v>
      </c>
      <c r="S61">
        <v>36555.257749999997</v>
      </c>
    </row>
    <row r="62" spans="1:19" x14ac:dyDescent="0.3">
      <c r="A62" s="5">
        <v>40841</v>
      </c>
      <c r="B62">
        <v>2011</v>
      </c>
      <c r="C62">
        <v>10</v>
      </c>
      <c r="D62" t="s">
        <v>394</v>
      </c>
      <c r="E62" t="s">
        <v>401</v>
      </c>
      <c r="F62" t="s">
        <v>396</v>
      </c>
      <c r="H62">
        <v>2060</v>
      </c>
      <c r="I62">
        <v>129</v>
      </c>
      <c r="J62">
        <v>2004</v>
      </c>
      <c r="K62">
        <v>120</v>
      </c>
      <c r="P62">
        <v>2032</v>
      </c>
      <c r="Q62">
        <v>124.5</v>
      </c>
      <c r="R62">
        <v>252984</v>
      </c>
      <c r="S62">
        <v>31496.508000000002</v>
      </c>
    </row>
    <row r="63" spans="1:19" x14ac:dyDescent="0.3">
      <c r="A63" s="5">
        <v>40841</v>
      </c>
      <c r="B63">
        <v>2011</v>
      </c>
      <c r="C63">
        <v>10</v>
      </c>
      <c r="D63" t="s">
        <v>397</v>
      </c>
      <c r="E63" t="s">
        <v>401</v>
      </c>
      <c r="F63" t="s">
        <v>396</v>
      </c>
      <c r="H63">
        <v>2090</v>
      </c>
      <c r="I63">
        <v>122</v>
      </c>
      <c r="J63">
        <v>2045</v>
      </c>
      <c r="K63">
        <v>120</v>
      </c>
      <c r="P63">
        <v>2067.5</v>
      </c>
      <c r="Q63">
        <v>121</v>
      </c>
      <c r="R63">
        <v>250167.5</v>
      </c>
      <c r="S63">
        <v>30270.267500000002</v>
      </c>
    </row>
    <row r="64" spans="1:19" x14ac:dyDescent="0.3">
      <c r="A64" s="5">
        <v>40842</v>
      </c>
      <c r="B64">
        <v>2011</v>
      </c>
      <c r="C64">
        <v>10</v>
      </c>
      <c r="D64" t="s">
        <v>397</v>
      </c>
      <c r="E64" t="s">
        <v>395</v>
      </c>
      <c r="F64" t="s">
        <v>396</v>
      </c>
      <c r="H64">
        <v>1167</v>
      </c>
      <c r="I64">
        <v>110</v>
      </c>
      <c r="J64">
        <v>1206</v>
      </c>
      <c r="K64">
        <v>109</v>
      </c>
      <c r="P64">
        <v>1186.5</v>
      </c>
      <c r="Q64">
        <v>109.5</v>
      </c>
      <c r="R64">
        <v>129921.75</v>
      </c>
      <c r="S64">
        <v>14226.431624999999</v>
      </c>
    </row>
    <row r="65" spans="1:19" x14ac:dyDescent="0.3">
      <c r="A65" s="5">
        <v>40842</v>
      </c>
      <c r="B65">
        <v>2011</v>
      </c>
      <c r="C65">
        <v>10</v>
      </c>
      <c r="D65" t="s">
        <v>394</v>
      </c>
      <c r="E65" t="s">
        <v>395</v>
      </c>
      <c r="F65" t="s">
        <v>396</v>
      </c>
      <c r="H65">
        <v>1282</v>
      </c>
      <c r="I65">
        <v>118</v>
      </c>
      <c r="J65">
        <v>1296</v>
      </c>
      <c r="K65">
        <v>118</v>
      </c>
      <c r="P65">
        <v>1289</v>
      </c>
      <c r="Q65">
        <v>118</v>
      </c>
      <c r="R65">
        <v>152102</v>
      </c>
      <c r="S65">
        <v>17948.036</v>
      </c>
    </row>
    <row r="66" spans="1:19" x14ac:dyDescent="0.3">
      <c r="A66" s="5">
        <v>40842</v>
      </c>
      <c r="B66">
        <v>2011</v>
      </c>
      <c r="C66">
        <v>10</v>
      </c>
      <c r="D66" t="s">
        <v>394</v>
      </c>
      <c r="E66" t="s">
        <v>398</v>
      </c>
      <c r="F66" t="s">
        <v>396</v>
      </c>
      <c r="H66">
        <v>1557</v>
      </c>
      <c r="I66">
        <v>128</v>
      </c>
      <c r="J66">
        <v>1590</v>
      </c>
      <c r="K66">
        <v>125</v>
      </c>
      <c r="P66">
        <v>1573.5</v>
      </c>
      <c r="Q66">
        <v>126.5</v>
      </c>
      <c r="R66">
        <v>199047.75</v>
      </c>
      <c r="S66">
        <v>25179.540375</v>
      </c>
    </row>
    <row r="67" spans="1:19" x14ac:dyDescent="0.3">
      <c r="A67" s="5">
        <v>40842</v>
      </c>
      <c r="B67">
        <v>2011</v>
      </c>
      <c r="C67">
        <v>10</v>
      </c>
      <c r="D67" t="s">
        <v>397</v>
      </c>
      <c r="E67" t="s">
        <v>398</v>
      </c>
      <c r="F67" t="s">
        <v>396</v>
      </c>
      <c r="H67">
        <v>1785</v>
      </c>
      <c r="I67">
        <v>130</v>
      </c>
      <c r="J67">
        <v>1776</v>
      </c>
      <c r="K67">
        <v>131</v>
      </c>
      <c r="P67">
        <v>1780.5</v>
      </c>
      <c r="Q67">
        <v>130.5</v>
      </c>
      <c r="R67">
        <v>232355.25</v>
      </c>
      <c r="S67">
        <v>30322.360124999999</v>
      </c>
    </row>
    <row r="68" spans="1:19" x14ac:dyDescent="0.3">
      <c r="A68" s="5">
        <v>40842</v>
      </c>
      <c r="B68">
        <v>2011</v>
      </c>
      <c r="C68">
        <v>10</v>
      </c>
      <c r="D68" t="s">
        <v>394</v>
      </c>
      <c r="E68" t="s">
        <v>400</v>
      </c>
      <c r="F68" t="s">
        <v>396</v>
      </c>
      <c r="H68">
        <v>1815</v>
      </c>
      <c r="I68">
        <v>119</v>
      </c>
      <c r="J68">
        <v>1826</v>
      </c>
      <c r="K68">
        <v>127</v>
      </c>
      <c r="P68">
        <v>1820.5</v>
      </c>
      <c r="Q68">
        <v>123</v>
      </c>
      <c r="R68">
        <v>223921.5</v>
      </c>
      <c r="S68">
        <v>27542.344499999999</v>
      </c>
    </row>
    <row r="69" spans="1:19" x14ac:dyDescent="0.3">
      <c r="A69" s="5">
        <v>40842</v>
      </c>
      <c r="B69">
        <v>2011</v>
      </c>
      <c r="C69">
        <v>10</v>
      </c>
      <c r="D69" t="s">
        <v>397</v>
      </c>
      <c r="E69" t="s">
        <v>399</v>
      </c>
      <c r="F69" t="s">
        <v>396</v>
      </c>
      <c r="H69">
        <v>1819</v>
      </c>
      <c r="I69">
        <v>123</v>
      </c>
      <c r="J69">
        <v>1847</v>
      </c>
      <c r="K69">
        <v>126</v>
      </c>
      <c r="P69">
        <v>1833</v>
      </c>
      <c r="Q69">
        <v>124.5</v>
      </c>
      <c r="R69">
        <v>228208.5</v>
      </c>
      <c r="S69">
        <v>28411.95825</v>
      </c>
    </row>
    <row r="70" spans="1:19" x14ac:dyDescent="0.3">
      <c r="A70" s="5">
        <v>40842</v>
      </c>
      <c r="B70">
        <v>2011</v>
      </c>
      <c r="C70">
        <v>10</v>
      </c>
      <c r="D70" t="s">
        <v>394</v>
      </c>
      <c r="E70" t="s">
        <v>399</v>
      </c>
      <c r="F70" t="s">
        <v>396</v>
      </c>
      <c r="H70">
        <v>1900</v>
      </c>
      <c r="I70">
        <v>132</v>
      </c>
      <c r="J70">
        <v>1838</v>
      </c>
      <c r="K70">
        <v>126</v>
      </c>
      <c r="P70">
        <v>1869</v>
      </c>
      <c r="Q70">
        <v>129</v>
      </c>
      <c r="R70">
        <v>241101</v>
      </c>
      <c r="S70">
        <v>31102.028999999999</v>
      </c>
    </row>
    <row r="71" spans="1:19" x14ac:dyDescent="0.3">
      <c r="A71" s="5">
        <v>40842</v>
      </c>
      <c r="B71">
        <v>2011</v>
      </c>
      <c r="C71">
        <v>10</v>
      </c>
      <c r="D71" t="s">
        <v>397</v>
      </c>
      <c r="E71" t="s">
        <v>400</v>
      </c>
      <c r="F71" t="s">
        <v>396</v>
      </c>
      <c r="H71">
        <v>1904</v>
      </c>
      <c r="I71">
        <v>124</v>
      </c>
      <c r="J71">
        <v>1972</v>
      </c>
      <c r="K71">
        <v>132</v>
      </c>
      <c r="P71">
        <v>1938</v>
      </c>
      <c r="Q71">
        <v>128</v>
      </c>
      <c r="R71">
        <v>248064</v>
      </c>
      <c r="S71">
        <v>31752.191999999999</v>
      </c>
    </row>
    <row r="72" spans="1:19" x14ac:dyDescent="0.3">
      <c r="A72" s="5">
        <v>40842</v>
      </c>
      <c r="B72">
        <v>2011</v>
      </c>
      <c r="C72">
        <v>10</v>
      </c>
      <c r="D72" t="s">
        <v>394</v>
      </c>
      <c r="E72" t="s">
        <v>401</v>
      </c>
      <c r="F72" t="s">
        <v>396</v>
      </c>
      <c r="H72">
        <v>1942</v>
      </c>
      <c r="I72">
        <v>118</v>
      </c>
      <c r="J72">
        <v>1948</v>
      </c>
      <c r="K72">
        <v>122</v>
      </c>
      <c r="P72">
        <v>1945</v>
      </c>
      <c r="Q72">
        <v>120</v>
      </c>
      <c r="R72">
        <v>233400</v>
      </c>
      <c r="S72">
        <v>28008</v>
      </c>
    </row>
    <row r="73" spans="1:19" x14ac:dyDescent="0.3">
      <c r="A73" s="5">
        <v>40842</v>
      </c>
      <c r="B73">
        <v>2011</v>
      </c>
      <c r="C73">
        <v>10</v>
      </c>
      <c r="D73" t="s">
        <v>397</v>
      </c>
      <c r="E73" t="s">
        <v>402</v>
      </c>
      <c r="F73" t="s">
        <v>396</v>
      </c>
      <c r="H73">
        <v>1953</v>
      </c>
      <c r="I73">
        <v>130</v>
      </c>
      <c r="J73">
        <v>2020</v>
      </c>
      <c r="K73">
        <v>133</v>
      </c>
      <c r="P73">
        <v>1986.5</v>
      </c>
      <c r="Q73">
        <v>131.5</v>
      </c>
      <c r="R73">
        <v>261224.75</v>
      </c>
      <c r="S73">
        <v>34351.054624999997</v>
      </c>
    </row>
    <row r="74" spans="1:19" x14ac:dyDescent="0.3">
      <c r="A74" s="5">
        <v>40842</v>
      </c>
      <c r="B74">
        <v>2011</v>
      </c>
      <c r="C74">
        <v>10</v>
      </c>
      <c r="D74" t="s">
        <v>397</v>
      </c>
      <c r="E74" t="s">
        <v>401</v>
      </c>
      <c r="F74" t="s">
        <v>396</v>
      </c>
      <c r="H74">
        <v>2072</v>
      </c>
      <c r="I74">
        <v>122</v>
      </c>
      <c r="J74">
        <v>1999</v>
      </c>
      <c r="K74">
        <v>118</v>
      </c>
      <c r="P74">
        <v>2035.5</v>
      </c>
      <c r="Q74">
        <v>120</v>
      </c>
      <c r="R74">
        <v>244260</v>
      </c>
      <c r="S74">
        <v>29311.200000000001</v>
      </c>
    </row>
    <row r="75" spans="1:19" x14ac:dyDescent="0.3">
      <c r="A75" s="5">
        <v>40843</v>
      </c>
      <c r="B75">
        <v>2011</v>
      </c>
      <c r="C75">
        <v>10</v>
      </c>
      <c r="D75" t="s">
        <v>394</v>
      </c>
      <c r="E75" t="s">
        <v>395</v>
      </c>
      <c r="F75" t="s">
        <v>396</v>
      </c>
      <c r="H75">
        <v>1250</v>
      </c>
      <c r="I75">
        <v>112</v>
      </c>
      <c r="J75">
        <v>1244</v>
      </c>
      <c r="K75">
        <v>115</v>
      </c>
      <c r="P75">
        <v>1247</v>
      </c>
      <c r="Q75">
        <v>113.5</v>
      </c>
      <c r="R75">
        <v>141534.5</v>
      </c>
      <c r="S75">
        <v>16064.16575</v>
      </c>
    </row>
    <row r="76" spans="1:19" x14ac:dyDescent="0.3">
      <c r="A76" s="5">
        <v>40843</v>
      </c>
      <c r="B76">
        <v>2011</v>
      </c>
      <c r="C76">
        <v>10</v>
      </c>
      <c r="D76" t="s">
        <v>397</v>
      </c>
      <c r="E76" t="s">
        <v>395</v>
      </c>
      <c r="F76" t="s">
        <v>396</v>
      </c>
      <c r="H76">
        <v>1298</v>
      </c>
      <c r="I76">
        <v>117</v>
      </c>
      <c r="J76">
        <v>1322</v>
      </c>
      <c r="K76">
        <v>117</v>
      </c>
      <c r="P76">
        <v>1310</v>
      </c>
      <c r="Q76">
        <v>117</v>
      </c>
      <c r="R76">
        <v>153270</v>
      </c>
      <c r="S76">
        <v>17932.59</v>
      </c>
    </row>
    <row r="77" spans="1:19" x14ac:dyDescent="0.3">
      <c r="A77" s="5">
        <v>40843</v>
      </c>
      <c r="B77">
        <v>2011</v>
      </c>
      <c r="C77">
        <v>10</v>
      </c>
      <c r="D77" t="s">
        <v>397</v>
      </c>
      <c r="E77" t="s">
        <v>398</v>
      </c>
      <c r="F77" t="s">
        <v>396</v>
      </c>
      <c r="H77">
        <v>1654</v>
      </c>
      <c r="I77">
        <v>130</v>
      </c>
      <c r="J77">
        <v>1654</v>
      </c>
      <c r="K77">
        <v>128</v>
      </c>
      <c r="P77">
        <v>1654</v>
      </c>
      <c r="Q77">
        <v>129</v>
      </c>
      <c r="R77">
        <v>213366</v>
      </c>
      <c r="S77">
        <v>27524.214</v>
      </c>
    </row>
    <row r="78" spans="1:19" x14ac:dyDescent="0.3">
      <c r="A78" s="5">
        <v>40843</v>
      </c>
      <c r="B78">
        <v>2011</v>
      </c>
      <c r="C78">
        <v>10</v>
      </c>
      <c r="D78" t="s">
        <v>397</v>
      </c>
      <c r="E78" t="s">
        <v>399</v>
      </c>
      <c r="F78" t="s">
        <v>396</v>
      </c>
      <c r="H78">
        <v>1709</v>
      </c>
      <c r="I78">
        <v>119</v>
      </c>
      <c r="J78">
        <v>1757</v>
      </c>
      <c r="K78">
        <v>121</v>
      </c>
      <c r="P78">
        <v>1733</v>
      </c>
      <c r="Q78">
        <v>120</v>
      </c>
      <c r="R78">
        <v>207960</v>
      </c>
      <c r="S78">
        <v>24955.200000000001</v>
      </c>
    </row>
    <row r="79" spans="1:19" x14ac:dyDescent="0.3">
      <c r="A79" s="5">
        <v>40843</v>
      </c>
      <c r="B79">
        <v>2011</v>
      </c>
      <c r="C79">
        <v>10</v>
      </c>
      <c r="D79" t="s">
        <v>394</v>
      </c>
      <c r="E79" t="s">
        <v>398</v>
      </c>
      <c r="F79" t="s">
        <v>396</v>
      </c>
      <c r="H79">
        <v>1774</v>
      </c>
      <c r="I79">
        <v>130</v>
      </c>
      <c r="J79">
        <v>1785</v>
      </c>
      <c r="K79">
        <v>129</v>
      </c>
      <c r="P79">
        <v>1779.5</v>
      </c>
      <c r="Q79">
        <v>129.5</v>
      </c>
      <c r="R79">
        <v>230445.25</v>
      </c>
      <c r="S79">
        <v>29842.659875000001</v>
      </c>
    </row>
    <row r="80" spans="1:19" x14ac:dyDescent="0.3">
      <c r="A80" s="5">
        <v>40843</v>
      </c>
      <c r="B80">
        <v>2011</v>
      </c>
      <c r="C80">
        <v>10</v>
      </c>
      <c r="D80" t="s">
        <v>394</v>
      </c>
      <c r="E80" t="s">
        <v>400</v>
      </c>
      <c r="F80" t="s">
        <v>396</v>
      </c>
      <c r="H80">
        <v>1765</v>
      </c>
      <c r="I80">
        <v>124</v>
      </c>
      <c r="J80">
        <v>1837</v>
      </c>
      <c r="K80">
        <v>128</v>
      </c>
      <c r="P80">
        <v>1801</v>
      </c>
      <c r="Q80">
        <v>126</v>
      </c>
      <c r="R80">
        <v>226926</v>
      </c>
      <c r="S80">
        <v>28592.675999999999</v>
      </c>
    </row>
    <row r="81" spans="1:19" x14ac:dyDescent="0.3">
      <c r="A81" s="5">
        <v>40843</v>
      </c>
      <c r="B81">
        <v>2011</v>
      </c>
      <c r="C81">
        <v>10</v>
      </c>
      <c r="D81" t="s">
        <v>397</v>
      </c>
      <c r="E81" t="s">
        <v>400</v>
      </c>
      <c r="F81" t="s">
        <v>396</v>
      </c>
      <c r="H81">
        <v>1804</v>
      </c>
      <c r="I81">
        <v>129</v>
      </c>
      <c r="J81">
        <v>1801</v>
      </c>
      <c r="K81">
        <v>125</v>
      </c>
      <c r="P81">
        <v>1802.5</v>
      </c>
      <c r="Q81">
        <v>127</v>
      </c>
      <c r="R81">
        <v>228917.5</v>
      </c>
      <c r="S81">
        <v>29072.522499999999</v>
      </c>
    </row>
    <row r="82" spans="1:19" x14ac:dyDescent="0.3">
      <c r="A82" s="5">
        <v>40843</v>
      </c>
      <c r="B82">
        <v>2011</v>
      </c>
      <c r="C82">
        <v>10</v>
      </c>
      <c r="D82" t="s">
        <v>394</v>
      </c>
      <c r="E82" t="s">
        <v>399</v>
      </c>
      <c r="F82" t="s">
        <v>396</v>
      </c>
      <c r="H82">
        <v>1824</v>
      </c>
      <c r="I82">
        <v>126</v>
      </c>
      <c r="J82">
        <v>1787</v>
      </c>
      <c r="K82">
        <v>122</v>
      </c>
      <c r="P82">
        <v>1805.5</v>
      </c>
      <c r="Q82">
        <v>124</v>
      </c>
      <c r="R82">
        <v>223882</v>
      </c>
      <c r="S82">
        <v>27761.367999999999</v>
      </c>
    </row>
    <row r="83" spans="1:19" x14ac:dyDescent="0.3">
      <c r="A83" s="5">
        <v>40843</v>
      </c>
      <c r="B83">
        <v>2011</v>
      </c>
      <c r="C83">
        <v>10</v>
      </c>
      <c r="D83" t="s">
        <v>397</v>
      </c>
      <c r="E83" t="s">
        <v>401</v>
      </c>
      <c r="F83" t="s">
        <v>396</v>
      </c>
      <c r="H83">
        <v>2022</v>
      </c>
      <c r="I83">
        <v>124</v>
      </c>
      <c r="J83">
        <v>1897</v>
      </c>
      <c r="K83">
        <v>121</v>
      </c>
      <c r="P83">
        <v>1959.5</v>
      </c>
      <c r="Q83">
        <v>122.5</v>
      </c>
      <c r="R83">
        <v>240038.75</v>
      </c>
      <c r="S83">
        <v>29404.746875000001</v>
      </c>
    </row>
    <row r="84" spans="1:19" x14ac:dyDescent="0.3">
      <c r="A84" s="5">
        <v>40843</v>
      </c>
      <c r="B84">
        <v>2011</v>
      </c>
      <c r="C84">
        <v>10</v>
      </c>
      <c r="D84" t="s">
        <v>397</v>
      </c>
      <c r="E84" t="s">
        <v>402</v>
      </c>
      <c r="F84" t="s">
        <v>396</v>
      </c>
      <c r="H84">
        <v>2031</v>
      </c>
      <c r="I84">
        <v>137</v>
      </c>
      <c r="J84">
        <v>1966</v>
      </c>
      <c r="K84">
        <v>139</v>
      </c>
      <c r="P84">
        <v>1998.5</v>
      </c>
      <c r="Q84">
        <v>138</v>
      </c>
      <c r="R84">
        <v>275793</v>
      </c>
      <c r="S84">
        <v>38059.434000000001</v>
      </c>
    </row>
    <row r="85" spans="1:19" x14ac:dyDescent="0.3">
      <c r="A85" s="5">
        <v>40843</v>
      </c>
      <c r="B85">
        <v>2011</v>
      </c>
      <c r="C85">
        <v>10</v>
      </c>
      <c r="D85" t="s">
        <v>394</v>
      </c>
      <c r="E85" t="s">
        <v>402</v>
      </c>
      <c r="F85" t="s">
        <v>396</v>
      </c>
      <c r="H85">
        <v>2104</v>
      </c>
      <c r="I85">
        <v>133</v>
      </c>
      <c r="J85">
        <v>1989</v>
      </c>
      <c r="K85">
        <v>133</v>
      </c>
      <c r="P85">
        <v>2046.5</v>
      </c>
      <c r="Q85">
        <v>133</v>
      </c>
      <c r="R85">
        <v>272184.5</v>
      </c>
      <c r="S85">
        <v>36200.538500000002</v>
      </c>
    </row>
    <row r="86" spans="1:19" x14ac:dyDescent="0.3">
      <c r="A86" s="5">
        <v>40844</v>
      </c>
      <c r="B86">
        <v>2011</v>
      </c>
      <c r="C86">
        <v>10</v>
      </c>
      <c r="D86" t="s">
        <v>397</v>
      </c>
      <c r="E86" t="s">
        <v>395</v>
      </c>
      <c r="F86" t="s">
        <v>396</v>
      </c>
      <c r="H86">
        <v>1217</v>
      </c>
      <c r="I86">
        <v>110</v>
      </c>
      <c r="J86">
        <v>1224</v>
      </c>
      <c r="K86">
        <v>113</v>
      </c>
      <c r="P86">
        <v>1220.5</v>
      </c>
      <c r="Q86">
        <v>111.5</v>
      </c>
      <c r="R86">
        <v>136085.75</v>
      </c>
      <c r="S86">
        <v>15173.561125</v>
      </c>
    </row>
    <row r="87" spans="1:19" x14ac:dyDescent="0.3">
      <c r="A87" s="5">
        <v>40844</v>
      </c>
      <c r="B87">
        <v>2011</v>
      </c>
      <c r="C87">
        <v>10</v>
      </c>
      <c r="D87" t="s">
        <v>397</v>
      </c>
      <c r="E87" t="s">
        <v>399</v>
      </c>
      <c r="F87" t="s">
        <v>396</v>
      </c>
      <c r="H87">
        <v>1692</v>
      </c>
      <c r="I87">
        <v>119</v>
      </c>
      <c r="J87">
        <v>1672</v>
      </c>
      <c r="K87">
        <v>117</v>
      </c>
      <c r="P87">
        <v>1682</v>
      </c>
      <c r="Q87">
        <v>118</v>
      </c>
      <c r="R87">
        <v>198476</v>
      </c>
      <c r="S87">
        <v>23420.168000000001</v>
      </c>
    </row>
    <row r="88" spans="1:19" x14ac:dyDescent="0.3">
      <c r="A88" s="5">
        <v>40844</v>
      </c>
      <c r="B88">
        <v>2011</v>
      </c>
      <c r="C88">
        <v>10</v>
      </c>
      <c r="D88" t="s">
        <v>397</v>
      </c>
      <c r="E88" t="s">
        <v>400</v>
      </c>
      <c r="F88" t="s">
        <v>396</v>
      </c>
      <c r="H88">
        <v>1722</v>
      </c>
      <c r="I88">
        <v>123</v>
      </c>
      <c r="J88">
        <v>1747</v>
      </c>
      <c r="K88">
        <v>127</v>
      </c>
      <c r="P88">
        <v>1734.5</v>
      </c>
      <c r="Q88">
        <v>125</v>
      </c>
      <c r="R88">
        <v>216812.5</v>
      </c>
      <c r="S88">
        <v>27101.5625</v>
      </c>
    </row>
    <row r="89" spans="1:19" x14ac:dyDescent="0.3">
      <c r="A89" s="5">
        <v>40844</v>
      </c>
      <c r="B89">
        <v>2011</v>
      </c>
      <c r="C89">
        <v>10</v>
      </c>
      <c r="D89" t="s">
        <v>397</v>
      </c>
      <c r="E89" t="s">
        <v>398</v>
      </c>
      <c r="F89" t="s">
        <v>396</v>
      </c>
      <c r="H89">
        <v>1652</v>
      </c>
      <c r="I89">
        <v>125</v>
      </c>
      <c r="J89">
        <v>1826</v>
      </c>
      <c r="K89">
        <v>132</v>
      </c>
      <c r="P89">
        <v>1739</v>
      </c>
      <c r="Q89">
        <v>128.5</v>
      </c>
      <c r="R89">
        <v>223461.5</v>
      </c>
      <c r="S89">
        <v>28714.802749999999</v>
      </c>
    </row>
    <row r="90" spans="1:19" x14ac:dyDescent="0.3">
      <c r="A90" s="5">
        <v>40844</v>
      </c>
      <c r="B90">
        <v>2011</v>
      </c>
      <c r="C90">
        <v>10</v>
      </c>
      <c r="D90" t="s">
        <v>394</v>
      </c>
      <c r="E90" t="s">
        <v>399</v>
      </c>
      <c r="F90" t="s">
        <v>396</v>
      </c>
      <c r="H90">
        <v>1727</v>
      </c>
      <c r="I90">
        <v>123</v>
      </c>
      <c r="J90">
        <v>1757</v>
      </c>
      <c r="K90">
        <v>122</v>
      </c>
      <c r="P90">
        <v>1742</v>
      </c>
      <c r="Q90">
        <v>122.5</v>
      </c>
      <c r="R90">
        <v>213395</v>
      </c>
      <c r="S90">
        <v>26140.887500000001</v>
      </c>
    </row>
    <row r="91" spans="1:19" x14ac:dyDescent="0.3">
      <c r="A91" s="5">
        <v>40844</v>
      </c>
      <c r="B91">
        <v>2011</v>
      </c>
      <c r="C91">
        <v>10</v>
      </c>
      <c r="D91" t="s">
        <v>397</v>
      </c>
      <c r="E91" t="s">
        <v>402</v>
      </c>
      <c r="F91" t="s">
        <v>396</v>
      </c>
      <c r="H91">
        <v>1907</v>
      </c>
      <c r="I91">
        <v>130</v>
      </c>
      <c r="J91">
        <v>1849</v>
      </c>
      <c r="K91">
        <v>130</v>
      </c>
      <c r="P91">
        <v>1878</v>
      </c>
      <c r="Q91">
        <v>130</v>
      </c>
      <c r="R91">
        <v>244140</v>
      </c>
      <c r="S91">
        <v>31738.2</v>
      </c>
    </row>
    <row r="92" spans="1:19" x14ac:dyDescent="0.3">
      <c r="A92" s="5">
        <v>40844</v>
      </c>
      <c r="B92">
        <v>2011</v>
      </c>
      <c r="C92">
        <v>10</v>
      </c>
      <c r="D92" t="s">
        <v>394</v>
      </c>
      <c r="E92" t="s">
        <v>398</v>
      </c>
      <c r="F92" t="s">
        <v>396</v>
      </c>
      <c r="H92">
        <v>1891</v>
      </c>
      <c r="I92">
        <v>136</v>
      </c>
      <c r="P92">
        <v>1891</v>
      </c>
      <c r="Q92">
        <v>136</v>
      </c>
      <c r="R92">
        <v>257176</v>
      </c>
      <c r="S92">
        <v>34975.936000000002</v>
      </c>
    </row>
    <row r="93" spans="1:19" x14ac:dyDescent="0.3">
      <c r="A93" s="5">
        <v>40844</v>
      </c>
      <c r="B93">
        <v>2011</v>
      </c>
      <c r="C93">
        <v>10</v>
      </c>
      <c r="D93" t="s">
        <v>397</v>
      </c>
      <c r="E93" t="s">
        <v>401</v>
      </c>
      <c r="F93" t="s">
        <v>396</v>
      </c>
      <c r="H93">
        <v>1896</v>
      </c>
      <c r="I93">
        <v>116</v>
      </c>
      <c r="J93">
        <v>1955</v>
      </c>
      <c r="K93">
        <v>121</v>
      </c>
      <c r="P93">
        <v>1925.5</v>
      </c>
      <c r="Q93">
        <v>118.5</v>
      </c>
      <c r="R93">
        <v>228171.75</v>
      </c>
      <c r="S93">
        <v>27038.352374999999</v>
      </c>
    </row>
    <row r="94" spans="1:19" x14ac:dyDescent="0.3">
      <c r="A94" s="5">
        <v>40844</v>
      </c>
      <c r="B94">
        <v>2011</v>
      </c>
      <c r="C94">
        <v>10</v>
      </c>
      <c r="D94" t="s">
        <v>394</v>
      </c>
      <c r="E94" t="s">
        <v>400</v>
      </c>
      <c r="F94" t="s">
        <v>396</v>
      </c>
      <c r="H94">
        <v>1856</v>
      </c>
      <c r="I94">
        <v>131</v>
      </c>
      <c r="J94">
        <v>2082</v>
      </c>
      <c r="K94">
        <v>136</v>
      </c>
      <c r="P94">
        <v>1969</v>
      </c>
      <c r="Q94">
        <v>133.5</v>
      </c>
      <c r="R94">
        <v>262861.5</v>
      </c>
      <c r="S94">
        <v>35092.010249999999</v>
      </c>
    </row>
    <row r="95" spans="1:19" x14ac:dyDescent="0.3">
      <c r="A95" s="5">
        <v>40844</v>
      </c>
      <c r="B95">
        <v>2011</v>
      </c>
      <c r="C95">
        <v>10</v>
      </c>
      <c r="D95" t="s">
        <v>394</v>
      </c>
      <c r="E95" t="s">
        <v>402</v>
      </c>
      <c r="F95" t="s">
        <v>396</v>
      </c>
      <c r="H95">
        <v>2002</v>
      </c>
      <c r="I95">
        <v>139</v>
      </c>
      <c r="P95">
        <v>2002</v>
      </c>
      <c r="Q95">
        <v>139</v>
      </c>
      <c r="R95">
        <v>278278</v>
      </c>
      <c r="S95">
        <v>38680.642</v>
      </c>
    </row>
    <row r="96" spans="1:19" x14ac:dyDescent="0.3">
      <c r="A96" s="5">
        <v>40844</v>
      </c>
      <c r="B96">
        <v>2011</v>
      </c>
      <c r="C96">
        <v>10</v>
      </c>
      <c r="D96" t="s">
        <v>394</v>
      </c>
      <c r="E96" t="s">
        <v>401</v>
      </c>
      <c r="F96" t="s">
        <v>396</v>
      </c>
      <c r="H96">
        <v>2125</v>
      </c>
      <c r="I96">
        <v>122</v>
      </c>
      <c r="J96">
        <v>2176</v>
      </c>
      <c r="K96">
        <v>119</v>
      </c>
      <c r="P96">
        <v>2150.5</v>
      </c>
      <c r="Q96">
        <v>120.5</v>
      </c>
      <c r="R96">
        <v>259135.25</v>
      </c>
      <c r="S96">
        <v>31225.797624999999</v>
      </c>
    </row>
    <row r="97" spans="1:19" x14ac:dyDescent="0.3">
      <c r="A97" s="5">
        <v>40863</v>
      </c>
      <c r="B97">
        <v>2011</v>
      </c>
      <c r="C97">
        <v>11</v>
      </c>
      <c r="D97" t="s">
        <v>394</v>
      </c>
      <c r="E97" t="s">
        <v>399</v>
      </c>
      <c r="F97" t="s">
        <v>396</v>
      </c>
      <c r="H97">
        <v>1881</v>
      </c>
      <c r="I97">
        <v>125</v>
      </c>
      <c r="J97">
        <v>1805</v>
      </c>
      <c r="K97">
        <v>123</v>
      </c>
      <c r="P97">
        <v>1843</v>
      </c>
      <c r="Q97">
        <v>124</v>
      </c>
      <c r="R97">
        <v>228532</v>
      </c>
      <c r="S97">
        <v>28337.968000000001</v>
      </c>
    </row>
    <row r="98" spans="1:19" x14ac:dyDescent="0.3">
      <c r="A98" s="5">
        <v>40863</v>
      </c>
      <c r="B98">
        <v>2011</v>
      </c>
      <c r="C98">
        <v>11</v>
      </c>
      <c r="D98" t="s">
        <v>394</v>
      </c>
      <c r="E98" t="s">
        <v>400</v>
      </c>
      <c r="F98" t="s">
        <v>396</v>
      </c>
      <c r="H98">
        <v>1875</v>
      </c>
      <c r="I98">
        <v>130</v>
      </c>
      <c r="J98">
        <v>1849</v>
      </c>
      <c r="K98">
        <v>125</v>
      </c>
      <c r="P98">
        <v>1862</v>
      </c>
      <c r="Q98">
        <v>127.5</v>
      </c>
      <c r="R98">
        <v>237405</v>
      </c>
      <c r="S98">
        <v>30269.137500000001</v>
      </c>
    </row>
    <row r="99" spans="1:19" x14ac:dyDescent="0.3">
      <c r="A99" s="5">
        <v>40863</v>
      </c>
      <c r="B99">
        <v>2011</v>
      </c>
      <c r="C99">
        <v>11</v>
      </c>
      <c r="D99" t="s">
        <v>394</v>
      </c>
      <c r="E99" t="s">
        <v>401</v>
      </c>
      <c r="F99" t="s">
        <v>396</v>
      </c>
      <c r="H99">
        <v>2081</v>
      </c>
      <c r="I99">
        <v>116</v>
      </c>
      <c r="J99">
        <v>1949</v>
      </c>
      <c r="K99">
        <v>109</v>
      </c>
      <c r="P99">
        <v>2015</v>
      </c>
      <c r="Q99">
        <v>112.5</v>
      </c>
      <c r="R99">
        <v>226687.5</v>
      </c>
      <c r="S99">
        <v>25502.34375</v>
      </c>
    </row>
    <row r="100" spans="1:19" x14ac:dyDescent="0.3">
      <c r="A100" s="5">
        <v>40863</v>
      </c>
      <c r="B100">
        <v>2011</v>
      </c>
      <c r="C100">
        <v>11</v>
      </c>
      <c r="D100" t="s">
        <v>394</v>
      </c>
      <c r="E100" t="s">
        <v>402</v>
      </c>
      <c r="F100" t="s">
        <v>396</v>
      </c>
      <c r="H100">
        <v>2069</v>
      </c>
      <c r="I100">
        <v>135</v>
      </c>
      <c r="J100">
        <v>2219</v>
      </c>
      <c r="K100">
        <v>133</v>
      </c>
      <c r="P100">
        <v>2144</v>
      </c>
      <c r="Q100">
        <v>134</v>
      </c>
      <c r="R100">
        <v>287296</v>
      </c>
      <c r="S100">
        <v>38497.663999999997</v>
      </c>
    </row>
    <row r="101" spans="1:19" x14ac:dyDescent="0.3">
      <c r="A101" s="5">
        <v>40871</v>
      </c>
      <c r="B101">
        <v>2011</v>
      </c>
      <c r="C101">
        <v>11</v>
      </c>
      <c r="D101" t="s">
        <v>394</v>
      </c>
      <c r="E101" t="s">
        <v>395</v>
      </c>
      <c r="F101" t="s">
        <v>396</v>
      </c>
      <c r="H101">
        <v>1182</v>
      </c>
      <c r="I101">
        <v>114</v>
      </c>
      <c r="J101">
        <v>1217</v>
      </c>
      <c r="K101">
        <v>112</v>
      </c>
      <c r="P101">
        <v>1199.5</v>
      </c>
      <c r="Q101">
        <v>113</v>
      </c>
      <c r="R101">
        <v>135543.5</v>
      </c>
      <c r="S101">
        <v>15316.415499999999</v>
      </c>
    </row>
    <row r="102" spans="1:19" x14ac:dyDescent="0.3">
      <c r="A102" s="5">
        <v>40871</v>
      </c>
      <c r="B102">
        <v>2011</v>
      </c>
      <c r="C102">
        <v>11</v>
      </c>
      <c r="D102" t="s">
        <v>394</v>
      </c>
      <c r="E102" t="s">
        <v>398</v>
      </c>
      <c r="F102" t="s">
        <v>396</v>
      </c>
      <c r="H102">
        <v>1628</v>
      </c>
      <c r="I102">
        <v>132</v>
      </c>
      <c r="J102">
        <v>1552</v>
      </c>
      <c r="K102">
        <v>129</v>
      </c>
      <c r="P102">
        <v>1590</v>
      </c>
      <c r="Q102">
        <v>130.5</v>
      </c>
      <c r="R102">
        <v>207495</v>
      </c>
      <c r="S102">
        <v>27078.0975</v>
      </c>
    </row>
    <row r="103" spans="1:19" x14ac:dyDescent="0.3">
      <c r="A103" s="5">
        <v>40871</v>
      </c>
      <c r="B103">
        <v>2011</v>
      </c>
      <c r="C103">
        <v>11</v>
      </c>
      <c r="D103" t="s">
        <v>394</v>
      </c>
      <c r="E103" t="s">
        <v>399</v>
      </c>
      <c r="F103" t="s">
        <v>396</v>
      </c>
      <c r="H103">
        <v>1695</v>
      </c>
      <c r="I103">
        <v>123</v>
      </c>
      <c r="J103">
        <v>1809</v>
      </c>
      <c r="K103">
        <v>135</v>
      </c>
      <c r="P103">
        <v>1752</v>
      </c>
      <c r="Q103">
        <v>129</v>
      </c>
      <c r="R103">
        <v>226008</v>
      </c>
      <c r="S103">
        <v>29155.031999999999</v>
      </c>
    </row>
    <row r="104" spans="1:19" x14ac:dyDescent="0.3">
      <c r="A104" s="5">
        <v>40871</v>
      </c>
      <c r="B104">
        <v>2011</v>
      </c>
      <c r="C104">
        <v>11</v>
      </c>
      <c r="D104" t="s">
        <v>394</v>
      </c>
      <c r="E104" t="s">
        <v>400</v>
      </c>
      <c r="F104" t="s">
        <v>396</v>
      </c>
      <c r="H104">
        <v>1794</v>
      </c>
      <c r="I104">
        <v>133</v>
      </c>
      <c r="J104">
        <v>1819</v>
      </c>
      <c r="K104">
        <v>131</v>
      </c>
      <c r="P104">
        <v>1806.5</v>
      </c>
      <c r="Q104">
        <v>132</v>
      </c>
      <c r="R104">
        <v>238458</v>
      </c>
      <c r="S104">
        <v>31476.455999999998</v>
      </c>
    </row>
    <row r="105" spans="1:19" x14ac:dyDescent="0.3">
      <c r="A105" s="5">
        <v>40871</v>
      </c>
      <c r="B105">
        <v>2011</v>
      </c>
      <c r="C105">
        <v>11</v>
      </c>
      <c r="D105" t="s">
        <v>394</v>
      </c>
      <c r="E105" t="s">
        <v>401</v>
      </c>
      <c r="F105" t="s">
        <v>396</v>
      </c>
      <c r="H105">
        <v>1871</v>
      </c>
      <c r="I105">
        <v>133</v>
      </c>
      <c r="J105">
        <v>1958</v>
      </c>
      <c r="K105">
        <v>136</v>
      </c>
      <c r="P105">
        <v>1914.5</v>
      </c>
      <c r="Q105">
        <v>134.5</v>
      </c>
      <c r="R105">
        <v>257500.25</v>
      </c>
      <c r="S105">
        <v>34633.783624999996</v>
      </c>
    </row>
    <row r="106" spans="1:19" x14ac:dyDescent="0.3">
      <c r="A106" s="5">
        <v>40871</v>
      </c>
      <c r="B106">
        <v>2011</v>
      </c>
      <c r="C106">
        <v>11</v>
      </c>
      <c r="D106" t="s">
        <v>394</v>
      </c>
      <c r="E106" t="s">
        <v>402</v>
      </c>
      <c r="F106" t="s">
        <v>396</v>
      </c>
      <c r="H106">
        <v>1949</v>
      </c>
      <c r="I106">
        <v>134</v>
      </c>
      <c r="J106">
        <v>1961</v>
      </c>
      <c r="K106">
        <v>136</v>
      </c>
      <c r="P106">
        <v>1955</v>
      </c>
      <c r="Q106">
        <v>135</v>
      </c>
      <c r="R106">
        <v>263925</v>
      </c>
      <c r="S106">
        <v>35629.875</v>
      </c>
    </row>
    <row r="107" spans="1:19" x14ac:dyDescent="0.3">
      <c r="A107" s="5">
        <v>40947</v>
      </c>
      <c r="B107">
        <v>2012</v>
      </c>
      <c r="C107">
        <v>2</v>
      </c>
      <c r="E107" t="s">
        <v>395</v>
      </c>
      <c r="F107" t="s">
        <v>396</v>
      </c>
      <c r="H107">
        <v>1189</v>
      </c>
      <c r="I107">
        <v>118</v>
      </c>
      <c r="J107">
        <v>1194</v>
      </c>
      <c r="K107">
        <v>117</v>
      </c>
      <c r="P107">
        <v>1191.5</v>
      </c>
      <c r="Q107">
        <v>117.5</v>
      </c>
      <c r="R107">
        <v>140001.25</v>
      </c>
      <c r="S107">
        <v>16450.146874999999</v>
      </c>
    </row>
    <row r="108" spans="1:19" x14ac:dyDescent="0.3">
      <c r="A108" s="5">
        <v>40948</v>
      </c>
      <c r="B108">
        <v>2012</v>
      </c>
      <c r="C108">
        <v>2</v>
      </c>
      <c r="E108" t="s">
        <v>395</v>
      </c>
      <c r="F108" t="s">
        <v>396</v>
      </c>
      <c r="H108">
        <v>1232</v>
      </c>
      <c r="I108">
        <v>120</v>
      </c>
      <c r="J108">
        <v>1225</v>
      </c>
      <c r="K108">
        <v>119</v>
      </c>
      <c r="P108">
        <v>1228.5</v>
      </c>
      <c r="Q108">
        <v>119.5</v>
      </c>
      <c r="R108">
        <v>146805.75</v>
      </c>
      <c r="S108">
        <v>17543.287124999999</v>
      </c>
    </row>
    <row r="109" spans="1:19" x14ac:dyDescent="0.3">
      <c r="A109" s="5">
        <v>40948</v>
      </c>
      <c r="B109">
        <v>2012</v>
      </c>
      <c r="C109">
        <v>2</v>
      </c>
      <c r="E109" t="s">
        <v>399</v>
      </c>
      <c r="F109" t="s">
        <v>396</v>
      </c>
      <c r="H109">
        <v>1717</v>
      </c>
      <c r="I109">
        <v>130</v>
      </c>
      <c r="J109">
        <v>1695</v>
      </c>
      <c r="K109">
        <v>129</v>
      </c>
      <c r="P109">
        <v>1706</v>
      </c>
      <c r="Q109">
        <v>129.5</v>
      </c>
      <c r="R109">
        <v>220927</v>
      </c>
      <c r="S109">
        <v>28610.0465</v>
      </c>
    </row>
    <row r="110" spans="1:19" x14ac:dyDescent="0.3">
      <c r="A110" s="5">
        <v>40948</v>
      </c>
      <c r="B110">
        <v>2012</v>
      </c>
      <c r="C110">
        <v>2</v>
      </c>
      <c r="E110" t="s">
        <v>400</v>
      </c>
      <c r="F110" t="s">
        <v>396</v>
      </c>
      <c r="H110">
        <v>1685</v>
      </c>
      <c r="I110">
        <v>134</v>
      </c>
      <c r="J110">
        <v>1770</v>
      </c>
      <c r="K110">
        <v>138</v>
      </c>
      <c r="P110">
        <v>1727.5</v>
      </c>
      <c r="Q110">
        <v>136</v>
      </c>
      <c r="R110">
        <v>234940</v>
      </c>
      <c r="S110">
        <v>31951.84</v>
      </c>
    </row>
    <row r="111" spans="1:19" x14ac:dyDescent="0.3">
      <c r="A111" s="5">
        <v>40948</v>
      </c>
      <c r="B111">
        <v>2012</v>
      </c>
      <c r="C111">
        <v>2</v>
      </c>
      <c r="E111" t="s">
        <v>398</v>
      </c>
      <c r="F111" t="s">
        <v>396</v>
      </c>
      <c r="H111">
        <v>1731</v>
      </c>
      <c r="I111">
        <v>139</v>
      </c>
      <c r="J111">
        <v>1782</v>
      </c>
      <c r="K111">
        <v>138</v>
      </c>
      <c r="P111">
        <v>1756.5</v>
      </c>
      <c r="Q111">
        <v>138.5</v>
      </c>
      <c r="R111">
        <v>243275.25</v>
      </c>
      <c r="S111">
        <v>33693.622125000002</v>
      </c>
    </row>
    <row r="112" spans="1:19" x14ac:dyDescent="0.3">
      <c r="A112" s="5">
        <v>40982</v>
      </c>
      <c r="B112">
        <v>2012</v>
      </c>
      <c r="C112">
        <v>3</v>
      </c>
      <c r="E112" t="s">
        <v>395</v>
      </c>
      <c r="F112" t="s">
        <v>396</v>
      </c>
      <c r="H112">
        <v>1229</v>
      </c>
      <c r="I112">
        <v>123</v>
      </c>
      <c r="J112">
        <v>1249</v>
      </c>
      <c r="K112">
        <v>121</v>
      </c>
      <c r="P112">
        <v>1239</v>
      </c>
      <c r="Q112">
        <v>122</v>
      </c>
      <c r="R112">
        <v>151158</v>
      </c>
      <c r="S112">
        <v>18441.276000000002</v>
      </c>
    </row>
    <row r="113" spans="1:19" x14ac:dyDescent="0.3">
      <c r="A113" s="5">
        <v>40982</v>
      </c>
      <c r="B113">
        <v>2012</v>
      </c>
      <c r="C113">
        <v>3</v>
      </c>
      <c r="E113" t="s">
        <v>399</v>
      </c>
      <c r="F113" t="s">
        <v>396</v>
      </c>
      <c r="H113">
        <v>1656</v>
      </c>
      <c r="I113">
        <v>132</v>
      </c>
      <c r="J113">
        <v>1700</v>
      </c>
      <c r="K113">
        <v>128</v>
      </c>
      <c r="P113">
        <v>1678</v>
      </c>
      <c r="Q113">
        <v>130</v>
      </c>
      <c r="R113">
        <v>218140</v>
      </c>
      <c r="S113">
        <v>28358.2</v>
      </c>
    </row>
    <row r="114" spans="1:19" x14ac:dyDescent="0.3">
      <c r="A114" s="5">
        <v>40982</v>
      </c>
      <c r="B114">
        <v>2012</v>
      </c>
      <c r="C114">
        <v>3</v>
      </c>
      <c r="E114" t="s">
        <v>398</v>
      </c>
      <c r="F114" t="s">
        <v>396</v>
      </c>
      <c r="H114">
        <v>1739</v>
      </c>
      <c r="I114">
        <v>134</v>
      </c>
      <c r="J114">
        <v>1758</v>
      </c>
      <c r="K114">
        <v>135</v>
      </c>
      <c r="P114">
        <v>1748.5</v>
      </c>
      <c r="Q114">
        <v>134.5</v>
      </c>
      <c r="R114">
        <v>235173.25</v>
      </c>
      <c r="S114">
        <v>31630.802124999998</v>
      </c>
    </row>
    <row r="115" spans="1:19" x14ac:dyDescent="0.3">
      <c r="A115" s="5">
        <v>40982</v>
      </c>
      <c r="B115">
        <v>2012</v>
      </c>
      <c r="C115">
        <v>3</v>
      </c>
      <c r="E115" t="s">
        <v>400</v>
      </c>
      <c r="F115" t="s">
        <v>396</v>
      </c>
      <c r="H115">
        <v>1789</v>
      </c>
      <c r="I115">
        <v>129</v>
      </c>
      <c r="J115">
        <v>1821</v>
      </c>
      <c r="K115">
        <v>129</v>
      </c>
      <c r="P115">
        <v>1805</v>
      </c>
      <c r="Q115">
        <v>129</v>
      </c>
      <c r="R115">
        <v>232845</v>
      </c>
      <c r="S115">
        <v>30037.005000000001</v>
      </c>
    </row>
    <row r="116" spans="1:19" x14ac:dyDescent="0.3">
      <c r="A116" s="5">
        <v>40982</v>
      </c>
      <c r="B116">
        <v>2012</v>
      </c>
      <c r="C116">
        <v>3</v>
      </c>
      <c r="E116" t="s">
        <v>401</v>
      </c>
      <c r="F116" t="s">
        <v>396</v>
      </c>
      <c r="H116">
        <v>2059</v>
      </c>
      <c r="I116">
        <v>134</v>
      </c>
      <c r="J116">
        <v>2054</v>
      </c>
      <c r="K116">
        <v>129</v>
      </c>
      <c r="P116">
        <v>2056.5</v>
      </c>
      <c r="Q116">
        <v>131.5</v>
      </c>
      <c r="R116">
        <v>270429.75</v>
      </c>
      <c r="S116">
        <v>35561.512125000001</v>
      </c>
    </row>
    <row r="117" spans="1:19" x14ac:dyDescent="0.3">
      <c r="A117" s="5">
        <v>40983</v>
      </c>
      <c r="B117">
        <v>2012</v>
      </c>
      <c r="C117">
        <v>3</v>
      </c>
      <c r="E117" t="s">
        <v>395</v>
      </c>
      <c r="F117" t="s">
        <v>396</v>
      </c>
      <c r="H117">
        <v>1173</v>
      </c>
      <c r="I117">
        <v>118</v>
      </c>
      <c r="P117">
        <v>1173</v>
      </c>
      <c r="Q117">
        <v>118</v>
      </c>
      <c r="R117">
        <v>138414</v>
      </c>
      <c r="S117">
        <v>16332.852000000001</v>
      </c>
    </row>
    <row r="118" spans="1:19" x14ac:dyDescent="0.3">
      <c r="A118" s="5">
        <v>40983</v>
      </c>
      <c r="B118">
        <v>2012</v>
      </c>
      <c r="C118">
        <v>3</v>
      </c>
      <c r="E118" t="s">
        <v>399</v>
      </c>
      <c r="F118" t="s">
        <v>396</v>
      </c>
      <c r="H118">
        <v>1710</v>
      </c>
      <c r="I118">
        <v>133</v>
      </c>
      <c r="P118">
        <v>1710</v>
      </c>
      <c r="Q118">
        <v>133</v>
      </c>
      <c r="R118">
        <v>227430</v>
      </c>
      <c r="S118">
        <v>30248.19</v>
      </c>
    </row>
    <row r="119" spans="1:19" x14ac:dyDescent="0.3">
      <c r="A119" s="5">
        <v>40983</v>
      </c>
      <c r="B119">
        <v>2012</v>
      </c>
      <c r="C119">
        <v>3</v>
      </c>
      <c r="E119" t="s">
        <v>398</v>
      </c>
      <c r="F119" t="s">
        <v>396</v>
      </c>
      <c r="H119">
        <v>1794</v>
      </c>
      <c r="I119">
        <v>135</v>
      </c>
      <c r="J119">
        <v>1704</v>
      </c>
      <c r="K119">
        <v>135</v>
      </c>
      <c r="P119">
        <v>1749</v>
      </c>
      <c r="Q119">
        <v>135</v>
      </c>
      <c r="R119">
        <v>236115</v>
      </c>
      <c r="S119">
        <v>31875.525000000001</v>
      </c>
    </row>
    <row r="120" spans="1:19" x14ac:dyDescent="0.3">
      <c r="A120" s="5">
        <v>40983</v>
      </c>
      <c r="B120">
        <v>2012</v>
      </c>
      <c r="C120">
        <v>3</v>
      </c>
      <c r="E120" t="s">
        <v>400</v>
      </c>
      <c r="F120" t="s">
        <v>396</v>
      </c>
      <c r="H120">
        <v>1818</v>
      </c>
      <c r="I120">
        <v>133</v>
      </c>
      <c r="P120">
        <v>1818</v>
      </c>
      <c r="Q120">
        <v>133</v>
      </c>
      <c r="R120">
        <v>241794</v>
      </c>
      <c r="S120">
        <v>32158.601999999999</v>
      </c>
    </row>
    <row r="121" spans="1:19" x14ac:dyDescent="0.3">
      <c r="A121" s="5">
        <v>40983</v>
      </c>
      <c r="B121">
        <v>2012</v>
      </c>
      <c r="C121">
        <v>3</v>
      </c>
      <c r="E121" t="s">
        <v>401</v>
      </c>
      <c r="F121" t="s">
        <v>396</v>
      </c>
      <c r="H121">
        <v>1992</v>
      </c>
      <c r="I121">
        <v>129</v>
      </c>
      <c r="P121">
        <v>1992</v>
      </c>
      <c r="Q121">
        <v>129</v>
      </c>
      <c r="R121">
        <v>256968</v>
      </c>
      <c r="S121">
        <v>33148.872000000003</v>
      </c>
    </row>
    <row r="122" spans="1:19" x14ac:dyDescent="0.3">
      <c r="A122" s="5">
        <v>40983</v>
      </c>
      <c r="B122">
        <v>2012</v>
      </c>
      <c r="C122">
        <v>3</v>
      </c>
      <c r="E122" t="s">
        <v>402</v>
      </c>
      <c r="F122" t="s">
        <v>396</v>
      </c>
      <c r="H122">
        <v>2064</v>
      </c>
      <c r="I122">
        <v>138</v>
      </c>
      <c r="P122">
        <v>2064</v>
      </c>
      <c r="Q122">
        <v>138</v>
      </c>
      <c r="R122">
        <v>284832</v>
      </c>
      <c r="S122">
        <v>39306.815999999999</v>
      </c>
    </row>
    <row r="123" spans="1:19" x14ac:dyDescent="0.3">
      <c r="A123" s="5">
        <v>40984</v>
      </c>
      <c r="B123">
        <v>2012</v>
      </c>
      <c r="C123">
        <v>3</v>
      </c>
      <c r="E123" t="s">
        <v>395</v>
      </c>
      <c r="F123" t="s">
        <v>396</v>
      </c>
      <c r="H123">
        <v>1199</v>
      </c>
      <c r="I123">
        <v>120</v>
      </c>
      <c r="J123">
        <v>1180</v>
      </c>
      <c r="K123">
        <v>121</v>
      </c>
      <c r="P123">
        <v>1189.5</v>
      </c>
      <c r="Q123">
        <v>120.5</v>
      </c>
      <c r="R123">
        <v>143334.75</v>
      </c>
      <c r="S123">
        <v>17271.837374999999</v>
      </c>
    </row>
    <row r="124" spans="1:19" x14ac:dyDescent="0.3">
      <c r="A124" s="5">
        <v>40984</v>
      </c>
      <c r="B124">
        <v>2012</v>
      </c>
      <c r="C124">
        <v>3</v>
      </c>
      <c r="E124" t="s">
        <v>399</v>
      </c>
      <c r="F124" t="s">
        <v>396</v>
      </c>
      <c r="H124">
        <v>1714</v>
      </c>
      <c r="I124">
        <v>126</v>
      </c>
      <c r="P124">
        <v>1714</v>
      </c>
      <c r="Q124">
        <v>126</v>
      </c>
      <c r="R124">
        <v>215964</v>
      </c>
      <c r="S124">
        <v>27211.464</v>
      </c>
    </row>
    <row r="125" spans="1:19" x14ac:dyDescent="0.3">
      <c r="A125" s="5">
        <v>40984</v>
      </c>
      <c r="B125">
        <v>2012</v>
      </c>
      <c r="C125">
        <v>3</v>
      </c>
      <c r="E125" t="s">
        <v>398</v>
      </c>
      <c r="F125" t="s">
        <v>396</v>
      </c>
      <c r="H125">
        <v>1751</v>
      </c>
      <c r="I125">
        <v>136</v>
      </c>
      <c r="P125">
        <v>1751</v>
      </c>
      <c r="Q125">
        <v>136</v>
      </c>
      <c r="R125">
        <v>238136</v>
      </c>
      <c r="S125">
        <v>32386.495999999999</v>
      </c>
    </row>
    <row r="126" spans="1:19" x14ac:dyDescent="0.3">
      <c r="A126" s="5">
        <v>40984</v>
      </c>
      <c r="B126">
        <v>2012</v>
      </c>
      <c r="C126">
        <v>3</v>
      </c>
      <c r="E126" t="s">
        <v>400</v>
      </c>
      <c r="F126" t="s">
        <v>396</v>
      </c>
      <c r="H126">
        <v>1833</v>
      </c>
      <c r="I126">
        <v>138</v>
      </c>
      <c r="P126">
        <v>1833</v>
      </c>
      <c r="Q126">
        <v>138</v>
      </c>
      <c r="R126">
        <v>252954</v>
      </c>
      <c r="S126">
        <v>34907.652000000002</v>
      </c>
    </row>
    <row r="127" spans="1:19" x14ac:dyDescent="0.3">
      <c r="A127" s="5">
        <v>40984</v>
      </c>
      <c r="B127">
        <v>2012</v>
      </c>
      <c r="C127">
        <v>3</v>
      </c>
      <c r="E127" t="s">
        <v>402</v>
      </c>
      <c r="F127" t="s">
        <v>396</v>
      </c>
      <c r="H127">
        <v>1986</v>
      </c>
      <c r="I127">
        <v>140</v>
      </c>
      <c r="P127">
        <v>1986</v>
      </c>
      <c r="Q127">
        <v>140</v>
      </c>
      <c r="R127">
        <v>278040</v>
      </c>
      <c r="S127">
        <v>38925.599999999999</v>
      </c>
    </row>
    <row r="128" spans="1:19" x14ac:dyDescent="0.3">
      <c r="A128" s="5">
        <v>40984</v>
      </c>
      <c r="B128">
        <v>2012</v>
      </c>
      <c r="C128">
        <v>3</v>
      </c>
      <c r="E128" t="s">
        <v>401</v>
      </c>
      <c r="F128" t="s">
        <v>396</v>
      </c>
      <c r="H128">
        <v>2096</v>
      </c>
      <c r="I128">
        <v>136</v>
      </c>
      <c r="P128">
        <v>2096</v>
      </c>
      <c r="Q128">
        <v>136</v>
      </c>
      <c r="R128">
        <v>285056</v>
      </c>
      <c r="S128">
        <v>38767.616000000002</v>
      </c>
    </row>
    <row r="129" spans="1:19" x14ac:dyDescent="0.3">
      <c r="A129" s="5">
        <v>40985</v>
      </c>
      <c r="B129">
        <v>2012</v>
      </c>
      <c r="C129">
        <v>3</v>
      </c>
      <c r="E129" t="s">
        <v>399</v>
      </c>
      <c r="F129" t="s">
        <v>396</v>
      </c>
      <c r="H129">
        <v>1609</v>
      </c>
      <c r="I129">
        <v>128</v>
      </c>
      <c r="J129">
        <v>1747</v>
      </c>
      <c r="K129">
        <v>131</v>
      </c>
      <c r="P129">
        <v>1678</v>
      </c>
      <c r="Q129">
        <v>129.5</v>
      </c>
      <c r="R129">
        <v>217301</v>
      </c>
      <c r="S129">
        <v>28140.479500000001</v>
      </c>
    </row>
    <row r="130" spans="1:19" x14ac:dyDescent="0.3">
      <c r="A130" s="5">
        <v>40985</v>
      </c>
      <c r="B130">
        <v>2012</v>
      </c>
      <c r="C130">
        <v>3</v>
      </c>
      <c r="E130" t="s">
        <v>398</v>
      </c>
      <c r="F130" t="s">
        <v>396</v>
      </c>
      <c r="H130">
        <v>1774</v>
      </c>
      <c r="I130">
        <v>131</v>
      </c>
      <c r="J130">
        <v>1747</v>
      </c>
      <c r="K130">
        <v>133</v>
      </c>
      <c r="P130">
        <v>1760.5</v>
      </c>
      <c r="Q130">
        <v>132</v>
      </c>
      <c r="R130">
        <v>232386</v>
      </c>
      <c r="S130">
        <v>30674.952000000001</v>
      </c>
    </row>
    <row r="131" spans="1:19" x14ac:dyDescent="0.3">
      <c r="A131" s="5">
        <v>40985</v>
      </c>
      <c r="B131">
        <v>2012</v>
      </c>
      <c r="C131">
        <v>3</v>
      </c>
      <c r="E131" t="s">
        <v>400</v>
      </c>
      <c r="F131" t="s">
        <v>396</v>
      </c>
      <c r="H131">
        <v>1810</v>
      </c>
      <c r="I131">
        <v>132</v>
      </c>
      <c r="J131">
        <v>1799</v>
      </c>
      <c r="K131">
        <v>130</v>
      </c>
      <c r="P131">
        <v>1804.5</v>
      </c>
      <c r="Q131">
        <v>131</v>
      </c>
      <c r="R131">
        <v>236389.5</v>
      </c>
      <c r="S131">
        <v>30967.0245</v>
      </c>
    </row>
    <row r="132" spans="1:19" x14ac:dyDescent="0.3">
      <c r="A132" s="5">
        <v>40985</v>
      </c>
      <c r="B132">
        <v>2012</v>
      </c>
      <c r="C132">
        <v>3</v>
      </c>
      <c r="E132" t="s">
        <v>402</v>
      </c>
      <c r="F132" t="s">
        <v>396</v>
      </c>
      <c r="H132">
        <v>1981</v>
      </c>
      <c r="I132">
        <v>139</v>
      </c>
      <c r="J132">
        <v>2017</v>
      </c>
      <c r="K132">
        <v>140</v>
      </c>
      <c r="P132">
        <v>1999</v>
      </c>
      <c r="Q132">
        <v>139.5</v>
      </c>
      <c r="R132">
        <v>278860.5</v>
      </c>
      <c r="S132">
        <v>38901.039750000004</v>
      </c>
    </row>
    <row r="133" spans="1:19" x14ac:dyDescent="0.3">
      <c r="A133" s="5">
        <v>40985</v>
      </c>
      <c r="B133">
        <v>2012</v>
      </c>
      <c r="C133">
        <v>3</v>
      </c>
      <c r="E133" t="s">
        <v>401</v>
      </c>
      <c r="F133" t="s">
        <v>396</v>
      </c>
      <c r="H133">
        <v>2038</v>
      </c>
      <c r="I133">
        <v>130</v>
      </c>
      <c r="J133">
        <v>2016</v>
      </c>
      <c r="K133">
        <v>125</v>
      </c>
      <c r="P133">
        <v>2027</v>
      </c>
      <c r="Q133">
        <v>127.5</v>
      </c>
      <c r="R133">
        <v>258442.5</v>
      </c>
      <c r="S133">
        <v>32951.418749999997</v>
      </c>
    </row>
    <row r="134" spans="1:19" x14ac:dyDescent="0.3">
      <c r="A134" s="5">
        <v>40987</v>
      </c>
      <c r="B134">
        <v>2012</v>
      </c>
      <c r="C134">
        <v>3</v>
      </c>
      <c r="E134" t="s">
        <v>395</v>
      </c>
      <c r="F134" t="s">
        <v>396</v>
      </c>
      <c r="H134">
        <v>1212</v>
      </c>
      <c r="I134">
        <v>117</v>
      </c>
      <c r="J134">
        <v>1183</v>
      </c>
      <c r="K134">
        <v>124</v>
      </c>
      <c r="P134">
        <v>1197.5</v>
      </c>
      <c r="Q134">
        <v>120.5</v>
      </c>
      <c r="R134">
        <v>144298.75</v>
      </c>
      <c r="S134">
        <v>17387.999374999999</v>
      </c>
    </row>
    <row r="135" spans="1:19" x14ac:dyDescent="0.3">
      <c r="A135" s="5">
        <v>40987</v>
      </c>
      <c r="B135">
        <v>2012</v>
      </c>
      <c r="C135">
        <v>3</v>
      </c>
      <c r="E135" t="s">
        <v>399</v>
      </c>
      <c r="F135" t="s">
        <v>396</v>
      </c>
      <c r="H135">
        <v>1770</v>
      </c>
      <c r="I135">
        <v>125</v>
      </c>
      <c r="P135">
        <v>1770</v>
      </c>
      <c r="Q135">
        <v>125</v>
      </c>
      <c r="R135">
        <v>221250</v>
      </c>
      <c r="S135">
        <v>27656.25</v>
      </c>
    </row>
    <row r="136" spans="1:19" x14ac:dyDescent="0.3">
      <c r="A136" s="5">
        <v>40988</v>
      </c>
      <c r="B136">
        <v>2012</v>
      </c>
      <c r="C136">
        <v>3</v>
      </c>
      <c r="E136" t="s">
        <v>395</v>
      </c>
      <c r="F136" t="s">
        <v>396</v>
      </c>
      <c r="H136">
        <v>1218</v>
      </c>
      <c r="I136">
        <v>123</v>
      </c>
      <c r="J136">
        <v>1244</v>
      </c>
      <c r="K136">
        <v>125</v>
      </c>
      <c r="P136">
        <v>1231</v>
      </c>
      <c r="Q136">
        <v>124</v>
      </c>
      <c r="R136">
        <v>152644</v>
      </c>
      <c r="S136">
        <v>18927.856</v>
      </c>
    </row>
    <row r="137" spans="1:19" x14ac:dyDescent="0.3">
      <c r="A137" s="5">
        <v>40988</v>
      </c>
      <c r="B137">
        <v>2012</v>
      </c>
      <c r="C137">
        <v>3</v>
      </c>
      <c r="E137" t="s">
        <v>398</v>
      </c>
      <c r="F137" t="s">
        <v>396</v>
      </c>
      <c r="H137">
        <v>1756</v>
      </c>
      <c r="I137">
        <v>138</v>
      </c>
      <c r="J137">
        <v>1744</v>
      </c>
      <c r="K137">
        <v>129</v>
      </c>
      <c r="P137">
        <v>1750</v>
      </c>
      <c r="Q137">
        <v>133.5</v>
      </c>
      <c r="R137">
        <v>233625</v>
      </c>
      <c r="S137">
        <v>31188.9375</v>
      </c>
    </row>
    <row r="138" spans="1:19" x14ac:dyDescent="0.3">
      <c r="A138" s="5">
        <v>40988</v>
      </c>
      <c r="B138">
        <v>2012</v>
      </c>
      <c r="C138">
        <v>3</v>
      </c>
      <c r="E138" t="s">
        <v>400</v>
      </c>
      <c r="F138" t="s">
        <v>396</v>
      </c>
      <c r="H138">
        <v>1741</v>
      </c>
      <c r="I138">
        <v>131</v>
      </c>
      <c r="J138">
        <v>1764</v>
      </c>
      <c r="K138">
        <v>131</v>
      </c>
      <c r="P138">
        <v>1752.5</v>
      </c>
      <c r="Q138">
        <v>131</v>
      </c>
      <c r="R138">
        <v>229577.5</v>
      </c>
      <c r="S138">
        <v>30074.6525</v>
      </c>
    </row>
    <row r="139" spans="1:19" x14ac:dyDescent="0.3">
      <c r="A139" s="5">
        <v>40988</v>
      </c>
      <c r="B139">
        <v>2012</v>
      </c>
      <c r="C139">
        <v>3</v>
      </c>
      <c r="E139" t="s">
        <v>399</v>
      </c>
      <c r="F139" t="s">
        <v>396</v>
      </c>
      <c r="H139">
        <v>1854</v>
      </c>
      <c r="I139">
        <v>134</v>
      </c>
      <c r="P139">
        <v>1854</v>
      </c>
      <c r="Q139">
        <v>134</v>
      </c>
      <c r="R139">
        <v>248436</v>
      </c>
      <c r="S139">
        <v>33290.423999999999</v>
      </c>
    </row>
    <row r="140" spans="1:19" x14ac:dyDescent="0.3">
      <c r="A140" s="5">
        <v>40988</v>
      </c>
      <c r="B140">
        <v>2012</v>
      </c>
      <c r="C140">
        <v>3</v>
      </c>
      <c r="E140" t="s">
        <v>402</v>
      </c>
      <c r="F140" t="s">
        <v>396</v>
      </c>
      <c r="H140">
        <v>1935</v>
      </c>
      <c r="I140">
        <v>138</v>
      </c>
      <c r="J140">
        <v>1946</v>
      </c>
      <c r="K140">
        <v>137</v>
      </c>
      <c r="P140">
        <v>1940.5</v>
      </c>
      <c r="Q140">
        <v>137.5</v>
      </c>
      <c r="R140">
        <v>266818.75</v>
      </c>
      <c r="S140">
        <v>36687.578125</v>
      </c>
    </row>
    <row r="141" spans="1:19" x14ac:dyDescent="0.3">
      <c r="A141" s="5">
        <v>40988</v>
      </c>
      <c r="B141">
        <v>2012</v>
      </c>
      <c r="C141">
        <v>3</v>
      </c>
      <c r="E141" t="s">
        <v>401</v>
      </c>
      <c r="F141" t="s">
        <v>396</v>
      </c>
      <c r="H141">
        <v>2117</v>
      </c>
      <c r="I141">
        <v>135</v>
      </c>
      <c r="J141">
        <v>2142</v>
      </c>
      <c r="K141">
        <v>132</v>
      </c>
      <c r="P141">
        <v>2129.5</v>
      </c>
      <c r="Q141">
        <v>133.5</v>
      </c>
      <c r="R141">
        <v>284288.25</v>
      </c>
      <c r="S141">
        <v>37952.481375000003</v>
      </c>
    </row>
    <row r="142" spans="1:19" x14ac:dyDescent="0.3">
      <c r="A142" s="5">
        <v>40989</v>
      </c>
      <c r="B142">
        <v>2012</v>
      </c>
      <c r="C142">
        <v>3</v>
      </c>
      <c r="E142" t="s">
        <v>395</v>
      </c>
      <c r="F142" t="s">
        <v>396</v>
      </c>
      <c r="H142">
        <v>1282</v>
      </c>
      <c r="I142">
        <v>122</v>
      </c>
      <c r="J142">
        <v>1288</v>
      </c>
      <c r="K142">
        <v>121</v>
      </c>
      <c r="P142">
        <v>1285</v>
      </c>
      <c r="Q142">
        <v>121.5</v>
      </c>
      <c r="R142">
        <v>156127.5</v>
      </c>
      <c r="S142">
        <v>18969.491249999999</v>
      </c>
    </row>
    <row r="143" spans="1:19" x14ac:dyDescent="0.3">
      <c r="A143" s="5">
        <v>40989</v>
      </c>
      <c r="B143">
        <v>2012</v>
      </c>
      <c r="C143">
        <v>3</v>
      </c>
      <c r="E143" t="s">
        <v>398</v>
      </c>
      <c r="F143" t="s">
        <v>396</v>
      </c>
      <c r="H143">
        <v>1724</v>
      </c>
      <c r="I143">
        <v>132</v>
      </c>
      <c r="J143">
        <v>1610</v>
      </c>
      <c r="K143">
        <v>125</v>
      </c>
      <c r="P143">
        <v>1667</v>
      </c>
      <c r="Q143">
        <v>128.5</v>
      </c>
      <c r="R143">
        <v>214209.5</v>
      </c>
      <c r="S143">
        <v>27525.920750000001</v>
      </c>
    </row>
    <row r="144" spans="1:19" x14ac:dyDescent="0.3">
      <c r="A144" s="5">
        <v>40989</v>
      </c>
      <c r="B144">
        <v>2012</v>
      </c>
      <c r="C144">
        <v>3</v>
      </c>
      <c r="E144" t="s">
        <v>399</v>
      </c>
      <c r="F144" t="s">
        <v>396</v>
      </c>
      <c r="H144">
        <v>1702</v>
      </c>
      <c r="I144">
        <v>126</v>
      </c>
      <c r="J144">
        <v>1722</v>
      </c>
      <c r="K144">
        <v>126</v>
      </c>
      <c r="P144">
        <v>1712</v>
      </c>
      <c r="Q144">
        <v>126</v>
      </c>
      <c r="R144">
        <v>215712</v>
      </c>
      <c r="S144">
        <v>27179.712</v>
      </c>
    </row>
    <row r="145" spans="1:19" x14ac:dyDescent="0.3">
      <c r="A145" s="5">
        <v>40989</v>
      </c>
      <c r="B145">
        <v>2012</v>
      </c>
      <c r="C145">
        <v>3</v>
      </c>
      <c r="E145" t="s">
        <v>400</v>
      </c>
      <c r="F145" t="s">
        <v>396</v>
      </c>
      <c r="H145">
        <v>1731</v>
      </c>
      <c r="I145">
        <v>125</v>
      </c>
      <c r="J145">
        <v>1743</v>
      </c>
      <c r="K145">
        <v>124</v>
      </c>
      <c r="P145">
        <v>1737</v>
      </c>
      <c r="Q145">
        <v>124.5</v>
      </c>
      <c r="R145">
        <v>216256.5</v>
      </c>
      <c r="S145">
        <v>26923.934249999998</v>
      </c>
    </row>
    <row r="146" spans="1:19" x14ac:dyDescent="0.3">
      <c r="A146" s="5">
        <v>40989</v>
      </c>
      <c r="B146">
        <v>2012</v>
      </c>
      <c r="C146">
        <v>3</v>
      </c>
      <c r="E146" t="s">
        <v>402</v>
      </c>
      <c r="F146" t="s">
        <v>396</v>
      </c>
      <c r="H146">
        <v>1953</v>
      </c>
      <c r="I146">
        <v>135</v>
      </c>
      <c r="J146">
        <v>1898</v>
      </c>
      <c r="K146">
        <v>141</v>
      </c>
      <c r="P146">
        <v>1925.5</v>
      </c>
      <c r="Q146">
        <v>138</v>
      </c>
      <c r="R146">
        <v>265719</v>
      </c>
      <c r="S146">
        <v>36669.222000000002</v>
      </c>
    </row>
    <row r="147" spans="1:19" x14ac:dyDescent="0.3">
      <c r="A147" s="5">
        <v>40989</v>
      </c>
      <c r="B147">
        <v>2012</v>
      </c>
      <c r="C147">
        <v>3</v>
      </c>
      <c r="E147" t="s">
        <v>401</v>
      </c>
      <c r="F147" t="s">
        <v>396</v>
      </c>
      <c r="H147">
        <v>1975</v>
      </c>
      <c r="I147">
        <v>120</v>
      </c>
      <c r="J147">
        <v>1957</v>
      </c>
      <c r="K147">
        <v>120</v>
      </c>
      <c r="P147">
        <v>1966</v>
      </c>
      <c r="Q147">
        <v>120</v>
      </c>
      <c r="R147">
        <v>235920</v>
      </c>
      <c r="S147">
        <v>28310.400000000001</v>
      </c>
    </row>
    <row r="148" spans="1:19" x14ac:dyDescent="0.3">
      <c r="A148" s="5">
        <v>40992</v>
      </c>
      <c r="B148">
        <v>2012</v>
      </c>
      <c r="C148">
        <v>3</v>
      </c>
      <c r="E148" t="s">
        <v>398</v>
      </c>
      <c r="F148" t="s">
        <v>396</v>
      </c>
      <c r="H148">
        <v>1665</v>
      </c>
      <c r="I148">
        <v>132</v>
      </c>
      <c r="J148">
        <v>1649</v>
      </c>
      <c r="K148">
        <v>130</v>
      </c>
      <c r="P148">
        <v>1657</v>
      </c>
      <c r="Q148">
        <v>131</v>
      </c>
      <c r="R148">
        <v>217067</v>
      </c>
      <c r="S148">
        <v>28435.776999999998</v>
      </c>
    </row>
    <row r="149" spans="1:19" x14ac:dyDescent="0.3">
      <c r="A149" s="5">
        <v>40992</v>
      </c>
      <c r="B149">
        <v>2012</v>
      </c>
      <c r="C149">
        <v>3</v>
      </c>
      <c r="E149" t="s">
        <v>400</v>
      </c>
      <c r="F149" t="s">
        <v>396</v>
      </c>
      <c r="H149">
        <v>1740</v>
      </c>
      <c r="I149">
        <v>132</v>
      </c>
      <c r="J149">
        <v>1687</v>
      </c>
      <c r="K149">
        <v>129</v>
      </c>
      <c r="P149">
        <v>1713.5</v>
      </c>
      <c r="Q149">
        <v>130.5</v>
      </c>
      <c r="R149">
        <v>223611.75</v>
      </c>
      <c r="S149">
        <v>29181.333374999998</v>
      </c>
    </row>
    <row r="150" spans="1:19" x14ac:dyDescent="0.3">
      <c r="A150" s="5">
        <v>40992</v>
      </c>
      <c r="B150">
        <v>2012</v>
      </c>
      <c r="C150">
        <v>3</v>
      </c>
      <c r="E150" t="s">
        <v>399</v>
      </c>
      <c r="F150" t="s">
        <v>396</v>
      </c>
      <c r="H150">
        <v>1779</v>
      </c>
      <c r="I150">
        <v>133</v>
      </c>
      <c r="J150">
        <v>1816</v>
      </c>
      <c r="K150">
        <v>132</v>
      </c>
      <c r="P150">
        <v>1797.5</v>
      </c>
      <c r="Q150">
        <v>132.5</v>
      </c>
      <c r="R150">
        <v>238168.75</v>
      </c>
      <c r="S150">
        <v>31557.359375</v>
      </c>
    </row>
    <row r="151" spans="1:19" x14ac:dyDescent="0.3">
      <c r="A151" s="5">
        <v>40992</v>
      </c>
      <c r="B151">
        <v>2012</v>
      </c>
      <c r="C151">
        <v>3</v>
      </c>
      <c r="E151" t="s">
        <v>402</v>
      </c>
      <c r="F151" t="s">
        <v>396</v>
      </c>
      <c r="H151">
        <v>1893</v>
      </c>
      <c r="I151">
        <v>137</v>
      </c>
      <c r="J151">
        <v>1937</v>
      </c>
      <c r="K151">
        <v>140</v>
      </c>
      <c r="P151">
        <v>1915</v>
      </c>
      <c r="Q151">
        <v>138.5</v>
      </c>
      <c r="R151">
        <v>265227.5</v>
      </c>
      <c r="S151">
        <v>36734.008750000001</v>
      </c>
    </row>
    <row r="152" spans="1:19" x14ac:dyDescent="0.3">
      <c r="A152" s="5">
        <v>40992</v>
      </c>
      <c r="B152">
        <v>2012</v>
      </c>
      <c r="C152">
        <v>3</v>
      </c>
      <c r="E152" t="s">
        <v>401</v>
      </c>
      <c r="F152" t="s">
        <v>396</v>
      </c>
      <c r="H152">
        <v>2121</v>
      </c>
      <c r="I152">
        <v>131</v>
      </c>
      <c r="J152">
        <v>2054</v>
      </c>
      <c r="K152">
        <v>125</v>
      </c>
      <c r="P152">
        <v>2087.5</v>
      </c>
      <c r="Q152">
        <v>128</v>
      </c>
      <c r="R152">
        <v>267200</v>
      </c>
      <c r="S152">
        <v>34201.599999999999</v>
      </c>
    </row>
    <row r="153" spans="1:19" x14ac:dyDescent="0.3">
      <c r="A153" s="5">
        <v>40993</v>
      </c>
      <c r="B153">
        <v>2012</v>
      </c>
      <c r="C153">
        <v>3</v>
      </c>
      <c r="E153" t="s">
        <v>399</v>
      </c>
      <c r="F153" t="s">
        <v>396</v>
      </c>
      <c r="H153">
        <v>1667</v>
      </c>
      <c r="I153">
        <v>130</v>
      </c>
      <c r="J153">
        <v>1678</v>
      </c>
      <c r="K153">
        <v>131</v>
      </c>
      <c r="P153">
        <v>1672.5</v>
      </c>
      <c r="Q153">
        <v>130.5</v>
      </c>
      <c r="R153">
        <v>218261.25</v>
      </c>
      <c r="S153">
        <v>28483.093124999999</v>
      </c>
    </row>
    <row r="154" spans="1:19" x14ac:dyDescent="0.3">
      <c r="A154" s="5">
        <v>40993</v>
      </c>
      <c r="B154">
        <v>2012</v>
      </c>
      <c r="C154">
        <v>3</v>
      </c>
      <c r="E154" t="s">
        <v>400</v>
      </c>
      <c r="F154" t="s">
        <v>396</v>
      </c>
      <c r="H154">
        <v>1666</v>
      </c>
      <c r="I154">
        <v>125</v>
      </c>
      <c r="J154">
        <v>1712</v>
      </c>
      <c r="K154">
        <v>125</v>
      </c>
      <c r="P154">
        <v>1689</v>
      </c>
      <c r="Q154">
        <v>125</v>
      </c>
      <c r="R154">
        <v>211125</v>
      </c>
      <c r="S154">
        <v>26390.625</v>
      </c>
    </row>
    <row r="155" spans="1:19" x14ac:dyDescent="0.3">
      <c r="A155" s="5">
        <v>40993</v>
      </c>
      <c r="B155">
        <v>2012</v>
      </c>
      <c r="C155">
        <v>3</v>
      </c>
      <c r="E155" t="s">
        <v>398</v>
      </c>
      <c r="F155" t="s">
        <v>396</v>
      </c>
      <c r="H155">
        <v>1745</v>
      </c>
      <c r="I155">
        <v>126</v>
      </c>
      <c r="P155">
        <v>1745</v>
      </c>
      <c r="Q155">
        <v>126</v>
      </c>
      <c r="R155">
        <v>219870</v>
      </c>
      <c r="S155">
        <v>27703.62</v>
      </c>
    </row>
    <row r="156" spans="1:19" x14ac:dyDescent="0.3">
      <c r="A156" s="5">
        <v>40993</v>
      </c>
      <c r="B156">
        <v>2012</v>
      </c>
      <c r="C156">
        <v>3</v>
      </c>
      <c r="E156" t="s">
        <v>402</v>
      </c>
      <c r="F156" t="s">
        <v>396</v>
      </c>
      <c r="H156">
        <v>1934</v>
      </c>
      <c r="I156">
        <v>146</v>
      </c>
      <c r="J156">
        <v>1929</v>
      </c>
      <c r="K156">
        <v>147</v>
      </c>
      <c r="P156">
        <v>1931.5</v>
      </c>
      <c r="Q156">
        <v>146.5</v>
      </c>
      <c r="R156">
        <v>282964.75</v>
      </c>
      <c r="S156">
        <v>41454.335874999997</v>
      </c>
    </row>
    <row r="157" spans="1:19" x14ac:dyDescent="0.3">
      <c r="A157" s="5">
        <v>40993</v>
      </c>
      <c r="B157">
        <v>2012</v>
      </c>
      <c r="C157">
        <v>3</v>
      </c>
      <c r="E157" t="s">
        <v>401</v>
      </c>
      <c r="F157" t="s">
        <v>396</v>
      </c>
      <c r="H157">
        <v>2041</v>
      </c>
      <c r="I157">
        <v>129</v>
      </c>
      <c r="J157">
        <v>1922</v>
      </c>
      <c r="K157">
        <v>132</v>
      </c>
      <c r="P157">
        <v>1981.5</v>
      </c>
      <c r="Q157">
        <v>130.5</v>
      </c>
      <c r="R157">
        <v>258585.75</v>
      </c>
      <c r="S157">
        <v>33745.440374999998</v>
      </c>
    </row>
    <row r="158" spans="1:19" x14ac:dyDescent="0.3">
      <c r="A158" s="5">
        <v>40995</v>
      </c>
      <c r="B158">
        <v>2012</v>
      </c>
      <c r="C158">
        <v>3</v>
      </c>
      <c r="E158" t="s">
        <v>398</v>
      </c>
      <c r="F158" t="s">
        <v>396</v>
      </c>
      <c r="H158">
        <v>1743</v>
      </c>
      <c r="I158">
        <v>132</v>
      </c>
      <c r="J158">
        <v>1749</v>
      </c>
      <c r="K158">
        <v>132</v>
      </c>
      <c r="P158">
        <v>1746</v>
      </c>
      <c r="Q158">
        <v>132</v>
      </c>
      <c r="R158">
        <v>230472</v>
      </c>
      <c r="S158">
        <v>30422.304</v>
      </c>
    </row>
    <row r="159" spans="1:19" x14ac:dyDescent="0.3">
      <c r="A159" s="5">
        <v>40995</v>
      </c>
      <c r="B159">
        <v>2012</v>
      </c>
      <c r="C159">
        <v>3</v>
      </c>
      <c r="E159" t="s">
        <v>402</v>
      </c>
      <c r="F159" t="s">
        <v>396</v>
      </c>
      <c r="H159">
        <v>1984</v>
      </c>
      <c r="I159">
        <v>149</v>
      </c>
      <c r="J159">
        <v>2013</v>
      </c>
      <c r="K159">
        <v>142</v>
      </c>
      <c r="P159">
        <v>1998.5</v>
      </c>
      <c r="Q159">
        <v>145.5</v>
      </c>
      <c r="R159">
        <v>290781.75</v>
      </c>
      <c r="S159">
        <v>42308.744624999999</v>
      </c>
    </row>
    <row r="160" spans="1:19" x14ac:dyDescent="0.3">
      <c r="A160" s="5">
        <v>40995</v>
      </c>
      <c r="B160">
        <v>2012</v>
      </c>
      <c r="C160">
        <v>3</v>
      </c>
      <c r="E160" t="s">
        <v>401</v>
      </c>
      <c r="F160" t="s">
        <v>396</v>
      </c>
      <c r="H160">
        <v>2002</v>
      </c>
      <c r="I160">
        <v>123</v>
      </c>
      <c r="P160">
        <v>2002</v>
      </c>
      <c r="Q160">
        <v>123</v>
      </c>
      <c r="R160">
        <v>246246</v>
      </c>
      <c r="S160">
        <v>30288.258000000002</v>
      </c>
    </row>
    <row r="161" spans="1:19" x14ac:dyDescent="0.3">
      <c r="A161" s="5">
        <v>40996</v>
      </c>
      <c r="B161">
        <v>2012</v>
      </c>
      <c r="C161">
        <v>3</v>
      </c>
      <c r="E161" t="s">
        <v>399</v>
      </c>
      <c r="F161" t="s">
        <v>396</v>
      </c>
      <c r="H161">
        <v>1674</v>
      </c>
      <c r="I161">
        <v>130</v>
      </c>
      <c r="P161">
        <v>1674</v>
      </c>
      <c r="Q161">
        <v>130</v>
      </c>
      <c r="R161">
        <v>217620</v>
      </c>
      <c r="S161">
        <v>28290.6</v>
      </c>
    </row>
    <row r="162" spans="1:19" x14ac:dyDescent="0.3">
      <c r="A162" s="5">
        <v>40996</v>
      </c>
      <c r="B162">
        <v>2012</v>
      </c>
      <c r="C162">
        <v>3</v>
      </c>
      <c r="E162" t="s">
        <v>400</v>
      </c>
      <c r="F162" t="s">
        <v>396</v>
      </c>
      <c r="H162">
        <v>1690</v>
      </c>
      <c r="I162">
        <v>129</v>
      </c>
      <c r="P162">
        <v>1690</v>
      </c>
      <c r="Q162">
        <v>129</v>
      </c>
      <c r="R162">
        <v>218010</v>
      </c>
      <c r="S162">
        <v>28123.29</v>
      </c>
    </row>
    <row r="163" spans="1:19" x14ac:dyDescent="0.3">
      <c r="A163" s="5">
        <v>40996</v>
      </c>
      <c r="B163">
        <v>2012</v>
      </c>
      <c r="C163">
        <v>3</v>
      </c>
      <c r="E163" t="s">
        <v>399</v>
      </c>
      <c r="F163" t="s">
        <v>396</v>
      </c>
      <c r="H163">
        <v>1728</v>
      </c>
      <c r="I163">
        <v>130</v>
      </c>
      <c r="P163">
        <v>1728</v>
      </c>
      <c r="Q163">
        <v>130</v>
      </c>
      <c r="R163">
        <v>224640</v>
      </c>
      <c r="S163">
        <v>29203.200000000001</v>
      </c>
    </row>
    <row r="164" spans="1:19" x14ac:dyDescent="0.3">
      <c r="A164" s="5">
        <v>40996</v>
      </c>
      <c r="B164">
        <v>2012</v>
      </c>
      <c r="C164">
        <v>3</v>
      </c>
      <c r="E164" t="s">
        <v>398</v>
      </c>
      <c r="F164" t="s">
        <v>396</v>
      </c>
      <c r="H164">
        <v>1738</v>
      </c>
      <c r="I164">
        <v>132</v>
      </c>
      <c r="P164">
        <v>1738</v>
      </c>
      <c r="Q164">
        <v>132</v>
      </c>
      <c r="R164">
        <v>229416</v>
      </c>
      <c r="S164">
        <v>30282.912</v>
      </c>
    </row>
    <row r="165" spans="1:19" x14ac:dyDescent="0.3">
      <c r="A165" s="5">
        <v>40996</v>
      </c>
      <c r="B165">
        <v>2012</v>
      </c>
      <c r="C165">
        <v>3</v>
      </c>
      <c r="E165" t="s">
        <v>400</v>
      </c>
      <c r="F165" t="s">
        <v>396</v>
      </c>
      <c r="H165">
        <v>1805</v>
      </c>
      <c r="I165">
        <v>133</v>
      </c>
      <c r="P165">
        <v>1805</v>
      </c>
      <c r="Q165">
        <v>133</v>
      </c>
      <c r="R165">
        <v>240065</v>
      </c>
      <c r="S165">
        <v>31928.645</v>
      </c>
    </row>
    <row r="166" spans="1:19" x14ac:dyDescent="0.3">
      <c r="A166" s="5">
        <v>40996</v>
      </c>
      <c r="B166">
        <v>2012</v>
      </c>
      <c r="C166">
        <v>3</v>
      </c>
      <c r="E166" t="s">
        <v>398</v>
      </c>
      <c r="F166" t="s">
        <v>396</v>
      </c>
      <c r="H166">
        <v>1812</v>
      </c>
      <c r="I166">
        <v>132</v>
      </c>
      <c r="P166">
        <v>1812</v>
      </c>
      <c r="Q166">
        <v>132</v>
      </c>
      <c r="R166">
        <v>239184</v>
      </c>
      <c r="S166">
        <v>31572.288</v>
      </c>
    </row>
    <row r="167" spans="1:19" x14ac:dyDescent="0.3">
      <c r="A167" s="5">
        <v>40996</v>
      </c>
      <c r="B167">
        <v>2012</v>
      </c>
      <c r="C167">
        <v>3</v>
      </c>
      <c r="E167" t="s">
        <v>402</v>
      </c>
      <c r="F167" t="s">
        <v>396</v>
      </c>
      <c r="H167">
        <v>1855</v>
      </c>
      <c r="I167">
        <v>140</v>
      </c>
      <c r="P167">
        <v>1855</v>
      </c>
      <c r="Q167">
        <v>140</v>
      </c>
      <c r="R167">
        <v>259700</v>
      </c>
      <c r="S167">
        <v>36358</v>
      </c>
    </row>
    <row r="168" spans="1:19" x14ac:dyDescent="0.3">
      <c r="A168" s="5">
        <v>40996</v>
      </c>
      <c r="B168">
        <v>2012</v>
      </c>
      <c r="C168">
        <v>3</v>
      </c>
      <c r="E168" t="s">
        <v>402</v>
      </c>
      <c r="F168" t="s">
        <v>396</v>
      </c>
      <c r="H168">
        <v>1916</v>
      </c>
      <c r="I168">
        <v>140</v>
      </c>
      <c r="P168">
        <v>1916</v>
      </c>
      <c r="Q168">
        <v>140</v>
      </c>
      <c r="R168">
        <v>268240</v>
      </c>
      <c r="S168">
        <v>37553.599999999999</v>
      </c>
    </row>
    <row r="169" spans="1:19" x14ac:dyDescent="0.3">
      <c r="A169" s="5">
        <v>40996</v>
      </c>
      <c r="B169">
        <v>2012</v>
      </c>
      <c r="C169">
        <v>3</v>
      </c>
      <c r="E169" t="s">
        <v>401</v>
      </c>
      <c r="F169" t="s">
        <v>396</v>
      </c>
      <c r="H169">
        <v>2017</v>
      </c>
      <c r="I169">
        <v>125</v>
      </c>
      <c r="P169">
        <v>2017</v>
      </c>
      <c r="Q169">
        <v>125</v>
      </c>
      <c r="R169">
        <v>252125</v>
      </c>
      <c r="S169">
        <v>31515.625</v>
      </c>
    </row>
    <row r="170" spans="1:19" x14ac:dyDescent="0.3">
      <c r="A170" s="5">
        <v>40996</v>
      </c>
      <c r="B170">
        <v>2012</v>
      </c>
      <c r="C170">
        <v>3</v>
      </c>
      <c r="E170" t="s">
        <v>401</v>
      </c>
      <c r="F170" t="s">
        <v>396</v>
      </c>
      <c r="H170">
        <v>2071</v>
      </c>
      <c r="I170">
        <v>133</v>
      </c>
      <c r="P170">
        <v>2071</v>
      </c>
      <c r="Q170">
        <v>133</v>
      </c>
      <c r="R170">
        <v>275443</v>
      </c>
      <c r="S170">
        <v>36633.919000000002</v>
      </c>
    </row>
    <row r="171" spans="1:19" x14ac:dyDescent="0.3">
      <c r="A171" s="5">
        <v>41036</v>
      </c>
      <c r="B171">
        <v>2012</v>
      </c>
      <c r="C171">
        <v>5</v>
      </c>
      <c r="E171" t="s">
        <v>398</v>
      </c>
      <c r="F171" t="s">
        <v>396</v>
      </c>
      <c r="H171">
        <v>1730</v>
      </c>
      <c r="I171">
        <v>127</v>
      </c>
      <c r="J171">
        <v>1696</v>
      </c>
      <c r="K171">
        <v>125</v>
      </c>
      <c r="P171">
        <v>1713</v>
      </c>
      <c r="Q171">
        <v>126</v>
      </c>
      <c r="R171">
        <v>215838</v>
      </c>
      <c r="S171">
        <v>27195.588</v>
      </c>
    </row>
    <row r="172" spans="1:19" x14ac:dyDescent="0.3">
      <c r="A172" s="5">
        <v>41036</v>
      </c>
      <c r="B172">
        <v>2012</v>
      </c>
      <c r="C172">
        <v>5</v>
      </c>
      <c r="E172" t="s">
        <v>400</v>
      </c>
      <c r="F172" t="s">
        <v>396</v>
      </c>
      <c r="H172">
        <v>1728</v>
      </c>
      <c r="I172">
        <v>131</v>
      </c>
      <c r="J172">
        <v>1714</v>
      </c>
      <c r="K172">
        <v>133</v>
      </c>
      <c r="P172">
        <v>1721</v>
      </c>
      <c r="Q172">
        <v>132</v>
      </c>
      <c r="R172">
        <v>227172</v>
      </c>
      <c r="S172">
        <v>29986.704000000002</v>
      </c>
    </row>
    <row r="173" spans="1:19" x14ac:dyDescent="0.3">
      <c r="A173" s="5">
        <v>41036</v>
      </c>
      <c r="B173">
        <v>2012</v>
      </c>
      <c r="C173">
        <v>5</v>
      </c>
      <c r="E173" t="s">
        <v>399</v>
      </c>
      <c r="F173" t="s">
        <v>396</v>
      </c>
      <c r="H173">
        <v>1797</v>
      </c>
      <c r="I173">
        <v>129</v>
      </c>
      <c r="J173">
        <v>1791</v>
      </c>
      <c r="K173">
        <v>128</v>
      </c>
      <c r="P173">
        <v>1794</v>
      </c>
      <c r="Q173">
        <v>128.5</v>
      </c>
      <c r="R173">
        <v>230529</v>
      </c>
      <c r="S173">
        <v>29622.976500000001</v>
      </c>
    </row>
    <row r="174" spans="1:19" x14ac:dyDescent="0.3">
      <c r="A174" s="5">
        <v>41036</v>
      </c>
      <c r="B174">
        <v>2012</v>
      </c>
      <c r="C174">
        <v>5</v>
      </c>
      <c r="E174" t="s">
        <v>402</v>
      </c>
      <c r="F174" t="s">
        <v>396</v>
      </c>
      <c r="H174">
        <v>1903</v>
      </c>
      <c r="I174">
        <v>132</v>
      </c>
      <c r="J174">
        <v>1947</v>
      </c>
      <c r="K174">
        <v>136</v>
      </c>
      <c r="P174">
        <v>1925</v>
      </c>
      <c r="Q174">
        <v>134</v>
      </c>
      <c r="R174">
        <v>257950</v>
      </c>
      <c r="S174">
        <v>34565.300000000003</v>
      </c>
    </row>
    <row r="175" spans="1:19" x14ac:dyDescent="0.3">
      <c r="A175" s="5">
        <v>41036</v>
      </c>
      <c r="B175">
        <v>2012</v>
      </c>
      <c r="C175">
        <v>5</v>
      </c>
      <c r="E175" t="s">
        <v>401</v>
      </c>
      <c r="F175" t="s">
        <v>396</v>
      </c>
      <c r="H175">
        <v>1960</v>
      </c>
      <c r="I175">
        <v>126</v>
      </c>
      <c r="J175">
        <v>1945</v>
      </c>
      <c r="K175">
        <v>127</v>
      </c>
      <c r="P175">
        <v>1952.5</v>
      </c>
      <c r="Q175">
        <v>126.5</v>
      </c>
      <c r="R175">
        <v>246991.25</v>
      </c>
      <c r="S175">
        <v>31244.393124999999</v>
      </c>
    </row>
    <row r="176" spans="1:19" x14ac:dyDescent="0.3">
      <c r="A176" s="5">
        <v>41037</v>
      </c>
      <c r="B176">
        <v>2012</v>
      </c>
      <c r="C176">
        <v>5</v>
      </c>
      <c r="E176" t="s">
        <v>398</v>
      </c>
      <c r="F176" t="s">
        <v>396</v>
      </c>
      <c r="H176">
        <v>1795</v>
      </c>
      <c r="I176">
        <v>131</v>
      </c>
      <c r="J176">
        <v>1782</v>
      </c>
      <c r="K176">
        <v>129</v>
      </c>
      <c r="P176">
        <v>1788.5</v>
      </c>
      <c r="Q176">
        <v>130</v>
      </c>
      <c r="R176">
        <v>232505</v>
      </c>
      <c r="S176">
        <v>30225.65</v>
      </c>
    </row>
    <row r="177" spans="1:19" x14ac:dyDescent="0.3">
      <c r="A177" s="5">
        <v>41037</v>
      </c>
      <c r="B177">
        <v>2012</v>
      </c>
      <c r="C177">
        <v>5</v>
      </c>
      <c r="E177" t="s">
        <v>399</v>
      </c>
      <c r="F177" t="s">
        <v>396</v>
      </c>
      <c r="H177">
        <v>1844</v>
      </c>
      <c r="I177">
        <v>133</v>
      </c>
      <c r="J177">
        <v>1827</v>
      </c>
      <c r="K177">
        <v>133</v>
      </c>
      <c r="P177">
        <v>1835.5</v>
      </c>
      <c r="Q177">
        <v>133</v>
      </c>
      <c r="R177">
        <v>244121.5</v>
      </c>
      <c r="S177">
        <v>32468.159500000002</v>
      </c>
    </row>
    <row r="178" spans="1:19" x14ac:dyDescent="0.3">
      <c r="A178" s="5">
        <v>41037</v>
      </c>
      <c r="B178">
        <v>2012</v>
      </c>
      <c r="C178">
        <v>5</v>
      </c>
      <c r="E178" t="s">
        <v>400</v>
      </c>
      <c r="F178" t="s">
        <v>396</v>
      </c>
      <c r="H178">
        <v>1859</v>
      </c>
      <c r="I178">
        <v>138</v>
      </c>
      <c r="J178">
        <v>1836</v>
      </c>
      <c r="K178">
        <v>134</v>
      </c>
      <c r="P178">
        <v>1847.5</v>
      </c>
      <c r="Q178">
        <v>136</v>
      </c>
      <c r="R178">
        <v>251260</v>
      </c>
      <c r="S178">
        <v>34171.360000000001</v>
      </c>
    </row>
    <row r="179" spans="1:19" x14ac:dyDescent="0.3">
      <c r="A179" s="5">
        <v>41037</v>
      </c>
      <c r="B179">
        <v>2012</v>
      </c>
      <c r="C179">
        <v>5</v>
      </c>
      <c r="E179" t="s">
        <v>402</v>
      </c>
      <c r="F179" t="s">
        <v>396</v>
      </c>
      <c r="H179">
        <v>2016</v>
      </c>
      <c r="I179">
        <v>135</v>
      </c>
      <c r="J179">
        <v>1949</v>
      </c>
      <c r="K179">
        <v>136</v>
      </c>
      <c r="P179">
        <v>1982.5</v>
      </c>
      <c r="Q179">
        <v>135.5</v>
      </c>
      <c r="R179">
        <v>268628.75</v>
      </c>
      <c r="S179">
        <v>36399.195625</v>
      </c>
    </row>
    <row r="180" spans="1:19" x14ac:dyDescent="0.3">
      <c r="A180" s="5">
        <v>41037</v>
      </c>
      <c r="B180">
        <v>2012</v>
      </c>
      <c r="C180">
        <v>5</v>
      </c>
      <c r="E180" t="s">
        <v>401</v>
      </c>
      <c r="F180" t="s">
        <v>396</v>
      </c>
      <c r="H180">
        <v>2183</v>
      </c>
      <c r="I180">
        <v>137</v>
      </c>
      <c r="J180">
        <v>2234</v>
      </c>
      <c r="K180">
        <v>132</v>
      </c>
      <c r="P180">
        <v>2208.5</v>
      </c>
      <c r="Q180">
        <v>134.5</v>
      </c>
      <c r="R180">
        <v>297043.25</v>
      </c>
      <c r="S180">
        <v>39952.317125000001</v>
      </c>
    </row>
    <row r="181" spans="1:19" x14ac:dyDescent="0.3">
      <c r="A181" s="5">
        <v>41038</v>
      </c>
      <c r="B181">
        <v>2012</v>
      </c>
      <c r="C181">
        <v>5</v>
      </c>
      <c r="E181" t="s">
        <v>398</v>
      </c>
      <c r="F181" t="s">
        <v>396</v>
      </c>
      <c r="H181">
        <v>1688</v>
      </c>
      <c r="I181">
        <v>123</v>
      </c>
      <c r="J181">
        <v>1732</v>
      </c>
      <c r="K181">
        <v>127</v>
      </c>
      <c r="P181">
        <v>1710</v>
      </c>
      <c r="Q181">
        <v>125</v>
      </c>
      <c r="R181">
        <v>213750</v>
      </c>
      <c r="S181">
        <v>26718.75</v>
      </c>
    </row>
    <row r="182" spans="1:19" x14ac:dyDescent="0.3">
      <c r="A182" s="5">
        <v>41038</v>
      </c>
      <c r="B182">
        <v>2012</v>
      </c>
      <c r="C182">
        <v>5</v>
      </c>
      <c r="E182" t="s">
        <v>400</v>
      </c>
      <c r="F182" t="s">
        <v>396</v>
      </c>
      <c r="H182">
        <v>1760</v>
      </c>
      <c r="I182">
        <v>132</v>
      </c>
      <c r="J182">
        <v>1757</v>
      </c>
      <c r="K182">
        <v>133</v>
      </c>
      <c r="P182">
        <v>1758.5</v>
      </c>
      <c r="Q182">
        <v>132.5</v>
      </c>
      <c r="R182">
        <v>233001.25</v>
      </c>
      <c r="S182">
        <v>30872.665625000001</v>
      </c>
    </row>
    <row r="183" spans="1:19" x14ac:dyDescent="0.3">
      <c r="A183" s="5">
        <v>41038</v>
      </c>
      <c r="B183">
        <v>2012</v>
      </c>
      <c r="C183">
        <v>5</v>
      </c>
      <c r="E183" t="s">
        <v>399</v>
      </c>
      <c r="F183" t="s">
        <v>396</v>
      </c>
      <c r="H183">
        <v>1862</v>
      </c>
      <c r="I183">
        <v>133</v>
      </c>
      <c r="J183">
        <v>1842</v>
      </c>
      <c r="K183">
        <v>134</v>
      </c>
      <c r="P183">
        <v>1852</v>
      </c>
      <c r="Q183">
        <v>133.5</v>
      </c>
      <c r="R183">
        <v>247242</v>
      </c>
      <c r="S183">
        <v>33006.807000000001</v>
      </c>
    </row>
    <row r="184" spans="1:19" x14ac:dyDescent="0.3">
      <c r="A184" s="5">
        <v>41038</v>
      </c>
      <c r="B184">
        <v>2012</v>
      </c>
      <c r="C184">
        <v>5</v>
      </c>
      <c r="E184" t="s">
        <v>402</v>
      </c>
      <c r="F184" t="s">
        <v>396</v>
      </c>
      <c r="H184">
        <v>2054</v>
      </c>
      <c r="I184">
        <v>138</v>
      </c>
      <c r="J184">
        <v>1985</v>
      </c>
      <c r="K184">
        <v>139</v>
      </c>
      <c r="P184">
        <v>2019.5</v>
      </c>
      <c r="Q184">
        <v>138.5</v>
      </c>
      <c r="R184">
        <v>279700.75</v>
      </c>
      <c r="S184">
        <v>38738.553874999998</v>
      </c>
    </row>
    <row r="185" spans="1:19" x14ac:dyDescent="0.3">
      <c r="A185" s="5">
        <v>41038</v>
      </c>
      <c r="B185">
        <v>2012</v>
      </c>
      <c r="C185">
        <v>5</v>
      </c>
      <c r="E185" t="s">
        <v>401</v>
      </c>
      <c r="F185" t="s">
        <v>396</v>
      </c>
      <c r="H185">
        <v>2172</v>
      </c>
      <c r="I185">
        <v>126</v>
      </c>
      <c r="J185">
        <v>2186</v>
      </c>
      <c r="K185">
        <v>129</v>
      </c>
      <c r="P185">
        <v>2179</v>
      </c>
      <c r="Q185">
        <v>127.5</v>
      </c>
      <c r="R185">
        <v>277822.5</v>
      </c>
      <c r="S185">
        <v>35422.368750000001</v>
      </c>
    </row>
    <row r="186" spans="1:19" x14ac:dyDescent="0.3">
      <c r="A186" s="5">
        <v>41039</v>
      </c>
      <c r="B186">
        <v>2012</v>
      </c>
      <c r="C186">
        <v>5</v>
      </c>
      <c r="E186" t="s">
        <v>398</v>
      </c>
      <c r="F186" t="s">
        <v>396</v>
      </c>
      <c r="H186">
        <v>1735</v>
      </c>
      <c r="I186">
        <v>128</v>
      </c>
      <c r="J186">
        <v>1648</v>
      </c>
      <c r="K186">
        <v>126</v>
      </c>
      <c r="P186">
        <v>1691.5</v>
      </c>
      <c r="Q186">
        <v>127</v>
      </c>
      <c r="R186">
        <v>214820.5</v>
      </c>
      <c r="S186">
        <v>27282.2035</v>
      </c>
    </row>
    <row r="187" spans="1:19" x14ac:dyDescent="0.3">
      <c r="A187" s="5">
        <v>41039</v>
      </c>
      <c r="B187">
        <v>2012</v>
      </c>
      <c r="C187">
        <v>5</v>
      </c>
      <c r="E187" t="s">
        <v>400</v>
      </c>
      <c r="F187" t="s">
        <v>396</v>
      </c>
      <c r="H187">
        <v>1770</v>
      </c>
      <c r="I187">
        <v>132</v>
      </c>
      <c r="J187">
        <v>1720</v>
      </c>
      <c r="K187">
        <v>133</v>
      </c>
      <c r="P187">
        <v>1745</v>
      </c>
      <c r="Q187">
        <v>132.5</v>
      </c>
      <c r="R187">
        <v>231212.5</v>
      </c>
      <c r="S187">
        <v>30635.65625</v>
      </c>
    </row>
    <row r="188" spans="1:19" x14ac:dyDescent="0.3">
      <c r="A188" s="5">
        <v>41039</v>
      </c>
      <c r="B188">
        <v>2012</v>
      </c>
      <c r="C188">
        <v>5</v>
      </c>
      <c r="E188" t="s">
        <v>399</v>
      </c>
      <c r="F188" t="s">
        <v>396</v>
      </c>
      <c r="H188">
        <v>1740</v>
      </c>
      <c r="I188">
        <v>129</v>
      </c>
      <c r="J188">
        <v>1758</v>
      </c>
      <c r="K188">
        <v>132</v>
      </c>
      <c r="P188">
        <v>1749</v>
      </c>
      <c r="Q188">
        <v>130.5</v>
      </c>
      <c r="R188">
        <v>228244.5</v>
      </c>
      <c r="S188">
        <v>29785.90725</v>
      </c>
    </row>
    <row r="189" spans="1:19" x14ac:dyDescent="0.3">
      <c r="A189" s="5">
        <v>41039</v>
      </c>
      <c r="B189">
        <v>2012</v>
      </c>
      <c r="C189">
        <v>5</v>
      </c>
      <c r="E189" t="s">
        <v>402</v>
      </c>
      <c r="F189" t="s">
        <v>396</v>
      </c>
      <c r="H189">
        <v>1946</v>
      </c>
      <c r="I189">
        <v>139</v>
      </c>
      <c r="J189">
        <v>1921</v>
      </c>
      <c r="K189">
        <v>141</v>
      </c>
      <c r="P189">
        <v>1933.5</v>
      </c>
      <c r="Q189">
        <v>140</v>
      </c>
      <c r="R189">
        <v>270690</v>
      </c>
      <c r="S189">
        <v>37896.6</v>
      </c>
    </row>
    <row r="190" spans="1:19" x14ac:dyDescent="0.3">
      <c r="A190" s="5">
        <v>41039</v>
      </c>
      <c r="B190">
        <v>2012</v>
      </c>
      <c r="C190">
        <v>5</v>
      </c>
      <c r="E190" t="s">
        <v>401</v>
      </c>
      <c r="F190" t="s">
        <v>396</v>
      </c>
      <c r="H190">
        <v>2250</v>
      </c>
      <c r="I190">
        <v>131</v>
      </c>
      <c r="J190">
        <v>2170</v>
      </c>
      <c r="K190">
        <v>127</v>
      </c>
      <c r="P190">
        <v>2210</v>
      </c>
      <c r="Q190">
        <v>129</v>
      </c>
      <c r="R190">
        <v>285090</v>
      </c>
      <c r="S190">
        <v>36776.61</v>
      </c>
    </row>
    <row r="191" spans="1:19" x14ac:dyDescent="0.3">
      <c r="A191" s="5">
        <v>41040</v>
      </c>
      <c r="B191">
        <v>2012</v>
      </c>
      <c r="C191">
        <v>5</v>
      </c>
      <c r="E191" t="s">
        <v>398</v>
      </c>
      <c r="F191" t="s">
        <v>396</v>
      </c>
      <c r="H191">
        <v>1724</v>
      </c>
      <c r="I191">
        <v>128</v>
      </c>
      <c r="J191">
        <v>1718</v>
      </c>
      <c r="K191">
        <v>127</v>
      </c>
      <c r="P191">
        <v>1721</v>
      </c>
      <c r="Q191">
        <v>127.5</v>
      </c>
      <c r="R191">
        <v>219427.5</v>
      </c>
      <c r="S191">
        <v>27977.006249999999</v>
      </c>
    </row>
    <row r="192" spans="1:19" x14ac:dyDescent="0.3">
      <c r="A192" s="5">
        <v>41040</v>
      </c>
      <c r="B192">
        <v>2012</v>
      </c>
      <c r="C192">
        <v>5</v>
      </c>
      <c r="E192" t="s">
        <v>400</v>
      </c>
      <c r="F192" t="s">
        <v>396</v>
      </c>
      <c r="H192">
        <v>1755</v>
      </c>
      <c r="I192">
        <v>130</v>
      </c>
      <c r="J192">
        <v>1748</v>
      </c>
      <c r="K192">
        <v>131</v>
      </c>
      <c r="P192">
        <v>1751.5</v>
      </c>
      <c r="Q192">
        <v>130.5</v>
      </c>
      <c r="R192">
        <v>228570.75</v>
      </c>
      <c r="S192">
        <v>29828.482875000002</v>
      </c>
    </row>
    <row r="193" spans="1:19" x14ac:dyDescent="0.3">
      <c r="A193" s="5">
        <v>41040</v>
      </c>
      <c r="B193">
        <v>2012</v>
      </c>
      <c r="C193">
        <v>5</v>
      </c>
      <c r="E193" t="s">
        <v>399</v>
      </c>
      <c r="F193" t="s">
        <v>396</v>
      </c>
      <c r="H193">
        <v>1842</v>
      </c>
      <c r="I193">
        <v>128</v>
      </c>
      <c r="J193">
        <v>1777</v>
      </c>
      <c r="K193">
        <v>128</v>
      </c>
      <c r="P193">
        <v>1809.5</v>
      </c>
      <c r="Q193">
        <v>128</v>
      </c>
      <c r="R193">
        <v>231616</v>
      </c>
      <c r="S193">
        <v>29646.848000000002</v>
      </c>
    </row>
    <row r="194" spans="1:19" x14ac:dyDescent="0.3">
      <c r="A194" s="5">
        <v>41040</v>
      </c>
      <c r="B194">
        <v>2012</v>
      </c>
      <c r="C194">
        <v>5</v>
      </c>
      <c r="E194" t="s">
        <v>402</v>
      </c>
      <c r="F194" t="s">
        <v>396</v>
      </c>
      <c r="H194">
        <v>1855</v>
      </c>
      <c r="I194">
        <v>133</v>
      </c>
      <c r="J194">
        <v>1820</v>
      </c>
      <c r="K194">
        <v>132</v>
      </c>
      <c r="P194">
        <v>1837.5</v>
      </c>
      <c r="Q194">
        <v>132.5</v>
      </c>
      <c r="R194">
        <v>243468.75</v>
      </c>
      <c r="S194">
        <v>32259.609375</v>
      </c>
    </row>
    <row r="195" spans="1:19" x14ac:dyDescent="0.3">
      <c r="A195" s="5">
        <v>41040</v>
      </c>
      <c r="B195">
        <v>2012</v>
      </c>
      <c r="C195">
        <v>5</v>
      </c>
      <c r="E195" t="s">
        <v>401</v>
      </c>
      <c r="F195" t="s">
        <v>396</v>
      </c>
      <c r="H195">
        <v>2091</v>
      </c>
      <c r="I195">
        <v>127</v>
      </c>
      <c r="J195">
        <v>2090</v>
      </c>
      <c r="K195">
        <v>126</v>
      </c>
      <c r="P195">
        <v>2090.5</v>
      </c>
      <c r="Q195">
        <v>126.5</v>
      </c>
      <c r="R195">
        <v>264448.25</v>
      </c>
      <c r="S195">
        <v>33452.703625000002</v>
      </c>
    </row>
    <row r="196" spans="1:19" x14ac:dyDescent="0.3">
      <c r="A196" s="5">
        <v>41072</v>
      </c>
      <c r="B196">
        <v>2012</v>
      </c>
      <c r="C196">
        <v>6</v>
      </c>
      <c r="E196" t="s">
        <v>400</v>
      </c>
      <c r="F196" t="s">
        <v>396</v>
      </c>
      <c r="H196">
        <v>1697</v>
      </c>
      <c r="I196">
        <v>126</v>
      </c>
      <c r="J196">
        <v>1710</v>
      </c>
      <c r="K196">
        <v>125</v>
      </c>
      <c r="P196">
        <v>1703.5</v>
      </c>
      <c r="Q196">
        <v>125.5</v>
      </c>
      <c r="R196">
        <v>213789.25</v>
      </c>
      <c r="S196">
        <v>26830.550875000001</v>
      </c>
    </row>
    <row r="197" spans="1:19" x14ac:dyDescent="0.3">
      <c r="A197" s="5">
        <v>41072</v>
      </c>
      <c r="B197">
        <v>2012</v>
      </c>
      <c r="C197">
        <v>6</v>
      </c>
      <c r="E197" t="s">
        <v>399</v>
      </c>
      <c r="F197" t="s">
        <v>396</v>
      </c>
      <c r="H197">
        <v>1879</v>
      </c>
      <c r="I197">
        <v>133</v>
      </c>
      <c r="J197">
        <v>1838</v>
      </c>
      <c r="K197">
        <v>130</v>
      </c>
      <c r="P197">
        <v>1858.5</v>
      </c>
      <c r="Q197">
        <v>131.5</v>
      </c>
      <c r="R197">
        <v>244392.75</v>
      </c>
      <c r="S197">
        <v>32137.646625000001</v>
      </c>
    </row>
    <row r="198" spans="1:19" x14ac:dyDescent="0.3">
      <c r="A198" s="5">
        <v>41078</v>
      </c>
      <c r="B198">
        <v>2012</v>
      </c>
      <c r="C198">
        <v>6</v>
      </c>
      <c r="E198" t="s">
        <v>395</v>
      </c>
      <c r="F198" t="s">
        <v>396</v>
      </c>
      <c r="H198">
        <v>1244.9073000000001</v>
      </c>
      <c r="I198">
        <v>122</v>
      </c>
      <c r="P198">
        <v>1244.9073000000001</v>
      </c>
      <c r="Q198">
        <v>122</v>
      </c>
      <c r="R198">
        <v>151878.6906</v>
      </c>
      <c r="S198">
        <v>18529.200253200001</v>
      </c>
    </row>
    <row r="199" spans="1:19" x14ac:dyDescent="0.3">
      <c r="A199" s="5">
        <v>41078</v>
      </c>
      <c r="B199">
        <v>2012</v>
      </c>
      <c r="C199">
        <v>6</v>
      </c>
      <c r="E199" t="s">
        <v>400</v>
      </c>
      <c r="F199" t="s">
        <v>396</v>
      </c>
      <c r="H199">
        <v>1862.7273</v>
      </c>
      <c r="I199">
        <v>136</v>
      </c>
      <c r="P199">
        <v>1862.7273</v>
      </c>
      <c r="Q199">
        <v>136</v>
      </c>
      <c r="R199">
        <v>253330.91279999999</v>
      </c>
      <c r="S199">
        <v>34453.004140799996</v>
      </c>
    </row>
    <row r="200" spans="1:19" x14ac:dyDescent="0.3">
      <c r="A200" s="5">
        <v>41078</v>
      </c>
      <c r="B200">
        <v>2012</v>
      </c>
      <c r="C200">
        <v>6</v>
      </c>
      <c r="E200" t="s">
        <v>399</v>
      </c>
      <c r="F200" t="s">
        <v>396</v>
      </c>
      <c r="H200">
        <v>1928.6281000000001</v>
      </c>
      <c r="I200">
        <v>138</v>
      </c>
      <c r="P200">
        <v>1928.6281000000001</v>
      </c>
      <c r="Q200">
        <v>138</v>
      </c>
      <c r="R200">
        <v>266150.6778</v>
      </c>
      <c r="S200">
        <v>36728.7935364</v>
      </c>
    </row>
    <row r="201" spans="1:19" x14ac:dyDescent="0.3">
      <c r="A201" s="5">
        <v>41078</v>
      </c>
      <c r="B201">
        <v>2012</v>
      </c>
      <c r="C201">
        <v>6</v>
      </c>
      <c r="E201" t="s">
        <v>398</v>
      </c>
      <c r="F201" t="s">
        <v>396</v>
      </c>
      <c r="H201">
        <v>1949.2221000000002</v>
      </c>
      <c r="I201">
        <v>137</v>
      </c>
      <c r="P201">
        <v>1949.2221000000002</v>
      </c>
      <c r="Q201">
        <v>137</v>
      </c>
      <c r="R201">
        <v>267043.4277</v>
      </c>
      <c r="S201">
        <v>36584.949594899997</v>
      </c>
    </row>
    <row r="202" spans="1:19" x14ac:dyDescent="0.3">
      <c r="A202" s="5">
        <v>41078</v>
      </c>
      <c r="B202">
        <v>2012</v>
      </c>
      <c r="C202">
        <v>6</v>
      </c>
      <c r="E202" t="s">
        <v>402</v>
      </c>
      <c r="F202" t="s">
        <v>396</v>
      </c>
      <c r="H202">
        <v>2233.4193</v>
      </c>
      <c r="I202">
        <v>145</v>
      </c>
      <c r="P202">
        <v>2233.4193</v>
      </c>
      <c r="Q202">
        <v>145</v>
      </c>
      <c r="R202">
        <v>323845.79849999998</v>
      </c>
      <c r="S202">
        <v>46957.640782499999</v>
      </c>
    </row>
    <row r="203" spans="1:19" x14ac:dyDescent="0.3">
      <c r="A203" s="5">
        <v>41079</v>
      </c>
      <c r="B203">
        <v>2012</v>
      </c>
      <c r="C203">
        <v>6</v>
      </c>
      <c r="E203" t="s">
        <v>395</v>
      </c>
      <c r="F203" t="s">
        <v>396</v>
      </c>
      <c r="H203">
        <v>1222.2539000000002</v>
      </c>
      <c r="I203">
        <v>121</v>
      </c>
      <c r="P203">
        <v>1222.2539000000002</v>
      </c>
      <c r="Q203">
        <v>121</v>
      </c>
      <c r="R203">
        <v>147892.72190000003</v>
      </c>
      <c r="S203">
        <v>17895.019349900005</v>
      </c>
    </row>
    <row r="204" spans="1:19" x14ac:dyDescent="0.3">
      <c r="A204" s="5">
        <v>41079</v>
      </c>
      <c r="B204">
        <v>2012</v>
      </c>
      <c r="C204">
        <v>6</v>
      </c>
      <c r="E204" t="s">
        <v>400</v>
      </c>
      <c r="F204" t="s">
        <v>396</v>
      </c>
      <c r="H204">
        <v>1830.8066000000001</v>
      </c>
      <c r="I204">
        <v>140</v>
      </c>
      <c r="P204">
        <v>1830.8066000000001</v>
      </c>
      <c r="Q204">
        <v>140</v>
      </c>
      <c r="R204">
        <v>256312.92400000003</v>
      </c>
      <c r="S204">
        <v>35883.809360000007</v>
      </c>
    </row>
    <row r="205" spans="1:19" x14ac:dyDescent="0.3">
      <c r="A205" s="5">
        <v>41079</v>
      </c>
      <c r="B205">
        <v>2012</v>
      </c>
      <c r="C205">
        <v>6</v>
      </c>
      <c r="E205" t="s">
        <v>399</v>
      </c>
      <c r="F205" t="s">
        <v>396</v>
      </c>
      <c r="H205">
        <v>1896.7074</v>
      </c>
      <c r="I205">
        <v>138</v>
      </c>
      <c r="P205">
        <v>1896.7074</v>
      </c>
      <c r="Q205">
        <v>138</v>
      </c>
      <c r="R205">
        <v>261745.62119999999</v>
      </c>
      <c r="S205">
        <v>36120.895725599999</v>
      </c>
    </row>
    <row r="206" spans="1:19" x14ac:dyDescent="0.3">
      <c r="A206" s="5">
        <v>41079</v>
      </c>
      <c r="B206">
        <v>2012</v>
      </c>
      <c r="C206">
        <v>6</v>
      </c>
      <c r="E206" t="s">
        <v>398</v>
      </c>
      <c r="F206" t="s">
        <v>396</v>
      </c>
      <c r="H206">
        <v>1905.9747000000002</v>
      </c>
      <c r="I206">
        <v>137</v>
      </c>
      <c r="P206">
        <v>1905.9747000000002</v>
      </c>
      <c r="Q206">
        <v>137</v>
      </c>
      <c r="R206">
        <v>261118.53390000004</v>
      </c>
      <c r="S206">
        <v>35773.239144300009</v>
      </c>
    </row>
    <row r="207" spans="1:19" x14ac:dyDescent="0.3">
      <c r="A207" s="5">
        <v>41079</v>
      </c>
      <c r="B207">
        <v>2012</v>
      </c>
      <c r="C207">
        <v>6</v>
      </c>
      <c r="E207" t="s">
        <v>402</v>
      </c>
      <c r="F207" t="s">
        <v>396</v>
      </c>
      <c r="H207">
        <v>2083.0831000000003</v>
      </c>
      <c r="I207">
        <v>149</v>
      </c>
      <c r="P207">
        <v>2083.0831000000003</v>
      </c>
      <c r="Q207">
        <v>149</v>
      </c>
      <c r="R207">
        <v>310379.38190000004</v>
      </c>
      <c r="S207">
        <v>46246.527903100003</v>
      </c>
    </row>
    <row r="208" spans="1:19" x14ac:dyDescent="0.3">
      <c r="A208" s="5">
        <v>41079</v>
      </c>
      <c r="B208">
        <v>2012</v>
      </c>
      <c r="C208">
        <v>6</v>
      </c>
      <c r="E208" t="s">
        <v>401</v>
      </c>
      <c r="F208" t="s">
        <v>396</v>
      </c>
      <c r="H208">
        <v>2113.9740999999999</v>
      </c>
      <c r="I208">
        <v>134</v>
      </c>
      <c r="P208">
        <v>2113.9740999999999</v>
      </c>
      <c r="Q208">
        <v>134</v>
      </c>
      <c r="R208">
        <v>283272.5294</v>
      </c>
      <c r="S208">
        <v>37958.518939599999</v>
      </c>
    </row>
    <row r="209" spans="1:19" x14ac:dyDescent="0.3">
      <c r="A209" s="5">
        <v>41080</v>
      </c>
      <c r="B209">
        <v>2012</v>
      </c>
      <c r="C209">
        <v>6</v>
      </c>
      <c r="E209" t="s">
        <v>395</v>
      </c>
      <c r="F209" t="s">
        <v>396</v>
      </c>
      <c r="H209">
        <v>1242.8479</v>
      </c>
      <c r="I209">
        <v>121</v>
      </c>
      <c r="P209">
        <v>1242.8479</v>
      </c>
      <c r="Q209">
        <v>121</v>
      </c>
      <c r="R209">
        <v>150384.59589999999</v>
      </c>
      <c r="S209">
        <v>18196.536103899998</v>
      </c>
    </row>
    <row r="210" spans="1:19" x14ac:dyDescent="0.3">
      <c r="A210" s="5">
        <v>41080</v>
      </c>
      <c r="B210">
        <v>2012</v>
      </c>
      <c r="C210">
        <v>6</v>
      </c>
      <c r="E210" t="s">
        <v>400</v>
      </c>
      <c r="F210" t="s">
        <v>396</v>
      </c>
      <c r="H210">
        <v>1824.6284000000001</v>
      </c>
      <c r="I210">
        <v>138</v>
      </c>
      <c r="P210">
        <v>1824.6284000000001</v>
      </c>
      <c r="Q210">
        <v>138</v>
      </c>
      <c r="R210">
        <v>251798.71920000002</v>
      </c>
      <c r="S210">
        <v>34748.2232496</v>
      </c>
    </row>
    <row r="211" spans="1:19" x14ac:dyDescent="0.3">
      <c r="A211" s="5">
        <v>41080</v>
      </c>
      <c r="B211">
        <v>2012</v>
      </c>
      <c r="C211">
        <v>6</v>
      </c>
      <c r="E211" t="s">
        <v>399</v>
      </c>
      <c r="F211" t="s">
        <v>396</v>
      </c>
      <c r="H211">
        <v>1847.2818000000002</v>
      </c>
      <c r="I211">
        <v>133</v>
      </c>
      <c r="P211">
        <v>1847.2818000000002</v>
      </c>
      <c r="Q211">
        <v>133</v>
      </c>
      <c r="R211">
        <v>245688.47940000004</v>
      </c>
      <c r="S211">
        <v>32676.567760200003</v>
      </c>
    </row>
    <row r="212" spans="1:19" x14ac:dyDescent="0.3">
      <c r="A212" s="5">
        <v>41080</v>
      </c>
      <c r="B212">
        <v>2012</v>
      </c>
      <c r="C212">
        <v>6</v>
      </c>
      <c r="E212" t="s">
        <v>398</v>
      </c>
      <c r="F212" t="s">
        <v>396</v>
      </c>
      <c r="H212">
        <v>2001.7368000000001</v>
      </c>
      <c r="I212">
        <v>145</v>
      </c>
      <c r="P212">
        <v>2001.7368000000001</v>
      </c>
      <c r="Q212">
        <v>145</v>
      </c>
      <c r="R212">
        <v>290251.83600000001</v>
      </c>
      <c r="S212">
        <v>42086.516219999998</v>
      </c>
    </row>
    <row r="213" spans="1:19" x14ac:dyDescent="0.3">
      <c r="A213" s="5">
        <v>41080</v>
      </c>
      <c r="B213">
        <v>2012</v>
      </c>
      <c r="C213">
        <v>6</v>
      </c>
      <c r="E213" t="s">
        <v>401</v>
      </c>
      <c r="F213" t="s">
        <v>396</v>
      </c>
      <c r="H213">
        <v>2220.0332000000003</v>
      </c>
      <c r="I213">
        <v>133</v>
      </c>
      <c r="P213">
        <v>2220.0332000000003</v>
      </c>
      <c r="Q213">
        <v>133</v>
      </c>
      <c r="R213">
        <v>295264.41560000007</v>
      </c>
      <c r="S213">
        <v>39270.167274800013</v>
      </c>
    </row>
    <row r="214" spans="1:19" x14ac:dyDescent="0.3">
      <c r="A214" s="5">
        <v>41080</v>
      </c>
      <c r="B214">
        <v>2012</v>
      </c>
      <c r="C214">
        <v>6</v>
      </c>
      <c r="E214" t="s">
        <v>402</v>
      </c>
      <c r="F214" t="s">
        <v>396</v>
      </c>
      <c r="H214">
        <v>2260.1914999999999</v>
      </c>
      <c r="I214">
        <v>153</v>
      </c>
      <c r="P214">
        <v>2260.1914999999999</v>
      </c>
      <c r="Q214">
        <v>153</v>
      </c>
      <c r="R214">
        <v>345809.29949999996</v>
      </c>
      <c r="S214">
        <v>52908.822823499992</v>
      </c>
    </row>
    <row r="215" spans="1:19" x14ac:dyDescent="0.3">
      <c r="A215" s="5">
        <v>41082</v>
      </c>
      <c r="B215">
        <v>2012</v>
      </c>
      <c r="C215">
        <v>6</v>
      </c>
      <c r="E215" t="s">
        <v>400</v>
      </c>
      <c r="F215" t="s">
        <v>396</v>
      </c>
      <c r="H215">
        <v>1705.1832000000002</v>
      </c>
      <c r="I215">
        <v>134</v>
      </c>
      <c r="J215">
        <v>1528</v>
      </c>
      <c r="K215">
        <v>129</v>
      </c>
      <c r="P215">
        <v>1616.5916000000002</v>
      </c>
      <c r="Q215">
        <v>131.5</v>
      </c>
      <c r="R215">
        <v>212581.79540000003</v>
      </c>
      <c r="S215">
        <v>27954.506095100005</v>
      </c>
    </row>
    <row r="216" spans="1:19" x14ac:dyDescent="0.3">
      <c r="A216" s="5">
        <v>41082</v>
      </c>
      <c r="B216">
        <v>2012</v>
      </c>
      <c r="C216">
        <v>6</v>
      </c>
      <c r="E216" t="s">
        <v>399</v>
      </c>
      <c r="F216" t="s">
        <v>396</v>
      </c>
      <c r="H216">
        <v>1761.8167000000001</v>
      </c>
      <c r="I216">
        <v>133</v>
      </c>
      <c r="J216">
        <v>1795</v>
      </c>
      <c r="K216">
        <v>133</v>
      </c>
      <c r="P216">
        <v>1778.4083500000002</v>
      </c>
      <c r="Q216">
        <v>133</v>
      </c>
      <c r="R216">
        <v>236528.31055000002</v>
      </c>
      <c r="S216">
        <v>31458.265303150001</v>
      </c>
    </row>
    <row r="217" spans="1:19" x14ac:dyDescent="0.3">
      <c r="A217" s="5">
        <v>41082</v>
      </c>
      <c r="B217">
        <v>2012</v>
      </c>
      <c r="C217">
        <v>6</v>
      </c>
      <c r="E217" t="s">
        <v>398</v>
      </c>
      <c r="F217" t="s">
        <v>396</v>
      </c>
      <c r="H217">
        <v>1795.7968000000001</v>
      </c>
      <c r="I217">
        <v>136</v>
      </c>
      <c r="J217">
        <v>1782</v>
      </c>
      <c r="K217">
        <v>132</v>
      </c>
      <c r="P217">
        <v>1788.8984</v>
      </c>
      <c r="Q217">
        <v>134</v>
      </c>
      <c r="R217">
        <v>239712.38560000001</v>
      </c>
      <c r="S217">
        <v>32121.4596704</v>
      </c>
    </row>
    <row r="218" spans="1:19" x14ac:dyDescent="0.3">
      <c r="A218" s="5">
        <v>41082</v>
      </c>
      <c r="B218">
        <v>2012</v>
      </c>
      <c r="C218">
        <v>6</v>
      </c>
      <c r="E218" t="s">
        <v>399</v>
      </c>
      <c r="F218" t="s">
        <v>396</v>
      </c>
      <c r="H218">
        <v>1851.4006000000002</v>
      </c>
      <c r="I218">
        <v>128</v>
      </c>
      <c r="P218">
        <v>1851.4006000000002</v>
      </c>
      <c r="Q218">
        <v>128</v>
      </c>
      <c r="R218">
        <v>236979.27680000002</v>
      </c>
      <c r="S218">
        <v>30333.347430400001</v>
      </c>
    </row>
    <row r="219" spans="1:19" x14ac:dyDescent="0.3">
      <c r="A219" s="5">
        <v>41082</v>
      </c>
      <c r="B219">
        <v>2012</v>
      </c>
      <c r="C219">
        <v>6</v>
      </c>
      <c r="E219" t="s">
        <v>398</v>
      </c>
      <c r="F219" t="s">
        <v>396</v>
      </c>
      <c r="H219">
        <v>1877.1431</v>
      </c>
      <c r="I219">
        <v>135</v>
      </c>
      <c r="P219">
        <v>1877.1431</v>
      </c>
      <c r="Q219">
        <v>135</v>
      </c>
      <c r="R219">
        <v>253414.31849999999</v>
      </c>
      <c r="S219">
        <v>34210.9329975</v>
      </c>
    </row>
    <row r="220" spans="1:19" x14ac:dyDescent="0.3">
      <c r="A220" s="5">
        <v>41082</v>
      </c>
      <c r="B220">
        <v>2012</v>
      </c>
      <c r="C220">
        <v>6</v>
      </c>
      <c r="E220" t="s">
        <v>401</v>
      </c>
      <c r="F220" t="s">
        <v>396</v>
      </c>
      <c r="H220">
        <v>2208.7065000000002</v>
      </c>
      <c r="I220">
        <v>135</v>
      </c>
      <c r="P220">
        <v>2208.7065000000002</v>
      </c>
      <c r="Q220">
        <v>135</v>
      </c>
      <c r="R220">
        <v>298175.37750000006</v>
      </c>
      <c r="S220">
        <v>40253.675962500005</v>
      </c>
    </row>
    <row r="221" spans="1:19" x14ac:dyDescent="0.3">
      <c r="A221" s="5">
        <v>41083</v>
      </c>
      <c r="B221">
        <v>2012</v>
      </c>
      <c r="C221">
        <v>6</v>
      </c>
      <c r="E221" t="s">
        <v>398</v>
      </c>
      <c r="F221" t="s">
        <v>396</v>
      </c>
      <c r="H221">
        <v>1824.6284000000001</v>
      </c>
      <c r="I221">
        <v>133</v>
      </c>
      <c r="J221">
        <v>1700</v>
      </c>
      <c r="K221">
        <v>133</v>
      </c>
      <c r="P221">
        <v>1762.3142</v>
      </c>
      <c r="Q221">
        <v>133</v>
      </c>
      <c r="R221">
        <v>234387.7886</v>
      </c>
      <c r="S221">
        <v>31173.5758838</v>
      </c>
    </row>
    <row r="222" spans="1:19" x14ac:dyDescent="0.3">
      <c r="A222" s="5">
        <v>41083</v>
      </c>
      <c r="B222">
        <v>2012</v>
      </c>
      <c r="C222">
        <v>6</v>
      </c>
      <c r="E222" t="s">
        <v>399</v>
      </c>
      <c r="F222" t="s">
        <v>396</v>
      </c>
      <c r="H222">
        <v>1884.3510000000001</v>
      </c>
      <c r="I222">
        <v>131</v>
      </c>
      <c r="J222">
        <v>1846</v>
      </c>
      <c r="K222">
        <v>133</v>
      </c>
      <c r="P222">
        <v>1865.1755000000001</v>
      </c>
      <c r="Q222">
        <v>132</v>
      </c>
      <c r="R222">
        <v>246203.166</v>
      </c>
      <c r="S222">
        <v>32498.817912000002</v>
      </c>
    </row>
    <row r="223" spans="1:19" x14ac:dyDescent="0.3">
      <c r="A223" s="5">
        <v>41083</v>
      </c>
      <c r="B223">
        <v>2012</v>
      </c>
      <c r="C223">
        <v>6</v>
      </c>
      <c r="E223" t="s">
        <v>402</v>
      </c>
      <c r="F223" t="s">
        <v>396</v>
      </c>
      <c r="H223">
        <v>2028.509</v>
      </c>
      <c r="I223">
        <v>137</v>
      </c>
      <c r="J223">
        <v>2056</v>
      </c>
      <c r="K223">
        <v>142</v>
      </c>
      <c r="P223">
        <v>2042.2545</v>
      </c>
      <c r="Q223">
        <v>139.5</v>
      </c>
      <c r="R223">
        <v>284894.50274999999</v>
      </c>
      <c r="S223">
        <v>39742.783133625002</v>
      </c>
    </row>
    <row r="224" spans="1:19" x14ac:dyDescent="0.3">
      <c r="A224" s="5">
        <v>41083</v>
      </c>
      <c r="B224">
        <v>2012</v>
      </c>
      <c r="C224">
        <v>6</v>
      </c>
      <c r="E224" t="s">
        <v>401</v>
      </c>
      <c r="F224" t="s">
        <v>396</v>
      </c>
      <c r="H224">
        <v>2112.9444000000003</v>
      </c>
      <c r="I224">
        <v>126</v>
      </c>
      <c r="J224">
        <v>2115</v>
      </c>
      <c r="K224">
        <v>127</v>
      </c>
      <c r="P224">
        <v>2113.9722000000002</v>
      </c>
      <c r="Q224">
        <v>126.5</v>
      </c>
      <c r="R224">
        <v>267417.48330000002</v>
      </c>
      <c r="S224">
        <v>33828.311637450002</v>
      </c>
    </row>
    <row r="225" spans="1:19" x14ac:dyDescent="0.3">
      <c r="A225" s="5">
        <v>41084</v>
      </c>
      <c r="B225">
        <v>2012</v>
      </c>
      <c r="C225">
        <v>6</v>
      </c>
      <c r="E225" t="s">
        <v>398</v>
      </c>
      <c r="F225" t="s">
        <v>396</v>
      </c>
      <c r="H225">
        <v>1812.2720000000002</v>
      </c>
      <c r="I225">
        <v>136</v>
      </c>
      <c r="P225">
        <v>1812.2720000000002</v>
      </c>
      <c r="Q225">
        <v>136</v>
      </c>
      <c r="R225">
        <v>246468.99200000003</v>
      </c>
      <c r="S225">
        <v>33519.782912000002</v>
      </c>
    </row>
    <row r="226" spans="1:19" x14ac:dyDescent="0.3">
      <c r="A226" s="5">
        <v>41084</v>
      </c>
      <c r="B226">
        <v>2012</v>
      </c>
      <c r="C226">
        <v>6</v>
      </c>
      <c r="E226" t="s">
        <v>399</v>
      </c>
      <c r="F226" t="s">
        <v>396</v>
      </c>
      <c r="H226">
        <v>2005.8556000000001</v>
      </c>
      <c r="I226">
        <v>137</v>
      </c>
      <c r="P226">
        <v>2005.8556000000001</v>
      </c>
      <c r="Q226">
        <v>137</v>
      </c>
      <c r="R226">
        <v>274802.21720000001</v>
      </c>
      <c r="S226">
        <v>37647.903756400003</v>
      </c>
    </row>
    <row r="227" spans="1:19" x14ac:dyDescent="0.3">
      <c r="A227" s="5">
        <v>41084</v>
      </c>
      <c r="B227">
        <v>2012</v>
      </c>
      <c r="C227">
        <v>6</v>
      </c>
      <c r="E227" t="s">
        <v>402</v>
      </c>
      <c r="F227" t="s">
        <v>396</v>
      </c>
      <c r="H227">
        <v>2221.0629000000004</v>
      </c>
      <c r="I227">
        <v>149</v>
      </c>
      <c r="P227">
        <v>2221.0629000000004</v>
      </c>
      <c r="Q227">
        <v>149</v>
      </c>
      <c r="R227">
        <v>330938.37210000004</v>
      </c>
      <c r="S227">
        <v>49309.817442899999</v>
      </c>
    </row>
    <row r="228" spans="1:19" x14ac:dyDescent="0.3">
      <c r="A228" s="5">
        <v>41084</v>
      </c>
      <c r="B228">
        <v>2012</v>
      </c>
      <c r="C228">
        <v>6</v>
      </c>
      <c r="E228" t="s">
        <v>401</v>
      </c>
      <c r="F228" t="s">
        <v>396</v>
      </c>
      <c r="H228">
        <v>2223.1223</v>
      </c>
      <c r="I228">
        <v>132</v>
      </c>
      <c r="P228">
        <v>2223.1223</v>
      </c>
      <c r="Q228">
        <v>132</v>
      </c>
      <c r="R228">
        <v>293452.14360000001</v>
      </c>
      <c r="S228">
        <v>38735.682955199998</v>
      </c>
    </row>
    <row r="229" spans="1:19" x14ac:dyDescent="0.3">
      <c r="A229" s="5">
        <v>41086</v>
      </c>
      <c r="B229">
        <v>2012</v>
      </c>
      <c r="C229">
        <v>6</v>
      </c>
      <c r="E229" t="s">
        <v>398</v>
      </c>
      <c r="F229" t="s">
        <v>396</v>
      </c>
      <c r="H229">
        <v>1890.5292000000002</v>
      </c>
      <c r="I229">
        <v>133</v>
      </c>
      <c r="P229">
        <v>1890.5292000000002</v>
      </c>
      <c r="Q229">
        <v>133</v>
      </c>
      <c r="R229">
        <v>251440.38360000003</v>
      </c>
      <c r="S229">
        <v>33441.571018800008</v>
      </c>
    </row>
    <row r="230" spans="1:19" x14ac:dyDescent="0.3">
      <c r="A230" s="5">
        <v>41086</v>
      </c>
      <c r="B230">
        <v>2012</v>
      </c>
      <c r="C230">
        <v>6</v>
      </c>
      <c r="E230" t="s">
        <v>399</v>
      </c>
      <c r="F230" t="s">
        <v>396</v>
      </c>
      <c r="H230">
        <v>1896.7074</v>
      </c>
      <c r="I230">
        <v>130</v>
      </c>
      <c r="P230">
        <v>1896.7074</v>
      </c>
      <c r="Q230">
        <v>130</v>
      </c>
      <c r="R230">
        <v>246571.962</v>
      </c>
      <c r="S230">
        <v>32054.355059999998</v>
      </c>
    </row>
    <row r="231" spans="1:19" x14ac:dyDescent="0.3">
      <c r="A231" s="5">
        <v>41086</v>
      </c>
      <c r="B231">
        <v>2012</v>
      </c>
      <c r="C231">
        <v>6</v>
      </c>
      <c r="E231" t="s">
        <v>402</v>
      </c>
      <c r="F231" t="s">
        <v>396</v>
      </c>
      <c r="H231">
        <v>2148.9839000000002</v>
      </c>
      <c r="I231">
        <v>139</v>
      </c>
      <c r="P231">
        <v>2148.9839000000002</v>
      </c>
      <c r="Q231">
        <v>139</v>
      </c>
      <c r="R231">
        <v>298708.76210000005</v>
      </c>
      <c r="S231">
        <v>41520.517931900009</v>
      </c>
    </row>
    <row r="232" spans="1:19" x14ac:dyDescent="0.3">
      <c r="A232" s="5">
        <v>41086</v>
      </c>
      <c r="B232">
        <v>2012</v>
      </c>
      <c r="C232">
        <v>6</v>
      </c>
      <c r="E232" t="s">
        <v>401</v>
      </c>
      <c r="F232" t="s">
        <v>396</v>
      </c>
      <c r="H232">
        <v>2207.6768000000002</v>
      </c>
      <c r="I232">
        <v>128</v>
      </c>
      <c r="P232">
        <v>2207.6768000000002</v>
      </c>
      <c r="Q232">
        <v>128</v>
      </c>
      <c r="R232">
        <v>282582.63040000002</v>
      </c>
      <c r="S232">
        <v>36170.576691200004</v>
      </c>
    </row>
    <row r="233" spans="1:19" x14ac:dyDescent="0.3">
      <c r="A233" s="5">
        <v>41087</v>
      </c>
      <c r="B233">
        <v>2012</v>
      </c>
      <c r="C233">
        <v>6</v>
      </c>
      <c r="E233" t="s">
        <v>398</v>
      </c>
      <c r="F233" t="s">
        <v>396</v>
      </c>
      <c r="H233">
        <v>1846.2521000000002</v>
      </c>
      <c r="I233">
        <v>131</v>
      </c>
      <c r="P233">
        <v>1846.2521000000002</v>
      </c>
      <c r="Q233">
        <v>131</v>
      </c>
      <c r="R233">
        <v>241859.02510000003</v>
      </c>
      <c r="S233">
        <v>31683.532288100003</v>
      </c>
    </row>
    <row r="234" spans="1:19" x14ac:dyDescent="0.3">
      <c r="A234" s="5">
        <v>41087</v>
      </c>
      <c r="B234">
        <v>2012</v>
      </c>
      <c r="C234">
        <v>6</v>
      </c>
      <c r="E234" t="s">
        <v>399</v>
      </c>
      <c r="F234" t="s">
        <v>396</v>
      </c>
      <c r="H234">
        <v>2013.0635000000002</v>
      </c>
      <c r="I234">
        <v>135</v>
      </c>
      <c r="P234">
        <v>2013.0635000000002</v>
      </c>
      <c r="Q234">
        <v>135</v>
      </c>
      <c r="R234">
        <v>271763.57250000001</v>
      </c>
      <c r="S234">
        <v>36688.082287500001</v>
      </c>
    </row>
    <row r="235" spans="1:19" x14ac:dyDescent="0.3">
      <c r="A235" s="5">
        <v>41087</v>
      </c>
      <c r="B235">
        <v>2012</v>
      </c>
      <c r="C235">
        <v>6</v>
      </c>
      <c r="E235" t="s">
        <v>401</v>
      </c>
      <c r="F235" t="s">
        <v>396</v>
      </c>
      <c r="H235">
        <v>2232.3896</v>
      </c>
      <c r="I235">
        <v>130</v>
      </c>
      <c r="P235">
        <v>2232.3896</v>
      </c>
      <c r="Q235">
        <v>130</v>
      </c>
      <c r="R235">
        <v>290210.64799999999</v>
      </c>
      <c r="S235">
        <v>37727.384239999992</v>
      </c>
    </row>
    <row r="236" spans="1:19" x14ac:dyDescent="0.3">
      <c r="A236" s="5">
        <v>41087</v>
      </c>
      <c r="B236">
        <v>2012</v>
      </c>
      <c r="C236">
        <v>6</v>
      </c>
      <c r="E236" t="s">
        <v>402</v>
      </c>
      <c r="F236" t="s">
        <v>396</v>
      </c>
      <c r="H236">
        <v>2232.3896</v>
      </c>
      <c r="I236">
        <v>145</v>
      </c>
      <c r="P236">
        <v>2232.3896</v>
      </c>
      <c r="Q236">
        <v>145</v>
      </c>
      <c r="R236">
        <v>323696.49199999997</v>
      </c>
      <c r="S236">
        <v>46935.991339999993</v>
      </c>
    </row>
    <row r="237" spans="1:19" x14ac:dyDescent="0.3">
      <c r="A237" s="5">
        <v>41088</v>
      </c>
      <c r="B237">
        <v>2012</v>
      </c>
      <c r="C237">
        <v>6</v>
      </c>
      <c r="E237" t="s">
        <v>400</v>
      </c>
      <c r="F237" t="s">
        <v>396</v>
      </c>
      <c r="H237">
        <v>1853.46</v>
      </c>
      <c r="I237">
        <v>142</v>
      </c>
      <c r="P237">
        <v>1853.46</v>
      </c>
      <c r="Q237">
        <v>142</v>
      </c>
      <c r="R237">
        <v>263191.32</v>
      </c>
      <c r="S237">
        <v>37373.167439999997</v>
      </c>
    </row>
    <row r="238" spans="1:19" x14ac:dyDescent="0.3">
      <c r="A238" s="5">
        <v>41088</v>
      </c>
      <c r="B238">
        <v>2012</v>
      </c>
      <c r="C238">
        <v>6</v>
      </c>
      <c r="E238" t="s">
        <v>398</v>
      </c>
      <c r="F238" t="s">
        <v>396</v>
      </c>
      <c r="H238">
        <v>1953.3409000000001</v>
      </c>
      <c r="I238">
        <v>138</v>
      </c>
      <c r="P238">
        <v>1953.3409000000001</v>
      </c>
      <c r="Q238">
        <v>138</v>
      </c>
      <c r="R238">
        <v>269561.0442</v>
      </c>
      <c r="S238">
        <v>37199.424099600001</v>
      </c>
    </row>
    <row r="239" spans="1:19" x14ac:dyDescent="0.3">
      <c r="A239" s="5">
        <v>41088</v>
      </c>
      <c r="B239">
        <v>2012</v>
      </c>
      <c r="C239">
        <v>6</v>
      </c>
      <c r="E239" t="s">
        <v>399</v>
      </c>
      <c r="F239" t="s">
        <v>396</v>
      </c>
      <c r="H239">
        <v>1979.0834000000002</v>
      </c>
      <c r="I239">
        <v>127</v>
      </c>
      <c r="P239">
        <v>1979.0834000000002</v>
      </c>
      <c r="Q239">
        <v>127</v>
      </c>
      <c r="R239">
        <v>251343.59180000002</v>
      </c>
      <c r="S239">
        <v>31920.636158600002</v>
      </c>
    </row>
    <row r="240" spans="1:19" x14ac:dyDescent="0.3">
      <c r="A240" s="5">
        <v>41088</v>
      </c>
      <c r="B240">
        <v>2012</v>
      </c>
      <c r="C240">
        <v>6</v>
      </c>
      <c r="E240" t="s">
        <v>402</v>
      </c>
      <c r="F240" t="s">
        <v>396</v>
      </c>
      <c r="H240">
        <v>2239.5975000000003</v>
      </c>
      <c r="I240">
        <v>144</v>
      </c>
      <c r="P240">
        <v>2239.5975000000003</v>
      </c>
      <c r="Q240">
        <v>144</v>
      </c>
      <c r="R240">
        <v>322502.04000000004</v>
      </c>
      <c r="S240">
        <v>46440.293760000008</v>
      </c>
    </row>
    <row r="241" spans="1:19" x14ac:dyDescent="0.3">
      <c r="A241" s="5">
        <v>41088</v>
      </c>
      <c r="B241">
        <v>2012</v>
      </c>
      <c r="C241">
        <v>6</v>
      </c>
      <c r="E241" t="s">
        <v>401</v>
      </c>
      <c r="F241" t="s">
        <v>396</v>
      </c>
      <c r="H241">
        <v>2247.8351000000002</v>
      </c>
      <c r="I241">
        <v>123</v>
      </c>
      <c r="P241">
        <v>2247.8351000000002</v>
      </c>
      <c r="Q241">
        <v>123</v>
      </c>
      <c r="R241">
        <v>276483.71730000002</v>
      </c>
      <c r="S241">
        <v>34007.497227900007</v>
      </c>
    </row>
    <row r="242" spans="1:19" x14ac:dyDescent="0.3">
      <c r="A242" s="5">
        <v>41090</v>
      </c>
      <c r="B242">
        <v>2012</v>
      </c>
      <c r="C242">
        <v>6</v>
      </c>
      <c r="E242" t="s">
        <v>400</v>
      </c>
      <c r="F242" t="s">
        <v>396</v>
      </c>
      <c r="H242">
        <v>1639</v>
      </c>
      <c r="I242">
        <v>132</v>
      </c>
      <c r="J242">
        <v>1676</v>
      </c>
      <c r="K242">
        <v>131</v>
      </c>
      <c r="L242">
        <v>1672</v>
      </c>
      <c r="M242">
        <v>129</v>
      </c>
      <c r="P242">
        <v>1662.3333333333333</v>
      </c>
      <c r="Q242">
        <v>130.66666666666666</v>
      </c>
      <c r="R242">
        <v>217211.55555555553</v>
      </c>
      <c r="S242">
        <v>28382.309925925922</v>
      </c>
    </row>
    <row r="243" spans="1:19" x14ac:dyDescent="0.3">
      <c r="A243" s="5">
        <v>41090</v>
      </c>
      <c r="B243">
        <v>2012</v>
      </c>
      <c r="C243">
        <v>6</v>
      </c>
      <c r="E243" t="s">
        <v>400</v>
      </c>
      <c r="F243" t="s">
        <v>396</v>
      </c>
      <c r="H243">
        <v>1743</v>
      </c>
      <c r="I243">
        <v>133</v>
      </c>
      <c r="P243">
        <v>1743</v>
      </c>
      <c r="Q243">
        <v>133</v>
      </c>
      <c r="R243">
        <v>231819</v>
      </c>
      <c r="S243">
        <v>30831.927</v>
      </c>
    </row>
    <row r="244" spans="1:19" x14ac:dyDescent="0.3">
      <c r="A244" s="5">
        <v>41090</v>
      </c>
      <c r="B244">
        <v>2012</v>
      </c>
      <c r="C244">
        <v>6</v>
      </c>
      <c r="E244" t="s">
        <v>398</v>
      </c>
      <c r="F244" t="s">
        <v>396</v>
      </c>
      <c r="H244">
        <v>1727</v>
      </c>
      <c r="I244">
        <v>129</v>
      </c>
      <c r="J244">
        <v>1778</v>
      </c>
      <c r="K244">
        <v>128</v>
      </c>
      <c r="L244">
        <v>1785</v>
      </c>
      <c r="M244">
        <v>131</v>
      </c>
      <c r="P244">
        <v>1763.3333333333333</v>
      </c>
      <c r="Q244">
        <v>129.33333333333334</v>
      </c>
      <c r="R244">
        <v>228057.77777777778</v>
      </c>
      <c r="S244">
        <v>29495.472592592596</v>
      </c>
    </row>
    <row r="245" spans="1:19" x14ac:dyDescent="0.3">
      <c r="A245" s="5">
        <v>41090</v>
      </c>
      <c r="B245">
        <v>2012</v>
      </c>
      <c r="C245">
        <v>6</v>
      </c>
      <c r="E245" t="s">
        <v>399</v>
      </c>
      <c r="F245" t="s">
        <v>396</v>
      </c>
      <c r="H245">
        <v>1792</v>
      </c>
      <c r="I245">
        <v>129</v>
      </c>
      <c r="J245">
        <v>1870</v>
      </c>
      <c r="K245">
        <v>130</v>
      </c>
      <c r="L245">
        <v>1876</v>
      </c>
      <c r="M245">
        <v>130</v>
      </c>
      <c r="P245">
        <v>1846</v>
      </c>
      <c r="Q245">
        <v>129.66666666666666</v>
      </c>
      <c r="R245">
        <v>239364.66666666666</v>
      </c>
      <c r="S245">
        <v>31037.618444444441</v>
      </c>
    </row>
    <row r="246" spans="1:19" x14ac:dyDescent="0.3">
      <c r="A246" s="5">
        <v>41090</v>
      </c>
      <c r="B246">
        <v>2012</v>
      </c>
      <c r="C246">
        <v>6</v>
      </c>
      <c r="E246" t="s">
        <v>399</v>
      </c>
      <c r="F246" t="s">
        <v>396</v>
      </c>
      <c r="H246">
        <v>1901</v>
      </c>
      <c r="I246">
        <v>128</v>
      </c>
      <c r="P246">
        <v>1901</v>
      </c>
      <c r="Q246">
        <v>128</v>
      </c>
      <c r="R246">
        <v>243328</v>
      </c>
      <c r="S246">
        <v>31145.984</v>
      </c>
    </row>
    <row r="247" spans="1:19" x14ac:dyDescent="0.3">
      <c r="A247" s="5">
        <v>41090</v>
      </c>
      <c r="B247">
        <v>2012</v>
      </c>
      <c r="C247">
        <v>6</v>
      </c>
      <c r="E247" t="s">
        <v>398</v>
      </c>
      <c r="F247" t="s">
        <v>396</v>
      </c>
      <c r="H247">
        <v>1902</v>
      </c>
      <c r="I247">
        <v>137</v>
      </c>
      <c r="P247">
        <v>1902</v>
      </c>
      <c r="Q247">
        <v>137</v>
      </c>
      <c r="R247">
        <v>260574</v>
      </c>
      <c r="S247">
        <v>35698.637999999999</v>
      </c>
    </row>
    <row r="248" spans="1:19" x14ac:dyDescent="0.3">
      <c r="A248" s="5">
        <v>41090</v>
      </c>
      <c r="B248">
        <v>2012</v>
      </c>
      <c r="C248">
        <v>6</v>
      </c>
      <c r="E248" t="s">
        <v>402</v>
      </c>
      <c r="F248" t="s">
        <v>396</v>
      </c>
      <c r="H248">
        <v>2094</v>
      </c>
      <c r="I248">
        <v>138</v>
      </c>
      <c r="P248">
        <v>2094</v>
      </c>
      <c r="Q248">
        <v>138</v>
      </c>
      <c r="R248">
        <v>288972</v>
      </c>
      <c r="S248">
        <v>39878.135999999999</v>
      </c>
    </row>
    <row r="249" spans="1:19" x14ac:dyDescent="0.3">
      <c r="A249" s="5">
        <v>41090</v>
      </c>
      <c r="B249">
        <v>2012</v>
      </c>
      <c r="C249">
        <v>6</v>
      </c>
      <c r="E249" t="s">
        <v>402</v>
      </c>
      <c r="F249" t="s">
        <v>396</v>
      </c>
      <c r="H249">
        <v>2143</v>
      </c>
      <c r="I249">
        <v>142</v>
      </c>
      <c r="J249">
        <v>2103</v>
      </c>
      <c r="K249">
        <v>144</v>
      </c>
      <c r="L249">
        <v>2051</v>
      </c>
      <c r="M249">
        <v>137</v>
      </c>
      <c r="P249">
        <v>2099</v>
      </c>
      <c r="Q249">
        <v>141</v>
      </c>
      <c r="R249">
        <v>295959</v>
      </c>
      <c r="S249">
        <v>41730.218999999997</v>
      </c>
    </row>
    <row r="250" spans="1:19" x14ac:dyDescent="0.3">
      <c r="A250" s="5">
        <v>41090</v>
      </c>
      <c r="B250">
        <v>2012</v>
      </c>
      <c r="C250">
        <v>6</v>
      </c>
      <c r="E250" t="s">
        <v>401</v>
      </c>
      <c r="F250" t="s">
        <v>396</v>
      </c>
      <c r="H250">
        <v>2155</v>
      </c>
      <c r="I250">
        <v>120</v>
      </c>
      <c r="P250">
        <v>2155</v>
      </c>
      <c r="Q250">
        <v>120</v>
      </c>
      <c r="R250">
        <v>258600</v>
      </c>
      <c r="S250">
        <v>31032</v>
      </c>
    </row>
    <row r="251" spans="1:19" x14ac:dyDescent="0.3">
      <c r="A251" s="5">
        <v>41091</v>
      </c>
      <c r="B251">
        <v>2012</v>
      </c>
      <c r="C251">
        <v>7</v>
      </c>
      <c r="E251" t="s">
        <v>400</v>
      </c>
      <c r="F251" t="s">
        <v>396</v>
      </c>
      <c r="H251">
        <v>1783</v>
      </c>
      <c r="I251">
        <v>133</v>
      </c>
      <c r="P251">
        <v>1783</v>
      </c>
      <c r="Q251">
        <v>133</v>
      </c>
      <c r="R251">
        <v>237139</v>
      </c>
      <c r="S251">
        <v>31539.487000000001</v>
      </c>
    </row>
    <row r="252" spans="1:19" x14ac:dyDescent="0.3">
      <c r="A252" s="5">
        <v>41091</v>
      </c>
      <c r="B252">
        <v>2012</v>
      </c>
      <c r="C252">
        <v>7</v>
      </c>
      <c r="E252" t="s">
        <v>398</v>
      </c>
      <c r="F252" t="s">
        <v>396</v>
      </c>
      <c r="H252">
        <v>1928</v>
      </c>
      <c r="I252">
        <v>134</v>
      </c>
      <c r="P252">
        <v>1928</v>
      </c>
      <c r="Q252">
        <v>134</v>
      </c>
      <c r="R252">
        <v>258352</v>
      </c>
      <c r="S252">
        <v>34619.167999999998</v>
      </c>
    </row>
    <row r="253" spans="1:19" x14ac:dyDescent="0.3">
      <c r="A253" s="5">
        <v>41091</v>
      </c>
      <c r="B253">
        <v>2012</v>
      </c>
      <c r="C253">
        <v>7</v>
      </c>
      <c r="E253" t="s">
        <v>399</v>
      </c>
      <c r="F253" t="s">
        <v>396</v>
      </c>
      <c r="H253">
        <v>2019</v>
      </c>
      <c r="I253">
        <v>132</v>
      </c>
      <c r="P253">
        <v>2019</v>
      </c>
      <c r="Q253">
        <v>132</v>
      </c>
      <c r="R253">
        <v>266508</v>
      </c>
      <c r="S253">
        <v>35179.055999999997</v>
      </c>
    </row>
    <row r="254" spans="1:19" x14ac:dyDescent="0.3">
      <c r="A254" s="5">
        <v>41091</v>
      </c>
      <c r="B254">
        <v>2012</v>
      </c>
      <c r="C254">
        <v>7</v>
      </c>
      <c r="E254" t="s">
        <v>402</v>
      </c>
      <c r="F254" t="s">
        <v>396</v>
      </c>
      <c r="H254">
        <v>2101</v>
      </c>
      <c r="I254">
        <v>144</v>
      </c>
      <c r="P254">
        <v>2101</v>
      </c>
      <c r="Q254">
        <v>144</v>
      </c>
      <c r="R254">
        <v>302544</v>
      </c>
      <c r="S254">
        <v>43566.336000000003</v>
      </c>
    </row>
    <row r="255" spans="1:19" x14ac:dyDescent="0.3">
      <c r="A255" s="5">
        <v>41091</v>
      </c>
      <c r="B255">
        <v>2012</v>
      </c>
      <c r="C255">
        <v>7</v>
      </c>
      <c r="E255" t="s">
        <v>401</v>
      </c>
      <c r="F255" t="s">
        <v>396</v>
      </c>
      <c r="H255">
        <v>2149</v>
      </c>
      <c r="I255">
        <v>125</v>
      </c>
      <c r="P255">
        <v>2149</v>
      </c>
      <c r="Q255">
        <v>125</v>
      </c>
      <c r="R255">
        <v>268625</v>
      </c>
      <c r="S255">
        <v>33578.125</v>
      </c>
    </row>
    <row r="256" spans="1:19" x14ac:dyDescent="0.3">
      <c r="A256" s="5">
        <v>41092</v>
      </c>
      <c r="B256">
        <v>2012</v>
      </c>
      <c r="C256">
        <v>7</v>
      </c>
      <c r="E256" t="s">
        <v>400</v>
      </c>
      <c r="F256" t="s">
        <v>396</v>
      </c>
      <c r="H256">
        <v>1810</v>
      </c>
      <c r="I256">
        <v>135</v>
      </c>
      <c r="P256">
        <v>1810</v>
      </c>
      <c r="Q256">
        <v>135</v>
      </c>
      <c r="R256">
        <v>244350</v>
      </c>
      <c r="S256">
        <v>32987.25</v>
      </c>
    </row>
    <row r="257" spans="1:19" x14ac:dyDescent="0.3">
      <c r="A257" s="5">
        <v>41092</v>
      </c>
      <c r="B257">
        <v>2012</v>
      </c>
      <c r="C257">
        <v>7</v>
      </c>
      <c r="E257" t="s">
        <v>398</v>
      </c>
      <c r="F257" t="s">
        <v>396</v>
      </c>
      <c r="H257">
        <v>1870</v>
      </c>
      <c r="I257">
        <v>134</v>
      </c>
      <c r="P257">
        <v>1870</v>
      </c>
      <c r="Q257">
        <v>134</v>
      </c>
      <c r="R257">
        <v>250580</v>
      </c>
      <c r="S257">
        <v>33577.72</v>
      </c>
    </row>
    <row r="258" spans="1:19" x14ac:dyDescent="0.3">
      <c r="A258" s="5">
        <v>41092</v>
      </c>
      <c r="B258">
        <v>2012</v>
      </c>
      <c r="C258">
        <v>7</v>
      </c>
      <c r="E258" t="s">
        <v>399</v>
      </c>
      <c r="F258" t="s">
        <v>396</v>
      </c>
      <c r="H258">
        <v>1920</v>
      </c>
      <c r="I258">
        <v>131</v>
      </c>
      <c r="P258">
        <v>1920</v>
      </c>
      <c r="Q258">
        <v>131</v>
      </c>
      <c r="R258">
        <v>251520</v>
      </c>
      <c r="S258">
        <v>32949.120000000003</v>
      </c>
    </row>
    <row r="259" spans="1:19" x14ac:dyDescent="0.3">
      <c r="A259" s="5">
        <v>41092</v>
      </c>
      <c r="B259">
        <v>2012</v>
      </c>
      <c r="C259">
        <v>7</v>
      </c>
      <c r="E259" t="s">
        <v>402</v>
      </c>
      <c r="F259" t="s">
        <v>396</v>
      </c>
      <c r="H259">
        <v>2132</v>
      </c>
      <c r="I259">
        <v>146</v>
      </c>
      <c r="P259">
        <v>2132</v>
      </c>
      <c r="Q259">
        <v>146</v>
      </c>
      <c r="R259">
        <v>311272</v>
      </c>
      <c r="S259">
        <v>45445.712</v>
      </c>
    </row>
    <row r="260" spans="1:19" x14ac:dyDescent="0.3">
      <c r="A260" s="5">
        <v>41092</v>
      </c>
      <c r="B260">
        <v>2012</v>
      </c>
      <c r="C260">
        <v>7</v>
      </c>
      <c r="E260" t="s">
        <v>401</v>
      </c>
      <c r="F260" t="s">
        <v>396</v>
      </c>
      <c r="H260">
        <v>2138</v>
      </c>
      <c r="I260">
        <v>127</v>
      </c>
      <c r="P260">
        <v>2138</v>
      </c>
      <c r="Q260">
        <v>127</v>
      </c>
      <c r="R260">
        <v>271526</v>
      </c>
      <c r="S260">
        <v>34483.802000000003</v>
      </c>
    </row>
    <row r="261" spans="1:19" x14ac:dyDescent="0.3">
      <c r="A261" s="5">
        <v>41094</v>
      </c>
      <c r="B261">
        <v>2012</v>
      </c>
      <c r="C261">
        <v>7</v>
      </c>
      <c r="E261" t="s">
        <v>400</v>
      </c>
      <c r="F261" t="s">
        <v>396</v>
      </c>
      <c r="H261">
        <v>1854</v>
      </c>
      <c r="I261">
        <v>134</v>
      </c>
      <c r="P261">
        <v>1854</v>
      </c>
      <c r="Q261">
        <v>134</v>
      </c>
      <c r="R261">
        <v>248436</v>
      </c>
      <c r="S261">
        <v>33290.423999999999</v>
      </c>
    </row>
    <row r="262" spans="1:19" x14ac:dyDescent="0.3">
      <c r="A262" s="5">
        <v>41094</v>
      </c>
      <c r="B262">
        <v>2012</v>
      </c>
      <c r="C262">
        <v>7</v>
      </c>
      <c r="E262" t="s">
        <v>398</v>
      </c>
      <c r="F262" t="s">
        <v>396</v>
      </c>
      <c r="H262">
        <v>1933</v>
      </c>
      <c r="I262">
        <v>134</v>
      </c>
      <c r="P262">
        <v>1933</v>
      </c>
      <c r="Q262">
        <v>134</v>
      </c>
      <c r="R262">
        <v>259022</v>
      </c>
      <c r="S262">
        <v>34708.947999999997</v>
      </c>
    </row>
    <row r="263" spans="1:19" x14ac:dyDescent="0.3">
      <c r="A263" s="5">
        <v>41094</v>
      </c>
      <c r="B263">
        <v>2012</v>
      </c>
      <c r="C263">
        <v>7</v>
      </c>
      <c r="E263" t="s">
        <v>402</v>
      </c>
      <c r="F263" t="s">
        <v>396</v>
      </c>
      <c r="H263">
        <v>2136</v>
      </c>
      <c r="I263">
        <v>142</v>
      </c>
      <c r="P263">
        <v>2136</v>
      </c>
      <c r="Q263">
        <v>142</v>
      </c>
      <c r="R263">
        <v>303312</v>
      </c>
      <c r="S263">
        <v>43070.303999999996</v>
      </c>
    </row>
    <row r="264" spans="1:19" x14ac:dyDescent="0.3">
      <c r="A264" s="5">
        <v>41095</v>
      </c>
      <c r="B264">
        <v>2012</v>
      </c>
      <c r="C264">
        <v>7</v>
      </c>
      <c r="E264" t="s">
        <v>400</v>
      </c>
      <c r="F264" t="s">
        <v>396</v>
      </c>
      <c r="H264">
        <v>1811</v>
      </c>
      <c r="I264">
        <v>129</v>
      </c>
      <c r="P264">
        <v>1811</v>
      </c>
      <c r="Q264">
        <v>129</v>
      </c>
      <c r="R264">
        <v>233619</v>
      </c>
      <c r="S264">
        <v>30136.850999999999</v>
      </c>
    </row>
    <row r="265" spans="1:19" x14ac:dyDescent="0.3">
      <c r="A265" s="5">
        <v>41095</v>
      </c>
      <c r="B265">
        <v>2012</v>
      </c>
      <c r="C265">
        <v>7</v>
      </c>
      <c r="E265" t="s">
        <v>399</v>
      </c>
      <c r="F265" t="s">
        <v>396</v>
      </c>
      <c r="H265">
        <v>1843</v>
      </c>
      <c r="I265">
        <v>126</v>
      </c>
      <c r="P265">
        <v>1843</v>
      </c>
      <c r="Q265">
        <v>126</v>
      </c>
      <c r="R265">
        <v>232218</v>
      </c>
      <c r="S265">
        <v>29259.468000000001</v>
      </c>
    </row>
    <row r="266" spans="1:19" x14ac:dyDescent="0.3">
      <c r="A266" s="5">
        <v>41095</v>
      </c>
      <c r="B266">
        <v>2012</v>
      </c>
      <c r="C266">
        <v>7</v>
      </c>
      <c r="E266" t="s">
        <v>398</v>
      </c>
      <c r="F266" t="s">
        <v>396</v>
      </c>
      <c r="H266">
        <v>2001</v>
      </c>
      <c r="I266">
        <v>137</v>
      </c>
      <c r="P266">
        <v>2001</v>
      </c>
      <c r="Q266">
        <v>137</v>
      </c>
      <c r="R266">
        <v>274137</v>
      </c>
      <c r="S266">
        <v>37556.769</v>
      </c>
    </row>
    <row r="267" spans="1:19" x14ac:dyDescent="0.3">
      <c r="A267" s="5">
        <v>41095</v>
      </c>
      <c r="B267">
        <v>2012</v>
      </c>
      <c r="C267">
        <v>7</v>
      </c>
      <c r="E267" t="s">
        <v>402</v>
      </c>
      <c r="F267" t="s">
        <v>396</v>
      </c>
      <c r="H267">
        <v>2065</v>
      </c>
      <c r="I267">
        <v>140</v>
      </c>
      <c r="P267">
        <v>2065</v>
      </c>
      <c r="Q267">
        <v>140</v>
      </c>
      <c r="R267">
        <v>289100</v>
      </c>
      <c r="S267">
        <v>40474</v>
      </c>
    </row>
    <row r="268" spans="1:19" x14ac:dyDescent="0.3">
      <c r="A268" s="5">
        <v>41099</v>
      </c>
      <c r="B268">
        <v>2012</v>
      </c>
      <c r="C268">
        <v>7</v>
      </c>
      <c r="E268" t="s">
        <v>400</v>
      </c>
      <c r="F268" t="s">
        <v>396</v>
      </c>
      <c r="H268">
        <v>1838</v>
      </c>
      <c r="I268">
        <v>132</v>
      </c>
      <c r="J268">
        <v>1802</v>
      </c>
      <c r="K268">
        <v>132</v>
      </c>
      <c r="P268">
        <v>1820</v>
      </c>
      <c r="Q268">
        <v>132</v>
      </c>
      <c r="R268">
        <v>240240</v>
      </c>
      <c r="S268">
        <v>31711.68</v>
      </c>
    </row>
    <row r="269" spans="1:19" x14ac:dyDescent="0.3">
      <c r="A269" s="5">
        <v>41099</v>
      </c>
      <c r="B269">
        <v>2012</v>
      </c>
      <c r="C269">
        <v>7</v>
      </c>
      <c r="E269" t="s">
        <v>399</v>
      </c>
      <c r="F269" t="s">
        <v>396</v>
      </c>
      <c r="H269">
        <v>2009</v>
      </c>
      <c r="I269">
        <v>130</v>
      </c>
      <c r="P269">
        <v>2009</v>
      </c>
      <c r="Q269">
        <v>130</v>
      </c>
      <c r="R269">
        <v>261170</v>
      </c>
      <c r="S269">
        <v>33952.1</v>
      </c>
    </row>
    <row r="270" spans="1:19" x14ac:dyDescent="0.3">
      <c r="A270" s="5">
        <v>41099</v>
      </c>
      <c r="B270">
        <v>2012</v>
      </c>
      <c r="C270">
        <v>7</v>
      </c>
      <c r="E270" t="s">
        <v>401</v>
      </c>
      <c r="F270" t="s">
        <v>396</v>
      </c>
      <c r="H270">
        <v>2126</v>
      </c>
      <c r="I270">
        <v>125</v>
      </c>
      <c r="P270">
        <v>2126</v>
      </c>
      <c r="Q270">
        <v>125</v>
      </c>
      <c r="R270">
        <v>265750</v>
      </c>
      <c r="S270">
        <v>33218.75</v>
      </c>
    </row>
    <row r="271" spans="1:19" x14ac:dyDescent="0.3">
      <c r="A271" s="5">
        <v>41100</v>
      </c>
      <c r="B271">
        <v>2012</v>
      </c>
      <c r="C271">
        <v>7</v>
      </c>
      <c r="E271" t="s">
        <v>400</v>
      </c>
      <c r="F271" t="s">
        <v>396</v>
      </c>
      <c r="H271">
        <v>1790</v>
      </c>
      <c r="I271">
        <v>130</v>
      </c>
      <c r="P271">
        <v>1790</v>
      </c>
      <c r="Q271">
        <v>130</v>
      </c>
      <c r="R271">
        <v>232700</v>
      </c>
      <c r="S271">
        <v>30251</v>
      </c>
    </row>
    <row r="272" spans="1:19" x14ac:dyDescent="0.3">
      <c r="A272" s="5">
        <v>41100</v>
      </c>
      <c r="B272">
        <v>2012</v>
      </c>
      <c r="C272">
        <v>7</v>
      </c>
      <c r="E272" t="s">
        <v>399</v>
      </c>
      <c r="F272" t="s">
        <v>396</v>
      </c>
      <c r="H272">
        <v>1872</v>
      </c>
      <c r="I272">
        <v>124</v>
      </c>
      <c r="P272">
        <v>1872</v>
      </c>
      <c r="Q272">
        <v>124</v>
      </c>
      <c r="R272">
        <v>232128</v>
      </c>
      <c r="S272">
        <v>28783.871999999999</v>
      </c>
    </row>
    <row r="273" spans="1:19" x14ac:dyDescent="0.3">
      <c r="A273" s="5">
        <v>41100</v>
      </c>
      <c r="B273">
        <v>2012</v>
      </c>
      <c r="C273">
        <v>7</v>
      </c>
      <c r="E273" t="s">
        <v>401</v>
      </c>
      <c r="F273" t="s">
        <v>396</v>
      </c>
      <c r="H273">
        <v>2190</v>
      </c>
      <c r="I273">
        <v>124</v>
      </c>
      <c r="P273">
        <v>2190</v>
      </c>
      <c r="Q273">
        <v>124</v>
      </c>
      <c r="R273">
        <v>271560</v>
      </c>
      <c r="S273">
        <v>33673.440000000002</v>
      </c>
    </row>
    <row r="274" spans="1:19" x14ac:dyDescent="0.3">
      <c r="A274" s="5">
        <v>41101</v>
      </c>
      <c r="B274">
        <v>2012</v>
      </c>
      <c r="C274">
        <v>7</v>
      </c>
      <c r="E274" t="s">
        <v>401</v>
      </c>
      <c r="F274" t="s">
        <v>396</v>
      </c>
      <c r="H274">
        <v>2112</v>
      </c>
      <c r="I274">
        <v>117</v>
      </c>
      <c r="P274">
        <v>2112</v>
      </c>
      <c r="Q274">
        <v>117</v>
      </c>
      <c r="R274">
        <v>247104</v>
      </c>
      <c r="S274">
        <v>28911.168000000001</v>
      </c>
    </row>
    <row r="275" spans="1:19" x14ac:dyDescent="0.3">
      <c r="A275" s="5">
        <v>41102</v>
      </c>
      <c r="B275">
        <v>2012</v>
      </c>
      <c r="C275">
        <v>7</v>
      </c>
      <c r="E275" t="s">
        <v>400</v>
      </c>
      <c r="F275" t="s">
        <v>396</v>
      </c>
      <c r="H275">
        <v>1761</v>
      </c>
      <c r="I275">
        <v>133</v>
      </c>
      <c r="P275">
        <v>1761</v>
      </c>
      <c r="Q275">
        <v>133</v>
      </c>
      <c r="R275">
        <v>234213</v>
      </c>
      <c r="S275">
        <v>31150.329000000002</v>
      </c>
    </row>
    <row r="276" spans="1:19" x14ac:dyDescent="0.3">
      <c r="A276" s="5">
        <v>41102</v>
      </c>
      <c r="B276">
        <v>2012</v>
      </c>
      <c r="C276">
        <v>7</v>
      </c>
      <c r="E276" t="s">
        <v>398</v>
      </c>
      <c r="F276" t="s">
        <v>396</v>
      </c>
      <c r="H276">
        <v>1875</v>
      </c>
      <c r="I276">
        <v>132</v>
      </c>
      <c r="P276">
        <v>1875</v>
      </c>
      <c r="Q276">
        <v>132</v>
      </c>
      <c r="R276">
        <v>247500</v>
      </c>
      <c r="S276">
        <v>32670</v>
      </c>
    </row>
    <row r="277" spans="1:19" x14ac:dyDescent="0.3">
      <c r="A277" s="5">
        <v>41102</v>
      </c>
      <c r="B277">
        <v>2012</v>
      </c>
      <c r="C277">
        <v>7</v>
      </c>
      <c r="E277" t="s">
        <v>399</v>
      </c>
      <c r="F277" t="s">
        <v>396</v>
      </c>
      <c r="H277">
        <v>1927</v>
      </c>
      <c r="I277">
        <v>129</v>
      </c>
      <c r="P277">
        <v>1927</v>
      </c>
      <c r="Q277">
        <v>129</v>
      </c>
      <c r="R277">
        <v>248583</v>
      </c>
      <c r="S277">
        <v>32067.206999999999</v>
      </c>
    </row>
    <row r="278" spans="1:19" x14ac:dyDescent="0.3">
      <c r="A278" s="5">
        <v>41102</v>
      </c>
      <c r="B278">
        <v>2012</v>
      </c>
      <c r="C278">
        <v>7</v>
      </c>
      <c r="E278" t="s">
        <v>402</v>
      </c>
      <c r="F278" t="s">
        <v>396</v>
      </c>
      <c r="H278">
        <v>2003</v>
      </c>
      <c r="I278">
        <v>138</v>
      </c>
      <c r="P278">
        <v>2003</v>
      </c>
      <c r="Q278">
        <v>138</v>
      </c>
      <c r="R278">
        <v>276414</v>
      </c>
      <c r="S278">
        <v>38145.131999999998</v>
      </c>
    </row>
    <row r="279" spans="1:19" x14ac:dyDescent="0.3">
      <c r="A279" s="5">
        <v>41105</v>
      </c>
      <c r="B279">
        <v>2012</v>
      </c>
      <c r="C279">
        <v>7</v>
      </c>
      <c r="E279" t="s">
        <v>400</v>
      </c>
      <c r="F279" t="s">
        <v>396</v>
      </c>
      <c r="H279">
        <v>1879</v>
      </c>
      <c r="I279">
        <v>139</v>
      </c>
      <c r="P279">
        <v>1879</v>
      </c>
      <c r="Q279">
        <v>139</v>
      </c>
      <c r="R279">
        <v>261181</v>
      </c>
      <c r="S279">
        <v>36304.159</v>
      </c>
    </row>
    <row r="280" spans="1:19" x14ac:dyDescent="0.3">
      <c r="A280" s="5">
        <v>41105</v>
      </c>
      <c r="B280">
        <v>2012</v>
      </c>
      <c r="C280">
        <v>7</v>
      </c>
      <c r="E280" t="s">
        <v>398</v>
      </c>
      <c r="F280" t="s">
        <v>396</v>
      </c>
      <c r="H280">
        <v>1977</v>
      </c>
      <c r="I280">
        <v>137</v>
      </c>
      <c r="P280">
        <v>1977</v>
      </c>
      <c r="Q280">
        <v>137</v>
      </c>
      <c r="R280">
        <v>270849</v>
      </c>
      <c r="S280">
        <v>37106.313000000002</v>
      </c>
    </row>
    <row r="281" spans="1:19" x14ac:dyDescent="0.3">
      <c r="A281" s="5">
        <v>41105</v>
      </c>
      <c r="B281">
        <v>2012</v>
      </c>
      <c r="C281">
        <v>7</v>
      </c>
      <c r="E281" t="s">
        <v>399</v>
      </c>
      <c r="F281" t="s">
        <v>396</v>
      </c>
      <c r="H281">
        <v>2057</v>
      </c>
      <c r="I281">
        <v>135</v>
      </c>
      <c r="P281">
        <v>2057</v>
      </c>
      <c r="Q281">
        <v>135</v>
      </c>
      <c r="R281">
        <v>277695</v>
      </c>
      <c r="S281">
        <v>37488.824999999997</v>
      </c>
    </row>
    <row r="282" spans="1:19" x14ac:dyDescent="0.3">
      <c r="A282" s="5">
        <v>41105</v>
      </c>
      <c r="B282">
        <v>2012</v>
      </c>
      <c r="C282">
        <v>7</v>
      </c>
      <c r="E282" t="s">
        <v>402</v>
      </c>
      <c r="F282" t="s">
        <v>396</v>
      </c>
      <c r="H282">
        <v>2159</v>
      </c>
      <c r="I282">
        <v>140</v>
      </c>
      <c r="P282">
        <v>2159</v>
      </c>
      <c r="Q282">
        <v>140</v>
      </c>
      <c r="R282">
        <v>302260</v>
      </c>
      <c r="S282">
        <v>42316.4</v>
      </c>
    </row>
    <row r="283" spans="1:19" x14ac:dyDescent="0.3">
      <c r="A283" s="5">
        <v>41106</v>
      </c>
      <c r="B283">
        <v>2012</v>
      </c>
      <c r="C283">
        <v>7</v>
      </c>
      <c r="E283" t="s">
        <v>395</v>
      </c>
      <c r="F283" t="s">
        <v>396</v>
      </c>
      <c r="H283">
        <v>1209</v>
      </c>
      <c r="I283">
        <v>121</v>
      </c>
      <c r="P283">
        <v>1209</v>
      </c>
      <c r="Q283">
        <v>121</v>
      </c>
      <c r="R283">
        <v>146289</v>
      </c>
      <c r="S283">
        <v>17700.969000000001</v>
      </c>
    </row>
    <row r="284" spans="1:19" x14ac:dyDescent="0.3">
      <c r="A284" s="5">
        <v>41106</v>
      </c>
      <c r="B284">
        <v>2012</v>
      </c>
      <c r="C284">
        <v>7</v>
      </c>
      <c r="E284" t="s">
        <v>400</v>
      </c>
      <c r="F284" t="s">
        <v>396</v>
      </c>
      <c r="H284">
        <v>1858</v>
      </c>
      <c r="I284">
        <v>140</v>
      </c>
      <c r="P284">
        <v>1858</v>
      </c>
      <c r="Q284">
        <v>140</v>
      </c>
      <c r="R284">
        <v>260120</v>
      </c>
      <c r="S284">
        <v>36416.800000000003</v>
      </c>
    </row>
    <row r="285" spans="1:19" x14ac:dyDescent="0.3">
      <c r="A285" s="5">
        <v>41106</v>
      </c>
      <c r="B285">
        <v>2012</v>
      </c>
      <c r="C285">
        <v>7</v>
      </c>
      <c r="E285" t="s">
        <v>398</v>
      </c>
      <c r="F285" t="s">
        <v>396</v>
      </c>
      <c r="H285">
        <v>1896</v>
      </c>
      <c r="I285">
        <v>134</v>
      </c>
      <c r="P285">
        <v>1896</v>
      </c>
      <c r="Q285">
        <v>134</v>
      </c>
      <c r="R285">
        <v>254064</v>
      </c>
      <c r="S285">
        <v>34044.576000000001</v>
      </c>
    </row>
    <row r="286" spans="1:19" x14ac:dyDescent="0.3">
      <c r="A286" s="5">
        <v>41106</v>
      </c>
      <c r="B286">
        <v>2012</v>
      </c>
      <c r="C286">
        <v>7</v>
      </c>
      <c r="E286" t="s">
        <v>399</v>
      </c>
      <c r="F286" t="s">
        <v>396</v>
      </c>
      <c r="H286">
        <v>1983</v>
      </c>
      <c r="I286">
        <v>130</v>
      </c>
      <c r="P286">
        <v>1983</v>
      </c>
      <c r="Q286">
        <v>130</v>
      </c>
      <c r="R286">
        <v>257790</v>
      </c>
      <c r="S286">
        <v>33512.699999999997</v>
      </c>
    </row>
    <row r="287" spans="1:19" x14ac:dyDescent="0.3">
      <c r="A287" s="5">
        <v>41106</v>
      </c>
      <c r="B287">
        <v>2012</v>
      </c>
      <c r="C287">
        <v>7</v>
      </c>
      <c r="E287" t="s">
        <v>401</v>
      </c>
      <c r="F287" t="s">
        <v>396</v>
      </c>
      <c r="H287">
        <v>2129</v>
      </c>
      <c r="I287">
        <v>121</v>
      </c>
      <c r="P287">
        <v>2129</v>
      </c>
      <c r="Q287">
        <v>121</v>
      </c>
      <c r="R287">
        <v>257609</v>
      </c>
      <c r="S287">
        <v>31170.688999999998</v>
      </c>
    </row>
    <row r="288" spans="1:19" x14ac:dyDescent="0.3">
      <c r="A288" s="5">
        <v>41106</v>
      </c>
      <c r="B288">
        <v>2012</v>
      </c>
      <c r="C288">
        <v>7</v>
      </c>
      <c r="E288" t="s">
        <v>402</v>
      </c>
      <c r="F288" t="s">
        <v>396</v>
      </c>
      <c r="H288">
        <v>2229</v>
      </c>
      <c r="I288">
        <v>142</v>
      </c>
      <c r="P288">
        <v>2229</v>
      </c>
      <c r="Q288">
        <v>142</v>
      </c>
      <c r="R288">
        <v>316518</v>
      </c>
      <c r="S288">
        <v>44945.555999999997</v>
      </c>
    </row>
    <row r="289" spans="1:19" x14ac:dyDescent="0.3">
      <c r="A289" s="5">
        <v>41107</v>
      </c>
      <c r="B289">
        <v>2012</v>
      </c>
      <c r="C289">
        <v>7</v>
      </c>
      <c r="E289" t="s">
        <v>395</v>
      </c>
      <c r="F289" t="s">
        <v>396</v>
      </c>
      <c r="H289">
        <v>1241</v>
      </c>
      <c r="I289">
        <v>120</v>
      </c>
      <c r="P289">
        <v>1241</v>
      </c>
      <c r="Q289">
        <v>120</v>
      </c>
      <c r="R289">
        <v>148920</v>
      </c>
      <c r="S289">
        <v>17870.400000000001</v>
      </c>
    </row>
    <row r="290" spans="1:19" x14ac:dyDescent="0.3">
      <c r="A290" s="5">
        <v>41107</v>
      </c>
      <c r="B290">
        <v>2012</v>
      </c>
      <c r="C290">
        <v>7</v>
      </c>
      <c r="E290" t="s">
        <v>400</v>
      </c>
      <c r="F290" t="s">
        <v>396</v>
      </c>
      <c r="H290">
        <v>1811</v>
      </c>
      <c r="I290">
        <v>134</v>
      </c>
      <c r="P290">
        <v>1811</v>
      </c>
      <c r="Q290">
        <v>134</v>
      </c>
      <c r="R290">
        <v>242674</v>
      </c>
      <c r="S290">
        <v>32518.315999999999</v>
      </c>
    </row>
    <row r="291" spans="1:19" x14ac:dyDescent="0.3">
      <c r="A291" s="5">
        <v>41107</v>
      </c>
      <c r="B291">
        <v>2012</v>
      </c>
      <c r="C291">
        <v>7</v>
      </c>
      <c r="E291" t="s">
        <v>398</v>
      </c>
      <c r="F291" t="s">
        <v>396</v>
      </c>
      <c r="H291">
        <v>1946</v>
      </c>
      <c r="I291">
        <v>136</v>
      </c>
      <c r="P291">
        <v>1946</v>
      </c>
      <c r="Q291">
        <v>136</v>
      </c>
      <c r="R291">
        <v>264656</v>
      </c>
      <c r="S291">
        <v>35993.216</v>
      </c>
    </row>
    <row r="292" spans="1:19" x14ac:dyDescent="0.3">
      <c r="A292" s="5">
        <v>41107</v>
      </c>
      <c r="B292">
        <v>2012</v>
      </c>
      <c r="C292">
        <v>7</v>
      </c>
      <c r="E292" t="s">
        <v>399</v>
      </c>
      <c r="F292" t="s">
        <v>396</v>
      </c>
      <c r="H292">
        <v>1989</v>
      </c>
      <c r="I292">
        <v>130</v>
      </c>
      <c r="P292">
        <v>1989</v>
      </c>
      <c r="Q292">
        <v>130</v>
      </c>
      <c r="R292">
        <v>258570</v>
      </c>
      <c r="S292">
        <v>33614.1</v>
      </c>
    </row>
    <row r="293" spans="1:19" x14ac:dyDescent="0.3">
      <c r="A293" s="5">
        <v>41107</v>
      </c>
      <c r="B293">
        <v>2012</v>
      </c>
      <c r="C293">
        <v>7</v>
      </c>
      <c r="E293" t="s">
        <v>401</v>
      </c>
      <c r="F293" t="s">
        <v>396</v>
      </c>
      <c r="H293">
        <v>2200</v>
      </c>
      <c r="I293">
        <v>124</v>
      </c>
      <c r="P293">
        <v>2200</v>
      </c>
      <c r="Q293">
        <v>124</v>
      </c>
      <c r="R293">
        <v>272800</v>
      </c>
      <c r="S293">
        <v>33827.199999999997</v>
      </c>
    </row>
    <row r="294" spans="1:19" x14ac:dyDescent="0.3">
      <c r="A294" s="5">
        <v>41107</v>
      </c>
      <c r="B294">
        <v>2012</v>
      </c>
      <c r="C294">
        <v>7</v>
      </c>
      <c r="E294" t="s">
        <v>402</v>
      </c>
      <c r="F294" t="s">
        <v>396</v>
      </c>
      <c r="H294">
        <v>2238</v>
      </c>
      <c r="I294">
        <v>146</v>
      </c>
      <c r="P294">
        <v>2238</v>
      </c>
      <c r="Q294">
        <v>146</v>
      </c>
      <c r="R294">
        <v>326748</v>
      </c>
      <c r="S294">
        <v>47705.207999999999</v>
      </c>
    </row>
    <row r="295" spans="1:19" x14ac:dyDescent="0.3">
      <c r="A295" s="5">
        <v>41108</v>
      </c>
      <c r="B295">
        <v>2012</v>
      </c>
      <c r="C295">
        <v>7</v>
      </c>
      <c r="E295" t="s">
        <v>400</v>
      </c>
      <c r="F295" t="s">
        <v>396</v>
      </c>
      <c r="H295">
        <v>1752</v>
      </c>
      <c r="I295">
        <v>133</v>
      </c>
      <c r="P295">
        <v>1752</v>
      </c>
      <c r="Q295">
        <v>133</v>
      </c>
      <c r="R295">
        <v>233016</v>
      </c>
      <c r="S295">
        <v>30991.128000000001</v>
      </c>
    </row>
    <row r="296" spans="1:19" x14ac:dyDescent="0.3">
      <c r="A296" s="5">
        <v>41108</v>
      </c>
      <c r="B296">
        <v>2012</v>
      </c>
      <c r="C296">
        <v>7</v>
      </c>
      <c r="E296" t="s">
        <v>398</v>
      </c>
      <c r="F296" t="s">
        <v>396</v>
      </c>
      <c r="H296">
        <v>1878</v>
      </c>
      <c r="I296">
        <v>134</v>
      </c>
      <c r="P296">
        <v>1878</v>
      </c>
      <c r="Q296">
        <v>134</v>
      </c>
      <c r="R296">
        <v>251652</v>
      </c>
      <c r="S296">
        <v>33721.368000000002</v>
      </c>
    </row>
    <row r="297" spans="1:19" x14ac:dyDescent="0.3">
      <c r="A297" s="5">
        <v>41108</v>
      </c>
      <c r="B297">
        <v>2012</v>
      </c>
      <c r="C297">
        <v>7</v>
      </c>
      <c r="E297" t="s">
        <v>399</v>
      </c>
      <c r="F297" t="s">
        <v>396</v>
      </c>
      <c r="H297">
        <v>1979</v>
      </c>
      <c r="I297">
        <v>131</v>
      </c>
      <c r="P297">
        <v>1979</v>
      </c>
      <c r="Q297">
        <v>131</v>
      </c>
      <c r="R297">
        <v>259249</v>
      </c>
      <c r="S297">
        <v>33961.618999999999</v>
      </c>
    </row>
    <row r="298" spans="1:19" x14ac:dyDescent="0.3">
      <c r="A298" s="5">
        <v>41108</v>
      </c>
      <c r="B298">
        <v>2012</v>
      </c>
      <c r="C298">
        <v>7</v>
      </c>
      <c r="E298" t="s">
        <v>402</v>
      </c>
      <c r="F298" t="s">
        <v>396</v>
      </c>
      <c r="H298">
        <v>2094</v>
      </c>
      <c r="I298">
        <v>139</v>
      </c>
      <c r="P298">
        <v>2094</v>
      </c>
      <c r="Q298">
        <v>139</v>
      </c>
      <c r="R298">
        <v>291066</v>
      </c>
      <c r="S298">
        <v>40458.173999999999</v>
      </c>
    </row>
    <row r="299" spans="1:19" x14ac:dyDescent="0.3">
      <c r="A299" s="5">
        <v>41108</v>
      </c>
      <c r="B299">
        <v>2012</v>
      </c>
      <c r="C299">
        <v>7</v>
      </c>
      <c r="E299" t="s">
        <v>401</v>
      </c>
      <c r="F299" t="s">
        <v>396</v>
      </c>
      <c r="H299">
        <v>2149</v>
      </c>
      <c r="I299">
        <v>120</v>
      </c>
      <c r="P299">
        <v>2149</v>
      </c>
      <c r="Q299">
        <v>120</v>
      </c>
      <c r="R299">
        <v>257880</v>
      </c>
      <c r="S299">
        <v>30945.599999999999</v>
      </c>
    </row>
    <row r="300" spans="1:19" x14ac:dyDescent="0.3">
      <c r="A300" s="5">
        <v>41110</v>
      </c>
      <c r="B300">
        <v>2012</v>
      </c>
      <c r="C300">
        <v>7</v>
      </c>
      <c r="E300" t="s">
        <v>395</v>
      </c>
      <c r="F300" t="s">
        <v>396</v>
      </c>
      <c r="H300">
        <v>1303</v>
      </c>
      <c r="I300">
        <v>123</v>
      </c>
      <c r="P300">
        <v>1303</v>
      </c>
      <c r="Q300">
        <v>123</v>
      </c>
      <c r="R300">
        <v>160269</v>
      </c>
      <c r="S300">
        <v>19713.087</v>
      </c>
    </row>
    <row r="301" spans="1:19" x14ac:dyDescent="0.3">
      <c r="A301" s="5">
        <v>41110</v>
      </c>
      <c r="B301">
        <v>2012</v>
      </c>
      <c r="C301">
        <v>7</v>
      </c>
      <c r="E301" t="s">
        <v>400</v>
      </c>
      <c r="F301" t="s">
        <v>396</v>
      </c>
      <c r="H301">
        <v>1806</v>
      </c>
      <c r="I301">
        <v>130</v>
      </c>
      <c r="P301">
        <v>1806</v>
      </c>
      <c r="Q301">
        <v>130</v>
      </c>
      <c r="R301">
        <v>234780</v>
      </c>
      <c r="S301">
        <v>30521.4</v>
      </c>
    </row>
    <row r="302" spans="1:19" x14ac:dyDescent="0.3">
      <c r="A302" s="5">
        <v>41110</v>
      </c>
      <c r="B302">
        <v>2012</v>
      </c>
      <c r="C302">
        <v>7</v>
      </c>
      <c r="E302" t="s">
        <v>398</v>
      </c>
      <c r="F302" t="s">
        <v>396</v>
      </c>
      <c r="H302">
        <v>1903</v>
      </c>
      <c r="I302">
        <v>133</v>
      </c>
      <c r="P302">
        <v>1903</v>
      </c>
      <c r="Q302">
        <v>133</v>
      </c>
      <c r="R302">
        <v>253099</v>
      </c>
      <c r="S302">
        <v>33662.167000000001</v>
      </c>
    </row>
    <row r="303" spans="1:19" x14ac:dyDescent="0.3">
      <c r="A303" s="5">
        <v>41110</v>
      </c>
      <c r="B303">
        <v>2012</v>
      </c>
      <c r="C303">
        <v>7</v>
      </c>
      <c r="E303" t="s">
        <v>399</v>
      </c>
      <c r="F303" t="s">
        <v>396</v>
      </c>
      <c r="H303">
        <v>1935</v>
      </c>
      <c r="I303">
        <v>124</v>
      </c>
      <c r="P303">
        <v>1935</v>
      </c>
      <c r="Q303">
        <v>124</v>
      </c>
      <c r="R303">
        <v>239940</v>
      </c>
      <c r="S303">
        <v>29752.560000000001</v>
      </c>
    </row>
    <row r="304" spans="1:19" x14ac:dyDescent="0.3">
      <c r="A304" s="5">
        <v>41110</v>
      </c>
      <c r="B304">
        <v>2012</v>
      </c>
      <c r="C304">
        <v>7</v>
      </c>
      <c r="E304" t="s">
        <v>401</v>
      </c>
      <c r="F304" t="s">
        <v>396</v>
      </c>
      <c r="H304">
        <v>2166</v>
      </c>
      <c r="I304">
        <v>120</v>
      </c>
      <c r="P304">
        <v>2166</v>
      </c>
      <c r="Q304">
        <v>120</v>
      </c>
      <c r="R304">
        <v>259920</v>
      </c>
      <c r="S304">
        <v>31190.400000000001</v>
      </c>
    </row>
    <row r="305" spans="1:19" x14ac:dyDescent="0.3">
      <c r="A305" s="5">
        <v>41110</v>
      </c>
      <c r="B305">
        <v>2012</v>
      </c>
      <c r="C305">
        <v>7</v>
      </c>
      <c r="E305" t="s">
        <v>402</v>
      </c>
      <c r="F305" t="s">
        <v>396</v>
      </c>
      <c r="H305">
        <v>2200</v>
      </c>
      <c r="I305">
        <v>140</v>
      </c>
      <c r="P305">
        <v>2200</v>
      </c>
      <c r="Q305">
        <v>140</v>
      </c>
      <c r="R305">
        <v>308000</v>
      </c>
      <c r="S305">
        <v>43120</v>
      </c>
    </row>
    <row r="306" spans="1:19" x14ac:dyDescent="0.3">
      <c r="A306" s="5">
        <v>41113</v>
      </c>
      <c r="B306">
        <v>2012</v>
      </c>
      <c r="C306">
        <v>7</v>
      </c>
      <c r="E306" t="s">
        <v>400</v>
      </c>
      <c r="F306" t="s">
        <v>396</v>
      </c>
      <c r="H306">
        <v>1827</v>
      </c>
      <c r="I306">
        <v>133</v>
      </c>
      <c r="L306">
        <v>1740</v>
      </c>
      <c r="M306">
        <v>126</v>
      </c>
      <c r="P306">
        <v>1783.5</v>
      </c>
      <c r="Q306">
        <v>129.5</v>
      </c>
      <c r="R306">
        <v>230963.25</v>
      </c>
      <c r="S306">
        <v>29909.740875</v>
      </c>
    </row>
    <row r="307" spans="1:19" x14ac:dyDescent="0.3">
      <c r="A307" s="5">
        <v>41113</v>
      </c>
      <c r="B307">
        <v>2012</v>
      </c>
      <c r="C307">
        <v>7</v>
      </c>
      <c r="E307" t="s">
        <v>398</v>
      </c>
      <c r="F307" t="s">
        <v>396</v>
      </c>
      <c r="H307">
        <v>1902</v>
      </c>
      <c r="I307">
        <v>128</v>
      </c>
      <c r="P307">
        <v>1902</v>
      </c>
      <c r="Q307">
        <v>128</v>
      </c>
      <c r="R307">
        <v>243456</v>
      </c>
      <c r="S307">
        <v>31162.367999999999</v>
      </c>
    </row>
    <row r="308" spans="1:19" x14ac:dyDescent="0.3">
      <c r="A308" s="5">
        <v>41113</v>
      </c>
      <c r="B308">
        <v>2012</v>
      </c>
      <c r="C308">
        <v>7</v>
      </c>
      <c r="E308" t="s">
        <v>399</v>
      </c>
      <c r="F308" t="s">
        <v>396</v>
      </c>
      <c r="H308">
        <v>1956</v>
      </c>
      <c r="I308">
        <v>127</v>
      </c>
      <c r="L308">
        <v>1941</v>
      </c>
      <c r="M308">
        <v>128</v>
      </c>
      <c r="P308">
        <v>1948.5</v>
      </c>
      <c r="Q308">
        <v>127.5</v>
      </c>
      <c r="R308">
        <v>248433.75</v>
      </c>
      <c r="S308">
        <v>31675.303124999999</v>
      </c>
    </row>
    <row r="309" spans="1:19" x14ac:dyDescent="0.3">
      <c r="A309" s="5">
        <v>41113</v>
      </c>
      <c r="B309">
        <v>2012</v>
      </c>
      <c r="C309">
        <v>7</v>
      </c>
      <c r="E309" t="s">
        <v>399</v>
      </c>
      <c r="F309" t="s">
        <v>396</v>
      </c>
      <c r="H309">
        <v>2004</v>
      </c>
      <c r="I309">
        <v>128</v>
      </c>
      <c r="P309">
        <v>2004</v>
      </c>
      <c r="Q309">
        <v>128</v>
      </c>
      <c r="R309">
        <v>256512</v>
      </c>
      <c r="S309">
        <v>32833.536</v>
      </c>
    </row>
    <row r="310" spans="1:19" x14ac:dyDescent="0.3">
      <c r="A310" s="5">
        <v>41113</v>
      </c>
      <c r="B310">
        <v>2012</v>
      </c>
      <c r="C310">
        <v>7</v>
      </c>
      <c r="E310" t="s">
        <v>402</v>
      </c>
      <c r="F310" t="s">
        <v>396</v>
      </c>
      <c r="H310">
        <v>2008</v>
      </c>
      <c r="I310">
        <v>136</v>
      </c>
      <c r="L310">
        <v>2067</v>
      </c>
      <c r="M310">
        <v>135</v>
      </c>
      <c r="P310">
        <v>2037.5</v>
      </c>
      <c r="Q310">
        <v>135.5</v>
      </c>
      <c r="R310">
        <v>276081.25</v>
      </c>
      <c r="S310">
        <v>37409.009375000001</v>
      </c>
    </row>
    <row r="311" spans="1:19" x14ac:dyDescent="0.3">
      <c r="A311" s="5">
        <v>41113</v>
      </c>
      <c r="B311">
        <v>2012</v>
      </c>
      <c r="C311">
        <v>7</v>
      </c>
      <c r="E311" t="s">
        <v>401</v>
      </c>
      <c r="F311" t="s">
        <v>396</v>
      </c>
      <c r="H311">
        <v>2115</v>
      </c>
      <c r="I311">
        <v>119</v>
      </c>
      <c r="L311">
        <v>2107</v>
      </c>
      <c r="M311">
        <v>117</v>
      </c>
      <c r="P311">
        <v>2111</v>
      </c>
      <c r="Q311">
        <v>118</v>
      </c>
      <c r="R311">
        <v>249098</v>
      </c>
      <c r="S311">
        <v>29393.563999999998</v>
      </c>
    </row>
    <row r="312" spans="1:19" x14ac:dyDescent="0.3">
      <c r="A312" s="5">
        <v>41113</v>
      </c>
      <c r="B312">
        <v>2012</v>
      </c>
      <c r="C312">
        <v>7</v>
      </c>
      <c r="E312" t="s">
        <v>401</v>
      </c>
      <c r="F312" t="s">
        <v>396</v>
      </c>
      <c r="H312">
        <v>2200</v>
      </c>
      <c r="I312">
        <v>121</v>
      </c>
      <c r="P312">
        <v>2200</v>
      </c>
      <c r="Q312">
        <v>121</v>
      </c>
      <c r="R312">
        <v>266200</v>
      </c>
      <c r="S312">
        <v>32210.2</v>
      </c>
    </row>
    <row r="313" spans="1:19" x14ac:dyDescent="0.3">
      <c r="A313" s="5">
        <v>41114</v>
      </c>
      <c r="B313">
        <v>2012</v>
      </c>
      <c r="C313">
        <v>7</v>
      </c>
      <c r="E313" t="s">
        <v>400</v>
      </c>
      <c r="F313" t="s">
        <v>396</v>
      </c>
      <c r="H313">
        <v>1780</v>
      </c>
      <c r="I313">
        <v>134</v>
      </c>
      <c r="P313">
        <v>1780</v>
      </c>
      <c r="Q313">
        <v>134</v>
      </c>
      <c r="R313">
        <v>238520</v>
      </c>
      <c r="S313">
        <v>31961.68</v>
      </c>
    </row>
    <row r="314" spans="1:19" x14ac:dyDescent="0.3">
      <c r="A314" s="5">
        <v>41114</v>
      </c>
      <c r="B314">
        <v>2012</v>
      </c>
      <c r="C314">
        <v>7</v>
      </c>
      <c r="E314" t="s">
        <v>398</v>
      </c>
      <c r="F314" t="s">
        <v>396</v>
      </c>
      <c r="H314">
        <v>1928</v>
      </c>
      <c r="I314">
        <v>133</v>
      </c>
      <c r="P314">
        <v>1928</v>
      </c>
      <c r="Q314">
        <v>133</v>
      </c>
      <c r="R314">
        <v>256424</v>
      </c>
      <c r="S314">
        <v>34104.392</v>
      </c>
    </row>
    <row r="315" spans="1:19" x14ac:dyDescent="0.3">
      <c r="A315" s="5">
        <v>41115</v>
      </c>
      <c r="B315">
        <v>2012</v>
      </c>
      <c r="C315">
        <v>7</v>
      </c>
      <c r="E315" t="s">
        <v>400</v>
      </c>
      <c r="F315" t="s">
        <v>396</v>
      </c>
      <c r="H315">
        <v>1856</v>
      </c>
      <c r="I315">
        <v>134</v>
      </c>
      <c r="P315">
        <v>1856</v>
      </c>
      <c r="Q315">
        <v>134</v>
      </c>
      <c r="R315">
        <v>248704</v>
      </c>
      <c r="S315">
        <v>33326.336000000003</v>
      </c>
    </row>
    <row r="316" spans="1:19" x14ac:dyDescent="0.3">
      <c r="A316" s="5">
        <v>41115</v>
      </c>
      <c r="B316">
        <v>2012</v>
      </c>
      <c r="C316">
        <v>7</v>
      </c>
      <c r="E316" t="s">
        <v>398</v>
      </c>
      <c r="F316" t="s">
        <v>396</v>
      </c>
      <c r="H316">
        <v>1913</v>
      </c>
      <c r="I316">
        <v>138</v>
      </c>
      <c r="P316">
        <v>1913</v>
      </c>
      <c r="Q316">
        <v>138</v>
      </c>
      <c r="R316">
        <v>263994</v>
      </c>
      <c r="S316">
        <v>36431.171999999999</v>
      </c>
    </row>
    <row r="317" spans="1:19" x14ac:dyDescent="0.3">
      <c r="A317" s="5">
        <v>41115</v>
      </c>
      <c r="B317">
        <v>2012</v>
      </c>
      <c r="C317">
        <v>7</v>
      </c>
      <c r="E317" t="s">
        <v>399</v>
      </c>
      <c r="F317" t="s">
        <v>396</v>
      </c>
      <c r="H317">
        <v>2079</v>
      </c>
      <c r="I317">
        <v>134</v>
      </c>
      <c r="P317">
        <v>2079</v>
      </c>
      <c r="Q317">
        <v>134</v>
      </c>
      <c r="R317">
        <v>278586</v>
      </c>
      <c r="S317">
        <v>37330.523999999998</v>
      </c>
    </row>
    <row r="318" spans="1:19" x14ac:dyDescent="0.3">
      <c r="A318" s="5">
        <v>41115</v>
      </c>
      <c r="B318">
        <v>2012</v>
      </c>
      <c r="C318">
        <v>7</v>
      </c>
      <c r="E318" t="s">
        <v>401</v>
      </c>
      <c r="F318" t="s">
        <v>396</v>
      </c>
      <c r="H318">
        <v>2081</v>
      </c>
      <c r="I318">
        <v>128</v>
      </c>
      <c r="P318">
        <v>2081</v>
      </c>
      <c r="Q318">
        <v>128</v>
      </c>
      <c r="R318">
        <v>266368</v>
      </c>
      <c r="S318">
        <v>34095.103999999999</v>
      </c>
    </row>
    <row r="319" spans="1:19" x14ac:dyDescent="0.3">
      <c r="A319" s="5">
        <v>41115</v>
      </c>
      <c r="B319">
        <v>2012</v>
      </c>
      <c r="C319">
        <v>7</v>
      </c>
      <c r="E319" t="s">
        <v>402</v>
      </c>
      <c r="F319" t="s">
        <v>396</v>
      </c>
      <c r="H319">
        <v>2102</v>
      </c>
      <c r="I319">
        <v>139</v>
      </c>
      <c r="P319">
        <v>2102</v>
      </c>
      <c r="Q319">
        <v>139</v>
      </c>
      <c r="R319">
        <v>292178</v>
      </c>
      <c r="S319">
        <v>40612.741999999998</v>
      </c>
    </row>
    <row r="320" spans="1:19" x14ac:dyDescent="0.3">
      <c r="A320" s="5">
        <v>41261</v>
      </c>
      <c r="B320">
        <v>2012</v>
      </c>
      <c r="C320">
        <v>12</v>
      </c>
      <c r="E320" t="s">
        <v>402</v>
      </c>
      <c r="F320" t="s">
        <v>396</v>
      </c>
      <c r="H320">
        <v>1978</v>
      </c>
      <c r="I320">
        <v>143</v>
      </c>
      <c r="J320">
        <v>2057</v>
      </c>
      <c r="K320">
        <v>147</v>
      </c>
      <c r="P320">
        <v>2017.5</v>
      </c>
      <c r="Q320">
        <v>145</v>
      </c>
      <c r="R320">
        <v>292537.5</v>
      </c>
      <c r="S320">
        <v>42417.9375</v>
      </c>
    </row>
    <row r="321" spans="1:19" x14ac:dyDescent="0.3">
      <c r="A321" s="5">
        <v>41261</v>
      </c>
      <c r="B321">
        <v>2012</v>
      </c>
      <c r="C321">
        <v>12</v>
      </c>
      <c r="E321" t="s">
        <v>401</v>
      </c>
      <c r="F321" t="s">
        <v>396</v>
      </c>
      <c r="H321">
        <v>2115</v>
      </c>
      <c r="I321">
        <v>120</v>
      </c>
      <c r="J321">
        <v>2162</v>
      </c>
      <c r="K321">
        <v>128</v>
      </c>
      <c r="P321">
        <v>2138.5</v>
      </c>
      <c r="Q321">
        <v>124</v>
      </c>
      <c r="R321">
        <v>265174</v>
      </c>
      <c r="S321">
        <v>32881.576000000001</v>
      </c>
    </row>
    <row r="322" spans="1:19" x14ac:dyDescent="0.3">
      <c r="A322" s="5">
        <v>41263</v>
      </c>
      <c r="B322">
        <v>2012</v>
      </c>
      <c r="C322">
        <v>12</v>
      </c>
      <c r="E322" t="s">
        <v>401</v>
      </c>
      <c r="F322" t="s">
        <v>396</v>
      </c>
      <c r="H322">
        <v>1974</v>
      </c>
      <c r="I322">
        <v>126</v>
      </c>
      <c r="J322">
        <v>2022</v>
      </c>
      <c r="K322">
        <v>115</v>
      </c>
      <c r="P322">
        <v>1998</v>
      </c>
      <c r="Q322">
        <v>120.5</v>
      </c>
      <c r="R322">
        <v>240759</v>
      </c>
      <c r="S322">
        <v>29011.459500000001</v>
      </c>
    </row>
    <row r="323" spans="1:19" x14ac:dyDescent="0.3">
      <c r="A323" s="5">
        <v>41263</v>
      </c>
      <c r="B323">
        <v>2012</v>
      </c>
      <c r="C323">
        <v>12</v>
      </c>
      <c r="E323" t="s">
        <v>402</v>
      </c>
      <c r="F323" t="s">
        <v>396</v>
      </c>
      <c r="H323">
        <v>2016</v>
      </c>
      <c r="I323">
        <v>143</v>
      </c>
      <c r="J323">
        <v>2018</v>
      </c>
      <c r="K323">
        <v>144</v>
      </c>
      <c r="P323">
        <v>2017</v>
      </c>
      <c r="Q323">
        <v>143.5</v>
      </c>
      <c r="R323">
        <v>289439.5</v>
      </c>
      <c r="S323">
        <v>41534.568249999997</v>
      </c>
    </row>
    <row r="324" spans="1:19" x14ac:dyDescent="0.3">
      <c r="A324" s="5">
        <v>41272</v>
      </c>
      <c r="B324">
        <v>2012</v>
      </c>
      <c r="C324">
        <v>12</v>
      </c>
      <c r="E324" t="s">
        <v>400</v>
      </c>
      <c r="F324" t="s">
        <v>396</v>
      </c>
      <c r="H324">
        <v>1795</v>
      </c>
      <c r="I324">
        <v>128</v>
      </c>
      <c r="J324">
        <v>1821</v>
      </c>
      <c r="K324">
        <v>130</v>
      </c>
      <c r="L324">
        <v>1800</v>
      </c>
      <c r="M324">
        <v>128</v>
      </c>
      <c r="P324">
        <v>1805.3333333333333</v>
      </c>
      <c r="Q324">
        <v>128.66666666666666</v>
      </c>
      <c r="R324">
        <v>232286.22222222219</v>
      </c>
      <c r="S324">
        <v>29887.493925925919</v>
      </c>
    </row>
    <row r="325" spans="1:19" x14ac:dyDescent="0.3">
      <c r="A325" s="5">
        <v>41272</v>
      </c>
      <c r="B325">
        <v>2012</v>
      </c>
      <c r="C325">
        <v>12</v>
      </c>
      <c r="E325" t="s">
        <v>399</v>
      </c>
      <c r="F325" t="s">
        <v>396</v>
      </c>
      <c r="H325">
        <v>1895</v>
      </c>
      <c r="I325">
        <v>124</v>
      </c>
      <c r="J325">
        <v>2009</v>
      </c>
      <c r="K325">
        <v>129</v>
      </c>
      <c r="L325">
        <v>1953</v>
      </c>
      <c r="M325">
        <v>126</v>
      </c>
      <c r="P325">
        <v>1952.3333333333333</v>
      </c>
      <c r="Q325">
        <v>126.33333333333333</v>
      </c>
      <c r="R325">
        <v>246644.77777777775</v>
      </c>
      <c r="S325">
        <v>31159.456925925922</v>
      </c>
    </row>
    <row r="326" spans="1:19" x14ac:dyDescent="0.3">
      <c r="A326" s="5">
        <v>41280</v>
      </c>
      <c r="B326">
        <v>2013</v>
      </c>
      <c r="C326">
        <v>1</v>
      </c>
      <c r="E326" t="s">
        <v>398</v>
      </c>
      <c r="F326" t="s">
        <v>396</v>
      </c>
      <c r="H326">
        <v>1647</v>
      </c>
      <c r="I326">
        <v>127</v>
      </c>
      <c r="J326">
        <v>1600</v>
      </c>
      <c r="K326">
        <v>129</v>
      </c>
      <c r="P326">
        <v>1623.5</v>
      </c>
      <c r="Q326">
        <v>128</v>
      </c>
      <c r="R326">
        <v>207808</v>
      </c>
      <c r="S326">
        <v>26599.423999999999</v>
      </c>
    </row>
    <row r="327" spans="1:19" x14ac:dyDescent="0.3">
      <c r="A327" s="5">
        <v>41280</v>
      </c>
      <c r="B327">
        <v>2013</v>
      </c>
      <c r="C327">
        <v>1</v>
      </c>
      <c r="E327" t="s">
        <v>400</v>
      </c>
      <c r="F327" t="s">
        <v>396</v>
      </c>
      <c r="H327">
        <v>1823</v>
      </c>
      <c r="I327">
        <v>133</v>
      </c>
      <c r="J327">
        <v>1753</v>
      </c>
      <c r="K327">
        <v>132</v>
      </c>
      <c r="P327">
        <v>1788</v>
      </c>
      <c r="Q327">
        <v>132.5</v>
      </c>
      <c r="R327">
        <v>236910</v>
      </c>
      <c r="S327">
        <v>31390.575000000001</v>
      </c>
    </row>
    <row r="328" spans="1:19" x14ac:dyDescent="0.3">
      <c r="A328" s="5">
        <v>41280</v>
      </c>
      <c r="B328">
        <v>2013</v>
      </c>
      <c r="C328">
        <v>1</v>
      </c>
      <c r="E328" t="s">
        <v>399</v>
      </c>
      <c r="F328" t="s">
        <v>396</v>
      </c>
      <c r="H328">
        <v>2003</v>
      </c>
      <c r="I328">
        <v>136</v>
      </c>
      <c r="J328">
        <v>1945</v>
      </c>
      <c r="K328">
        <v>134</v>
      </c>
      <c r="P328">
        <v>1974</v>
      </c>
      <c r="Q328">
        <v>135</v>
      </c>
      <c r="R328">
        <v>266490</v>
      </c>
      <c r="S328">
        <v>35976.15</v>
      </c>
    </row>
    <row r="329" spans="1:19" x14ac:dyDescent="0.3">
      <c r="A329" s="5">
        <v>41280</v>
      </c>
      <c r="B329">
        <v>2013</v>
      </c>
      <c r="C329">
        <v>1</v>
      </c>
      <c r="E329" t="s">
        <v>402</v>
      </c>
      <c r="F329" t="s">
        <v>396</v>
      </c>
      <c r="H329">
        <v>2120</v>
      </c>
      <c r="I329">
        <v>148</v>
      </c>
      <c r="J329">
        <v>1932</v>
      </c>
      <c r="K329">
        <v>150</v>
      </c>
      <c r="P329">
        <v>2026</v>
      </c>
      <c r="Q329">
        <v>149</v>
      </c>
      <c r="R329">
        <v>301874</v>
      </c>
      <c r="S329">
        <v>44979.226000000002</v>
      </c>
    </row>
    <row r="330" spans="1:19" x14ac:dyDescent="0.3">
      <c r="A330" s="5">
        <v>41280</v>
      </c>
      <c r="B330">
        <v>2013</v>
      </c>
      <c r="C330">
        <v>1</v>
      </c>
      <c r="E330" t="s">
        <v>401</v>
      </c>
      <c r="F330" t="s">
        <v>396</v>
      </c>
      <c r="H330">
        <v>2195</v>
      </c>
      <c r="I330">
        <v>127</v>
      </c>
      <c r="J330">
        <v>2080</v>
      </c>
      <c r="K330">
        <v>120</v>
      </c>
      <c r="P330">
        <v>2137.5</v>
      </c>
      <c r="Q330">
        <v>123.5</v>
      </c>
      <c r="R330">
        <v>263981.25</v>
      </c>
      <c r="S330">
        <v>32601.684375000001</v>
      </c>
    </row>
    <row r="331" spans="1:19" x14ac:dyDescent="0.3">
      <c r="A331" s="5">
        <v>41282</v>
      </c>
      <c r="B331">
        <v>2013</v>
      </c>
      <c r="C331">
        <v>1</v>
      </c>
      <c r="E331" t="s">
        <v>400</v>
      </c>
      <c r="F331" t="s">
        <v>396</v>
      </c>
      <c r="H331">
        <v>1725</v>
      </c>
      <c r="I331">
        <v>128</v>
      </c>
      <c r="J331">
        <v>1773</v>
      </c>
      <c r="K331">
        <v>130</v>
      </c>
      <c r="P331">
        <v>1749</v>
      </c>
      <c r="Q331">
        <v>129</v>
      </c>
      <c r="R331">
        <v>225621</v>
      </c>
      <c r="S331">
        <v>29105.109</v>
      </c>
    </row>
    <row r="332" spans="1:19" x14ac:dyDescent="0.3">
      <c r="A332" s="5">
        <v>41282</v>
      </c>
      <c r="B332">
        <v>2013</v>
      </c>
      <c r="C332">
        <v>1</v>
      </c>
      <c r="E332" t="s">
        <v>399</v>
      </c>
      <c r="F332" t="s">
        <v>396</v>
      </c>
      <c r="H332">
        <v>1903</v>
      </c>
      <c r="I332">
        <v>133</v>
      </c>
      <c r="J332">
        <v>1891</v>
      </c>
      <c r="K332">
        <v>131</v>
      </c>
      <c r="P332">
        <v>1897</v>
      </c>
      <c r="Q332">
        <v>132</v>
      </c>
      <c r="R332">
        <v>250404</v>
      </c>
      <c r="S332">
        <v>33053.328000000001</v>
      </c>
    </row>
    <row r="333" spans="1:19" x14ac:dyDescent="0.3">
      <c r="A333" s="5">
        <v>41282</v>
      </c>
      <c r="B333">
        <v>2013</v>
      </c>
      <c r="C333">
        <v>1</v>
      </c>
      <c r="E333" t="s">
        <v>402</v>
      </c>
      <c r="F333" t="s">
        <v>396</v>
      </c>
      <c r="H333">
        <v>1980</v>
      </c>
      <c r="I333">
        <v>147</v>
      </c>
      <c r="J333">
        <v>1977</v>
      </c>
      <c r="K333">
        <v>148</v>
      </c>
      <c r="P333">
        <v>1978.5</v>
      </c>
      <c r="Q333">
        <v>147.5</v>
      </c>
      <c r="R333">
        <v>291828.75</v>
      </c>
      <c r="S333">
        <v>43044.740624999999</v>
      </c>
    </row>
    <row r="334" spans="1:19" x14ac:dyDescent="0.3">
      <c r="A334" s="5">
        <v>41282</v>
      </c>
      <c r="B334">
        <v>2013</v>
      </c>
      <c r="C334">
        <v>1</v>
      </c>
      <c r="E334" t="s">
        <v>401</v>
      </c>
      <c r="F334" t="s">
        <v>396</v>
      </c>
      <c r="H334">
        <v>2056</v>
      </c>
      <c r="I334">
        <v>117</v>
      </c>
      <c r="J334">
        <v>1998</v>
      </c>
      <c r="K334">
        <v>121</v>
      </c>
      <c r="P334">
        <v>2027</v>
      </c>
      <c r="Q334">
        <v>119</v>
      </c>
      <c r="R334">
        <v>241213</v>
      </c>
      <c r="S334">
        <v>28704.347000000002</v>
      </c>
    </row>
    <row r="335" spans="1:19" x14ac:dyDescent="0.3">
      <c r="A335" s="5">
        <v>41285</v>
      </c>
      <c r="B335">
        <v>2013</v>
      </c>
      <c r="C335">
        <v>1</v>
      </c>
      <c r="E335" t="s">
        <v>398</v>
      </c>
      <c r="F335" t="s">
        <v>396</v>
      </c>
      <c r="H335">
        <v>1725</v>
      </c>
      <c r="I335">
        <v>133</v>
      </c>
      <c r="J335">
        <v>1707</v>
      </c>
      <c r="K335">
        <v>134</v>
      </c>
      <c r="P335">
        <v>1716</v>
      </c>
      <c r="Q335">
        <v>133.5</v>
      </c>
      <c r="R335">
        <v>229086</v>
      </c>
      <c r="S335">
        <v>30582.981</v>
      </c>
    </row>
    <row r="336" spans="1:19" x14ac:dyDescent="0.3">
      <c r="A336" s="5">
        <v>41285</v>
      </c>
      <c r="B336">
        <v>2013</v>
      </c>
      <c r="C336">
        <v>1</v>
      </c>
      <c r="E336" t="s">
        <v>400</v>
      </c>
      <c r="F336" t="s">
        <v>396</v>
      </c>
      <c r="H336">
        <v>1728</v>
      </c>
      <c r="I336">
        <v>129</v>
      </c>
      <c r="J336">
        <v>1742</v>
      </c>
      <c r="K336">
        <v>125</v>
      </c>
      <c r="P336">
        <v>1735</v>
      </c>
      <c r="Q336">
        <v>127</v>
      </c>
      <c r="R336">
        <v>220345</v>
      </c>
      <c r="S336">
        <v>27983.814999999999</v>
      </c>
    </row>
    <row r="337" spans="1:20" x14ac:dyDescent="0.3">
      <c r="A337" s="5">
        <v>41285</v>
      </c>
      <c r="B337">
        <v>2013</v>
      </c>
      <c r="C337">
        <v>1</v>
      </c>
      <c r="E337" t="s">
        <v>399</v>
      </c>
      <c r="F337" t="s">
        <v>396</v>
      </c>
      <c r="H337">
        <v>1913</v>
      </c>
      <c r="I337">
        <v>130</v>
      </c>
      <c r="J337">
        <v>1903</v>
      </c>
      <c r="K337">
        <v>129</v>
      </c>
      <c r="P337">
        <v>1908</v>
      </c>
      <c r="Q337">
        <v>129.5</v>
      </c>
      <c r="R337">
        <v>247086</v>
      </c>
      <c r="S337">
        <v>31997.636999999999</v>
      </c>
    </row>
    <row r="338" spans="1:20" x14ac:dyDescent="0.3">
      <c r="A338" s="5">
        <v>41285</v>
      </c>
      <c r="B338">
        <v>2013</v>
      </c>
      <c r="C338">
        <v>1</v>
      </c>
      <c r="E338" t="s">
        <v>402</v>
      </c>
      <c r="F338" t="s">
        <v>396</v>
      </c>
      <c r="H338">
        <v>1940</v>
      </c>
      <c r="I338">
        <v>141</v>
      </c>
      <c r="J338">
        <v>1948</v>
      </c>
      <c r="K338">
        <v>146</v>
      </c>
      <c r="P338">
        <v>1944</v>
      </c>
      <c r="Q338">
        <v>143.5</v>
      </c>
      <c r="R338">
        <v>278964</v>
      </c>
      <c r="S338">
        <v>40031.334000000003</v>
      </c>
    </row>
    <row r="339" spans="1:20" x14ac:dyDescent="0.3">
      <c r="A339" s="5">
        <v>41285</v>
      </c>
      <c r="B339">
        <v>2013</v>
      </c>
      <c r="C339">
        <v>1</v>
      </c>
      <c r="E339" t="s">
        <v>401</v>
      </c>
      <c r="F339" t="s">
        <v>396</v>
      </c>
      <c r="H339">
        <v>2060</v>
      </c>
      <c r="I339">
        <v>124</v>
      </c>
      <c r="J339">
        <v>2082</v>
      </c>
      <c r="K339">
        <v>115</v>
      </c>
      <c r="P339">
        <v>2071</v>
      </c>
      <c r="Q339">
        <v>119.5</v>
      </c>
      <c r="R339">
        <v>247484.5</v>
      </c>
      <c r="S339">
        <v>29574.39775</v>
      </c>
    </row>
    <row r="340" spans="1:20" x14ac:dyDescent="0.3">
      <c r="A340" s="5">
        <v>41320</v>
      </c>
      <c r="B340">
        <v>2013</v>
      </c>
      <c r="C340">
        <v>2</v>
      </c>
      <c r="E340" t="s">
        <v>403</v>
      </c>
      <c r="F340" t="s">
        <v>404</v>
      </c>
      <c r="H340">
        <v>2163</v>
      </c>
      <c r="I340">
        <v>148</v>
      </c>
      <c r="J340">
        <v>2301</v>
      </c>
      <c r="K340">
        <v>149</v>
      </c>
      <c r="P340">
        <v>2232</v>
      </c>
      <c r="Q340">
        <v>148.5</v>
      </c>
      <c r="R340">
        <v>331452</v>
      </c>
      <c r="S340">
        <v>49220.622000000003</v>
      </c>
      <c r="T340">
        <v>85</v>
      </c>
    </row>
    <row r="341" spans="1:20" x14ac:dyDescent="0.3">
      <c r="A341" s="5">
        <v>41351</v>
      </c>
      <c r="B341">
        <v>2013</v>
      </c>
      <c r="C341">
        <v>3</v>
      </c>
      <c r="E341" t="s">
        <v>402</v>
      </c>
      <c r="F341" t="s">
        <v>396</v>
      </c>
      <c r="H341">
        <v>2071</v>
      </c>
      <c r="I341">
        <v>139</v>
      </c>
      <c r="J341">
        <v>1945</v>
      </c>
      <c r="K341">
        <v>141</v>
      </c>
      <c r="P341">
        <v>2008</v>
      </c>
      <c r="Q341">
        <v>140</v>
      </c>
      <c r="R341">
        <v>281120</v>
      </c>
      <c r="S341">
        <v>39356.800000000003</v>
      </c>
    </row>
    <row r="342" spans="1:20" x14ac:dyDescent="0.3">
      <c r="A342" s="5">
        <v>41353</v>
      </c>
      <c r="B342">
        <v>2013</v>
      </c>
      <c r="C342">
        <v>3</v>
      </c>
      <c r="E342" t="s">
        <v>398</v>
      </c>
      <c r="F342" t="s">
        <v>396</v>
      </c>
      <c r="H342">
        <v>1676</v>
      </c>
      <c r="I342">
        <v>127</v>
      </c>
      <c r="J342">
        <v>1657</v>
      </c>
      <c r="K342">
        <v>133</v>
      </c>
      <c r="L342">
        <v>1737</v>
      </c>
      <c r="M342">
        <v>130</v>
      </c>
      <c r="N342">
        <v>1697</v>
      </c>
      <c r="O342">
        <v>131</v>
      </c>
      <c r="P342">
        <v>1691.75</v>
      </c>
      <c r="Q342">
        <v>130.25</v>
      </c>
      <c r="R342">
        <v>220350.4375</v>
      </c>
      <c r="S342">
        <v>28700.644484375</v>
      </c>
    </row>
    <row r="343" spans="1:20" x14ac:dyDescent="0.3">
      <c r="A343" s="5">
        <v>41355</v>
      </c>
      <c r="B343">
        <v>2013</v>
      </c>
      <c r="C343">
        <v>3</v>
      </c>
      <c r="E343" t="s">
        <v>402</v>
      </c>
      <c r="F343" t="s">
        <v>396</v>
      </c>
      <c r="H343">
        <v>1896</v>
      </c>
      <c r="I343">
        <v>140</v>
      </c>
      <c r="J343">
        <v>1845</v>
      </c>
      <c r="K343">
        <v>142</v>
      </c>
      <c r="P343">
        <v>1870.5</v>
      </c>
      <c r="Q343">
        <v>141</v>
      </c>
      <c r="R343">
        <v>263740.5</v>
      </c>
      <c r="S343">
        <v>37187.410499999998</v>
      </c>
    </row>
    <row r="344" spans="1:20" x14ac:dyDescent="0.3">
      <c r="A344" s="5">
        <v>41358</v>
      </c>
      <c r="B344">
        <v>2013</v>
      </c>
      <c r="C344">
        <v>3</v>
      </c>
      <c r="E344" t="s">
        <v>400</v>
      </c>
      <c r="F344" t="s">
        <v>396</v>
      </c>
      <c r="H344">
        <v>1815</v>
      </c>
      <c r="I344">
        <v>133</v>
      </c>
      <c r="J344">
        <v>1816</v>
      </c>
      <c r="K344">
        <v>133</v>
      </c>
      <c r="P344">
        <v>1815.5</v>
      </c>
      <c r="Q344">
        <v>133</v>
      </c>
      <c r="R344">
        <v>241461.5</v>
      </c>
      <c r="S344">
        <v>32114.379499999999</v>
      </c>
    </row>
    <row r="345" spans="1:20" x14ac:dyDescent="0.3">
      <c r="A345" s="5">
        <v>41358</v>
      </c>
      <c r="B345">
        <v>2013</v>
      </c>
      <c r="C345">
        <v>3</v>
      </c>
      <c r="E345" t="s">
        <v>402</v>
      </c>
      <c r="F345" t="s">
        <v>396</v>
      </c>
      <c r="H345">
        <v>1883</v>
      </c>
      <c r="I345">
        <v>137</v>
      </c>
      <c r="J345">
        <v>1923</v>
      </c>
      <c r="K345">
        <v>143</v>
      </c>
      <c r="P345">
        <v>1903</v>
      </c>
      <c r="Q345">
        <v>140</v>
      </c>
      <c r="R345">
        <v>266420</v>
      </c>
      <c r="S345">
        <v>37298.800000000003</v>
      </c>
    </row>
    <row r="346" spans="1:20" x14ac:dyDescent="0.3">
      <c r="A346" s="5">
        <v>41358</v>
      </c>
      <c r="B346">
        <v>2013</v>
      </c>
      <c r="C346">
        <v>3</v>
      </c>
      <c r="E346" t="s">
        <v>399</v>
      </c>
      <c r="F346" t="s">
        <v>396</v>
      </c>
      <c r="H346">
        <v>1971</v>
      </c>
      <c r="I346">
        <v>133</v>
      </c>
      <c r="J346">
        <v>1974</v>
      </c>
      <c r="K346">
        <v>132</v>
      </c>
      <c r="P346">
        <v>1972.5</v>
      </c>
      <c r="Q346">
        <v>132.5</v>
      </c>
      <c r="R346">
        <v>261356.25</v>
      </c>
      <c r="S346">
        <v>34629.703125</v>
      </c>
    </row>
    <row r="347" spans="1:20" x14ac:dyDescent="0.3">
      <c r="A347" s="5">
        <v>41365</v>
      </c>
      <c r="B347">
        <v>2013</v>
      </c>
      <c r="C347">
        <v>4</v>
      </c>
      <c r="E347" t="s">
        <v>400</v>
      </c>
      <c r="F347" t="s">
        <v>396</v>
      </c>
      <c r="H347">
        <v>1711</v>
      </c>
      <c r="I347">
        <v>129</v>
      </c>
      <c r="J347">
        <v>1731</v>
      </c>
      <c r="K347">
        <v>130</v>
      </c>
      <c r="P347">
        <v>1721</v>
      </c>
      <c r="Q347">
        <v>129.5</v>
      </c>
      <c r="R347">
        <v>222869.5</v>
      </c>
      <c r="S347">
        <v>28861.60025</v>
      </c>
    </row>
    <row r="348" spans="1:20" x14ac:dyDescent="0.3">
      <c r="A348" s="5">
        <v>41365</v>
      </c>
      <c r="B348">
        <v>2013</v>
      </c>
      <c r="C348">
        <v>4</v>
      </c>
      <c r="E348" t="s">
        <v>399</v>
      </c>
      <c r="F348" t="s">
        <v>396</v>
      </c>
      <c r="H348">
        <v>1866</v>
      </c>
      <c r="I348">
        <v>125</v>
      </c>
      <c r="J348">
        <v>1901</v>
      </c>
      <c r="K348">
        <v>128</v>
      </c>
      <c r="P348">
        <v>1883.5</v>
      </c>
      <c r="Q348">
        <v>126.5</v>
      </c>
      <c r="R348">
        <v>238262.75</v>
      </c>
      <c r="S348">
        <v>30140.237874999999</v>
      </c>
    </row>
    <row r="349" spans="1:20" x14ac:dyDescent="0.3">
      <c r="A349" s="5">
        <v>41366</v>
      </c>
      <c r="B349">
        <v>2013</v>
      </c>
      <c r="C349">
        <v>4</v>
      </c>
      <c r="E349" t="s">
        <v>401</v>
      </c>
      <c r="F349" t="s">
        <v>396</v>
      </c>
      <c r="H349">
        <v>1957</v>
      </c>
      <c r="I349">
        <v>123</v>
      </c>
      <c r="J349">
        <v>2066</v>
      </c>
      <c r="K349">
        <v>124</v>
      </c>
      <c r="P349">
        <v>2011.5</v>
      </c>
      <c r="Q349">
        <v>123.5</v>
      </c>
      <c r="R349">
        <v>248420.25</v>
      </c>
      <c r="S349">
        <v>30679.900874999999</v>
      </c>
    </row>
    <row r="350" spans="1:20" x14ac:dyDescent="0.3">
      <c r="A350" s="5">
        <v>41372</v>
      </c>
      <c r="B350">
        <v>2013</v>
      </c>
      <c r="C350">
        <v>4</v>
      </c>
      <c r="E350" t="s">
        <v>400</v>
      </c>
      <c r="F350" t="s">
        <v>396</v>
      </c>
      <c r="H350">
        <v>1756</v>
      </c>
      <c r="I350">
        <v>130</v>
      </c>
      <c r="J350">
        <v>1745</v>
      </c>
      <c r="K350">
        <v>129</v>
      </c>
      <c r="P350">
        <v>1750.5</v>
      </c>
      <c r="Q350">
        <v>129.5</v>
      </c>
      <c r="R350">
        <v>226689.75</v>
      </c>
      <c r="S350">
        <v>29356.322625000001</v>
      </c>
    </row>
    <row r="351" spans="1:20" x14ac:dyDescent="0.3">
      <c r="A351" s="5">
        <v>41372</v>
      </c>
      <c r="B351">
        <v>2013</v>
      </c>
      <c r="C351">
        <v>4</v>
      </c>
      <c r="E351" t="s">
        <v>402</v>
      </c>
      <c r="F351" t="s">
        <v>396</v>
      </c>
      <c r="H351">
        <v>1814</v>
      </c>
      <c r="I351">
        <v>134</v>
      </c>
      <c r="P351">
        <v>1814</v>
      </c>
      <c r="Q351">
        <v>134</v>
      </c>
      <c r="R351">
        <v>243076</v>
      </c>
      <c r="S351">
        <v>32572.184000000001</v>
      </c>
    </row>
    <row r="352" spans="1:20" x14ac:dyDescent="0.3">
      <c r="A352" s="5">
        <v>41372</v>
      </c>
      <c r="B352">
        <v>2013</v>
      </c>
      <c r="C352">
        <v>4</v>
      </c>
      <c r="E352" t="s">
        <v>399</v>
      </c>
      <c r="F352" t="s">
        <v>396</v>
      </c>
      <c r="H352">
        <v>1872</v>
      </c>
      <c r="I352">
        <v>124</v>
      </c>
      <c r="J352">
        <v>1913</v>
      </c>
      <c r="K352">
        <v>127</v>
      </c>
      <c r="P352">
        <v>1892.5</v>
      </c>
      <c r="Q352">
        <v>125.5</v>
      </c>
      <c r="R352">
        <v>237508.75</v>
      </c>
      <c r="S352">
        <v>29807.348125</v>
      </c>
    </row>
    <row r="353" spans="1:20" x14ac:dyDescent="0.3">
      <c r="A353" s="5">
        <v>41372</v>
      </c>
      <c r="B353">
        <v>2013</v>
      </c>
      <c r="C353">
        <v>4</v>
      </c>
      <c r="E353" t="s">
        <v>401</v>
      </c>
      <c r="F353" t="s">
        <v>396</v>
      </c>
      <c r="H353">
        <v>2014</v>
      </c>
      <c r="I353">
        <v>122</v>
      </c>
      <c r="J353">
        <v>2017</v>
      </c>
      <c r="K353">
        <v>123</v>
      </c>
      <c r="P353">
        <v>2015.5</v>
      </c>
      <c r="Q353">
        <v>122.5</v>
      </c>
      <c r="R353">
        <v>246898.75</v>
      </c>
      <c r="S353">
        <v>30245.096874999999</v>
      </c>
    </row>
    <row r="354" spans="1:20" x14ac:dyDescent="0.3">
      <c r="A354" s="5">
        <v>41374</v>
      </c>
      <c r="B354">
        <v>2013</v>
      </c>
      <c r="C354">
        <v>4</v>
      </c>
      <c r="E354" t="s">
        <v>402</v>
      </c>
      <c r="F354" t="s">
        <v>396</v>
      </c>
      <c r="H354">
        <v>1927</v>
      </c>
      <c r="I354">
        <v>139</v>
      </c>
      <c r="J354">
        <v>1966</v>
      </c>
      <c r="K354">
        <v>143</v>
      </c>
      <c r="P354">
        <v>1946.5</v>
      </c>
      <c r="Q354">
        <v>141</v>
      </c>
      <c r="R354">
        <v>274456.5</v>
      </c>
      <c r="S354">
        <v>38698.366499999996</v>
      </c>
    </row>
    <row r="355" spans="1:20" x14ac:dyDescent="0.3">
      <c r="A355" s="5">
        <v>41374</v>
      </c>
      <c r="B355">
        <v>2013</v>
      </c>
      <c r="C355">
        <v>4</v>
      </c>
      <c r="E355" t="s">
        <v>401</v>
      </c>
      <c r="F355" t="s">
        <v>396</v>
      </c>
      <c r="H355">
        <v>1998</v>
      </c>
      <c r="I355">
        <v>122</v>
      </c>
      <c r="J355">
        <v>2095</v>
      </c>
      <c r="K355">
        <v>123</v>
      </c>
      <c r="P355">
        <v>2046.5</v>
      </c>
      <c r="Q355">
        <v>122.5</v>
      </c>
      <c r="R355">
        <v>250696.25</v>
      </c>
      <c r="S355">
        <v>30710.290625000001</v>
      </c>
    </row>
    <row r="356" spans="1:20" x14ac:dyDescent="0.3">
      <c r="A356" s="5">
        <v>41375</v>
      </c>
      <c r="B356">
        <v>2013</v>
      </c>
      <c r="C356">
        <v>4</v>
      </c>
      <c r="E356" t="s">
        <v>403</v>
      </c>
      <c r="F356" t="s">
        <v>404</v>
      </c>
      <c r="H356">
        <v>2121</v>
      </c>
      <c r="I356">
        <v>142</v>
      </c>
      <c r="J356">
        <v>2166</v>
      </c>
      <c r="K356">
        <v>148</v>
      </c>
      <c r="P356">
        <v>2143.5</v>
      </c>
      <c r="Q356">
        <v>145</v>
      </c>
      <c r="R356">
        <v>310807.5</v>
      </c>
      <c r="S356">
        <v>45067.087500000001</v>
      </c>
      <c r="T356">
        <v>85.5</v>
      </c>
    </row>
    <row r="357" spans="1:20" x14ac:dyDescent="0.3">
      <c r="A357" s="5">
        <v>41376</v>
      </c>
      <c r="B357">
        <v>2013</v>
      </c>
      <c r="C357">
        <v>4</v>
      </c>
      <c r="E357" t="s">
        <v>398</v>
      </c>
      <c r="F357" t="s">
        <v>396</v>
      </c>
      <c r="H357">
        <v>1612</v>
      </c>
      <c r="I357">
        <v>128</v>
      </c>
      <c r="J357">
        <v>1655</v>
      </c>
      <c r="K357">
        <v>127</v>
      </c>
      <c r="P357">
        <v>1633.5</v>
      </c>
      <c r="Q357">
        <v>127.5</v>
      </c>
      <c r="R357">
        <v>208271.25</v>
      </c>
      <c r="S357">
        <v>26554.584374999999</v>
      </c>
    </row>
    <row r="358" spans="1:20" x14ac:dyDescent="0.3">
      <c r="A358" s="5">
        <v>41377</v>
      </c>
      <c r="B358">
        <v>2013</v>
      </c>
      <c r="C358">
        <v>4</v>
      </c>
      <c r="E358" t="s">
        <v>398</v>
      </c>
      <c r="F358" t="s">
        <v>396</v>
      </c>
      <c r="H358">
        <v>1721</v>
      </c>
      <c r="I358">
        <v>132</v>
      </c>
      <c r="J358">
        <v>1614</v>
      </c>
      <c r="K358">
        <v>128</v>
      </c>
      <c r="P358">
        <v>1667.5</v>
      </c>
      <c r="Q358">
        <v>130</v>
      </c>
      <c r="R358">
        <v>216775</v>
      </c>
      <c r="S358">
        <v>28180.75</v>
      </c>
    </row>
    <row r="359" spans="1:20" x14ac:dyDescent="0.3">
      <c r="A359" s="5">
        <v>41379</v>
      </c>
      <c r="B359">
        <v>2013</v>
      </c>
      <c r="C359">
        <v>4</v>
      </c>
      <c r="E359" t="s">
        <v>400</v>
      </c>
      <c r="F359" t="s">
        <v>396</v>
      </c>
      <c r="H359">
        <v>1779</v>
      </c>
      <c r="I359">
        <v>132</v>
      </c>
      <c r="J359">
        <v>1729</v>
      </c>
      <c r="K359">
        <v>130</v>
      </c>
      <c r="P359">
        <v>1754</v>
      </c>
      <c r="Q359">
        <v>131</v>
      </c>
      <c r="R359">
        <v>229774</v>
      </c>
      <c r="S359">
        <v>30100.394</v>
      </c>
    </row>
    <row r="360" spans="1:20" x14ac:dyDescent="0.3">
      <c r="A360" s="5">
        <v>41379</v>
      </c>
      <c r="B360">
        <v>2013</v>
      </c>
      <c r="C360">
        <v>4</v>
      </c>
      <c r="E360" t="s">
        <v>399</v>
      </c>
      <c r="F360" t="s">
        <v>396</v>
      </c>
      <c r="H360">
        <v>1849</v>
      </c>
      <c r="I360">
        <v>124</v>
      </c>
      <c r="J360">
        <v>1889</v>
      </c>
      <c r="K360">
        <v>127</v>
      </c>
      <c r="P360">
        <v>1869</v>
      </c>
      <c r="Q360">
        <v>125.5</v>
      </c>
      <c r="R360">
        <v>234559.5</v>
      </c>
      <c r="S360">
        <v>29437.217250000002</v>
      </c>
    </row>
    <row r="361" spans="1:20" x14ac:dyDescent="0.3">
      <c r="A361" s="5">
        <v>41386</v>
      </c>
      <c r="B361">
        <v>2013</v>
      </c>
      <c r="C361">
        <v>4</v>
      </c>
      <c r="E361" t="s">
        <v>400</v>
      </c>
      <c r="F361" t="s">
        <v>396</v>
      </c>
      <c r="H361">
        <v>1721</v>
      </c>
      <c r="I361">
        <v>132</v>
      </c>
      <c r="J361">
        <v>1748</v>
      </c>
      <c r="K361">
        <v>128</v>
      </c>
      <c r="P361">
        <v>1734.5</v>
      </c>
      <c r="Q361">
        <v>130</v>
      </c>
      <c r="R361">
        <v>225485</v>
      </c>
      <c r="S361">
        <v>29313.05</v>
      </c>
      <c r="T361">
        <v>84.3</v>
      </c>
    </row>
    <row r="362" spans="1:20" x14ac:dyDescent="0.3">
      <c r="A362" s="5">
        <v>41386</v>
      </c>
      <c r="B362">
        <v>2013</v>
      </c>
      <c r="C362">
        <v>4</v>
      </c>
      <c r="E362" t="s">
        <v>399</v>
      </c>
      <c r="F362" t="s">
        <v>396</v>
      </c>
      <c r="H362">
        <v>1975</v>
      </c>
      <c r="I362">
        <v>129</v>
      </c>
      <c r="J362">
        <v>1977</v>
      </c>
      <c r="K362">
        <v>131</v>
      </c>
      <c r="P362">
        <v>1976</v>
      </c>
      <c r="Q362">
        <v>130</v>
      </c>
      <c r="R362">
        <v>256880</v>
      </c>
      <c r="S362">
        <v>33394.400000000001</v>
      </c>
      <c r="T362">
        <v>85</v>
      </c>
    </row>
    <row r="363" spans="1:20" x14ac:dyDescent="0.3">
      <c r="A363" s="5">
        <v>41386</v>
      </c>
      <c r="B363">
        <v>2013</v>
      </c>
      <c r="C363">
        <v>4</v>
      </c>
      <c r="E363" t="s">
        <v>402</v>
      </c>
      <c r="F363" t="s">
        <v>396</v>
      </c>
      <c r="H363">
        <v>2106</v>
      </c>
      <c r="I363">
        <v>144</v>
      </c>
      <c r="J363">
        <v>2038</v>
      </c>
      <c r="K363">
        <v>145</v>
      </c>
      <c r="P363">
        <v>2072</v>
      </c>
      <c r="Q363">
        <v>144.5</v>
      </c>
      <c r="R363">
        <v>299404</v>
      </c>
      <c r="S363">
        <v>43263.877999999997</v>
      </c>
      <c r="T363">
        <v>96</v>
      </c>
    </row>
    <row r="364" spans="1:20" x14ac:dyDescent="0.3">
      <c r="A364" s="5">
        <v>41387</v>
      </c>
      <c r="B364">
        <v>2013</v>
      </c>
      <c r="C364">
        <v>4</v>
      </c>
      <c r="E364" t="s">
        <v>405</v>
      </c>
      <c r="F364" t="s">
        <v>396</v>
      </c>
      <c r="G364" t="s">
        <v>406</v>
      </c>
      <c r="H364">
        <v>1483</v>
      </c>
      <c r="I364">
        <v>135</v>
      </c>
      <c r="J364">
        <v>1503</v>
      </c>
      <c r="K364">
        <v>138</v>
      </c>
      <c r="P364">
        <v>1493</v>
      </c>
      <c r="Q364">
        <v>136.5</v>
      </c>
      <c r="R364">
        <v>203794.5</v>
      </c>
      <c r="S364">
        <v>27817.949250000001</v>
      </c>
    </row>
    <row r="365" spans="1:20" x14ac:dyDescent="0.3">
      <c r="A365" s="5">
        <v>41387</v>
      </c>
      <c r="B365">
        <v>2013</v>
      </c>
      <c r="C365">
        <v>4</v>
      </c>
      <c r="E365" t="s">
        <v>407</v>
      </c>
      <c r="F365" t="s">
        <v>396</v>
      </c>
      <c r="G365" t="s">
        <v>406</v>
      </c>
      <c r="H365">
        <v>1660</v>
      </c>
      <c r="I365">
        <v>132</v>
      </c>
      <c r="J365">
        <v>1654</v>
      </c>
      <c r="K365">
        <v>138</v>
      </c>
      <c r="P365">
        <v>1657</v>
      </c>
      <c r="Q365">
        <v>135</v>
      </c>
      <c r="R365">
        <v>223695</v>
      </c>
      <c r="S365">
        <v>30198.825000000001</v>
      </c>
    </row>
    <row r="366" spans="1:20" x14ac:dyDescent="0.3">
      <c r="A366" s="5">
        <v>41393</v>
      </c>
      <c r="B366">
        <v>2013</v>
      </c>
      <c r="C366">
        <v>4</v>
      </c>
      <c r="E366" t="s">
        <v>400</v>
      </c>
      <c r="F366" t="s">
        <v>396</v>
      </c>
      <c r="G366" t="s">
        <v>408</v>
      </c>
      <c r="H366">
        <v>1753</v>
      </c>
      <c r="I366">
        <v>132</v>
      </c>
      <c r="J366">
        <v>1765</v>
      </c>
      <c r="K366">
        <v>129</v>
      </c>
      <c r="P366">
        <v>1759</v>
      </c>
      <c r="Q366">
        <v>130.5</v>
      </c>
      <c r="R366">
        <v>229549.5</v>
      </c>
      <c r="S366">
        <v>29956.209750000002</v>
      </c>
    </row>
    <row r="367" spans="1:20" x14ac:dyDescent="0.3">
      <c r="A367" s="5">
        <v>41393</v>
      </c>
      <c r="B367">
        <v>2013</v>
      </c>
      <c r="C367">
        <v>4</v>
      </c>
      <c r="E367" t="s">
        <v>399</v>
      </c>
      <c r="F367" t="s">
        <v>396</v>
      </c>
      <c r="G367" t="s">
        <v>408</v>
      </c>
      <c r="H367">
        <v>1881</v>
      </c>
      <c r="I367">
        <v>125</v>
      </c>
      <c r="J367">
        <v>1841</v>
      </c>
      <c r="K367">
        <v>125</v>
      </c>
      <c r="P367">
        <v>1861</v>
      </c>
      <c r="Q367">
        <v>125</v>
      </c>
      <c r="R367">
        <v>232625</v>
      </c>
      <c r="S367">
        <v>29078.125</v>
      </c>
    </row>
    <row r="368" spans="1:20" x14ac:dyDescent="0.3">
      <c r="A368" s="5">
        <v>41393</v>
      </c>
      <c r="B368">
        <v>2013</v>
      </c>
      <c r="C368">
        <v>4</v>
      </c>
      <c r="E368" t="s">
        <v>402</v>
      </c>
      <c r="F368" t="s">
        <v>396</v>
      </c>
      <c r="G368" t="s">
        <v>408</v>
      </c>
      <c r="H368">
        <v>2055</v>
      </c>
      <c r="I368">
        <v>145</v>
      </c>
      <c r="J368">
        <v>1915</v>
      </c>
      <c r="K368">
        <v>137</v>
      </c>
      <c r="P368">
        <v>1985</v>
      </c>
      <c r="Q368">
        <v>141</v>
      </c>
      <c r="R368">
        <v>279885</v>
      </c>
      <c r="S368">
        <v>39463.785000000003</v>
      </c>
    </row>
    <row r="369" spans="1:20" x14ac:dyDescent="0.3">
      <c r="A369" s="5">
        <v>41393</v>
      </c>
      <c r="B369">
        <v>2013</v>
      </c>
      <c r="C369">
        <v>4</v>
      </c>
      <c r="E369" t="s">
        <v>401</v>
      </c>
      <c r="F369" t="s">
        <v>396</v>
      </c>
      <c r="G369" t="s">
        <v>408</v>
      </c>
      <c r="H369">
        <v>2017</v>
      </c>
      <c r="I369">
        <v>119</v>
      </c>
      <c r="J369">
        <v>2045</v>
      </c>
      <c r="K369">
        <v>117</v>
      </c>
      <c r="P369">
        <v>2031</v>
      </c>
      <c r="Q369">
        <v>118</v>
      </c>
      <c r="R369">
        <v>239658</v>
      </c>
      <c r="S369">
        <v>28279.644</v>
      </c>
    </row>
    <row r="370" spans="1:20" x14ac:dyDescent="0.3">
      <c r="A370" s="5">
        <v>41400</v>
      </c>
      <c r="B370">
        <v>2013</v>
      </c>
      <c r="C370">
        <v>5</v>
      </c>
      <c r="E370" t="s">
        <v>400</v>
      </c>
      <c r="F370" t="s">
        <v>396</v>
      </c>
      <c r="H370">
        <v>1766</v>
      </c>
      <c r="I370">
        <v>129</v>
      </c>
      <c r="J370">
        <v>1748</v>
      </c>
      <c r="K370">
        <v>128</v>
      </c>
      <c r="P370">
        <v>1757</v>
      </c>
      <c r="Q370">
        <v>128.5</v>
      </c>
      <c r="R370">
        <v>225774.5</v>
      </c>
      <c r="S370">
        <v>29012.023249999998</v>
      </c>
    </row>
    <row r="371" spans="1:20" x14ac:dyDescent="0.3">
      <c r="A371" s="5">
        <v>41400</v>
      </c>
      <c r="B371">
        <v>2013</v>
      </c>
      <c r="C371">
        <v>5</v>
      </c>
      <c r="E371" t="s">
        <v>399</v>
      </c>
      <c r="F371" t="s">
        <v>396</v>
      </c>
      <c r="H371">
        <v>1860</v>
      </c>
      <c r="I371">
        <v>125</v>
      </c>
      <c r="J371">
        <v>1917</v>
      </c>
      <c r="K371">
        <v>125</v>
      </c>
      <c r="P371">
        <v>1888.5</v>
      </c>
      <c r="Q371">
        <v>125</v>
      </c>
      <c r="R371">
        <v>236062.5</v>
      </c>
      <c r="S371">
        <v>29507.8125</v>
      </c>
    </row>
    <row r="372" spans="1:20" x14ac:dyDescent="0.3">
      <c r="A372" s="5">
        <v>41400</v>
      </c>
      <c r="B372">
        <v>2013</v>
      </c>
      <c r="C372">
        <v>5</v>
      </c>
      <c r="E372" t="s">
        <v>402</v>
      </c>
      <c r="F372" t="s">
        <v>396</v>
      </c>
      <c r="H372">
        <v>1895</v>
      </c>
      <c r="I372">
        <v>129</v>
      </c>
      <c r="J372">
        <v>1908</v>
      </c>
      <c r="K372">
        <v>136</v>
      </c>
      <c r="P372">
        <v>1901.5</v>
      </c>
      <c r="Q372">
        <v>132.5</v>
      </c>
      <c r="R372">
        <v>251948.75</v>
      </c>
      <c r="S372">
        <v>33383.209374999999</v>
      </c>
      <c r="T372">
        <v>97</v>
      </c>
    </row>
    <row r="373" spans="1:20" x14ac:dyDescent="0.3">
      <c r="A373" s="5">
        <v>41400</v>
      </c>
      <c r="B373">
        <v>2013</v>
      </c>
      <c r="C373">
        <v>5</v>
      </c>
      <c r="E373" t="s">
        <v>401</v>
      </c>
      <c r="F373" t="s">
        <v>396</v>
      </c>
      <c r="H373">
        <v>2081</v>
      </c>
      <c r="I373">
        <v>116</v>
      </c>
      <c r="J373">
        <v>2112</v>
      </c>
      <c r="K373">
        <v>111</v>
      </c>
      <c r="P373">
        <v>2096.5</v>
      </c>
      <c r="Q373">
        <v>113.5</v>
      </c>
      <c r="R373">
        <v>237952.75</v>
      </c>
      <c r="S373">
        <v>27007.637125000001</v>
      </c>
      <c r="T373">
        <v>104</v>
      </c>
    </row>
    <row r="374" spans="1:20" x14ac:dyDescent="0.3">
      <c r="A374" s="5">
        <v>41407</v>
      </c>
      <c r="B374">
        <v>2013</v>
      </c>
      <c r="C374">
        <v>5</v>
      </c>
      <c r="E374" t="s">
        <v>400</v>
      </c>
      <c r="F374" t="s">
        <v>396</v>
      </c>
      <c r="H374">
        <v>1768</v>
      </c>
      <c r="I374">
        <v>129</v>
      </c>
      <c r="J374">
        <v>1759</v>
      </c>
      <c r="K374">
        <v>127</v>
      </c>
      <c r="P374">
        <v>1763.5</v>
      </c>
      <c r="Q374">
        <v>128</v>
      </c>
      <c r="R374">
        <v>225728</v>
      </c>
      <c r="S374">
        <v>28893.184000000001</v>
      </c>
    </row>
    <row r="375" spans="1:20" x14ac:dyDescent="0.3">
      <c r="A375" s="5">
        <v>41407</v>
      </c>
      <c r="B375">
        <v>2013</v>
      </c>
      <c r="C375">
        <v>5</v>
      </c>
      <c r="E375" t="s">
        <v>399</v>
      </c>
      <c r="F375" t="s">
        <v>396</v>
      </c>
      <c r="H375">
        <v>1818</v>
      </c>
      <c r="I375">
        <v>124</v>
      </c>
      <c r="J375">
        <v>1850</v>
      </c>
      <c r="K375">
        <v>126</v>
      </c>
      <c r="P375">
        <v>1834</v>
      </c>
      <c r="Q375">
        <v>125</v>
      </c>
      <c r="R375">
        <v>229250</v>
      </c>
      <c r="S375">
        <v>28656.25</v>
      </c>
    </row>
    <row r="376" spans="1:20" x14ac:dyDescent="0.3">
      <c r="A376" s="5">
        <v>41407</v>
      </c>
      <c r="B376">
        <v>2013</v>
      </c>
      <c r="C376">
        <v>5</v>
      </c>
      <c r="E376" t="s">
        <v>402</v>
      </c>
      <c r="F376" t="s">
        <v>396</v>
      </c>
      <c r="H376">
        <v>1975</v>
      </c>
      <c r="I376">
        <v>141</v>
      </c>
      <c r="J376">
        <v>1949</v>
      </c>
      <c r="K376">
        <v>138</v>
      </c>
      <c r="P376">
        <v>1962</v>
      </c>
      <c r="Q376">
        <v>139.5</v>
      </c>
      <c r="R376">
        <v>273699</v>
      </c>
      <c r="S376">
        <v>38181.010499999997</v>
      </c>
    </row>
    <row r="377" spans="1:20" x14ac:dyDescent="0.3">
      <c r="A377" s="5">
        <v>41407</v>
      </c>
      <c r="B377">
        <v>2013</v>
      </c>
      <c r="C377">
        <v>5</v>
      </c>
      <c r="E377" t="s">
        <v>401</v>
      </c>
      <c r="F377" t="s">
        <v>396</v>
      </c>
      <c r="H377">
        <v>2051</v>
      </c>
      <c r="I377">
        <v>124</v>
      </c>
      <c r="J377">
        <v>2064</v>
      </c>
      <c r="K377">
        <v>121</v>
      </c>
      <c r="P377">
        <v>2057.5</v>
      </c>
      <c r="Q377">
        <v>122.5</v>
      </c>
      <c r="R377">
        <v>252043.75</v>
      </c>
      <c r="S377">
        <v>30875.359375</v>
      </c>
    </row>
    <row r="378" spans="1:20" x14ac:dyDescent="0.3">
      <c r="A378" s="5">
        <v>41412</v>
      </c>
      <c r="B378">
        <v>2013</v>
      </c>
      <c r="C378">
        <v>5</v>
      </c>
      <c r="E378" t="s">
        <v>400</v>
      </c>
      <c r="F378" t="s">
        <v>396</v>
      </c>
      <c r="H378">
        <v>1917</v>
      </c>
      <c r="I378">
        <v>137</v>
      </c>
      <c r="J378">
        <v>1806</v>
      </c>
      <c r="K378">
        <v>129</v>
      </c>
      <c r="P378">
        <v>1861.5</v>
      </c>
      <c r="Q378">
        <v>133</v>
      </c>
      <c r="R378">
        <v>247579.5</v>
      </c>
      <c r="S378">
        <v>32928.073499999999</v>
      </c>
    </row>
    <row r="379" spans="1:20" x14ac:dyDescent="0.3">
      <c r="A379" s="5">
        <v>41412</v>
      </c>
      <c r="B379">
        <v>2013</v>
      </c>
      <c r="C379">
        <v>5</v>
      </c>
      <c r="E379" t="s">
        <v>399</v>
      </c>
      <c r="F379" t="s">
        <v>396</v>
      </c>
      <c r="H379">
        <v>1985</v>
      </c>
      <c r="I379">
        <v>130</v>
      </c>
      <c r="J379">
        <v>1959</v>
      </c>
      <c r="K379">
        <v>128</v>
      </c>
      <c r="P379">
        <v>1972</v>
      </c>
      <c r="Q379">
        <v>129</v>
      </c>
      <c r="R379">
        <v>254388</v>
      </c>
      <c r="S379">
        <v>32816.052000000003</v>
      </c>
    </row>
    <row r="380" spans="1:20" x14ac:dyDescent="0.3">
      <c r="A380" s="5">
        <v>41412</v>
      </c>
      <c r="B380">
        <v>2013</v>
      </c>
      <c r="C380">
        <v>5</v>
      </c>
      <c r="E380" t="s">
        <v>402</v>
      </c>
      <c r="F380" t="s">
        <v>396</v>
      </c>
      <c r="H380">
        <v>2181</v>
      </c>
      <c r="I380">
        <v>143</v>
      </c>
      <c r="J380">
        <v>2143</v>
      </c>
      <c r="K380">
        <v>142</v>
      </c>
      <c r="P380">
        <v>2162</v>
      </c>
      <c r="Q380">
        <v>142.5</v>
      </c>
      <c r="R380">
        <v>308085</v>
      </c>
      <c r="S380">
        <v>43902.112500000003</v>
      </c>
    </row>
    <row r="381" spans="1:20" x14ac:dyDescent="0.3">
      <c r="A381" s="5">
        <v>41414</v>
      </c>
      <c r="B381">
        <v>2013</v>
      </c>
      <c r="C381">
        <v>5</v>
      </c>
      <c r="E381" t="s">
        <v>400</v>
      </c>
      <c r="F381" t="s">
        <v>396</v>
      </c>
      <c r="H381">
        <v>1791</v>
      </c>
      <c r="I381">
        <v>132</v>
      </c>
      <c r="J381">
        <v>1739</v>
      </c>
      <c r="K381">
        <v>129</v>
      </c>
      <c r="P381">
        <v>1765</v>
      </c>
      <c r="Q381">
        <v>130.5</v>
      </c>
      <c r="R381">
        <v>230332.5</v>
      </c>
      <c r="S381">
        <v>30058.391250000001</v>
      </c>
    </row>
    <row r="382" spans="1:20" x14ac:dyDescent="0.3">
      <c r="A382" s="5">
        <v>41414</v>
      </c>
      <c r="B382">
        <v>2013</v>
      </c>
      <c r="C382">
        <v>5</v>
      </c>
      <c r="E382" t="s">
        <v>402</v>
      </c>
      <c r="F382" t="s">
        <v>396</v>
      </c>
      <c r="H382">
        <v>2039</v>
      </c>
      <c r="I382">
        <v>142</v>
      </c>
      <c r="J382">
        <v>2089</v>
      </c>
      <c r="K382">
        <v>139</v>
      </c>
      <c r="P382">
        <v>2064</v>
      </c>
      <c r="Q382">
        <v>140.5</v>
      </c>
      <c r="R382">
        <v>289992</v>
      </c>
      <c r="S382">
        <v>40743.875999999997</v>
      </c>
    </row>
    <row r="383" spans="1:20" x14ac:dyDescent="0.3">
      <c r="A383" s="5">
        <v>41415</v>
      </c>
      <c r="B383">
        <v>2013</v>
      </c>
      <c r="C383">
        <v>5</v>
      </c>
      <c r="E383" t="s">
        <v>400</v>
      </c>
      <c r="F383" t="s">
        <v>396</v>
      </c>
      <c r="H383">
        <v>1843</v>
      </c>
      <c r="I383">
        <v>131</v>
      </c>
      <c r="J383">
        <v>1777</v>
      </c>
      <c r="K383">
        <v>128</v>
      </c>
      <c r="P383">
        <v>1810</v>
      </c>
      <c r="Q383">
        <v>129.5</v>
      </c>
      <c r="R383">
        <v>234395</v>
      </c>
      <c r="S383">
        <v>30354.1525</v>
      </c>
    </row>
    <row r="384" spans="1:20" x14ac:dyDescent="0.3">
      <c r="A384" s="5">
        <v>41415</v>
      </c>
      <c r="B384">
        <v>2013</v>
      </c>
      <c r="C384">
        <v>5</v>
      </c>
      <c r="E384" t="s">
        <v>399</v>
      </c>
      <c r="F384" t="s">
        <v>396</v>
      </c>
      <c r="H384">
        <v>1934</v>
      </c>
      <c r="I384">
        <v>133</v>
      </c>
      <c r="J384">
        <v>2039</v>
      </c>
      <c r="K384">
        <v>136</v>
      </c>
      <c r="P384">
        <v>1986.5</v>
      </c>
      <c r="Q384">
        <v>134.5</v>
      </c>
      <c r="R384">
        <v>267184.25</v>
      </c>
      <c r="S384">
        <v>35936.281625000003</v>
      </c>
    </row>
    <row r="385" spans="1:19" x14ac:dyDescent="0.3">
      <c r="A385" s="5">
        <v>41415</v>
      </c>
      <c r="B385">
        <v>2013</v>
      </c>
      <c r="C385">
        <v>5</v>
      </c>
      <c r="E385" t="s">
        <v>402</v>
      </c>
      <c r="F385" t="s">
        <v>396</v>
      </c>
      <c r="H385">
        <v>2021</v>
      </c>
      <c r="I385">
        <v>138</v>
      </c>
      <c r="J385">
        <v>2093</v>
      </c>
      <c r="K385">
        <v>142</v>
      </c>
      <c r="P385">
        <v>2057</v>
      </c>
      <c r="Q385">
        <v>140</v>
      </c>
      <c r="R385">
        <v>287980</v>
      </c>
      <c r="S385">
        <v>40317.199999999997</v>
      </c>
    </row>
    <row r="386" spans="1:19" x14ac:dyDescent="0.3">
      <c r="A386" s="5">
        <v>41416</v>
      </c>
      <c r="B386">
        <v>2013</v>
      </c>
      <c r="C386">
        <v>5</v>
      </c>
      <c r="E386" t="s">
        <v>400</v>
      </c>
      <c r="F386" t="s">
        <v>396</v>
      </c>
      <c r="H386">
        <v>1809</v>
      </c>
      <c r="I386">
        <v>130</v>
      </c>
      <c r="J386">
        <v>1797</v>
      </c>
      <c r="K386">
        <v>128</v>
      </c>
      <c r="L386">
        <v>1785</v>
      </c>
      <c r="M386">
        <v>130</v>
      </c>
      <c r="P386">
        <v>1797</v>
      </c>
      <c r="Q386">
        <v>129.33333333333334</v>
      </c>
      <c r="R386">
        <v>232412.00000000003</v>
      </c>
      <c r="S386">
        <v>30058.618666666673</v>
      </c>
    </row>
    <row r="387" spans="1:19" x14ac:dyDescent="0.3">
      <c r="A387" s="5">
        <v>41416</v>
      </c>
      <c r="B387">
        <v>2013</v>
      </c>
      <c r="C387">
        <v>5</v>
      </c>
      <c r="E387" t="s">
        <v>399</v>
      </c>
      <c r="F387" t="s">
        <v>396</v>
      </c>
      <c r="H387">
        <v>1942</v>
      </c>
      <c r="I387">
        <v>126</v>
      </c>
      <c r="J387">
        <v>1988</v>
      </c>
      <c r="K387">
        <v>130</v>
      </c>
      <c r="L387">
        <v>2023</v>
      </c>
      <c r="M387">
        <v>132</v>
      </c>
      <c r="P387">
        <v>1984.3333333333333</v>
      </c>
      <c r="Q387">
        <v>129.33333333333334</v>
      </c>
      <c r="R387">
        <v>256640.44444444447</v>
      </c>
      <c r="S387">
        <v>33192.164148148157</v>
      </c>
    </row>
    <row r="388" spans="1:19" x14ac:dyDescent="0.3">
      <c r="A388" s="5">
        <v>41416</v>
      </c>
      <c r="B388">
        <v>2013</v>
      </c>
      <c r="C388">
        <v>5</v>
      </c>
      <c r="E388" t="s">
        <v>402</v>
      </c>
      <c r="F388" t="s">
        <v>396</v>
      </c>
      <c r="H388">
        <v>2066</v>
      </c>
      <c r="I388">
        <v>133</v>
      </c>
      <c r="J388">
        <v>2108</v>
      </c>
      <c r="K388">
        <v>136</v>
      </c>
      <c r="L388">
        <v>2076</v>
      </c>
      <c r="M388">
        <v>140</v>
      </c>
      <c r="P388">
        <v>2083.3333333333335</v>
      </c>
      <c r="Q388">
        <v>136.33333333333334</v>
      </c>
      <c r="R388">
        <v>284027.77777777781</v>
      </c>
      <c r="S388">
        <v>38722.453703703708</v>
      </c>
    </row>
    <row r="389" spans="1:19" x14ac:dyDescent="0.3">
      <c r="A389" s="5">
        <v>41418</v>
      </c>
      <c r="B389">
        <v>2013</v>
      </c>
      <c r="C389">
        <v>5</v>
      </c>
      <c r="E389" t="s">
        <v>400</v>
      </c>
      <c r="F389" t="s">
        <v>396</v>
      </c>
      <c r="H389">
        <v>1874</v>
      </c>
      <c r="I389">
        <v>135</v>
      </c>
      <c r="J389">
        <v>1843</v>
      </c>
      <c r="K389">
        <v>134</v>
      </c>
      <c r="P389">
        <v>1858.5</v>
      </c>
      <c r="Q389">
        <v>134.5</v>
      </c>
      <c r="R389">
        <v>249968.25</v>
      </c>
      <c r="S389">
        <v>33620.729625</v>
      </c>
    </row>
    <row r="390" spans="1:19" x14ac:dyDescent="0.3">
      <c r="A390" s="5">
        <v>41418</v>
      </c>
      <c r="B390">
        <v>2013</v>
      </c>
      <c r="C390">
        <v>5</v>
      </c>
      <c r="E390" t="s">
        <v>399</v>
      </c>
      <c r="F390" t="s">
        <v>396</v>
      </c>
      <c r="H390">
        <v>1908</v>
      </c>
      <c r="I390">
        <v>128</v>
      </c>
      <c r="J390">
        <v>1968</v>
      </c>
      <c r="K390">
        <v>129</v>
      </c>
      <c r="P390">
        <v>1938</v>
      </c>
      <c r="Q390">
        <v>128.5</v>
      </c>
      <c r="R390">
        <v>249033</v>
      </c>
      <c r="S390">
        <v>32000.7405</v>
      </c>
    </row>
    <row r="391" spans="1:19" x14ac:dyDescent="0.3">
      <c r="A391" s="5">
        <v>41418</v>
      </c>
      <c r="B391">
        <v>2013</v>
      </c>
      <c r="C391">
        <v>5</v>
      </c>
      <c r="E391" t="s">
        <v>402</v>
      </c>
      <c r="F391" t="s">
        <v>396</v>
      </c>
      <c r="H391">
        <v>2152</v>
      </c>
      <c r="I391">
        <v>137</v>
      </c>
      <c r="J391">
        <v>2137</v>
      </c>
      <c r="K391">
        <v>138</v>
      </c>
      <c r="P391">
        <v>2144.5</v>
      </c>
      <c r="Q391">
        <v>137.5</v>
      </c>
      <c r="R391">
        <v>294868.75</v>
      </c>
      <c r="S391">
        <v>40544.453125</v>
      </c>
    </row>
    <row r="392" spans="1:19" x14ac:dyDescent="0.3">
      <c r="A392" s="5">
        <v>41418</v>
      </c>
      <c r="B392">
        <v>2013</v>
      </c>
      <c r="C392">
        <v>5</v>
      </c>
      <c r="E392" t="s">
        <v>401</v>
      </c>
      <c r="F392" t="s">
        <v>396</v>
      </c>
      <c r="H392">
        <v>2157</v>
      </c>
      <c r="I392">
        <v>113</v>
      </c>
      <c r="J392">
        <v>2148</v>
      </c>
      <c r="K392">
        <v>119</v>
      </c>
      <c r="P392">
        <v>2152.5</v>
      </c>
      <c r="Q392">
        <v>116</v>
      </c>
      <c r="R392">
        <v>249690</v>
      </c>
      <c r="S392">
        <v>28964.04</v>
      </c>
    </row>
    <row r="393" spans="1:19" x14ac:dyDescent="0.3">
      <c r="A393" s="5">
        <v>41419</v>
      </c>
      <c r="B393">
        <v>2013</v>
      </c>
      <c r="C393">
        <v>5</v>
      </c>
      <c r="E393" t="s">
        <v>400</v>
      </c>
      <c r="F393" t="s">
        <v>396</v>
      </c>
      <c r="H393">
        <v>1761</v>
      </c>
      <c r="I393">
        <v>128</v>
      </c>
      <c r="J393">
        <v>1726</v>
      </c>
      <c r="K393">
        <v>126</v>
      </c>
      <c r="P393">
        <v>1743.5</v>
      </c>
      <c r="Q393">
        <v>127</v>
      </c>
      <c r="R393">
        <v>221424.5</v>
      </c>
      <c r="S393">
        <v>28120.911499999998</v>
      </c>
    </row>
    <row r="394" spans="1:19" x14ac:dyDescent="0.3">
      <c r="A394" s="5">
        <v>41419</v>
      </c>
      <c r="B394">
        <v>2013</v>
      </c>
      <c r="C394">
        <v>5</v>
      </c>
      <c r="E394" t="s">
        <v>399</v>
      </c>
      <c r="F394" t="s">
        <v>396</v>
      </c>
      <c r="H394">
        <v>1892</v>
      </c>
      <c r="I394">
        <v>126</v>
      </c>
      <c r="J394">
        <v>1901</v>
      </c>
      <c r="K394">
        <v>128</v>
      </c>
      <c r="P394">
        <v>1896.5</v>
      </c>
      <c r="Q394">
        <v>127</v>
      </c>
      <c r="R394">
        <v>240855.5</v>
      </c>
      <c r="S394">
        <v>30588.648499999999</v>
      </c>
    </row>
    <row r="395" spans="1:19" x14ac:dyDescent="0.3">
      <c r="A395" s="5">
        <v>41419</v>
      </c>
      <c r="B395">
        <v>2013</v>
      </c>
      <c r="C395">
        <v>5</v>
      </c>
      <c r="E395" t="s">
        <v>402</v>
      </c>
      <c r="F395" t="s">
        <v>396</v>
      </c>
      <c r="H395">
        <v>1993</v>
      </c>
      <c r="I395">
        <v>128</v>
      </c>
      <c r="J395">
        <v>1917</v>
      </c>
      <c r="K395">
        <v>131</v>
      </c>
      <c r="P395">
        <v>1955</v>
      </c>
      <c r="Q395">
        <v>129.5</v>
      </c>
      <c r="R395">
        <v>253172.5</v>
      </c>
      <c r="S395">
        <v>32785.838750000003</v>
      </c>
    </row>
    <row r="396" spans="1:19" x14ac:dyDescent="0.3">
      <c r="A396" s="5">
        <v>41419</v>
      </c>
      <c r="B396">
        <v>2013</v>
      </c>
      <c r="C396">
        <v>5</v>
      </c>
      <c r="E396" t="s">
        <v>401</v>
      </c>
      <c r="F396" t="s">
        <v>396</v>
      </c>
      <c r="H396">
        <v>2001</v>
      </c>
      <c r="I396">
        <v>114</v>
      </c>
      <c r="J396">
        <v>2109</v>
      </c>
      <c r="K396">
        <v>111</v>
      </c>
      <c r="P396">
        <v>2055</v>
      </c>
      <c r="Q396">
        <v>112.5</v>
      </c>
      <c r="R396">
        <v>231187.5</v>
      </c>
      <c r="S396">
        <v>26008.59375</v>
      </c>
    </row>
    <row r="397" spans="1:19" x14ac:dyDescent="0.3">
      <c r="A397" s="5">
        <v>41484</v>
      </c>
      <c r="B397">
        <v>2013</v>
      </c>
      <c r="C397">
        <v>7</v>
      </c>
      <c r="E397" t="s">
        <v>400</v>
      </c>
      <c r="F397" t="s">
        <v>396</v>
      </c>
      <c r="H397">
        <v>1685</v>
      </c>
      <c r="I397">
        <v>127</v>
      </c>
      <c r="J397">
        <v>1741</v>
      </c>
      <c r="K397">
        <v>126</v>
      </c>
      <c r="P397">
        <v>1713</v>
      </c>
      <c r="Q397">
        <v>126.5</v>
      </c>
      <c r="R397">
        <v>216694.5</v>
      </c>
      <c r="S397">
        <v>27411.85425</v>
      </c>
    </row>
    <row r="398" spans="1:19" x14ac:dyDescent="0.3">
      <c r="A398" s="5">
        <v>41484</v>
      </c>
      <c r="B398">
        <v>2013</v>
      </c>
      <c r="C398">
        <v>7</v>
      </c>
      <c r="E398" t="s">
        <v>399</v>
      </c>
      <c r="F398" t="s">
        <v>396</v>
      </c>
      <c r="H398">
        <v>1849</v>
      </c>
      <c r="I398">
        <v>127</v>
      </c>
      <c r="J398">
        <v>1856</v>
      </c>
      <c r="K398">
        <v>126</v>
      </c>
      <c r="P398">
        <v>1852.5</v>
      </c>
      <c r="Q398">
        <v>126.5</v>
      </c>
      <c r="R398">
        <v>234341.25</v>
      </c>
      <c r="S398">
        <v>29644.168125</v>
      </c>
    </row>
    <row r="399" spans="1:19" x14ac:dyDescent="0.3">
      <c r="A399" s="5">
        <v>41484</v>
      </c>
      <c r="B399">
        <v>2013</v>
      </c>
      <c r="C399">
        <v>7</v>
      </c>
      <c r="E399" t="s">
        <v>402</v>
      </c>
      <c r="F399" t="s">
        <v>396</v>
      </c>
      <c r="H399">
        <v>2051</v>
      </c>
      <c r="I399">
        <v>136</v>
      </c>
      <c r="J399">
        <v>2032</v>
      </c>
      <c r="K399">
        <v>140</v>
      </c>
      <c r="P399">
        <v>2041.5</v>
      </c>
      <c r="Q399">
        <v>138</v>
      </c>
      <c r="R399">
        <v>281727</v>
      </c>
      <c r="S399">
        <v>38878.326000000001</v>
      </c>
    </row>
    <row r="400" spans="1:19" x14ac:dyDescent="0.3">
      <c r="A400" s="5">
        <v>41484</v>
      </c>
      <c r="B400">
        <v>2013</v>
      </c>
      <c r="C400">
        <v>7</v>
      </c>
      <c r="E400" t="s">
        <v>401</v>
      </c>
      <c r="F400" t="s">
        <v>396</v>
      </c>
      <c r="H400">
        <v>2308</v>
      </c>
      <c r="I400">
        <v>124</v>
      </c>
      <c r="J400">
        <v>2286</v>
      </c>
      <c r="K400">
        <v>119</v>
      </c>
      <c r="P400">
        <v>2297</v>
      </c>
      <c r="Q400">
        <v>121.5</v>
      </c>
      <c r="R400">
        <v>279085.5</v>
      </c>
      <c r="S400">
        <v>33908.888250000004</v>
      </c>
    </row>
    <row r="401" spans="1:19" x14ac:dyDescent="0.3">
      <c r="A401" s="5">
        <v>41498</v>
      </c>
      <c r="B401">
        <v>2013</v>
      </c>
      <c r="C401">
        <v>8</v>
      </c>
      <c r="E401" t="s">
        <v>400</v>
      </c>
      <c r="F401" t="s">
        <v>396</v>
      </c>
      <c r="H401">
        <v>1761</v>
      </c>
      <c r="I401">
        <v>126</v>
      </c>
      <c r="J401">
        <v>1731</v>
      </c>
      <c r="K401">
        <v>126</v>
      </c>
      <c r="P401">
        <v>1746</v>
      </c>
      <c r="Q401">
        <v>126</v>
      </c>
      <c r="R401">
        <v>219996</v>
      </c>
      <c r="S401">
        <v>27719.495999999999</v>
      </c>
    </row>
    <row r="402" spans="1:19" x14ac:dyDescent="0.3">
      <c r="A402" s="5">
        <v>41498</v>
      </c>
      <c r="B402">
        <v>2013</v>
      </c>
      <c r="C402">
        <v>8</v>
      </c>
      <c r="E402" t="s">
        <v>399</v>
      </c>
      <c r="F402" t="s">
        <v>396</v>
      </c>
      <c r="H402">
        <v>1849</v>
      </c>
      <c r="I402">
        <v>125</v>
      </c>
      <c r="J402">
        <v>1823</v>
      </c>
      <c r="K402">
        <v>124</v>
      </c>
      <c r="P402">
        <v>1836</v>
      </c>
      <c r="Q402">
        <v>124.5</v>
      </c>
      <c r="R402">
        <v>228582</v>
      </c>
      <c r="S402">
        <v>28458.458999999999</v>
      </c>
    </row>
    <row r="403" spans="1:19" x14ac:dyDescent="0.3">
      <c r="A403" s="5">
        <v>41498</v>
      </c>
      <c r="B403">
        <v>2013</v>
      </c>
      <c r="C403">
        <v>8</v>
      </c>
      <c r="E403" t="s">
        <v>402</v>
      </c>
      <c r="F403" t="s">
        <v>396</v>
      </c>
      <c r="H403">
        <v>2148</v>
      </c>
      <c r="I403">
        <v>136</v>
      </c>
      <c r="J403">
        <v>2083</v>
      </c>
      <c r="K403">
        <v>142</v>
      </c>
      <c r="P403">
        <v>2115.5</v>
      </c>
      <c r="Q403">
        <v>139</v>
      </c>
      <c r="R403">
        <v>294054.5</v>
      </c>
      <c r="S403">
        <v>40873.575499999999</v>
      </c>
    </row>
    <row r="404" spans="1:19" x14ac:dyDescent="0.3">
      <c r="A404" s="5">
        <v>41498</v>
      </c>
      <c r="B404">
        <v>2013</v>
      </c>
      <c r="C404">
        <v>8</v>
      </c>
      <c r="E404" t="s">
        <v>401</v>
      </c>
      <c r="F404" t="s">
        <v>396</v>
      </c>
      <c r="H404">
        <v>2212</v>
      </c>
      <c r="I404">
        <v>121</v>
      </c>
      <c r="J404">
        <v>2250</v>
      </c>
      <c r="K404">
        <v>121</v>
      </c>
      <c r="P404">
        <v>2231</v>
      </c>
      <c r="Q404">
        <v>121</v>
      </c>
      <c r="R404">
        <v>269951</v>
      </c>
      <c r="S404">
        <v>32664.071</v>
      </c>
    </row>
    <row r="405" spans="1:19" x14ac:dyDescent="0.3">
      <c r="A405" s="5">
        <v>41512</v>
      </c>
      <c r="B405">
        <v>2013</v>
      </c>
      <c r="C405">
        <v>8</v>
      </c>
      <c r="E405" t="s">
        <v>399</v>
      </c>
      <c r="F405" t="s">
        <v>396</v>
      </c>
      <c r="H405">
        <v>1820</v>
      </c>
      <c r="I405">
        <v>125</v>
      </c>
      <c r="J405">
        <v>1807</v>
      </c>
      <c r="K405">
        <v>124</v>
      </c>
      <c r="P405">
        <v>1813.5</v>
      </c>
      <c r="Q405">
        <v>124.5</v>
      </c>
      <c r="R405">
        <v>225780.75</v>
      </c>
      <c r="S405">
        <v>28109.703375000001</v>
      </c>
    </row>
    <row r="406" spans="1:19" x14ac:dyDescent="0.3">
      <c r="A406" s="5">
        <v>41512</v>
      </c>
      <c r="B406">
        <v>2013</v>
      </c>
      <c r="C406">
        <v>8</v>
      </c>
      <c r="E406" t="s">
        <v>402</v>
      </c>
      <c r="F406" t="s">
        <v>396</v>
      </c>
      <c r="H406">
        <v>2024</v>
      </c>
      <c r="I406">
        <v>143</v>
      </c>
      <c r="J406">
        <v>1973</v>
      </c>
      <c r="K406">
        <v>139</v>
      </c>
      <c r="P406">
        <v>1998.5</v>
      </c>
      <c r="Q406">
        <v>141</v>
      </c>
      <c r="R406">
        <v>281788.5</v>
      </c>
      <c r="S406">
        <v>39732.178500000002</v>
      </c>
    </row>
    <row r="407" spans="1:19" x14ac:dyDescent="0.3">
      <c r="A407" s="5">
        <v>41512</v>
      </c>
      <c r="B407">
        <v>2013</v>
      </c>
      <c r="C407">
        <v>8</v>
      </c>
      <c r="E407" t="s">
        <v>401</v>
      </c>
      <c r="F407" t="s">
        <v>396</v>
      </c>
      <c r="H407">
        <v>2233</v>
      </c>
      <c r="I407">
        <v>121</v>
      </c>
      <c r="J407">
        <v>2263</v>
      </c>
      <c r="K407">
        <v>127</v>
      </c>
      <c r="P407">
        <v>2248</v>
      </c>
      <c r="Q407">
        <v>124</v>
      </c>
      <c r="R407">
        <v>278752</v>
      </c>
      <c r="S407">
        <v>34565.248</v>
      </c>
    </row>
    <row r="408" spans="1:19" x14ac:dyDescent="0.3">
      <c r="A408" s="5">
        <v>41519</v>
      </c>
      <c r="B408">
        <v>2013</v>
      </c>
      <c r="C408">
        <v>9</v>
      </c>
      <c r="E408" t="s">
        <v>401</v>
      </c>
      <c r="F408" t="s">
        <v>396</v>
      </c>
      <c r="H408">
        <v>2220</v>
      </c>
      <c r="I408">
        <v>123</v>
      </c>
      <c r="J408">
        <v>2219</v>
      </c>
      <c r="K408">
        <v>121</v>
      </c>
      <c r="P408">
        <v>2219.5</v>
      </c>
      <c r="Q408">
        <v>122</v>
      </c>
      <c r="R408">
        <v>270779</v>
      </c>
      <c r="S408">
        <v>33035.038</v>
      </c>
    </row>
    <row r="409" spans="1:19" x14ac:dyDescent="0.3">
      <c r="A409" s="5">
        <v>41526</v>
      </c>
      <c r="B409">
        <v>2013</v>
      </c>
      <c r="C409">
        <v>9</v>
      </c>
      <c r="E409" t="s">
        <v>400</v>
      </c>
      <c r="F409" t="s">
        <v>396</v>
      </c>
      <c r="H409">
        <v>1749</v>
      </c>
      <c r="I409">
        <v>127</v>
      </c>
      <c r="J409">
        <v>1776</v>
      </c>
      <c r="K409">
        <v>127</v>
      </c>
      <c r="P409">
        <v>1762.5</v>
      </c>
      <c r="Q409">
        <v>127</v>
      </c>
      <c r="R409">
        <v>223837.5</v>
      </c>
      <c r="S409">
        <v>28427.362499999999</v>
      </c>
    </row>
    <row r="410" spans="1:19" x14ac:dyDescent="0.3">
      <c r="A410" s="5">
        <v>41526</v>
      </c>
      <c r="B410">
        <v>2013</v>
      </c>
      <c r="C410">
        <v>9</v>
      </c>
      <c r="E410" t="s">
        <v>399</v>
      </c>
      <c r="F410" t="s">
        <v>396</v>
      </c>
      <c r="H410">
        <v>1893</v>
      </c>
      <c r="I410">
        <v>125</v>
      </c>
      <c r="J410">
        <v>1859</v>
      </c>
      <c r="K410">
        <v>129</v>
      </c>
      <c r="P410">
        <v>1876</v>
      </c>
      <c r="Q410">
        <v>127</v>
      </c>
      <c r="R410">
        <v>238252</v>
      </c>
      <c r="S410">
        <v>30258.004000000001</v>
      </c>
    </row>
    <row r="411" spans="1:19" x14ac:dyDescent="0.3">
      <c r="A411" s="5">
        <v>41526</v>
      </c>
      <c r="B411">
        <v>2013</v>
      </c>
      <c r="C411">
        <v>9</v>
      </c>
      <c r="E411" t="s">
        <v>402</v>
      </c>
      <c r="F411" t="s">
        <v>396</v>
      </c>
      <c r="H411">
        <v>2070</v>
      </c>
      <c r="I411">
        <v>140</v>
      </c>
      <c r="J411">
        <v>2045</v>
      </c>
      <c r="K411">
        <v>136</v>
      </c>
      <c r="P411">
        <v>2057.5</v>
      </c>
      <c r="Q411">
        <v>138</v>
      </c>
      <c r="R411">
        <v>283935</v>
      </c>
      <c r="S411">
        <v>39183.03</v>
      </c>
    </row>
    <row r="412" spans="1:19" x14ac:dyDescent="0.3">
      <c r="A412" s="5">
        <v>41526</v>
      </c>
      <c r="B412">
        <v>2013</v>
      </c>
      <c r="C412">
        <v>9</v>
      </c>
      <c r="E412" t="s">
        <v>401</v>
      </c>
      <c r="F412" t="s">
        <v>396</v>
      </c>
      <c r="H412">
        <v>2219</v>
      </c>
      <c r="I412">
        <v>129</v>
      </c>
      <c r="J412">
        <v>2248</v>
      </c>
      <c r="K412">
        <v>127</v>
      </c>
      <c r="P412">
        <v>2233.5</v>
      </c>
      <c r="Q412">
        <v>128</v>
      </c>
      <c r="R412">
        <v>285888</v>
      </c>
      <c r="S412">
        <v>36593.663999999997</v>
      </c>
    </row>
    <row r="413" spans="1:19" x14ac:dyDescent="0.3">
      <c r="A413" s="5">
        <v>41533</v>
      </c>
      <c r="B413">
        <v>2013</v>
      </c>
      <c r="C413">
        <v>9</v>
      </c>
      <c r="E413" t="s">
        <v>398</v>
      </c>
      <c r="F413" t="s">
        <v>396</v>
      </c>
      <c r="H413">
        <v>1721</v>
      </c>
      <c r="I413">
        <v>127</v>
      </c>
      <c r="J413">
        <v>1764</v>
      </c>
      <c r="K413">
        <v>128</v>
      </c>
      <c r="P413">
        <v>1742.5</v>
      </c>
      <c r="Q413">
        <v>127.5</v>
      </c>
      <c r="R413">
        <v>222168.75</v>
      </c>
      <c r="S413">
        <v>28326.515625</v>
      </c>
    </row>
    <row r="414" spans="1:19" x14ac:dyDescent="0.3">
      <c r="A414" s="5">
        <v>41540</v>
      </c>
      <c r="B414">
        <v>2013</v>
      </c>
      <c r="C414">
        <v>9</v>
      </c>
      <c r="E414" t="s">
        <v>398</v>
      </c>
      <c r="F414" t="s">
        <v>396</v>
      </c>
      <c r="H414">
        <v>1790</v>
      </c>
      <c r="I414">
        <v>133</v>
      </c>
      <c r="J414">
        <v>1791</v>
      </c>
      <c r="K414">
        <v>131</v>
      </c>
      <c r="P414">
        <v>1790.5</v>
      </c>
      <c r="Q414">
        <v>132</v>
      </c>
      <c r="R414">
        <v>236346</v>
      </c>
      <c r="S414">
        <v>31197.671999999999</v>
      </c>
    </row>
    <row r="415" spans="1:19" x14ac:dyDescent="0.3">
      <c r="A415" s="5">
        <v>41540</v>
      </c>
      <c r="B415">
        <v>2013</v>
      </c>
      <c r="C415">
        <v>9</v>
      </c>
      <c r="E415" t="s">
        <v>400</v>
      </c>
      <c r="F415" t="s">
        <v>396</v>
      </c>
      <c r="H415">
        <v>1881</v>
      </c>
      <c r="I415">
        <v>134</v>
      </c>
      <c r="J415">
        <v>1856</v>
      </c>
      <c r="K415">
        <v>135</v>
      </c>
      <c r="P415">
        <v>1868.5</v>
      </c>
      <c r="Q415">
        <v>134.5</v>
      </c>
      <c r="R415">
        <v>251313.25</v>
      </c>
      <c r="S415">
        <v>33801.632124999996</v>
      </c>
    </row>
    <row r="416" spans="1:19" x14ac:dyDescent="0.3">
      <c r="A416" s="5">
        <v>41540</v>
      </c>
      <c r="B416">
        <v>2013</v>
      </c>
      <c r="C416">
        <v>9</v>
      </c>
      <c r="E416" t="s">
        <v>399</v>
      </c>
      <c r="F416" t="s">
        <v>396</v>
      </c>
      <c r="H416">
        <v>1944</v>
      </c>
      <c r="I416">
        <v>131</v>
      </c>
      <c r="J416">
        <v>1950</v>
      </c>
      <c r="K416">
        <v>128</v>
      </c>
      <c r="P416">
        <v>1947</v>
      </c>
      <c r="Q416">
        <v>129.5</v>
      </c>
      <c r="R416">
        <v>252136.5</v>
      </c>
      <c r="S416">
        <v>32651.676749999999</v>
      </c>
    </row>
    <row r="417" spans="1:19" x14ac:dyDescent="0.3">
      <c r="A417" s="5">
        <v>41540</v>
      </c>
      <c r="B417">
        <v>2013</v>
      </c>
      <c r="C417">
        <v>9</v>
      </c>
      <c r="E417" t="s">
        <v>402</v>
      </c>
      <c r="F417" t="s">
        <v>396</v>
      </c>
      <c r="H417">
        <v>2153</v>
      </c>
      <c r="I417">
        <v>138</v>
      </c>
      <c r="J417">
        <v>2099</v>
      </c>
      <c r="K417">
        <v>140</v>
      </c>
      <c r="P417">
        <v>2126</v>
      </c>
      <c r="Q417">
        <v>139</v>
      </c>
      <c r="R417">
        <v>295514</v>
      </c>
      <c r="S417">
        <v>41076.446000000004</v>
      </c>
    </row>
    <row r="418" spans="1:19" x14ac:dyDescent="0.3">
      <c r="A418" s="5">
        <v>41540</v>
      </c>
      <c r="B418">
        <v>2013</v>
      </c>
      <c r="C418">
        <v>9</v>
      </c>
      <c r="E418" t="s">
        <v>401</v>
      </c>
      <c r="F418" t="s">
        <v>396</v>
      </c>
      <c r="H418">
        <v>2218</v>
      </c>
      <c r="I418">
        <v>118</v>
      </c>
      <c r="J418">
        <v>2157</v>
      </c>
      <c r="K418">
        <v>124</v>
      </c>
      <c r="P418">
        <v>2187.5</v>
      </c>
      <c r="Q418">
        <v>121</v>
      </c>
      <c r="R418">
        <v>264687.5</v>
      </c>
      <c r="S418">
        <v>32027.1875</v>
      </c>
    </row>
    <row r="419" spans="1:19" x14ac:dyDescent="0.3">
      <c r="A419" s="5">
        <v>41544</v>
      </c>
      <c r="B419">
        <v>2013</v>
      </c>
      <c r="C419">
        <v>9</v>
      </c>
      <c r="E419" t="s">
        <v>398</v>
      </c>
      <c r="F419" t="s">
        <v>396</v>
      </c>
      <c r="H419">
        <v>1720</v>
      </c>
      <c r="I419">
        <v>125</v>
      </c>
      <c r="J419">
        <v>1697</v>
      </c>
      <c r="K419">
        <v>125</v>
      </c>
      <c r="P419">
        <v>1708.5</v>
      </c>
      <c r="Q419">
        <v>125</v>
      </c>
      <c r="R419">
        <v>213562.5</v>
      </c>
      <c r="S419">
        <v>26695.3125</v>
      </c>
    </row>
    <row r="420" spans="1:19" x14ac:dyDescent="0.3">
      <c r="A420" s="5">
        <v>41544</v>
      </c>
      <c r="B420">
        <v>2013</v>
      </c>
      <c r="C420">
        <v>9</v>
      </c>
      <c r="E420" t="s">
        <v>400</v>
      </c>
      <c r="F420" t="s">
        <v>396</v>
      </c>
      <c r="H420">
        <v>1726</v>
      </c>
      <c r="I420">
        <v>128</v>
      </c>
      <c r="J420">
        <v>1828</v>
      </c>
      <c r="K420">
        <v>128</v>
      </c>
      <c r="P420">
        <v>1777</v>
      </c>
      <c r="Q420">
        <v>128</v>
      </c>
      <c r="R420">
        <v>227456</v>
      </c>
      <c r="S420">
        <v>29114.367999999999</v>
      </c>
    </row>
    <row r="421" spans="1:19" x14ac:dyDescent="0.3">
      <c r="A421" s="5">
        <v>41544</v>
      </c>
      <c r="B421">
        <v>2013</v>
      </c>
      <c r="C421">
        <v>9</v>
      </c>
      <c r="E421" t="s">
        <v>399</v>
      </c>
      <c r="F421" t="s">
        <v>396</v>
      </c>
      <c r="H421">
        <v>1894</v>
      </c>
      <c r="I421">
        <v>129</v>
      </c>
      <c r="J421">
        <v>1884</v>
      </c>
      <c r="K421">
        <v>127</v>
      </c>
      <c r="P421">
        <v>1889</v>
      </c>
      <c r="Q421">
        <v>128</v>
      </c>
      <c r="R421">
        <v>241792</v>
      </c>
      <c r="S421">
        <v>30949.376</v>
      </c>
    </row>
    <row r="422" spans="1:19" x14ac:dyDescent="0.3">
      <c r="A422" s="5">
        <v>41544</v>
      </c>
      <c r="B422">
        <v>2013</v>
      </c>
      <c r="C422">
        <v>9</v>
      </c>
      <c r="E422" t="s">
        <v>401</v>
      </c>
      <c r="F422" t="s">
        <v>396</v>
      </c>
      <c r="H422">
        <v>2053</v>
      </c>
      <c r="I422">
        <v>127</v>
      </c>
      <c r="J422">
        <v>2019</v>
      </c>
      <c r="K422">
        <v>122</v>
      </c>
      <c r="P422">
        <v>2036</v>
      </c>
      <c r="Q422">
        <v>124.5</v>
      </c>
      <c r="R422">
        <v>253482</v>
      </c>
      <c r="S422">
        <v>31558.508999999998</v>
      </c>
    </row>
    <row r="423" spans="1:19" x14ac:dyDescent="0.3">
      <c r="A423" s="5">
        <v>41544</v>
      </c>
      <c r="B423">
        <v>2013</v>
      </c>
      <c r="C423">
        <v>9</v>
      </c>
      <c r="E423" t="s">
        <v>402</v>
      </c>
      <c r="F423" t="s">
        <v>396</v>
      </c>
      <c r="H423">
        <v>2105</v>
      </c>
      <c r="I423">
        <v>135</v>
      </c>
      <c r="J423">
        <v>2055</v>
      </c>
      <c r="K423">
        <v>139</v>
      </c>
      <c r="P423">
        <v>2080</v>
      </c>
      <c r="Q423">
        <v>137</v>
      </c>
      <c r="R423">
        <v>284960</v>
      </c>
      <c r="S423">
        <v>39039.519999999997</v>
      </c>
    </row>
    <row r="424" spans="1:19" x14ac:dyDescent="0.3">
      <c r="A424" s="5">
        <v>41547</v>
      </c>
      <c r="B424">
        <v>2013</v>
      </c>
      <c r="C424">
        <v>9</v>
      </c>
      <c r="E424" t="s">
        <v>400</v>
      </c>
      <c r="F424" t="s">
        <v>396</v>
      </c>
      <c r="H424">
        <v>1764</v>
      </c>
      <c r="I424">
        <v>128</v>
      </c>
      <c r="J424">
        <v>1776</v>
      </c>
      <c r="K424">
        <v>128</v>
      </c>
      <c r="L424">
        <v>1797</v>
      </c>
      <c r="M424">
        <v>128</v>
      </c>
      <c r="P424">
        <v>1779</v>
      </c>
      <c r="Q424">
        <v>128</v>
      </c>
      <c r="R424">
        <v>227712</v>
      </c>
      <c r="S424">
        <v>29147.135999999999</v>
      </c>
    </row>
    <row r="425" spans="1:19" x14ac:dyDescent="0.3">
      <c r="A425" s="5">
        <v>41547</v>
      </c>
      <c r="B425">
        <v>2013</v>
      </c>
      <c r="C425">
        <v>9</v>
      </c>
      <c r="E425" t="s">
        <v>399</v>
      </c>
      <c r="F425" t="s">
        <v>396</v>
      </c>
      <c r="H425">
        <v>1762</v>
      </c>
      <c r="I425">
        <v>120</v>
      </c>
      <c r="J425">
        <v>1780</v>
      </c>
      <c r="K425">
        <v>122</v>
      </c>
      <c r="L425">
        <v>1800</v>
      </c>
      <c r="M425">
        <v>122</v>
      </c>
      <c r="P425">
        <v>1780.6666666666667</v>
      </c>
      <c r="Q425">
        <v>121.33333333333333</v>
      </c>
      <c r="R425">
        <v>216054.22222222222</v>
      </c>
      <c r="S425">
        <v>26214.578962962962</v>
      </c>
    </row>
    <row r="426" spans="1:19" x14ac:dyDescent="0.3">
      <c r="A426" s="5">
        <v>41547</v>
      </c>
      <c r="B426">
        <v>2013</v>
      </c>
      <c r="C426">
        <v>9</v>
      </c>
      <c r="E426" t="s">
        <v>402</v>
      </c>
      <c r="F426" t="s">
        <v>396</v>
      </c>
      <c r="H426">
        <v>2219</v>
      </c>
      <c r="I426">
        <v>139</v>
      </c>
      <c r="J426">
        <v>2213</v>
      </c>
      <c r="K426">
        <v>141</v>
      </c>
      <c r="L426">
        <v>2201</v>
      </c>
      <c r="M426">
        <v>142</v>
      </c>
      <c r="N426">
        <v>2245</v>
      </c>
      <c r="O426">
        <v>141</v>
      </c>
      <c r="P426">
        <v>2219.5</v>
      </c>
      <c r="Q426">
        <v>140.75</v>
      </c>
      <c r="R426">
        <v>312394.625</v>
      </c>
      <c r="S426">
        <v>43969.543468750002</v>
      </c>
    </row>
    <row r="427" spans="1:19" x14ac:dyDescent="0.3">
      <c r="A427" s="5">
        <v>41547</v>
      </c>
      <c r="B427">
        <v>2013</v>
      </c>
      <c r="C427">
        <v>9</v>
      </c>
      <c r="E427" t="s">
        <v>401</v>
      </c>
      <c r="F427" t="s">
        <v>396</v>
      </c>
      <c r="H427">
        <v>2213</v>
      </c>
      <c r="I427">
        <v>122</v>
      </c>
      <c r="J427">
        <v>2257</v>
      </c>
      <c r="K427">
        <v>126</v>
      </c>
      <c r="P427">
        <v>2235</v>
      </c>
      <c r="Q427">
        <v>124</v>
      </c>
      <c r="R427">
        <v>277140</v>
      </c>
      <c r="S427">
        <v>34365.360000000001</v>
      </c>
    </row>
    <row r="428" spans="1:19" x14ac:dyDescent="0.3">
      <c r="A428" s="5">
        <v>41557</v>
      </c>
      <c r="B428">
        <v>2013</v>
      </c>
      <c r="C428">
        <v>10</v>
      </c>
      <c r="E428" t="s">
        <v>400</v>
      </c>
      <c r="F428" t="s">
        <v>396</v>
      </c>
      <c r="H428">
        <v>1762</v>
      </c>
      <c r="I428">
        <v>126</v>
      </c>
      <c r="J428">
        <v>1822</v>
      </c>
      <c r="K428">
        <v>118</v>
      </c>
      <c r="P428">
        <v>1792</v>
      </c>
      <c r="Q428">
        <v>122</v>
      </c>
      <c r="R428">
        <v>218624</v>
      </c>
      <c r="S428">
        <v>26672.128000000001</v>
      </c>
    </row>
    <row r="429" spans="1:19" x14ac:dyDescent="0.3">
      <c r="A429" s="5">
        <v>41557</v>
      </c>
      <c r="B429">
        <v>2013</v>
      </c>
      <c r="C429">
        <v>10</v>
      </c>
      <c r="E429" t="s">
        <v>399</v>
      </c>
      <c r="F429" t="s">
        <v>396</v>
      </c>
      <c r="H429">
        <v>1818</v>
      </c>
      <c r="I429">
        <v>122</v>
      </c>
      <c r="L429">
        <v>1824</v>
      </c>
      <c r="M429">
        <v>131</v>
      </c>
      <c r="P429">
        <v>1821</v>
      </c>
      <c r="Q429">
        <v>126.5</v>
      </c>
      <c r="R429">
        <v>230356.5</v>
      </c>
      <c r="S429">
        <v>29140.097249999999</v>
      </c>
    </row>
    <row r="430" spans="1:19" x14ac:dyDescent="0.3">
      <c r="A430" s="5">
        <v>41557</v>
      </c>
      <c r="B430">
        <v>2013</v>
      </c>
      <c r="C430">
        <v>10</v>
      </c>
      <c r="E430" t="s">
        <v>398</v>
      </c>
      <c r="F430" t="s">
        <v>396</v>
      </c>
      <c r="H430">
        <v>1818</v>
      </c>
      <c r="I430">
        <v>134</v>
      </c>
      <c r="J430">
        <v>1800</v>
      </c>
      <c r="K430">
        <v>128</v>
      </c>
      <c r="L430">
        <v>1849</v>
      </c>
      <c r="M430">
        <v>121</v>
      </c>
      <c r="P430">
        <v>1822.3333333333333</v>
      </c>
      <c r="Q430">
        <v>127.66666666666667</v>
      </c>
      <c r="R430">
        <v>232651.22222222222</v>
      </c>
      <c r="S430">
        <v>29701.806037037037</v>
      </c>
    </row>
    <row r="431" spans="1:19" x14ac:dyDescent="0.3">
      <c r="A431" s="5">
        <v>41557</v>
      </c>
      <c r="B431">
        <v>2013</v>
      </c>
      <c r="C431">
        <v>10</v>
      </c>
      <c r="E431" t="s">
        <v>401</v>
      </c>
      <c r="F431" t="s">
        <v>396</v>
      </c>
      <c r="H431">
        <v>1831</v>
      </c>
      <c r="I431">
        <v>127</v>
      </c>
      <c r="J431">
        <v>1782</v>
      </c>
      <c r="K431">
        <v>125</v>
      </c>
      <c r="L431">
        <v>2086</v>
      </c>
      <c r="M431">
        <v>113</v>
      </c>
      <c r="P431">
        <v>1899.6666666666667</v>
      </c>
      <c r="Q431">
        <v>121.66666666666667</v>
      </c>
      <c r="R431">
        <v>231126.11111111112</v>
      </c>
      <c r="S431">
        <v>28120.343518518523</v>
      </c>
    </row>
    <row r="432" spans="1:19" x14ac:dyDescent="0.3">
      <c r="A432" s="5">
        <v>41557</v>
      </c>
      <c r="B432">
        <v>2013</v>
      </c>
      <c r="C432">
        <v>10</v>
      </c>
      <c r="E432" t="s">
        <v>402</v>
      </c>
      <c r="F432" t="s">
        <v>396</v>
      </c>
      <c r="H432">
        <v>2238</v>
      </c>
      <c r="I432">
        <v>141</v>
      </c>
      <c r="J432">
        <v>2137</v>
      </c>
      <c r="K432">
        <v>137</v>
      </c>
      <c r="L432">
        <v>2129</v>
      </c>
      <c r="M432">
        <v>136</v>
      </c>
      <c r="N432">
        <v>2204</v>
      </c>
      <c r="O432">
        <v>140</v>
      </c>
      <c r="P432">
        <v>2177</v>
      </c>
      <c r="Q432">
        <v>138.5</v>
      </c>
      <c r="R432">
        <v>301514.5</v>
      </c>
      <c r="S432">
        <v>41759.758249999999</v>
      </c>
    </row>
    <row r="433" spans="1:19" x14ac:dyDescent="0.3">
      <c r="A433" s="5">
        <v>41561</v>
      </c>
      <c r="B433">
        <v>2013</v>
      </c>
      <c r="C433">
        <v>10</v>
      </c>
      <c r="E433" t="s">
        <v>398</v>
      </c>
      <c r="F433" t="s">
        <v>396</v>
      </c>
      <c r="H433">
        <v>1796</v>
      </c>
      <c r="I433">
        <v>131</v>
      </c>
      <c r="P433">
        <v>1796</v>
      </c>
      <c r="Q433">
        <v>131</v>
      </c>
      <c r="R433">
        <v>235276</v>
      </c>
      <c r="S433">
        <v>30821.155999999999</v>
      </c>
    </row>
    <row r="434" spans="1:19" x14ac:dyDescent="0.3">
      <c r="A434" s="5">
        <v>41561</v>
      </c>
      <c r="B434">
        <v>2013</v>
      </c>
      <c r="C434">
        <v>10</v>
      </c>
      <c r="E434" t="s">
        <v>399</v>
      </c>
      <c r="F434" t="s">
        <v>396</v>
      </c>
      <c r="H434">
        <v>1904</v>
      </c>
      <c r="I434">
        <v>129</v>
      </c>
      <c r="J434">
        <v>1888</v>
      </c>
      <c r="K434">
        <v>126</v>
      </c>
      <c r="P434">
        <v>1896</v>
      </c>
      <c r="Q434">
        <v>127.5</v>
      </c>
      <c r="R434">
        <v>241740</v>
      </c>
      <c r="S434">
        <v>30821.85</v>
      </c>
    </row>
    <row r="435" spans="1:19" x14ac:dyDescent="0.3">
      <c r="A435" s="5">
        <v>41563</v>
      </c>
      <c r="B435">
        <v>2013</v>
      </c>
      <c r="C435">
        <v>10</v>
      </c>
      <c r="E435" t="s">
        <v>398</v>
      </c>
      <c r="F435" t="s">
        <v>396</v>
      </c>
      <c r="H435">
        <v>1861</v>
      </c>
      <c r="I435">
        <v>132</v>
      </c>
      <c r="J435">
        <v>1782</v>
      </c>
      <c r="K435">
        <v>131</v>
      </c>
      <c r="P435">
        <v>1821.5</v>
      </c>
      <c r="Q435">
        <v>131.5</v>
      </c>
      <c r="R435">
        <v>239527.25</v>
      </c>
      <c r="S435">
        <v>31497.833374999998</v>
      </c>
    </row>
    <row r="436" spans="1:19" x14ac:dyDescent="0.3">
      <c r="A436" s="5">
        <v>41625</v>
      </c>
      <c r="B436">
        <v>2013</v>
      </c>
      <c r="C436">
        <v>12</v>
      </c>
      <c r="E436" t="s">
        <v>400</v>
      </c>
      <c r="F436" t="s">
        <v>396</v>
      </c>
      <c r="H436">
        <v>1849</v>
      </c>
      <c r="I436">
        <v>136</v>
      </c>
      <c r="P436">
        <v>1849</v>
      </c>
      <c r="Q436">
        <v>136</v>
      </c>
      <c r="R436">
        <v>251464</v>
      </c>
      <c r="S436">
        <v>34199.103999999999</v>
      </c>
    </row>
    <row r="437" spans="1:19" x14ac:dyDescent="0.3">
      <c r="A437" s="5">
        <v>41625</v>
      </c>
      <c r="B437">
        <v>2013</v>
      </c>
      <c r="C437">
        <v>12</v>
      </c>
      <c r="E437" t="s">
        <v>398</v>
      </c>
      <c r="F437" t="s">
        <v>396</v>
      </c>
      <c r="H437">
        <v>1894</v>
      </c>
      <c r="I437">
        <v>134</v>
      </c>
      <c r="P437">
        <v>1894</v>
      </c>
      <c r="Q437">
        <v>134</v>
      </c>
      <c r="R437">
        <v>253796</v>
      </c>
      <c r="S437">
        <v>34008.663999999997</v>
      </c>
    </row>
    <row r="438" spans="1:19" x14ac:dyDescent="0.3">
      <c r="A438" s="5">
        <v>41645</v>
      </c>
      <c r="B438">
        <v>2014</v>
      </c>
      <c r="C438">
        <v>1</v>
      </c>
      <c r="E438" t="s">
        <v>398</v>
      </c>
      <c r="F438" t="s">
        <v>396</v>
      </c>
      <c r="H438">
        <v>1859</v>
      </c>
      <c r="I438">
        <v>134</v>
      </c>
      <c r="J438">
        <v>1807</v>
      </c>
      <c r="K438">
        <v>128</v>
      </c>
      <c r="P438">
        <v>1833</v>
      </c>
      <c r="Q438">
        <v>131</v>
      </c>
      <c r="R438">
        <v>240123</v>
      </c>
      <c r="S438">
        <v>31456.113000000001</v>
      </c>
    </row>
    <row r="439" spans="1:19" x14ac:dyDescent="0.3">
      <c r="A439" s="5">
        <v>41645</v>
      </c>
      <c r="B439">
        <v>2014</v>
      </c>
      <c r="C439">
        <v>1</v>
      </c>
      <c r="E439" t="s">
        <v>407</v>
      </c>
      <c r="F439" t="s">
        <v>396</v>
      </c>
      <c r="H439">
        <v>1836</v>
      </c>
      <c r="I439">
        <v>131</v>
      </c>
      <c r="J439">
        <v>1849</v>
      </c>
      <c r="K439">
        <v>137</v>
      </c>
      <c r="P439">
        <v>1842.5</v>
      </c>
      <c r="Q439">
        <v>134</v>
      </c>
      <c r="R439">
        <v>246895</v>
      </c>
      <c r="S439">
        <v>33083.93</v>
      </c>
    </row>
    <row r="440" spans="1:19" x14ac:dyDescent="0.3">
      <c r="A440" s="5">
        <v>41645</v>
      </c>
      <c r="B440">
        <v>2014</v>
      </c>
      <c r="C440">
        <v>1</v>
      </c>
      <c r="E440" t="s">
        <v>399</v>
      </c>
      <c r="F440" t="s">
        <v>396</v>
      </c>
      <c r="H440">
        <v>1949</v>
      </c>
      <c r="I440">
        <v>129</v>
      </c>
      <c r="J440">
        <v>1907</v>
      </c>
      <c r="K440">
        <v>128</v>
      </c>
      <c r="P440">
        <v>1928</v>
      </c>
      <c r="Q440">
        <v>128.5</v>
      </c>
      <c r="R440">
        <v>247748</v>
      </c>
      <c r="S440">
        <v>31835.617999999999</v>
      </c>
    </row>
    <row r="441" spans="1:19" x14ac:dyDescent="0.3">
      <c r="A441" s="5">
        <v>41645</v>
      </c>
      <c r="B441">
        <v>2014</v>
      </c>
      <c r="C441">
        <v>1</v>
      </c>
      <c r="E441" t="s">
        <v>400</v>
      </c>
      <c r="F441" t="s">
        <v>396</v>
      </c>
      <c r="H441">
        <v>1988</v>
      </c>
      <c r="I441">
        <v>142</v>
      </c>
      <c r="J441">
        <v>1917</v>
      </c>
      <c r="K441">
        <v>136</v>
      </c>
      <c r="P441">
        <v>1952.5</v>
      </c>
      <c r="Q441">
        <v>139</v>
      </c>
      <c r="R441">
        <v>271397.5</v>
      </c>
      <c r="S441">
        <v>37724.252500000002</v>
      </c>
    </row>
    <row r="442" spans="1:19" x14ac:dyDescent="0.3">
      <c r="A442" s="5">
        <v>41645</v>
      </c>
      <c r="B442">
        <v>2014</v>
      </c>
      <c r="C442">
        <v>1</v>
      </c>
      <c r="E442" t="s">
        <v>402</v>
      </c>
      <c r="F442" t="s">
        <v>396</v>
      </c>
      <c r="H442">
        <v>2238</v>
      </c>
      <c r="I442">
        <v>142</v>
      </c>
      <c r="J442">
        <v>2099</v>
      </c>
      <c r="K442">
        <v>140</v>
      </c>
      <c r="P442">
        <v>2168.5</v>
      </c>
      <c r="Q442">
        <v>141</v>
      </c>
      <c r="R442">
        <v>305758.5</v>
      </c>
      <c r="S442">
        <v>43111.948499999999</v>
      </c>
    </row>
    <row r="443" spans="1:19" x14ac:dyDescent="0.3">
      <c r="A443" s="5">
        <v>41647</v>
      </c>
      <c r="B443">
        <v>2014</v>
      </c>
      <c r="C443">
        <v>1</v>
      </c>
      <c r="E443" t="s">
        <v>401</v>
      </c>
      <c r="F443" t="s">
        <v>396</v>
      </c>
      <c r="H443">
        <v>2250</v>
      </c>
      <c r="I443">
        <v>114</v>
      </c>
      <c r="J443">
        <v>2101</v>
      </c>
      <c r="K443">
        <v>114</v>
      </c>
      <c r="P443">
        <v>2175.5</v>
      </c>
      <c r="Q443">
        <v>114</v>
      </c>
      <c r="R443">
        <v>248007</v>
      </c>
      <c r="S443">
        <v>28272.797999999999</v>
      </c>
    </row>
    <row r="444" spans="1:19" x14ac:dyDescent="0.3">
      <c r="A444" s="5">
        <v>41652</v>
      </c>
      <c r="B444">
        <v>2014</v>
      </c>
      <c r="C444">
        <v>1</v>
      </c>
      <c r="E444" t="s">
        <v>399</v>
      </c>
      <c r="F444" t="s">
        <v>396</v>
      </c>
      <c r="H444">
        <v>1886</v>
      </c>
      <c r="I444">
        <v>125</v>
      </c>
      <c r="J444">
        <v>1864</v>
      </c>
      <c r="K444">
        <v>127</v>
      </c>
      <c r="P444">
        <v>1875</v>
      </c>
      <c r="Q444">
        <v>126</v>
      </c>
      <c r="R444">
        <v>236250</v>
      </c>
      <c r="S444">
        <v>29767.5</v>
      </c>
    </row>
    <row r="445" spans="1:19" x14ac:dyDescent="0.3">
      <c r="A445" s="5">
        <v>41654</v>
      </c>
      <c r="B445">
        <v>2014</v>
      </c>
      <c r="C445">
        <v>1</v>
      </c>
      <c r="D445" t="s">
        <v>394</v>
      </c>
      <c r="E445" t="s">
        <v>403</v>
      </c>
      <c r="F445" t="s">
        <v>404</v>
      </c>
      <c r="H445">
        <v>2148</v>
      </c>
      <c r="I445">
        <v>161</v>
      </c>
      <c r="J445">
        <v>2155</v>
      </c>
      <c r="K445">
        <v>162</v>
      </c>
      <c r="P445">
        <v>2151.5</v>
      </c>
      <c r="Q445">
        <v>161.5</v>
      </c>
      <c r="R445">
        <v>347467.25</v>
      </c>
      <c r="S445">
        <v>56115.960874999997</v>
      </c>
    </row>
    <row r="446" spans="1:19" x14ac:dyDescent="0.3">
      <c r="A446" s="5">
        <v>41656</v>
      </c>
      <c r="B446">
        <v>2014</v>
      </c>
      <c r="C446">
        <v>1</v>
      </c>
      <c r="E446" t="s">
        <v>399</v>
      </c>
      <c r="F446" t="s">
        <v>396</v>
      </c>
      <c r="H446">
        <v>1841</v>
      </c>
      <c r="I446">
        <v>124</v>
      </c>
      <c r="J446">
        <v>1868</v>
      </c>
      <c r="K446">
        <v>124</v>
      </c>
      <c r="P446">
        <v>1854.5</v>
      </c>
      <c r="Q446">
        <v>124</v>
      </c>
      <c r="R446">
        <v>229958</v>
      </c>
      <c r="S446">
        <v>28514.792000000001</v>
      </c>
    </row>
    <row r="447" spans="1:19" x14ac:dyDescent="0.3">
      <c r="A447" s="5">
        <v>41659</v>
      </c>
      <c r="B447">
        <v>2014</v>
      </c>
      <c r="C447">
        <v>1</v>
      </c>
      <c r="E447" t="s">
        <v>399</v>
      </c>
      <c r="F447" t="s">
        <v>396</v>
      </c>
      <c r="H447">
        <v>1842</v>
      </c>
      <c r="I447">
        <v>123</v>
      </c>
      <c r="J447">
        <v>1857</v>
      </c>
      <c r="K447">
        <v>123</v>
      </c>
      <c r="P447">
        <v>1849.5</v>
      </c>
      <c r="Q447">
        <v>123</v>
      </c>
      <c r="R447">
        <v>227488.5</v>
      </c>
      <c r="S447">
        <v>27981.085500000001</v>
      </c>
    </row>
    <row r="448" spans="1:19" x14ac:dyDescent="0.3">
      <c r="A448" s="5">
        <v>41666</v>
      </c>
      <c r="B448">
        <v>2014</v>
      </c>
      <c r="C448">
        <v>1</v>
      </c>
      <c r="E448" t="s">
        <v>398</v>
      </c>
      <c r="F448" t="s">
        <v>396</v>
      </c>
      <c r="H448">
        <v>1758</v>
      </c>
      <c r="I448">
        <v>130</v>
      </c>
      <c r="J448">
        <v>1847</v>
      </c>
      <c r="K448">
        <v>130</v>
      </c>
      <c r="P448">
        <v>1802.5</v>
      </c>
      <c r="Q448">
        <v>130</v>
      </c>
      <c r="R448">
        <v>234325</v>
      </c>
      <c r="S448">
        <v>30462.25</v>
      </c>
    </row>
    <row r="449" spans="1:20" x14ac:dyDescent="0.3">
      <c r="A449" s="5">
        <v>41666</v>
      </c>
      <c r="B449">
        <v>2014</v>
      </c>
      <c r="C449">
        <v>1</v>
      </c>
      <c r="E449" t="s">
        <v>400</v>
      </c>
      <c r="F449" t="s">
        <v>396</v>
      </c>
      <c r="H449">
        <v>1905</v>
      </c>
      <c r="I449">
        <v>136</v>
      </c>
      <c r="J449">
        <v>1882</v>
      </c>
      <c r="K449">
        <v>132</v>
      </c>
      <c r="P449">
        <v>1893.5</v>
      </c>
      <c r="Q449">
        <v>134</v>
      </c>
      <c r="R449">
        <v>253729</v>
      </c>
      <c r="S449">
        <v>33999.686000000002</v>
      </c>
    </row>
    <row r="450" spans="1:20" x14ac:dyDescent="0.3">
      <c r="A450" s="5">
        <v>41666</v>
      </c>
      <c r="B450">
        <v>2014</v>
      </c>
      <c r="C450">
        <v>1</v>
      </c>
      <c r="E450" t="s">
        <v>399</v>
      </c>
      <c r="F450" t="s">
        <v>396</v>
      </c>
      <c r="H450">
        <v>1994</v>
      </c>
      <c r="I450">
        <v>130</v>
      </c>
      <c r="J450">
        <v>1920</v>
      </c>
      <c r="K450">
        <v>125</v>
      </c>
      <c r="P450">
        <v>1957</v>
      </c>
      <c r="Q450">
        <v>127.5</v>
      </c>
      <c r="R450">
        <v>249517.5</v>
      </c>
      <c r="S450">
        <v>31813.481250000001</v>
      </c>
    </row>
    <row r="451" spans="1:20" x14ac:dyDescent="0.3">
      <c r="A451" s="5">
        <v>41666</v>
      </c>
      <c r="B451">
        <v>2014</v>
      </c>
      <c r="C451">
        <v>1</v>
      </c>
      <c r="E451" t="s">
        <v>401</v>
      </c>
      <c r="F451" t="s">
        <v>396</v>
      </c>
      <c r="H451">
        <v>2104</v>
      </c>
      <c r="I451">
        <v>111</v>
      </c>
      <c r="J451">
        <v>2037</v>
      </c>
      <c r="K451">
        <v>108</v>
      </c>
      <c r="P451">
        <v>2070.5</v>
      </c>
      <c r="Q451">
        <v>109.5</v>
      </c>
      <c r="R451">
        <v>226719.75</v>
      </c>
      <c r="S451">
        <v>24825.812624999999</v>
      </c>
    </row>
    <row r="452" spans="1:20" x14ac:dyDescent="0.3">
      <c r="A452" s="5">
        <v>41666</v>
      </c>
      <c r="B452">
        <v>2014</v>
      </c>
      <c r="C452">
        <v>1</v>
      </c>
      <c r="E452" t="s">
        <v>402</v>
      </c>
      <c r="F452" t="s">
        <v>396</v>
      </c>
      <c r="H452">
        <v>2167</v>
      </c>
      <c r="I452">
        <v>139</v>
      </c>
      <c r="J452">
        <v>2065</v>
      </c>
      <c r="K452">
        <v>139</v>
      </c>
      <c r="P452">
        <v>2116</v>
      </c>
      <c r="Q452">
        <v>139</v>
      </c>
      <c r="R452">
        <v>294124</v>
      </c>
      <c r="S452">
        <v>40883.235999999997</v>
      </c>
    </row>
    <row r="453" spans="1:20" x14ac:dyDescent="0.3">
      <c r="A453" s="5">
        <v>41674</v>
      </c>
      <c r="B453">
        <v>2014</v>
      </c>
      <c r="C453">
        <v>2</v>
      </c>
      <c r="E453" t="s">
        <v>398</v>
      </c>
      <c r="F453" t="s">
        <v>396</v>
      </c>
      <c r="H453">
        <v>1841</v>
      </c>
      <c r="I453">
        <v>132</v>
      </c>
      <c r="J453">
        <v>1747</v>
      </c>
      <c r="K453">
        <v>129</v>
      </c>
      <c r="P453">
        <v>1794</v>
      </c>
      <c r="Q453">
        <v>130.5</v>
      </c>
      <c r="R453">
        <v>234117</v>
      </c>
      <c r="S453">
        <v>30552.268499999998</v>
      </c>
    </row>
    <row r="454" spans="1:20" x14ac:dyDescent="0.3">
      <c r="A454" s="5">
        <v>41674</v>
      </c>
      <c r="B454">
        <v>2014</v>
      </c>
      <c r="C454">
        <v>2</v>
      </c>
      <c r="E454" t="s">
        <v>400</v>
      </c>
      <c r="F454" t="s">
        <v>396</v>
      </c>
      <c r="H454">
        <v>1851</v>
      </c>
      <c r="I454">
        <v>136</v>
      </c>
      <c r="J454">
        <v>1827</v>
      </c>
      <c r="K454">
        <v>130</v>
      </c>
      <c r="P454">
        <v>1839</v>
      </c>
      <c r="Q454">
        <v>133</v>
      </c>
      <c r="R454">
        <v>244587</v>
      </c>
      <c r="S454">
        <v>32530.071</v>
      </c>
    </row>
    <row r="455" spans="1:20" x14ac:dyDescent="0.3">
      <c r="A455" s="5">
        <v>41674</v>
      </c>
      <c r="B455">
        <v>2014</v>
      </c>
      <c r="C455">
        <v>2</v>
      </c>
      <c r="E455" t="s">
        <v>399</v>
      </c>
      <c r="F455" t="s">
        <v>396</v>
      </c>
      <c r="H455">
        <v>1944</v>
      </c>
      <c r="I455">
        <v>126</v>
      </c>
      <c r="J455">
        <v>1885</v>
      </c>
      <c r="K455">
        <v>125</v>
      </c>
      <c r="P455">
        <v>1914.5</v>
      </c>
      <c r="Q455">
        <v>125.5</v>
      </c>
      <c r="R455">
        <v>240269.75</v>
      </c>
      <c r="S455">
        <v>30153.853625</v>
      </c>
    </row>
    <row r="456" spans="1:20" x14ac:dyDescent="0.3">
      <c r="A456" s="5">
        <v>41674</v>
      </c>
      <c r="B456">
        <v>2014</v>
      </c>
      <c r="C456">
        <v>2</v>
      </c>
      <c r="E456" t="s">
        <v>401</v>
      </c>
      <c r="F456" t="s">
        <v>396</v>
      </c>
      <c r="H456">
        <v>2053</v>
      </c>
      <c r="I456">
        <v>115</v>
      </c>
      <c r="J456">
        <v>1987</v>
      </c>
      <c r="K456">
        <v>111</v>
      </c>
      <c r="P456">
        <v>2020</v>
      </c>
      <c r="Q456">
        <v>113</v>
      </c>
      <c r="R456">
        <v>228260</v>
      </c>
      <c r="S456">
        <v>25793.38</v>
      </c>
    </row>
    <row r="457" spans="1:20" x14ac:dyDescent="0.3">
      <c r="A457" s="5">
        <v>41674</v>
      </c>
      <c r="B457">
        <v>2014</v>
      </c>
      <c r="C457">
        <v>2</v>
      </c>
      <c r="E457" t="s">
        <v>402</v>
      </c>
      <c r="F457" t="s">
        <v>396</v>
      </c>
      <c r="H457">
        <v>2067</v>
      </c>
      <c r="I457">
        <v>135</v>
      </c>
      <c r="J457">
        <v>2052</v>
      </c>
      <c r="K457">
        <v>138</v>
      </c>
      <c r="P457">
        <v>2059.5</v>
      </c>
      <c r="Q457">
        <v>136.5</v>
      </c>
      <c r="R457">
        <v>281121.75</v>
      </c>
      <c r="S457">
        <v>38373.118875</v>
      </c>
    </row>
    <row r="458" spans="1:20" x14ac:dyDescent="0.3">
      <c r="A458" s="5">
        <v>41675</v>
      </c>
      <c r="B458">
        <v>2014</v>
      </c>
      <c r="C458">
        <v>2</v>
      </c>
      <c r="E458" t="s">
        <v>403</v>
      </c>
      <c r="F458" t="s">
        <v>404</v>
      </c>
      <c r="H458">
        <v>2170</v>
      </c>
      <c r="I458">
        <v>163</v>
      </c>
      <c r="J458">
        <v>2057</v>
      </c>
      <c r="K458">
        <v>157</v>
      </c>
      <c r="P458">
        <v>2113.5</v>
      </c>
      <c r="Q458">
        <v>160</v>
      </c>
      <c r="R458">
        <v>338160</v>
      </c>
      <c r="S458">
        <v>54105.599999999999</v>
      </c>
    </row>
    <row r="459" spans="1:20" x14ac:dyDescent="0.3">
      <c r="A459" s="5">
        <v>41689</v>
      </c>
      <c r="B459">
        <v>2014</v>
      </c>
      <c r="C459">
        <v>2</v>
      </c>
      <c r="E459" t="s">
        <v>403</v>
      </c>
      <c r="F459" t="s">
        <v>404</v>
      </c>
      <c r="H459">
        <v>2106</v>
      </c>
      <c r="I459">
        <v>156</v>
      </c>
      <c r="J459">
        <v>2153</v>
      </c>
      <c r="K459">
        <v>158</v>
      </c>
      <c r="P459">
        <v>2129.5</v>
      </c>
      <c r="Q459">
        <v>157</v>
      </c>
      <c r="R459">
        <v>334331.5</v>
      </c>
      <c r="S459">
        <v>52490.0455</v>
      </c>
    </row>
    <row r="460" spans="1:20" x14ac:dyDescent="0.3">
      <c r="A460" s="5">
        <v>41696</v>
      </c>
      <c r="B460">
        <v>2014</v>
      </c>
      <c r="C460">
        <v>2</v>
      </c>
      <c r="E460" t="s">
        <v>403</v>
      </c>
      <c r="F460" t="s">
        <v>404</v>
      </c>
      <c r="H460">
        <v>2092</v>
      </c>
      <c r="I460">
        <v>157</v>
      </c>
      <c r="J460">
        <v>2057</v>
      </c>
      <c r="K460">
        <v>156</v>
      </c>
      <c r="P460">
        <v>2074.5</v>
      </c>
      <c r="Q460">
        <v>156.5</v>
      </c>
      <c r="R460">
        <v>324659.25</v>
      </c>
      <c r="S460">
        <v>50809.172624999999</v>
      </c>
    </row>
    <row r="461" spans="1:20" x14ac:dyDescent="0.3">
      <c r="A461" s="5">
        <v>41697</v>
      </c>
      <c r="B461">
        <v>2014</v>
      </c>
      <c r="C461">
        <v>2</v>
      </c>
      <c r="E461" t="s">
        <v>403</v>
      </c>
      <c r="F461" t="s">
        <v>404</v>
      </c>
      <c r="H461">
        <v>2116</v>
      </c>
      <c r="I461">
        <v>156</v>
      </c>
      <c r="P461">
        <v>2116</v>
      </c>
      <c r="Q461">
        <v>156</v>
      </c>
    </row>
    <row r="462" spans="1:20" x14ac:dyDescent="0.3">
      <c r="A462" s="5">
        <v>41731</v>
      </c>
      <c r="B462">
        <v>2014</v>
      </c>
      <c r="C462">
        <v>4</v>
      </c>
      <c r="E462" t="s">
        <v>403</v>
      </c>
      <c r="F462" t="s">
        <v>404</v>
      </c>
      <c r="H462">
        <v>2208</v>
      </c>
      <c r="I462">
        <v>150</v>
      </c>
      <c r="J462">
        <v>2262</v>
      </c>
      <c r="K462">
        <v>155</v>
      </c>
      <c r="P462">
        <v>2235</v>
      </c>
      <c r="Q462">
        <v>152.5</v>
      </c>
      <c r="R462">
        <v>340837.5</v>
      </c>
      <c r="S462">
        <v>51977.71875</v>
      </c>
      <c r="T462">
        <v>88.4</v>
      </c>
    </row>
    <row r="463" spans="1:20" x14ac:dyDescent="0.3">
      <c r="A463" s="5">
        <v>41738</v>
      </c>
      <c r="B463">
        <v>2014</v>
      </c>
      <c r="C463">
        <v>4</v>
      </c>
      <c r="E463" t="s">
        <v>398</v>
      </c>
      <c r="F463" t="s">
        <v>396</v>
      </c>
      <c r="H463">
        <v>1705</v>
      </c>
      <c r="I463">
        <v>128</v>
      </c>
      <c r="P463">
        <v>1705</v>
      </c>
      <c r="Q463">
        <v>128</v>
      </c>
    </row>
    <row r="464" spans="1:20" x14ac:dyDescent="0.3">
      <c r="A464" s="5">
        <v>41738</v>
      </c>
      <c r="B464">
        <v>2014</v>
      </c>
      <c r="C464">
        <v>4</v>
      </c>
      <c r="E464" t="s">
        <v>407</v>
      </c>
      <c r="F464" t="s">
        <v>396</v>
      </c>
      <c r="H464">
        <v>1777</v>
      </c>
      <c r="I464">
        <v>133</v>
      </c>
      <c r="P464">
        <v>1777</v>
      </c>
      <c r="Q464">
        <v>133</v>
      </c>
    </row>
    <row r="465" spans="1:17" x14ac:dyDescent="0.3">
      <c r="A465" s="5">
        <v>41738</v>
      </c>
      <c r="B465">
        <v>2014</v>
      </c>
      <c r="C465">
        <v>4</v>
      </c>
      <c r="E465" t="s">
        <v>400</v>
      </c>
      <c r="F465" t="s">
        <v>396</v>
      </c>
      <c r="H465">
        <v>1882</v>
      </c>
      <c r="I465">
        <v>133</v>
      </c>
      <c r="P465">
        <v>1882</v>
      </c>
      <c r="Q465">
        <v>133</v>
      </c>
    </row>
    <row r="466" spans="1:17" x14ac:dyDescent="0.3">
      <c r="A466" s="5">
        <v>41738</v>
      </c>
      <c r="B466">
        <v>2014</v>
      </c>
      <c r="C466">
        <v>4</v>
      </c>
      <c r="E466" t="s">
        <v>399</v>
      </c>
      <c r="F466" t="s">
        <v>396</v>
      </c>
      <c r="H466">
        <v>1981</v>
      </c>
      <c r="I466">
        <v>133</v>
      </c>
      <c r="P466">
        <v>1981</v>
      </c>
      <c r="Q466">
        <v>133</v>
      </c>
    </row>
    <row r="467" spans="1:17" x14ac:dyDescent="0.3">
      <c r="A467" s="5">
        <v>41738</v>
      </c>
      <c r="B467">
        <v>2014</v>
      </c>
      <c r="C467">
        <v>4</v>
      </c>
      <c r="E467" t="s">
        <v>402</v>
      </c>
      <c r="F467" t="s">
        <v>396</v>
      </c>
      <c r="H467">
        <v>2031</v>
      </c>
      <c r="I467">
        <v>139</v>
      </c>
      <c r="P467">
        <v>2031</v>
      </c>
      <c r="Q467">
        <v>139</v>
      </c>
    </row>
    <row r="468" spans="1:17" x14ac:dyDescent="0.3">
      <c r="A468" s="5">
        <v>41754</v>
      </c>
      <c r="B468">
        <v>2014</v>
      </c>
      <c r="C468">
        <v>4</v>
      </c>
      <c r="E468" t="s">
        <v>407</v>
      </c>
      <c r="F468" t="s">
        <v>396</v>
      </c>
      <c r="H468">
        <v>1710</v>
      </c>
      <c r="I468">
        <v>135</v>
      </c>
      <c r="P468">
        <v>1710</v>
      </c>
      <c r="Q468">
        <v>135</v>
      </c>
    </row>
    <row r="469" spans="1:17" x14ac:dyDescent="0.3">
      <c r="A469" s="5">
        <v>41754</v>
      </c>
      <c r="B469">
        <v>2014</v>
      </c>
      <c r="C469">
        <v>4</v>
      </c>
      <c r="E469" t="s">
        <v>400</v>
      </c>
      <c r="F469" t="s">
        <v>396</v>
      </c>
      <c r="H469">
        <v>1807</v>
      </c>
      <c r="I469">
        <v>134</v>
      </c>
      <c r="P469">
        <v>1807</v>
      </c>
      <c r="Q469">
        <v>134</v>
      </c>
    </row>
    <row r="470" spans="1:17" x14ac:dyDescent="0.3">
      <c r="A470" s="5">
        <v>41754</v>
      </c>
      <c r="B470">
        <v>2014</v>
      </c>
      <c r="C470">
        <v>4</v>
      </c>
      <c r="E470" t="s">
        <v>399</v>
      </c>
      <c r="F470" t="s">
        <v>396</v>
      </c>
      <c r="H470">
        <v>1939</v>
      </c>
      <c r="I470">
        <v>131</v>
      </c>
      <c r="P470">
        <v>1939</v>
      </c>
      <c r="Q470">
        <v>131</v>
      </c>
    </row>
    <row r="471" spans="1:17" x14ac:dyDescent="0.3">
      <c r="A471" s="5">
        <v>41754</v>
      </c>
      <c r="B471">
        <v>2014</v>
      </c>
      <c r="C471">
        <v>4</v>
      </c>
      <c r="E471" t="s">
        <v>401</v>
      </c>
      <c r="F471" t="s">
        <v>396</v>
      </c>
      <c r="H471">
        <v>2045</v>
      </c>
      <c r="I471">
        <v>117</v>
      </c>
      <c r="P471">
        <v>2045</v>
      </c>
      <c r="Q471">
        <v>117</v>
      </c>
    </row>
    <row r="472" spans="1:17" x14ac:dyDescent="0.3">
      <c r="A472" s="5">
        <v>41754</v>
      </c>
      <c r="B472">
        <v>2014</v>
      </c>
      <c r="C472">
        <v>4</v>
      </c>
      <c r="E472" t="s">
        <v>402</v>
      </c>
      <c r="F472" t="s">
        <v>396</v>
      </c>
      <c r="H472">
        <v>2076</v>
      </c>
      <c r="I472">
        <v>142</v>
      </c>
      <c r="P472">
        <v>2076</v>
      </c>
      <c r="Q472">
        <v>142</v>
      </c>
    </row>
    <row r="473" spans="1:17" x14ac:dyDescent="0.3">
      <c r="A473" s="5">
        <v>41768</v>
      </c>
      <c r="B473">
        <v>2014</v>
      </c>
      <c r="C473">
        <v>5</v>
      </c>
      <c r="E473" t="s">
        <v>407</v>
      </c>
      <c r="F473" t="s">
        <v>396</v>
      </c>
      <c r="H473">
        <v>1742</v>
      </c>
      <c r="I473">
        <v>137</v>
      </c>
      <c r="P473">
        <v>1742</v>
      </c>
      <c r="Q473">
        <v>137</v>
      </c>
    </row>
    <row r="474" spans="1:17" x14ac:dyDescent="0.3">
      <c r="A474" s="5">
        <v>41768</v>
      </c>
      <c r="B474">
        <v>2014</v>
      </c>
      <c r="C474">
        <v>5</v>
      </c>
      <c r="E474" t="s">
        <v>400</v>
      </c>
      <c r="F474" t="s">
        <v>396</v>
      </c>
      <c r="H474">
        <v>1815</v>
      </c>
      <c r="I474">
        <v>133</v>
      </c>
      <c r="P474">
        <v>1815</v>
      </c>
      <c r="Q474">
        <v>133</v>
      </c>
    </row>
    <row r="475" spans="1:17" x14ac:dyDescent="0.3">
      <c r="A475" s="5">
        <v>41768</v>
      </c>
      <c r="B475">
        <v>2014</v>
      </c>
      <c r="C475">
        <v>5</v>
      </c>
      <c r="E475" t="s">
        <v>399</v>
      </c>
      <c r="F475" t="s">
        <v>396</v>
      </c>
      <c r="H475">
        <v>1917</v>
      </c>
      <c r="I475">
        <v>130</v>
      </c>
      <c r="P475">
        <v>1917</v>
      </c>
      <c r="Q475">
        <v>130</v>
      </c>
    </row>
    <row r="476" spans="1:17" x14ac:dyDescent="0.3">
      <c r="A476" s="5">
        <v>41768</v>
      </c>
      <c r="B476">
        <v>2014</v>
      </c>
      <c r="C476">
        <v>5</v>
      </c>
      <c r="E476" t="s">
        <v>401</v>
      </c>
      <c r="F476" t="s">
        <v>396</v>
      </c>
      <c r="H476">
        <v>2013</v>
      </c>
      <c r="I476">
        <v>121</v>
      </c>
      <c r="P476">
        <v>2013</v>
      </c>
      <c r="Q476">
        <v>121</v>
      </c>
    </row>
    <row r="477" spans="1:17" x14ac:dyDescent="0.3">
      <c r="A477" s="5">
        <v>41768</v>
      </c>
      <c r="B477">
        <v>2014</v>
      </c>
      <c r="C477">
        <v>5</v>
      </c>
      <c r="E477" t="s">
        <v>402</v>
      </c>
      <c r="F477" t="s">
        <v>396</v>
      </c>
      <c r="H477">
        <v>2066</v>
      </c>
      <c r="I477">
        <v>143</v>
      </c>
      <c r="P477">
        <v>2066</v>
      </c>
      <c r="Q477">
        <v>143</v>
      </c>
    </row>
    <row r="478" spans="1:17" x14ac:dyDescent="0.3">
      <c r="A478" s="5">
        <v>41787</v>
      </c>
      <c r="B478">
        <v>2014</v>
      </c>
      <c r="C478">
        <v>5</v>
      </c>
      <c r="E478" t="s">
        <v>400</v>
      </c>
      <c r="F478" t="s">
        <v>396</v>
      </c>
      <c r="H478">
        <v>1825</v>
      </c>
      <c r="I478">
        <v>133</v>
      </c>
      <c r="P478">
        <v>1825</v>
      </c>
      <c r="Q478">
        <v>133</v>
      </c>
    </row>
    <row r="479" spans="1:17" x14ac:dyDescent="0.3">
      <c r="A479" s="5">
        <v>41787</v>
      </c>
      <c r="B479">
        <v>2014</v>
      </c>
      <c r="C479">
        <v>5</v>
      </c>
      <c r="E479" t="s">
        <v>402</v>
      </c>
      <c r="F479" t="s">
        <v>396</v>
      </c>
      <c r="H479">
        <v>1910</v>
      </c>
      <c r="I479">
        <v>138</v>
      </c>
      <c r="P479">
        <v>1910</v>
      </c>
      <c r="Q479">
        <v>138</v>
      </c>
    </row>
    <row r="480" spans="1:17" x14ac:dyDescent="0.3">
      <c r="A480" s="5">
        <v>41787</v>
      </c>
      <c r="B480">
        <v>2014</v>
      </c>
      <c r="C480">
        <v>5</v>
      </c>
      <c r="E480" t="s">
        <v>401</v>
      </c>
      <c r="F480" t="s">
        <v>396</v>
      </c>
      <c r="H480">
        <v>1958</v>
      </c>
      <c r="I480">
        <v>114</v>
      </c>
      <c r="P480">
        <v>1958</v>
      </c>
      <c r="Q480">
        <v>114</v>
      </c>
    </row>
    <row r="481" spans="1:17" x14ac:dyDescent="0.3">
      <c r="A481" s="5">
        <v>41883</v>
      </c>
      <c r="B481">
        <v>2014</v>
      </c>
      <c r="C481">
        <v>9</v>
      </c>
      <c r="E481" t="s">
        <v>407</v>
      </c>
      <c r="F481" t="s">
        <v>396</v>
      </c>
      <c r="H481">
        <v>1741</v>
      </c>
      <c r="I481">
        <v>129</v>
      </c>
      <c r="J481">
        <v>1731</v>
      </c>
      <c r="K481">
        <v>133</v>
      </c>
      <c r="P481">
        <v>1736</v>
      </c>
      <c r="Q481">
        <v>131</v>
      </c>
    </row>
    <row r="482" spans="1:17" x14ac:dyDescent="0.3">
      <c r="A482" s="5">
        <v>41883</v>
      </c>
      <c r="B482">
        <v>2014</v>
      </c>
      <c r="C482">
        <v>9</v>
      </c>
      <c r="E482" t="s">
        <v>400</v>
      </c>
      <c r="F482" t="s">
        <v>396</v>
      </c>
      <c r="H482">
        <v>1907</v>
      </c>
      <c r="I482">
        <v>138</v>
      </c>
      <c r="J482">
        <v>1862</v>
      </c>
      <c r="K482">
        <v>130</v>
      </c>
      <c r="P482">
        <v>1884.5</v>
      </c>
      <c r="Q482">
        <v>134</v>
      </c>
    </row>
    <row r="483" spans="1:17" x14ac:dyDescent="0.3">
      <c r="A483" s="5">
        <v>41883</v>
      </c>
      <c r="B483">
        <v>2014</v>
      </c>
      <c r="C483">
        <v>9</v>
      </c>
      <c r="E483" t="s">
        <v>399</v>
      </c>
      <c r="F483" t="s">
        <v>396</v>
      </c>
      <c r="H483">
        <v>1961</v>
      </c>
      <c r="I483">
        <v>131</v>
      </c>
      <c r="J483">
        <v>1949</v>
      </c>
      <c r="K483">
        <v>130</v>
      </c>
      <c r="P483">
        <v>1955</v>
      </c>
      <c r="Q483">
        <v>130.5</v>
      </c>
    </row>
    <row r="484" spans="1:17" x14ac:dyDescent="0.3">
      <c r="A484" s="5">
        <v>41883</v>
      </c>
      <c r="B484">
        <v>2014</v>
      </c>
      <c r="C484">
        <v>9</v>
      </c>
      <c r="E484" t="s">
        <v>402</v>
      </c>
      <c r="F484" t="s">
        <v>396</v>
      </c>
      <c r="H484">
        <v>2009</v>
      </c>
      <c r="I484">
        <v>140</v>
      </c>
      <c r="J484">
        <v>2012</v>
      </c>
      <c r="K484">
        <v>136</v>
      </c>
      <c r="P484">
        <v>2010.5</v>
      </c>
      <c r="Q484">
        <v>138</v>
      </c>
    </row>
    <row r="485" spans="1:17" x14ac:dyDescent="0.3">
      <c r="A485" s="5">
        <v>41883</v>
      </c>
      <c r="B485">
        <v>2014</v>
      </c>
      <c r="C485">
        <v>9</v>
      </c>
      <c r="E485" t="s">
        <v>401</v>
      </c>
      <c r="F485" t="s">
        <v>396</v>
      </c>
      <c r="H485">
        <v>2192</v>
      </c>
      <c r="I485">
        <v>122</v>
      </c>
      <c r="J485">
        <v>2065</v>
      </c>
      <c r="K485">
        <v>118</v>
      </c>
      <c r="P485">
        <v>2128.5</v>
      </c>
      <c r="Q485">
        <v>120</v>
      </c>
    </row>
    <row r="486" spans="1:17" x14ac:dyDescent="0.3">
      <c r="A486" s="5">
        <v>41890</v>
      </c>
      <c r="B486">
        <v>2014</v>
      </c>
      <c r="C486">
        <v>9</v>
      </c>
      <c r="E486" t="s">
        <v>407</v>
      </c>
      <c r="F486" t="s">
        <v>396</v>
      </c>
      <c r="H486">
        <v>1823</v>
      </c>
      <c r="I486">
        <v>135</v>
      </c>
      <c r="P486">
        <v>1823</v>
      </c>
      <c r="Q486">
        <v>135</v>
      </c>
    </row>
    <row r="487" spans="1:17" x14ac:dyDescent="0.3">
      <c r="A487" s="5">
        <v>41890</v>
      </c>
      <c r="B487">
        <v>2014</v>
      </c>
      <c r="C487">
        <v>9</v>
      </c>
      <c r="E487" t="s">
        <v>400</v>
      </c>
      <c r="F487" t="s">
        <v>396</v>
      </c>
      <c r="H487">
        <v>1832</v>
      </c>
      <c r="I487">
        <v>132</v>
      </c>
      <c r="P487">
        <v>1832</v>
      </c>
      <c r="Q487">
        <v>132</v>
      </c>
    </row>
    <row r="488" spans="1:17" x14ac:dyDescent="0.3">
      <c r="A488" s="5">
        <v>41890</v>
      </c>
      <c r="B488">
        <v>2014</v>
      </c>
      <c r="C488">
        <v>9</v>
      </c>
      <c r="E488" t="s">
        <v>399</v>
      </c>
      <c r="F488" t="s">
        <v>396</v>
      </c>
      <c r="H488">
        <v>1952</v>
      </c>
      <c r="I488">
        <v>130</v>
      </c>
      <c r="P488">
        <v>1952</v>
      </c>
      <c r="Q488">
        <v>130</v>
      </c>
    </row>
    <row r="489" spans="1:17" x14ac:dyDescent="0.3">
      <c r="A489" s="5">
        <v>41890</v>
      </c>
      <c r="B489">
        <v>2014</v>
      </c>
      <c r="C489">
        <v>9</v>
      </c>
      <c r="E489" t="s">
        <v>402</v>
      </c>
      <c r="F489" t="s">
        <v>396</v>
      </c>
      <c r="H489">
        <v>1982</v>
      </c>
      <c r="I489">
        <v>136</v>
      </c>
      <c r="P489">
        <v>1982</v>
      </c>
      <c r="Q489">
        <v>136</v>
      </c>
    </row>
    <row r="490" spans="1:17" x14ac:dyDescent="0.3">
      <c r="A490" s="5">
        <v>41890</v>
      </c>
      <c r="B490">
        <v>2014</v>
      </c>
      <c r="C490">
        <v>9</v>
      </c>
      <c r="E490" t="s">
        <v>401</v>
      </c>
      <c r="F490" t="s">
        <v>396</v>
      </c>
      <c r="H490">
        <v>2190</v>
      </c>
      <c r="I490">
        <v>118</v>
      </c>
      <c r="P490">
        <v>2190</v>
      </c>
      <c r="Q490">
        <v>118</v>
      </c>
    </row>
    <row r="491" spans="1:17" x14ac:dyDescent="0.3">
      <c r="A491" s="5">
        <v>41897</v>
      </c>
      <c r="B491">
        <v>2014</v>
      </c>
      <c r="C491">
        <v>9</v>
      </c>
      <c r="E491" t="s">
        <v>407</v>
      </c>
      <c r="F491" t="s">
        <v>396</v>
      </c>
      <c r="H491">
        <v>1799</v>
      </c>
      <c r="I491">
        <v>134</v>
      </c>
      <c r="P491">
        <v>1799</v>
      </c>
      <c r="Q491">
        <v>134</v>
      </c>
    </row>
    <row r="492" spans="1:17" x14ac:dyDescent="0.3">
      <c r="A492" s="5">
        <v>41897</v>
      </c>
      <c r="B492">
        <v>2014</v>
      </c>
      <c r="C492">
        <v>9</v>
      </c>
      <c r="E492" t="s">
        <v>400</v>
      </c>
      <c r="F492" t="s">
        <v>396</v>
      </c>
      <c r="H492">
        <v>1865</v>
      </c>
      <c r="I492">
        <v>136</v>
      </c>
      <c r="P492">
        <v>1865</v>
      </c>
      <c r="Q492">
        <v>136</v>
      </c>
    </row>
    <row r="493" spans="1:17" x14ac:dyDescent="0.3">
      <c r="A493" s="5">
        <v>41897</v>
      </c>
      <c r="B493">
        <v>2014</v>
      </c>
      <c r="C493">
        <v>9</v>
      </c>
      <c r="E493" t="s">
        <v>399</v>
      </c>
      <c r="F493" t="s">
        <v>396</v>
      </c>
      <c r="H493">
        <v>1963</v>
      </c>
      <c r="I493">
        <v>129</v>
      </c>
      <c r="P493">
        <v>1963</v>
      </c>
      <c r="Q493">
        <v>129</v>
      </c>
    </row>
    <row r="494" spans="1:17" x14ac:dyDescent="0.3">
      <c r="A494" s="5">
        <v>41897</v>
      </c>
      <c r="B494">
        <v>2014</v>
      </c>
      <c r="C494">
        <v>9</v>
      </c>
      <c r="E494" t="s">
        <v>402</v>
      </c>
      <c r="F494" t="s">
        <v>396</v>
      </c>
      <c r="H494">
        <v>2023</v>
      </c>
      <c r="I494">
        <v>134</v>
      </c>
      <c r="P494">
        <v>2023</v>
      </c>
      <c r="Q494">
        <v>134</v>
      </c>
    </row>
    <row r="495" spans="1:17" x14ac:dyDescent="0.3">
      <c r="A495" s="5">
        <v>41897</v>
      </c>
      <c r="B495">
        <v>2014</v>
      </c>
      <c r="C495">
        <v>9</v>
      </c>
      <c r="E495" t="s">
        <v>401</v>
      </c>
      <c r="F495" t="s">
        <v>396</v>
      </c>
      <c r="H495">
        <v>2141</v>
      </c>
      <c r="I495">
        <v>110</v>
      </c>
      <c r="P495">
        <v>2141</v>
      </c>
      <c r="Q495">
        <v>110</v>
      </c>
    </row>
    <row r="496" spans="1:17" x14ac:dyDescent="0.3">
      <c r="A496" s="5">
        <v>41904</v>
      </c>
      <c r="B496">
        <v>2014</v>
      </c>
      <c r="C496">
        <v>9</v>
      </c>
      <c r="E496" t="s">
        <v>407</v>
      </c>
      <c r="F496" t="s">
        <v>396</v>
      </c>
      <c r="H496">
        <v>1737</v>
      </c>
      <c r="I496">
        <v>136</v>
      </c>
      <c r="P496">
        <v>1737</v>
      </c>
      <c r="Q496">
        <v>136</v>
      </c>
    </row>
    <row r="497" spans="1:17" x14ac:dyDescent="0.3">
      <c r="A497" s="5">
        <v>41904</v>
      </c>
      <c r="B497">
        <v>2014</v>
      </c>
      <c r="C497">
        <v>9</v>
      </c>
      <c r="E497" t="s">
        <v>400</v>
      </c>
      <c r="F497" t="s">
        <v>396</v>
      </c>
      <c r="H497">
        <v>1831</v>
      </c>
      <c r="I497">
        <v>135</v>
      </c>
      <c r="P497">
        <v>1831</v>
      </c>
      <c r="Q497">
        <v>135</v>
      </c>
    </row>
    <row r="498" spans="1:17" x14ac:dyDescent="0.3">
      <c r="A498" s="5">
        <v>41904</v>
      </c>
      <c r="B498">
        <v>2014</v>
      </c>
      <c r="C498">
        <v>9</v>
      </c>
      <c r="E498" t="s">
        <v>399</v>
      </c>
      <c r="F498" t="s">
        <v>396</v>
      </c>
      <c r="H498">
        <v>1933</v>
      </c>
      <c r="I498">
        <v>130</v>
      </c>
      <c r="P498">
        <v>1933</v>
      </c>
      <c r="Q498">
        <v>130</v>
      </c>
    </row>
    <row r="499" spans="1:17" x14ac:dyDescent="0.3">
      <c r="A499" s="5">
        <v>41904</v>
      </c>
      <c r="B499">
        <v>2014</v>
      </c>
      <c r="C499">
        <v>9</v>
      </c>
      <c r="E499" t="s">
        <v>402</v>
      </c>
      <c r="F499" t="s">
        <v>396</v>
      </c>
      <c r="H499">
        <v>2026</v>
      </c>
      <c r="I499">
        <v>135</v>
      </c>
      <c r="P499">
        <v>2026</v>
      </c>
      <c r="Q499">
        <v>135</v>
      </c>
    </row>
    <row r="500" spans="1:17" x14ac:dyDescent="0.3">
      <c r="A500" s="5">
        <v>41904</v>
      </c>
      <c r="B500">
        <v>2014</v>
      </c>
      <c r="C500">
        <v>9</v>
      </c>
      <c r="E500" t="s">
        <v>401</v>
      </c>
      <c r="F500" t="s">
        <v>396</v>
      </c>
      <c r="H500">
        <v>2070</v>
      </c>
      <c r="I500">
        <v>116</v>
      </c>
      <c r="P500">
        <v>2070</v>
      </c>
      <c r="Q500">
        <v>116</v>
      </c>
    </row>
    <row r="501" spans="1:17" x14ac:dyDescent="0.3">
      <c r="A501" s="5">
        <v>41911</v>
      </c>
      <c r="B501">
        <v>2014</v>
      </c>
      <c r="C501">
        <v>9</v>
      </c>
      <c r="E501" t="s">
        <v>407</v>
      </c>
      <c r="F501" t="s">
        <v>396</v>
      </c>
      <c r="H501">
        <v>1807</v>
      </c>
      <c r="I501">
        <v>135</v>
      </c>
      <c r="P501">
        <v>1807</v>
      </c>
      <c r="Q501">
        <v>135</v>
      </c>
    </row>
    <row r="502" spans="1:17" x14ac:dyDescent="0.3">
      <c r="A502" s="5">
        <v>41911</v>
      </c>
      <c r="B502">
        <v>2014</v>
      </c>
      <c r="C502">
        <v>9</v>
      </c>
      <c r="E502" t="s">
        <v>400</v>
      </c>
      <c r="F502" t="s">
        <v>396</v>
      </c>
      <c r="H502">
        <v>1871</v>
      </c>
      <c r="I502">
        <v>135</v>
      </c>
      <c r="P502">
        <v>1871</v>
      </c>
      <c r="Q502">
        <v>135</v>
      </c>
    </row>
    <row r="503" spans="1:17" x14ac:dyDescent="0.3">
      <c r="A503" s="5">
        <v>41911</v>
      </c>
      <c r="B503">
        <v>2014</v>
      </c>
      <c r="C503">
        <v>9</v>
      </c>
      <c r="E503" t="s">
        <v>401</v>
      </c>
      <c r="F503" t="s">
        <v>396</v>
      </c>
      <c r="H503">
        <v>1991</v>
      </c>
      <c r="I503">
        <v>113</v>
      </c>
      <c r="P503">
        <v>1991</v>
      </c>
      <c r="Q503">
        <v>113</v>
      </c>
    </row>
    <row r="504" spans="1:17" x14ac:dyDescent="0.3">
      <c r="A504" s="5">
        <v>41911</v>
      </c>
      <c r="B504">
        <v>2014</v>
      </c>
      <c r="C504">
        <v>9</v>
      </c>
      <c r="E504" t="s">
        <v>402</v>
      </c>
      <c r="F504" t="s">
        <v>396</v>
      </c>
      <c r="H504">
        <v>2015</v>
      </c>
      <c r="I504">
        <v>135</v>
      </c>
      <c r="P504">
        <v>2015</v>
      </c>
      <c r="Q504">
        <v>135</v>
      </c>
    </row>
    <row r="505" spans="1:17" x14ac:dyDescent="0.3">
      <c r="A505" s="5">
        <v>41911</v>
      </c>
      <c r="B505">
        <v>2014</v>
      </c>
      <c r="C505">
        <v>9</v>
      </c>
      <c r="E505" t="s">
        <v>399</v>
      </c>
      <c r="F505" t="s">
        <v>396</v>
      </c>
      <c r="H505">
        <v>2023</v>
      </c>
      <c r="I505">
        <v>133</v>
      </c>
      <c r="P505">
        <v>2023</v>
      </c>
      <c r="Q505">
        <v>133</v>
      </c>
    </row>
    <row r="506" spans="1:17" x14ac:dyDescent="0.3">
      <c r="A506" s="5">
        <v>41925</v>
      </c>
      <c r="B506">
        <v>2014</v>
      </c>
      <c r="C506">
        <v>10</v>
      </c>
      <c r="E506" t="s">
        <v>407</v>
      </c>
      <c r="F506" t="s">
        <v>396</v>
      </c>
      <c r="H506">
        <v>1822</v>
      </c>
      <c r="I506">
        <v>135</v>
      </c>
      <c r="P506">
        <v>1822</v>
      </c>
      <c r="Q506">
        <v>135</v>
      </c>
    </row>
    <row r="507" spans="1:17" x14ac:dyDescent="0.3">
      <c r="A507" s="5">
        <v>41925</v>
      </c>
      <c r="B507">
        <v>2014</v>
      </c>
      <c r="C507">
        <v>10</v>
      </c>
      <c r="E507" t="s">
        <v>398</v>
      </c>
      <c r="F507" t="s">
        <v>396</v>
      </c>
      <c r="H507">
        <v>1838</v>
      </c>
      <c r="I507">
        <v>130</v>
      </c>
      <c r="P507">
        <v>1838</v>
      </c>
      <c r="Q507">
        <v>130</v>
      </c>
    </row>
    <row r="508" spans="1:17" x14ac:dyDescent="0.3">
      <c r="A508" s="5">
        <v>41928</v>
      </c>
      <c r="B508">
        <v>2014</v>
      </c>
      <c r="C508">
        <v>10</v>
      </c>
      <c r="E508" t="s">
        <v>400</v>
      </c>
      <c r="F508" t="s">
        <v>396</v>
      </c>
      <c r="H508">
        <v>1739</v>
      </c>
      <c r="I508">
        <v>130</v>
      </c>
      <c r="P508">
        <v>1739</v>
      </c>
      <c r="Q508">
        <v>130</v>
      </c>
    </row>
    <row r="509" spans="1:17" x14ac:dyDescent="0.3">
      <c r="A509" s="5">
        <v>41928</v>
      </c>
      <c r="B509">
        <v>2014</v>
      </c>
      <c r="C509">
        <v>10</v>
      </c>
      <c r="E509" t="s">
        <v>399</v>
      </c>
      <c r="F509" t="s">
        <v>396</v>
      </c>
      <c r="H509">
        <v>1995</v>
      </c>
      <c r="I509">
        <v>131</v>
      </c>
      <c r="P509">
        <v>1995</v>
      </c>
      <c r="Q509">
        <v>131</v>
      </c>
    </row>
    <row r="510" spans="1:17" x14ac:dyDescent="0.3">
      <c r="A510" s="5">
        <v>41928</v>
      </c>
      <c r="B510">
        <v>2014</v>
      </c>
      <c r="C510">
        <v>10</v>
      </c>
      <c r="E510" t="s">
        <v>401</v>
      </c>
      <c r="F510" t="s">
        <v>396</v>
      </c>
      <c r="H510">
        <v>2045</v>
      </c>
      <c r="I510">
        <v>116</v>
      </c>
      <c r="P510">
        <v>2045</v>
      </c>
      <c r="Q510">
        <v>116</v>
      </c>
    </row>
    <row r="511" spans="1:17" x14ac:dyDescent="0.3">
      <c r="A511" s="5">
        <v>41928</v>
      </c>
      <c r="B511">
        <v>2014</v>
      </c>
      <c r="C511">
        <v>10</v>
      </c>
      <c r="E511" t="s">
        <v>402</v>
      </c>
      <c r="F511" t="s">
        <v>396</v>
      </c>
      <c r="H511">
        <v>2154</v>
      </c>
      <c r="I511">
        <v>133</v>
      </c>
      <c r="P511">
        <v>2154</v>
      </c>
      <c r="Q511">
        <v>133</v>
      </c>
    </row>
    <row r="512" spans="1:17" x14ac:dyDescent="0.3">
      <c r="A512" s="5">
        <v>41932</v>
      </c>
      <c r="B512">
        <v>2014</v>
      </c>
      <c r="C512">
        <v>10</v>
      </c>
      <c r="E512" t="s">
        <v>398</v>
      </c>
      <c r="F512" t="s">
        <v>396</v>
      </c>
      <c r="H512">
        <v>1782</v>
      </c>
      <c r="I512">
        <v>130</v>
      </c>
      <c r="P512">
        <v>1782</v>
      </c>
      <c r="Q512">
        <v>130</v>
      </c>
    </row>
    <row r="513" spans="1:17" x14ac:dyDescent="0.3">
      <c r="A513" s="5">
        <v>41932</v>
      </c>
      <c r="B513">
        <v>2014</v>
      </c>
      <c r="C513">
        <v>10</v>
      </c>
      <c r="E513" t="s">
        <v>400</v>
      </c>
      <c r="F513" t="s">
        <v>396</v>
      </c>
      <c r="H513">
        <v>1797</v>
      </c>
      <c r="I513">
        <v>127</v>
      </c>
      <c r="P513">
        <v>1797</v>
      </c>
      <c r="Q513">
        <v>127</v>
      </c>
    </row>
    <row r="514" spans="1:17" x14ac:dyDescent="0.3">
      <c r="A514" s="5">
        <v>41932</v>
      </c>
      <c r="B514">
        <v>2014</v>
      </c>
      <c r="C514">
        <v>10</v>
      </c>
      <c r="E514" t="s">
        <v>407</v>
      </c>
      <c r="F514" t="s">
        <v>396</v>
      </c>
      <c r="H514">
        <v>1824</v>
      </c>
      <c r="I514">
        <v>136</v>
      </c>
      <c r="P514">
        <v>1824</v>
      </c>
      <c r="Q514">
        <v>136</v>
      </c>
    </row>
    <row r="515" spans="1:17" x14ac:dyDescent="0.3">
      <c r="A515" s="5">
        <v>41932</v>
      </c>
      <c r="B515">
        <v>2014</v>
      </c>
      <c r="C515">
        <v>10</v>
      </c>
      <c r="E515" t="s">
        <v>401</v>
      </c>
      <c r="F515" t="s">
        <v>396</v>
      </c>
      <c r="H515">
        <v>1937</v>
      </c>
      <c r="I515">
        <v>115</v>
      </c>
      <c r="P515">
        <v>1937</v>
      </c>
      <c r="Q515">
        <v>115</v>
      </c>
    </row>
    <row r="516" spans="1:17" x14ac:dyDescent="0.3">
      <c r="A516" s="5">
        <v>41932</v>
      </c>
      <c r="B516">
        <v>2014</v>
      </c>
      <c r="C516">
        <v>10</v>
      </c>
      <c r="E516" t="s">
        <v>399</v>
      </c>
      <c r="F516" t="s">
        <v>396</v>
      </c>
      <c r="H516">
        <v>1943</v>
      </c>
      <c r="I516">
        <v>130</v>
      </c>
      <c r="P516">
        <v>1943</v>
      </c>
      <c r="Q516">
        <v>130</v>
      </c>
    </row>
    <row r="517" spans="1:17" x14ac:dyDescent="0.3">
      <c r="A517" s="5">
        <v>41932</v>
      </c>
      <c r="B517">
        <v>2014</v>
      </c>
      <c r="C517">
        <v>10</v>
      </c>
      <c r="E517" t="s">
        <v>402</v>
      </c>
      <c r="F517" t="s">
        <v>396</v>
      </c>
      <c r="H517">
        <v>1997</v>
      </c>
      <c r="I517">
        <v>134</v>
      </c>
      <c r="J517">
        <v>1900</v>
      </c>
      <c r="K517">
        <v>129</v>
      </c>
      <c r="P517">
        <v>1948.5</v>
      </c>
      <c r="Q517">
        <v>131.5</v>
      </c>
    </row>
    <row r="518" spans="1:17" x14ac:dyDescent="0.3">
      <c r="A518" s="5">
        <v>41939</v>
      </c>
      <c r="B518">
        <v>2014</v>
      </c>
      <c r="C518">
        <v>10</v>
      </c>
      <c r="E518" t="s">
        <v>407</v>
      </c>
      <c r="F518" t="s">
        <v>396</v>
      </c>
      <c r="H518">
        <v>1818</v>
      </c>
      <c r="I518">
        <v>133</v>
      </c>
      <c r="P518">
        <v>1818</v>
      </c>
      <c r="Q518">
        <v>133</v>
      </c>
    </row>
    <row r="519" spans="1:17" x14ac:dyDescent="0.3">
      <c r="A519" s="5">
        <v>41939</v>
      </c>
      <c r="B519">
        <v>2014</v>
      </c>
      <c r="C519">
        <v>10</v>
      </c>
      <c r="E519" t="s">
        <v>398</v>
      </c>
      <c r="F519" t="s">
        <v>396</v>
      </c>
      <c r="H519">
        <v>1844</v>
      </c>
      <c r="I519">
        <v>133</v>
      </c>
      <c r="P519">
        <v>1844</v>
      </c>
      <c r="Q519">
        <v>133</v>
      </c>
    </row>
    <row r="520" spans="1:17" x14ac:dyDescent="0.3">
      <c r="A520" s="5">
        <v>41939</v>
      </c>
      <c r="B520">
        <v>2014</v>
      </c>
      <c r="C520">
        <v>10</v>
      </c>
      <c r="E520" t="s">
        <v>400</v>
      </c>
      <c r="F520" t="s">
        <v>396</v>
      </c>
      <c r="H520">
        <v>1876</v>
      </c>
      <c r="I520">
        <v>134</v>
      </c>
      <c r="P520">
        <v>1876</v>
      </c>
      <c r="Q520">
        <v>134</v>
      </c>
    </row>
    <row r="521" spans="1:17" x14ac:dyDescent="0.3">
      <c r="A521" s="5">
        <v>41939</v>
      </c>
      <c r="B521">
        <v>2014</v>
      </c>
      <c r="C521">
        <v>10</v>
      </c>
      <c r="E521" t="s">
        <v>401</v>
      </c>
      <c r="F521" t="s">
        <v>396</v>
      </c>
      <c r="H521">
        <v>1917</v>
      </c>
      <c r="I521">
        <v>113</v>
      </c>
      <c r="P521">
        <v>1917</v>
      </c>
      <c r="Q521">
        <v>113</v>
      </c>
    </row>
    <row r="522" spans="1:17" x14ac:dyDescent="0.3">
      <c r="A522" s="5">
        <v>41939</v>
      </c>
      <c r="B522">
        <v>2014</v>
      </c>
      <c r="C522">
        <v>10</v>
      </c>
      <c r="E522" t="s">
        <v>402</v>
      </c>
      <c r="F522" t="s">
        <v>396</v>
      </c>
      <c r="H522">
        <v>1987</v>
      </c>
      <c r="I522">
        <v>131</v>
      </c>
      <c r="P522">
        <v>1987</v>
      </c>
      <c r="Q522">
        <v>131</v>
      </c>
    </row>
    <row r="523" spans="1:17" x14ac:dyDescent="0.3">
      <c r="A523" s="5">
        <v>41939</v>
      </c>
      <c r="B523">
        <v>2014</v>
      </c>
      <c r="C523">
        <v>10</v>
      </c>
      <c r="E523" t="s">
        <v>399</v>
      </c>
      <c r="F523" t="s">
        <v>396</v>
      </c>
      <c r="H523">
        <v>2024</v>
      </c>
      <c r="I523">
        <v>132</v>
      </c>
      <c r="P523">
        <v>2024</v>
      </c>
      <c r="Q523">
        <v>132</v>
      </c>
    </row>
    <row r="524" spans="1:17" x14ac:dyDescent="0.3">
      <c r="A524" s="5">
        <v>41941</v>
      </c>
      <c r="B524">
        <v>2014</v>
      </c>
      <c r="C524">
        <v>10</v>
      </c>
      <c r="E524" t="s">
        <v>407</v>
      </c>
      <c r="F524" t="s">
        <v>396</v>
      </c>
      <c r="H524">
        <v>1725</v>
      </c>
      <c r="I524">
        <v>134</v>
      </c>
      <c r="P524">
        <v>1725</v>
      </c>
      <c r="Q524">
        <v>134</v>
      </c>
    </row>
    <row r="525" spans="1:17" x14ac:dyDescent="0.3">
      <c r="A525" s="5">
        <v>41946</v>
      </c>
      <c r="B525">
        <v>2014</v>
      </c>
      <c r="C525">
        <v>11</v>
      </c>
      <c r="E525" t="s">
        <v>407</v>
      </c>
      <c r="F525" t="s">
        <v>396</v>
      </c>
      <c r="H525">
        <v>1773</v>
      </c>
      <c r="I525">
        <v>134</v>
      </c>
      <c r="P525">
        <v>1773</v>
      </c>
      <c r="Q525">
        <v>134</v>
      </c>
    </row>
    <row r="526" spans="1:17" x14ac:dyDescent="0.3">
      <c r="A526" s="5">
        <v>41946</v>
      </c>
      <c r="B526">
        <v>2014</v>
      </c>
      <c r="C526">
        <v>11</v>
      </c>
      <c r="E526" t="s">
        <v>398</v>
      </c>
      <c r="F526" t="s">
        <v>396</v>
      </c>
      <c r="H526">
        <v>1815</v>
      </c>
      <c r="I526">
        <v>128</v>
      </c>
      <c r="P526">
        <v>1815</v>
      </c>
      <c r="Q526">
        <v>128</v>
      </c>
    </row>
    <row r="527" spans="1:17" x14ac:dyDescent="0.3">
      <c r="A527" s="5">
        <v>41948</v>
      </c>
      <c r="B527">
        <v>2014</v>
      </c>
      <c r="C527">
        <v>11</v>
      </c>
      <c r="E527" t="s">
        <v>398</v>
      </c>
      <c r="F527" t="s">
        <v>396</v>
      </c>
      <c r="H527">
        <v>1816</v>
      </c>
      <c r="I527">
        <v>131</v>
      </c>
      <c r="P527">
        <v>1816</v>
      </c>
      <c r="Q527">
        <v>131</v>
      </c>
    </row>
    <row r="528" spans="1:17" x14ac:dyDescent="0.3">
      <c r="A528" s="5">
        <v>41948</v>
      </c>
      <c r="B528">
        <v>2014</v>
      </c>
      <c r="C528">
        <v>11</v>
      </c>
      <c r="E528" t="s">
        <v>407</v>
      </c>
      <c r="F528" t="s">
        <v>396</v>
      </c>
      <c r="H528">
        <v>1838</v>
      </c>
      <c r="I528">
        <v>131</v>
      </c>
      <c r="P528">
        <v>1838</v>
      </c>
      <c r="Q528">
        <v>131</v>
      </c>
    </row>
    <row r="529" spans="1:17" x14ac:dyDescent="0.3">
      <c r="A529" s="5">
        <v>41955</v>
      </c>
      <c r="B529">
        <v>2014</v>
      </c>
      <c r="C529">
        <v>11</v>
      </c>
      <c r="E529" t="s">
        <v>407</v>
      </c>
      <c r="F529" t="s">
        <v>396</v>
      </c>
      <c r="H529">
        <v>1859</v>
      </c>
      <c r="I529">
        <v>133</v>
      </c>
      <c r="P529">
        <v>1859</v>
      </c>
      <c r="Q529">
        <v>133</v>
      </c>
    </row>
    <row r="530" spans="1:17" x14ac:dyDescent="0.3">
      <c r="A530" s="5">
        <v>41960</v>
      </c>
      <c r="B530">
        <v>2014</v>
      </c>
      <c r="C530">
        <v>11</v>
      </c>
      <c r="E530" t="s">
        <v>400</v>
      </c>
      <c r="F530" t="s">
        <v>396</v>
      </c>
      <c r="H530">
        <v>1812</v>
      </c>
      <c r="I530">
        <v>134</v>
      </c>
      <c r="P530">
        <v>1812</v>
      </c>
      <c r="Q530">
        <v>134</v>
      </c>
    </row>
    <row r="531" spans="1:17" x14ac:dyDescent="0.3">
      <c r="A531" s="5">
        <v>41960</v>
      </c>
      <c r="B531">
        <v>2014</v>
      </c>
      <c r="C531">
        <v>11</v>
      </c>
      <c r="E531" t="s">
        <v>407</v>
      </c>
      <c r="F531" t="s">
        <v>396</v>
      </c>
      <c r="H531">
        <v>1844</v>
      </c>
      <c r="I531">
        <v>138</v>
      </c>
      <c r="P531">
        <v>1844</v>
      </c>
      <c r="Q531">
        <v>138</v>
      </c>
    </row>
    <row r="532" spans="1:17" x14ac:dyDescent="0.3">
      <c r="A532" s="5">
        <v>41960</v>
      </c>
      <c r="B532">
        <v>2014</v>
      </c>
      <c r="C532">
        <v>11</v>
      </c>
      <c r="E532" t="s">
        <v>401</v>
      </c>
      <c r="F532" t="s">
        <v>396</v>
      </c>
      <c r="H532">
        <v>1963</v>
      </c>
      <c r="I532">
        <v>112</v>
      </c>
      <c r="P532">
        <v>1963</v>
      </c>
      <c r="Q532">
        <v>112</v>
      </c>
    </row>
    <row r="533" spans="1:17" x14ac:dyDescent="0.3">
      <c r="A533" s="5">
        <v>41960</v>
      </c>
      <c r="B533">
        <v>2014</v>
      </c>
      <c r="C533">
        <v>11</v>
      </c>
      <c r="E533" t="s">
        <v>399</v>
      </c>
      <c r="F533" t="s">
        <v>396</v>
      </c>
      <c r="H533">
        <v>2067</v>
      </c>
      <c r="I533">
        <v>131</v>
      </c>
      <c r="P533">
        <v>2067</v>
      </c>
      <c r="Q533">
        <v>131</v>
      </c>
    </row>
    <row r="534" spans="1:17" x14ac:dyDescent="0.3">
      <c r="A534" s="5">
        <v>41960</v>
      </c>
      <c r="B534">
        <v>2014</v>
      </c>
      <c r="C534">
        <v>11</v>
      </c>
      <c r="E534" t="s">
        <v>402</v>
      </c>
      <c r="F534" t="s">
        <v>396</v>
      </c>
      <c r="H534">
        <v>2075</v>
      </c>
      <c r="I534">
        <v>132</v>
      </c>
      <c r="P534">
        <v>2075</v>
      </c>
      <c r="Q534">
        <v>132</v>
      </c>
    </row>
    <row r="535" spans="1:17" x14ac:dyDescent="0.3">
      <c r="A535" s="5">
        <v>41967</v>
      </c>
      <c r="B535">
        <v>2014</v>
      </c>
      <c r="C535">
        <v>11</v>
      </c>
      <c r="E535" t="s">
        <v>398</v>
      </c>
      <c r="F535" t="s">
        <v>396</v>
      </c>
      <c r="H535">
        <v>1756</v>
      </c>
      <c r="I535">
        <v>130</v>
      </c>
      <c r="P535">
        <v>1756</v>
      </c>
      <c r="Q535">
        <v>130</v>
      </c>
    </row>
    <row r="536" spans="1:17" x14ac:dyDescent="0.3">
      <c r="A536" s="5">
        <v>41967</v>
      </c>
      <c r="B536">
        <v>2014</v>
      </c>
      <c r="C536">
        <v>11</v>
      </c>
      <c r="E536" t="s">
        <v>407</v>
      </c>
      <c r="F536" t="s">
        <v>396</v>
      </c>
      <c r="H536">
        <v>1885</v>
      </c>
      <c r="I536">
        <v>138</v>
      </c>
      <c r="P536">
        <v>1885</v>
      </c>
      <c r="Q536">
        <v>138</v>
      </c>
    </row>
    <row r="537" spans="1:17" x14ac:dyDescent="0.3">
      <c r="A537" s="5">
        <v>42006</v>
      </c>
      <c r="B537">
        <v>2015</v>
      </c>
      <c r="C537">
        <v>1</v>
      </c>
      <c r="E537" t="s">
        <v>395</v>
      </c>
      <c r="F537" t="s">
        <v>396</v>
      </c>
      <c r="H537">
        <v>1192</v>
      </c>
      <c r="I537">
        <v>121</v>
      </c>
      <c r="P537">
        <v>1192</v>
      </c>
      <c r="Q537">
        <v>121</v>
      </c>
    </row>
    <row r="538" spans="1:17" x14ac:dyDescent="0.3">
      <c r="A538" s="5">
        <v>42006</v>
      </c>
      <c r="B538">
        <v>2015</v>
      </c>
      <c r="C538">
        <v>1</v>
      </c>
      <c r="E538" t="s">
        <v>409</v>
      </c>
      <c r="F538" t="s">
        <v>396</v>
      </c>
      <c r="H538">
        <v>1377</v>
      </c>
      <c r="I538">
        <v>120</v>
      </c>
      <c r="P538">
        <v>1377</v>
      </c>
      <c r="Q538">
        <v>120</v>
      </c>
    </row>
    <row r="539" spans="1:17" x14ac:dyDescent="0.3">
      <c r="A539" s="5">
        <v>42006</v>
      </c>
      <c r="B539">
        <v>2015</v>
      </c>
      <c r="C539">
        <v>1</v>
      </c>
      <c r="E539" t="s">
        <v>400</v>
      </c>
      <c r="F539" t="s">
        <v>396</v>
      </c>
      <c r="H539">
        <v>1886</v>
      </c>
      <c r="I539">
        <v>134</v>
      </c>
      <c r="P539">
        <v>1886</v>
      </c>
      <c r="Q539">
        <v>134</v>
      </c>
    </row>
    <row r="540" spans="1:17" x14ac:dyDescent="0.3">
      <c r="A540" s="5">
        <v>42006</v>
      </c>
      <c r="B540">
        <v>2015</v>
      </c>
      <c r="C540">
        <v>1</v>
      </c>
      <c r="E540" t="s">
        <v>407</v>
      </c>
      <c r="F540" t="s">
        <v>396</v>
      </c>
      <c r="H540">
        <v>1897</v>
      </c>
      <c r="I540">
        <v>133</v>
      </c>
      <c r="P540">
        <v>1897</v>
      </c>
      <c r="Q540">
        <v>133</v>
      </c>
    </row>
    <row r="541" spans="1:17" x14ac:dyDescent="0.3">
      <c r="A541" s="5">
        <v>42006</v>
      </c>
      <c r="B541">
        <v>2015</v>
      </c>
      <c r="C541">
        <v>1</v>
      </c>
      <c r="E541" t="s">
        <v>398</v>
      </c>
      <c r="F541" t="s">
        <v>396</v>
      </c>
      <c r="H541">
        <v>1923</v>
      </c>
      <c r="I541">
        <v>130</v>
      </c>
      <c r="P541">
        <v>1923</v>
      </c>
      <c r="Q541">
        <v>130</v>
      </c>
    </row>
    <row r="542" spans="1:17" x14ac:dyDescent="0.3">
      <c r="A542" s="5">
        <v>42006</v>
      </c>
      <c r="B542">
        <v>2015</v>
      </c>
      <c r="C542">
        <v>1</v>
      </c>
      <c r="E542" t="s">
        <v>401</v>
      </c>
      <c r="F542" t="s">
        <v>396</v>
      </c>
      <c r="H542">
        <v>2035</v>
      </c>
      <c r="I542">
        <v>114</v>
      </c>
      <c r="P542">
        <v>2035</v>
      </c>
      <c r="Q542">
        <v>114</v>
      </c>
    </row>
    <row r="543" spans="1:17" x14ac:dyDescent="0.3">
      <c r="A543" s="5">
        <v>42006</v>
      </c>
      <c r="B543">
        <v>2015</v>
      </c>
      <c r="C543">
        <v>1</v>
      </c>
      <c r="E543" t="s">
        <v>399</v>
      </c>
      <c r="F543" t="s">
        <v>396</v>
      </c>
      <c r="H543">
        <v>2051</v>
      </c>
      <c r="I543">
        <v>130</v>
      </c>
      <c r="P543">
        <v>2051</v>
      </c>
      <c r="Q543">
        <v>130</v>
      </c>
    </row>
    <row r="544" spans="1:17" x14ac:dyDescent="0.3">
      <c r="A544" s="5">
        <v>42006</v>
      </c>
      <c r="B544">
        <v>2015</v>
      </c>
      <c r="C544">
        <v>1</v>
      </c>
      <c r="E544" t="s">
        <v>402</v>
      </c>
      <c r="F544" t="s">
        <v>396</v>
      </c>
      <c r="H544">
        <v>2194</v>
      </c>
      <c r="I544">
        <v>134</v>
      </c>
      <c r="P544">
        <v>2194</v>
      </c>
      <c r="Q544">
        <v>134</v>
      </c>
    </row>
    <row r="545" spans="1:17" x14ac:dyDescent="0.3">
      <c r="A545" s="5">
        <v>42009</v>
      </c>
      <c r="B545">
        <v>2015</v>
      </c>
      <c r="C545">
        <v>1</v>
      </c>
      <c r="E545" t="s">
        <v>400</v>
      </c>
      <c r="F545" t="s">
        <v>396</v>
      </c>
      <c r="H545">
        <v>1863</v>
      </c>
      <c r="I545">
        <v>137</v>
      </c>
      <c r="P545">
        <v>1863</v>
      </c>
      <c r="Q545">
        <v>137</v>
      </c>
    </row>
    <row r="546" spans="1:17" x14ac:dyDescent="0.3">
      <c r="A546" s="5">
        <v>42009</v>
      </c>
      <c r="B546">
        <v>2015</v>
      </c>
      <c r="C546">
        <v>1</v>
      </c>
      <c r="E546" t="s">
        <v>399</v>
      </c>
      <c r="F546" t="s">
        <v>396</v>
      </c>
      <c r="H546">
        <v>2095</v>
      </c>
      <c r="I546">
        <v>135</v>
      </c>
      <c r="P546">
        <v>2095</v>
      </c>
      <c r="Q546">
        <v>135</v>
      </c>
    </row>
    <row r="547" spans="1:17" x14ac:dyDescent="0.3">
      <c r="A547" s="5">
        <v>42009</v>
      </c>
      <c r="B547">
        <v>2015</v>
      </c>
      <c r="C547">
        <v>1</v>
      </c>
      <c r="E547" t="s">
        <v>401</v>
      </c>
      <c r="F547" t="s">
        <v>396</v>
      </c>
      <c r="H547">
        <v>2153</v>
      </c>
      <c r="I547">
        <v>121</v>
      </c>
      <c r="P547">
        <v>2153</v>
      </c>
      <c r="Q547">
        <v>121</v>
      </c>
    </row>
    <row r="548" spans="1:17" x14ac:dyDescent="0.3">
      <c r="A548" s="5">
        <v>42009</v>
      </c>
      <c r="B548">
        <v>2015</v>
      </c>
      <c r="C548">
        <v>1</v>
      </c>
      <c r="E548" t="s">
        <v>402</v>
      </c>
      <c r="F548" t="s">
        <v>396</v>
      </c>
      <c r="H548">
        <v>2260</v>
      </c>
      <c r="I548">
        <v>140</v>
      </c>
      <c r="P548">
        <v>2260</v>
      </c>
      <c r="Q548">
        <v>140</v>
      </c>
    </row>
    <row r="549" spans="1:17" x14ac:dyDescent="0.3">
      <c r="A549" s="5">
        <v>42016</v>
      </c>
      <c r="B549">
        <v>2015</v>
      </c>
      <c r="C549">
        <v>1</v>
      </c>
      <c r="E549" t="s">
        <v>400</v>
      </c>
      <c r="F549" t="s">
        <v>396</v>
      </c>
      <c r="H549">
        <v>1814</v>
      </c>
      <c r="I549">
        <v>130</v>
      </c>
      <c r="P549">
        <v>1814</v>
      </c>
      <c r="Q549">
        <v>130</v>
      </c>
    </row>
    <row r="550" spans="1:17" x14ac:dyDescent="0.3">
      <c r="A550" s="5">
        <v>42016</v>
      </c>
      <c r="B550">
        <v>2015</v>
      </c>
      <c r="C550">
        <v>1</v>
      </c>
      <c r="E550" t="s">
        <v>401</v>
      </c>
      <c r="F550" t="s">
        <v>396</v>
      </c>
      <c r="H550">
        <v>2021</v>
      </c>
      <c r="I550">
        <v>110</v>
      </c>
      <c r="P550">
        <v>2021</v>
      </c>
      <c r="Q550">
        <v>110</v>
      </c>
    </row>
    <row r="551" spans="1:17" x14ac:dyDescent="0.3">
      <c r="A551" s="5">
        <v>42016</v>
      </c>
      <c r="B551">
        <v>2015</v>
      </c>
      <c r="C551">
        <v>1</v>
      </c>
      <c r="E551" t="s">
        <v>399</v>
      </c>
      <c r="F551" t="s">
        <v>396</v>
      </c>
      <c r="H551">
        <v>2043</v>
      </c>
      <c r="I551">
        <v>133</v>
      </c>
      <c r="P551">
        <v>2043</v>
      </c>
      <c r="Q551">
        <v>133</v>
      </c>
    </row>
    <row r="552" spans="1:17" x14ac:dyDescent="0.3">
      <c r="A552" s="5">
        <v>42016</v>
      </c>
      <c r="B552">
        <v>2015</v>
      </c>
      <c r="C552">
        <v>1</v>
      </c>
      <c r="E552" t="s">
        <v>402</v>
      </c>
      <c r="F552" t="s">
        <v>396</v>
      </c>
      <c r="H552">
        <v>2193</v>
      </c>
      <c r="I552">
        <v>134</v>
      </c>
      <c r="P552">
        <v>2193</v>
      </c>
      <c r="Q552">
        <v>134</v>
      </c>
    </row>
    <row r="553" spans="1:17" x14ac:dyDescent="0.3">
      <c r="A553" s="5">
        <v>42019</v>
      </c>
      <c r="B553">
        <v>2015</v>
      </c>
      <c r="C553">
        <v>1</v>
      </c>
      <c r="E553" t="s">
        <v>403</v>
      </c>
      <c r="F553" t="s">
        <v>404</v>
      </c>
      <c r="H553">
        <v>2423</v>
      </c>
      <c r="I553">
        <v>129</v>
      </c>
      <c r="J553">
        <v>2466</v>
      </c>
      <c r="K553">
        <v>129</v>
      </c>
      <c r="P553">
        <v>2444.5</v>
      </c>
      <c r="Q553">
        <v>129</v>
      </c>
    </row>
    <row r="554" spans="1:17" x14ac:dyDescent="0.3">
      <c r="A554" s="5">
        <v>42023</v>
      </c>
      <c r="B554">
        <v>2015</v>
      </c>
      <c r="C554">
        <v>1</v>
      </c>
      <c r="E554" t="s">
        <v>400</v>
      </c>
      <c r="F554" t="s">
        <v>396</v>
      </c>
      <c r="H554">
        <v>1852</v>
      </c>
      <c r="I554">
        <v>128</v>
      </c>
      <c r="P554">
        <v>1852</v>
      </c>
      <c r="Q554">
        <v>128</v>
      </c>
    </row>
    <row r="555" spans="1:17" x14ac:dyDescent="0.3">
      <c r="A555" s="5">
        <v>42023</v>
      </c>
      <c r="B555">
        <v>2015</v>
      </c>
      <c r="C555">
        <v>1</v>
      </c>
      <c r="E555" t="s">
        <v>401</v>
      </c>
      <c r="F555" t="s">
        <v>396</v>
      </c>
      <c r="H555">
        <v>2018</v>
      </c>
      <c r="I555">
        <v>114</v>
      </c>
      <c r="P555">
        <v>2018</v>
      </c>
      <c r="Q555">
        <v>114</v>
      </c>
    </row>
    <row r="556" spans="1:17" x14ac:dyDescent="0.3">
      <c r="A556" s="5">
        <v>42023</v>
      </c>
      <c r="B556">
        <v>2015</v>
      </c>
      <c r="C556">
        <v>1</v>
      </c>
      <c r="E556" t="s">
        <v>399</v>
      </c>
      <c r="F556" t="s">
        <v>396</v>
      </c>
      <c r="H556">
        <v>2026</v>
      </c>
      <c r="I556">
        <v>129</v>
      </c>
      <c r="P556">
        <v>2026</v>
      </c>
      <c r="Q556">
        <v>129</v>
      </c>
    </row>
    <row r="557" spans="1:17" x14ac:dyDescent="0.3">
      <c r="A557" s="5">
        <v>42023</v>
      </c>
      <c r="B557">
        <v>2015</v>
      </c>
      <c r="C557">
        <v>1</v>
      </c>
      <c r="E557" t="s">
        <v>402</v>
      </c>
      <c r="F557" t="s">
        <v>396</v>
      </c>
      <c r="H557">
        <v>2082</v>
      </c>
      <c r="I557">
        <v>135</v>
      </c>
      <c r="P557">
        <v>2082</v>
      </c>
      <c r="Q557">
        <v>135</v>
      </c>
    </row>
    <row r="558" spans="1:17" x14ac:dyDescent="0.3">
      <c r="A558" s="5">
        <v>42026</v>
      </c>
      <c r="B558">
        <v>2015</v>
      </c>
      <c r="C558">
        <v>1</v>
      </c>
      <c r="E558" t="s">
        <v>403</v>
      </c>
      <c r="F558" t="s">
        <v>404</v>
      </c>
      <c r="H558">
        <v>2482</v>
      </c>
      <c r="I558">
        <v>135</v>
      </c>
      <c r="J558">
        <v>2580</v>
      </c>
      <c r="K558">
        <v>138</v>
      </c>
      <c r="P558">
        <v>2531</v>
      </c>
      <c r="Q558">
        <v>136.5</v>
      </c>
    </row>
    <row r="559" spans="1:17" x14ac:dyDescent="0.3">
      <c r="A559" s="5">
        <v>42030</v>
      </c>
      <c r="B559">
        <v>2015</v>
      </c>
      <c r="C559">
        <v>1</v>
      </c>
      <c r="E559" t="s">
        <v>395</v>
      </c>
      <c r="F559" t="s">
        <v>396</v>
      </c>
      <c r="H559">
        <v>1232</v>
      </c>
      <c r="I559">
        <v>125</v>
      </c>
      <c r="P559">
        <v>1232</v>
      </c>
      <c r="Q559">
        <v>125</v>
      </c>
    </row>
    <row r="560" spans="1:17" x14ac:dyDescent="0.3">
      <c r="A560" s="5">
        <v>42030</v>
      </c>
      <c r="B560">
        <v>2015</v>
      </c>
      <c r="C560">
        <v>1</v>
      </c>
      <c r="E560" t="s">
        <v>400</v>
      </c>
      <c r="F560" t="s">
        <v>396</v>
      </c>
      <c r="H560">
        <v>1684</v>
      </c>
      <c r="I560">
        <v>140</v>
      </c>
      <c r="P560">
        <v>1684</v>
      </c>
      <c r="Q560">
        <v>140</v>
      </c>
    </row>
    <row r="561" spans="1:17" x14ac:dyDescent="0.3">
      <c r="A561" s="5">
        <v>42030</v>
      </c>
      <c r="B561">
        <v>2015</v>
      </c>
      <c r="C561">
        <v>1</v>
      </c>
      <c r="E561" t="s">
        <v>407</v>
      </c>
      <c r="F561" t="s">
        <v>396</v>
      </c>
      <c r="H561">
        <v>1893</v>
      </c>
      <c r="I561">
        <v>132</v>
      </c>
      <c r="P561">
        <v>1893</v>
      </c>
      <c r="Q561">
        <v>132</v>
      </c>
    </row>
    <row r="562" spans="1:17" x14ac:dyDescent="0.3">
      <c r="A562" s="5">
        <v>42030</v>
      </c>
      <c r="B562">
        <v>2015</v>
      </c>
      <c r="C562">
        <v>1</v>
      </c>
      <c r="E562" t="s">
        <v>398</v>
      </c>
      <c r="F562" t="s">
        <v>396</v>
      </c>
      <c r="H562">
        <v>1902</v>
      </c>
      <c r="I562">
        <v>131</v>
      </c>
      <c r="P562">
        <v>1902</v>
      </c>
      <c r="Q562">
        <v>131</v>
      </c>
    </row>
    <row r="563" spans="1:17" x14ac:dyDescent="0.3">
      <c r="A563" s="5">
        <v>42030</v>
      </c>
      <c r="B563">
        <v>2015</v>
      </c>
      <c r="C563">
        <v>1</v>
      </c>
      <c r="E563" t="s">
        <v>401</v>
      </c>
      <c r="F563" t="s">
        <v>396</v>
      </c>
      <c r="H563">
        <v>1997</v>
      </c>
      <c r="I563">
        <v>119</v>
      </c>
      <c r="P563">
        <v>1997</v>
      </c>
      <c r="Q563">
        <v>119</v>
      </c>
    </row>
    <row r="564" spans="1:17" x14ac:dyDescent="0.3">
      <c r="A564" s="5">
        <v>42030</v>
      </c>
      <c r="B564">
        <v>2015</v>
      </c>
      <c r="C564">
        <v>1</v>
      </c>
      <c r="E564" t="s">
        <v>399</v>
      </c>
      <c r="F564" t="s">
        <v>396</v>
      </c>
      <c r="H564">
        <v>2033</v>
      </c>
      <c r="I564">
        <v>131</v>
      </c>
      <c r="P564">
        <v>2033</v>
      </c>
      <c r="Q564">
        <v>131</v>
      </c>
    </row>
    <row r="565" spans="1:17" x14ac:dyDescent="0.3">
      <c r="A565" s="5">
        <v>42030</v>
      </c>
      <c r="B565">
        <v>2015</v>
      </c>
      <c r="C565">
        <v>1</v>
      </c>
      <c r="E565" t="s">
        <v>402</v>
      </c>
      <c r="F565" t="s">
        <v>396</v>
      </c>
      <c r="H565">
        <v>2193</v>
      </c>
      <c r="I565">
        <v>136</v>
      </c>
      <c r="P565">
        <v>2193</v>
      </c>
      <c r="Q565">
        <v>136</v>
      </c>
    </row>
    <row r="566" spans="1:17" x14ac:dyDescent="0.3">
      <c r="A566" s="5">
        <v>42033</v>
      </c>
      <c r="B566">
        <v>2015</v>
      </c>
      <c r="C566">
        <v>1</v>
      </c>
      <c r="E566" t="s">
        <v>403</v>
      </c>
      <c r="F566" t="s">
        <v>404</v>
      </c>
      <c r="H566">
        <v>2518</v>
      </c>
      <c r="I566">
        <v>143</v>
      </c>
      <c r="J566">
        <v>2526</v>
      </c>
      <c r="K566">
        <v>145</v>
      </c>
      <c r="P566">
        <v>2522</v>
      </c>
      <c r="Q566">
        <v>144</v>
      </c>
    </row>
    <row r="567" spans="1:17" x14ac:dyDescent="0.3">
      <c r="A567" s="5">
        <v>42042</v>
      </c>
      <c r="B567">
        <v>2015</v>
      </c>
      <c r="C567">
        <v>2</v>
      </c>
      <c r="E567" t="s">
        <v>400</v>
      </c>
      <c r="F567" t="s">
        <v>396</v>
      </c>
      <c r="H567">
        <v>1934</v>
      </c>
      <c r="I567">
        <v>131</v>
      </c>
      <c r="P567">
        <v>1934</v>
      </c>
      <c r="Q567">
        <v>131</v>
      </c>
    </row>
    <row r="568" spans="1:17" x14ac:dyDescent="0.3">
      <c r="A568" s="5">
        <v>42042</v>
      </c>
      <c r="B568">
        <v>2015</v>
      </c>
      <c r="C568">
        <v>2</v>
      </c>
      <c r="E568" t="s">
        <v>398</v>
      </c>
      <c r="F568" t="s">
        <v>396</v>
      </c>
      <c r="H568">
        <v>1978</v>
      </c>
      <c r="I568">
        <v>130</v>
      </c>
      <c r="P568">
        <v>1978</v>
      </c>
      <c r="Q568">
        <v>130</v>
      </c>
    </row>
    <row r="569" spans="1:17" x14ac:dyDescent="0.3">
      <c r="A569" s="5">
        <v>42042</v>
      </c>
      <c r="B569">
        <v>2015</v>
      </c>
      <c r="C569">
        <v>2</v>
      </c>
      <c r="E569" t="s">
        <v>399</v>
      </c>
      <c r="F569" t="s">
        <v>396</v>
      </c>
      <c r="H569">
        <v>2157</v>
      </c>
      <c r="I569">
        <v>137</v>
      </c>
      <c r="P569">
        <v>2157</v>
      </c>
      <c r="Q569">
        <v>137</v>
      </c>
    </row>
    <row r="570" spans="1:17" x14ac:dyDescent="0.3">
      <c r="A570" s="5">
        <v>42042</v>
      </c>
      <c r="B570">
        <v>2015</v>
      </c>
      <c r="C570">
        <v>2</v>
      </c>
      <c r="E570" t="s">
        <v>401</v>
      </c>
      <c r="F570" t="s">
        <v>396</v>
      </c>
      <c r="H570">
        <v>2171</v>
      </c>
      <c r="I570">
        <v>108</v>
      </c>
      <c r="P570">
        <v>2171</v>
      </c>
      <c r="Q570">
        <v>108</v>
      </c>
    </row>
    <row r="571" spans="1:17" x14ac:dyDescent="0.3">
      <c r="A571" s="5">
        <v>42042</v>
      </c>
      <c r="B571">
        <v>2015</v>
      </c>
      <c r="C571">
        <v>2</v>
      </c>
      <c r="E571" t="s">
        <v>402</v>
      </c>
      <c r="F571" t="s">
        <v>396</v>
      </c>
      <c r="H571">
        <v>2276</v>
      </c>
      <c r="I571">
        <v>141</v>
      </c>
      <c r="P571">
        <v>2276</v>
      </c>
      <c r="Q571">
        <v>141</v>
      </c>
    </row>
    <row r="572" spans="1:17" x14ac:dyDescent="0.3">
      <c r="A572" s="5">
        <v>42122</v>
      </c>
      <c r="B572">
        <v>2015</v>
      </c>
      <c r="C572">
        <v>4</v>
      </c>
      <c r="E572" t="s">
        <v>395</v>
      </c>
      <c r="F572" t="s">
        <v>396</v>
      </c>
      <c r="H572">
        <v>1158</v>
      </c>
      <c r="I572">
        <v>129</v>
      </c>
      <c r="P572">
        <v>1158</v>
      </c>
      <c r="Q572">
        <v>129</v>
      </c>
    </row>
    <row r="573" spans="1:17" x14ac:dyDescent="0.3">
      <c r="A573" s="5">
        <v>42122</v>
      </c>
      <c r="B573">
        <v>2015</v>
      </c>
      <c r="C573">
        <v>4</v>
      </c>
      <c r="E573" t="s">
        <v>398</v>
      </c>
      <c r="F573" t="s">
        <v>396</v>
      </c>
      <c r="H573">
        <v>1788</v>
      </c>
      <c r="I573">
        <v>127</v>
      </c>
      <c r="P573">
        <v>1788</v>
      </c>
      <c r="Q573">
        <v>127</v>
      </c>
    </row>
    <row r="574" spans="1:17" x14ac:dyDescent="0.3">
      <c r="A574" s="5">
        <v>42122</v>
      </c>
      <c r="B574">
        <v>2015</v>
      </c>
      <c r="C574">
        <v>4</v>
      </c>
      <c r="E574" t="s">
        <v>400</v>
      </c>
      <c r="F574" t="s">
        <v>396</v>
      </c>
      <c r="H574">
        <v>1789</v>
      </c>
      <c r="I574">
        <v>130</v>
      </c>
      <c r="P574">
        <v>1789</v>
      </c>
      <c r="Q574">
        <v>130</v>
      </c>
    </row>
    <row r="575" spans="1:17" x14ac:dyDescent="0.3">
      <c r="A575" s="5">
        <v>42122</v>
      </c>
      <c r="B575">
        <v>2015</v>
      </c>
      <c r="C575">
        <v>4</v>
      </c>
      <c r="E575" t="s">
        <v>399</v>
      </c>
      <c r="F575" t="s">
        <v>396</v>
      </c>
      <c r="H575">
        <v>1886</v>
      </c>
      <c r="I575">
        <v>129</v>
      </c>
      <c r="P575">
        <v>1886</v>
      </c>
      <c r="Q575">
        <v>129</v>
      </c>
    </row>
    <row r="576" spans="1:17" x14ac:dyDescent="0.3">
      <c r="A576" s="5">
        <v>42122</v>
      </c>
      <c r="B576">
        <v>2015</v>
      </c>
      <c r="C576">
        <v>4</v>
      </c>
      <c r="E576" t="s">
        <v>402</v>
      </c>
      <c r="F576" t="s">
        <v>396</v>
      </c>
      <c r="H576">
        <v>2062</v>
      </c>
      <c r="I576">
        <v>131</v>
      </c>
      <c r="P576">
        <v>2062</v>
      </c>
      <c r="Q576">
        <v>131</v>
      </c>
    </row>
    <row r="577" spans="1:17" x14ac:dyDescent="0.3">
      <c r="A577" s="5">
        <v>42122</v>
      </c>
      <c r="B577">
        <v>2015</v>
      </c>
      <c r="C577">
        <v>4</v>
      </c>
      <c r="E577" t="s">
        <v>401</v>
      </c>
      <c r="F577" t="s">
        <v>396</v>
      </c>
      <c r="H577">
        <v>2164</v>
      </c>
      <c r="I577">
        <v>113</v>
      </c>
      <c r="P577">
        <v>2164</v>
      </c>
      <c r="Q577">
        <v>113</v>
      </c>
    </row>
    <row r="578" spans="1:17" x14ac:dyDescent="0.3">
      <c r="A578" s="5">
        <v>42129</v>
      </c>
      <c r="B578">
        <v>2015</v>
      </c>
      <c r="C578">
        <v>5</v>
      </c>
      <c r="E578" t="s">
        <v>407</v>
      </c>
      <c r="F578" t="s">
        <v>396</v>
      </c>
      <c r="H578">
        <v>1745</v>
      </c>
      <c r="I578">
        <v>127</v>
      </c>
      <c r="P578">
        <v>1745</v>
      </c>
      <c r="Q578">
        <v>127</v>
      </c>
    </row>
    <row r="579" spans="1:17" x14ac:dyDescent="0.3">
      <c r="A579" s="5">
        <v>42129</v>
      </c>
      <c r="B579">
        <v>2015</v>
      </c>
      <c r="C579">
        <v>5</v>
      </c>
      <c r="E579" t="s">
        <v>398</v>
      </c>
      <c r="F579" t="s">
        <v>396</v>
      </c>
      <c r="H579">
        <v>1788</v>
      </c>
      <c r="I579">
        <v>128</v>
      </c>
      <c r="P579">
        <v>1788</v>
      </c>
      <c r="Q579">
        <v>128</v>
      </c>
    </row>
    <row r="580" spans="1:17" x14ac:dyDescent="0.3">
      <c r="A580" s="5">
        <v>42129</v>
      </c>
      <c r="B580">
        <v>2015</v>
      </c>
      <c r="C580">
        <v>5</v>
      </c>
      <c r="E580" t="s">
        <v>400</v>
      </c>
      <c r="F580" t="s">
        <v>396</v>
      </c>
      <c r="H580">
        <v>1823</v>
      </c>
      <c r="I580">
        <v>128</v>
      </c>
      <c r="P580">
        <v>1823</v>
      </c>
      <c r="Q580">
        <v>128</v>
      </c>
    </row>
    <row r="581" spans="1:17" x14ac:dyDescent="0.3">
      <c r="A581" s="5">
        <v>42129</v>
      </c>
      <c r="B581">
        <v>2015</v>
      </c>
      <c r="C581">
        <v>5</v>
      </c>
      <c r="E581" t="s">
        <v>399</v>
      </c>
      <c r="F581" t="s">
        <v>396</v>
      </c>
      <c r="H581">
        <v>1889</v>
      </c>
      <c r="I581">
        <v>131</v>
      </c>
      <c r="P581">
        <v>1889</v>
      </c>
      <c r="Q581">
        <v>131</v>
      </c>
    </row>
    <row r="582" spans="1:17" x14ac:dyDescent="0.3">
      <c r="A582" s="5">
        <v>42129</v>
      </c>
      <c r="B582">
        <v>2015</v>
      </c>
      <c r="C582">
        <v>5</v>
      </c>
      <c r="E582" t="s">
        <v>402</v>
      </c>
      <c r="F582" t="s">
        <v>396</v>
      </c>
      <c r="H582">
        <v>2097</v>
      </c>
      <c r="I582">
        <v>132</v>
      </c>
      <c r="P582">
        <v>2097</v>
      </c>
      <c r="Q582">
        <v>132</v>
      </c>
    </row>
    <row r="583" spans="1:17" x14ac:dyDescent="0.3">
      <c r="A583" s="5">
        <v>42136</v>
      </c>
      <c r="B583">
        <v>2015</v>
      </c>
      <c r="C583">
        <v>5</v>
      </c>
      <c r="E583" t="s">
        <v>409</v>
      </c>
      <c r="F583" t="s">
        <v>396</v>
      </c>
      <c r="H583">
        <v>1630</v>
      </c>
      <c r="I583">
        <v>142</v>
      </c>
      <c r="P583">
        <v>1630</v>
      </c>
      <c r="Q583">
        <v>142</v>
      </c>
    </row>
    <row r="584" spans="1:17" x14ac:dyDescent="0.3">
      <c r="A584" s="5">
        <v>42136</v>
      </c>
      <c r="B584">
        <v>2015</v>
      </c>
      <c r="C584">
        <v>5</v>
      </c>
      <c r="E584" t="s">
        <v>407</v>
      </c>
      <c r="F584" t="s">
        <v>396</v>
      </c>
      <c r="H584">
        <v>1890</v>
      </c>
      <c r="I584">
        <v>136</v>
      </c>
      <c r="P584">
        <v>1890</v>
      </c>
      <c r="Q584">
        <v>136</v>
      </c>
    </row>
    <row r="585" spans="1:17" x14ac:dyDescent="0.3">
      <c r="A585" s="5">
        <v>42137</v>
      </c>
      <c r="B585">
        <v>2015</v>
      </c>
      <c r="C585">
        <v>5</v>
      </c>
      <c r="E585" t="s">
        <v>395</v>
      </c>
      <c r="F585" t="s">
        <v>396</v>
      </c>
      <c r="H585">
        <v>1157</v>
      </c>
      <c r="I585">
        <v>124</v>
      </c>
      <c r="P585">
        <v>1157</v>
      </c>
      <c r="Q585">
        <v>124</v>
      </c>
    </row>
    <row r="586" spans="1:17" x14ac:dyDescent="0.3">
      <c r="A586" s="5">
        <v>42137</v>
      </c>
      <c r="B586">
        <v>2015</v>
      </c>
      <c r="C586">
        <v>5</v>
      </c>
      <c r="E586" t="s">
        <v>398</v>
      </c>
      <c r="F586" t="s">
        <v>396</v>
      </c>
      <c r="H586">
        <v>1844</v>
      </c>
      <c r="I586">
        <v>131</v>
      </c>
      <c r="P586">
        <v>1844</v>
      </c>
      <c r="Q586">
        <v>131</v>
      </c>
    </row>
    <row r="587" spans="1:17" x14ac:dyDescent="0.3">
      <c r="A587" s="5">
        <v>42137</v>
      </c>
      <c r="B587">
        <v>2015</v>
      </c>
      <c r="C587">
        <v>5</v>
      </c>
      <c r="E587" t="s">
        <v>400</v>
      </c>
      <c r="F587" t="s">
        <v>396</v>
      </c>
      <c r="H587">
        <v>1851</v>
      </c>
      <c r="I587">
        <v>132</v>
      </c>
      <c r="P587">
        <v>1851</v>
      </c>
      <c r="Q587">
        <v>132</v>
      </c>
    </row>
    <row r="588" spans="1:17" x14ac:dyDescent="0.3">
      <c r="A588" s="5">
        <v>42137</v>
      </c>
      <c r="B588">
        <v>2015</v>
      </c>
      <c r="C588">
        <v>5</v>
      </c>
      <c r="E588" t="s">
        <v>399</v>
      </c>
      <c r="F588" t="s">
        <v>396</v>
      </c>
      <c r="H588">
        <v>1906</v>
      </c>
      <c r="I588">
        <v>135</v>
      </c>
      <c r="P588">
        <v>1906</v>
      </c>
      <c r="Q588">
        <v>135</v>
      </c>
    </row>
    <row r="589" spans="1:17" x14ac:dyDescent="0.3">
      <c r="A589" s="5">
        <v>42138</v>
      </c>
      <c r="B589">
        <v>2015</v>
      </c>
      <c r="C589">
        <v>5</v>
      </c>
      <c r="E589" t="s">
        <v>402</v>
      </c>
      <c r="F589" t="s">
        <v>396</v>
      </c>
      <c r="H589">
        <v>2232</v>
      </c>
      <c r="I589">
        <v>143</v>
      </c>
      <c r="P589">
        <v>2232</v>
      </c>
      <c r="Q589">
        <v>143</v>
      </c>
    </row>
    <row r="590" spans="1:17" x14ac:dyDescent="0.3">
      <c r="A590" s="5">
        <v>42143</v>
      </c>
      <c r="B590">
        <v>2015</v>
      </c>
      <c r="C590">
        <v>5</v>
      </c>
      <c r="E590" t="s">
        <v>395</v>
      </c>
      <c r="F590" t="s">
        <v>396</v>
      </c>
      <c r="H590">
        <v>1200</v>
      </c>
      <c r="I590">
        <v>123</v>
      </c>
      <c r="P590">
        <v>1200</v>
      </c>
      <c r="Q590">
        <v>123</v>
      </c>
    </row>
    <row r="591" spans="1:17" x14ac:dyDescent="0.3">
      <c r="A591" s="5">
        <v>42143</v>
      </c>
      <c r="B591">
        <v>2015</v>
      </c>
      <c r="C591">
        <v>5</v>
      </c>
      <c r="E591" t="s">
        <v>407</v>
      </c>
      <c r="F591" t="s">
        <v>396</v>
      </c>
      <c r="H591">
        <v>1845</v>
      </c>
      <c r="I591">
        <v>128</v>
      </c>
      <c r="P591">
        <v>1845</v>
      </c>
      <c r="Q591">
        <v>128</v>
      </c>
    </row>
    <row r="592" spans="1:17" x14ac:dyDescent="0.3">
      <c r="A592" s="5">
        <v>42143</v>
      </c>
      <c r="B592">
        <v>2015</v>
      </c>
      <c r="C592">
        <v>5</v>
      </c>
      <c r="E592" t="s">
        <v>398</v>
      </c>
      <c r="F592" t="s">
        <v>396</v>
      </c>
      <c r="H592">
        <v>1854</v>
      </c>
      <c r="I592">
        <v>135</v>
      </c>
      <c r="P592">
        <v>1854</v>
      </c>
      <c r="Q592">
        <v>135</v>
      </c>
    </row>
    <row r="593" spans="1:17" x14ac:dyDescent="0.3">
      <c r="A593" s="5">
        <v>42143</v>
      </c>
      <c r="B593">
        <v>2015</v>
      </c>
      <c r="C593">
        <v>5</v>
      </c>
      <c r="E593" t="s">
        <v>400</v>
      </c>
      <c r="F593" t="s">
        <v>396</v>
      </c>
      <c r="H593">
        <v>1869</v>
      </c>
      <c r="I593">
        <v>134</v>
      </c>
      <c r="P593">
        <v>1869</v>
      </c>
      <c r="Q593">
        <v>134</v>
      </c>
    </row>
    <row r="594" spans="1:17" x14ac:dyDescent="0.3">
      <c r="A594" s="5">
        <v>42143</v>
      </c>
      <c r="B594">
        <v>2015</v>
      </c>
      <c r="C594">
        <v>5</v>
      </c>
      <c r="E594" t="s">
        <v>399</v>
      </c>
      <c r="F594" t="s">
        <v>396</v>
      </c>
      <c r="H594">
        <v>1934</v>
      </c>
      <c r="I594">
        <v>129</v>
      </c>
      <c r="P594">
        <v>1934</v>
      </c>
      <c r="Q594">
        <v>129</v>
      </c>
    </row>
    <row r="595" spans="1:17" x14ac:dyDescent="0.3">
      <c r="A595" s="5">
        <v>42143</v>
      </c>
      <c r="B595">
        <v>2015</v>
      </c>
      <c r="C595">
        <v>5</v>
      </c>
      <c r="E595" t="s">
        <v>401</v>
      </c>
      <c r="F595" t="s">
        <v>396</v>
      </c>
      <c r="H595">
        <v>1992</v>
      </c>
      <c r="I595">
        <v>110</v>
      </c>
      <c r="P595">
        <v>1992</v>
      </c>
      <c r="Q595">
        <v>110</v>
      </c>
    </row>
    <row r="596" spans="1:17" x14ac:dyDescent="0.3">
      <c r="A596" s="5">
        <v>42143</v>
      </c>
      <c r="B596">
        <v>2015</v>
      </c>
      <c r="C596">
        <v>5</v>
      </c>
      <c r="E596" t="s">
        <v>402</v>
      </c>
      <c r="F596" t="s">
        <v>396</v>
      </c>
      <c r="H596">
        <v>2028</v>
      </c>
      <c r="I596">
        <v>135</v>
      </c>
      <c r="P596">
        <v>2028</v>
      </c>
      <c r="Q596">
        <v>135</v>
      </c>
    </row>
    <row r="597" spans="1:17" x14ac:dyDescent="0.3">
      <c r="A597" s="5">
        <v>42153</v>
      </c>
      <c r="B597">
        <v>2015</v>
      </c>
      <c r="C597">
        <v>5</v>
      </c>
      <c r="E597" t="s">
        <v>395</v>
      </c>
      <c r="F597" t="s">
        <v>396</v>
      </c>
      <c r="H597">
        <v>1162</v>
      </c>
      <c r="I597">
        <v>129</v>
      </c>
      <c r="P597">
        <v>1162</v>
      </c>
      <c r="Q597">
        <v>129</v>
      </c>
    </row>
    <row r="598" spans="1:17" x14ac:dyDescent="0.3">
      <c r="A598" s="5">
        <v>42153</v>
      </c>
      <c r="B598">
        <v>2015</v>
      </c>
      <c r="C598">
        <v>5</v>
      </c>
      <c r="E598" t="s">
        <v>400</v>
      </c>
      <c r="F598" t="s">
        <v>396</v>
      </c>
      <c r="H598">
        <v>1775</v>
      </c>
      <c r="I598">
        <v>131</v>
      </c>
      <c r="P598">
        <v>1775</v>
      </c>
      <c r="Q598">
        <v>131</v>
      </c>
    </row>
    <row r="599" spans="1:17" x14ac:dyDescent="0.3">
      <c r="A599" s="5">
        <v>42153</v>
      </c>
      <c r="B599">
        <v>2015</v>
      </c>
      <c r="C599">
        <v>5</v>
      </c>
      <c r="E599" t="s">
        <v>398</v>
      </c>
      <c r="F599" t="s">
        <v>396</v>
      </c>
      <c r="H599">
        <v>1835</v>
      </c>
      <c r="I599">
        <v>140</v>
      </c>
      <c r="P599">
        <v>1835</v>
      </c>
      <c r="Q599">
        <v>140</v>
      </c>
    </row>
    <row r="600" spans="1:17" x14ac:dyDescent="0.3">
      <c r="A600" s="5">
        <v>42153</v>
      </c>
      <c r="B600">
        <v>2015</v>
      </c>
      <c r="C600">
        <v>5</v>
      </c>
      <c r="E600" t="s">
        <v>407</v>
      </c>
      <c r="F600" t="s">
        <v>396</v>
      </c>
      <c r="H600">
        <v>1867</v>
      </c>
      <c r="I600">
        <v>132</v>
      </c>
      <c r="P600">
        <v>1867</v>
      </c>
      <c r="Q600">
        <v>132</v>
      </c>
    </row>
    <row r="601" spans="1:17" x14ac:dyDescent="0.3">
      <c r="A601" s="5">
        <v>42153</v>
      </c>
      <c r="B601">
        <v>2015</v>
      </c>
      <c r="C601">
        <v>5</v>
      </c>
      <c r="E601" t="s">
        <v>399</v>
      </c>
      <c r="F601" t="s">
        <v>396</v>
      </c>
      <c r="H601">
        <v>1970</v>
      </c>
      <c r="I601">
        <v>132</v>
      </c>
      <c r="P601">
        <v>1970</v>
      </c>
      <c r="Q601">
        <v>132</v>
      </c>
    </row>
    <row r="602" spans="1:17" x14ac:dyDescent="0.3">
      <c r="A602" s="5">
        <v>42153</v>
      </c>
      <c r="B602">
        <v>2015</v>
      </c>
      <c r="C602">
        <v>5</v>
      </c>
      <c r="E602" t="s">
        <v>401</v>
      </c>
      <c r="F602" t="s">
        <v>396</v>
      </c>
      <c r="H602">
        <v>1980</v>
      </c>
      <c r="I602">
        <v>106</v>
      </c>
      <c r="P602">
        <v>1980</v>
      </c>
      <c r="Q602">
        <v>106</v>
      </c>
    </row>
    <row r="603" spans="1:17" x14ac:dyDescent="0.3">
      <c r="A603" s="5">
        <v>42153</v>
      </c>
      <c r="B603">
        <v>2015</v>
      </c>
      <c r="C603">
        <v>5</v>
      </c>
      <c r="E603" t="s">
        <v>402</v>
      </c>
      <c r="F603" t="s">
        <v>396</v>
      </c>
      <c r="H603">
        <v>2197</v>
      </c>
      <c r="I603">
        <v>139</v>
      </c>
      <c r="P603">
        <v>2197</v>
      </c>
      <c r="Q603">
        <v>139</v>
      </c>
    </row>
    <row r="604" spans="1:17" x14ac:dyDescent="0.3">
      <c r="A604" s="5">
        <v>42268</v>
      </c>
      <c r="B604">
        <v>2015</v>
      </c>
      <c r="C604">
        <v>9</v>
      </c>
      <c r="E604" t="s">
        <v>395</v>
      </c>
      <c r="F604" t="s">
        <v>396</v>
      </c>
      <c r="H604">
        <v>1283</v>
      </c>
      <c r="I604">
        <v>133</v>
      </c>
      <c r="P604">
        <v>1283</v>
      </c>
      <c r="Q604">
        <v>133</v>
      </c>
    </row>
    <row r="605" spans="1:17" x14ac:dyDescent="0.3">
      <c r="A605" s="5">
        <v>42268</v>
      </c>
      <c r="B605">
        <v>2015</v>
      </c>
      <c r="C605">
        <v>9</v>
      </c>
      <c r="E605" t="s">
        <v>400</v>
      </c>
      <c r="F605" t="s">
        <v>396</v>
      </c>
      <c r="H605">
        <v>1777</v>
      </c>
      <c r="I605">
        <v>133</v>
      </c>
      <c r="P605">
        <v>1777</v>
      </c>
      <c r="Q605">
        <v>133</v>
      </c>
    </row>
    <row r="606" spans="1:17" x14ac:dyDescent="0.3">
      <c r="A606" s="5">
        <v>42268</v>
      </c>
      <c r="B606">
        <v>2015</v>
      </c>
      <c r="C606">
        <v>9</v>
      </c>
      <c r="E606" t="s">
        <v>398</v>
      </c>
      <c r="F606" t="s">
        <v>396</v>
      </c>
      <c r="H606">
        <v>1821</v>
      </c>
      <c r="I606">
        <v>135</v>
      </c>
      <c r="P606">
        <v>1821</v>
      </c>
      <c r="Q606">
        <v>135</v>
      </c>
    </row>
    <row r="607" spans="1:17" x14ac:dyDescent="0.3">
      <c r="A607" s="5">
        <v>42268</v>
      </c>
      <c r="B607">
        <v>2015</v>
      </c>
      <c r="C607">
        <v>9</v>
      </c>
      <c r="E607" t="s">
        <v>407</v>
      </c>
      <c r="F607" t="s">
        <v>396</v>
      </c>
      <c r="H607">
        <v>1938</v>
      </c>
      <c r="I607">
        <v>132</v>
      </c>
      <c r="J607">
        <v>1856</v>
      </c>
      <c r="K607">
        <v>135</v>
      </c>
      <c r="L607">
        <v>1985</v>
      </c>
      <c r="M607">
        <v>137</v>
      </c>
      <c r="N607">
        <v>1953</v>
      </c>
      <c r="O607">
        <v>137</v>
      </c>
      <c r="P607">
        <v>1933</v>
      </c>
      <c r="Q607">
        <v>135.25</v>
      </c>
    </row>
    <row r="608" spans="1:17" x14ac:dyDescent="0.3">
      <c r="A608" s="5">
        <v>42268</v>
      </c>
      <c r="B608">
        <v>2015</v>
      </c>
      <c r="C608">
        <v>9</v>
      </c>
      <c r="E608" t="s">
        <v>399</v>
      </c>
      <c r="F608" t="s">
        <v>396</v>
      </c>
      <c r="H608">
        <v>1948</v>
      </c>
      <c r="I608">
        <v>136</v>
      </c>
      <c r="P608">
        <v>1948</v>
      </c>
      <c r="Q608">
        <v>136</v>
      </c>
    </row>
    <row r="609" spans="1:17" x14ac:dyDescent="0.3">
      <c r="A609" s="5">
        <v>42268</v>
      </c>
      <c r="B609">
        <v>2015</v>
      </c>
      <c r="C609">
        <v>9</v>
      </c>
      <c r="E609" t="s">
        <v>401</v>
      </c>
      <c r="F609" t="s">
        <v>396</v>
      </c>
      <c r="H609">
        <v>2027</v>
      </c>
      <c r="I609">
        <v>120</v>
      </c>
      <c r="P609">
        <v>2027</v>
      </c>
      <c r="Q609">
        <v>120</v>
      </c>
    </row>
    <row r="610" spans="1:17" x14ac:dyDescent="0.3">
      <c r="A610" s="5">
        <v>42268</v>
      </c>
      <c r="B610">
        <v>2015</v>
      </c>
      <c r="C610">
        <v>9</v>
      </c>
      <c r="E610" t="s">
        <v>402</v>
      </c>
      <c r="F610" t="s">
        <v>396</v>
      </c>
      <c r="H610">
        <v>2049</v>
      </c>
      <c r="I610">
        <v>135</v>
      </c>
      <c r="P610">
        <v>2049</v>
      </c>
      <c r="Q610">
        <v>135</v>
      </c>
    </row>
    <row r="611" spans="1:17" x14ac:dyDescent="0.3">
      <c r="A611" s="5">
        <v>42333</v>
      </c>
      <c r="B611">
        <v>2015</v>
      </c>
      <c r="C611">
        <v>11</v>
      </c>
      <c r="E611" t="s">
        <v>410</v>
      </c>
      <c r="F611" t="s">
        <v>396</v>
      </c>
      <c r="H611">
        <v>1133</v>
      </c>
      <c r="I611">
        <v>130</v>
      </c>
      <c r="J611">
        <v>1120</v>
      </c>
      <c r="K611">
        <v>128</v>
      </c>
      <c r="P611">
        <v>1126.5</v>
      </c>
      <c r="Q611">
        <v>129</v>
      </c>
    </row>
    <row r="612" spans="1:17" x14ac:dyDescent="0.3">
      <c r="A612" s="5">
        <v>42333</v>
      </c>
      <c r="B612">
        <v>2015</v>
      </c>
      <c r="C612">
        <v>11</v>
      </c>
      <c r="E612" t="s">
        <v>395</v>
      </c>
      <c r="F612" t="s">
        <v>396</v>
      </c>
      <c r="H612">
        <v>1282</v>
      </c>
      <c r="I612">
        <v>133</v>
      </c>
      <c r="J612">
        <v>1216</v>
      </c>
      <c r="K612">
        <v>127</v>
      </c>
      <c r="P612">
        <v>1249</v>
      </c>
      <c r="Q612">
        <v>130</v>
      </c>
    </row>
    <row r="613" spans="1:17" x14ac:dyDescent="0.3">
      <c r="A613" s="5">
        <v>42333</v>
      </c>
      <c r="B613">
        <v>2015</v>
      </c>
      <c r="C613">
        <v>11</v>
      </c>
      <c r="E613" t="s">
        <v>400</v>
      </c>
      <c r="F613" t="s">
        <v>396</v>
      </c>
      <c r="H613">
        <v>1794</v>
      </c>
      <c r="I613">
        <v>134</v>
      </c>
      <c r="J613">
        <v>1783</v>
      </c>
      <c r="K613">
        <v>129</v>
      </c>
      <c r="P613">
        <v>1788.5</v>
      </c>
      <c r="Q613">
        <v>131.5</v>
      </c>
    </row>
    <row r="614" spans="1:17" x14ac:dyDescent="0.3">
      <c r="A614" s="5">
        <v>42333</v>
      </c>
      <c r="B614">
        <v>2015</v>
      </c>
      <c r="C614">
        <v>11</v>
      </c>
      <c r="E614" t="s">
        <v>398</v>
      </c>
      <c r="F614" t="s">
        <v>396</v>
      </c>
      <c r="H614">
        <v>1906</v>
      </c>
      <c r="I614">
        <v>133</v>
      </c>
      <c r="J614">
        <v>1833</v>
      </c>
      <c r="K614">
        <v>135</v>
      </c>
      <c r="P614">
        <v>1869.5</v>
      </c>
      <c r="Q614">
        <v>134</v>
      </c>
    </row>
    <row r="615" spans="1:17" x14ac:dyDescent="0.3">
      <c r="A615" s="5">
        <v>42333</v>
      </c>
      <c r="B615">
        <v>2015</v>
      </c>
      <c r="C615">
        <v>11</v>
      </c>
      <c r="E615" t="s">
        <v>407</v>
      </c>
      <c r="F615" t="s">
        <v>396</v>
      </c>
      <c r="H615">
        <v>1944</v>
      </c>
      <c r="I615">
        <v>133</v>
      </c>
      <c r="J615">
        <v>1833</v>
      </c>
      <c r="K615">
        <v>131</v>
      </c>
      <c r="P615">
        <v>1888.5</v>
      </c>
      <c r="Q615">
        <v>132</v>
      </c>
    </row>
    <row r="616" spans="1:17" x14ac:dyDescent="0.3">
      <c r="A616" s="5">
        <v>42333</v>
      </c>
      <c r="B616">
        <v>2015</v>
      </c>
      <c r="C616">
        <v>11</v>
      </c>
      <c r="E616" t="s">
        <v>399</v>
      </c>
      <c r="F616" t="s">
        <v>396</v>
      </c>
      <c r="H616">
        <v>1971</v>
      </c>
      <c r="I616">
        <v>136</v>
      </c>
      <c r="J616">
        <v>1984</v>
      </c>
      <c r="K616">
        <v>132</v>
      </c>
      <c r="P616">
        <v>1977.5</v>
      </c>
      <c r="Q616">
        <v>134</v>
      </c>
    </row>
    <row r="617" spans="1:17" x14ac:dyDescent="0.3">
      <c r="A617" s="5">
        <v>42333</v>
      </c>
      <c r="B617">
        <v>2015</v>
      </c>
      <c r="C617">
        <v>11</v>
      </c>
      <c r="E617" t="s">
        <v>402</v>
      </c>
      <c r="F617" t="s">
        <v>396</v>
      </c>
      <c r="H617">
        <v>2044</v>
      </c>
      <c r="I617">
        <v>131</v>
      </c>
      <c r="J617">
        <v>2065</v>
      </c>
      <c r="K617">
        <v>133</v>
      </c>
      <c r="P617">
        <v>2054.5</v>
      </c>
      <c r="Q617">
        <v>132</v>
      </c>
    </row>
    <row r="618" spans="1:17" x14ac:dyDescent="0.3">
      <c r="A618" s="5">
        <v>42333</v>
      </c>
      <c r="B618">
        <v>2015</v>
      </c>
      <c r="C618">
        <v>11</v>
      </c>
      <c r="E618" t="s">
        <v>401</v>
      </c>
      <c r="F618" t="s">
        <v>396</v>
      </c>
      <c r="H618">
        <v>2134</v>
      </c>
      <c r="I618">
        <v>112</v>
      </c>
      <c r="J618">
        <v>2058</v>
      </c>
      <c r="K618">
        <v>113</v>
      </c>
      <c r="P618">
        <v>2096</v>
      </c>
      <c r="Q618">
        <v>112.5</v>
      </c>
    </row>
    <row r="619" spans="1:17" x14ac:dyDescent="0.3">
      <c r="A619" s="5">
        <v>42371</v>
      </c>
      <c r="B619">
        <v>2016</v>
      </c>
      <c r="C619">
        <v>1</v>
      </c>
      <c r="D619" t="s">
        <v>411</v>
      </c>
      <c r="E619" t="s">
        <v>402</v>
      </c>
      <c r="F619" t="s">
        <v>396</v>
      </c>
      <c r="H619">
        <v>2098</v>
      </c>
      <c r="I619">
        <v>142</v>
      </c>
      <c r="J619">
        <v>2096</v>
      </c>
      <c r="K619">
        <v>139</v>
      </c>
      <c r="P619">
        <v>2097</v>
      </c>
      <c r="Q619">
        <v>140.5</v>
      </c>
    </row>
    <row r="620" spans="1:17" x14ac:dyDescent="0.3">
      <c r="A620" s="5">
        <v>42372</v>
      </c>
      <c r="B620">
        <v>2016</v>
      </c>
      <c r="C620">
        <v>1</v>
      </c>
      <c r="D620" t="s">
        <v>411</v>
      </c>
      <c r="E620" t="s">
        <v>395</v>
      </c>
      <c r="F620" t="s">
        <v>396</v>
      </c>
      <c r="H620">
        <v>1256</v>
      </c>
      <c r="I620">
        <v>132</v>
      </c>
      <c r="J620">
        <v>1205</v>
      </c>
      <c r="K620">
        <v>128</v>
      </c>
      <c r="P620">
        <v>1230.5</v>
      </c>
      <c r="Q620">
        <v>130</v>
      </c>
    </row>
    <row r="621" spans="1:17" x14ac:dyDescent="0.3">
      <c r="A621" s="5">
        <v>42372</v>
      </c>
      <c r="B621">
        <v>2016</v>
      </c>
      <c r="C621">
        <v>1</v>
      </c>
      <c r="D621" t="s">
        <v>411</v>
      </c>
      <c r="E621" t="s">
        <v>407</v>
      </c>
      <c r="F621" t="s">
        <v>396</v>
      </c>
      <c r="H621">
        <v>1972</v>
      </c>
      <c r="I621">
        <v>135</v>
      </c>
      <c r="J621">
        <v>1899</v>
      </c>
      <c r="K621">
        <v>139</v>
      </c>
      <c r="P621">
        <v>1935.5</v>
      </c>
      <c r="Q621">
        <v>137</v>
      </c>
    </row>
    <row r="622" spans="1:17" x14ac:dyDescent="0.3">
      <c r="A622" s="5">
        <v>42375</v>
      </c>
      <c r="B622">
        <v>2016</v>
      </c>
      <c r="C622">
        <v>1</v>
      </c>
      <c r="D622" t="s">
        <v>411</v>
      </c>
      <c r="E622" t="s">
        <v>400</v>
      </c>
      <c r="F622" t="s">
        <v>396</v>
      </c>
      <c r="H622">
        <v>1778</v>
      </c>
      <c r="I622">
        <v>131</v>
      </c>
      <c r="P622">
        <v>1778</v>
      </c>
      <c r="Q622">
        <v>131</v>
      </c>
    </row>
    <row r="623" spans="1:17" x14ac:dyDescent="0.3">
      <c r="A623" s="5">
        <v>42375</v>
      </c>
      <c r="B623">
        <v>2016</v>
      </c>
      <c r="C623">
        <v>1</v>
      </c>
      <c r="D623" t="s">
        <v>411</v>
      </c>
      <c r="E623" t="s">
        <v>398</v>
      </c>
      <c r="F623" t="s">
        <v>396</v>
      </c>
      <c r="H623">
        <v>1872</v>
      </c>
      <c r="I623">
        <v>134</v>
      </c>
      <c r="P623">
        <v>1872</v>
      </c>
      <c r="Q623">
        <v>134</v>
      </c>
    </row>
    <row r="624" spans="1:17" x14ac:dyDescent="0.3">
      <c r="A624" s="5">
        <v>42375</v>
      </c>
      <c r="B624">
        <v>2016</v>
      </c>
      <c r="C624">
        <v>1</v>
      </c>
      <c r="D624" t="s">
        <v>411</v>
      </c>
      <c r="E624" t="s">
        <v>399</v>
      </c>
      <c r="F624" t="s">
        <v>396</v>
      </c>
      <c r="H624">
        <v>1917</v>
      </c>
      <c r="I624">
        <v>138</v>
      </c>
      <c r="P624">
        <v>1917</v>
      </c>
      <c r="Q624">
        <v>138</v>
      </c>
    </row>
    <row r="625" spans="1:17" x14ac:dyDescent="0.3">
      <c r="A625" s="5">
        <v>42375</v>
      </c>
      <c r="B625">
        <v>2016</v>
      </c>
      <c r="C625">
        <v>1</v>
      </c>
      <c r="D625" t="s">
        <v>411</v>
      </c>
      <c r="E625" t="s">
        <v>401</v>
      </c>
      <c r="F625" t="s">
        <v>396</v>
      </c>
      <c r="H625">
        <v>2089</v>
      </c>
      <c r="I625">
        <v>115</v>
      </c>
      <c r="P625">
        <v>2089</v>
      </c>
      <c r="Q625">
        <v>115</v>
      </c>
    </row>
    <row r="626" spans="1:17" x14ac:dyDescent="0.3">
      <c r="A626" s="5">
        <v>42485</v>
      </c>
      <c r="B626">
        <v>2016</v>
      </c>
      <c r="C626">
        <v>4</v>
      </c>
      <c r="D626" t="s">
        <v>411</v>
      </c>
      <c r="E626" t="s">
        <v>410</v>
      </c>
      <c r="F626" t="s">
        <v>396</v>
      </c>
      <c r="H626">
        <v>1166</v>
      </c>
      <c r="I626">
        <v>127</v>
      </c>
      <c r="J626">
        <v>1201</v>
      </c>
      <c r="K626">
        <v>128</v>
      </c>
      <c r="P626">
        <v>1183.5</v>
      </c>
      <c r="Q626">
        <v>127.5</v>
      </c>
    </row>
    <row r="627" spans="1:17" x14ac:dyDescent="0.3">
      <c r="A627" s="5">
        <v>42485</v>
      </c>
      <c r="B627">
        <v>2016</v>
      </c>
      <c r="C627">
        <v>4</v>
      </c>
      <c r="D627" t="s">
        <v>411</v>
      </c>
      <c r="E627" t="s">
        <v>395</v>
      </c>
      <c r="F627" t="s">
        <v>396</v>
      </c>
      <c r="H627">
        <v>1204</v>
      </c>
      <c r="I627">
        <v>133</v>
      </c>
      <c r="J627">
        <v>1173</v>
      </c>
      <c r="K627">
        <v>130</v>
      </c>
      <c r="P627">
        <v>1188.5</v>
      </c>
      <c r="Q627">
        <v>131.5</v>
      </c>
    </row>
    <row r="628" spans="1:17" x14ac:dyDescent="0.3">
      <c r="A628" s="5">
        <v>42485</v>
      </c>
      <c r="B628">
        <v>2016</v>
      </c>
      <c r="C628">
        <v>4</v>
      </c>
      <c r="D628" t="s">
        <v>411</v>
      </c>
      <c r="E628" t="s">
        <v>409</v>
      </c>
      <c r="F628" t="s">
        <v>396</v>
      </c>
      <c r="H628">
        <v>1522</v>
      </c>
      <c r="I628">
        <v>135</v>
      </c>
      <c r="J628">
        <v>1527</v>
      </c>
      <c r="K628">
        <v>132</v>
      </c>
      <c r="P628">
        <v>1524.5</v>
      </c>
      <c r="Q628">
        <v>133.5</v>
      </c>
    </row>
    <row r="629" spans="1:17" x14ac:dyDescent="0.3">
      <c r="A629" s="5">
        <v>42485</v>
      </c>
      <c r="B629">
        <v>2016</v>
      </c>
      <c r="C629">
        <v>4</v>
      </c>
      <c r="D629" t="s">
        <v>412</v>
      </c>
      <c r="E629" t="s">
        <v>398</v>
      </c>
      <c r="F629" t="s">
        <v>396</v>
      </c>
      <c r="H629">
        <v>1710</v>
      </c>
      <c r="I629">
        <v>133</v>
      </c>
      <c r="J629">
        <v>1676</v>
      </c>
      <c r="K629">
        <v>130</v>
      </c>
      <c r="P629">
        <v>1693</v>
      </c>
      <c r="Q629">
        <v>131.5</v>
      </c>
    </row>
    <row r="630" spans="1:17" x14ac:dyDescent="0.3">
      <c r="A630" s="5">
        <v>42485</v>
      </c>
      <c r="B630">
        <v>2016</v>
      </c>
      <c r="C630">
        <v>4</v>
      </c>
      <c r="D630" t="s">
        <v>412</v>
      </c>
      <c r="E630" t="s">
        <v>407</v>
      </c>
      <c r="F630" t="s">
        <v>396</v>
      </c>
      <c r="H630">
        <v>1744</v>
      </c>
      <c r="I630">
        <v>133</v>
      </c>
      <c r="J630">
        <v>1779</v>
      </c>
      <c r="K630">
        <v>133</v>
      </c>
      <c r="P630">
        <v>1761.5</v>
      </c>
      <c r="Q630">
        <v>133</v>
      </c>
    </row>
    <row r="631" spans="1:17" x14ac:dyDescent="0.3">
      <c r="A631" s="5">
        <v>42485</v>
      </c>
      <c r="B631">
        <v>2016</v>
      </c>
      <c r="C631">
        <v>4</v>
      </c>
      <c r="D631" t="s">
        <v>411</v>
      </c>
      <c r="E631" t="s">
        <v>400</v>
      </c>
      <c r="F631" t="s">
        <v>396</v>
      </c>
      <c r="H631">
        <v>1822</v>
      </c>
      <c r="I631">
        <v>136</v>
      </c>
      <c r="J631">
        <v>1760</v>
      </c>
      <c r="K631">
        <v>128</v>
      </c>
      <c r="P631">
        <v>1791</v>
      </c>
      <c r="Q631">
        <v>132</v>
      </c>
    </row>
    <row r="632" spans="1:17" x14ac:dyDescent="0.3">
      <c r="A632" s="5">
        <v>42485</v>
      </c>
      <c r="B632">
        <v>2016</v>
      </c>
      <c r="C632">
        <v>4</v>
      </c>
      <c r="D632" t="s">
        <v>411</v>
      </c>
      <c r="E632" t="s">
        <v>398</v>
      </c>
      <c r="F632" t="s">
        <v>396</v>
      </c>
      <c r="H632">
        <v>1849</v>
      </c>
      <c r="I632">
        <v>140</v>
      </c>
      <c r="J632">
        <v>1740</v>
      </c>
      <c r="K632">
        <v>135</v>
      </c>
      <c r="P632">
        <v>1794.5</v>
      </c>
      <c r="Q632">
        <v>137.5</v>
      </c>
    </row>
    <row r="633" spans="1:17" x14ac:dyDescent="0.3">
      <c r="A633" s="5">
        <v>42485</v>
      </c>
      <c r="B633">
        <v>2016</v>
      </c>
      <c r="C633">
        <v>4</v>
      </c>
      <c r="D633" t="s">
        <v>411</v>
      </c>
      <c r="E633" t="s">
        <v>407</v>
      </c>
      <c r="F633" t="s">
        <v>396</v>
      </c>
      <c r="H633">
        <v>1858</v>
      </c>
      <c r="I633">
        <v>134</v>
      </c>
      <c r="J633">
        <v>1884</v>
      </c>
      <c r="K633">
        <v>127</v>
      </c>
      <c r="P633">
        <v>1871</v>
      </c>
      <c r="Q633">
        <v>130.5</v>
      </c>
    </row>
    <row r="634" spans="1:17" x14ac:dyDescent="0.3">
      <c r="A634" s="5">
        <v>42485</v>
      </c>
      <c r="B634">
        <v>2016</v>
      </c>
      <c r="C634">
        <v>4</v>
      </c>
      <c r="D634" t="s">
        <v>411</v>
      </c>
      <c r="E634" t="s">
        <v>399</v>
      </c>
      <c r="F634" t="s">
        <v>396</v>
      </c>
      <c r="H634">
        <v>1973</v>
      </c>
      <c r="I634">
        <v>139</v>
      </c>
      <c r="J634">
        <v>1923</v>
      </c>
      <c r="K634">
        <v>133</v>
      </c>
      <c r="P634">
        <v>1948</v>
      </c>
      <c r="Q634">
        <v>136</v>
      </c>
    </row>
    <row r="635" spans="1:17" x14ac:dyDescent="0.3">
      <c r="A635" s="5">
        <v>42485</v>
      </c>
      <c r="B635">
        <v>2016</v>
      </c>
      <c r="C635">
        <v>4</v>
      </c>
      <c r="D635" t="s">
        <v>411</v>
      </c>
      <c r="E635" t="s">
        <v>401</v>
      </c>
      <c r="F635" t="s">
        <v>396</v>
      </c>
      <c r="H635">
        <v>2010</v>
      </c>
      <c r="I635">
        <v>123</v>
      </c>
      <c r="J635">
        <v>1906</v>
      </c>
      <c r="K635">
        <v>112</v>
      </c>
      <c r="P635">
        <v>1958</v>
      </c>
      <c r="Q635">
        <v>117.5</v>
      </c>
    </row>
    <row r="636" spans="1:17" x14ac:dyDescent="0.3">
      <c r="A636" s="5">
        <v>42485</v>
      </c>
      <c r="B636">
        <v>2016</v>
      </c>
      <c r="C636">
        <v>4</v>
      </c>
      <c r="D636" t="s">
        <v>411</v>
      </c>
      <c r="E636" t="s">
        <v>402</v>
      </c>
      <c r="F636" t="s">
        <v>396</v>
      </c>
      <c r="H636">
        <v>2091</v>
      </c>
      <c r="I636">
        <v>132</v>
      </c>
      <c r="J636">
        <v>2016</v>
      </c>
      <c r="K636">
        <v>131</v>
      </c>
      <c r="P636">
        <v>2053.5</v>
      </c>
      <c r="Q636">
        <v>131.5</v>
      </c>
    </row>
    <row r="637" spans="1:17" x14ac:dyDescent="0.3">
      <c r="A637" s="5">
        <v>42487</v>
      </c>
      <c r="B637">
        <v>2016</v>
      </c>
      <c r="C637">
        <v>4</v>
      </c>
      <c r="D637" t="s">
        <v>413</v>
      </c>
      <c r="E637" t="s">
        <v>414</v>
      </c>
      <c r="F637" t="s">
        <v>396</v>
      </c>
      <c r="H637">
        <v>1051</v>
      </c>
      <c r="I637">
        <v>121</v>
      </c>
      <c r="J637">
        <v>1068</v>
      </c>
      <c r="K637">
        <v>123</v>
      </c>
      <c r="P637">
        <v>1059.5</v>
      </c>
      <c r="Q637">
        <v>122</v>
      </c>
    </row>
    <row r="638" spans="1:17" x14ac:dyDescent="0.3">
      <c r="A638" s="5">
        <v>42487</v>
      </c>
      <c r="B638">
        <v>2016</v>
      </c>
      <c r="C638">
        <v>4</v>
      </c>
      <c r="D638" t="s">
        <v>413</v>
      </c>
      <c r="E638" t="s">
        <v>415</v>
      </c>
      <c r="F638" t="s">
        <v>396</v>
      </c>
      <c r="H638">
        <v>1580</v>
      </c>
      <c r="I638">
        <v>136</v>
      </c>
      <c r="J638">
        <v>1595</v>
      </c>
      <c r="K638">
        <v>137</v>
      </c>
      <c r="P638">
        <v>1587.5</v>
      </c>
      <c r="Q638">
        <v>136.5</v>
      </c>
    </row>
    <row r="639" spans="1:17" x14ac:dyDescent="0.3">
      <c r="A639" s="5">
        <v>42487</v>
      </c>
      <c r="B639">
        <v>2016</v>
      </c>
      <c r="C639">
        <v>4</v>
      </c>
      <c r="D639" t="s">
        <v>416</v>
      </c>
      <c r="E639" t="s">
        <v>402</v>
      </c>
      <c r="F639" t="s">
        <v>396</v>
      </c>
      <c r="H639">
        <v>2055</v>
      </c>
      <c r="I639">
        <v>140</v>
      </c>
      <c r="J639">
        <v>2028</v>
      </c>
      <c r="K639">
        <v>134</v>
      </c>
      <c r="P639">
        <v>2041.5</v>
      </c>
      <c r="Q639">
        <v>137</v>
      </c>
    </row>
    <row r="640" spans="1:17" x14ac:dyDescent="0.3">
      <c r="A640" s="5">
        <v>42489</v>
      </c>
      <c r="B640">
        <v>2016</v>
      </c>
      <c r="C640">
        <v>4</v>
      </c>
      <c r="D640" t="s">
        <v>416</v>
      </c>
      <c r="E640" t="s">
        <v>398</v>
      </c>
      <c r="F640" t="s">
        <v>396</v>
      </c>
      <c r="H640">
        <v>1667</v>
      </c>
      <c r="I640">
        <v>131</v>
      </c>
      <c r="J640">
        <v>1650</v>
      </c>
      <c r="K640">
        <v>128</v>
      </c>
      <c r="P640">
        <v>1658.5</v>
      </c>
      <c r="Q640">
        <v>129.5</v>
      </c>
    </row>
    <row r="641" spans="1:17" x14ac:dyDescent="0.3">
      <c r="A641" s="5">
        <v>42489</v>
      </c>
      <c r="B641">
        <v>2016</v>
      </c>
      <c r="C641">
        <v>4</v>
      </c>
      <c r="D641" t="s">
        <v>416</v>
      </c>
      <c r="E641" t="s">
        <v>407</v>
      </c>
      <c r="F641" t="s">
        <v>396</v>
      </c>
      <c r="H641">
        <v>1737</v>
      </c>
      <c r="I641">
        <v>128</v>
      </c>
      <c r="J641">
        <v>1747</v>
      </c>
      <c r="K641">
        <v>130</v>
      </c>
      <c r="P641">
        <v>1742</v>
      </c>
      <c r="Q641">
        <v>129</v>
      </c>
    </row>
    <row r="642" spans="1:17" x14ac:dyDescent="0.3">
      <c r="A642" s="5">
        <v>42492</v>
      </c>
      <c r="B642">
        <v>2016</v>
      </c>
      <c r="C642">
        <v>5</v>
      </c>
      <c r="D642" t="s">
        <v>417</v>
      </c>
      <c r="E642" t="s">
        <v>395</v>
      </c>
      <c r="F642" t="s">
        <v>396</v>
      </c>
      <c r="J642">
        <v>1266</v>
      </c>
      <c r="K642">
        <v>126</v>
      </c>
      <c r="P642">
        <v>1266</v>
      </c>
      <c r="Q642">
        <v>126</v>
      </c>
    </row>
    <row r="643" spans="1:17" x14ac:dyDescent="0.3">
      <c r="A643" s="5">
        <v>42492</v>
      </c>
      <c r="B643">
        <v>2016</v>
      </c>
      <c r="C643">
        <v>5</v>
      </c>
      <c r="D643" t="s">
        <v>417</v>
      </c>
      <c r="E643" t="s">
        <v>410</v>
      </c>
      <c r="F643" t="s">
        <v>396</v>
      </c>
      <c r="H643">
        <v>1216</v>
      </c>
      <c r="I643">
        <v>130</v>
      </c>
      <c r="J643">
        <v>1212</v>
      </c>
      <c r="K643">
        <v>130</v>
      </c>
      <c r="P643">
        <v>1214</v>
      </c>
      <c r="Q643">
        <v>130</v>
      </c>
    </row>
    <row r="644" spans="1:17" x14ac:dyDescent="0.3">
      <c r="A644" s="5">
        <v>42492</v>
      </c>
      <c r="B644">
        <v>2016</v>
      </c>
      <c r="C644">
        <v>5</v>
      </c>
      <c r="D644" t="s">
        <v>417</v>
      </c>
      <c r="E644" t="s">
        <v>409</v>
      </c>
      <c r="F644" t="s">
        <v>396</v>
      </c>
      <c r="H644">
        <v>1643</v>
      </c>
      <c r="I644">
        <v>135</v>
      </c>
      <c r="J644">
        <v>1569</v>
      </c>
      <c r="K644">
        <v>137</v>
      </c>
      <c r="P644">
        <v>1606</v>
      </c>
      <c r="Q644">
        <v>136</v>
      </c>
    </row>
    <row r="645" spans="1:17" x14ac:dyDescent="0.3">
      <c r="A645" s="5">
        <v>42492</v>
      </c>
      <c r="B645">
        <v>2016</v>
      </c>
      <c r="C645">
        <v>5</v>
      </c>
      <c r="D645" t="s">
        <v>416</v>
      </c>
      <c r="E645" t="s">
        <v>398</v>
      </c>
      <c r="F645" t="s">
        <v>396</v>
      </c>
      <c r="H645">
        <v>1725</v>
      </c>
      <c r="I645">
        <v>132</v>
      </c>
      <c r="J645">
        <v>1653</v>
      </c>
      <c r="K645">
        <v>130</v>
      </c>
      <c r="P645">
        <v>1689</v>
      </c>
      <c r="Q645">
        <v>131</v>
      </c>
    </row>
    <row r="646" spans="1:17" x14ac:dyDescent="0.3">
      <c r="A646" s="5">
        <v>42492</v>
      </c>
      <c r="B646">
        <v>2016</v>
      </c>
      <c r="C646">
        <v>5</v>
      </c>
      <c r="D646" t="s">
        <v>416</v>
      </c>
      <c r="E646" t="s">
        <v>407</v>
      </c>
      <c r="F646" t="s">
        <v>396</v>
      </c>
      <c r="H646">
        <v>1790</v>
      </c>
      <c r="I646">
        <v>128</v>
      </c>
      <c r="J646">
        <v>1741</v>
      </c>
      <c r="K646">
        <v>129</v>
      </c>
      <c r="P646">
        <v>1765.5</v>
      </c>
      <c r="Q646">
        <v>128.5</v>
      </c>
    </row>
    <row r="647" spans="1:17" x14ac:dyDescent="0.3">
      <c r="A647" s="5">
        <v>42492</v>
      </c>
      <c r="B647">
        <v>2016</v>
      </c>
      <c r="C647">
        <v>5</v>
      </c>
      <c r="D647" t="s">
        <v>417</v>
      </c>
      <c r="E647" t="s">
        <v>400</v>
      </c>
      <c r="F647" t="s">
        <v>396</v>
      </c>
      <c r="H647">
        <v>1781</v>
      </c>
      <c r="I647">
        <v>130</v>
      </c>
      <c r="J647">
        <v>1790</v>
      </c>
      <c r="K647">
        <v>132</v>
      </c>
      <c r="P647">
        <v>1785.5</v>
      </c>
      <c r="Q647">
        <v>131</v>
      </c>
    </row>
    <row r="648" spans="1:17" x14ac:dyDescent="0.3">
      <c r="A648" s="5">
        <v>42492</v>
      </c>
      <c r="B648">
        <v>2016</v>
      </c>
      <c r="C648">
        <v>5</v>
      </c>
      <c r="D648" t="s">
        <v>417</v>
      </c>
      <c r="E648" t="s">
        <v>401</v>
      </c>
      <c r="F648" t="s">
        <v>396</v>
      </c>
      <c r="H648">
        <v>2136</v>
      </c>
      <c r="I648">
        <v>106</v>
      </c>
      <c r="J648">
        <v>2055</v>
      </c>
      <c r="K648">
        <v>108</v>
      </c>
      <c r="P648">
        <v>2095.5</v>
      </c>
      <c r="Q648">
        <v>107</v>
      </c>
    </row>
    <row r="649" spans="1:17" x14ac:dyDescent="0.3">
      <c r="A649" s="5">
        <v>42496</v>
      </c>
      <c r="B649">
        <v>2016</v>
      </c>
      <c r="C649">
        <v>5</v>
      </c>
      <c r="D649" t="s">
        <v>416</v>
      </c>
      <c r="E649" t="s">
        <v>398</v>
      </c>
      <c r="F649" t="s">
        <v>396</v>
      </c>
      <c r="H649">
        <v>1752</v>
      </c>
      <c r="I649">
        <v>129</v>
      </c>
      <c r="J649">
        <v>1710</v>
      </c>
      <c r="K649">
        <v>133</v>
      </c>
      <c r="L649">
        <v>1693</v>
      </c>
      <c r="M649">
        <v>136</v>
      </c>
      <c r="P649">
        <v>1718.3333333333333</v>
      </c>
      <c r="Q649">
        <v>132.66666666666666</v>
      </c>
    </row>
    <row r="650" spans="1:17" x14ac:dyDescent="0.3">
      <c r="A650" s="5">
        <v>42496</v>
      </c>
      <c r="B650">
        <v>2016</v>
      </c>
      <c r="C650">
        <v>5</v>
      </c>
      <c r="D650" t="s">
        <v>416</v>
      </c>
      <c r="E650" t="s">
        <v>407</v>
      </c>
      <c r="F650" t="s">
        <v>396</v>
      </c>
      <c r="H650">
        <v>1822</v>
      </c>
      <c r="I650">
        <v>130</v>
      </c>
      <c r="J650">
        <v>1805</v>
      </c>
      <c r="K650">
        <v>131</v>
      </c>
      <c r="L650">
        <v>1794</v>
      </c>
      <c r="M650">
        <v>132</v>
      </c>
      <c r="P650">
        <v>1807</v>
      </c>
      <c r="Q650">
        <v>131</v>
      </c>
    </row>
    <row r="651" spans="1:17" x14ac:dyDescent="0.3">
      <c r="A651" s="5">
        <v>42496</v>
      </c>
      <c r="B651">
        <v>2016</v>
      </c>
      <c r="C651">
        <v>5</v>
      </c>
      <c r="D651" t="s">
        <v>417</v>
      </c>
      <c r="E651" t="s">
        <v>402</v>
      </c>
      <c r="F651" t="s">
        <v>396</v>
      </c>
      <c r="H651">
        <v>2116</v>
      </c>
      <c r="I651">
        <v>144</v>
      </c>
      <c r="P651">
        <v>2116</v>
      </c>
      <c r="Q651">
        <v>144</v>
      </c>
    </row>
    <row r="652" spans="1:17" x14ac:dyDescent="0.3">
      <c r="A652" s="5">
        <v>42499</v>
      </c>
      <c r="B652">
        <v>2016</v>
      </c>
      <c r="C652">
        <v>5</v>
      </c>
      <c r="D652" t="s">
        <v>417</v>
      </c>
      <c r="E652" t="s">
        <v>395</v>
      </c>
      <c r="F652" t="s">
        <v>396</v>
      </c>
      <c r="H652">
        <v>1281</v>
      </c>
      <c r="I652">
        <v>136</v>
      </c>
      <c r="J652">
        <v>1245</v>
      </c>
      <c r="K652">
        <v>132</v>
      </c>
      <c r="P652">
        <v>1263</v>
      </c>
      <c r="Q652">
        <v>134</v>
      </c>
    </row>
    <row r="653" spans="1:17" x14ac:dyDescent="0.3">
      <c r="A653" s="5">
        <v>42499</v>
      </c>
      <c r="B653">
        <v>2016</v>
      </c>
      <c r="C653">
        <v>5</v>
      </c>
      <c r="D653" t="s">
        <v>417</v>
      </c>
      <c r="E653" t="s">
        <v>410</v>
      </c>
      <c r="F653" t="s">
        <v>396</v>
      </c>
      <c r="H653">
        <v>1271</v>
      </c>
      <c r="I653">
        <v>135</v>
      </c>
      <c r="J653">
        <v>1277</v>
      </c>
      <c r="K653">
        <v>134</v>
      </c>
      <c r="P653">
        <v>1274</v>
      </c>
      <c r="Q653">
        <v>134.5</v>
      </c>
    </row>
    <row r="654" spans="1:17" x14ac:dyDescent="0.3">
      <c r="A654" s="5">
        <v>42499</v>
      </c>
      <c r="B654">
        <v>2016</v>
      </c>
      <c r="C654">
        <v>5</v>
      </c>
      <c r="D654" t="s">
        <v>417</v>
      </c>
      <c r="E654" t="s">
        <v>409</v>
      </c>
      <c r="F654" t="s">
        <v>396</v>
      </c>
      <c r="H654">
        <v>1682</v>
      </c>
      <c r="I654">
        <v>138</v>
      </c>
      <c r="J654">
        <v>1644</v>
      </c>
      <c r="K654">
        <v>136</v>
      </c>
      <c r="P654">
        <v>1663</v>
      </c>
      <c r="Q654">
        <v>137</v>
      </c>
    </row>
    <row r="655" spans="1:17" x14ac:dyDescent="0.3">
      <c r="A655" s="5">
        <v>42499</v>
      </c>
      <c r="B655">
        <v>2016</v>
      </c>
      <c r="C655">
        <v>5</v>
      </c>
      <c r="D655" t="s">
        <v>417</v>
      </c>
      <c r="E655" t="s">
        <v>400</v>
      </c>
      <c r="F655" t="s">
        <v>396</v>
      </c>
      <c r="H655">
        <v>1739</v>
      </c>
      <c r="I655">
        <v>131</v>
      </c>
      <c r="J655">
        <v>1722</v>
      </c>
      <c r="K655">
        <v>131</v>
      </c>
      <c r="P655">
        <v>1730.5</v>
      </c>
      <c r="Q655">
        <v>131</v>
      </c>
    </row>
    <row r="656" spans="1:17" x14ac:dyDescent="0.3">
      <c r="A656" s="5">
        <v>42499</v>
      </c>
      <c r="B656">
        <v>2016</v>
      </c>
      <c r="C656">
        <v>5</v>
      </c>
      <c r="D656" t="s">
        <v>416</v>
      </c>
      <c r="E656" t="s">
        <v>398</v>
      </c>
      <c r="F656" t="s">
        <v>396</v>
      </c>
      <c r="H656">
        <v>1757</v>
      </c>
      <c r="I656">
        <v>133</v>
      </c>
      <c r="J656">
        <v>1756</v>
      </c>
      <c r="K656">
        <v>132</v>
      </c>
      <c r="P656">
        <v>1756.5</v>
      </c>
      <c r="Q656">
        <v>132.5</v>
      </c>
    </row>
    <row r="657" spans="1:17" x14ac:dyDescent="0.3">
      <c r="A657" s="5">
        <v>42499</v>
      </c>
      <c r="B657">
        <v>2016</v>
      </c>
      <c r="C657">
        <v>5</v>
      </c>
      <c r="D657" t="s">
        <v>416</v>
      </c>
      <c r="E657" t="s">
        <v>407</v>
      </c>
      <c r="F657" t="s">
        <v>396</v>
      </c>
      <c r="H657">
        <v>1825</v>
      </c>
      <c r="I657">
        <v>131</v>
      </c>
      <c r="J657">
        <v>1790</v>
      </c>
      <c r="K657">
        <v>138</v>
      </c>
      <c r="P657">
        <v>1807.5</v>
      </c>
      <c r="Q657">
        <v>134.5</v>
      </c>
    </row>
    <row r="658" spans="1:17" x14ac:dyDescent="0.3">
      <c r="A658" s="5">
        <v>42499</v>
      </c>
      <c r="B658">
        <v>2016</v>
      </c>
      <c r="C658">
        <v>5</v>
      </c>
      <c r="D658" t="s">
        <v>417</v>
      </c>
      <c r="E658" t="s">
        <v>401</v>
      </c>
      <c r="F658" t="s">
        <v>396</v>
      </c>
      <c r="H658">
        <v>1945</v>
      </c>
      <c r="I658">
        <v>118</v>
      </c>
      <c r="J658">
        <v>1895</v>
      </c>
      <c r="K658">
        <v>119</v>
      </c>
      <c r="P658">
        <v>1920</v>
      </c>
      <c r="Q658">
        <v>118.5</v>
      </c>
    </row>
    <row r="659" spans="1:17" x14ac:dyDescent="0.3">
      <c r="A659" s="5">
        <v>42499</v>
      </c>
      <c r="B659">
        <v>2016</v>
      </c>
      <c r="C659">
        <v>5</v>
      </c>
      <c r="D659" t="s">
        <v>417</v>
      </c>
      <c r="E659" t="s">
        <v>399</v>
      </c>
      <c r="F659" t="s">
        <v>396</v>
      </c>
      <c r="H659">
        <v>1967</v>
      </c>
      <c r="I659">
        <v>137</v>
      </c>
      <c r="J659">
        <v>1990</v>
      </c>
      <c r="K659">
        <v>137</v>
      </c>
      <c r="P659">
        <v>1978.5</v>
      </c>
      <c r="Q659">
        <v>137</v>
      </c>
    </row>
    <row r="660" spans="1:17" x14ac:dyDescent="0.3">
      <c r="A660" s="5">
        <v>42499</v>
      </c>
      <c r="B660">
        <v>2016</v>
      </c>
      <c r="C660">
        <v>5</v>
      </c>
      <c r="D660" t="s">
        <v>417</v>
      </c>
      <c r="E660" t="s">
        <v>402</v>
      </c>
      <c r="F660" t="s">
        <v>396</v>
      </c>
      <c r="H660">
        <v>2125</v>
      </c>
      <c r="I660">
        <v>130</v>
      </c>
      <c r="J660">
        <v>2049</v>
      </c>
      <c r="K660">
        <v>129</v>
      </c>
      <c r="P660">
        <v>2087</v>
      </c>
      <c r="Q660">
        <v>129.5</v>
      </c>
    </row>
    <row r="661" spans="1:17" x14ac:dyDescent="0.3">
      <c r="A661" s="5">
        <v>42501</v>
      </c>
      <c r="B661">
        <v>2016</v>
      </c>
      <c r="C661">
        <v>5</v>
      </c>
      <c r="D661" t="s">
        <v>416</v>
      </c>
      <c r="E661" t="s">
        <v>402</v>
      </c>
      <c r="F661" t="s">
        <v>396</v>
      </c>
      <c r="H661">
        <v>2008</v>
      </c>
      <c r="I661">
        <v>128</v>
      </c>
      <c r="J661">
        <v>2025</v>
      </c>
      <c r="K661">
        <v>126</v>
      </c>
      <c r="P661">
        <v>2016.5</v>
      </c>
      <c r="Q661">
        <v>127</v>
      </c>
    </row>
    <row r="662" spans="1:17" x14ac:dyDescent="0.3">
      <c r="A662" s="5">
        <v>42503</v>
      </c>
      <c r="B662">
        <v>2016</v>
      </c>
      <c r="C662">
        <v>5</v>
      </c>
      <c r="D662" t="s">
        <v>416</v>
      </c>
      <c r="E662" t="s">
        <v>398</v>
      </c>
      <c r="F662" t="s">
        <v>396</v>
      </c>
      <c r="H662">
        <v>1761</v>
      </c>
      <c r="I662">
        <v>131</v>
      </c>
      <c r="J662">
        <v>1699</v>
      </c>
      <c r="K662">
        <v>128</v>
      </c>
      <c r="L662">
        <v>1720</v>
      </c>
      <c r="M662">
        <v>127</v>
      </c>
      <c r="P662">
        <v>1726.6666666666667</v>
      </c>
      <c r="Q662">
        <v>128.66666666666666</v>
      </c>
    </row>
    <row r="663" spans="1:17" x14ac:dyDescent="0.3">
      <c r="A663" s="5">
        <v>42503</v>
      </c>
      <c r="B663">
        <v>2016</v>
      </c>
      <c r="C663">
        <v>5</v>
      </c>
      <c r="D663" t="s">
        <v>416</v>
      </c>
      <c r="E663" t="s">
        <v>407</v>
      </c>
      <c r="F663" t="s">
        <v>396</v>
      </c>
      <c r="H663">
        <v>1819</v>
      </c>
      <c r="I663">
        <v>131</v>
      </c>
      <c r="J663">
        <v>1770</v>
      </c>
      <c r="K663">
        <v>130</v>
      </c>
      <c r="L663">
        <v>1788</v>
      </c>
      <c r="M663">
        <v>131</v>
      </c>
      <c r="P663">
        <v>1792.3333333333333</v>
      </c>
      <c r="Q663">
        <v>130.66666666666666</v>
      </c>
    </row>
    <row r="664" spans="1:17" x14ac:dyDescent="0.3">
      <c r="A664" s="5">
        <v>42507</v>
      </c>
      <c r="B664">
        <v>2016</v>
      </c>
      <c r="C664">
        <v>5</v>
      </c>
      <c r="D664" t="s">
        <v>418</v>
      </c>
      <c r="E664" t="s">
        <v>410</v>
      </c>
      <c r="F664" t="s">
        <v>396</v>
      </c>
      <c r="H664">
        <v>1257</v>
      </c>
      <c r="I664">
        <v>130</v>
      </c>
      <c r="J664">
        <v>1235</v>
      </c>
      <c r="K664">
        <v>131</v>
      </c>
      <c r="P664">
        <v>1246</v>
      </c>
      <c r="Q664">
        <v>130.5</v>
      </c>
    </row>
    <row r="665" spans="1:17" x14ac:dyDescent="0.3">
      <c r="A665" s="5">
        <v>42507</v>
      </c>
      <c r="B665">
        <v>2016</v>
      </c>
      <c r="C665">
        <v>5</v>
      </c>
      <c r="D665" t="s">
        <v>418</v>
      </c>
      <c r="E665" t="s">
        <v>395</v>
      </c>
      <c r="F665" t="s">
        <v>396</v>
      </c>
      <c r="H665">
        <v>1271</v>
      </c>
      <c r="I665">
        <v>134</v>
      </c>
      <c r="J665">
        <v>1251</v>
      </c>
      <c r="K665">
        <v>131</v>
      </c>
      <c r="P665">
        <v>1261</v>
      </c>
      <c r="Q665">
        <v>132.5</v>
      </c>
    </row>
    <row r="666" spans="1:17" x14ac:dyDescent="0.3">
      <c r="A666" s="5">
        <v>42507</v>
      </c>
      <c r="B666">
        <v>2016</v>
      </c>
      <c r="C666">
        <v>5</v>
      </c>
      <c r="D666" t="s">
        <v>418</v>
      </c>
      <c r="E666" t="s">
        <v>409</v>
      </c>
      <c r="F666" t="s">
        <v>396</v>
      </c>
      <c r="H666">
        <v>1733</v>
      </c>
      <c r="I666">
        <v>136</v>
      </c>
      <c r="J666">
        <v>1693</v>
      </c>
      <c r="K666">
        <v>136</v>
      </c>
      <c r="P666">
        <v>1713</v>
      </c>
      <c r="Q666">
        <v>136</v>
      </c>
    </row>
    <row r="667" spans="1:17" x14ac:dyDescent="0.3">
      <c r="A667" s="5">
        <v>42507</v>
      </c>
      <c r="B667">
        <v>2016</v>
      </c>
      <c r="C667">
        <v>5</v>
      </c>
      <c r="D667" t="s">
        <v>418</v>
      </c>
      <c r="E667" t="s">
        <v>400</v>
      </c>
      <c r="F667" t="s">
        <v>396</v>
      </c>
      <c r="H667">
        <v>1738</v>
      </c>
      <c r="I667">
        <v>128</v>
      </c>
      <c r="J667">
        <v>1710</v>
      </c>
      <c r="K667">
        <v>134</v>
      </c>
      <c r="P667">
        <v>1724</v>
      </c>
      <c r="Q667">
        <v>131</v>
      </c>
    </row>
    <row r="668" spans="1:17" x14ac:dyDescent="0.3">
      <c r="A668" s="5">
        <v>42507</v>
      </c>
      <c r="B668">
        <v>2016</v>
      </c>
      <c r="C668">
        <v>5</v>
      </c>
      <c r="D668" t="s">
        <v>418</v>
      </c>
      <c r="E668" t="s">
        <v>401</v>
      </c>
      <c r="F668" t="s">
        <v>396</v>
      </c>
      <c r="H668">
        <v>1802</v>
      </c>
      <c r="I668">
        <v>110</v>
      </c>
      <c r="J668">
        <v>1793</v>
      </c>
      <c r="K668">
        <v>126</v>
      </c>
      <c r="P668">
        <v>1797.5</v>
      </c>
      <c r="Q668">
        <v>118</v>
      </c>
    </row>
    <row r="669" spans="1:17" x14ac:dyDescent="0.3">
      <c r="A669" s="5">
        <v>42507</v>
      </c>
      <c r="B669">
        <v>2016</v>
      </c>
      <c r="C669">
        <v>5</v>
      </c>
      <c r="D669" t="s">
        <v>418</v>
      </c>
      <c r="E669" t="s">
        <v>398</v>
      </c>
      <c r="F669" t="s">
        <v>396</v>
      </c>
      <c r="H669">
        <v>1928</v>
      </c>
      <c r="I669">
        <v>140</v>
      </c>
      <c r="J669">
        <v>1693</v>
      </c>
      <c r="K669">
        <v>136</v>
      </c>
      <c r="P669">
        <v>1810.5</v>
      </c>
      <c r="Q669">
        <v>138</v>
      </c>
    </row>
    <row r="670" spans="1:17" x14ac:dyDescent="0.3">
      <c r="A670" s="5">
        <v>42507</v>
      </c>
      <c r="B670">
        <v>2016</v>
      </c>
      <c r="C670">
        <v>5</v>
      </c>
      <c r="D670" t="s">
        <v>418</v>
      </c>
      <c r="E670" t="s">
        <v>407</v>
      </c>
      <c r="F670" t="s">
        <v>396</v>
      </c>
      <c r="H670">
        <v>1863</v>
      </c>
      <c r="I670">
        <v>129</v>
      </c>
      <c r="J670">
        <v>1903</v>
      </c>
      <c r="K670">
        <v>130</v>
      </c>
      <c r="P670">
        <v>1883</v>
      </c>
      <c r="Q670">
        <v>129.5</v>
      </c>
    </row>
    <row r="671" spans="1:17" x14ac:dyDescent="0.3">
      <c r="A671" s="5">
        <v>42507</v>
      </c>
      <c r="B671">
        <v>2016</v>
      </c>
      <c r="C671">
        <v>5</v>
      </c>
      <c r="D671" t="s">
        <v>418</v>
      </c>
      <c r="E671" t="s">
        <v>399</v>
      </c>
      <c r="F671" t="s">
        <v>396</v>
      </c>
      <c r="H671">
        <v>2012</v>
      </c>
      <c r="I671">
        <v>137</v>
      </c>
      <c r="J671">
        <v>1973</v>
      </c>
      <c r="K671">
        <v>135</v>
      </c>
      <c r="P671">
        <v>1992.5</v>
      </c>
      <c r="Q671">
        <v>136</v>
      </c>
    </row>
    <row r="672" spans="1:17" x14ac:dyDescent="0.3">
      <c r="A672" s="5">
        <v>42507</v>
      </c>
      <c r="B672">
        <v>2016</v>
      </c>
      <c r="C672">
        <v>5</v>
      </c>
      <c r="D672" t="s">
        <v>418</v>
      </c>
      <c r="E672" t="s">
        <v>402</v>
      </c>
      <c r="F672" t="s">
        <v>396</v>
      </c>
      <c r="H672">
        <v>2047</v>
      </c>
      <c r="I672">
        <v>131</v>
      </c>
      <c r="J672">
        <v>2094</v>
      </c>
      <c r="K672">
        <v>132</v>
      </c>
      <c r="P672">
        <v>2070.5</v>
      </c>
      <c r="Q672">
        <v>131.5</v>
      </c>
    </row>
    <row r="673" spans="1:17" x14ac:dyDescent="0.3">
      <c r="A673" s="5">
        <v>42520</v>
      </c>
      <c r="B673">
        <v>2016</v>
      </c>
      <c r="C673">
        <v>5</v>
      </c>
      <c r="D673" t="s">
        <v>417</v>
      </c>
      <c r="E673" t="s">
        <v>395</v>
      </c>
      <c r="F673" t="s">
        <v>396</v>
      </c>
      <c r="H673">
        <v>1241</v>
      </c>
      <c r="I673">
        <v>129</v>
      </c>
      <c r="J673">
        <v>1217</v>
      </c>
      <c r="K673">
        <v>129</v>
      </c>
      <c r="P673">
        <v>1229</v>
      </c>
      <c r="Q673">
        <v>129</v>
      </c>
    </row>
    <row r="674" spans="1:17" x14ac:dyDescent="0.3">
      <c r="A674" s="5">
        <v>42520</v>
      </c>
      <c r="B674">
        <v>2016</v>
      </c>
      <c r="C674">
        <v>5</v>
      </c>
      <c r="D674" t="s">
        <v>417</v>
      </c>
      <c r="E674" t="s">
        <v>410</v>
      </c>
      <c r="F674" t="s">
        <v>396</v>
      </c>
      <c r="H674">
        <v>1308</v>
      </c>
      <c r="I674">
        <v>127</v>
      </c>
      <c r="J674">
        <v>1281</v>
      </c>
      <c r="K674">
        <v>126</v>
      </c>
      <c r="P674">
        <v>1294.5</v>
      </c>
      <c r="Q674">
        <v>126.5</v>
      </c>
    </row>
    <row r="675" spans="1:17" x14ac:dyDescent="0.3">
      <c r="A675" s="5">
        <v>42520</v>
      </c>
      <c r="B675">
        <v>2016</v>
      </c>
      <c r="C675">
        <v>5</v>
      </c>
      <c r="D675" t="s">
        <v>417</v>
      </c>
      <c r="E675" t="s">
        <v>400</v>
      </c>
      <c r="F675" t="s">
        <v>396</v>
      </c>
      <c r="H675">
        <v>1810</v>
      </c>
      <c r="I675">
        <v>131</v>
      </c>
      <c r="J675">
        <v>1728</v>
      </c>
      <c r="K675">
        <v>130</v>
      </c>
      <c r="P675">
        <v>1769</v>
      </c>
      <c r="Q675">
        <v>130.5</v>
      </c>
    </row>
    <row r="676" spans="1:17" x14ac:dyDescent="0.3">
      <c r="A676" s="5">
        <v>42520</v>
      </c>
      <c r="B676">
        <v>2016</v>
      </c>
      <c r="C676">
        <v>5</v>
      </c>
      <c r="D676" t="s">
        <v>417</v>
      </c>
      <c r="E676" t="s">
        <v>399</v>
      </c>
      <c r="F676" t="s">
        <v>396</v>
      </c>
      <c r="H676">
        <v>1936</v>
      </c>
      <c r="I676">
        <v>135</v>
      </c>
      <c r="J676">
        <v>1930</v>
      </c>
      <c r="K676">
        <v>131</v>
      </c>
      <c r="P676">
        <v>1933</v>
      </c>
      <c r="Q676">
        <v>133</v>
      </c>
    </row>
    <row r="677" spans="1:17" x14ac:dyDescent="0.3">
      <c r="A677" s="5">
        <v>42520</v>
      </c>
      <c r="B677">
        <v>2016</v>
      </c>
      <c r="C677">
        <v>5</v>
      </c>
      <c r="D677" t="s">
        <v>417</v>
      </c>
      <c r="E677" t="s">
        <v>407</v>
      </c>
      <c r="F677" t="s">
        <v>396</v>
      </c>
      <c r="H677">
        <v>1951</v>
      </c>
      <c r="I677">
        <v>135</v>
      </c>
      <c r="J677">
        <v>1919</v>
      </c>
      <c r="K677">
        <v>136</v>
      </c>
      <c r="P677">
        <v>1935</v>
      </c>
      <c r="Q677">
        <v>135.5</v>
      </c>
    </row>
    <row r="678" spans="1:17" x14ac:dyDescent="0.3">
      <c r="A678" s="5">
        <v>42520</v>
      </c>
      <c r="B678">
        <v>2016</v>
      </c>
      <c r="C678">
        <v>5</v>
      </c>
      <c r="D678" t="s">
        <v>417</v>
      </c>
      <c r="E678" t="s">
        <v>401</v>
      </c>
      <c r="F678" t="s">
        <v>396</v>
      </c>
      <c r="H678">
        <v>1969</v>
      </c>
      <c r="I678">
        <v>118</v>
      </c>
      <c r="J678">
        <v>1977</v>
      </c>
      <c r="K678">
        <v>106</v>
      </c>
      <c r="P678">
        <v>1973</v>
      </c>
      <c r="Q678">
        <v>112</v>
      </c>
    </row>
    <row r="679" spans="1:17" x14ac:dyDescent="0.3">
      <c r="A679" s="5">
        <v>42528</v>
      </c>
      <c r="B679">
        <v>2016</v>
      </c>
      <c r="C679">
        <v>6</v>
      </c>
      <c r="D679" t="s">
        <v>417</v>
      </c>
      <c r="E679" t="s">
        <v>402</v>
      </c>
      <c r="F679" t="s">
        <v>396</v>
      </c>
      <c r="H679">
        <v>2143</v>
      </c>
      <c r="I679">
        <v>139</v>
      </c>
      <c r="J679">
        <v>2082</v>
      </c>
      <c r="K679">
        <v>133</v>
      </c>
      <c r="P679">
        <v>2112.5</v>
      </c>
      <c r="Q679">
        <v>136</v>
      </c>
    </row>
    <row r="680" spans="1:17" x14ac:dyDescent="0.3">
      <c r="A680" s="5">
        <v>42684</v>
      </c>
      <c r="B680">
        <v>2016</v>
      </c>
      <c r="C680">
        <v>11</v>
      </c>
      <c r="D680" t="s">
        <v>417</v>
      </c>
      <c r="E680" t="s">
        <v>414</v>
      </c>
      <c r="F680" t="s">
        <v>396</v>
      </c>
      <c r="H680">
        <v>1021</v>
      </c>
      <c r="I680">
        <v>121</v>
      </c>
      <c r="P680">
        <v>1021</v>
      </c>
      <c r="Q680">
        <v>121</v>
      </c>
    </row>
    <row r="681" spans="1:17" x14ac:dyDescent="0.3">
      <c r="A681" s="5">
        <v>42684</v>
      </c>
      <c r="B681">
        <v>2016</v>
      </c>
      <c r="C681">
        <v>11</v>
      </c>
      <c r="D681" t="s">
        <v>417</v>
      </c>
      <c r="E681" t="s">
        <v>409</v>
      </c>
      <c r="F681" t="s">
        <v>396</v>
      </c>
      <c r="H681">
        <v>1690</v>
      </c>
      <c r="I681">
        <v>131</v>
      </c>
      <c r="P681">
        <v>1690</v>
      </c>
      <c r="Q681">
        <v>131</v>
      </c>
    </row>
    <row r="682" spans="1:17" x14ac:dyDescent="0.3">
      <c r="A682" s="5">
        <v>42684</v>
      </c>
      <c r="B682">
        <v>2016</v>
      </c>
      <c r="C682">
        <v>11</v>
      </c>
      <c r="D682" t="s">
        <v>417</v>
      </c>
      <c r="E682" t="s">
        <v>400</v>
      </c>
      <c r="F682" t="s">
        <v>396</v>
      </c>
      <c r="H682">
        <v>1858</v>
      </c>
      <c r="I682">
        <v>130</v>
      </c>
      <c r="P682">
        <v>1858</v>
      </c>
      <c r="Q682">
        <v>130</v>
      </c>
    </row>
    <row r="683" spans="1:17" x14ac:dyDescent="0.3">
      <c r="A683" s="5">
        <v>42684</v>
      </c>
      <c r="B683">
        <v>2016</v>
      </c>
      <c r="C683">
        <v>11</v>
      </c>
      <c r="D683" t="s">
        <v>417</v>
      </c>
      <c r="E683" t="s">
        <v>399</v>
      </c>
      <c r="F683" t="s">
        <v>396</v>
      </c>
      <c r="H683">
        <v>1866</v>
      </c>
      <c r="I683">
        <v>129</v>
      </c>
      <c r="P683">
        <v>1866</v>
      </c>
      <c r="Q683">
        <v>129</v>
      </c>
    </row>
    <row r="684" spans="1:17" x14ac:dyDescent="0.3">
      <c r="A684" s="5">
        <v>42688</v>
      </c>
      <c r="B684">
        <v>2016</v>
      </c>
      <c r="C684">
        <v>11</v>
      </c>
      <c r="D684" t="s">
        <v>417</v>
      </c>
      <c r="E684" t="s">
        <v>414</v>
      </c>
      <c r="F684" t="s">
        <v>396</v>
      </c>
      <c r="H684">
        <v>1145</v>
      </c>
      <c r="I684">
        <v>123</v>
      </c>
      <c r="P684">
        <v>1145</v>
      </c>
      <c r="Q684">
        <v>123</v>
      </c>
    </row>
    <row r="685" spans="1:17" x14ac:dyDescent="0.3">
      <c r="A685" s="5">
        <v>42688</v>
      </c>
      <c r="B685">
        <v>2016</v>
      </c>
      <c r="C685">
        <v>11</v>
      </c>
      <c r="D685" t="s">
        <v>417</v>
      </c>
      <c r="E685" t="s">
        <v>409</v>
      </c>
      <c r="F685" t="s">
        <v>396</v>
      </c>
      <c r="H685">
        <v>1702</v>
      </c>
      <c r="I685">
        <v>130</v>
      </c>
      <c r="P685">
        <v>1702</v>
      </c>
      <c r="Q685">
        <v>130</v>
      </c>
    </row>
    <row r="686" spans="1:17" x14ac:dyDescent="0.3">
      <c r="A686" s="5">
        <v>42688</v>
      </c>
      <c r="B686">
        <v>2016</v>
      </c>
      <c r="C686">
        <v>11</v>
      </c>
      <c r="D686" t="s">
        <v>417</v>
      </c>
      <c r="E686" t="s">
        <v>400</v>
      </c>
      <c r="F686" t="s">
        <v>396</v>
      </c>
      <c r="H686">
        <v>1850</v>
      </c>
      <c r="I686">
        <v>137</v>
      </c>
      <c r="P686">
        <v>1850</v>
      </c>
      <c r="Q686">
        <v>137</v>
      </c>
    </row>
    <row r="687" spans="1:17" x14ac:dyDescent="0.3">
      <c r="A687" s="5">
        <v>42688</v>
      </c>
      <c r="B687">
        <v>2016</v>
      </c>
      <c r="C687">
        <v>11</v>
      </c>
      <c r="D687" t="s">
        <v>417</v>
      </c>
      <c r="E687" t="s">
        <v>399</v>
      </c>
      <c r="F687" t="s">
        <v>396</v>
      </c>
      <c r="H687">
        <v>1933</v>
      </c>
      <c r="I687">
        <v>132</v>
      </c>
      <c r="P687">
        <v>1933</v>
      </c>
      <c r="Q687">
        <v>132</v>
      </c>
    </row>
    <row r="688" spans="1:17" x14ac:dyDescent="0.3">
      <c r="A688" s="5">
        <v>42688</v>
      </c>
      <c r="B688">
        <v>2016</v>
      </c>
      <c r="C688">
        <v>11</v>
      </c>
      <c r="D688" t="s">
        <v>417</v>
      </c>
      <c r="E688" t="s">
        <v>401</v>
      </c>
      <c r="F688" t="s">
        <v>396</v>
      </c>
      <c r="H688">
        <v>2088</v>
      </c>
      <c r="I688">
        <v>114</v>
      </c>
      <c r="P688">
        <v>2088</v>
      </c>
      <c r="Q688">
        <v>114</v>
      </c>
    </row>
    <row r="689" spans="1:17" x14ac:dyDescent="0.3">
      <c r="A689" s="5">
        <v>42695</v>
      </c>
      <c r="B689">
        <v>2016</v>
      </c>
      <c r="C689">
        <v>11</v>
      </c>
      <c r="D689" t="s">
        <v>417</v>
      </c>
      <c r="E689" t="s">
        <v>414</v>
      </c>
      <c r="F689" t="s">
        <v>396</v>
      </c>
      <c r="H689">
        <v>1089</v>
      </c>
      <c r="I689">
        <v>124</v>
      </c>
      <c r="P689">
        <v>1089</v>
      </c>
      <c r="Q689">
        <v>124</v>
      </c>
    </row>
    <row r="690" spans="1:17" x14ac:dyDescent="0.3">
      <c r="A690" s="5">
        <v>42695</v>
      </c>
      <c r="B690">
        <v>2016</v>
      </c>
      <c r="C690">
        <v>11</v>
      </c>
      <c r="D690" t="s">
        <v>417</v>
      </c>
      <c r="E690" t="s">
        <v>415</v>
      </c>
      <c r="F690" t="s">
        <v>396</v>
      </c>
      <c r="H690">
        <v>1664</v>
      </c>
      <c r="I690">
        <v>144</v>
      </c>
      <c r="P690">
        <v>1664</v>
      </c>
      <c r="Q690">
        <v>144</v>
      </c>
    </row>
    <row r="691" spans="1:17" x14ac:dyDescent="0.3">
      <c r="A691" s="5">
        <v>42695</v>
      </c>
      <c r="B691">
        <v>2016</v>
      </c>
      <c r="C691">
        <v>11</v>
      </c>
      <c r="D691" t="s">
        <v>417</v>
      </c>
      <c r="E691" t="s">
        <v>400</v>
      </c>
      <c r="F691" t="s">
        <v>396</v>
      </c>
      <c r="H691">
        <v>1788</v>
      </c>
      <c r="I691">
        <v>133</v>
      </c>
      <c r="P691">
        <v>1788</v>
      </c>
      <c r="Q691">
        <v>133</v>
      </c>
    </row>
    <row r="692" spans="1:17" x14ac:dyDescent="0.3">
      <c r="A692" s="5">
        <v>42695</v>
      </c>
      <c r="B692">
        <v>2016</v>
      </c>
      <c r="C692">
        <v>11</v>
      </c>
      <c r="D692" t="s">
        <v>417</v>
      </c>
      <c r="E692" t="s">
        <v>409</v>
      </c>
      <c r="F692" t="s">
        <v>396</v>
      </c>
      <c r="H692">
        <v>1880</v>
      </c>
      <c r="I692">
        <v>141</v>
      </c>
      <c r="P692">
        <v>1880</v>
      </c>
      <c r="Q692">
        <v>141</v>
      </c>
    </row>
    <row r="693" spans="1:17" x14ac:dyDescent="0.3">
      <c r="A693" s="5">
        <v>42695</v>
      </c>
      <c r="B693">
        <v>2016</v>
      </c>
      <c r="C693">
        <v>11</v>
      </c>
      <c r="D693" t="s">
        <v>417</v>
      </c>
      <c r="E693" t="s">
        <v>399</v>
      </c>
      <c r="F693" t="s">
        <v>396</v>
      </c>
      <c r="H693">
        <v>1962</v>
      </c>
      <c r="I693">
        <v>135</v>
      </c>
      <c r="P693">
        <v>1962</v>
      </c>
      <c r="Q693">
        <v>135</v>
      </c>
    </row>
    <row r="694" spans="1:17" x14ac:dyDescent="0.3">
      <c r="A694" s="5">
        <v>42695</v>
      </c>
      <c r="B694">
        <v>2016</v>
      </c>
      <c r="C694">
        <v>11</v>
      </c>
      <c r="D694" t="s">
        <v>417</v>
      </c>
      <c r="E694" t="s">
        <v>407</v>
      </c>
      <c r="F694" t="s">
        <v>396</v>
      </c>
      <c r="H694">
        <v>1977</v>
      </c>
      <c r="I694">
        <v>129</v>
      </c>
      <c r="P694">
        <v>1977</v>
      </c>
      <c r="Q694">
        <v>129</v>
      </c>
    </row>
    <row r="695" spans="1:17" x14ac:dyDescent="0.3">
      <c r="A695" s="5">
        <v>42695</v>
      </c>
      <c r="B695">
        <v>2016</v>
      </c>
      <c r="C695">
        <v>11</v>
      </c>
      <c r="D695" t="s">
        <v>417</v>
      </c>
      <c r="E695" t="s">
        <v>401</v>
      </c>
      <c r="F695" t="s">
        <v>396</v>
      </c>
      <c r="H695">
        <v>2094</v>
      </c>
      <c r="I695">
        <v>110</v>
      </c>
      <c r="P695">
        <v>2094</v>
      </c>
      <c r="Q695">
        <v>110</v>
      </c>
    </row>
    <row r="696" spans="1:17" x14ac:dyDescent="0.3">
      <c r="A696" s="5">
        <v>42808</v>
      </c>
      <c r="B696">
        <v>2017</v>
      </c>
      <c r="C696">
        <v>3</v>
      </c>
      <c r="D696" t="s">
        <v>417</v>
      </c>
      <c r="E696" t="s">
        <v>400</v>
      </c>
      <c r="F696" t="s">
        <v>396</v>
      </c>
      <c r="H696">
        <v>1690</v>
      </c>
      <c r="I696">
        <v>135</v>
      </c>
      <c r="J696">
        <v>1735</v>
      </c>
      <c r="K696">
        <v>131</v>
      </c>
      <c r="P696">
        <v>1712.5</v>
      </c>
      <c r="Q696">
        <v>133</v>
      </c>
    </row>
    <row r="697" spans="1:17" x14ac:dyDescent="0.3">
      <c r="A697" s="5">
        <v>42808</v>
      </c>
      <c r="B697">
        <v>2017</v>
      </c>
      <c r="C697">
        <v>3</v>
      </c>
      <c r="D697" t="s">
        <v>417</v>
      </c>
      <c r="E697" t="s">
        <v>407</v>
      </c>
      <c r="F697" t="s">
        <v>396</v>
      </c>
      <c r="H697">
        <v>1989</v>
      </c>
      <c r="I697">
        <v>137</v>
      </c>
      <c r="J697">
        <v>1935</v>
      </c>
      <c r="K697">
        <v>137</v>
      </c>
      <c r="P697">
        <v>1962</v>
      </c>
      <c r="Q697">
        <v>137</v>
      </c>
    </row>
    <row r="698" spans="1:17" x14ac:dyDescent="0.3">
      <c r="A698" s="5">
        <v>42808</v>
      </c>
      <c r="B698">
        <v>2017</v>
      </c>
      <c r="C698">
        <v>3</v>
      </c>
      <c r="D698" t="s">
        <v>417</v>
      </c>
      <c r="E698" t="s">
        <v>401</v>
      </c>
      <c r="F698" t="s">
        <v>396</v>
      </c>
      <c r="H698">
        <v>1949</v>
      </c>
      <c r="I698">
        <v>116</v>
      </c>
      <c r="J698">
        <v>2006</v>
      </c>
      <c r="K698">
        <v>117</v>
      </c>
      <c r="P698">
        <v>1977.5</v>
      </c>
      <c r="Q698">
        <v>116.5</v>
      </c>
    </row>
    <row r="699" spans="1:17" x14ac:dyDescent="0.3">
      <c r="A699" s="5">
        <v>42808</v>
      </c>
      <c r="B699">
        <v>2017</v>
      </c>
      <c r="C699">
        <v>3</v>
      </c>
      <c r="D699" t="s">
        <v>417</v>
      </c>
      <c r="E699" t="s">
        <v>399</v>
      </c>
      <c r="F699" t="s">
        <v>396</v>
      </c>
      <c r="H699">
        <v>2010</v>
      </c>
      <c r="I699">
        <v>135</v>
      </c>
      <c r="J699">
        <v>2005</v>
      </c>
      <c r="K699">
        <v>135</v>
      </c>
      <c r="P699">
        <v>2007.5</v>
      </c>
      <c r="Q699">
        <v>135</v>
      </c>
    </row>
    <row r="700" spans="1:17" x14ac:dyDescent="0.3">
      <c r="A700" s="5">
        <v>42832</v>
      </c>
      <c r="B700">
        <v>2017</v>
      </c>
      <c r="C700">
        <v>4</v>
      </c>
      <c r="D700" t="s">
        <v>419</v>
      </c>
      <c r="E700" t="s">
        <v>414</v>
      </c>
      <c r="F700" t="s">
        <v>396</v>
      </c>
      <c r="H700">
        <v>1148</v>
      </c>
      <c r="I700">
        <v>124</v>
      </c>
      <c r="J700">
        <v>1113</v>
      </c>
      <c r="K700">
        <v>120</v>
      </c>
      <c r="P700">
        <v>1130.5</v>
      </c>
      <c r="Q700">
        <v>122</v>
      </c>
    </row>
    <row r="701" spans="1:17" x14ac:dyDescent="0.3">
      <c r="A701" s="5">
        <v>42832</v>
      </c>
      <c r="B701">
        <v>2017</v>
      </c>
      <c r="C701">
        <v>4</v>
      </c>
      <c r="D701" t="s">
        <v>419</v>
      </c>
      <c r="E701" t="s">
        <v>410</v>
      </c>
      <c r="F701" t="s">
        <v>396</v>
      </c>
      <c r="H701">
        <v>1267</v>
      </c>
      <c r="I701">
        <v>130</v>
      </c>
      <c r="J701">
        <v>1229</v>
      </c>
      <c r="K701">
        <v>124</v>
      </c>
      <c r="P701">
        <v>1248</v>
      </c>
      <c r="Q701">
        <v>127</v>
      </c>
    </row>
    <row r="702" spans="1:17" x14ac:dyDescent="0.3">
      <c r="A702" s="5">
        <v>42832</v>
      </c>
      <c r="B702">
        <v>2017</v>
      </c>
      <c r="C702">
        <v>4</v>
      </c>
      <c r="D702" t="s">
        <v>419</v>
      </c>
      <c r="E702" t="s">
        <v>415</v>
      </c>
      <c r="F702" t="s">
        <v>396</v>
      </c>
      <c r="H702">
        <v>1707</v>
      </c>
      <c r="I702">
        <v>140</v>
      </c>
      <c r="J702">
        <v>1629</v>
      </c>
      <c r="K702">
        <v>137</v>
      </c>
      <c r="P702">
        <v>1668</v>
      </c>
      <c r="Q702">
        <v>138.5</v>
      </c>
    </row>
    <row r="703" spans="1:17" x14ac:dyDescent="0.3">
      <c r="A703" s="5">
        <v>42832</v>
      </c>
      <c r="B703">
        <v>2017</v>
      </c>
      <c r="C703">
        <v>4</v>
      </c>
      <c r="D703" t="s">
        <v>419</v>
      </c>
      <c r="E703" t="s">
        <v>405</v>
      </c>
      <c r="F703" t="s">
        <v>396</v>
      </c>
      <c r="H703">
        <v>1799</v>
      </c>
      <c r="I703">
        <v>147</v>
      </c>
      <c r="J703">
        <v>1745</v>
      </c>
      <c r="K703">
        <v>142</v>
      </c>
      <c r="P703">
        <v>1772</v>
      </c>
      <c r="Q703">
        <v>144.5</v>
      </c>
    </row>
    <row r="704" spans="1:17" x14ac:dyDescent="0.3">
      <c r="A704" s="5">
        <v>42832</v>
      </c>
      <c r="B704">
        <v>2017</v>
      </c>
      <c r="C704">
        <v>4</v>
      </c>
      <c r="D704" t="s">
        <v>419</v>
      </c>
      <c r="E704" t="s">
        <v>409</v>
      </c>
      <c r="F704" t="s">
        <v>396</v>
      </c>
      <c r="H704">
        <v>1823</v>
      </c>
      <c r="I704">
        <v>139</v>
      </c>
      <c r="J704">
        <v>1786</v>
      </c>
      <c r="K704">
        <v>133</v>
      </c>
      <c r="P704">
        <v>1804.5</v>
      </c>
      <c r="Q704">
        <v>136</v>
      </c>
    </row>
    <row r="705" spans="1:17" x14ac:dyDescent="0.3">
      <c r="A705" s="5">
        <v>42835</v>
      </c>
      <c r="B705">
        <v>2017</v>
      </c>
      <c r="C705">
        <v>4</v>
      </c>
      <c r="E705" t="s">
        <v>414</v>
      </c>
      <c r="F705" t="s">
        <v>396</v>
      </c>
      <c r="H705">
        <v>1114</v>
      </c>
      <c r="I705">
        <v>124</v>
      </c>
      <c r="J705">
        <v>1083</v>
      </c>
      <c r="K705">
        <v>119</v>
      </c>
      <c r="P705">
        <v>1098.5</v>
      </c>
      <c r="Q705">
        <v>121.5</v>
      </c>
    </row>
    <row r="706" spans="1:17" x14ac:dyDescent="0.3">
      <c r="A706" s="5">
        <v>42835</v>
      </c>
      <c r="B706">
        <v>2017</v>
      </c>
      <c r="C706">
        <v>4</v>
      </c>
      <c r="E706" t="s">
        <v>410</v>
      </c>
      <c r="F706" t="s">
        <v>396</v>
      </c>
      <c r="H706">
        <v>1210</v>
      </c>
      <c r="I706">
        <v>131</v>
      </c>
      <c r="J706">
        <v>1198</v>
      </c>
      <c r="K706">
        <v>130</v>
      </c>
      <c r="P706">
        <v>1204</v>
      </c>
      <c r="Q706">
        <v>130.5</v>
      </c>
    </row>
    <row r="707" spans="1:17" x14ac:dyDescent="0.3">
      <c r="A707" s="5">
        <v>42835</v>
      </c>
      <c r="B707">
        <v>2017</v>
      </c>
      <c r="C707">
        <v>4</v>
      </c>
      <c r="E707" t="s">
        <v>415</v>
      </c>
      <c r="F707" t="s">
        <v>396</v>
      </c>
      <c r="H707">
        <v>1693</v>
      </c>
      <c r="I707">
        <v>139</v>
      </c>
      <c r="J707">
        <v>1682</v>
      </c>
      <c r="K707">
        <v>137</v>
      </c>
      <c r="P707">
        <v>1687.5</v>
      </c>
      <c r="Q707">
        <v>138</v>
      </c>
    </row>
    <row r="708" spans="1:17" x14ac:dyDescent="0.3">
      <c r="A708" s="5">
        <v>42835</v>
      </c>
      <c r="B708">
        <v>2017</v>
      </c>
      <c r="C708">
        <v>4</v>
      </c>
      <c r="E708" t="s">
        <v>405</v>
      </c>
      <c r="F708" t="s">
        <v>396</v>
      </c>
      <c r="H708">
        <v>1740</v>
      </c>
      <c r="I708">
        <v>140</v>
      </c>
      <c r="J708">
        <v>1656</v>
      </c>
      <c r="K708">
        <v>133</v>
      </c>
      <c r="P708">
        <v>1698</v>
      </c>
      <c r="Q708">
        <v>136.5</v>
      </c>
    </row>
    <row r="709" spans="1:17" x14ac:dyDescent="0.3">
      <c r="A709" s="5">
        <v>42835</v>
      </c>
      <c r="B709">
        <v>2017</v>
      </c>
      <c r="C709">
        <v>4</v>
      </c>
      <c r="E709" t="s">
        <v>409</v>
      </c>
      <c r="F709" t="s">
        <v>396</v>
      </c>
      <c r="H709">
        <v>1804</v>
      </c>
      <c r="I709">
        <v>135</v>
      </c>
      <c r="J709">
        <v>1763</v>
      </c>
      <c r="K709">
        <v>131</v>
      </c>
      <c r="P709">
        <v>1783.5</v>
      </c>
      <c r="Q709">
        <v>133</v>
      </c>
    </row>
    <row r="710" spans="1:17" x14ac:dyDescent="0.3">
      <c r="A710" s="5">
        <v>42846</v>
      </c>
      <c r="B710">
        <v>2017</v>
      </c>
      <c r="C710">
        <v>4</v>
      </c>
      <c r="E710" t="s">
        <v>410</v>
      </c>
      <c r="F710" t="s">
        <v>396</v>
      </c>
      <c r="H710">
        <v>1241</v>
      </c>
      <c r="I710">
        <v>132</v>
      </c>
      <c r="J710">
        <v>1226</v>
      </c>
      <c r="K710">
        <v>129</v>
      </c>
      <c r="P710">
        <v>1233.5</v>
      </c>
      <c r="Q710">
        <v>130.5</v>
      </c>
    </row>
    <row r="711" spans="1:17" x14ac:dyDescent="0.3">
      <c r="A711" s="5">
        <v>42846</v>
      </c>
      <c r="B711">
        <v>2017</v>
      </c>
      <c r="C711">
        <v>4</v>
      </c>
      <c r="E711" t="s">
        <v>405</v>
      </c>
      <c r="F711" t="s">
        <v>396</v>
      </c>
      <c r="H711">
        <v>1644</v>
      </c>
      <c r="I711">
        <v>142</v>
      </c>
      <c r="J711">
        <v>1634</v>
      </c>
      <c r="K711">
        <v>141</v>
      </c>
      <c r="P711">
        <v>1639</v>
      </c>
      <c r="Q711">
        <v>141.5</v>
      </c>
    </row>
    <row r="712" spans="1:17" x14ac:dyDescent="0.3">
      <c r="A712" s="5">
        <v>42846</v>
      </c>
      <c r="B712">
        <v>2017</v>
      </c>
      <c r="C712">
        <v>4</v>
      </c>
      <c r="E712" t="s">
        <v>409</v>
      </c>
      <c r="F712" t="s">
        <v>396</v>
      </c>
      <c r="H712">
        <v>1751</v>
      </c>
      <c r="I712">
        <v>132</v>
      </c>
      <c r="J712">
        <v>1768</v>
      </c>
      <c r="K712">
        <v>132</v>
      </c>
      <c r="P712">
        <v>1759.5</v>
      </c>
      <c r="Q712">
        <v>132</v>
      </c>
    </row>
    <row r="713" spans="1:17" x14ac:dyDescent="0.3">
      <c r="A713" s="5">
        <v>42853</v>
      </c>
      <c r="B713">
        <v>2017</v>
      </c>
      <c r="C713">
        <v>4</v>
      </c>
      <c r="E713" t="s">
        <v>414</v>
      </c>
      <c r="F713" t="s">
        <v>396</v>
      </c>
      <c r="H713">
        <v>1116</v>
      </c>
      <c r="I713">
        <v>123</v>
      </c>
      <c r="J713">
        <v>1130</v>
      </c>
      <c r="K713">
        <v>126</v>
      </c>
      <c r="P713">
        <v>1123</v>
      </c>
      <c r="Q713">
        <v>124.5</v>
      </c>
    </row>
    <row r="714" spans="1:17" x14ac:dyDescent="0.3">
      <c r="A714" s="5">
        <v>42853</v>
      </c>
      <c r="B714">
        <v>2017</v>
      </c>
      <c r="C714">
        <v>4</v>
      </c>
      <c r="E714" t="s">
        <v>410</v>
      </c>
      <c r="F714" t="s">
        <v>396</v>
      </c>
      <c r="H714">
        <v>1225</v>
      </c>
      <c r="I714">
        <v>131</v>
      </c>
      <c r="J714">
        <v>1200</v>
      </c>
      <c r="K714">
        <v>131</v>
      </c>
      <c r="P714">
        <v>1212.5</v>
      </c>
      <c r="Q714">
        <v>131</v>
      </c>
    </row>
    <row r="715" spans="1:17" x14ac:dyDescent="0.3">
      <c r="A715" s="5">
        <v>42853</v>
      </c>
      <c r="B715">
        <v>2017</v>
      </c>
      <c r="C715">
        <v>4</v>
      </c>
      <c r="E715" t="s">
        <v>415</v>
      </c>
      <c r="F715" t="s">
        <v>396</v>
      </c>
      <c r="H715">
        <v>1615</v>
      </c>
      <c r="I715">
        <v>142</v>
      </c>
      <c r="J715">
        <v>1699</v>
      </c>
      <c r="K715">
        <v>142</v>
      </c>
      <c r="P715">
        <v>1657</v>
      </c>
      <c r="Q715">
        <v>142</v>
      </c>
    </row>
    <row r="716" spans="1:17" x14ac:dyDescent="0.3">
      <c r="A716" s="5">
        <v>42853</v>
      </c>
      <c r="B716">
        <v>2017</v>
      </c>
      <c r="C716">
        <v>4</v>
      </c>
      <c r="E716" t="s">
        <v>405</v>
      </c>
      <c r="F716" t="s">
        <v>396</v>
      </c>
      <c r="H716">
        <v>1719</v>
      </c>
      <c r="I716">
        <v>149</v>
      </c>
      <c r="J716">
        <v>1711</v>
      </c>
      <c r="K716">
        <v>149</v>
      </c>
      <c r="P716">
        <v>1715</v>
      </c>
      <c r="Q716">
        <v>149</v>
      </c>
    </row>
    <row r="717" spans="1:17" x14ac:dyDescent="0.3">
      <c r="A717" s="5">
        <v>42853</v>
      </c>
      <c r="B717">
        <v>2017</v>
      </c>
      <c r="C717">
        <v>4</v>
      </c>
      <c r="E717" t="s">
        <v>409</v>
      </c>
      <c r="F717" t="s">
        <v>396</v>
      </c>
      <c r="H717">
        <v>1784</v>
      </c>
      <c r="I717">
        <v>131</v>
      </c>
      <c r="J717">
        <v>1813</v>
      </c>
      <c r="K717">
        <v>133</v>
      </c>
      <c r="P717">
        <v>1798.5</v>
      </c>
      <c r="Q717">
        <v>132</v>
      </c>
    </row>
    <row r="718" spans="1:17" x14ac:dyDescent="0.3">
      <c r="A718" s="5">
        <v>42860</v>
      </c>
      <c r="B718">
        <v>2017</v>
      </c>
      <c r="C718">
        <v>5</v>
      </c>
      <c r="E718" t="s">
        <v>414</v>
      </c>
      <c r="F718" t="s">
        <v>396</v>
      </c>
      <c r="H718">
        <v>1102</v>
      </c>
      <c r="I718">
        <v>123</v>
      </c>
      <c r="J718">
        <v>1109</v>
      </c>
      <c r="K718">
        <v>121</v>
      </c>
      <c r="P718">
        <v>1105.5</v>
      </c>
      <c r="Q718">
        <v>122</v>
      </c>
    </row>
    <row r="719" spans="1:17" x14ac:dyDescent="0.3">
      <c r="A719" s="5">
        <v>42860</v>
      </c>
      <c r="B719">
        <v>2017</v>
      </c>
      <c r="C719">
        <v>5</v>
      </c>
      <c r="E719" t="s">
        <v>410</v>
      </c>
      <c r="F719" t="s">
        <v>396</v>
      </c>
      <c r="H719">
        <v>1233</v>
      </c>
      <c r="I719">
        <v>130</v>
      </c>
      <c r="P719">
        <v>1233</v>
      </c>
      <c r="Q719">
        <v>130</v>
      </c>
    </row>
    <row r="720" spans="1:17" x14ac:dyDescent="0.3">
      <c r="A720" s="5">
        <v>42860</v>
      </c>
      <c r="B720">
        <v>2017</v>
      </c>
      <c r="C720">
        <v>5</v>
      </c>
      <c r="E720" t="s">
        <v>415</v>
      </c>
      <c r="F720" t="s">
        <v>396</v>
      </c>
      <c r="H720">
        <v>1448</v>
      </c>
      <c r="I720">
        <v>126</v>
      </c>
      <c r="J720">
        <v>1492</v>
      </c>
      <c r="K720">
        <v>130</v>
      </c>
      <c r="P720">
        <v>1470</v>
      </c>
      <c r="Q720">
        <v>128</v>
      </c>
    </row>
    <row r="721" spans="1:17" x14ac:dyDescent="0.3">
      <c r="A721" s="5">
        <v>42860</v>
      </c>
      <c r="B721">
        <v>2017</v>
      </c>
      <c r="C721">
        <v>5</v>
      </c>
      <c r="E721" t="s">
        <v>405</v>
      </c>
      <c r="F721" t="s">
        <v>396</v>
      </c>
      <c r="H721">
        <v>1602</v>
      </c>
      <c r="I721">
        <v>145</v>
      </c>
      <c r="J721">
        <v>1630</v>
      </c>
      <c r="K721">
        <v>146</v>
      </c>
      <c r="P721">
        <v>1616</v>
      </c>
      <c r="Q721">
        <v>145.5</v>
      </c>
    </row>
    <row r="722" spans="1:17" x14ac:dyDescent="0.3">
      <c r="A722" s="5">
        <v>42860</v>
      </c>
      <c r="B722">
        <v>2017</v>
      </c>
      <c r="C722">
        <v>5</v>
      </c>
      <c r="E722" t="s">
        <v>409</v>
      </c>
      <c r="F722" t="s">
        <v>396</v>
      </c>
      <c r="H722">
        <v>1721</v>
      </c>
      <c r="I722">
        <v>135</v>
      </c>
      <c r="J722">
        <v>1712</v>
      </c>
      <c r="K722">
        <v>131</v>
      </c>
      <c r="P722">
        <v>1716.5</v>
      </c>
      <c r="Q722">
        <v>133</v>
      </c>
    </row>
    <row r="723" spans="1:17" x14ac:dyDescent="0.3">
      <c r="A723" s="5">
        <v>42877</v>
      </c>
      <c r="B723">
        <v>2017</v>
      </c>
      <c r="C723">
        <v>5</v>
      </c>
      <c r="E723" t="s">
        <v>410</v>
      </c>
      <c r="F723" t="s">
        <v>396</v>
      </c>
      <c r="H723">
        <v>1230</v>
      </c>
      <c r="I723">
        <v>131</v>
      </c>
      <c r="J723">
        <v>1218</v>
      </c>
      <c r="K723">
        <v>134</v>
      </c>
      <c r="P723">
        <v>1224</v>
      </c>
      <c r="Q723">
        <v>132.5</v>
      </c>
    </row>
    <row r="724" spans="1:17" x14ac:dyDescent="0.3">
      <c r="A724" s="5">
        <v>42877</v>
      </c>
      <c r="B724">
        <v>2017</v>
      </c>
      <c r="C724">
        <v>5</v>
      </c>
      <c r="E724" t="s">
        <v>415</v>
      </c>
      <c r="F724" t="s">
        <v>396</v>
      </c>
      <c r="H724">
        <v>1702</v>
      </c>
      <c r="I724">
        <v>131</v>
      </c>
      <c r="J724">
        <v>1583</v>
      </c>
      <c r="K724">
        <v>131</v>
      </c>
      <c r="P724">
        <v>1642.5</v>
      </c>
      <c r="Q724">
        <v>131</v>
      </c>
    </row>
    <row r="725" spans="1:17" x14ac:dyDescent="0.3">
      <c r="A725" s="5">
        <v>42877</v>
      </c>
      <c r="B725">
        <v>2017</v>
      </c>
      <c r="C725">
        <v>5</v>
      </c>
      <c r="E725" t="s">
        <v>409</v>
      </c>
      <c r="F725" t="s">
        <v>396</v>
      </c>
      <c r="H725">
        <v>1716</v>
      </c>
      <c r="I725">
        <v>130</v>
      </c>
      <c r="J725">
        <v>1635</v>
      </c>
      <c r="K725">
        <v>132</v>
      </c>
      <c r="P725">
        <v>1675.5</v>
      </c>
      <c r="Q725">
        <v>131</v>
      </c>
    </row>
    <row r="726" spans="1:17" x14ac:dyDescent="0.3">
      <c r="A726" s="5">
        <v>42963</v>
      </c>
      <c r="B726">
        <v>2017</v>
      </c>
      <c r="C726">
        <v>8</v>
      </c>
      <c r="D726" t="s">
        <v>420</v>
      </c>
      <c r="E726" t="s">
        <v>399</v>
      </c>
      <c r="F726" t="s">
        <v>396</v>
      </c>
      <c r="H726">
        <v>1965</v>
      </c>
      <c r="I726">
        <v>134</v>
      </c>
      <c r="J726">
        <v>1909</v>
      </c>
      <c r="K726">
        <v>128</v>
      </c>
      <c r="P726">
        <v>1937</v>
      </c>
      <c r="Q726">
        <v>131</v>
      </c>
    </row>
    <row r="727" spans="1:17" x14ac:dyDescent="0.3">
      <c r="A727" s="5">
        <v>42997</v>
      </c>
      <c r="B727">
        <v>2017</v>
      </c>
      <c r="C727">
        <v>9</v>
      </c>
      <c r="E727" t="s">
        <v>414</v>
      </c>
      <c r="F727" t="s">
        <v>396</v>
      </c>
      <c r="H727">
        <v>1185</v>
      </c>
      <c r="I727">
        <v>118</v>
      </c>
      <c r="J727">
        <v>1206</v>
      </c>
      <c r="K727">
        <v>124</v>
      </c>
      <c r="P727">
        <v>1195.5</v>
      </c>
      <c r="Q727">
        <v>121</v>
      </c>
    </row>
    <row r="728" spans="1:17" x14ac:dyDescent="0.3">
      <c r="A728" s="5">
        <v>42997</v>
      </c>
      <c r="B728">
        <v>2017</v>
      </c>
      <c r="C728">
        <v>9</v>
      </c>
      <c r="E728" t="s">
        <v>410</v>
      </c>
      <c r="F728" t="s">
        <v>396</v>
      </c>
      <c r="H728">
        <v>1252</v>
      </c>
      <c r="I728">
        <v>130</v>
      </c>
      <c r="J728">
        <v>1240</v>
      </c>
      <c r="K728">
        <v>129</v>
      </c>
      <c r="P728">
        <v>1246</v>
      </c>
      <c r="Q728">
        <v>129.5</v>
      </c>
    </row>
    <row r="729" spans="1:17" x14ac:dyDescent="0.3">
      <c r="A729" s="5">
        <v>42997</v>
      </c>
      <c r="B729">
        <v>2017</v>
      </c>
      <c r="C729">
        <v>9</v>
      </c>
      <c r="E729" t="s">
        <v>405</v>
      </c>
      <c r="F729" t="s">
        <v>396</v>
      </c>
      <c r="H729">
        <v>1549</v>
      </c>
      <c r="I729">
        <v>134</v>
      </c>
      <c r="J729">
        <v>1579</v>
      </c>
      <c r="K729">
        <v>133</v>
      </c>
      <c r="P729">
        <v>1564</v>
      </c>
      <c r="Q729">
        <v>133.5</v>
      </c>
    </row>
    <row r="730" spans="1:17" x14ac:dyDescent="0.3">
      <c r="A730" s="5">
        <v>42997</v>
      </c>
      <c r="B730">
        <v>2017</v>
      </c>
      <c r="C730">
        <v>9</v>
      </c>
      <c r="E730" t="s">
        <v>415</v>
      </c>
      <c r="F730" t="s">
        <v>396</v>
      </c>
      <c r="H730">
        <v>1597</v>
      </c>
      <c r="I730">
        <v>130</v>
      </c>
      <c r="J730">
        <v>1653</v>
      </c>
      <c r="K730">
        <v>132</v>
      </c>
      <c r="P730">
        <v>1625</v>
      </c>
      <c r="Q730">
        <v>131</v>
      </c>
    </row>
    <row r="731" spans="1:17" x14ac:dyDescent="0.3">
      <c r="A731" s="5">
        <v>42997</v>
      </c>
      <c r="B731">
        <v>2017</v>
      </c>
      <c r="C731">
        <v>9</v>
      </c>
      <c r="E731" t="s">
        <v>400</v>
      </c>
      <c r="F731" t="s">
        <v>396</v>
      </c>
      <c r="H731">
        <v>1851</v>
      </c>
      <c r="I731">
        <v>137</v>
      </c>
      <c r="J731">
        <v>1859</v>
      </c>
      <c r="K731">
        <v>135</v>
      </c>
      <c r="P731">
        <v>1855</v>
      </c>
      <c r="Q731">
        <v>136</v>
      </c>
    </row>
    <row r="732" spans="1:17" x14ac:dyDescent="0.3">
      <c r="A732" s="5">
        <v>42997</v>
      </c>
      <c r="B732">
        <v>2017</v>
      </c>
      <c r="C732">
        <v>9</v>
      </c>
      <c r="E732" t="s">
        <v>407</v>
      </c>
      <c r="F732" t="s">
        <v>396</v>
      </c>
      <c r="H732">
        <v>1888</v>
      </c>
      <c r="I732">
        <v>132</v>
      </c>
      <c r="J732">
        <v>1851</v>
      </c>
      <c r="K732">
        <v>133</v>
      </c>
      <c r="P732">
        <v>1869.5</v>
      </c>
      <c r="Q732">
        <v>132.5</v>
      </c>
    </row>
    <row r="733" spans="1:17" x14ac:dyDescent="0.3">
      <c r="A733" s="5">
        <v>42997</v>
      </c>
      <c r="B733">
        <v>2017</v>
      </c>
      <c r="C733">
        <v>9</v>
      </c>
      <c r="E733" t="s">
        <v>399</v>
      </c>
      <c r="F733" t="s">
        <v>396</v>
      </c>
      <c r="H733">
        <v>1976</v>
      </c>
      <c r="I733">
        <v>132</v>
      </c>
      <c r="J733">
        <v>2005</v>
      </c>
      <c r="K733">
        <v>134</v>
      </c>
      <c r="P733">
        <v>1990.5</v>
      </c>
      <c r="Q733">
        <v>133</v>
      </c>
    </row>
    <row r="734" spans="1:17" x14ac:dyDescent="0.3">
      <c r="A734" s="5">
        <v>42997</v>
      </c>
      <c r="B734">
        <v>2017</v>
      </c>
      <c r="C734">
        <v>9</v>
      </c>
      <c r="E734" t="s">
        <v>401</v>
      </c>
      <c r="F734" t="s">
        <v>396</v>
      </c>
      <c r="H734">
        <v>2085</v>
      </c>
      <c r="I734">
        <v>115</v>
      </c>
      <c r="J734">
        <v>2003</v>
      </c>
      <c r="K734">
        <v>112</v>
      </c>
      <c r="P734">
        <v>2044</v>
      </c>
      <c r="Q734">
        <v>113.5</v>
      </c>
    </row>
    <row r="735" spans="1:17" x14ac:dyDescent="0.3">
      <c r="A735" s="5">
        <v>43004</v>
      </c>
      <c r="B735">
        <v>2017</v>
      </c>
      <c r="C735">
        <v>9</v>
      </c>
      <c r="E735" t="s">
        <v>410</v>
      </c>
      <c r="F735" t="s">
        <v>396</v>
      </c>
      <c r="H735">
        <v>1239</v>
      </c>
      <c r="I735">
        <v>128</v>
      </c>
      <c r="J735">
        <v>1205</v>
      </c>
      <c r="K735">
        <v>125</v>
      </c>
      <c r="P735">
        <v>1222</v>
      </c>
      <c r="Q735">
        <v>126.5</v>
      </c>
    </row>
    <row r="736" spans="1:17" x14ac:dyDescent="0.3">
      <c r="A736" s="5">
        <v>43004</v>
      </c>
      <c r="B736">
        <v>2017</v>
      </c>
      <c r="C736">
        <v>9</v>
      </c>
      <c r="E736" t="s">
        <v>405</v>
      </c>
      <c r="F736" t="s">
        <v>396</v>
      </c>
      <c r="H736">
        <v>1565</v>
      </c>
      <c r="I736">
        <v>130</v>
      </c>
      <c r="J736">
        <v>1498</v>
      </c>
      <c r="K736">
        <v>131</v>
      </c>
      <c r="P736">
        <v>1531.5</v>
      </c>
      <c r="Q736">
        <v>130.5</v>
      </c>
    </row>
    <row r="737" spans="1:17" x14ac:dyDescent="0.3">
      <c r="A737" s="5">
        <v>43004</v>
      </c>
      <c r="B737">
        <v>2017</v>
      </c>
      <c r="C737">
        <v>9</v>
      </c>
      <c r="E737" t="s">
        <v>415</v>
      </c>
      <c r="F737" t="s">
        <v>396</v>
      </c>
      <c r="H737">
        <v>1647</v>
      </c>
      <c r="I737">
        <v>130</v>
      </c>
      <c r="J737">
        <v>1647</v>
      </c>
      <c r="K737">
        <v>132</v>
      </c>
      <c r="P737">
        <v>1647</v>
      </c>
      <c r="Q737">
        <v>131</v>
      </c>
    </row>
    <row r="738" spans="1:17" x14ac:dyDescent="0.3">
      <c r="A738" s="5">
        <v>43004</v>
      </c>
      <c r="B738">
        <v>2017</v>
      </c>
      <c r="C738">
        <v>9</v>
      </c>
      <c r="E738" t="s">
        <v>400</v>
      </c>
      <c r="F738" t="s">
        <v>396</v>
      </c>
      <c r="H738">
        <v>1824</v>
      </c>
      <c r="I738">
        <v>127</v>
      </c>
      <c r="J738">
        <v>1761</v>
      </c>
      <c r="K738">
        <v>126</v>
      </c>
      <c r="P738">
        <v>1792.5</v>
      </c>
      <c r="Q738">
        <v>126.5</v>
      </c>
    </row>
    <row r="739" spans="1:17" x14ac:dyDescent="0.3">
      <c r="A739" s="5">
        <v>43004</v>
      </c>
      <c r="B739">
        <v>2017</v>
      </c>
      <c r="C739">
        <v>9</v>
      </c>
      <c r="E739" t="s">
        <v>401</v>
      </c>
      <c r="F739" t="s">
        <v>396</v>
      </c>
      <c r="H739">
        <v>1821</v>
      </c>
      <c r="I739">
        <v>116</v>
      </c>
      <c r="J739">
        <v>1808</v>
      </c>
      <c r="K739">
        <v>110</v>
      </c>
      <c r="P739">
        <v>1814.5</v>
      </c>
      <c r="Q739">
        <v>113</v>
      </c>
    </row>
    <row r="740" spans="1:17" x14ac:dyDescent="0.3">
      <c r="A740" s="5">
        <v>43004</v>
      </c>
      <c r="B740">
        <v>2017</v>
      </c>
      <c r="C740">
        <v>9</v>
      </c>
      <c r="E740" t="s">
        <v>407</v>
      </c>
      <c r="F740" t="s">
        <v>396</v>
      </c>
      <c r="H740">
        <v>1913</v>
      </c>
      <c r="I740">
        <v>128</v>
      </c>
      <c r="J740">
        <v>1860</v>
      </c>
      <c r="K740">
        <v>128</v>
      </c>
      <c r="P740">
        <v>1886.5</v>
      </c>
      <c r="Q740">
        <v>128</v>
      </c>
    </row>
    <row r="741" spans="1:17" x14ac:dyDescent="0.3">
      <c r="A741" s="5">
        <v>43004</v>
      </c>
      <c r="B741">
        <v>2017</v>
      </c>
      <c r="C741">
        <v>9</v>
      </c>
      <c r="E741" t="s">
        <v>399</v>
      </c>
      <c r="F741" t="s">
        <v>396</v>
      </c>
      <c r="H741">
        <v>1933</v>
      </c>
      <c r="I741">
        <v>132</v>
      </c>
      <c r="J741">
        <v>1924</v>
      </c>
      <c r="K741">
        <v>132</v>
      </c>
      <c r="P741">
        <v>1928.5</v>
      </c>
      <c r="Q741">
        <v>132</v>
      </c>
    </row>
    <row r="742" spans="1:17" x14ac:dyDescent="0.3">
      <c r="A742" s="5">
        <v>43010</v>
      </c>
      <c r="B742">
        <v>2017</v>
      </c>
      <c r="C742">
        <v>10</v>
      </c>
      <c r="E742" t="s">
        <v>414</v>
      </c>
      <c r="F742" t="s">
        <v>396</v>
      </c>
      <c r="H742">
        <v>1222</v>
      </c>
      <c r="I742">
        <v>123</v>
      </c>
      <c r="J742">
        <v>1202</v>
      </c>
      <c r="K742">
        <v>124</v>
      </c>
      <c r="P742">
        <v>1212</v>
      </c>
      <c r="Q742">
        <v>123.5</v>
      </c>
    </row>
    <row r="743" spans="1:17" x14ac:dyDescent="0.3">
      <c r="A743" s="5">
        <v>43010</v>
      </c>
      <c r="B743">
        <v>2017</v>
      </c>
      <c r="C743">
        <v>10</v>
      </c>
      <c r="E743" t="s">
        <v>410</v>
      </c>
      <c r="F743" t="s">
        <v>396</v>
      </c>
      <c r="H743">
        <v>1254</v>
      </c>
      <c r="I743">
        <v>126</v>
      </c>
      <c r="J743">
        <v>1236</v>
      </c>
      <c r="K743">
        <v>122</v>
      </c>
      <c r="P743">
        <v>1245</v>
      </c>
      <c r="Q743">
        <v>124</v>
      </c>
    </row>
    <row r="744" spans="1:17" x14ac:dyDescent="0.3">
      <c r="A744" s="5">
        <v>43010</v>
      </c>
      <c r="B744">
        <v>2017</v>
      </c>
      <c r="C744">
        <v>10</v>
      </c>
      <c r="E744" t="s">
        <v>405</v>
      </c>
      <c r="F744" t="s">
        <v>396</v>
      </c>
      <c r="H744">
        <v>1613</v>
      </c>
      <c r="I744">
        <v>136</v>
      </c>
      <c r="J744">
        <v>1642</v>
      </c>
      <c r="K744">
        <v>132</v>
      </c>
      <c r="P744">
        <v>1627.5</v>
      </c>
      <c r="Q744">
        <v>134</v>
      </c>
    </row>
    <row r="745" spans="1:17" x14ac:dyDescent="0.3">
      <c r="A745" s="5">
        <v>43010</v>
      </c>
      <c r="B745">
        <v>2017</v>
      </c>
      <c r="C745">
        <v>10</v>
      </c>
      <c r="E745" t="s">
        <v>415</v>
      </c>
      <c r="F745" t="s">
        <v>396</v>
      </c>
      <c r="H745">
        <v>1639</v>
      </c>
      <c r="I745">
        <v>131</v>
      </c>
      <c r="J745">
        <v>1655</v>
      </c>
      <c r="K745">
        <v>130</v>
      </c>
      <c r="P745">
        <v>1647</v>
      </c>
      <c r="Q745">
        <v>130.5</v>
      </c>
    </row>
    <row r="746" spans="1:17" x14ac:dyDescent="0.3">
      <c r="A746" s="5">
        <v>43010</v>
      </c>
      <c r="B746">
        <v>2017</v>
      </c>
      <c r="C746">
        <v>10</v>
      </c>
      <c r="E746" t="s">
        <v>409</v>
      </c>
      <c r="F746" t="s">
        <v>396</v>
      </c>
      <c r="H746">
        <v>1651</v>
      </c>
      <c r="I746">
        <v>126</v>
      </c>
      <c r="J746">
        <v>1658</v>
      </c>
      <c r="K746">
        <v>129</v>
      </c>
      <c r="P746">
        <v>1654.5</v>
      </c>
      <c r="Q746">
        <v>127.5</v>
      </c>
    </row>
    <row r="747" spans="1:17" x14ac:dyDescent="0.3">
      <c r="A747" s="5">
        <v>43010</v>
      </c>
      <c r="B747">
        <v>2017</v>
      </c>
      <c r="C747">
        <v>10</v>
      </c>
      <c r="E747" t="s">
        <v>400</v>
      </c>
      <c r="F747" t="s">
        <v>396</v>
      </c>
      <c r="H747">
        <v>1834</v>
      </c>
      <c r="I747">
        <v>131</v>
      </c>
      <c r="J747">
        <v>1742</v>
      </c>
      <c r="K747">
        <v>122</v>
      </c>
      <c r="P747">
        <v>1788</v>
      </c>
      <c r="Q747">
        <v>126.5</v>
      </c>
    </row>
    <row r="748" spans="1:17" x14ac:dyDescent="0.3">
      <c r="A748" s="5">
        <v>43010</v>
      </c>
      <c r="B748">
        <v>2017</v>
      </c>
      <c r="C748">
        <v>10</v>
      </c>
      <c r="E748" t="s">
        <v>407</v>
      </c>
      <c r="F748" t="s">
        <v>396</v>
      </c>
      <c r="H748">
        <v>1907</v>
      </c>
      <c r="I748">
        <v>126</v>
      </c>
      <c r="J748">
        <v>1861</v>
      </c>
      <c r="K748">
        <v>124</v>
      </c>
      <c r="P748">
        <v>1884</v>
      </c>
      <c r="Q748">
        <v>125</v>
      </c>
    </row>
    <row r="749" spans="1:17" x14ac:dyDescent="0.3">
      <c r="A749" s="5">
        <v>43010</v>
      </c>
      <c r="B749">
        <v>2017</v>
      </c>
      <c r="C749">
        <v>10</v>
      </c>
      <c r="E749" t="s">
        <v>399</v>
      </c>
      <c r="F749" t="s">
        <v>396</v>
      </c>
      <c r="H749">
        <v>1998</v>
      </c>
      <c r="I749">
        <v>131</v>
      </c>
      <c r="J749">
        <v>1961</v>
      </c>
      <c r="K749">
        <v>131</v>
      </c>
      <c r="P749">
        <v>1979.5</v>
      </c>
      <c r="Q749">
        <v>131</v>
      </c>
    </row>
    <row r="750" spans="1:17" x14ac:dyDescent="0.3">
      <c r="A750" s="5">
        <v>43018</v>
      </c>
      <c r="B750">
        <v>2017</v>
      </c>
      <c r="C750">
        <v>10</v>
      </c>
      <c r="E750" t="s">
        <v>414</v>
      </c>
      <c r="F750" t="s">
        <v>396</v>
      </c>
      <c r="H750">
        <v>1240</v>
      </c>
      <c r="I750">
        <v>122</v>
      </c>
      <c r="J750">
        <v>1185</v>
      </c>
      <c r="K750">
        <v>116</v>
      </c>
      <c r="P750">
        <v>1212.5</v>
      </c>
      <c r="Q750">
        <v>119</v>
      </c>
    </row>
    <row r="751" spans="1:17" x14ac:dyDescent="0.3">
      <c r="A751" s="5">
        <v>43018</v>
      </c>
      <c r="B751">
        <v>2017</v>
      </c>
      <c r="C751">
        <v>10</v>
      </c>
      <c r="E751" t="s">
        <v>410</v>
      </c>
      <c r="F751" t="s">
        <v>396</v>
      </c>
      <c r="H751">
        <v>1308</v>
      </c>
      <c r="I751">
        <v>127</v>
      </c>
      <c r="J751">
        <v>1250</v>
      </c>
      <c r="K751">
        <v>123</v>
      </c>
      <c r="P751">
        <v>1279</v>
      </c>
      <c r="Q751">
        <v>125</v>
      </c>
    </row>
    <row r="752" spans="1:17" x14ac:dyDescent="0.3">
      <c r="A752" s="5">
        <v>43018</v>
      </c>
      <c r="B752">
        <v>2017</v>
      </c>
      <c r="C752">
        <v>10</v>
      </c>
      <c r="E752" t="s">
        <v>405</v>
      </c>
      <c r="F752" t="s">
        <v>396</v>
      </c>
      <c r="H752">
        <v>1593</v>
      </c>
      <c r="I752">
        <v>134</v>
      </c>
      <c r="J752">
        <v>1551</v>
      </c>
      <c r="K752">
        <v>137</v>
      </c>
      <c r="P752">
        <v>1572</v>
      </c>
      <c r="Q752">
        <v>135.5</v>
      </c>
    </row>
    <row r="753" spans="1:17" x14ac:dyDescent="0.3">
      <c r="A753" s="5">
        <v>43018</v>
      </c>
      <c r="B753">
        <v>2017</v>
      </c>
      <c r="C753">
        <v>10</v>
      </c>
      <c r="E753" t="s">
        <v>415</v>
      </c>
      <c r="F753" t="s">
        <v>396</v>
      </c>
      <c r="H753">
        <v>1655</v>
      </c>
      <c r="I753">
        <v>132</v>
      </c>
      <c r="J753">
        <v>1680</v>
      </c>
      <c r="K753">
        <v>133</v>
      </c>
      <c r="P753">
        <v>1667.5</v>
      </c>
      <c r="Q753">
        <v>132.5</v>
      </c>
    </row>
    <row r="754" spans="1:17" x14ac:dyDescent="0.3">
      <c r="A754" s="5">
        <v>43018</v>
      </c>
      <c r="B754">
        <v>2017</v>
      </c>
      <c r="C754">
        <v>10</v>
      </c>
      <c r="E754" t="s">
        <v>409</v>
      </c>
      <c r="F754" t="s">
        <v>396</v>
      </c>
      <c r="H754">
        <v>1664</v>
      </c>
      <c r="I754">
        <v>127</v>
      </c>
      <c r="J754">
        <v>1692</v>
      </c>
      <c r="K754">
        <v>131</v>
      </c>
      <c r="P754">
        <v>1678</v>
      </c>
      <c r="Q754">
        <v>129</v>
      </c>
    </row>
    <row r="755" spans="1:17" x14ac:dyDescent="0.3">
      <c r="A755" s="5">
        <v>43018</v>
      </c>
      <c r="B755">
        <v>2017</v>
      </c>
      <c r="C755">
        <v>10</v>
      </c>
      <c r="E755" t="s">
        <v>400</v>
      </c>
      <c r="F755" t="s">
        <v>396</v>
      </c>
      <c r="H755">
        <v>1802</v>
      </c>
      <c r="I755">
        <v>134</v>
      </c>
      <c r="J755">
        <v>1822</v>
      </c>
      <c r="K755">
        <v>129</v>
      </c>
      <c r="P755">
        <v>1812</v>
      </c>
      <c r="Q755">
        <v>131.5</v>
      </c>
    </row>
    <row r="756" spans="1:17" x14ac:dyDescent="0.3">
      <c r="A756" s="5">
        <v>43018</v>
      </c>
      <c r="B756">
        <v>2017</v>
      </c>
      <c r="C756">
        <v>10</v>
      </c>
      <c r="E756" t="s">
        <v>407</v>
      </c>
      <c r="F756" t="s">
        <v>396</v>
      </c>
      <c r="H756">
        <v>1915</v>
      </c>
      <c r="I756">
        <v>128</v>
      </c>
      <c r="J756">
        <v>1887</v>
      </c>
      <c r="K756">
        <v>129</v>
      </c>
      <c r="P756">
        <v>1901</v>
      </c>
      <c r="Q756">
        <v>128.5</v>
      </c>
    </row>
    <row r="757" spans="1:17" x14ac:dyDescent="0.3">
      <c r="A757" s="5">
        <v>43018</v>
      </c>
      <c r="B757">
        <v>2017</v>
      </c>
      <c r="C757">
        <v>10</v>
      </c>
      <c r="E757" t="s">
        <v>399</v>
      </c>
      <c r="F757" t="s">
        <v>396</v>
      </c>
      <c r="H757">
        <v>1964</v>
      </c>
      <c r="I757">
        <v>132</v>
      </c>
      <c r="J757">
        <v>1958</v>
      </c>
      <c r="K757">
        <v>131</v>
      </c>
      <c r="P757">
        <v>1961</v>
      </c>
      <c r="Q757">
        <v>131.5</v>
      </c>
    </row>
    <row r="758" spans="1:17" x14ac:dyDescent="0.3">
      <c r="A758" s="5">
        <v>43018</v>
      </c>
      <c r="B758">
        <v>2017</v>
      </c>
      <c r="C758">
        <v>10</v>
      </c>
      <c r="E758" t="s">
        <v>401</v>
      </c>
      <c r="F758" t="s">
        <v>396</v>
      </c>
      <c r="H758">
        <v>2093</v>
      </c>
      <c r="I758">
        <v>117</v>
      </c>
      <c r="J758">
        <v>2044</v>
      </c>
      <c r="K758">
        <v>121</v>
      </c>
      <c r="P758">
        <v>2068.5</v>
      </c>
      <c r="Q758">
        <v>119</v>
      </c>
    </row>
    <row r="759" spans="1:17" x14ac:dyDescent="0.3">
      <c r="A759" s="5">
        <v>43025</v>
      </c>
      <c r="B759">
        <v>2017</v>
      </c>
      <c r="C759">
        <v>10</v>
      </c>
      <c r="E759" t="s">
        <v>414</v>
      </c>
      <c r="F759" t="s">
        <v>396</v>
      </c>
      <c r="H759">
        <v>1198</v>
      </c>
      <c r="I759">
        <v>119</v>
      </c>
      <c r="J759">
        <v>1204</v>
      </c>
      <c r="K759">
        <v>119</v>
      </c>
      <c r="P759">
        <v>1201</v>
      </c>
      <c r="Q759">
        <v>119</v>
      </c>
    </row>
    <row r="760" spans="1:17" x14ac:dyDescent="0.3">
      <c r="A760" s="5">
        <v>43025</v>
      </c>
      <c r="B760">
        <v>2017</v>
      </c>
      <c r="C760">
        <v>10</v>
      </c>
      <c r="E760" t="s">
        <v>410</v>
      </c>
      <c r="F760" t="s">
        <v>396</v>
      </c>
      <c r="H760">
        <v>1314</v>
      </c>
      <c r="I760">
        <v>131</v>
      </c>
      <c r="J760">
        <v>1284</v>
      </c>
      <c r="K760">
        <v>127</v>
      </c>
      <c r="P760">
        <v>1299</v>
      </c>
      <c r="Q760">
        <v>129</v>
      </c>
    </row>
    <row r="761" spans="1:17" x14ac:dyDescent="0.3">
      <c r="A761" s="5">
        <v>43025</v>
      </c>
      <c r="B761">
        <v>2017</v>
      </c>
      <c r="C761">
        <v>10</v>
      </c>
      <c r="E761" t="s">
        <v>405</v>
      </c>
      <c r="F761" t="s">
        <v>396</v>
      </c>
      <c r="H761">
        <v>1642</v>
      </c>
      <c r="I761">
        <v>136</v>
      </c>
      <c r="J761">
        <v>1615</v>
      </c>
      <c r="K761">
        <v>128</v>
      </c>
      <c r="P761">
        <v>1628.5</v>
      </c>
      <c r="Q761">
        <v>132</v>
      </c>
    </row>
    <row r="762" spans="1:17" x14ac:dyDescent="0.3">
      <c r="A762" s="5">
        <v>43025</v>
      </c>
      <c r="B762">
        <v>2017</v>
      </c>
      <c r="C762">
        <v>10</v>
      </c>
      <c r="E762" t="s">
        <v>415</v>
      </c>
      <c r="F762" t="s">
        <v>396</v>
      </c>
      <c r="H762">
        <v>1670</v>
      </c>
      <c r="I762">
        <v>130</v>
      </c>
      <c r="J762">
        <v>1646</v>
      </c>
      <c r="K762">
        <v>128</v>
      </c>
      <c r="P762">
        <v>1658</v>
      </c>
      <c r="Q762">
        <v>129</v>
      </c>
    </row>
    <row r="763" spans="1:17" x14ac:dyDescent="0.3">
      <c r="A763" s="5">
        <v>43025</v>
      </c>
      <c r="B763">
        <v>2017</v>
      </c>
      <c r="C763">
        <v>10</v>
      </c>
      <c r="E763" t="s">
        <v>409</v>
      </c>
      <c r="F763" t="s">
        <v>396</v>
      </c>
      <c r="H763">
        <v>1696</v>
      </c>
      <c r="I763">
        <v>127</v>
      </c>
      <c r="J763">
        <v>1695</v>
      </c>
      <c r="K763">
        <v>131</v>
      </c>
      <c r="P763">
        <v>1695.5</v>
      </c>
      <c r="Q763">
        <v>129</v>
      </c>
    </row>
    <row r="764" spans="1:17" x14ac:dyDescent="0.3">
      <c r="A764" s="5">
        <v>43025</v>
      </c>
      <c r="B764">
        <v>2017</v>
      </c>
      <c r="C764">
        <v>10</v>
      </c>
      <c r="E764" t="s">
        <v>407</v>
      </c>
      <c r="F764" t="s">
        <v>396</v>
      </c>
      <c r="H764">
        <v>1952</v>
      </c>
      <c r="I764">
        <v>131</v>
      </c>
      <c r="J764">
        <v>1908</v>
      </c>
      <c r="K764">
        <v>130</v>
      </c>
      <c r="P764">
        <v>1930</v>
      </c>
      <c r="Q764">
        <v>130.5</v>
      </c>
    </row>
    <row r="765" spans="1:17" x14ac:dyDescent="0.3">
      <c r="A765" s="5">
        <v>43025</v>
      </c>
      <c r="B765">
        <v>2017</v>
      </c>
      <c r="C765">
        <v>10</v>
      </c>
      <c r="E765" t="s">
        <v>399</v>
      </c>
      <c r="F765" t="s">
        <v>396</v>
      </c>
      <c r="H765">
        <v>1944</v>
      </c>
      <c r="I765">
        <v>129</v>
      </c>
      <c r="J765">
        <v>1954</v>
      </c>
      <c r="K765">
        <v>128</v>
      </c>
      <c r="P765">
        <v>1949</v>
      </c>
      <c r="Q765">
        <v>128.5</v>
      </c>
    </row>
    <row r="766" spans="1:17" x14ac:dyDescent="0.3">
      <c r="A766" s="5">
        <v>43025</v>
      </c>
      <c r="B766">
        <v>2017</v>
      </c>
      <c r="C766">
        <v>10</v>
      </c>
      <c r="E766" t="s">
        <v>401</v>
      </c>
      <c r="F766" t="s">
        <v>396</v>
      </c>
      <c r="H766">
        <v>2079</v>
      </c>
      <c r="I766">
        <v>113</v>
      </c>
      <c r="J766">
        <v>1944</v>
      </c>
      <c r="K766">
        <v>112</v>
      </c>
      <c r="P766">
        <v>2011.5</v>
      </c>
      <c r="Q766">
        <v>112.5</v>
      </c>
    </row>
    <row r="767" spans="1:17" x14ac:dyDescent="0.3">
      <c r="A767" s="5">
        <v>43032</v>
      </c>
      <c r="B767">
        <v>2017</v>
      </c>
      <c r="C767">
        <v>10</v>
      </c>
      <c r="E767" t="s">
        <v>414</v>
      </c>
      <c r="F767" t="s">
        <v>396</v>
      </c>
      <c r="H767">
        <v>1206</v>
      </c>
      <c r="I767">
        <v>123</v>
      </c>
      <c r="J767">
        <v>1190</v>
      </c>
      <c r="K767">
        <v>119</v>
      </c>
      <c r="P767">
        <v>1198</v>
      </c>
      <c r="Q767">
        <v>121</v>
      </c>
    </row>
    <row r="768" spans="1:17" x14ac:dyDescent="0.3">
      <c r="A768" s="5">
        <v>43032</v>
      </c>
      <c r="B768">
        <v>2017</v>
      </c>
      <c r="C768">
        <v>10</v>
      </c>
      <c r="E768" t="s">
        <v>395</v>
      </c>
      <c r="F768" t="s">
        <v>396</v>
      </c>
      <c r="H768">
        <v>1214</v>
      </c>
      <c r="I768">
        <v>125</v>
      </c>
      <c r="J768">
        <v>1214</v>
      </c>
      <c r="K768">
        <v>126</v>
      </c>
      <c r="P768">
        <v>1214</v>
      </c>
      <c r="Q768">
        <v>125.5</v>
      </c>
    </row>
    <row r="769" spans="1:17" x14ac:dyDescent="0.3">
      <c r="A769" s="5">
        <v>43032</v>
      </c>
      <c r="B769">
        <v>2017</v>
      </c>
      <c r="C769">
        <v>10</v>
      </c>
      <c r="E769" t="s">
        <v>410</v>
      </c>
      <c r="F769" t="s">
        <v>396</v>
      </c>
      <c r="H769">
        <v>1313</v>
      </c>
      <c r="I769">
        <v>129</v>
      </c>
      <c r="J769">
        <v>1317</v>
      </c>
      <c r="K769">
        <v>127</v>
      </c>
      <c r="P769">
        <v>1315</v>
      </c>
      <c r="Q769">
        <v>128</v>
      </c>
    </row>
    <row r="770" spans="1:17" x14ac:dyDescent="0.3">
      <c r="A770" s="5">
        <v>43032</v>
      </c>
      <c r="B770">
        <v>2017</v>
      </c>
      <c r="C770">
        <v>10</v>
      </c>
      <c r="E770" t="s">
        <v>415</v>
      </c>
      <c r="F770" t="s">
        <v>396</v>
      </c>
      <c r="H770">
        <v>1652</v>
      </c>
      <c r="I770">
        <v>132</v>
      </c>
      <c r="J770">
        <v>1586</v>
      </c>
      <c r="K770">
        <v>133</v>
      </c>
      <c r="P770">
        <v>1619</v>
      </c>
      <c r="Q770">
        <v>132.5</v>
      </c>
    </row>
    <row r="771" spans="1:17" x14ac:dyDescent="0.3">
      <c r="A771" s="5">
        <v>43032</v>
      </c>
      <c r="B771">
        <v>2017</v>
      </c>
      <c r="C771">
        <v>10</v>
      </c>
      <c r="E771" t="s">
        <v>405</v>
      </c>
      <c r="F771" t="s">
        <v>396</v>
      </c>
      <c r="H771">
        <v>1658</v>
      </c>
      <c r="I771">
        <v>140</v>
      </c>
      <c r="J771">
        <v>1635</v>
      </c>
      <c r="K771">
        <v>136</v>
      </c>
      <c r="P771">
        <v>1646.5</v>
      </c>
      <c r="Q771">
        <v>138</v>
      </c>
    </row>
    <row r="772" spans="1:17" x14ac:dyDescent="0.3">
      <c r="A772" s="5">
        <v>43032</v>
      </c>
      <c r="B772">
        <v>2017</v>
      </c>
      <c r="C772">
        <v>10</v>
      </c>
      <c r="E772" t="s">
        <v>409</v>
      </c>
      <c r="F772" t="s">
        <v>396</v>
      </c>
      <c r="H772">
        <v>1742</v>
      </c>
      <c r="I772">
        <v>132</v>
      </c>
      <c r="J772">
        <v>1707</v>
      </c>
      <c r="K772">
        <v>129</v>
      </c>
      <c r="P772">
        <v>1724.5</v>
      </c>
      <c r="Q772">
        <v>130.5</v>
      </c>
    </row>
    <row r="773" spans="1:17" x14ac:dyDescent="0.3">
      <c r="A773" s="5">
        <v>43032</v>
      </c>
      <c r="B773">
        <v>2017</v>
      </c>
      <c r="C773">
        <v>10</v>
      </c>
      <c r="E773" t="s">
        <v>400</v>
      </c>
      <c r="F773" t="s">
        <v>396</v>
      </c>
      <c r="H773">
        <v>1793</v>
      </c>
      <c r="I773">
        <v>134</v>
      </c>
      <c r="J773">
        <v>1767</v>
      </c>
      <c r="K773">
        <v>131</v>
      </c>
      <c r="P773">
        <v>1780</v>
      </c>
      <c r="Q773">
        <v>132.5</v>
      </c>
    </row>
    <row r="774" spans="1:17" x14ac:dyDescent="0.3">
      <c r="A774" s="5">
        <v>43032</v>
      </c>
      <c r="B774">
        <v>2017</v>
      </c>
      <c r="C774">
        <v>10</v>
      </c>
      <c r="E774" t="s">
        <v>407</v>
      </c>
      <c r="F774" t="s">
        <v>396</v>
      </c>
      <c r="H774">
        <v>1936</v>
      </c>
      <c r="I774">
        <v>130</v>
      </c>
      <c r="J774">
        <v>1881</v>
      </c>
      <c r="K774">
        <v>127</v>
      </c>
      <c r="P774">
        <v>1908.5</v>
      </c>
      <c r="Q774">
        <v>128.5</v>
      </c>
    </row>
    <row r="775" spans="1:17" x14ac:dyDescent="0.3">
      <c r="A775" s="5">
        <v>43038</v>
      </c>
      <c r="B775">
        <v>2017</v>
      </c>
      <c r="C775">
        <v>10</v>
      </c>
      <c r="E775" t="s">
        <v>405</v>
      </c>
      <c r="F775" t="s">
        <v>396</v>
      </c>
      <c r="H775">
        <v>1621</v>
      </c>
      <c r="I775">
        <v>136</v>
      </c>
      <c r="J775">
        <v>1489</v>
      </c>
      <c r="K775">
        <v>135</v>
      </c>
      <c r="P775">
        <v>1555</v>
      </c>
      <c r="Q775">
        <v>135.5</v>
      </c>
    </row>
    <row r="776" spans="1:17" x14ac:dyDescent="0.3">
      <c r="A776" s="5">
        <v>43038</v>
      </c>
      <c r="B776">
        <v>2017</v>
      </c>
      <c r="C776">
        <v>10</v>
      </c>
      <c r="E776" t="s">
        <v>400</v>
      </c>
      <c r="F776" t="s">
        <v>396</v>
      </c>
      <c r="H776">
        <v>1808</v>
      </c>
      <c r="I776">
        <v>132</v>
      </c>
      <c r="J776">
        <v>1768</v>
      </c>
      <c r="K776">
        <v>126</v>
      </c>
      <c r="P776">
        <v>1788</v>
      </c>
      <c r="Q776">
        <v>129</v>
      </c>
    </row>
    <row r="777" spans="1:17" x14ac:dyDescent="0.3">
      <c r="A777" s="5">
        <v>43053</v>
      </c>
      <c r="B777">
        <v>2017</v>
      </c>
      <c r="C777">
        <v>11</v>
      </c>
      <c r="E777" t="s">
        <v>395</v>
      </c>
      <c r="F777" t="s">
        <v>396</v>
      </c>
      <c r="H777">
        <v>1136</v>
      </c>
      <c r="I777">
        <v>119</v>
      </c>
      <c r="J777">
        <v>1161</v>
      </c>
      <c r="K777">
        <v>120</v>
      </c>
      <c r="P777">
        <v>1148.5</v>
      </c>
      <c r="Q777">
        <v>119.5</v>
      </c>
    </row>
    <row r="778" spans="1:17" x14ac:dyDescent="0.3">
      <c r="A778" s="5">
        <v>43053</v>
      </c>
      <c r="B778">
        <v>2017</v>
      </c>
      <c r="C778">
        <v>11</v>
      </c>
      <c r="E778" t="s">
        <v>405</v>
      </c>
      <c r="F778" t="s">
        <v>396</v>
      </c>
      <c r="H778">
        <v>1650</v>
      </c>
      <c r="I778">
        <v>144</v>
      </c>
      <c r="J778">
        <v>1552</v>
      </c>
      <c r="K778">
        <v>133</v>
      </c>
      <c r="P778">
        <v>1601</v>
      </c>
      <c r="Q778">
        <v>138.5</v>
      </c>
    </row>
    <row r="779" spans="1:17" x14ac:dyDescent="0.3">
      <c r="A779" s="5">
        <v>43053</v>
      </c>
      <c r="B779">
        <v>2017</v>
      </c>
      <c r="C779">
        <v>11</v>
      </c>
      <c r="E779" t="s">
        <v>400</v>
      </c>
      <c r="F779" t="s">
        <v>396</v>
      </c>
      <c r="H779">
        <v>1787</v>
      </c>
      <c r="I779">
        <v>130</v>
      </c>
      <c r="J779">
        <v>1772</v>
      </c>
      <c r="K779">
        <v>129</v>
      </c>
      <c r="P779">
        <v>1779.5</v>
      </c>
      <c r="Q779">
        <v>129.5</v>
      </c>
    </row>
    <row r="780" spans="1:17" x14ac:dyDescent="0.3">
      <c r="A780" s="5">
        <v>43374</v>
      </c>
      <c r="B780">
        <v>2018</v>
      </c>
      <c r="C780">
        <v>10</v>
      </c>
      <c r="E780" t="s">
        <v>414</v>
      </c>
      <c r="F780" t="s">
        <v>396</v>
      </c>
      <c r="H780">
        <v>1191</v>
      </c>
      <c r="I780">
        <v>129</v>
      </c>
      <c r="J780">
        <v>1197</v>
      </c>
      <c r="K780">
        <v>128</v>
      </c>
      <c r="P780">
        <f t="shared" ref="P780:P815" si="0">AVERAGE(H780,J780)</f>
        <v>1194</v>
      </c>
      <c r="Q780">
        <f t="shared" ref="Q780:Q815" si="1">AVERAGE(I780,K780)</f>
        <v>128.5</v>
      </c>
    </row>
    <row r="781" spans="1:17" x14ac:dyDescent="0.3">
      <c r="A781" s="5">
        <v>43374</v>
      </c>
      <c r="B781">
        <v>2018</v>
      </c>
      <c r="C781">
        <v>10</v>
      </c>
      <c r="E781" t="s">
        <v>410</v>
      </c>
      <c r="F781" t="s">
        <v>396</v>
      </c>
      <c r="H781">
        <v>1272</v>
      </c>
      <c r="I781">
        <v>129</v>
      </c>
      <c r="J781">
        <v>1259</v>
      </c>
      <c r="K781">
        <v>131</v>
      </c>
      <c r="P781">
        <f t="shared" si="0"/>
        <v>1265.5</v>
      </c>
      <c r="Q781">
        <f t="shared" si="1"/>
        <v>130</v>
      </c>
    </row>
    <row r="782" spans="1:17" x14ac:dyDescent="0.3">
      <c r="A782" s="5">
        <v>43374</v>
      </c>
      <c r="B782">
        <v>2018</v>
      </c>
      <c r="C782">
        <v>10</v>
      </c>
      <c r="E782" t="s">
        <v>415</v>
      </c>
      <c r="F782" t="s">
        <v>396</v>
      </c>
      <c r="H782">
        <v>1667</v>
      </c>
      <c r="I782">
        <v>134</v>
      </c>
      <c r="J782">
        <v>1655</v>
      </c>
      <c r="K782">
        <v>136</v>
      </c>
      <c r="P782">
        <f t="shared" si="0"/>
        <v>1661</v>
      </c>
      <c r="Q782">
        <f t="shared" si="1"/>
        <v>135</v>
      </c>
    </row>
    <row r="783" spans="1:17" x14ac:dyDescent="0.3">
      <c r="A783" s="5">
        <v>43374</v>
      </c>
      <c r="B783">
        <v>2018</v>
      </c>
      <c r="C783">
        <v>10</v>
      </c>
      <c r="E783" t="s">
        <v>409</v>
      </c>
      <c r="F783" t="s">
        <v>396</v>
      </c>
      <c r="H783">
        <v>1640</v>
      </c>
      <c r="I783">
        <v>132</v>
      </c>
      <c r="J783">
        <v>1728</v>
      </c>
      <c r="K783">
        <v>134</v>
      </c>
      <c r="P783">
        <f t="shared" si="0"/>
        <v>1684</v>
      </c>
      <c r="Q783">
        <f t="shared" si="1"/>
        <v>133</v>
      </c>
    </row>
    <row r="784" spans="1:17" x14ac:dyDescent="0.3">
      <c r="A784" s="5">
        <v>43374</v>
      </c>
      <c r="B784">
        <v>2018</v>
      </c>
      <c r="C784">
        <v>10</v>
      </c>
      <c r="E784" t="s">
        <v>407</v>
      </c>
      <c r="F784" t="s">
        <v>396</v>
      </c>
      <c r="H784">
        <v>1937</v>
      </c>
      <c r="I784">
        <v>135</v>
      </c>
      <c r="J784">
        <v>1893</v>
      </c>
      <c r="K784">
        <v>135</v>
      </c>
      <c r="P784">
        <f t="shared" si="0"/>
        <v>1915</v>
      </c>
      <c r="Q784">
        <f t="shared" si="1"/>
        <v>135</v>
      </c>
    </row>
    <row r="785" spans="1:17" x14ac:dyDescent="0.3">
      <c r="A785" s="5">
        <v>43433</v>
      </c>
      <c r="B785">
        <v>2018</v>
      </c>
      <c r="C785">
        <v>11</v>
      </c>
      <c r="E785" t="s">
        <v>400</v>
      </c>
      <c r="F785" t="s">
        <v>396</v>
      </c>
      <c r="H785">
        <v>1877</v>
      </c>
      <c r="I785">
        <v>138</v>
      </c>
      <c r="J785">
        <v>1785</v>
      </c>
      <c r="K785">
        <v>133</v>
      </c>
      <c r="P785">
        <f t="shared" ref="P785:P794" si="2">AVERAGE(H785,J785)</f>
        <v>1831</v>
      </c>
      <c r="Q785">
        <f t="shared" ref="Q785:Q794" si="3">AVERAGE(I785,K785)</f>
        <v>135.5</v>
      </c>
    </row>
    <row r="786" spans="1:17" x14ac:dyDescent="0.3">
      <c r="A786" s="5">
        <v>43433</v>
      </c>
      <c r="B786">
        <v>2018</v>
      </c>
      <c r="C786">
        <v>11</v>
      </c>
      <c r="E786" t="s">
        <v>399</v>
      </c>
      <c r="F786" t="s">
        <v>396</v>
      </c>
      <c r="H786">
        <v>2044</v>
      </c>
      <c r="I786">
        <v>136</v>
      </c>
      <c r="J786">
        <v>1995</v>
      </c>
      <c r="K786">
        <v>140</v>
      </c>
      <c r="P786">
        <f t="shared" si="2"/>
        <v>2019.5</v>
      </c>
      <c r="Q786">
        <f t="shared" si="3"/>
        <v>138</v>
      </c>
    </row>
    <row r="787" spans="1:17" x14ac:dyDescent="0.3">
      <c r="A787" s="5">
        <v>43433</v>
      </c>
      <c r="B787">
        <v>2018</v>
      </c>
      <c r="C787">
        <v>11</v>
      </c>
      <c r="E787" t="s">
        <v>401</v>
      </c>
      <c r="F787" t="s">
        <v>396</v>
      </c>
      <c r="H787">
        <v>2019</v>
      </c>
      <c r="I787">
        <v>120</v>
      </c>
      <c r="J787">
        <v>1987</v>
      </c>
      <c r="K787">
        <v>123</v>
      </c>
      <c r="P787">
        <f t="shared" si="2"/>
        <v>2003</v>
      </c>
      <c r="Q787">
        <f t="shared" si="3"/>
        <v>121.5</v>
      </c>
    </row>
    <row r="788" spans="1:17" x14ac:dyDescent="0.3">
      <c r="A788" s="5">
        <v>43433</v>
      </c>
      <c r="B788">
        <v>2018</v>
      </c>
      <c r="C788">
        <v>11</v>
      </c>
      <c r="E788" t="s">
        <v>407</v>
      </c>
      <c r="F788" t="s">
        <v>396</v>
      </c>
      <c r="H788">
        <v>1967</v>
      </c>
      <c r="I788">
        <v>133</v>
      </c>
      <c r="J788">
        <v>1911</v>
      </c>
      <c r="K788">
        <v>123</v>
      </c>
      <c r="P788">
        <f t="shared" si="2"/>
        <v>1939</v>
      </c>
      <c r="Q788">
        <f t="shared" si="3"/>
        <v>128</v>
      </c>
    </row>
    <row r="789" spans="1:17" x14ac:dyDescent="0.3">
      <c r="A789" s="5">
        <v>43433</v>
      </c>
      <c r="B789">
        <v>2018</v>
      </c>
      <c r="C789">
        <v>11</v>
      </c>
      <c r="E789" t="s">
        <v>409</v>
      </c>
      <c r="F789" t="s">
        <v>396</v>
      </c>
      <c r="H789">
        <v>1735</v>
      </c>
      <c r="I789">
        <v>131</v>
      </c>
      <c r="J789">
        <v>1667</v>
      </c>
      <c r="K789">
        <v>131</v>
      </c>
      <c r="P789">
        <f t="shared" si="2"/>
        <v>1701</v>
      </c>
      <c r="Q789">
        <f t="shared" si="3"/>
        <v>131</v>
      </c>
    </row>
    <row r="790" spans="1:17" x14ac:dyDescent="0.3">
      <c r="A790" s="5">
        <v>43433</v>
      </c>
      <c r="B790">
        <v>2018</v>
      </c>
      <c r="C790">
        <v>11</v>
      </c>
      <c r="E790" t="s">
        <v>415</v>
      </c>
      <c r="F790" t="s">
        <v>396</v>
      </c>
      <c r="H790">
        <v>1665</v>
      </c>
      <c r="I790">
        <v>134</v>
      </c>
      <c r="J790">
        <v>1685</v>
      </c>
      <c r="K790">
        <v>135</v>
      </c>
      <c r="P790">
        <f t="shared" si="2"/>
        <v>1675</v>
      </c>
      <c r="Q790">
        <f t="shared" si="3"/>
        <v>134.5</v>
      </c>
    </row>
    <row r="791" spans="1:17" x14ac:dyDescent="0.3">
      <c r="A791" s="5">
        <v>43433</v>
      </c>
      <c r="B791">
        <v>2018</v>
      </c>
      <c r="C791">
        <v>11</v>
      </c>
      <c r="E791" t="s">
        <v>410</v>
      </c>
      <c r="F791" t="s">
        <v>396</v>
      </c>
      <c r="H791">
        <v>1346</v>
      </c>
      <c r="I791">
        <v>129</v>
      </c>
      <c r="J791">
        <v>1305</v>
      </c>
      <c r="K791">
        <v>127</v>
      </c>
      <c r="P791">
        <f t="shared" si="2"/>
        <v>1325.5</v>
      </c>
      <c r="Q791">
        <f t="shared" si="3"/>
        <v>128</v>
      </c>
    </row>
    <row r="792" spans="1:17" x14ac:dyDescent="0.3">
      <c r="A792" s="5">
        <v>43433</v>
      </c>
      <c r="B792">
        <v>2018</v>
      </c>
      <c r="C792">
        <v>11</v>
      </c>
      <c r="E792" t="s">
        <v>395</v>
      </c>
      <c r="F792" t="s">
        <v>396</v>
      </c>
      <c r="H792">
        <v>1190</v>
      </c>
      <c r="I792">
        <v>131</v>
      </c>
      <c r="J792">
        <v>1191</v>
      </c>
      <c r="K792">
        <v>128</v>
      </c>
      <c r="P792">
        <f t="shared" si="2"/>
        <v>1190.5</v>
      </c>
      <c r="Q792">
        <f t="shared" si="3"/>
        <v>129.5</v>
      </c>
    </row>
    <row r="793" spans="1:17" x14ac:dyDescent="0.3">
      <c r="A793" s="5">
        <v>43453</v>
      </c>
      <c r="B793">
        <v>2018</v>
      </c>
      <c r="C793">
        <v>12</v>
      </c>
      <c r="E793" t="s">
        <v>405</v>
      </c>
      <c r="F793" t="s">
        <v>396</v>
      </c>
      <c r="H793">
        <v>1860</v>
      </c>
      <c r="I793">
        <v>143</v>
      </c>
      <c r="J793">
        <v>1817</v>
      </c>
      <c r="K793">
        <v>145</v>
      </c>
      <c r="P793">
        <f t="shared" si="2"/>
        <v>1838.5</v>
      </c>
      <c r="Q793">
        <f t="shared" si="3"/>
        <v>144</v>
      </c>
    </row>
    <row r="794" spans="1:17" x14ac:dyDescent="0.3">
      <c r="A794" s="5">
        <v>43453</v>
      </c>
      <c r="B794">
        <v>2018</v>
      </c>
      <c r="C794">
        <v>12</v>
      </c>
      <c r="E794" t="s">
        <v>421</v>
      </c>
      <c r="F794" t="s">
        <v>396</v>
      </c>
      <c r="H794">
        <v>1783</v>
      </c>
      <c r="I794">
        <v>142</v>
      </c>
      <c r="J794">
        <v>1832</v>
      </c>
      <c r="K794">
        <v>144</v>
      </c>
      <c r="P794">
        <f t="shared" si="2"/>
        <v>1807.5</v>
      </c>
      <c r="Q794">
        <f t="shared" si="3"/>
        <v>143</v>
      </c>
    </row>
    <row r="795" spans="1:17" x14ac:dyDescent="0.3">
      <c r="A795" s="5">
        <v>43472</v>
      </c>
      <c r="B795">
        <v>2019</v>
      </c>
      <c r="C795">
        <v>1</v>
      </c>
      <c r="E795" t="s">
        <v>422</v>
      </c>
      <c r="F795" t="s">
        <v>396</v>
      </c>
      <c r="H795">
        <v>1061</v>
      </c>
      <c r="I795">
        <v>132</v>
      </c>
      <c r="J795">
        <v>1095</v>
      </c>
      <c r="K795">
        <v>132</v>
      </c>
      <c r="P795">
        <f t="shared" si="0"/>
        <v>1078</v>
      </c>
      <c r="Q795">
        <f t="shared" si="1"/>
        <v>132</v>
      </c>
    </row>
    <row r="796" spans="1:17" x14ac:dyDescent="0.3">
      <c r="A796" s="5">
        <v>43472</v>
      </c>
      <c r="B796">
        <v>2019</v>
      </c>
      <c r="C796">
        <v>1</v>
      </c>
      <c r="E796" t="s">
        <v>423</v>
      </c>
      <c r="F796" t="s">
        <v>396</v>
      </c>
      <c r="H796">
        <v>1147</v>
      </c>
      <c r="I796">
        <v>113</v>
      </c>
      <c r="J796">
        <v>1126</v>
      </c>
      <c r="K796">
        <v>114</v>
      </c>
      <c r="P796">
        <f t="shared" si="0"/>
        <v>1136.5</v>
      </c>
      <c r="Q796">
        <f t="shared" si="1"/>
        <v>113.5</v>
      </c>
    </row>
    <row r="797" spans="1:17" x14ac:dyDescent="0.3">
      <c r="A797" s="5">
        <v>43472</v>
      </c>
      <c r="B797">
        <v>2019</v>
      </c>
      <c r="C797">
        <v>1</v>
      </c>
      <c r="E797" t="s">
        <v>395</v>
      </c>
      <c r="F797" t="s">
        <v>396</v>
      </c>
      <c r="H797">
        <v>1233</v>
      </c>
      <c r="I797">
        <v>130</v>
      </c>
      <c r="J797">
        <v>1264</v>
      </c>
      <c r="K797">
        <v>133</v>
      </c>
      <c r="P797">
        <f t="shared" si="0"/>
        <v>1248.5</v>
      </c>
      <c r="Q797">
        <f t="shared" si="1"/>
        <v>131.5</v>
      </c>
    </row>
    <row r="798" spans="1:17" x14ac:dyDescent="0.3">
      <c r="A798" s="5">
        <v>43472</v>
      </c>
      <c r="B798">
        <v>2019</v>
      </c>
      <c r="C798">
        <v>1</v>
      </c>
      <c r="E798" t="s">
        <v>410</v>
      </c>
      <c r="F798" t="s">
        <v>396</v>
      </c>
      <c r="H798">
        <v>1389</v>
      </c>
      <c r="I798">
        <v>131</v>
      </c>
      <c r="J798">
        <v>1329</v>
      </c>
      <c r="K798">
        <v>130</v>
      </c>
      <c r="P798">
        <f t="shared" si="0"/>
        <v>1359</v>
      </c>
      <c r="Q798">
        <f t="shared" si="1"/>
        <v>130.5</v>
      </c>
    </row>
    <row r="799" spans="1:17" x14ac:dyDescent="0.3">
      <c r="A799" s="5">
        <v>43472</v>
      </c>
      <c r="B799">
        <v>2019</v>
      </c>
      <c r="C799">
        <v>1</v>
      </c>
      <c r="E799" t="s">
        <v>409</v>
      </c>
      <c r="F799" t="s">
        <v>396</v>
      </c>
      <c r="H799">
        <v>1750</v>
      </c>
      <c r="I799">
        <v>140</v>
      </c>
      <c r="J799">
        <v>1777</v>
      </c>
      <c r="K799">
        <v>144</v>
      </c>
      <c r="P799">
        <f t="shared" si="0"/>
        <v>1763.5</v>
      </c>
      <c r="Q799">
        <f t="shared" si="1"/>
        <v>142</v>
      </c>
    </row>
    <row r="800" spans="1:17" x14ac:dyDescent="0.3">
      <c r="A800" s="5">
        <v>43472</v>
      </c>
      <c r="B800">
        <v>2019</v>
      </c>
      <c r="C800">
        <v>1</v>
      </c>
      <c r="E800" t="s">
        <v>415</v>
      </c>
      <c r="F800" t="s">
        <v>396</v>
      </c>
      <c r="H800">
        <v>1793</v>
      </c>
      <c r="I800">
        <v>136</v>
      </c>
      <c r="J800">
        <v>1729</v>
      </c>
      <c r="K800">
        <v>134</v>
      </c>
      <c r="P800">
        <f t="shared" si="0"/>
        <v>1761</v>
      </c>
      <c r="Q800">
        <f t="shared" si="1"/>
        <v>135</v>
      </c>
    </row>
    <row r="801" spans="1:17" x14ac:dyDescent="0.3">
      <c r="A801" s="5">
        <v>43472</v>
      </c>
      <c r="B801">
        <v>2019</v>
      </c>
      <c r="C801">
        <v>1</v>
      </c>
      <c r="E801" t="s">
        <v>405</v>
      </c>
      <c r="F801" t="s">
        <v>396</v>
      </c>
      <c r="H801">
        <v>1849</v>
      </c>
      <c r="I801">
        <v>150</v>
      </c>
      <c r="J801">
        <v>1762</v>
      </c>
      <c r="K801">
        <v>144</v>
      </c>
      <c r="P801">
        <f t="shared" si="0"/>
        <v>1805.5</v>
      </c>
      <c r="Q801">
        <f t="shared" si="1"/>
        <v>147</v>
      </c>
    </row>
    <row r="802" spans="1:17" x14ac:dyDescent="0.3">
      <c r="A802" s="5">
        <v>43472</v>
      </c>
      <c r="B802">
        <v>2019</v>
      </c>
      <c r="C802">
        <v>1</v>
      </c>
      <c r="E802" t="s">
        <v>421</v>
      </c>
      <c r="F802" t="s">
        <v>396</v>
      </c>
      <c r="H802">
        <v>1788</v>
      </c>
      <c r="I802">
        <v>139</v>
      </c>
      <c r="J802">
        <v>1790</v>
      </c>
      <c r="K802">
        <v>140</v>
      </c>
      <c r="P802">
        <f t="shared" si="0"/>
        <v>1789</v>
      </c>
      <c r="Q802">
        <f t="shared" si="1"/>
        <v>139.5</v>
      </c>
    </row>
    <row r="803" spans="1:17" x14ac:dyDescent="0.3">
      <c r="A803" s="5">
        <v>43472</v>
      </c>
      <c r="B803">
        <v>2019</v>
      </c>
      <c r="C803">
        <v>1</v>
      </c>
      <c r="E803" t="s">
        <v>400</v>
      </c>
      <c r="F803" t="s">
        <v>396</v>
      </c>
      <c r="H803">
        <v>1814</v>
      </c>
      <c r="I803">
        <v>131</v>
      </c>
      <c r="J803">
        <v>1837</v>
      </c>
      <c r="K803">
        <v>134</v>
      </c>
      <c r="P803">
        <f t="shared" si="0"/>
        <v>1825.5</v>
      </c>
      <c r="Q803">
        <f t="shared" si="1"/>
        <v>132.5</v>
      </c>
    </row>
    <row r="804" spans="1:17" x14ac:dyDescent="0.3">
      <c r="A804" s="5">
        <v>43472</v>
      </c>
      <c r="B804">
        <v>2019</v>
      </c>
      <c r="C804">
        <v>1</v>
      </c>
      <c r="E804" t="s">
        <v>399</v>
      </c>
      <c r="F804" t="s">
        <v>396</v>
      </c>
      <c r="H804">
        <v>1989</v>
      </c>
      <c r="I804">
        <v>139</v>
      </c>
      <c r="J804">
        <v>1986</v>
      </c>
      <c r="K804">
        <v>141</v>
      </c>
      <c r="P804">
        <f t="shared" si="0"/>
        <v>1987.5</v>
      </c>
      <c r="Q804">
        <f t="shared" si="1"/>
        <v>140</v>
      </c>
    </row>
    <row r="805" spans="1:17" x14ac:dyDescent="0.3">
      <c r="A805" s="5">
        <v>43472</v>
      </c>
      <c r="B805">
        <v>2019</v>
      </c>
      <c r="C805">
        <v>1</v>
      </c>
      <c r="E805" t="s">
        <v>401</v>
      </c>
      <c r="F805" t="s">
        <v>396</v>
      </c>
      <c r="H805">
        <v>2122</v>
      </c>
      <c r="I805">
        <v>134</v>
      </c>
      <c r="J805">
        <v>2042</v>
      </c>
      <c r="K805">
        <v>126</v>
      </c>
      <c r="P805">
        <f t="shared" si="0"/>
        <v>2082</v>
      </c>
      <c r="Q805">
        <f t="shared" si="1"/>
        <v>130</v>
      </c>
    </row>
    <row r="806" spans="1:17" x14ac:dyDescent="0.3">
      <c r="A806" s="5">
        <v>43472</v>
      </c>
      <c r="B806">
        <v>2019</v>
      </c>
      <c r="C806">
        <v>1</v>
      </c>
      <c r="E806" t="s">
        <v>407</v>
      </c>
      <c r="F806" t="s">
        <v>396</v>
      </c>
      <c r="H806">
        <v>2023</v>
      </c>
      <c r="I806">
        <v>134</v>
      </c>
      <c r="J806">
        <v>1974</v>
      </c>
      <c r="K806">
        <v>137</v>
      </c>
      <c r="P806">
        <f t="shared" si="0"/>
        <v>1998.5</v>
      </c>
      <c r="Q806">
        <f t="shared" si="1"/>
        <v>135.5</v>
      </c>
    </row>
    <row r="807" spans="1:17" x14ac:dyDescent="0.3">
      <c r="A807" s="5">
        <v>43563</v>
      </c>
      <c r="B807">
        <v>2019</v>
      </c>
      <c r="C807">
        <v>4</v>
      </c>
      <c r="E807" t="s">
        <v>423</v>
      </c>
      <c r="F807" t="s">
        <v>396</v>
      </c>
      <c r="H807">
        <v>1091</v>
      </c>
      <c r="I807">
        <v>110</v>
      </c>
      <c r="J807">
        <v>1106</v>
      </c>
      <c r="K807">
        <v>114</v>
      </c>
      <c r="P807">
        <f t="shared" si="0"/>
        <v>1098.5</v>
      </c>
      <c r="Q807">
        <f t="shared" si="1"/>
        <v>112</v>
      </c>
    </row>
    <row r="808" spans="1:17" x14ac:dyDescent="0.3">
      <c r="A808" s="5">
        <v>43563</v>
      </c>
      <c r="B808">
        <v>2019</v>
      </c>
      <c r="C808">
        <v>4</v>
      </c>
      <c r="E808" t="s">
        <v>424</v>
      </c>
      <c r="F808" t="s">
        <v>396</v>
      </c>
      <c r="H808">
        <v>1156</v>
      </c>
      <c r="I808">
        <v>137</v>
      </c>
      <c r="J808">
        <v>1140</v>
      </c>
      <c r="K808">
        <v>133</v>
      </c>
      <c r="P808">
        <f t="shared" si="0"/>
        <v>1148</v>
      </c>
      <c r="Q808">
        <f t="shared" si="1"/>
        <v>135</v>
      </c>
    </row>
    <row r="809" spans="1:17" x14ac:dyDescent="0.3">
      <c r="A809" s="5">
        <v>43563</v>
      </c>
      <c r="B809">
        <v>2019</v>
      </c>
      <c r="C809">
        <v>4</v>
      </c>
      <c r="E809" t="s">
        <v>410</v>
      </c>
      <c r="F809" t="s">
        <v>396</v>
      </c>
      <c r="H809">
        <v>1293</v>
      </c>
      <c r="I809">
        <v>128</v>
      </c>
      <c r="J809">
        <v>1287</v>
      </c>
      <c r="K809">
        <v>130</v>
      </c>
      <c r="P809">
        <f t="shared" si="0"/>
        <v>1290</v>
      </c>
      <c r="Q809">
        <f t="shared" si="1"/>
        <v>129</v>
      </c>
    </row>
    <row r="810" spans="1:17" x14ac:dyDescent="0.3">
      <c r="A810" s="5">
        <v>43563</v>
      </c>
      <c r="B810">
        <v>2019</v>
      </c>
      <c r="C810">
        <v>4</v>
      </c>
      <c r="E810" t="s">
        <v>421</v>
      </c>
      <c r="F810" t="s">
        <v>396</v>
      </c>
      <c r="H810">
        <v>1669</v>
      </c>
      <c r="I810">
        <v>137</v>
      </c>
      <c r="J810">
        <v>1713</v>
      </c>
      <c r="K810">
        <v>133</v>
      </c>
      <c r="P810">
        <f t="shared" si="0"/>
        <v>1691</v>
      </c>
      <c r="Q810">
        <f t="shared" si="1"/>
        <v>135</v>
      </c>
    </row>
    <row r="811" spans="1:17" x14ac:dyDescent="0.3">
      <c r="A811" s="5">
        <v>43563</v>
      </c>
      <c r="B811">
        <v>2019</v>
      </c>
      <c r="C811">
        <v>4</v>
      </c>
      <c r="E811" t="s">
        <v>415</v>
      </c>
      <c r="F811" t="s">
        <v>396</v>
      </c>
      <c r="H811">
        <v>1767</v>
      </c>
      <c r="I811">
        <v>139</v>
      </c>
      <c r="J811">
        <v>1745</v>
      </c>
      <c r="K811">
        <v>140</v>
      </c>
      <c r="P811">
        <f t="shared" si="0"/>
        <v>1756</v>
      </c>
      <c r="Q811">
        <f t="shared" si="1"/>
        <v>139.5</v>
      </c>
    </row>
    <row r="812" spans="1:17" x14ac:dyDescent="0.3">
      <c r="A812" s="5">
        <v>43563</v>
      </c>
      <c r="B812">
        <v>2019</v>
      </c>
      <c r="C812">
        <v>4</v>
      </c>
      <c r="E812" t="s">
        <v>400</v>
      </c>
      <c r="F812" t="s">
        <v>396</v>
      </c>
      <c r="H812">
        <v>1753</v>
      </c>
      <c r="I812">
        <v>126</v>
      </c>
      <c r="J812">
        <v>1760</v>
      </c>
      <c r="K812">
        <v>134</v>
      </c>
      <c r="P812">
        <f t="shared" si="0"/>
        <v>1756.5</v>
      </c>
      <c r="Q812">
        <f t="shared" si="1"/>
        <v>130</v>
      </c>
    </row>
    <row r="813" spans="1:17" x14ac:dyDescent="0.3">
      <c r="A813" s="5">
        <v>43563</v>
      </c>
      <c r="B813">
        <v>2019</v>
      </c>
      <c r="C813">
        <v>4</v>
      </c>
      <c r="E813" t="s">
        <v>405</v>
      </c>
      <c r="F813" t="s">
        <v>396</v>
      </c>
      <c r="H813">
        <v>1780</v>
      </c>
      <c r="I813">
        <v>144</v>
      </c>
      <c r="J813">
        <v>1788</v>
      </c>
      <c r="K813">
        <v>146</v>
      </c>
      <c r="P813">
        <f t="shared" si="0"/>
        <v>1784</v>
      </c>
      <c r="Q813">
        <f t="shared" si="1"/>
        <v>145</v>
      </c>
    </row>
    <row r="814" spans="1:17" x14ac:dyDescent="0.3">
      <c r="A814" s="5">
        <v>43563</v>
      </c>
      <c r="B814">
        <v>2019</v>
      </c>
      <c r="C814">
        <v>4</v>
      </c>
      <c r="E814" t="s">
        <v>407</v>
      </c>
      <c r="F814" t="s">
        <v>396</v>
      </c>
      <c r="H814">
        <v>1894</v>
      </c>
      <c r="I814">
        <v>133</v>
      </c>
      <c r="J814">
        <v>1869</v>
      </c>
      <c r="K814">
        <v>139</v>
      </c>
      <c r="P814">
        <f t="shared" si="0"/>
        <v>1881.5</v>
      </c>
      <c r="Q814">
        <f t="shared" si="1"/>
        <v>136</v>
      </c>
    </row>
    <row r="815" spans="1:17" x14ac:dyDescent="0.3">
      <c r="A815" s="5">
        <v>43563</v>
      </c>
      <c r="B815">
        <v>2019</v>
      </c>
      <c r="C815">
        <v>4</v>
      </c>
      <c r="E815" t="s">
        <v>399</v>
      </c>
      <c r="F815" t="s">
        <v>396</v>
      </c>
      <c r="H815">
        <v>1985</v>
      </c>
      <c r="I815">
        <v>142</v>
      </c>
      <c r="J815">
        <v>1977</v>
      </c>
      <c r="K815">
        <v>140</v>
      </c>
      <c r="P815">
        <f t="shared" si="0"/>
        <v>1981</v>
      </c>
      <c r="Q815">
        <f t="shared" si="1"/>
        <v>141</v>
      </c>
    </row>
    <row r="816" spans="1:17" x14ac:dyDescent="0.3">
      <c r="A816" s="5">
        <v>43600</v>
      </c>
      <c r="B816">
        <v>2019</v>
      </c>
      <c r="C816">
        <v>5</v>
      </c>
      <c r="E816" t="s">
        <v>399</v>
      </c>
      <c r="F816" t="s">
        <v>396</v>
      </c>
      <c r="H816">
        <v>1966</v>
      </c>
      <c r="I816">
        <v>144</v>
      </c>
      <c r="J816">
        <v>2014</v>
      </c>
      <c r="K816">
        <v>148</v>
      </c>
      <c r="P816">
        <f t="shared" ref="P816" si="4">AVERAGE(H816,J816)</f>
        <v>1990</v>
      </c>
      <c r="Q816">
        <f t="shared" ref="Q816" si="5">AVERAGE(I816,K816)</f>
        <v>146</v>
      </c>
    </row>
    <row r="817" spans="1:17" x14ac:dyDescent="0.3">
      <c r="A817" s="5">
        <v>43600</v>
      </c>
      <c r="B817">
        <v>2019</v>
      </c>
      <c r="C817">
        <v>5</v>
      </c>
      <c r="E817" t="s">
        <v>409</v>
      </c>
      <c r="F817" t="s">
        <v>396</v>
      </c>
      <c r="H817">
        <v>1819</v>
      </c>
      <c r="I817">
        <v>136</v>
      </c>
      <c r="J817">
        <v>1778</v>
      </c>
      <c r="K817">
        <v>139</v>
      </c>
      <c r="P817">
        <f t="shared" ref="P817:P825" si="6">AVERAGE(H817,J817)</f>
        <v>1798.5</v>
      </c>
      <c r="Q817">
        <f t="shared" ref="Q817:Q825" si="7">AVERAGE(I817,K817)</f>
        <v>137.5</v>
      </c>
    </row>
    <row r="818" spans="1:17" x14ac:dyDescent="0.3">
      <c r="A818" s="5">
        <v>43600</v>
      </c>
      <c r="B818">
        <v>2019</v>
      </c>
      <c r="C818">
        <v>5</v>
      </c>
      <c r="E818" t="s">
        <v>400</v>
      </c>
      <c r="F818" t="s">
        <v>396</v>
      </c>
      <c r="H818">
        <v>1873</v>
      </c>
      <c r="I818">
        <v>143</v>
      </c>
      <c r="J818">
        <v>1799</v>
      </c>
      <c r="K818">
        <v>141</v>
      </c>
      <c r="P818">
        <f t="shared" si="6"/>
        <v>1836</v>
      </c>
      <c r="Q818">
        <f t="shared" si="7"/>
        <v>142</v>
      </c>
    </row>
    <row r="819" spans="1:17" x14ac:dyDescent="0.3">
      <c r="A819" s="5">
        <v>43600</v>
      </c>
      <c r="B819">
        <v>2019</v>
      </c>
      <c r="C819">
        <v>5</v>
      </c>
      <c r="E819" t="s">
        <v>410</v>
      </c>
      <c r="F819" t="s">
        <v>396</v>
      </c>
      <c r="H819">
        <v>1421</v>
      </c>
      <c r="I819">
        <v>137</v>
      </c>
      <c r="J819">
        <v>1340</v>
      </c>
      <c r="K819">
        <v>130</v>
      </c>
      <c r="P819">
        <f t="shared" si="6"/>
        <v>1380.5</v>
      </c>
      <c r="Q819">
        <f t="shared" si="7"/>
        <v>133.5</v>
      </c>
    </row>
    <row r="820" spans="1:17" x14ac:dyDescent="0.3">
      <c r="A820" s="5">
        <v>43600</v>
      </c>
      <c r="B820">
        <v>2019</v>
      </c>
      <c r="C820">
        <v>5</v>
      </c>
      <c r="E820" t="s">
        <v>424</v>
      </c>
      <c r="F820" t="s">
        <v>396</v>
      </c>
      <c r="H820">
        <v>1229</v>
      </c>
      <c r="I820">
        <v>138</v>
      </c>
      <c r="J820">
        <v>1224</v>
      </c>
      <c r="K820">
        <v>135</v>
      </c>
      <c r="P820">
        <f t="shared" si="6"/>
        <v>1226.5</v>
      </c>
      <c r="Q820">
        <f t="shared" si="7"/>
        <v>136.5</v>
      </c>
    </row>
    <row r="821" spans="1:17" x14ac:dyDescent="0.3">
      <c r="A821" s="5">
        <v>43600</v>
      </c>
      <c r="B821">
        <v>2019</v>
      </c>
      <c r="C821">
        <v>5</v>
      </c>
      <c r="E821" t="s">
        <v>421</v>
      </c>
      <c r="F821" t="s">
        <v>396</v>
      </c>
      <c r="H821">
        <v>1792</v>
      </c>
      <c r="I821">
        <v>141</v>
      </c>
      <c r="J821">
        <v>1703</v>
      </c>
      <c r="K821">
        <v>139</v>
      </c>
      <c r="P821">
        <f t="shared" si="6"/>
        <v>1747.5</v>
      </c>
      <c r="Q821">
        <f t="shared" si="7"/>
        <v>140</v>
      </c>
    </row>
    <row r="822" spans="1:17" x14ac:dyDescent="0.3">
      <c r="A822" s="5">
        <v>43600</v>
      </c>
      <c r="B822">
        <v>2019</v>
      </c>
      <c r="C822">
        <v>5</v>
      </c>
      <c r="E822" t="s">
        <v>415</v>
      </c>
      <c r="F822" t="s">
        <v>396</v>
      </c>
      <c r="H822">
        <v>1782</v>
      </c>
      <c r="I822">
        <v>141</v>
      </c>
      <c r="J822">
        <v>1811</v>
      </c>
      <c r="K822">
        <v>138</v>
      </c>
      <c r="P822">
        <f t="shared" si="6"/>
        <v>1796.5</v>
      </c>
      <c r="Q822">
        <f t="shared" si="7"/>
        <v>139.5</v>
      </c>
    </row>
    <row r="823" spans="1:17" x14ac:dyDescent="0.3">
      <c r="A823" s="5">
        <v>43600</v>
      </c>
      <c r="B823">
        <v>2019</v>
      </c>
      <c r="C823">
        <v>5</v>
      </c>
      <c r="E823" t="s">
        <v>405</v>
      </c>
      <c r="F823" t="s">
        <v>396</v>
      </c>
      <c r="H823">
        <v>1866</v>
      </c>
      <c r="I823">
        <v>152</v>
      </c>
      <c r="J823">
        <v>1844</v>
      </c>
      <c r="K823">
        <v>147</v>
      </c>
      <c r="P823">
        <f t="shared" si="6"/>
        <v>1855</v>
      </c>
      <c r="Q823">
        <f t="shared" si="7"/>
        <v>149.5</v>
      </c>
    </row>
    <row r="824" spans="1:17" x14ac:dyDescent="0.3">
      <c r="A824" s="5">
        <v>43600</v>
      </c>
      <c r="B824">
        <v>2019</v>
      </c>
      <c r="C824">
        <v>5</v>
      </c>
      <c r="E824" t="s">
        <v>407</v>
      </c>
      <c r="F824" t="s">
        <v>396</v>
      </c>
      <c r="H824">
        <v>1938</v>
      </c>
      <c r="I824">
        <v>143</v>
      </c>
      <c r="J824">
        <v>1900</v>
      </c>
      <c r="K824">
        <v>141</v>
      </c>
      <c r="P824">
        <f t="shared" si="6"/>
        <v>1919</v>
      </c>
      <c r="Q824">
        <f t="shared" si="7"/>
        <v>142</v>
      </c>
    </row>
    <row r="825" spans="1:17" x14ac:dyDescent="0.3">
      <c r="A825" s="5">
        <v>43600</v>
      </c>
      <c r="B825">
        <v>2019</v>
      </c>
      <c r="C825">
        <v>5</v>
      </c>
      <c r="E825" t="s">
        <v>425</v>
      </c>
      <c r="F825" t="s">
        <v>396</v>
      </c>
      <c r="H825">
        <v>1667</v>
      </c>
      <c r="I825">
        <v>133</v>
      </c>
      <c r="J825">
        <v>1648</v>
      </c>
      <c r="K825">
        <v>136</v>
      </c>
      <c r="P825">
        <f t="shared" si="6"/>
        <v>1657.5</v>
      </c>
      <c r="Q825">
        <f t="shared" si="7"/>
        <v>134.5</v>
      </c>
    </row>
    <row r="826" spans="1:17" x14ac:dyDescent="0.3">
      <c r="A826" s="5">
        <v>43600</v>
      </c>
      <c r="B826">
        <v>2019</v>
      </c>
      <c r="C826">
        <v>5</v>
      </c>
      <c r="E826" t="s">
        <v>401</v>
      </c>
      <c r="F826" t="s">
        <v>396</v>
      </c>
      <c r="H826">
        <v>2044</v>
      </c>
      <c r="I826">
        <v>129</v>
      </c>
      <c r="J826">
        <v>2069</v>
      </c>
      <c r="K826">
        <v>130</v>
      </c>
      <c r="P826">
        <f t="shared" ref="P826" si="8">AVERAGE(H826,J826)</f>
        <v>2056.5</v>
      </c>
      <c r="Q826">
        <f t="shared" ref="Q826" si="9">AVERAGE(I826,K826)</f>
        <v>129.5</v>
      </c>
    </row>
    <row r="827" spans="1:17" x14ac:dyDescent="0.3">
      <c r="A827" s="5">
        <v>43608</v>
      </c>
      <c r="B827">
        <v>2019</v>
      </c>
      <c r="C827">
        <v>5</v>
      </c>
      <c r="E827" t="s">
        <v>400</v>
      </c>
      <c r="F827" t="s">
        <v>396</v>
      </c>
      <c r="H827">
        <v>1768</v>
      </c>
      <c r="I827">
        <v>127</v>
      </c>
      <c r="J827">
        <v>1776</v>
      </c>
      <c r="K827">
        <v>123</v>
      </c>
      <c r="P827">
        <f t="shared" ref="P827:P829" si="10">AVERAGE(H827,J827)</f>
        <v>1772</v>
      </c>
      <c r="Q827">
        <f t="shared" ref="Q827:Q829" si="11">AVERAGE(I827,K827)</f>
        <v>125</v>
      </c>
    </row>
    <row r="828" spans="1:17" x14ac:dyDescent="0.3">
      <c r="A828" s="5">
        <v>43608</v>
      </c>
      <c r="B828">
        <v>2019</v>
      </c>
      <c r="C828">
        <v>5</v>
      </c>
      <c r="E828" t="s">
        <v>399</v>
      </c>
      <c r="F828" t="s">
        <v>396</v>
      </c>
      <c r="H828">
        <v>1815</v>
      </c>
      <c r="I828">
        <v>133</v>
      </c>
      <c r="J828">
        <v>1954</v>
      </c>
      <c r="K828">
        <v>139</v>
      </c>
      <c r="P828">
        <f t="shared" si="10"/>
        <v>1884.5</v>
      </c>
      <c r="Q828">
        <f t="shared" si="11"/>
        <v>136</v>
      </c>
    </row>
    <row r="829" spans="1:17" x14ac:dyDescent="0.3">
      <c r="A829" s="5">
        <v>43608</v>
      </c>
      <c r="B829">
        <v>2019</v>
      </c>
      <c r="C829">
        <v>5</v>
      </c>
      <c r="E829" t="s">
        <v>401</v>
      </c>
      <c r="F829" t="s">
        <v>396</v>
      </c>
      <c r="H829">
        <v>2019</v>
      </c>
      <c r="I829">
        <v>120</v>
      </c>
      <c r="J829">
        <v>2021</v>
      </c>
      <c r="K829">
        <v>128</v>
      </c>
      <c r="P829">
        <f t="shared" si="10"/>
        <v>2020</v>
      </c>
      <c r="Q829">
        <f t="shared" si="11"/>
        <v>124</v>
      </c>
    </row>
    <row r="830" spans="1:17" x14ac:dyDescent="0.3">
      <c r="A830" s="5">
        <v>43655</v>
      </c>
      <c r="B830">
        <v>2019</v>
      </c>
      <c r="C830">
        <v>7</v>
      </c>
      <c r="E830" t="s">
        <v>400</v>
      </c>
      <c r="F830" t="s">
        <v>396</v>
      </c>
      <c r="H830">
        <v>1820</v>
      </c>
      <c r="I830">
        <v>128</v>
      </c>
      <c r="J830">
        <v>1842</v>
      </c>
      <c r="K830">
        <v>126</v>
      </c>
      <c r="P830">
        <f t="shared" ref="P830:P837" si="12">AVERAGE(H830,J830)</f>
        <v>1831</v>
      </c>
      <c r="Q830">
        <f t="shared" ref="Q830:Q837" si="13">AVERAGE(I830,K830)</f>
        <v>127</v>
      </c>
    </row>
    <row r="831" spans="1:17" x14ac:dyDescent="0.3">
      <c r="A831" s="5">
        <v>43655</v>
      </c>
      <c r="B831">
        <v>2019</v>
      </c>
      <c r="C831">
        <v>7</v>
      </c>
      <c r="E831" t="s">
        <v>410</v>
      </c>
      <c r="F831" t="s">
        <v>396</v>
      </c>
      <c r="H831">
        <v>1396</v>
      </c>
      <c r="I831">
        <v>133</v>
      </c>
      <c r="J831">
        <v>1367</v>
      </c>
      <c r="K831">
        <v>131</v>
      </c>
      <c r="P831">
        <f t="shared" si="12"/>
        <v>1381.5</v>
      </c>
      <c r="Q831">
        <f t="shared" si="13"/>
        <v>132</v>
      </c>
    </row>
    <row r="832" spans="1:17" x14ac:dyDescent="0.3">
      <c r="A832" s="5">
        <v>43655</v>
      </c>
      <c r="B832">
        <v>2019</v>
      </c>
      <c r="C832">
        <v>7</v>
      </c>
      <c r="E832" t="s">
        <v>401</v>
      </c>
      <c r="F832" t="s">
        <v>396</v>
      </c>
      <c r="H832">
        <v>1987</v>
      </c>
      <c r="I832">
        <v>131</v>
      </c>
      <c r="J832">
        <v>1898</v>
      </c>
      <c r="K832">
        <v>132</v>
      </c>
      <c r="P832">
        <f t="shared" si="12"/>
        <v>1942.5</v>
      </c>
      <c r="Q832">
        <f t="shared" si="13"/>
        <v>131.5</v>
      </c>
    </row>
    <row r="833" spans="1:17" x14ac:dyDescent="0.3">
      <c r="A833" s="5">
        <v>43655</v>
      </c>
      <c r="B833">
        <v>2019</v>
      </c>
      <c r="C833">
        <v>7</v>
      </c>
      <c r="E833" t="s">
        <v>423</v>
      </c>
      <c r="F833" t="s">
        <v>396</v>
      </c>
      <c r="H833">
        <v>1201</v>
      </c>
      <c r="I833">
        <v>117</v>
      </c>
      <c r="J833">
        <v>1197</v>
      </c>
      <c r="K833">
        <v>109</v>
      </c>
      <c r="P833">
        <f t="shared" si="12"/>
        <v>1199</v>
      </c>
      <c r="Q833">
        <f t="shared" si="13"/>
        <v>113</v>
      </c>
    </row>
    <row r="834" spans="1:17" x14ac:dyDescent="0.3">
      <c r="A834" s="5">
        <v>43655</v>
      </c>
      <c r="B834">
        <v>2019</v>
      </c>
      <c r="C834">
        <v>7</v>
      </c>
      <c r="E834" t="s">
        <v>405</v>
      </c>
      <c r="F834" t="s">
        <v>396</v>
      </c>
      <c r="H834">
        <v>1803</v>
      </c>
      <c r="I834">
        <v>143</v>
      </c>
      <c r="J834">
        <v>1854</v>
      </c>
      <c r="K834">
        <v>147</v>
      </c>
      <c r="P834">
        <f t="shared" si="12"/>
        <v>1828.5</v>
      </c>
      <c r="Q834">
        <f t="shared" si="13"/>
        <v>145</v>
      </c>
    </row>
    <row r="835" spans="1:17" x14ac:dyDescent="0.3">
      <c r="A835" s="5">
        <v>43655</v>
      </c>
      <c r="B835">
        <v>2019</v>
      </c>
      <c r="C835">
        <v>7</v>
      </c>
      <c r="E835" t="s">
        <v>407</v>
      </c>
      <c r="F835" t="s">
        <v>396</v>
      </c>
      <c r="H835">
        <v>1924</v>
      </c>
      <c r="I835">
        <v>140</v>
      </c>
      <c r="J835">
        <v>1939</v>
      </c>
      <c r="K835">
        <v>126</v>
      </c>
      <c r="P835">
        <f t="shared" si="12"/>
        <v>1931.5</v>
      </c>
      <c r="Q835">
        <f t="shared" si="13"/>
        <v>133</v>
      </c>
    </row>
    <row r="836" spans="1:17" x14ac:dyDescent="0.3">
      <c r="A836" s="5">
        <v>43655</v>
      </c>
      <c r="B836">
        <v>2019</v>
      </c>
      <c r="C836">
        <v>7</v>
      </c>
      <c r="E836" t="s">
        <v>421</v>
      </c>
      <c r="F836" t="s">
        <v>396</v>
      </c>
      <c r="H836">
        <v>1781</v>
      </c>
      <c r="I836">
        <v>132</v>
      </c>
      <c r="J836">
        <v>1770</v>
      </c>
      <c r="K836">
        <v>133</v>
      </c>
      <c r="P836">
        <f t="shared" si="12"/>
        <v>1775.5</v>
      </c>
      <c r="Q836">
        <f t="shared" si="13"/>
        <v>132.5</v>
      </c>
    </row>
    <row r="837" spans="1:17" x14ac:dyDescent="0.3">
      <c r="A837" s="5">
        <v>43655</v>
      </c>
      <c r="B837">
        <v>2019</v>
      </c>
      <c r="C837">
        <v>7</v>
      </c>
      <c r="E837" t="s">
        <v>415</v>
      </c>
      <c r="F837" t="s">
        <v>396</v>
      </c>
      <c r="H837">
        <v>1652</v>
      </c>
      <c r="I837">
        <v>147</v>
      </c>
      <c r="J837">
        <v>1561</v>
      </c>
      <c r="K837">
        <v>135</v>
      </c>
      <c r="P837">
        <f t="shared" si="12"/>
        <v>1606.5</v>
      </c>
      <c r="Q837">
        <f t="shared" si="13"/>
        <v>141</v>
      </c>
    </row>
    <row r="838" spans="1:17" x14ac:dyDescent="0.3">
      <c r="A838" s="5">
        <v>43690</v>
      </c>
      <c r="B838">
        <v>2019</v>
      </c>
      <c r="C838">
        <v>8</v>
      </c>
      <c r="E838" t="s">
        <v>400</v>
      </c>
      <c r="F838" t="s">
        <v>396</v>
      </c>
      <c r="H838">
        <v>1913</v>
      </c>
      <c r="I838">
        <v>133</v>
      </c>
      <c r="J838">
        <v>1923</v>
      </c>
      <c r="K838">
        <v>137</v>
      </c>
      <c r="P838">
        <f t="shared" ref="P838:P847" si="14">AVERAGE(H838,J838)</f>
        <v>1918</v>
      </c>
      <c r="Q838">
        <f t="shared" ref="Q838:Q847" si="15">AVERAGE(I838,K838)</f>
        <v>135</v>
      </c>
    </row>
    <row r="839" spans="1:17" x14ac:dyDescent="0.3">
      <c r="A839" s="5">
        <v>43690</v>
      </c>
      <c r="B839">
        <v>2019</v>
      </c>
      <c r="C839">
        <v>8</v>
      </c>
      <c r="E839" t="s">
        <v>405</v>
      </c>
      <c r="F839" t="s">
        <v>396</v>
      </c>
      <c r="H839">
        <v>1902</v>
      </c>
      <c r="I839">
        <v>149</v>
      </c>
      <c r="J839">
        <v>1882</v>
      </c>
      <c r="K839">
        <v>150</v>
      </c>
      <c r="P839">
        <f t="shared" si="14"/>
        <v>1892</v>
      </c>
      <c r="Q839">
        <f t="shared" si="15"/>
        <v>149.5</v>
      </c>
    </row>
    <row r="840" spans="1:17" x14ac:dyDescent="0.3">
      <c r="A840" s="5">
        <v>43690</v>
      </c>
      <c r="B840">
        <v>2019</v>
      </c>
      <c r="C840">
        <v>8</v>
      </c>
      <c r="E840" t="s">
        <v>421</v>
      </c>
      <c r="F840" t="s">
        <v>396</v>
      </c>
      <c r="H840">
        <v>1854</v>
      </c>
      <c r="I840">
        <v>137</v>
      </c>
      <c r="J840">
        <v>1895</v>
      </c>
      <c r="K840">
        <v>137</v>
      </c>
      <c r="P840">
        <f t="shared" si="14"/>
        <v>1874.5</v>
      </c>
      <c r="Q840">
        <f t="shared" si="15"/>
        <v>137</v>
      </c>
    </row>
    <row r="841" spans="1:17" x14ac:dyDescent="0.3">
      <c r="A841" s="5">
        <v>43690</v>
      </c>
      <c r="B841">
        <v>2019</v>
      </c>
      <c r="C841">
        <v>8</v>
      </c>
      <c r="E841" t="s">
        <v>407</v>
      </c>
      <c r="F841" t="s">
        <v>396</v>
      </c>
      <c r="H841">
        <v>1942</v>
      </c>
      <c r="I841">
        <v>135</v>
      </c>
      <c r="J841">
        <v>1929</v>
      </c>
      <c r="K841">
        <v>134</v>
      </c>
      <c r="P841">
        <f t="shared" si="14"/>
        <v>1935.5</v>
      </c>
      <c r="Q841">
        <f t="shared" si="15"/>
        <v>134.5</v>
      </c>
    </row>
    <row r="842" spans="1:17" x14ac:dyDescent="0.3">
      <c r="A842" s="5">
        <v>43690</v>
      </c>
      <c r="B842">
        <v>2019</v>
      </c>
      <c r="C842">
        <v>8</v>
      </c>
      <c r="E842" t="s">
        <v>415</v>
      </c>
      <c r="F842" t="s">
        <v>396</v>
      </c>
      <c r="H842">
        <v>1781</v>
      </c>
      <c r="I842">
        <v>139</v>
      </c>
      <c r="J842">
        <v>1755</v>
      </c>
      <c r="K842">
        <v>137</v>
      </c>
      <c r="P842">
        <f t="shared" si="14"/>
        <v>1768</v>
      </c>
      <c r="Q842">
        <f t="shared" si="15"/>
        <v>138</v>
      </c>
    </row>
    <row r="843" spans="1:17" x14ac:dyDescent="0.3">
      <c r="A843" s="5">
        <v>43690</v>
      </c>
      <c r="B843">
        <v>2019</v>
      </c>
      <c r="C843">
        <v>8</v>
      </c>
      <c r="E843" t="s">
        <v>423</v>
      </c>
      <c r="F843" t="s">
        <v>396</v>
      </c>
      <c r="H843">
        <v>1157</v>
      </c>
      <c r="I843">
        <v>115</v>
      </c>
      <c r="J843">
        <v>1167</v>
      </c>
      <c r="K843">
        <v>116</v>
      </c>
      <c r="P843">
        <f t="shared" si="14"/>
        <v>1162</v>
      </c>
      <c r="Q843">
        <f t="shared" si="15"/>
        <v>115.5</v>
      </c>
    </row>
    <row r="844" spans="1:17" x14ac:dyDescent="0.3">
      <c r="A844" s="5">
        <v>43690</v>
      </c>
      <c r="B844">
        <v>2019</v>
      </c>
      <c r="C844">
        <v>8</v>
      </c>
      <c r="E844" t="s">
        <v>424</v>
      </c>
      <c r="F844" t="s">
        <v>396</v>
      </c>
      <c r="H844">
        <v>1267</v>
      </c>
      <c r="I844">
        <v>134</v>
      </c>
      <c r="J844">
        <v>1254</v>
      </c>
      <c r="K844">
        <v>139</v>
      </c>
      <c r="P844">
        <f t="shared" si="14"/>
        <v>1260.5</v>
      </c>
      <c r="Q844">
        <f t="shared" si="15"/>
        <v>136.5</v>
      </c>
    </row>
    <row r="845" spans="1:17" x14ac:dyDescent="0.3">
      <c r="A845" s="5">
        <v>43690</v>
      </c>
      <c r="B845">
        <v>2019</v>
      </c>
      <c r="C845">
        <v>8</v>
      </c>
      <c r="E845" t="s">
        <v>395</v>
      </c>
      <c r="F845" t="s">
        <v>396</v>
      </c>
      <c r="H845">
        <v>1155</v>
      </c>
      <c r="I845">
        <v>128</v>
      </c>
      <c r="J845">
        <v>1206</v>
      </c>
      <c r="K845">
        <v>132</v>
      </c>
      <c r="P845">
        <f t="shared" si="14"/>
        <v>1180.5</v>
      </c>
      <c r="Q845">
        <f t="shared" si="15"/>
        <v>130</v>
      </c>
    </row>
    <row r="846" spans="1:17" x14ac:dyDescent="0.3">
      <c r="A846" s="5">
        <v>43698</v>
      </c>
      <c r="B846">
        <v>2019</v>
      </c>
      <c r="C846">
        <v>8</v>
      </c>
      <c r="E846" t="s">
        <v>401</v>
      </c>
      <c r="F846" t="s">
        <v>396</v>
      </c>
      <c r="H846">
        <v>2141</v>
      </c>
      <c r="I846">
        <v>132</v>
      </c>
      <c r="J846">
        <v>2104</v>
      </c>
      <c r="K846">
        <v>130</v>
      </c>
      <c r="P846">
        <f t="shared" si="14"/>
        <v>2122.5</v>
      </c>
      <c r="Q846">
        <f t="shared" si="15"/>
        <v>131</v>
      </c>
    </row>
    <row r="847" spans="1:17" x14ac:dyDescent="0.3">
      <c r="A847" s="5">
        <v>43699</v>
      </c>
      <c r="B847">
        <v>2019</v>
      </c>
      <c r="C847">
        <v>8</v>
      </c>
      <c r="E847" t="s">
        <v>401</v>
      </c>
      <c r="F847" t="s">
        <v>396</v>
      </c>
      <c r="H847">
        <v>2040</v>
      </c>
      <c r="I847">
        <v>132</v>
      </c>
      <c r="J847">
        <v>2110</v>
      </c>
      <c r="K847">
        <v>135</v>
      </c>
      <c r="P847">
        <f t="shared" si="14"/>
        <v>2075</v>
      </c>
      <c r="Q847">
        <f t="shared" si="15"/>
        <v>133.5</v>
      </c>
    </row>
    <row r="848" spans="1:17" x14ac:dyDescent="0.3">
      <c r="A848" s="5">
        <v>43706</v>
      </c>
      <c r="B848">
        <v>2019</v>
      </c>
      <c r="C848">
        <v>8</v>
      </c>
      <c r="E848" t="s">
        <v>401</v>
      </c>
      <c r="F848" t="s">
        <v>396</v>
      </c>
      <c r="H848">
        <v>2005</v>
      </c>
      <c r="I848">
        <v>123</v>
      </c>
      <c r="J848">
        <v>1982</v>
      </c>
      <c r="K848">
        <v>123</v>
      </c>
      <c r="P848">
        <f t="shared" ref="P848" si="16">AVERAGE(H848,J848)</f>
        <v>1993.5</v>
      </c>
      <c r="Q848">
        <f t="shared" ref="Q848" si="17">AVERAGE(I848,K848)</f>
        <v>123</v>
      </c>
    </row>
    <row r="849" spans="1:17" x14ac:dyDescent="0.3">
      <c r="A849" s="5">
        <v>43739</v>
      </c>
      <c r="B849">
        <v>2019</v>
      </c>
      <c r="C849">
        <v>10</v>
      </c>
      <c r="E849" t="s">
        <v>399</v>
      </c>
      <c r="F849" t="s">
        <v>396</v>
      </c>
      <c r="H849">
        <v>1970</v>
      </c>
      <c r="I849">
        <v>128</v>
      </c>
      <c r="J849">
        <v>2005</v>
      </c>
      <c r="K849">
        <v>130</v>
      </c>
      <c r="P849">
        <f t="shared" ref="P849:P859" si="18">AVERAGE(H849,J849)</f>
        <v>1987.5</v>
      </c>
      <c r="Q849">
        <f t="shared" ref="Q849:Q859" si="19">AVERAGE(I849,K849)</f>
        <v>129</v>
      </c>
    </row>
    <row r="850" spans="1:17" x14ac:dyDescent="0.3">
      <c r="A850" s="5">
        <v>43739</v>
      </c>
      <c r="B850">
        <v>2019</v>
      </c>
      <c r="C850">
        <v>10</v>
      </c>
      <c r="E850" t="s">
        <v>400</v>
      </c>
      <c r="F850" t="s">
        <v>396</v>
      </c>
      <c r="H850">
        <v>1796</v>
      </c>
      <c r="I850">
        <v>132</v>
      </c>
      <c r="J850">
        <v>1817</v>
      </c>
      <c r="K850">
        <v>137</v>
      </c>
      <c r="P850">
        <f t="shared" si="18"/>
        <v>1806.5</v>
      </c>
      <c r="Q850">
        <f t="shared" si="19"/>
        <v>134.5</v>
      </c>
    </row>
    <row r="851" spans="1:17" x14ac:dyDescent="0.3">
      <c r="A851" s="5">
        <v>43739</v>
      </c>
      <c r="B851">
        <v>2019</v>
      </c>
      <c r="C851">
        <v>10</v>
      </c>
      <c r="E851" t="s">
        <v>401</v>
      </c>
      <c r="F851" t="s">
        <v>396</v>
      </c>
      <c r="H851">
        <v>2112</v>
      </c>
      <c r="I851">
        <v>129</v>
      </c>
      <c r="J851">
        <v>2008</v>
      </c>
      <c r="K851">
        <v>124</v>
      </c>
      <c r="P851">
        <f t="shared" si="18"/>
        <v>2060</v>
      </c>
      <c r="Q851">
        <f t="shared" si="19"/>
        <v>126.5</v>
      </c>
    </row>
    <row r="852" spans="1:17" x14ac:dyDescent="0.3">
      <c r="A852" s="5">
        <v>43739</v>
      </c>
      <c r="B852">
        <v>2019</v>
      </c>
      <c r="C852">
        <v>10</v>
      </c>
      <c r="E852" t="s">
        <v>407</v>
      </c>
      <c r="F852" t="s">
        <v>396</v>
      </c>
      <c r="H852">
        <v>1965</v>
      </c>
      <c r="I852">
        <v>140</v>
      </c>
      <c r="J852">
        <v>1894</v>
      </c>
      <c r="K852">
        <v>134</v>
      </c>
      <c r="P852">
        <f t="shared" si="18"/>
        <v>1929.5</v>
      </c>
      <c r="Q852">
        <f t="shared" si="19"/>
        <v>137</v>
      </c>
    </row>
    <row r="853" spans="1:17" x14ac:dyDescent="0.3">
      <c r="A853" s="5">
        <v>43739</v>
      </c>
      <c r="B853">
        <v>2019</v>
      </c>
      <c r="C853">
        <v>10</v>
      </c>
      <c r="E853" t="s">
        <v>415</v>
      </c>
      <c r="F853" t="s">
        <v>396</v>
      </c>
      <c r="H853">
        <v>1827</v>
      </c>
      <c r="I853">
        <v>141</v>
      </c>
      <c r="J853">
        <v>1796</v>
      </c>
      <c r="K853">
        <v>136</v>
      </c>
      <c r="P853">
        <f t="shared" si="18"/>
        <v>1811.5</v>
      </c>
      <c r="Q853">
        <f t="shared" si="19"/>
        <v>138.5</v>
      </c>
    </row>
    <row r="854" spans="1:17" x14ac:dyDescent="0.3">
      <c r="A854" s="5">
        <v>43739</v>
      </c>
      <c r="B854">
        <v>2019</v>
      </c>
      <c r="C854">
        <v>10</v>
      </c>
      <c r="E854" t="s">
        <v>409</v>
      </c>
      <c r="F854" t="s">
        <v>396</v>
      </c>
      <c r="H854">
        <v>1807</v>
      </c>
      <c r="I854">
        <v>140</v>
      </c>
      <c r="J854">
        <v>1772</v>
      </c>
      <c r="K854">
        <v>140</v>
      </c>
      <c r="P854">
        <f t="shared" si="18"/>
        <v>1789.5</v>
      </c>
      <c r="Q854">
        <f t="shared" si="19"/>
        <v>140</v>
      </c>
    </row>
    <row r="855" spans="1:17" x14ac:dyDescent="0.3">
      <c r="A855" s="5">
        <v>43739</v>
      </c>
      <c r="B855">
        <v>2019</v>
      </c>
      <c r="C855">
        <v>10</v>
      </c>
      <c r="E855" t="s">
        <v>421</v>
      </c>
      <c r="F855" t="s">
        <v>396</v>
      </c>
      <c r="H855">
        <v>1770</v>
      </c>
      <c r="I855">
        <v>131</v>
      </c>
      <c r="J855">
        <v>1852</v>
      </c>
      <c r="K855">
        <v>134</v>
      </c>
      <c r="P855">
        <f t="shared" si="18"/>
        <v>1811</v>
      </c>
      <c r="Q855">
        <f t="shared" si="19"/>
        <v>132.5</v>
      </c>
    </row>
    <row r="856" spans="1:17" x14ac:dyDescent="0.3">
      <c r="A856" s="5">
        <v>43739</v>
      </c>
      <c r="B856">
        <v>2019</v>
      </c>
      <c r="C856">
        <v>10</v>
      </c>
      <c r="E856" t="s">
        <v>405</v>
      </c>
      <c r="F856" t="s">
        <v>396</v>
      </c>
      <c r="H856">
        <v>1797</v>
      </c>
      <c r="I856">
        <v>148</v>
      </c>
      <c r="J856">
        <v>1793</v>
      </c>
      <c r="K856">
        <v>143</v>
      </c>
      <c r="P856">
        <f t="shared" si="18"/>
        <v>1795</v>
      </c>
      <c r="Q856">
        <f t="shared" si="19"/>
        <v>145.5</v>
      </c>
    </row>
    <row r="857" spans="1:17" x14ac:dyDescent="0.3">
      <c r="A857" s="5">
        <v>43739</v>
      </c>
      <c r="B857">
        <v>2019</v>
      </c>
      <c r="C857">
        <v>10</v>
      </c>
      <c r="E857" t="s">
        <v>410</v>
      </c>
      <c r="F857" t="s">
        <v>396</v>
      </c>
      <c r="H857">
        <v>1435</v>
      </c>
      <c r="I857">
        <v>134</v>
      </c>
      <c r="J857">
        <v>1384</v>
      </c>
      <c r="K857">
        <v>133</v>
      </c>
      <c r="P857">
        <f t="shared" si="18"/>
        <v>1409.5</v>
      </c>
      <c r="Q857">
        <f t="shared" si="19"/>
        <v>133.5</v>
      </c>
    </row>
    <row r="858" spans="1:17" x14ac:dyDescent="0.3">
      <c r="A858" s="5">
        <v>43739</v>
      </c>
      <c r="B858">
        <v>2019</v>
      </c>
      <c r="C858">
        <v>10</v>
      </c>
      <c r="E858" t="s">
        <v>424</v>
      </c>
      <c r="F858" t="s">
        <v>396</v>
      </c>
      <c r="H858">
        <v>1218</v>
      </c>
      <c r="I858">
        <v>131</v>
      </c>
      <c r="J858">
        <v>1226</v>
      </c>
      <c r="K858">
        <v>135</v>
      </c>
      <c r="P858">
        <f t="shared" si="18"/>
        <v>1222</v>
      </c>
      <c r="Q858">
        <f t="shared" si="19"/>
        <v>133</v>
      </c>
    </row>
    <row r="859" spans="1:17" x14ac:dyDescent="0.3">
      <c r="A859" s="5">
        <v>43739</v>
      </c>
      <c r="B859">
        <v>2019</v>
      </c>
      <c r="C859">
        <v>10</v>
      </c>
      <c r="E859" t="s">
        <v>423</v>
      </c>
      <c r="F859" t="s">
        <v>396</v>
      </c>
      <c r="H859">
        <v>1226</v>
      </c>
      <c r="I859">
        <v>118</v>
      </c>
      <c r="J859">
        <v>1239</v>
      </c>
      <c r="K859">
        <v>118</v>
      </c>
      <c r="P859">
        <f t="shared" si="18"/>
        <v>1232.5</v>
      </c>
      <c r="Q859">
        <f t="shared" si="19"/>
        <v>118</v>
      </c>
    </row>
    <row r="860" spans="1:17" x14ac:dyDescent="0.3">
      <c r="A860" s="5">
        <v>43978</v>
      </c>
      <c r="B860">
        <v>2020</v>
      </c>
      <c r="C860">
        <v>5</v>
      </c>
      <c r="E860" t="s">
        <v>426</v>
      </c>
      <c r="F860" t="s">
        <v>396</v>
      </c>
      <c r="H860">
        <v>1387</v>
      </c>
      <c r="I860">
        <v>135</v>
      </c>
      <c r="J860">
        <v>1351</v>
      </c>
      <c r="K860">
        <v>132</v>
      </c>
      <c r="P860">
        <f>AVERAGE(J860,H860)</f>
        <v>1369</v>
      </c>
      <c r="Q860">
        <f>AVERAGE(K860,I860)</f>
        <v>133.5</v>
      </c>
    </row>
    <row r="861" spans="1:17" x14ac:dyDescent="0.3">
      <c r="A861" s="5">
        <v>43983</v>
      </c>
      <c r="B861">
        <v>2020</v>
      </c>
      <c r="C861">
        <v>6</v>
      </c>
      <c r="D861" t="s">
        <v>427</v>
      </c>
      <c r="E861" t="s">
        <v>400</v>
      </c>
      <c r="F861" t="s">
        <v>396</v>
      </c>
      <c r="H861">
        <v>1834</v>
      </c>
      <c r="I861">
        <v>144</v>
      </c>
      <c r="J861">
        <v>1814</v>
      </c>
      <c r="K861">
        <v>141</v>
      </c>
      <c r="P861">
        <f t="shared" ref="P861:P866" si="20">AVERAGE(J861,H861)</f>
        <v>1824</v>
      </c>
      <c r="Q861">
        <f t="shared" ref="Q861:Q866" si="21">AVERAGE(K861,I861)</f>
        <v>142.5</v>
      </c>
    </row>
    <row r="862" spans="1:17" x14ac:dyDescent="0.3">
      <c r="A862" s="5">
        <v>43983</v>
      </c>
      <c r="B862">
        <v>2020</v>
      </c>
      <c r="C862">
        <v>6</v>
      </c>
      <c r="D862" t="s">
        <v>427</v>
      </c>
      <c r="E862" t="s">
        <v>409</v>
      </c>
      <c r="F862" t="s">
        <v>396</v>
      </c>
      <c r="H862">
        <v>1827</v>
      </c>
      <c r="I862">
        <v>139</v>
      </c>
      <c r="J862">
        <v>1781</v>
      </c>
      <c r="K862">
        <v>135</v>
      </c>
      <c r="P862">
        <f t="shared" si="20"/>
        <v>1804</v>
      </c>
      <c r="Q862">
        <f t="shared" si="21"/>
        <v>137</v>
      </c>
    </row>
    <row r="863" spans="1:17" x14ac:dyDescent="0.3">
      <c r="A863" s="5">
        <v>43983</v>
      </c>
      <c r="B863">
        <v>2020</v>
      </c>
      <c r="C863">
        <v>6</v>
      </c>
      <c r="D863" t="s">
        <v>427</v>
      </c>
      <c r="E863" t="s">
        <v>410</v>
      </c>
      <c r="F863" t="s">
        <v>396</v>
      </c>
      <c r="H863">
        <v>1433</v>
      </c>
      <c r="I863">
        <v>136</v>
      </c>
      <c r="J863">
        <v>1439</v>
      </c>
      <c r="K863">
        <v>136</v>
      </c>
      <c r="P863">
        <f t="shared" si="20"/>
        <v>1436</v>
      </c>
      <c r="Q863">
        <f t="shared" si="21"/>
        <v>136</v>
      </c>
    </row>
    <row r="864" spans="1:17" x14ac:dyDescent="0.3">
      <c r="A864" s="5">
        <v>43983</v>
      </c>
      <c r="B864">
        <v>2020</v>
      </c>
      <c r="C864">
        <v>6</v>
      </c>
      <c r="D864" t="s">
        <v>427</v>
      </c>
      <c r="E864" t="s">
        <v>424</v>
      </c>
      <c r="F864" t="s">
        <v>396</v>
      </c>
      <c r="H864">
        <v>1172</v>
      </c>
      <c r="I864">
        <v>134</v>
      </c>
      <c r="J864">
        <v>1144</v>
      </c>
      <c r="K864">
        <v>131</v>
      </c>
      <c r="P864">
        <f t="shared" si="20"/>
        <v>1158</v>
      </c>
      <c r="Q864">
        <f t="shared" si="21"/>
        <v>132.5</v>
      </c>
    </row>
    <row r="865" spans="1:17" x14ac:dyDescent="0.3">
      <c r="A865" s="5">
        <v>43983</v>
      </c>
      <c r="B865">
        <v>2020</v>
      </c>
      <c r="C865">
        <v>6</v>
      </c>
      <c r="D865" t="s">
        <v>427</v>
      </c>
      <c r="E865" t="s">
        <v>426</v>
      </c>
      <c r="F865" t="s">
        <v>396</v>
      </c>
      <c r="H865">
        <v>1333</v>
      </c>
      <c r="I865">
        <v>135</v>
      </c>
      <c r="J865">
        <v>1335</v>
      </c>
      <c r="K865">
        <v>136</v>
      </c>
      <c r="P865">
        <f t="shared" si="20"/>
        <v>1334</v>
      </c>
      <c r="Q865">
        <f t="shared" si="21"/>
        <v>135.5</v>
      </c>
    </row>
    <row r="866" spans="1:17" x14ac:dyDescent="0.3">
      <c r="A866" s="5">
        <v>43983</v>
      </c>
      <c r="B866">
        <v>2020</v>
      </c>
      <c r="C866">
        <v>6</v>
      </c>
      <c r="D866" t="s">
        <v>427</v>
      </c>
      <c r="E866" t="s">
        <v>422</v>
      </c>
      <c r="F866" t="s">
        <v>396</v>
      </c>
      <c r="H866">
        <v>974</v>
      </c>
      <c r="I866">
        <v>138</v>
      </c>
      <c r="J866">
        <v>974</v>
      </c>
      <c r="K866">
        <v>139</v>
      </c>
      <c r="P866">
        <f t="shared" si="20"/>
        <v>974</v>
      </c>
      <c r="Q866">
        <f t="shared" si="21"/>
        <v>138.5</v>
      </c>
    </row>
    <row r="867" spans="1:17" x14ac:dyDescent="0.3">
      <c r="A867" s="5">
        <v>44036</v>
      </c>
      <c r="B867">
        <v>2020</v>
      </c>
      <c r="C867">
        <v>7</v>
      </c>
      <c r="D867" t="s">
        <v>428</v>
      </c>
      <c r="E867" t="s">
        <v>399</v>
      </c>
      <c r="F867" t="s">
        <v>396</v>
      </c>
      <c r="H867">
        <v>1983</v>
      </c>
      <c r="I867">
        <v>142</v>
      </c>
      <c r="J867">
        <v>2004</v>
      </c>
      <c r="K867">
        <v>134</v>
      </c>
      <c r="P867">
        <f t="shared" ref="P867:P871" si="22">AVERAGE(J867,H867)</f>
        <v>1993.5</v>
      </c>
      <c r="Q867">
        <f t="shared" ref="Q867:Q871" si="23">AVERAGE(K867,I867)</f>
        <v>138</v>
      </c>
    </row>
    <row r="868" spans="1:17" x14ac:dyDescent="0.3">
      <c r="A868" s="5">
        <v>44036</v>
      </c>
      <c r="B868">
        <v>2020</v>
      </c>
      <c r="C868">
        <v>7</v>
      </c>
      <c r="D868" t="s">
        <v>428</v>
      </c>
      <c r="E868" t="s">
        <v>421</v>
      </c>
      <c r="F868" t="s">
        <v>396</v>
      </c>
      <c r="H868">
        <v>1808</v>
      </c>
      <c r="I868">
        <v>140</v>
      </c>
      <c r="J868">
        <v>1866</v>
      </c>
      <c r="K868">
        <v>138</v>
      </c>
      <c r="P868">
        <f t="shared" si="22"/>
        <v>1837</v>
      </c>
      <c r="Q868">
        <f t="shared" si="23"/>
        <v>139</v>
      </c>
    </row>
    <row r="869" spans="1:17" x14ac:dyDescent="0.3">
      <c r="A869" s="5">
        <v>44036</v>
      </c>
      <c r="B869">
        <v>2020</v>
      </c>
      <c r="C869">
        <v>7</v>
      </c>
      <c r="D869" t="s">
        <v>428</v>
      </c>
      <c r="E869" t="s">
        <v>410</v>
      </c>
      <c r="F869" t="s">
        <v>396</v>
      </c>
      <c r="H869">
        <v>1506</v>
      </c>
      <c r="I869">
        <v>134</v>
      </c>
      <c r="J869">
        <v>1457</v>
      </c>
      <c r="K869">
        <v>129</v>
      </c>
      <c r="P869">
        <f t="shared" si="22"/>
        <v>1481.5</v>
      </c>
      <c r="Q869">
        <f t="shared" si="23"/>
        <v>131.5</v>
      </c>
    </row>
    <row r="870" spans="1:17" x14ac:dyDescent="0.3">
      <c r="A870" s="5">
        <v>44036</v>
      </c>
      <c r="B870">
        <v>2020</v>
      </c>
      <c r="C870">
        <v>7</v>
      </c>
      <c r="D870" t="s">
        <v>428</v>
      </c>
      <c r="E870" t="s">
        <v>426</v>
      </c>
      <c r="F870" t="s">
        <v>396</v>
      </c>
      <c r="H870">
        <v>1411</v>
      </c>
      <c r="I870">
        <v>136</v>
      </c>
      <c r="J870">
        <v>1418</v>
      </c>
      <c r="K870">
        <v>136</v>
      </c>
      <c r="P870">
        <f t="shared" si="22"/>
        <v>1414.5</v>
      </c>
      <c r="Q870">
        <f t="shared" si="23"/>
        <v>136</v>
      </c>
    </row>
    <row r="871" spans="1:17" x14ac:dyDescent="0.3">
      <c r="A871" s="5">
        <v>44036</v>
      </c>
      <c r="B871">
        <v>2020</v>
      </c>
      <c r="C871">
        <v>7</v>
      </c>
      <c r="D871" t="s">
        <v>428</v>
      </c>
      <c r="E871" t="s">
        <v>400</v>
      </c>
      <c r="F871" t="s">
        <v>396</v>
      </c>
      <c r="H871">
        <v>1794</v>
      </c>
      <c r="I871">
        <v>140</v>
      </c>
      <c r="J871">
        <v>1828</v>
      </c>
      <c r="K871">
        <v>140</v>
      </c>
      <c r="P871">
        <f t="shared" si="22"/>
        <v>1811</v>
      </c>
      <c r="Q871">
        <f t="shared" si="23"/>
        <v>140</v>
      </c>
    </row>
    <row r="872" spans="1:17" x14ac:dyDescent="0.3">
      <c r="A872" s="5">
        <v>44043</v>
      </c>
      <c r="B872">
        <v>2020</v>
      </c>
      <c r="C872">
        <v>7</v>
      </c>
      <c r="D872" t="s">
        <v>428</v>
      </c>
      <c r="E872" t="s">
        <v>405</v>
      </c>
      <c r="F872" t="s">
        <v>396</v>
      </c>
      <c r="H872">
        <v>1823</v>
      </c>
      <c r="I872">
        <v>136</v>
      </c>
      <c r="J872">
        <v>1810</v>
      </c>
      <c r="K872">
        <v>139</v>
      </c>
      <c r="P872">
        <f t="shared" ref="P872" si="24">AVERAGE(J872,H872)</f>
        <v>1816.5</v>
      </c>
      <c r="Q872">
        <f t="shared" ref="Q872" si="25">AVERAGE(K872,I872)</f>
        <v>137.5</v>
      </c>
    </row>
    <row r="873" spans="1:17" x14ac:dyDescent="0.3">
      <c r="A873" s="5">
        <v>44048</v>
      </c>
      <c r="B873">
        <v>2020</v>
      </c>
      <c r="C873">
        <v>8</v>
      </c>
      <c r="D873" t="s">
        <v>428</v>
      </c>
      <c r="E873" t="s">
        <v>395</v>
      </c>
      <c r="F873" t="s">
        <v>396</v>
      </c>
      <c r="H873">
        <v>1199</v>
      </c>
      <c r="I873">
        <v>131</v>
      </c>
      <c r="J873">
        <v>1177</v>
      </c>
      <c r="K873">
        <v>133</v>
      </c>
      <c r="P873">
        <f t="shared" ref="P873" si="26">AVERAGE(J873,H873)</f>
        <v>1188</v>
      </c>
      <c r="Q873">
        <f t="shared" ref="Q873" si="27">AVERAGE(K873,I873)</f>
        <v>132</v>
      </c>
    </row>
    <row r="874" spans="1:17" x14ac:dyDescent="0.3">
      <c r="A874" s="5">
        <v>44097</v>
      </c>
      <c r="B874">
        <v>2020</v>
      </c>
      <c r="C874">
        <v>9</v>
      </c>
      <c r="D874" t="s">
        <v>429</v>
      </c>
      <c r="E874" t="s">
        <v>399</v>
      </c>
      <c r="F874" t="s">
        <v>396</v>
      </c>
      <c r="H874">
        <v>2012</v>
      </c>
      <c r="I874">
        <v>143</v>
      </c>
      <c r="J874">
        <v>2050</v>
      </c>
      <c r="K874">
        <v>141</v>
      </c>
      <c r="P874">
        <f t="shared" ref="P874:P880" si="28">AVERAGE(J874,H874)</f>
        <v>2031</v>
      </c>
      <c r="Q874">
        <f t="shared" ref="Q874:Q880" si="29">AVERAGE(K874,I874)</f>
        <v>142</v>
      </c>
    </row>
    <row r="875" spans="1:17" x14ac:dyDescent="0.3">
      <c r="A875" s="5">
        <v>44097</v>
      </c>
      <c r="B875">
        <v>2020</v>
      </c>
      <c r="C875">
        <v>9</v>
      </c>
      <c r="D875" t="s">
        <v>429</v>
      </c>
      <c r="E875" t="s">
        <v>424</v>
      </c>
      <c r="F875" t="s">
        <v>396</v>
      </c>
      <c r="H875">
        <v>1271</v>
      </c>
      <c r="I875">
        <v>133</v>
      </c>
      <c r="J875">
        <v>1255</v>
      </c>
      <c r="K875">
        <v>134</v>
      </c>
      <c r="P875">
        <f t="shared" si="28"/>
        <v>1263</v>
      </c>
      <c r="Q875">
        <f t="shared" si="29"/>
        <v>133.5</v>
      </c>
    </row>
    <row r="876" spans="1:17" x14ac:dyDescent="0.3">
      <c r="A876" s="5">
        <v>44097</v>
      </c>
      <c r="B876">
        <v>2020</v>
      </c>
      <c r="C876">
        <v>9</v>
      </c>
      <c r="D876" t="s">
        <v>429</v>
      </c>
      <c r="E876" t="s">
        <v>421</v>
      </c>
      <c r="F876" t="s">
        <v>396</v>
      </c>
      <c r="H876">
        <v>1842</v>
      </c>
      <c r="I876">
        <v>132</v>
      </c>
      <c r="J876">
        <v>1856</v>
      </c>
      <c r="K876">
        <v>138</v>
      </c>
      <c r="P876">
        <f t="shared" si="28"/>
        <v>1849</v>
      </c>
      <c r="Q876">
        <f t="shared" si="29"/>
        <v>135</v>
      </c>
    </row>
    <row r="877" spans="1:17" x14ac:dyDescent="0.3">
      <c r="A877" s="5">
        <v>44097</v>
      </c>
      <c r="B877">
        <v>2020</v>
      </c>
      <c r="C877">
        <v>9</v>
      </c>
      <c r="D877" t="s">
        <v>429</v>
      </c>
      <c r="E877" t="s">
        <v>405</v>
      </c>
      <c r="F877" t="s">
        <v>396</v>
      </c>
      <c r="H877">
        <v>1690</v>
      </c>
      <c r="I877">
        <v>138</v>
      </c>
      <c r="J877">
        <v>1705</v>
      </c>
      <c r="K877">
        <v>140</v>
      </c>
      <c r="P877">
        <f t="shared" si="28"/>
        <v>1697.5</v>
      </c>
      <c r="Q877">
        <f t="shared" si="29"/>
        <v>139</v>
      </c>
    </row>
    <row r="878" spans="1:17" x14ac:dyDescent="0.3">
      <c r="A878" s="5">
        <v>44097</v>
      </c>
      <c r="B878">
        <v>2020</v>
      </c>
      <c r="C878">
        <v>9</v>
      </c>
      <c r="D878" t="s">
        <v>429</v>
      </c>
      <c r="E878" t="s">
        <v>426</v>
      </c>
      <c r="F878" t="s">
        <v>396</v>
      </c>
      <c r="H878">
        <v>1401</v>
      </c>
      <c r="I878">
        <v>135</v>
      </c>
      <c r="J878">
        <v>1403</v>
      </c>
      <c r="K878">
        <v>135</v>
      </c>
      <c r="P878">
        <f t="shared" si="28"/>
        <v>1402</v>
      </c>
      <c r="Q878">
        <f t="shared" si="29"/>
        <v>135</v>
      </c>
    </row>
    <row r="879" spans="1:17" x14ac:dyDescent="0.3">
      <c r="A879" s="5">
        <v>44097</v>
      </c>
      <c r="B879">
        <v>2020</v>
      </c>
      <c r="C879">
        <v>9</v>
      </c>
      <c r="D879" t="s">
        <v>429</v>
      </c>
      <c r="E879" t="s">
        <v>400</v>
      </c>
      <c r="F879" t="s">
        <v>396</v>
      </c>
      <c r="H879">
        <v>1733</v>
      </c>
      <c r="I879">
        <v>143</v>
      </c>
      <c r="J879">
        <v>1777</v>
      </c>
      <c r="K879">
        <v>139</v>
      </c>
      <c r="P879">
        <f t="shared" si="28"/>
        <v>1755</v>
      </c>
      <c r="Q879">
        <f t="shared" si="29"/>
        <v>141</v>
      </c>
    </row>
    <row r="880" spans="1:17" x14ac:dyDescent="0.3">
      <c r="A880" s="5">
        <v>44097</v>
      </c>
      <c r="B880">
        <v>2020</v>
      </c>
      <c r="C880">
        <v>9</v>
      </c>
      <c r="D880" t="s">
        <v>429</v>
      </c>
      <c r="E880" t="s">
        <v>395</v>
      </c>
      <c r="F880" t="s">
        <v>396</v>
      </c>
      <c r="H880">
        <v>1255</v>
      </c>
      <c r="I880">
        <v>135</v>
      </c>
      <c r="J880">
        <v>1272</v>
      </c>
      <c r="K880">
        <v>136</v>
      </c>
      <c r="P880">
        <f t="shared" si="28"/>
        <v>1263.5</v>
      </c>
      <c r="Q880">
        <f t="shared" si="29"/>
        <v>135.5</v>
      </c>
    </row>
    <row r="881" spans="1:17" x14ac:dyDescent="0.3">
      <c r="A881" s="5">
        <v>44140</v>
      </c>
      <c r="B881">
        <v>2020</v>
      </c>
      <c r="C881">
        <v>11</v>
      </c>
      <c r="D881" t="s">
        <v>428</v>
      </c>
      <c r="E881" t="s">
        <v>399</v>
      </c>
      <c r="F881" t="s">
        <v>396</v>
      </c>
      <c r="H881">
        <v>2091</v>
      </c>
      <c r="I881">
        <v>126</v>
      </c>
      <c r="J881">
        <v>2076</v>
      </c>
      <c r="K881">
        <v>136</v>
      </c>
      <c r="P881">
        <f t="shared" ref="P881:P887" si="30">AVERAGE(J881,H881)</f>
        <v>2083.5</v>
      </c>
      <c r="Q881">
        <f t="shared" ref="Q881:Q887" si="31">AVERAGE(K881,I881)</f>
        <v>131</v>
      </c>
    </row>
    <row r="882" spans="1:17" x14ac:dyDescent="0.3">
      <c r="A882" s="5">
        <v>44140</v>
      </c>
      <c r="B882">
        <v>2020</v>
      </c>
      <c r="C882">
        <v>11</v>
      </c>
      <c r="D882" t="s">
        <v>428</v>
      </c>
      <c r="E882" t="s">
        <v>400</v>
      </c>
      <c r="F882" t="s">
        <v>396</v>
      </c>
      <c r="H882">
        <v>1796</v>
      </c>
      <c r="I882">
        <v>138</v>
      </c>
      <c r="J882">
        <v>1799</v>
      </c>
      <c r="K882">
        <v>135</v>
      </c>
      <c r="P882">
        <f t="shared" si="30"/>
        <v>1797.5</v>
      </c>
      <c r="Q882">
        <f t="shared" si="31"/>
        <v>136.5</v>
      </c>
    </row>
    <row r="883" spans="1:17" x14ac:dyDescent="0.3">
      <c r="A883" s="5">
        <v>44140</v>
      </c>
      <c r="B883">
        <v>2020</v>
      </c>
      <c r="C883">
        <v>11</v>
      </c>
      <c r="D883" t="s">
        <v>428</v>
      </c>
      <c r="E883" t="s">
        <v>421</v>
      </c>
      <c r="F883" t="s">
        <v>396</v>
      </c>
      <c r="H883">
        <v>1997</v>
      </c>
      <c r="I883">
        <v>146</v>
      </c>
      <c r="J883">
        <v>1897</v>
      </c>
      <c r="K883">
        <v>140</v>
      </c>
      <c r="P883">
        <f t="shared" si="30"/>
        <v>1947</v>
      </c>
      <c r="Q883">
        <f t="shared" si="31"/>
        <v>143</v>
      </c>
    </row>
    <row r="884" spans="1:17" x14ac:dyDescent="0.3">
      <c r="A884" s="5">
        <v>44140</v>
      </c>
      <c r="B884">
        <v>2020</v>
      </c>
      <c r="C884">
        <v>11</v>
      </c>
      <c r="D884" t="s">
        <v>428</v>
      </c>
      <c r="E884" t="s">
        <v>405</v>
      </c>
      <c r="F884" t="s">
        <v>396</v>
      </c>
      <c r="H884">
        <v>1790</v>
      </c>
      <c r="I884">
        <v>143</v>
      </c>
      <c r="J884">
        <v>1740</v>
      </c>
      <c r="K884">
        <v>138</v>
      </c>
      <c r="P884">
        <f t="shared" si="30"/>
        <v>1765</v>
      </c>
      <c r="Q884">
        <f t="shared" si="31"/>
        <v>140.5</v>
      </c>
    </row>
    <row r="885" spans="1:17" x14ac:dyDescent="0.3">
      <c r="A885" s="5">
        <v>44140</v>
      </c>
      <c r="B885">
        <v>2020</v>
      </c>
      <c r="C885">
        <v>11</v>
      </c>
      <c r="D885" t="s">
        <v>428</v>
      </c>
      <c r="E885" t="s">
        <v>409</v>
      </c>
      <c r="F885" t="s">
        <v>396</v>
      </c>
      <c r="H885">
        <v>1842</v>
      </c>
      <c r="I885">
        <v>134</v>
      </c>
      <c r="J885">
        <v>1845</v>
      </c>
      <c r="K885">
        <v>137</v>
      </c>
      <c r="P885">
        <f t="shared" si="30"/>
        <v>1843.5</v>
      </c>
      <c r="Q885">
        <f t="shared" si="31"/>
        <v>135.5</v>
      </c>
    </row>
    <row r="886" spans="1:17" x14ac:dyDescent="0.3">
      <c r="A886" s="5">
        <v>44140</v>
      </c>
      <c r="B886">
        <v>2020</v>
      </c>
      <c r="C886">
        <v>11</v>
      </c>
      <c r="D886" t="s">
        <v>428</v>
      </c>
      <c r="E886" t="s">
        <v>424</v>
      </c>
      <c r="F886" t="s">
        <v>396</v>
      </c>
      <c r="H886">
        <v>1276</v>
      </c>
      <c r="I886">
        <v>134</v>
      </c>
      <c r="J886">
        <v>1276</v>
      </c>
      <c r="K886">
        <v>138</v>
      </c>
      <c r="P886">
        <f t="shared" si="30"/>
        <v>1276</v>
      </c>
      <c r="Q886">
        <f t="shared" si="31"/>
        <v>136</v>
      </c>
    </row>
    <row r="887" spans="1:17" x14ac:dyDescent="0.3">
      <c r="A887" s="5">
        <v>44140</v>
      </c>
      <c r="B887">
        <v>2020</v>
      </c>
      <c r="C887">
        <v>11</v>
      </c>
      <c r="D887" t="s">
        <v>428</v>
      </c>
      <c r="E887" t="s">
        <v>426</v>
      </c>
      <c r="F887" t="s">
        <v>396</v>
      </c>
      <c r="H887">
        <v>1392</v>
      </c>
      <c r="I887">
        <v>134</v>
      </c>
      <c r="J887">
        <v>1388</v>
      </c>
      <c r="K887">
        <v>137</v>
      </c>
      <c r="P887">
        <f t="shared" si="30"/>
        <v>1390</v>
      </c>
      <c r="Q887">
        <f t="shared" si="31"/>
        <v>135.5</v>
      </c>
    </row>
    <row r="888" spans="1:17" x14ac:dyDescent="0.3">
      <c r="A888" s="5">
        <v>44155</v>
      </c>
      <c r="B888">
        <v>2020</v>
      </c>
      <c r="C888">
        <v>11</v>
      </c>
      <c r="D888" t="s">
        <v>428</v>
      </c>
      <c r="E888" t="s">
        <v>430</v>
      </c>
      <c r="F888" t="s">
        <v>396</v>
      </c>
      <c r="H888">
        <v>1095</v>
      </c>
      <c r="I888">
        <v>127</v>
      </c>
      <c r="J888">
        <v>1128</v>
      </c>
      <c r="K888">
        <v>130</v>
      </c>
      <c r="P888">
        <f t="shared" ref="P888:P889" si="32">AVERAGE(J888,H888)</f>
        <v>1111.5</v>
      </c>
      <c r="Q888">
        <f t="shared" ref="Q888:Q889" si="33">AVERAGE(K888,I888)</f>
        <v>128.5</v>
      </c>
    </row>
    <row r="889" spans="1:17" x14ac:dyDescent="0.3">
      <c r="A889" s="5">
        <v>44174</v>
      </c>
      <c r="B889">
        <v>2020</v>
      </c>
      <c r="C889">
        <v>11</v>
      </c>
      <c r="D889" t="s">
        <v>428</v>
      </c>
      <c r="E889" t="s">
        <v>430</v>
      </c>
      <c r="F889" t="s">
        <v>396</v>
      </c>
      <c r="H889">
        <v>1029</v>
      </c>
      <c r="I889">
        <v>119</v>
      </c>
      <c r="J889">
        <v>1002</v>
      </c>
      <c r="K889">
        <v>126</v>
      </c>
      <c r="P889">
        <f t="shared" si="32"/>
        <v>1015.5</v>
      </c>
      <c r="Q889">
        <f t="shared" si="33"/>
        <v>122.5</v>
      </c>
    </row>
    <row r="890" spans="1:17" x14ac:dyDescent="0.3">
      <c r="A890" s="5">
        <v>44204</v>
      </c>
      <c r="B890">
        <v>2021</v>
      </c>
      <c r="C890">
        <v>1</v>
      </c>
      <c r="D890" t="s">
        <v>428</v>
      </c>
      <c r="E890" t="s">
        <v>422</v>
      </c>
      <c r="F890" t="s">
        <v>396</v>
      </c>
      <c r="H890">
        <v>1025</v>
      </c>
      <c r="I890">
        <v>137</v>
      </c>
      <c r="J890">
        <v>1009</v>
      </c>
      <c r="K890">
        <v>138</v>
      </c>
      <c r="P890">
        <f t="shared" ref="P890" si="34">AVERAGE(J890,H890)</f>
        <v>1017</v>
      </c>
      <c r="Q890">
        <f t="shared" ref="Q890" si="35">AVERAGE(K890,I890)</f>
        <v>137.5</v>
      </c>
    </row>
    <row r="891" spans="1:17" x14ac:dyDescent="0.3">
      <c r="A891" s="5">
        <v>44204</v>
      </c>
      <c r="B891">
        <v>2021</v>
      </c>
      <c r="C891">
        <v>1</v>
      </c>
      <c r="D891" t="s">
        <v>428</v>
      </c>
      <c r="E891" t="s">
        <v>399</v>
      </c>
      <c r="F891" t="s">
        <v>396</v>
      </c>
      <c r="H891">
        <v>2041</v>
      </c>
      <c r="I891">
        <v>149</v>
      </c>
      <c r="J891">
        <v>1966</v>
      </c>
      <c r="K891">
        <v>140</v>
      </c>
      <c r="P891">
        <f t="shared" ref="P891:P897" si="36">AVERAGE(J891,H891)</f>
        <v>2003.5</v>
      </c>
      <c r="Q891">
        <f t="shared" ref="Q891:Q897" si="37">AVERAGE(K891,I891)</f>
        <v>144.5</v>
      </c>
    </row>
    <row r="892" spans="1:17" x14ac:dyDescent="0.3">
      <c r="A892" s="5">
        <v>44204</v>
      </c>
      <c r="B892">
        <v>2021</v>
      </c>
      <c r="C892">
        <v>1</v>
      </c>
      <c r="D892" t="s">
        <v>428</v>
      </c>
      <c r="E892" t="s">
        <v>400</v>
      </c>
      <c r="F892" t="s">
        <v>396</v>
      </c>
      <c r="H892">
        <v>1772</v>
      </c>
      <c r="I892">
        <v>135</v>
      </c>
      <c r="J892">
        <v>1792</v>
      </c>
      <c r="K892">
        <v>132</v>
      </c>
      <c r="P892">
        <f t="shared" si="36"/>
        <v>1782</v>
      </c>
      <c r="Q892">
        <f t="shared" si="37"/>
        <v>133.5</v>
      </c>
    </row>
    <row r="893" spans="1:17" x14ac:dyDescent="0.3">
      <c r="A893" s="5">
        <v>44204</v>
      </c>
      <c r="B893">
        <v>2021</v>
      </c>
      <c r="C893">
        <v>1</v>
      </c>
      <c r="D893" t="s">
        <v>428</v>
      </c>
      <c r="E893" t="s">
        <v>421</v>
      </c>
      <c r="F893" t="s">
        <v>396</v>
      </c>
      <c r="H893">
        <v>1863</v>
      </c>
      <c r="I893">
        <v>136</v>
      </c>
      <c r="J893">
        <v>1820</v>
      </c>
      <c r="K893">
        <v>128</v>
      </c>
      <c r="P893">
        <f t="shared" si="36"/>
        <v>1841.5</v>
      </c>
      <c r="Q893">
        <f t="shared" si="37"/>
        <v>132</v>
      </c>
    </row>
    <row r="894" spans="1:17" x14ac:dyDescent="0.3">
      <c r="A894" s="5">
        <v>44204</v>
      </c>
      <c r="B894">
        <v>2021</v>
      </c>
      <c r="C894">
        <v>1</v>
      </c>
      <c r="D894" t="s">
        <v>428</v>
      </c>
      <c r="E894" t="s">
        <v>409</v>
      </c>
      <c r="F894" t="s">
        <v>396</v>
      </c>
      <c r="H894">
        <v>1783</v>
      </c>
      <c r="I894">
        <v>135</v>
      </c>
      <c r="J894">
        <v>1805</v>
      </c>
      <c r="K894">
        <v>135</v>
      </c>
      <c r="P894">
        <f t="shared" si="36"/>
        <v>1794</v>
      </c>
      <c r="Q894">
        <f t="shared" si="37"/>
        <v>135</v>
      </c>
    </row>
    <row r="895" spans="1:17" x14ac:dyDescent="0.3">
      <c r="A895" s="5">
        <v>44204</v>
      </c>
      <c r="B895">
        <v>2021</v>
      </c>
      <c r="C895">
        <v>1</v>
      </c>
      <c r="D895" t="s">
        <v>428</v>
      </c>
      <c r="E895" t="s">
        <v>410</v>
      </c>
      <c r="F895" t="s">
        <v>396</v>
      </c>
      <c r="H895">
        <v>1504</v>
      </c>
      <c r="I895">
        <v>139</v>
      </c>
      <c r="J895">
        <v>1505</v>
      </c>
      <c r="K895">
        <v>137</v>
      </c>
      <c r="P895">
        <f t="shared" si="36"/>
        <v>1504.5</v>
      </c>
      <c r="Q895">
        <f t="shared" si="37"/>
        <v>138</v>
      </c>
    </row>
    <row r="896" spans="1:17" x14ac:dyDescent="0.3">
      <c r="A896" s="5">
        <v>44204</v>
      </c>
      <c r="B896">
        <v>2021</v>
      </c>
      <c r="C896">
        <v>1</v>
      </c>
      <c r="D896" t="s">
        <v>428</v>
      </c>
      <c r="E896" t="s">
        <v>426</v>
      </c>
      <c r="F896" t="s">
        <v>396</v>
      </c>
      <c r="H896">
        <v>1406</v>
      </c>
      <c r="I896">
        <v>137</v>
      </c>
      <c r="J896">
        <v>1412</v>
      </c>
      <c r="K896">
        <v>135</v>
      </c>
      <c r="P896">
        <f t="shared" si="36"/>
        <v>1409</v>
      </c>
      <c r="Q896">
        <f t="shared" si="37"/>
        <v>136</v>
      </c>
    </row>
    <row r="897" spans="1:17" x14ac:dyDescent="0.3">
      <c r="A897" s="5">
        <v>44204</v>
      </c>
      <c r="B897">
        <v>2021</v>
      </c>
      <c r="C897">
        <v>1</v>
      </c>
      <c r="D897" t="s">
        <v>431</v>
      </c>
      <c r="E897" t="s">
        <v>405</v>
      </c>
      <c r="F897" t="s">
        <v>396</v>
      </c>
      <c r="H897">
        <v>1789</v>
      </c>
      <c r="I897">
        <v>139</v>
      </c>
      <c r="J897">
        <v>1702</v>
      </c>
      <c r="K897">
        <v>137</v>
      </c>
      <c r="P897">
        <f t="shared" si="36"/>
        <v>1745.5</v>
      </c>
      <c r="Q897">
        <f t="shared" si="37"/>
        <v>138</v>
      </c>
    </row>
    <row r="898" spans="1:17" x14ac:dyDescent="0.3">
      <c r="A898" s="5">
        <v>44235</v>
      </c>
      <c r="B898">
        <v>2021</v>
      </c>
      <c r="C898">
        <v>2</v>
      </c>
      <c r="D898" t="s">
        <v>431</v>
      </c>
      <c r="E898" t="s">
        <v>399</v>
      </c>
      <c r="F898" t="s">
        <v>396</v>
      </c>
      <c r="H898">
        <v>2013</v>
      </c>
      <c r="I898">
        <v>132</v>
      </c>
      <c r="J898">
        <v>1987</v>
      </c>
      <c r="K898">
        <v>137</v>
      </c>
      <c r="P898">
        <f t="shared" ref="P898:P905" si="38">AVERAGE(J898,H898)</f>
        <v>2000</v>
      </c>
      <c r="Q898">
        <f t="shared" ref="Q898:Q905" si="39">AVERAGE(K898,I898)</f>
        <v>134.5</v>
      </c>
    </row>
    <row r="899" spans="1:17" x14ac:dyDescent="0.3">
      <c r="A899" s="5">
        <v>44235</v>
      </c>
      <c r="B899">
        <v>2021</v>
      </c>
      <c r="C899">
        <v>2</v>
      </c>
      <c r="D899" t="s">
        <v>431</v>
      </c>
      <c r="E899" t="s">
        <v>400</v>
      </c>
      <c r="F899" t="s">
        <v>396</v>
      </c>
      <c r="H899">
        <v>1777</v>
      </c>
      <c r="I899">
        <v>137</v>
      </c>
      <c r="J899">
        <v>1750</v>
      </c>
      <c r="K899">
        <v>142</v>
      </c>
      <c r="P899">
        <f t="shared" si="38"/>
        <v>1763.5</v>
      </c>
      <c r="Q899">
        <f t="shared" si="39"/>
        <v>139.5</v>
      </c>
    </row>
    <row r="900" spans="1:17" x14ac:dyDescent="0.3">
      <c r="A900" s="5">
        <v>44235</v>
      </c>
      <c r="B900">
        <v>2021</v>
      </c>
      <c r="C900">
        <v>2</v>
      </c>
      <c r="D900" t="s">
        <v>431</v>
      </c>
      <c r="E900" t="s">
        <v>421</v>
      </c>
      <c r="F900" t="s">
        <v>396</v>
      </c>
      <c r="H900">
        <v>1770</v>
      </c>
      <c r="I900">
        <v>140</v>
      </c>
      <c r="J900">
        <v>1736</v>
      </c>
      <c r="K900">
        <v>133</v>
      </c>
      <c r="P900">
        <f t="shared" si="38"/>
        <v>1753</v>
      </c>
      <c r="Q900">
        <f t="shared" si="39"/>
        <v>136.5</v>
      </c>
    </row>
    <row r="901" spans="1:17" x14ac:dyDescent="0.3">
      <c r="A901" s="5">
        <v>44235</v>
      </c>
      <c r="B901">
        <v>2021</v>
      </c>
      <c r="C901">
        <v>2</v>
      </c>
      <c r="D901" t="s">
        <v>431</v>
      </c>
      <c r="E901" t="s">
        <v>405</v>
      </c>
      <c r="F901" t="s">
        <v>396</v>
      </c>
      <c r="H901">
        <v>1745</v>
      </c>
      <c r="I901">
        <v>139</v>
      </c>
      <c r="J901">
        <v>1769</v>
      </c>
      <c r="K901">
        <v>140</v>
      </c>
      <c r="P901">
        <f t="shared" si="38"/>
        <v>1757</v>
      </c>
      <c r="Q901">
        <f t="shared" si="39"/>
        <v>139.5</v>
      </c>
    </row>
    <row r="902" spans="1:17" x14ac:dyDescent="0.3">
      <c r="A902" s="5">
        <v>44235</v>
      </c>
      <c r="B902">
        <v>2021</v>
      </c>
      <c r="C902">
        <v>2</v>
      </c>
      <c r="D902" t="s">
        <v>431</v>
      </c>
      <c r="E902" t="s">
        <v>409</v>
      </c>
      <c r="F902" t="s">
        <v>396</v>
      </c>
      <c r="H902">
        <v>1912</v>
      </c>
      <c r="I902">
        <v>138</v>
      </c>
      <c r="J902">
        <v>1962</v>
      </c>
      <c r="K902">
        <v>143</v>
      </c>
      <c r="P902">
        <f t="shared" si="38"/>
        <v>1937</v>
      </c>
      <c r="Q902">
        <f t="shared" si="39"/>
        <v>140.5</v>
      </c>
    </row>
    <row r="903" spans="1:17" x14ac:dyDescent="0.3">
      <c r="A903" s="5">
        <v>44235</v>
      </c>
      <c r="B903">
        <v>2021</v>
      </c>
      <c r="C903">
        <v>2</v>
      </c>
      <c r="D903" t="s">
        <v>431</v>
      </c>
      <c r="E903" t="s">
        <v>424</v>
      </c>
      <c r="F903" t="s">
        <v>396</v>
      </c>
      <c r="H903">
        <v>1234</v>
      </c>
      <c r="I903">
        <v>133</v>
      </c>
      <c r="J903">
        <v>1192</v>
      </c>
      <c r="K903">
        <v>134</v>
      </c>
      <c r="P903">
        <f t="shared" si="38"/>
        <v>1213</v>
      </c>
      <c r="Q903">
        <f t="shared" si="39"/>
        <v>133.5</v>
      </c>
    </row>
    <row r="904" spans="1:17" x14ac:dyDescent="0.3">
      <c r="A904" s="5">
        <v>44235</v>
      </c>
      <c r="B904">
        <v>2021</v>
      </c>
      <c r="C904">
        <v>2</v>
      </c>
      <c r="D904" t="s">
        <v>431</v>
      </c>
      <c r="E904" t="s">
        <v>426</v>
      </c>
      <c r="F904" t="s">
        <v>396</v>
      </c>
      <c r="H904">
        <v>1420</v>
      </c>
      <c r="I904">
        <v>137</v>
      </c>
      <c r="J904">
        <v>1414</v>
      </c>
      <c r="K904">
        <v>140</v>
      </c>
      <c r="P904">
        <f t="shared" si="38"/>
        <v>1417</v>
      </c>
      <c r="Q904">
        <f t="shared" si="39"/>
        <v>138.5</v>
      </c>
    </row>
    <row r="905" spans="1:17" x14ac:dyDescent="0.3">
      <c r="A905" s="5">
        <v>44235</v>
      </c>
      <c r="B905">
        <v>2021</v>
      </c>
      <c r="C905">
        <v>2</v>
      </c>
      <c r="D905" t="s">
        <v>431</v>
      </c>
      <c r="E905" t="s">
        <v>414</v>
      </c>
      <c r="F905" t="s">
        <v>396</v>
      </c>
      <c r="H905">
        <v>1220</v>
      </c>
      <c r="I905">
        <v>132</v>
      </c>
      <c r="J905">
        <v>1204</v>
      </c>
      <c r="K905">
        <v>135</v>
      </c>
      <c r="P905">
        <f t="shared" si="38"/>
        <v>1212</v>
      </c>
      <c r="Q905">
        <f t="shared" si="39"/>
        <v>133.5</v>
      </c>
    </row>
    <row r="906" spans="1:17" x14ac:dyDescent="0.3">
      <c r="A906" s="5">
        <v>44349</v>
      </c>
      <c r="B906">
        <v>2021</v>
      </c>
      <c r="C906">
        <v>6</v>
      </c>
      <c r="D906" t="s">
        <v>428</v>
      </c>
      <c r="E906" t="s">
        <v>399</v>
      </c>
      <c r="F906" t="s">
        <v>396</v>
      </c>
      <c r="H906">
        <v>2021</v>
      </c>
      <c r="I906">
        <v>146</v>
      </c>
      <c r="J906">
        <v>2005</v>
      </c>
      <c r="K906">
        <v>140</v>
      </c>
      <c r="P906">
        <f t="shared" ref="P906:P910" si="40">AVERAGE(J906,H906)</f>
        <v>2013</v>
      </c>
      <c r="Q906">
        <f t="shared" ref="Q906:Q910" si="41">AVERAGE(K906,I906)</f>
        <v>143</v>
      </c>
    </row>
    <row r="907" spans="1:17" x14ac:dyDescent="0.3">
      <c r="A907" s="5">
        <v>44349</v>
      </c>
      <c r="B907">
        <v>2021</v>
      </c>
      <c r="C907">
        <v>6</v>
      </c>
      <c r="D907" t="s">
        <v>428</v>
      </c>
      <c r="E907" t="s">
        <v>400</v>
      </c>
      <c r="F907" t="s">
        <v>396</v>
      </c>
      <c r="H907">
        <v>1812</v>
      </c>
      <c r="I907">
        <v>139</v>
      </c>
      <c r="P907">
        <f t="shared" si="40"/>
        <v>1812</v>
      </c>
      <c r="Q907">
        <f t="shared" si="41"/>
        <v>139</v>
      </c>
    </row>
    <row r="908" spans="1:17" x14ac:dyDescent="0.3">
      <c r="A908" s="5">
        <v>44349</v>
      </c>
      <c r="B908">
        <v>2021</v>
      </c>
      <c r="C908">
        <v>6</v>
      </c>
      <c r="D908" t="s">
        <v>428</v>
      </c>
      <c r="E908" t="s">
        <v>421</v>
      </c>
      <c r="F908" t="s">
        <v>396</v>
      </c>
      <c r="H908">
        <v>1820</v>
      </c>
      <c r="I908">
        <v>137</v>
      </c>
      <c r="J908">
        <v>1755</v>
      </c>
      <c r="K908">
        <v>130</v>
      </c>
      <c r="P908">
        <f t="shared" si="40"/>
        <v>1787.5</v>
      </c>
      <c r="Q908">
        <f t="shared" si="41"/>
        <v>133.5</v>
      </c>
    </row>
    <row r="909" spans="1:17" x14ac:dyDescent="0.3">
      <c r="A909" s="5">
        <v>44349</v>
      </c>
      <c r="B909">
        <v>2021</v>
      </c>
      <c r="C909">
        <v>6</v>
      </c>
      <c r="D909" t="s">
        <v>428</v>
      </c>
      <c r="E909" t="s">
        <v>405</v>
      </c>
      <c r="F909" t="s">
        <v>396</v>
      </c>
      <c r="H909">
        <v>1677</v>
      </c>
      <c r="I909">
        <v>135</v>
      </c>
      <c r="J909">
        <v>1723</v>
      </c>
      <c r="K909">
        <v>138</v>
      </c>
      <c r="P909">
        <f t="shared" si="40"/>
        <v>1700</v>
      </c>
      <c r="Q909">
        <f t="shared" si="41"/>
        <v>136.5</v>
      </c>
    </row>
    <row r="910" spans="1:17" x14ac:dyDescent="0.3">
      <c r="A910" s="5">
        <v>44349</v>
      </c>
      <c r="B910">
        <v>2021</v>
      </c>
      <c r="C910">
        <v>6</v>
      </c>
      <c r="D910" t="s">
        <v>428</v>
      </c>
      <c r="E910" t="s">
        <v>424</v>
      </c>
      <c r="F910" t="s">
        <v>396</v>
      </c>
      <c r="H910">
        <v>1299</v>
      </c>
      <c r="I910">
        <v>140</v>
      </c>
      <c r="J910">
        <v>1287</v>
      </c>
      <c r="K910">
        <v>137</v>
      </c>
      <c r="P910">
        <f t="shared" si="40"/>
        <v>1293</v>
      </c>
      <c r="Q910">
        <f t="shared" si="41"/>
        <v>138.5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B28" sqref="B28"/>
    </sheetView>
  </sheetViews>
  <sheetFormatPr defaultColWidth="8.88671875" defaultRowHeight="14.4" x14ac:dyDescent="0.3"/>
  <cols>
    <col min="1" max="1" width="12.109375" bestFit="1" customWidth="1"/>
    <col min="2" max="2" width="19.6640625" bestFit="1" customWidth="1"/>
    <col min="3" max="3" width="21.44140625" bestFit="1" customWidth="1"/>
  </cols>
  <sheetData>
    <row r="1" spans="1:3" x14ac:dyDescent="0.3">
      <c r="A1" s="2" t="s">
        <v>377</v>
      </c>
      <c r="B1" t="s">
        <v>426</v>
      </c>
    </row>
    <row r="3" spans="1:3" x14ac:dyDescent="0.3">
      <c r="A3" s="2" t="s">
        <v>432</v>
      </c>
      <c r="B3" t="s">
        <v>433</v>
      </c>
      <c r="C3" t="s">
        <v>434</v>
      </c>
    </row>
    <row r="4" spans="1:3" x14ac:dyDescent="0.3">
      <c r="A4" s="3">
        <v>2020</v>
      </c>
      <c r="B4" s="4"/>
      <c r="C4" s="4"/>
    </row>
    <row r="5" spans="1:3" x14ac:dyDescent="0.3">
      <c r="A5" s="6" t="s">
        <v>435</v>
      </c>
      <c r="B5" s="4">
        <v>1369</v>
      </c>
      <c r="C5" s="4">
        <v>133.5</v>
      </c>
    </row>
    <row r="6" spans="1:3" x14ac:dyDescent="0.3">
      <c r="A6" s="6" t="s">
        <v>436</v>
      </c>
      <c r="B6" s="4">
        <v>1334</v>
      </c>
      <c r="C6" s="4">
        <v>135.5</v>
      </c>
    </row>
    <row r="7" spans="1:3" x14ac:dyDescent="0.3">
      <c r="A7" s="6" t="s">
        <v>437</v>
      </c>
      <c r="B7" s="4">
        <v>1414.5</v>
      </c>
      <c r="C7" s="4">
        <v>136</v>
      </c>
    </row>
    <row r="8" spans="1:3" x14ac:dyDescent="0.3">
      <c r="A8" s="6" t="s">
        <v>438</v>
      </c>
      <c r="B8" s="4">
        <v>1402</v>
      </c>
      <c r="C8" s="4">
        <v>135</v>
      </c>
    </row>
    <row r="9" spans="1:3" x14ac:dyDescent="0.3">
      <c r="A9" s="6" t="s">
        <v>439</v>
      </c>
      <c r="B9" s="4">
        <v>1390</v>
      </c>
      <c r="C9" s="4">
        <v>135.5</v>
      </c>
    </row>
    <row r="10" spans="1:3" x14ac:dyDescent="0.3">
      <c r="A10" s="3" t="s">
        <v>440</v>
      </c>
      <c r="B10" s="4">
        <v>1381.9</v>
      </c>
      <c r="C10" s="4">
        <v>135.1</v>
      </c>
    </row>
    <row r="11" spans="1:3" x14ac:dyDescent="0.3">
      <c r="A11" s="3">
        <v>2021</v>
      </c>
      <c r="B11" s="4"/>
      <c r="C11" s="4"/>
    </row>
    <row r="12" spans="1:3" x14ac:dyDescent="0.3">
      <c r="A12" s="6" t="s">
        <v>441</v>
      </c>
      <c r="B12" s="4">
        <v>1409</v>
      </c>
      <c r="C12" s="4">
        <v>136</v>
      </c>
    </row>
    <row r="13" spans="1:3" x14ac:dyDescent="0.3">
      <c r="A13" s="6" t="s">
        <v>442</v>
      </c>
      <c r="B13" s="4">
        <v>1417</v>
      </c>
      <c r="C13" s="4">
        <v>138.5</v>
      </c>
    </row>
    <row r="14" spans="1:3" x14ac:dyDescent="0.3">
      <c r="A14" s="3" t="s">
        <v>443</v>
      </c>
      <c r="B14" s="4">
        <v>1413</v>
      </c>
      <c r="C14" s="4">
        <v>137.25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CDFD-1658-4F3B-8222-FB2CFA430575}">
  <dimension ref="A1:X28"/>
  <sheetViews>
    <sheetView zoomScale="86" workbookViewId="0">
      <selection activeCell="E32" sqref="E32"/>
    </sheetView>
  </sheetViews>
  <sheetFormatPr defaultColWidth="8.88671875" defaultRowHeight="14.4" x14ac:dyDescent="0.3"/>
  <cols>
    <col min="1" max="1" width="17.88671875" bestFit="1" customWidth="1"/>
    <col min="2" max="2" width="10.6640625" bestFit="1" customWidth="1"/>
    <col min="3" max="3" width="9.44140625" bestFit="1" customWidth="1"/>
    <col min="4" max="9" width="9.33203125" customWidth="1"/>
    <col min="10" max="10" width="5.44140625" bestFit="1" customWidth="1"/>
    <col min="11" max="11" width="6.5546875" bestFit="1" customWidth="1"/>
    <col min="12" max="12" width="9" bestFit="1" customWidth="1"/>
    <col min="13" max="13" width="9.21875" bestFit="1" customWidth="1"/>
    <col min="14" max="14" width="6.21875" bestFit="1" customWidth="1"/>
    <col min="15" max="18" width="9" bestFit="1" customWidth="1"/>
    <col min="19" max="19" width="6.21875" bestFit="1" customWidth="1"/>
    <col min="20" max="23" width="9" bestFit="1" customWidth="1"/>
  </cols>
  <sheetData>
    <row r="1" spans="1:24" ht="43.2" x14ac:dyDescent="0.3">
      <c r="A1" t="s">
        <v>444</v>
      </c>
      <c r="B1" t="s">
        <v>0</v>
      </c>
      <c r="C1" s="7" t="s">
        <v>445</v>
      </c>
      <c r="D1" s="7" t="s">
        <v>446</v>
      </c>
      <c r="E1" s="7" t="s">
        <v>447</v>
      </c>
      <c r="F1" s="7" t="s">
        <v>448</v>
      </c>
      <c r="G1" s="7" t="s">
        <v>449</v>
      </c>
      <c r="H1" s="7" t="s">
        <v>450</v>
      </c>
      <c r="I1" s="7" t="s">
        <v>451</v>
      </c>
      <c r="J1" s="7" t="s">
        <v>452</v>
      </c>
      <c r="K1" s="7" t="s">
        <v>453</v>
      </c>
      <c r="L1" s="7" t="s">
        <v>454</v>
      </c>
      <c r="M1" s="7" t="s">
        <v>455</v>
      </c>
      <c r="N1" s="7" t="s">
        <v>456</v>
      </c>
      <c r="O1" s="7" t="s">
        <v>457</v>
      </c>
      <c r="P1" s="7" t="s">
        <v>458</v>
      </c>
      <c r="Q1" s="7" t="s">
        <v>459</v>
      </c>
      <c r="R1" s="7" t="s">
        <v>460</v>
      </c>
      <c r="S1" s="7" t="s">
        <v>461</v>
      </c>
      <c r="T1" s="7" t="s">
        <v>462</v>
      </c>
      <c r="U1" s="7" t="s">
        <v>463</v>
      </c>
      <c r="V1" s="7" t="s">
        <v>464</v>
      </c>
      <c r="W1" s="7" t="s">
        <v>465</v>
      </c>
      <c r="X1" s="7" t="s">
        <v>466</v>
      </c>
    </row>
    <row r="2" spans="1:24" x14ac:dyDescent="0.3">
      <c r="A2" t="s">
        <v>467</v>
      </c>
      <c r="B2" s="8">
        <v>43474</v>
      </c>
      <c r="C2">
        <v>78.3</v>
      </c>
      <c r="D2" s="4">
        <f>AVERAGE(CNZergBMX[[#This Row],[W]],CNZergBMX[[#This Row],[W2]],CNZergBMX[[#This Row],[W3]])</f>
        <v>1647</v>
      </c>
      <c r="E2" s="9">
        <f>CNZergBMX[[#This Row],[Max W]]/CNZergBMX[[#This Row],[Weight]]</f>
        <v>21.03448275862069</v>
      </c>
      <c r="F2" s="4">
        <f>AVERAGE(CNZergBMX[[#This Row],[OC]],CNZergBMX[[#This Row],[OC2]],CNZergBMX[[#This Row],[OC3]])</f>
        <v>135.33333333333334</v>
      </c>
      <c r="G2" s="10">
        <f>AVERAGE(CNZergBMX[[#This Row],[TTP]],CNZergBMX[[#This Row],[TTP2]],CNZergBMX[[#This Row],[TTP3]])</f>
        <v>1.0666666666666667</v>
      </c>
      <c r="H2" s="4">
        <f>AVERAGE(CNZergBMX[[#This Row],[PRPM]],CNZergBMX[[#This Row],[PRPM2]],CNZergBMX[[#This Row],[PRPM3]])</f>
        <v>201</v>
      </c>
      <c r="I2" s="4">
        <f>AVERAGE(CNZergBMX[[#This Row],[PT]],CNZergBMX[[#This Row],[PT2]],CNZergBMX[[#This Row],[PT3]])</f>
        <v>237.33333333333334</v>
      </c>
      <c r="J2">
        <v>1636</v>
      </c>
      <c r="K2">
        <v>130</v>
      </c>
      <c r="L2" s="11">
        <v>1.03</v>
      </c>
      <c r="M2">
        <v>200</v>
      </c>
      <c r="N2">
        <v>222</v>
      </c>
      <c r="O2">
        <v>1605</v>
      </c>
      <c r="P2">
        <v>143</v>
      </c>
      <c r="Q2">
        <v>1.18</v>
      </c>
      <c r="R2">
        <v>201</v>
      </c>
      <c r="S2">
        <v>248</v>
      </c>
      <c r="T2">
        <v>1700</v>
      </c>
      <c r="U2">
        <v>133</v>
      </c>
      <c r="V2">
        <v>0.99</v>
      </c>
      <c r="W2">
        <v>202</v>
      </c>
      <c r="X2">
        <v>242</v>
      </c>
    </row>
    <row r="3" spans="1:24" x14ac:dyDescent="0.3">
      <c r="A3" t="s">
        <v>468</v>
      </c>
      <c r="B3" s="8">
        <v>43474</v>
      </c>
      <c r="C3">
        <v>73.8</v>
      </c>
      <c r="D3" s="4">
        <f>AVERAGE(CNZergBMX[[#This Row],[W]],CNZergBMX[[#This Row],[W2]],CNZergBMX[[#This Row],[W3]])</f>
        <v>1413.3333333333333</v>
      </c>
      <c r="E3" s="9">
        <f>CNZergBMX[[#This Row],[Max W]]/CNZergBMX[[#This Row],[Weight]]</f>
        <v>19.15085817524842</v>
      </c>
      <c r="F3" s="4">
        <f>AVERAGE(CNZergBMX[[#This Row],[OC]],CNZergBMX[[#This Row],[OC2]],CNZergBMX[[#This Row],[OC3]])</f>
        <v>130.33333333333334</v>
      </c>
      <c r="G3" s="10">
        <f>AVERAGE(CNZergBMX[[#This Row],[TTP]],CNZergBMX[[#This Row],[TTP2]],CNZergBMX[[#This Row],[TTP3]])</f>
        <v>1.22</v>
      </c>
      <c r="H3" s="4">
        <f>AVERAGE(CNZergBMX[[#This Row],[PRPM]],CNZergBMX[[#This Row],[PRPM2]],CNZergBMX[[#This Row],[PRPM3]])</f>
        <v>196</v>
      </c>
      <c r="I3" s="4">
        <f>AVERAGE(CNZergBMX[[#This Row],[PT]],CNZergBMX[[#This Row],[PT2]],CNZergBMX[[#This Row],[PT3]])</f>
        <v>218.66666666666666</v>
      </c>
      <c r="J3">
        <v>1427</v>
      </c>
      <c r="K3">
        <v>126</v>
      </c>
      <c r="L3" s="11">
        <v>1.23</v>
      </c>
      <c r="M3">
        <v>197</v>
      </c>
      <c r="N3">
        <v>214</v>
      </c>
      <c r="O3">
        <v>1430</v>
      </c>
      <c r="P3">
        <v>127</v>
      </c>
      <c r="Q3">
        <v>1.2</v>
      </c>
      <c r="R3">
        <v>197</v>
      </c>
      <c r="S3">
        <v>223</v>
      </c>
      <c r="T3">
        <v>1383</v>
      </c>
      <c r="U3">
        <v>138</v>
      </c>
      <c r="V3">
        <v>1.23</v>
      </c>
      <c r="W3">
        <v>194</v>
      </c>
      <c r="X3">
        <v>219</v>
      </c>
    </row>
    <row r="4" spans="1:24" x14ac:dyDescent="0.3">
      <c r="A4" t="s">
        <v>469</v>
      </c>
      <c r="B4" s="8">
        <v>43474</v>
      </c>
      <c r="C4">
        <v>70</v>
      </c>
      <c r="D4" s="4">
        <f>AVERAGE(CNZergBMX[[#This Row],[W]],CNZergBMX[[#This Row],[W2]],CNZergBMX[[#This Row],[W3]])</f>
        <v>1390</v>
      </c>
      <c r="E4" s="9">
        <f>CNZergBMX[[#This Row],[Max W]]/CNZergBMX[[#This Row],[Weight]]</f>
        <v>19.857142857142858</v>
      </c>
      <c r="F4" s="4">
        <f>AVERAGE(CNZergBMX[[#This Row],[OC]],CNZergBMX[[#This Row],[OC2]],CNZergBMX[[#This Row],[OC3]])</f>
        <v>120.66666666666667</v>
      </c>
      <c r="G4" s="10">
        <f>AVERAGE(CNZergBMX[[#This Row],[TTP]],CNZergBMX[[#This Row],[TTP2]],CNZergBMX[[#This Row],[TTP3]])</f>
        <v>1.4266666666666667</v>
      </c>
      <c r="H4" s="4">
        <f>AVERAGE(CNZergBMX[[#This Row],[PRPM]],CNZergBMX[[#This Row],[PRPM2]],CNZergBMX[[#This Row],[PRPM3]])</f>
        <v>194.66666666666666</v>
      </c>
      <c r="I4" s="4">
        <f>AVERAGE(CNZergBMX[[#This Row],[PT]],CNZergBMX[[#This Row],[PT2]],CNZergBMX[[#This Row],[PT3]])</f>
        <v>196</v>
      </c>
      <c r="J4">
        <v>1375</v>
      </c>
      <c r="K4">
        <v>120</v>
      </c>
      <c r="L4" s="11">
        <v>1.43</v>
      </c>
      <c r="M4">
        <v>194</v>
      </c>
      <c r="N4">
        <v>193</v>
      </c>
      <c r="O4">
        <v>1398</v>
      </c>
      <c r="P4">
        <v>122</v>
      </c>
      <c r="Q4">
        <v>1.4</v>
      </c>
      <c r="R4">
        <v>195</v>
      </c>
      <c r="S4">
        <v>200</v>
      </c>
      <c r="T4">
        <v>1397</v>
      </c>
      <c r="U4">
        <v>120</v>
      </c>
      <c r="V4">
        <v>1.45</v>
      </c>
      <c r="W4">
        <v>195</v>
      </c>
      <c r="X4">
        <v>195</v>
      </c>
    </row>
    <row r="5" spans="1:24" x14ac:dyDescent="0.3">
      <c r="A5" t="s">
        <v>470</v>
      </c>
      <c r="B5" s="8">
        <v>43476</v>
      </c>
      <c r="C5">
        <v>65.2</v>
      </c>
      <c r="D5" s="4">
        <f>AVERAGE(CNZergBMX[[#This Row],[W]],CNZergBMX[[#This Row],[W2]],CNZergBMX[[#This Row],[W3]])</f>
        <v>1441.6666666666667</v>
      </c>
      <c r="E5" s="9">
        <f>CNZergBMX[[#This Row],[Max W]]/CNZergBMX[[#This Row],[Weight]]</f>
        <v>22.111451942740288</v>
      </c>
      <c r="F5" s="4">
        <f>AVERAGE(CNZergBMX[[#This Row],[OC]],CNZergBMX[[#This Row],[OC2]],CNZergBMX[[#This Row],[OC3]])</f>
        <v>124.33333333333333</v>
      </c>
      <c r="G5" s="10">
        <f>AVERAGE(CNZergBMX[[#This Row],[TTP]],CNZergBMX[[#This Row],[TTP2]],CNZergBMX[[#This Row],[TTP3]])</f>
        <v>1.1199999999999999</v>
      </c>
      <c r="H5" s="4">
        <f>AVERAGE(CNZergBMX[[#This Row],[PRPM]],CNZergBMX[[#This Row],[PRPM2]],CNZergBMX[[#This Row],[PRPM3]])</f>
        <v>195.33333333333334</v>
      </c>
      <c r="I5" s="4">
        <f>AVERAGE(CNZergBMX[[#This Row],[PT]],CNZergBMX[[#This Row],[PT2]],CNZergBMX[[#This Row],[PT3]])</f>
        <v>223</v>
      </c>
      <c r="J5">
        <v>1452</v>
      </c>
      <c r="K5">
        <v>124</v>
      </c>
      <c r="L5" s="11">
        <v>1.1299999999999999</v>
      </c>
      <c r="M5">
        <v>195</v>
      </c>
      <c r="N5">
        <v>230</v>
      </c>
      <c r="O5">
        <v>1426</v>
      </c>
      <c r="P5">
        <v>125</v>
      </c>
      <c r="Q5">
        <v>1.08</v>
      </c>
      <c r="R5">
        <v>196</v>
      </c>
      <c r="S5">
        <v>218</v>
      </c>
      <c r="T5">
        <v>1447</v>
      </c>
      <c r="U5">
        <v>124</v>
      </c>
      <c r="V5">
        <v>1.1499999999999999</v>
      </c>
      <c r="W5">
        <v>195</v>
      </c>
      <c r="X5">
        <v>221</v>
      </c>
    </row>
    <row r="6" spans="1:24" x14ac:dyDescent="0.3">
      <c r="A6" t="s">
        <v>471</v>
      </c>
      <c r="B6" s="8">
        <v>43542</v>
      </c>
      <c r="C6">
        <v>72</v>
      </c>
      <c r="D6" s="4">
        <f>AVERAGE(CNZergBMX[[#This Row],[W]],CNZergBMX[[#This Row],[W2]],CNZergBMX[[#This Row],[W3]])</f>
        <v>1528</v>
      </c>
      <c r="E6" s="9">
        <f>CNZergBMX[[#This Row],[Max W]]/CNZergBMX[[#This Row],[Weight]]</f>
        <v>21.222222222222221</v>
      </c>
      <c r="F6" s="4">
        <f>AVERAGE(CNZergBMX[[#This Row],[OC]],CNZergBMX[[#This Row],[OC2]],CNZergBMX[[#This Row],[OC3]])</f>
        <v>146</v>
      </c>
      <c r="G6" s="10">
        <f>AVERAGE(CNZergBMX[[#This Row],[TTP]],CNZergBMX[[#This Row],[TTP2]],CNZergBMX[[#This Row],[TTP3]])</f>
        <v>1.2349999999999999</v>
      </c>
      <c r="H6" s="4">
        <f>AVERAGE(CNZergBMX[[#This Row],[PRPM]],CNZergBMX[[#This Row],[PRPM2]],CNZergBMX[[#This Row],[PRPM3]])</f>
        <v>201.5</v>
      </c>
      <c r="I6" s="4">
        <f>AVERAGE(CNZergBMX[[#This Row],[PT]],CNZergBMX[[#This Row],[PT2]],CNZergBMX[[#This Row],[PT3]])</f>
        <v>235.5</v>
      </c>
      <c r="J6">
        <v>1453</v>
      </c>
      <c r="K6">
        <v>149</v>
      </c>
      <c r="L6">
        <v>1.25</v>
      </c>
      <c r="M6">
        <v>199</v>
      </c>
      <c r="N6">
        <v>230</v>
      </c>
      <c r="O6">
        <v>1603</v>
      </c>
      <c r="P6">
        <v>143</v>
      </c>
      <c r="Q6" s="11">
        <v>1.22</v>
      </c>
      <c r="R6">
        <v>204</v>
      </c>
      <c r="S6">
        <v>241</v>
      </c>
    </row>
    <row r="7" spans="1:24" x14ac:dyDescent="0.3">
      <c r="A7" t="s">
        <v>472</v>
      </c>
      <c r="B7" s="8">
        <v>43542</v>
      </c>
      <c r="C7">
        <v>92</v>
      </c>
      <c r="D7" s="4">
        <f>AVERAGE(CNZergBMX[[#This Row],[W]],CNZergBMX[[#This Row],[W2]],CNZergBMX[[#This Row],[W3]])</f>
        <v>1862</v>
      </c>
      <c r="E7" s="9">
        <f>CNZergBMX[[#This Row],[Max W]]/CNZergBMX[[#This Row],[Weight]]</f>
        <v>20.239130434782609</v>
      </c>
      <c r="F7" s="4">
        <f>AVERAGE(CNZergBMX[[#This Row],[OC]],CNZergBMX[[#This Row],[OC2]],CNZergBMX[[#This Row],[OC3]])</f>
        <v>136.5</v>
      </c>
      <c r="G7" s="10">
        <f>AVERAGE(CNZergBMX[[#This Row],[TTP]],CNZergBMX[[#This Row],[TTP2]],CNZergBMX[[#This Row],[TTP3]])</f>
        <v>1.0049999999999999</v>
      </c>
      <c r="H7" s="4">
        <f>AVERAGE(CNZergBMX[[#This Row],[PRPM]],CNZergBMX[[#This Row],[PRPM2]],CNZergBMX[[#This Row],[PRPM3]])</f>
        <v>210</v>
      </c>
      <c r="I7" s="4">
        <f>AVERAGE(CNZergBMX[[#This Row],[PT]],CNZergBMX[[#This Row],[PT2]],CNZergBMX[[#This Row],[PT3]])</f>
        <v>267</v>
      </c>
      <c r="J7">
        <v>1861</v>
      </c>
      <c r="K7">
        <v>136</v>
      </c>
      <c r="L7">
        <v>0.96</v>
      </c>
      <c r="M7">
        <v>208</v>
      </c>
      <c r="N7">
        <v>259</v>
      </c>
      <c r="O7">
        <v>1863</v>
      </c>
      <c r="P7">
        <v>137</v>
      </c>
      <c r="Q7" s="11">
        <v>1.05</v>
      </c>
      <c r="R7">
        <v>212</v>
      </c>
      <c r="S7">
        <v>275</v>
      </c>
    </row>
    <row r="8" spans="1:24" x14ac:dyDescent="0.3">
      <c r="A8" t="s">
        <v>473</v>
      </c>
      <c r="B8" s="8">
        <v>43542</v>
      </c>
      <c r="C8">
        <v>75.8</v>
      </c>
      <c r="D8" s="4">
        <f>AVERAGE(CNZergBMX[[#This Row],[W]],CNZergBMX[[#This Row],[W2]],CNZergBMX[[#This Row],[W3]])</f>
        <v>1426</v>
      </c>
      <c r="E8" s="9">
        <f>CNZergBMX[[#This Row],[Max W]]/CNZergBMX[[#This Row],[Weight]]</f>
        <v>18.812664907651715</v>
      </c>
      <c r="F8" s="4">
        <f>AVERAGE(CNZergBMX[[#This Row],[OC]],CNZergBMX[[#This Row],[OC2]],CNZergBMX[[#This Row],[OC3]])</f>
        <v>124</v>
      </c>
      <c r="G8" s="10">
        <f>AVERAGE(CNZergBMX[[#This Row],[TTP]],CNZergBMX[[#This Row],[TTP2]],CNZergBMX[[#This Row],[TTP3]])</f>
        <v>1.1299999999999999</v>
      </c>
      <c r="H8" s="4">
        <f>AVERAGE(CNZergBMX[[#This Row],[PRPM]],CNZergBMX[[#This Row],[PRPM2]],CNZergBMX[[#This Row],[PRPM3]])</f>
        <v>195</v>
      </c>
      <c r="I8" s="4">
        <f>AVERAGE(CNZergBMX[[#This Row],[PT]],CNZergBMX[[#This Row],[PT2]],CNZergBMX[[#This Row],[PT3]])</f>
        <v>233</v>
      </c>
      <c r="J8">
        <v>1450</v>
      </c>
      <c r="K8">
        <v>124</v>
      </c>
      <c r="L8">
        <v>1.18</v>
      </c>
      <c r="M8">
        <v>195</v>
      </c>
      <c r="N8">
        <v>233</v>
      </c>
      <c r="O8">
        <v>1402</v>
      </c>
      <c r="P8">
        <v>124</v>
      </c>
      <c r="Q8" s="11">
        <v>1.08</v>
      </c>
      <c r="R8">
        <v>195</v>
      </c>
      <c r="S8">
        <v>233</v>
      </c>
    </row>
    <row r="9" spans="1:24" x14ac:dyDescent="0.3">
      <c r="A9" t="s">
        <v>474</v>
      </c>
      <c r="B9" s="8">
        <v>43542</v>
      </c>
      <c r="C9">
        <v>83.8</v>
      </c>
      <c r="D9" s="4">
        <f>AVERAGE(CNZergBMX[[#This Row],[W]],CNZergBMX[[#This Row],[W2]],CNZergBMX[[#This Row],[W3]])</f>
        <v>1755.5</v>
      </c>
      <c r="E9" s="9">
        <f>CNZergBMX[[#This Row],[Max W]]/CNZergBMX[[#This Row],[Weight]]</f>
        <v>20.948687350835321</v>
      </c>
      <c r="F9" s="4">
        <f>AVERAGE(CNZergBMX[[#This Row],[OC]],CNZergBMX[[#This Row],[OC2]],CNZergBMX[[#This Row],[OC3]])</f>
        <v>157</v>
      </c>
      <c r="G9" s="10">
        <f>AVERAGE(CNZergBMX[[#This Row],[TTP]],CNZergBMX[[#This Row],[TTP2]],CNZergBMX[[#This Row],[TTP3]])</f>
        <v>1.425</v>
      </c>
      <c r="H9" s="4">
        <f>AVERAGE(CNZergBMX[[#This Row],[PRPM]],CNZergBMX[[#This Row],[PRPM2]],CNZergBMX[[#This Row],[PRPM3]])</f>
        <v>211</v>
      </c>
      <c r="I9" s="4">
        <f>AVERAGE(CNZergBMX[[#This Row],[PT]],CNZergBMX[[#This Row],[PT2]],CNZergBMX[[#This Row],[PT3]])</f>
        <v>240</v>
      </c>
      <c r="J9">
        <v>1723</v>
      </c>
      <c r="K9">
        <v>154</v>
      </c>
      <c r="L9">
        <v>1.58</v>
      </c>
      <c r="M9">
        <v>209</v>
      </c>
      <c r="N9">
        <v>222</v>
      </c>
      <c r="O9">
        <v>1788</v>
      </c>
      <c r="P9">
        <v>160</v>
      </c>
      <c r="Q9" s="11">
        <v>1.27</v>
      </c>
      <c r="R9">
        <v>213</v>
      </c>
      <c r="S9">
        <v>258</v>
      </c>
    </row>
    <row r="10" spans="1:24" x14ac:dyDescent="0.3">
      <c r="A10" t="s">
        <v>475</v>
      </c>
      <c r="B10" s="8">
        <v>43542</v>
      </c>
      <c r="C10">
        <v>73.3</v>
      </c>
      <c r="D10" s="4">
        <f>AVERAGE(CNZergBMX[[#This Row],[W]],CNZergBMX[[#This Row],[W2]],CNZergBMX[[#This Row],[W3]])</f>
        <v>1374</v>
      </c>
      <c r="E10" s="9">
        <f>CNZergBMX[[#This Row],[Max W]]/CNZergBMX[[#This Row],[Weight]]</f>
        <v>18.744884038199181</v>
      </c>
      <c r="F10" s="4">
        <f>AVERAGE(CNZergBMX[[#This Row],[OC]],CNZergBMX[[#This Row],[OC2]],CNZergBMX[[#This Row],[OC3]])</f>
        <v>122</v>
      </c>
      <c r="G10" s="10">
        <f>AVERAGE(CNZergBMX[[#This Row],[TTP]],CNZergBMX[[#This Row],[TTP2]],CNZergBMX[[#This Row],[TTP3]])</f>
        <v>1.2549999999999999</v>
      </c>
      <c r="H10" s="4">
        <f>AVERAGE(CNZergBMX[[#This Row],[PRPM]],CNZergBMX[[#This Row],[PRPM2]],CNZergBMX[[#This Row],[PRPM3]])</f>
        <v>190</v>
      </c>
      <c r="I10" s="4">
        <f>AVERAGE(CNZergBMX[[#This Row],[PT]],CNZergBMX[[#This Row],[PT2]],CNZergBMX[[#This Row],[PT3]])</f>
        <v>203</v>
      </c>
      <c r="J10">
        <v>1404</v>
      </c>
      <c r="K10">
        <v>122</v>
      </c>
      <c r="L10" s="11">
        <v>1.28</v>
      </c>
      <c r="M10">
        <v>189</v>
      </c>
      <c r="N10">
        <v>205</v>
      </c>
      <c r="O10">
        <v>1344</v>
      </c>
      <c r="P10">
        <v>122</v>
      </c>
      <c r="Q10" s="11">
        <v>1.23</v>
      </c>
      <c r="R10">
        <v>191</v>
      </c>
      <c r="S10">
        <v>201</v>
      </c>
    </row>
    <row r="11" spans="1:24" x14ac:dyDescent="0.3">
      <c r="A11" t="s">
        <v>470</v>
      </c>
      <c r="B11" s="8">
        <v>43546</v>
      </c>
      <c r="C11">
        <v>65.2</v>
      </c>
      <c r="D11" s="4">
        <f>AVERAGE(CNZergBMX[[#This Row],[W]],CNZergBMX[[#This Row],[W2]],CNZergBMX[[#This Row],[W3]])</f>
        <v>1415.3333333333333</v>
      </c>
      <c r="E11" s="9">
        <f>CNZergBMX[[#This Row],[Max W]]/CNZergBMX[[#This Row],[Weight]]</f>
        <v>21.707566462167687</v>
      </c>
      <c r="F11" s="4">
        <f>AVERAGE(CNZergBMX[[#This Row],[OC]],CNZergBMX[[#This Row],[OC2]],CNZergBMX[[#This Row],[OC3]])</f>
        <v>122.66666666666667</v>
      </c>
      <c r="G11" s="10">
        <f>AVERAGE(CNZergBMX[[#This Row],[TTP]],CNZergBMX[[#This Row],[TTP2]],CNZergBMX[[#This Row],[TTP3]])</f>
        <v>1.1433333333333333</v>
      </c>
      <c r="H11" s="4">
        <f>AVERAGE(CNZergBMX[[#This Row],[PRPM]],CNZergBMX[[#This Row],[PRPM2]],CNZergBMX[[#This Row],[PRPM3]])</f>
        <v>193</v>
      </c>
      <c r="I11" s="4">
        <f>AVERAGE(CNZergBMX[[#This Row],[PT]],CNZergBMX[[#This Row],[PT2]],CNZergBMX[[#This Row],[PT3]])</f>
        <v>214.66666666666666</v>
      </c>
      <c r="J11">
        <v>1371</v>
      </c>
      <c r="K11">
        <v>122</v>
      </c>
      <c r="L11" s="11">
        <v>1.1399999999999999</v>
      </c>
      <c r="M11">
        <v>192</v>
      </c>
      <c r="N11">
        <v>217</v>
      </c>
      <c r="O11">
        <v>1438</v>
      </c>
      <c r="P11">
        <v>123</v>
      </c>
      <c r="Q11" s="11">
        <v>1.1599999999999999</v>
      </c>
      <c r="R11">
        <v>194</v>
      </c>
      <c r="S11">
        <v>212</v>
      </c>
      <c r="T11">
        <v>1437</v>
      </c>
      <c r="U11">
        <v>123</v>
      </c>
      <c r="V11" s="11">
        <v>1.1299999999999999</v>
      </c>
      <c r="W11">
        <v>193</v>
      </c>
      <c r="X11">
        <v>215</v>
      </c>
    </row>
    <row r="12" spans="1:24" x14ac:dyDescent="0.3">
      <c r="A12" t="s">
        <v>470</v>
      </c>
      <c r="B12" s="8">
        <v>43553</v>
      </c>
      <c r="C12">
        <v>65.2</v>
      </c>
      <c r="D12" s="4">
        <f>AVERAGE(CNZergBMX[[#This Row],[W]],CNZergBMX[[#This Row],[W2]],CNZergBMX[[#This Row],[W3]])</f>
        <v>1443.6666666666667</v>
      </c>
      <c r="E12" s="9">
        <f>CNZergBMX[[#This Row],[Max W]]/CNZergBMX[[#This Row],[Weight]]</f>
        <v>22.142126789366053</v>
      </c>
      <c r="F12" s="4">
        <f>AVERAGE(CNZergBMX[[#This Row],[OC]],CNZergBMX[[#This Row],[OC2]],CNZergBMX[[#This Row],[OC3]])</f>
        <v>124.33333333333333</v>
      </c>
      <c r="G12" s="10">
        <f>AVERAGE(CNZergBMX[[#This Row],[TTP]],CNZergBMX[[#This Row],[TTP2]],CNZergBMX[[#This Row],[TTP3]])</f>
        <v>1.2266666666666668</v>
      </c>
      <c r="H12" s="4">
        <f>AVERAGE(CNZergBMX[[#This Row],[PRPM]],CNZergBMX[[#This Row],[PRPM2]],CNZergBMX[[#This Row],[PRPM3]])</f>
        <v>196.66666666666666</v>
      </c>
      <c r="I12" s="4">
        <f>AVERAGE(CNZergBMX[[#This Row],[PT]],CNZergBMX[[#This Row],[PT2]],CNZergBMX[[#This Row],[PT3]])</f>
        <v>216.33333333333334</v>
      </c>
      <c r="J12">
        <v>1435</v>
      </c>
      <c r="K12">
        <v>124</v>
      </c>
      <c r="L12" s="11">
        <v>1.19</v>
      </c>
      <c r="M12">
        <v>196</v>
      </c>
      <c r="N12">
        <v>213</v>
      </c>
      <c r="O12">
        <v>1430</v>
      </c>
      <c r="P12">
        <v>125</v>
      </c>
      <c r="Q12" s="11">
        <v>1.18</v>
      </c>
      <c r="R12">
        <v>197</v>
      </c>
      <c r="S12">
        <v>224</v>
      </c>
      <c r="T12">
        <v>1466</v>
      </c>
      <c r="U12">
        <v>124</v>
      </c>
      <c r="V12" s="11">
        <v>1.31</v>
      </c>
      <c r="W12">
        <v>197</v>
      </c>
      <c r="X12">
        <v>212</v>
      </c>
    </row>
    <row r="13" spans="1:24" x14ac:dyDescent="0.3">
      <c r="A13" t="s">
        <v>470</v>
      </c>
      <c r="B13" s="8">
        <v>43565</v>
      </c>
      <c r="C13">
        <v>65.2</v>
      </c>
      <c r="D13" s="4">
        <f>AVERAGE(CNZergBMX[[#This Row],[W]],CNZergBMX[[#This Row],[W2]],CNZergBMX[[#This Row],[W3]])</f>
        <v>1431.6666666666667</v>
      </c>
      <c r="E13" s="9">
        <f>CNZergBMX[[#This Row],[Max W]]/CNZergBMX[[#This Row],[Weight]]</f>
        <v>21.958077709611452</v>
      </c>
      <c r="F13" s="4">
        <f>AVERAGE(CNZergBMX[[#This Row],[OC]],CNZergBMX[[#This Row],[OC2]],CNZergBMX[[#This Row],[OC3]])</f>
        <v>123.66666666666667</v>
      </c>
      <c r="G13" s="10">
        <f>AVERAGE(CNZergBMX[[#This Row],[TTP]],CNZergBMX[[#This Row],[TTP2]],CNZergBMX[[#This Row],[TTP3]])</f>
        <v>1.1500000000000001</v>
      </c>
      <c r="H13" s="4">
        <f>AVERAGE(CNZergBMX[[#This Row],[PRPM]],CNZergBMX[[#This Row],[PRPM2]],CNZergBMX[[#This Row],[PRPM3]])</f>
        <v>195</v>
      </c>
      <c r="I13" s="4">
        <f>AVERAGE(CNZergBMX[[#This Row],[PT]],CNZergBMX[[#This Row],[PT2]],CNZergBMX[[#This Row],[PT3]])</f>
        <v>215.33333333333334</v>
      </c>
      <c r="J13">
        <v>1423</v>
      </c>
      <c r="K13">
        <v>123</v>
      </c>
      <c r="L13" s="11">
        <v>1.1399999999999999</v>
      </c>
      <c r="M13">
        <v>195</v>
      </c>
      <c r="N13">
        <v>215</v>
      </c>
      <c r="O13">
        <v>1451</v>
      </c>
      <c r="P13">
        <v>125</v>
      </c>
      <c r="Q13" s="11">
        <v>1.1499999999999999</v>
      </c>
      <c r="R13">
        <v>196</v>
      </c>
      <c r="S13">
        <v>212</v>
      </c>
      <c r="T13">
        <v>1421</v>
      </c>
      <c r="U13">
        <v>123</v>
      </c>
      <c r="V13" s="11">
        <v>1.1599999999999999</v>
      </c>
      <c r="W13">
        <v>194</v>
      </c>
      <c r="X13">
        <v>219</v>
      </c>
    </row>
    <row r="14" spans="1:24" x14ac:dyDescent="0.3">
      <c r="A14" t="s">
        <v>470</v>
      </c>
      <c r="B14" s="8">
        <v>43690</v>
      </c>
      <c r="C14">
        <v>65.2</v>
      </c>
      <c r="D14" s="4">
        <f>AVERAGE(CNZergBMX[[#This Row],[W]],CNZergBMX[[#This Row],[W2]],CNZergBMX[[#This Row],[W3]])</f>
        <v>1407.3333333333333</v>
      </c>
      <c r="E14" s="9">
        <f>CNZergBMX[[#This Row],[Max W]]/CNZergBMX[[#This Row],[Weight]]</f>
        <v>21.584867075664619</v>
      </c>
      <c r="F14" s="4">
        <f>AVERAGE(CNZergBMX[[#This Row],[OC]],CNZergBMX[[#This Row],[OC2]],CNZergBMX[[#This Row],[OC3]])</f>
        <v>122.66666666666667</v>
      </c>
      <c r="G14" s="10">
        <f>AVERAGE(CNZergBMX[[#This Row],[TTP]],CNZergBMX[[#This Row],[TTP2]],CNZergBMX[[#This Row],[TTP3]])</f>
        <v>1.18</v>
      </c>
      <c r="H14" s="4">
        <f>AVERAGE(CNZergBMX[[#This Row],[PRPM]],CNZergBMX[[#This Row],[PRPM2]],CNZergBMX[[#This Row],[PRPM3]])</f>
        <v>193.66666666666666</v>
      </c>
      <c r="I14" s="4">
        <f>AVERAGE(CNZergBMX[[#This Row],[PT]],CNZergBMX[[#This Row],[PT2]],CNZergBMX[[#This Row],[PT3]])</f>
        <v>211</v>
      </c>
      <c r="J14">
        <v>1421</v>
      </c>
      <c r="K14">
        <v>124</v>
      </c>
      <c r="L14" s="11">
        <v>1.1299999999999999</v>
      </c>
      <c r="M14">
        <v>194</v>
      </c>
      <c r="N14">
        <v>209</v>
      </c>
      <c r="O14">
        <v>1421</v>
      </c>
      <c r="P14">
        <v>123</v>
      </c>
      <c r="Q14" s="11">
        <v>1.1200000000000001</v>
      </c>
      <c r="R14">
        <v>194</v>
      </c>
      <c r="S14">
        <v>211</v>
      </c>
      <c r="T14">
        <v>1380</v>
      </c>
      <c r="U14">
        <v>121</v>
      </c>
      <c r="V14" s="11">
        <v>1.29</v>
      </c>
      <c r="W14">
        <v>193</v>
      </c>
      <c r="X14">
        <v>213</v>
      </c>
    </row>
    <row r="15" spans="1:24" x14ac:dyDescent="0.3">
      <c r="A15" t="s">
        <v>470</v>
      </c>
      <c r="B15" s="8">
        <v>43693</v>
      </c>
      <c r="C15">
        <v>65.2</v>
      </c>
      <c r="D15" s="4">
        <f>AVERAGE(CNZergBMX[[#This Row],[W]],CNZergBMX[[#This Row],[W2]],CNZergBMX[[#This Row],[W3]])</f>
        <v>1390</v>
      </c>
      <c r="E15" s="9">
        <f>CNZergBMX[[#This Row],[Max W]]/CNZergBMX[[#This Row],[Weight]]</f>
        <v>21.319018404907975</v>
      </c>
      <c r="F15" s="4">
        <f>AVERAGE(CNZergBMX[[#This Row],[OC]],CNZergBMX[[#This Row],[OC2]],CNZergBMX[[#This Row],[OC3]])</f>
        <v>122</v>
      </c>
      <c r="G15" s="10">
        <f>AVERAGE(CNZergBMX[[#This Row],[TTP]],CNZergBMX[[#This Row],[TTP2]],CNZergBMX[[#This Row],[TTP3]])</f>
        <v>1.2149999999999999</v>
      </c>
      <c r="H15" s="4">
        <f>AVERAGE(CNZergBMX[[#This Row],[PRPM]],CNZergBMX[[#This Row],[PRPM2]],CNZergBMX[[#This Row],[PRPM3]])</f>
        <v>193.5</v>
      </c>
      <c r="I15" s="4">
        <f>AVERAGE(CNZergBMX[[#This Row],[PT]],CNZergBMX[[#This Row],[PT2]],CNZergBMX[[#This Row],[PT3]])</f>
        <v>213</v>
      </c>
      <c r="J15">
        <v>1397</v>
      </c>
      <c r="K15">
        <v>122</v>
      </c>
      <c r="L15" s="11">
        <v>1.22</v>
      </c>
      <c r="M15">
        <v>194</v>
      </c>
      <c r="N15">
        <v>212</v>
      </c>
      <c r="O15">
        <v>1383</v>
      </c>
      <c r="P15">
        <v>122</v>
      </c>
      <c r="Q15" s="11">
        <v>1.21</v>
      </c>
      <c r="R15">
        <v>193</v>
      </c>
      <c r="S15">
        <v>214</v>
      </c>
    </row>
    <row r="16" spans="1:24" x14ac:dyDescent="0.3">
      <c r="A16" t="s">
        <v>470</v>
      </c>
      <c r="B16" s="8">
        <v>43697</v>
      </c>
      <c r="C16">
        <v>65.2</v>
      </c>
      <c r="D16" s="4">
        <f>AVERAGE(CNZergBMX[[#This Row],[W]],CNZergBMX[[#This Row],[W2]],CNZergBMX[[#This Row],[W3]])</f>
        <v>1386</v>
      </c>
      <c r="E16" s="9">
        <f>CNZergBMX[[#This Row],[Max W]]/CNZergBMX[[#This Row],[Weight]]</f>
        <v>21.257668711656439</v>
      </c>
      <c r="F16" s="4">
        <f>AVERAGE(CNZergBMX[[#This Row],[OC]],CNZergBMX[[#This Row],[OC2]],CNZergBMX[[#This Row],[OC3]])</f>
        <v>122</v>
      </c>
      <c r="G16" s="10">
        <f>AVERAGE(CNZergBMX[[#This Row],[TTP]],CNZergBMX[[#This Row],[TTP2]],CNZergBMX[[#This Row],[TTP3]])</f>
        <v>1.2033333333333334</v>
      </c>
      <c r="H16" s="4">
        <f>AVERAGE(CNZergBMX[[#This Row],[PRPM]],CNZergBMX[[#This Row],[PRPM2]],CNZergBMX[[#This Row],[PRPM3]])</f>
        <v>193.66666666666666</v>
      </c>
      <c r="I16" s="4">
        <f>AVERAGE(CNZergBMX[[#This Row],[PT]],CNZergBMX[[#This Row],[PT2]],CNZergBMX[[#This Row],[PT3]])</f>
        <v>214.66666666666666</v>
      </c>
      <c r="J16">
        <v>1401</v>
      </c>
      <c r="K16">
        <v>123</v>
      </c>
      <c r="L16" s="11">
        <v>1.23</v>
      </c>
      <c r="M16">
        <v>195</v>
      </c>
      <c r="N16">
        <v>217</v>
      </c>
      <c r="O16">
        <v>1405</v>
      </c>
      <c r="P16">
        <v>122</v>
      </c>
      <c r="Q16" s="11">
        <v>1.19</v>
      </c>
      <c r="R16">
        <v>193</v>
      </c>
      <c r="S16">
        <v>216</v>
      </c>
      <c r="T16">
        <v>1352</v>
      </c>
      <c r="U16">
        <v>121</v>
      </c>
      <c r="V16" s="11">
        <v>1.19</v>
      </c>
      <c r="W16">
        <v>193</v>
      </c>
      <c r="X16">
        <v>211</v>
      </c>
    </row>
    <row r="17" spans="1:24" x14ac:dyDescent="0.3">
      <c r="A17" t="s">
        <v>470</v>
      </c>
      <c r="B17" s="8">
        <v>43700</v>
      </c>
      <c r="C17">
        <v>65.2</v>
      </c>
      <c r="D17" s="4">
        <f>AVERAGE(CNZergBMX[[#This Row],[W]],CNZergBMX[[#This Row],[W2]],CNZergBMX[[#This Row],[W3]])</f>
        <v>1340.5</v>
      </c>
      <c r="E17" s="9">
        <f>CNZergBMX[[#This Row],[Max W]]/CNZergBMX[[#This Row],[Weight]]</f>
        <v>20.559815950920246</v>
      </c>
      <c r="F17" s="4">
        <f>AVERAGE(CNZergBMX[[#This Row],[OC]],CNZergBMX[[#This Row],[OC2]],CNZergBMX[[#This Row],[OC3]])</f>
        <v>132.5</v>
      </c>
      <c r="G17" s="10">
        <f>AVERAGE(CNZergBMX[[#This Row],[TTP]],CNZergBMX[[#This Row],[TTP2]],CNZergBMX[[#This Row],[TTP3]])</f>
        <v>1.175</v>
      </c>
      <c r="H17" s="4">
        <f>AVERAGE(CNZergBMX[[#This Row],[PRPM]],CNZergBMX[[#This Row],[PRPM2]],CNZergBMX[[#This Row],[PRPM3]])</f>
        <v>192</v>
      </c>
      <c r="I17" s="4">
        <f>AVERAGE(CNZergBMX[[#This Row],[PT]],CNZergBMX[[#This Row],[PT2]],CNZergBMX[[#This Row],[PT3]])</f>
        <v>205.5</v>
      </c>
      <c r="J17">
        <v>1368</v>
      </c>
      <c r="K17">
        <v>121</v>
      </c>
      <c r="L17" s="11">
        <v>1.1200000000000001</v>
      </c>
      <c r="M17">
        <v>192</v>
      </c>
      <c r="N17">
        <v>209</v>
      </c>
      <c r="O17">
        <v>1313</v>
      </c>
      <c r="P17">
        <v>144</v>
      </c>
      <c r="Q17" s="11">
        <v>1.23</v>
      </c>
      <c r="R17">
        <v>192</v>
      </c>
      <c r="S17">
        <v>202</v>
      </c>
    </row>
    <row r="18" spans="1:24" x14ac:dyDescent="0.3">
      <c r="A18" t="s">
        <v>476</v>
      </c>
      <c r="B18" s="8">
        <v>43741</v>
      </c>
      <c r="C18">
        <v>95.5</v>
      </c>
      <c r="D18" s="4">
        <f>AVERAGE(CNZergBMX[[#This Row],[W]],CNZergBMX[[#This Row],[W2]],CNZergBMX[[#This Row],[W3]])</f>
        <v>1954.5</v>
      </c>
      <c r="E18" s="9">
        <f>CNZergBMX[[#This Row],[Max W]]/CNZergBMX[[#This Row],[Weight]]</f>
        <v>20.465968586387433</v>
      </c>
      <c r="F18" s="4">
        <f>AVERAGE(CNZergBMX[[#This Row],[OC]],CNZergBMX[[#This Row],[OC2]],CNZergBMX[[#This Row],[OC3]])</f>
        <v>118</v>
      </c>
      <c r="G18" s="10">
        <f>AVERAGE(CNZergBMX[[#This Row],[TTP]],CNZergBMX[[#This Row],[TTP2]],CNZergBMX[[#This Row],[TTP3]])</f>
        <v>0.92500000000000004</v>
      </c>
      <c r="H18" s="4">
        <f>AVERAGE(CNZergBMX[[#This Row],[PRPM]],CNZergBMX[[#This Row],[PRPM2]],CNZergBMX[[#This Row],[PRPM3]])</f>
        <v>214</v>
      </c>
      <c r="I18" s="4">
        <f>AVERAGE(CNZergBMX[[#This Row],[PT]],CNZergBMX[[#This Row],[PT2]],CNZergBMX[[#This Row],[PT3]])</f>
        <v>266.5</v>
      </c>
      <c r="J18">
        <v>1913</v>
      </c>
      <c r="K18">
        <v>117</v>
      </c>
      <c r="L18" s="11">
        <v>0.89</v>
      </c>
      <c r="M18">
        <v>213</v>
      </c>
      <c r="N18">
        <v>258</v>
      </c>
      <c r="O18">
        <v>1996</v>
      </c>
      <c r="P18">
        <v>119</v>
      </c>
      <c r="Q18" s="11">
        <v>0.96</v>
      </c>
      <c r="R18">
        <v>215</v>
      </c>
      <c r="S18">
        <v>275</v>
      </c>
    </row>
    <row r="19" spans="1:24" x14ac:dyDescent="0.3">
      <c r="A19" t="s">
        <v>471</v>
      </c>
      <c r="B19" s="8">
        <v>43741</v>
      </c>
      <c r="C19">
        <v>74</v>
      </c>
      <c r="D19" s="4">
        <f>AVERAGE(CNZergBMX[[#This Row],[W]],CNZergBMX[[#This Row],[W2]],CNZergBMX[[#This Row],[W3]])</f>
        <v>1664</v>
      </c>
      <c r="E19" s="9">
        <f>CNZergBMX[[#This Row],[Max W]]/CNZergBMX[[#This Row],[Weight]]</f>
        <v>22.486486486486488</v>
      </c>
      <c r="F19" s="4">
        <f>AVERAGE(CNZergBMX[[#This Row],[OC]],CNZergBMX[[#This Row],[OC2]],CNZergBMX[[#This Row],[OC3]])</f>
        <v>129.5</v>
      </c>
      <c r="G19" s="10">
        <f>AVERAGE(CNZergBMX[[#This Row],[TTP]],CNZergBMX[[#This Row],[TTP2]],CNZergBMX[[#This Row],[TTP3]])</f>
        <v>1.0350000000000001</v>
      </c>
      <c r="H19" s="4">
        <f>AVERAGE(CNZergBMX[[#This Row],[PRPM]],CNZergBMX[[#This Row],[PRPM2]],CNZergBMX[[#This Row],[PRPM3]])</f>
        <v>204.5</v>
      </c>
      <c r="I19" s="4">
        <f>AVERAGE(CNZergBMX[[#This Row],[PT]],CNZergBMX[[#This Row],[PT2]],CNZergBMX[[#This Row],[PT3]])</f>
        <v>255</v>
      </c>
      <c r="J19">
        <v>1610</v>
      </c>
      <c r="K19">
        <v>129</v>
      </c>
      <c r="L19" s="11">
        <v>1.08</v>
      </c>
      <c r="M19">
        <v>203</v>
      </c>
      <c r="N19">
        <v>255</v>
      </c>
      <c r="O19">
        <v>1718</v>
      </c>
      <c r="P19">
        <v>130</v>
      </c>
      <c r="Q19" s="11">
        <v>0.99</v>
      </c>
      <c r="R19">
        <v>206</v>
      </c>
      <c r="S19">
        <v>255</v>
      </c>
    </row>
    <row r="20" spans="1:24" x14ac:dyDescent="0.3">
      <c r="A20" t="s">
        <v>477</v>
      </c>
      <c r="B20" s="8">
        <v>43741</v>
      </c>
      <c r="C20">
        <v>68</v>
      </c>
      <c r="D20" s="4">
        <f>AVERAGE(CNZergBMX[[#This Row],[W]],CNZergBMX[[#This Row],[W2]],CNZergBMX[[#This Row],[W3]])</f>
        <v>1674.5</v>
      </c>
      <c r="E20" s="9">
        <f>CNZergBMX[[#This Row],[Max W]]/CNZergBMX[[#This Row],[Weight]]</f>
        <v>24.625</v>
      </c>
      <c r="F20" s="4">
        <f>AVERAGE(CNZergBMX[[#This Row],[OC]],CNZergBMX[[#This Row],[OC2]],CNZergBMX[[#This Row],[OC3]])</f>
        <v>144</v>
      </c>
      <c r="G20" s="10">
        <f>AVERAGE(CNZergBMX[[#This Row],[TTP]],CNZergBMX[[#This Row],[TTP2]],CNZergBMX[[#This Row],[TTP3]])</f>
        <v>1.625</v>
      </c>
      <c r="H20" s="4">
        <f>AVERAGE(CNZergBMX[[#This Row],[PRPM]],CNZergBMX[[#This Row],[PRPM2]],CNZergBMX[[#This Row],[PRPM3]])</f>
        <v>205.5</v>
      </c>
      <c r="I20" s="4">
        <f>AVERAGE(CNZergBMX[[#This Row],[PT]],CNZergBMX[[#This Row],[PT2]],CNZergBMX[[#This Row],[PT3]])</f>
        <v>185.5</v>
      </c>
      <c r="J20">
        <v>1704</v>
      </c>
      <c r="K20">
        <v>149</v>
      </c>
      <c r="L20" s="11">
        <v>1.73</v>
      </c>
      <c r="M20">
        <v>205</v>
      </c>
      <c r="N20">
        <v>179</v>
      </c>
      <c r="O20">
        <v>1645</v>
      </c>
      <c r="P20">
        <v>139</v>
      </c>
      <c r="Q20" s="11">
        <v>1.52</v>
      </c>
      <c r="R20">
        <v>206</v>
      </c>
      <c r="S20">
        <v>192</v>
      </c>
    </row>
    <row r="21" spans="1:24" x14ac:dyDescent="0.3">
      <c r="A21" t="s">
        <v>470</v>
      </c>
      <c r="B21" s="8">
        <v>43742</v>
      </c>
      <c r="C21">
        <v>63.3</v>
      </c>
      <c r="D21" s="4">
        <f>AVERAGE(CNZergBMX[[#This Row],[W]],CNZergBMX[[#This Row],[W2]],CNZergBMX[[#This Row],[W3]])</f>
        <v>1373</v>
      </c>
      <c r="E21" s="9">
        <f>CNZergBMX[[#This Row],[Max W]]/CNZergBMX[[#This Row],[Weight]]</f>
        <v>21.690363349131122</v>
      </c>
      <c r="F21" s="4">
        <f>AVERAGE(CNZergBMX[[#This Row],[OC]],CNZergBMX[[#This Row],[OC2]],CNZergBMX[[#This Row],[OC3]])</f>
        <v>122.5</v>
      </c>
      <c r="G21" s="10">
        <f>AVERAGE(CNZergBMX[[#This Row],[TTP]],CNZergBMX[[#This Row],[TTP2]],CNZergBMX[[#This Row],[TTP3]])</f>
        <v>1</v>
      </c>
      <c r="H21" s="4">
        <f>AVERAGE(CNZergBMX[[#This Row],[PRPM]],CNZergBMX[[#This Row],[PRPM2]],CNZergBMX[[#This Row],[PRPM3]])</f>
        <v>192.5</v>
      </c>
      <c r="I21" s="4">
        <f>AVERAGE(CNZergBMX[[#This Row],[PT]],CNZergBMX[[#This Row],[PT2]],CNZergBMX[[#This Row],[PT3]])</f>
        <v>214.5</v>
      </c>
      <c r="J21">
        <v>1368</v>
      </c>
      <c r="K21">
        <v>123</v>
      </c>
      <c r="L21" s="11">
        <v>1.02</v>
      </c>
      <c r="M21">
        <v>193</v>
      </c>
      <c r="N21">
        <v>212</v>
      </c>
      <c r="O21">
        <v>1378</v>
      </c>
      <c r="P21">
        <v>122</v>
      </c>
      <c r="Q21" s="11">
        <v>0.98</v>
      </c>
      <c r="R21">
        <v>192</v>
      </c>
      <c r="S21">
        <v>217</v>
      </c>
    </row>
    <row r="22" spans="1:24" x14ac:dyDescent="0.3">
      <c r="A22" t="s">
        <v>470</v>
      </c>
      <c r="B22" s="8">
        <v>43840</v>
      </c>
      <c r="C22">
        <v>63.5</v>
      </c>
      <c r="D22" s="4">
        <f>AVERAGE(CNZergBMX[[#This Row],[W]],CNZergBMX[[#This Row],[W2]],CNZergBMX[[#This Row],[W3]])</f>
        <v>1464</v>
      </c>
      <c r="E22" s="9">
        <f>CNZergBMX[[#This Row],[Max W]]/CNZergBMX[[#This Row],[Weight]]</f>
        <v>23.055118110236222</v>
      </c>
      <c r="F22" s="4">
        <f>AVERAGE(CNZergBMX[[#This Row],[OC]],CNZergBMX[[#This Row],[OC2]],CNZergBMX[[#This Row],[OC3]])</f>
        <v>124.33333333333333</v>
      </c>
      <c r="G22" s="10">
        <f>AVERAGE(CNZergBMX[[#This Row],[TTP]],CNZergBMX[[#This Row],[TTP2]],CNZergBMX[[#This Row],[TTP3]])</f>
        <v>1.1366666666666665</v>
      </c>
      <c r="H22" s="4">
        <f>AVERAGE(CNZergBMX[[#This Row],[PRPM]],CNZergBMX[[#This Row],[PRPM2]],CNZergBMX[[#This Row],[PRPM3]])</f>
        <v>196</v>
      </c>
      <c r="I22" s="4">
        <f>AVERAGE(CNZergBMX[[#This Row],[PT]],CNZergBMX[[#This Row],[PT2]],CNZergBMX[[#This Row],[PT3]])</f>
        <v>222</v>
      </c>
      <c r="J22">
        <v>1468</v>
      </c>
      <c r="K22">
        <v>124</v>
      </c>
      <c r="L22" s="11">
        <v>1.1599999999999999</v>
      </c>
      <c r="M22">
        <v>196</v>
      </c>
      <c r="N22">
        <v>223</v>
      </c>
      <c r="O22">
        <v>1470</v>
      </c>
      <c r="P22">
        <v>125</v>
      </c>
      <c r="Q22" s="12">
        <v>1.1000000000000001</v>
      </c>
      <c r="R22">
        <v>196</v>
      </c>
      <c r="S22">
        <v>220</v>
      </c>
      <c r="T22">
        <v>1454</v>
      </c>
      <c r="U22">
        <v>124</v>
      </c>
      <c r="V22" s="11">
        <v>1.1499999999999999</v>
      </c>
      <c r="W22">
        <v>196</v>
      </c>
      <c r="X22">
        <v>223</v>
      </c>
    </row>
    <row r="23" spans="1:24" x14ac:dyDescent="0.3">
      <c r="A23" t="s">
        <v>467</v>
      </c>
      <c r="B23" s="8">
        <v>43840</v>
      </c>
      <c r="C23">
        <v>78.3</v>
      </c>
      <c r="D23" s="4">
        <f>AVERAGE(CNZergBMX[[#This Row],[W]],CNZergBMX[[#This Row],[W2]],CNZergBMX[[#This Row],[W3]])</f>
        <v>1589.6666666666667</v>
      </c>
      <c r="E23" s="9">
        <f>CNZergBMX[[#This Row],[Max W]]/CNZergBMX[[#This Row],[Weight]]</f>
        <v>20.302256279267777</v>
      </c>
      <c r="F23" s="4">
        <f>AVERAGE(CNZergBMX[[#This Row],[OC]],CNZergBMX[[#This Row],[OC2]],CNZergBMX[[#This Row],[OC3]])</f>
        <v>138</v>
      </c>
      <c r="G23" s="10">
        <f>AVERAGE(CNZergBMX[[#This Row],[TTP]],CNZergBMX[[#This Row],[TTP2]],CNZergBMX[[#This Row],[TTP3]])</f>
        <v>1.05</v>
      </c>
      <c r="H23" s="4">
        <f>AVERAGE(CNZergBMX[[#This Row],[PRPM]],CNZergBMX[[#This Row],[PRPM2]],CNZergBMX[[#This Row],[PRPM3]])</f>
        <v>198.66666666666666</v>
      </c>
      <c r="I23" s="4">
        <f>AVERAGE(CNZergBMX[[#This Row],[PT]],CNZergBMX[[#This Row],[PT2]],CNZergBMX[[#This Row],[PT3]])</f>
        <v>242</v>
      </c>
      <c r="J23">
        <v>1563</v>
      </c>
      <c r="K23">
        <v>130</v>
      </c>
      <c r="L23" s="11">
        <v>1.06</v>
      </c>
      <c r="M23">
        <v>196</v>
      </c>
      <c r="N23">
        <v>238</v>
      </c>
      <c r="O23">
        <v>1603</v>
      </c>
      <c r="P23">
        <v>154</v>
      </c>
      <c r="Q23">
        <v>1.07</v>
      </c>
      <c r="R23">
        <v>200</v>
      </c>
      <c r="S23">
        <v>242</v>
      </c>
      <c r="T23">
        <v>1603</v>
      </c>
      <c r="U23">
        <v>130</v>
      </c>
      <c r="V23">
        <v>1.02</v>
      </c>
      <c r="W23">
        <v>200</v>
      </c>
      <c r="X23">
        <v>246</v>
      </c>
    </row>
    <row r="24" spans="1:24" x14ac:dyDescent="0.3">
      <c r="A24" t="s">
        <v>468</v>
      </c>
      <c r="B24" s="8">
        <v>43840</v>
      </c>
      <c r="C24">
        <v>73.8</v>
      </c>
      <c r="D24" s="4">
        <f>AVERAGE(CNZergBMX[[#This Row],[W]],CNZergBMX[[#This Row],[W2]],CNZergBMX[[#This Row],[W3]])</f>
        <v>1423.3333333333333</v>
      </c>
      <c r="E24" s="9">
        <f>CNZergBMX[[#This Row],[Max W]]/CNZergBMX[[#This Row],[Weight]]</f>
        <v>19.286359530261969</v>
      </c>
      <c r="F24" s="4">
        <f>AVERAGE(CNZergBMX[[#This Row],[OC]],CNZergBMX[[#This Row],[OC2]],CNZergBMX[[#This Row],[OC3]])</f>
        <v>125</v>
      </c>
      <c r="G24" s="10">
        <f>AVERAGE(CNZergBMX[[#This Row],[TTP]],CNZergBMX[[#This Row],[TTP2]],CNZergBMX[[#This Row],[TTP3]])</f>
        <v>1.07</v>
      </c>
      <c r="H24" s="4">
        <f>AVERAGE(CNZergBMX[[#This Row],[PRPM]],CNZergBMX[[#This Row],[PRPM2]],CNZergBMX[[#This Row],[PRPM3]])</f>
        <v>192.66666666666666</v>
      </c>
      <c r="I24" s="4">
        <f>AVERAGE(CNZergBMX[[#This Row],[PT]],CNZergBMX[[#This Row],[PT2]],CNZergBMX[[#This Row],[PT3]])</f>
        <v>220.66666666666666</v>
      </c>
      <c r="J24">
        <v>1397</v>
      </c>
      <c r="K24">
        <v>137</v>
      </c>
      <c r="L24" s="11">
        <v>1.03</v>
      </c>
      <c r="M24">
        <v>193</v>
      </c>
      <c r="N24">
        <v>219</v>
      </c>
      <c r="O24">
        <v>1445</v>
      </c>
      <c r="P24">
        <v>108</v>
      </c>
      <c r="Q24">
        <v>1.0900000000000001</v>
      </c>
      <c r="R24">
        <v>191</v>
      </c>
      <c r="S24">
        <v>219</v>
      </c>
      <c r="T24">
        <v>1428</v>
      </c>
      <c r="U24">
        <v>130</v>
      </c>
      <c r="V24">
        <v>1.0900000000000001</v>
      </c>
      <c r="W24">
        <v>194</v>
      </c>
      <c r="X24">
        <v>224</v>
      </c>
    </row>
    <row r="25" spans="1:24" x14ac:dyDescent="0.3">
      <c r="A25" t="s">
        <v>470</v>
      </c>
      <c r="B25" s="8">
        <v>44138</v>
      </c>
      <c r="C25">
        <v>63</v>
      </c>
      <c r="D25" s="4">
        <f>AVERAGE(CNZergBMX[[#This Row],[W]],CNZergBMX[[#This Row],[W2]],CNZergBMX[[#This Row],[W3]])</f>
        <v>1494</v>
      </c>
      <c r="E25" s="9">
        <f>CNZergBMX[[#This Row],[Max W]]/CNZergBMX[[#This Row],[Weight]]</f>
        <v>23.714285714285715</v>
      </c>
      <c r="F25" s="4">
        <f>AVERAGE(CNZergBMX[[#This Row],[OC]],CNZergBMX[[#This Row],[OC2]],CNZergBMX[[#This Row],[OC3]])</f>
        <v>123.66666666666667</v>
      </c>
      <c r="G25" s="10">
        <f>AVERAGE(CNZergBMX[[#This Row],[TTP]],CNZergBMX[[#This Row],[TTP2]],CNZergBMX[[#This Row],[TTP3]])</f>
        <v>1.2233333333333334</v>
      </c>
      <c r="H25" s="4">
        <f>AVERAGE(CNZergBMX[[#This Row],[PRPM]],CNZergBMX[[#This Row],[PRPM2]],CNZergBMX[[#This Row],[PRPM3]])</f>
        <v>197.33333333333334</v>
      </c>
      <c r="I25" s="4">
        <f>AVERAGE(CNZergBMX[[#This Row],[PT]],CNZergBMX[[#This Row],[PT2]],CNZergBMX[[#This Row],[PT3]])</f>
        <v>217.66666666666666</v>
      </c>
      <c r="J25">
        <v>1454</v>
      </c>
      <c r="K25">
        <v>123</v>
      </c>
      <c r="L25" s="11">
        <v>1.26</v>
      </c>
      <c r="M25">
        <v>195</v>
      </c>
      <c r="N25">
        <v>211</v>
      </c>
      <c r="O25">
        <v>1522</v>
      </c>
      <c r="P25">
        <v>124</v>
      </c>
      <c r="Q25">
        <v>1.21</v>
      </c>
      <c r="R25">
        <v>198</v>
      </c>
      <c r="S25">
        <v>217</v>
      </c>
      <c r="T25">
        <v>1506</v>
      </c>
      <c r="U25">
        <v>124</v>
      </c>
      <c r="V25">
        <v>1.2</v>
      </c>
      <c r="W25">
        <v>199</v>
      </c>
      <c r="X25">
        <v>225</v>
      </c>
    </row>
    <row r="26" spans="1:24" x14ac:dyDescent="0.3">
      <c r="A26" t="s">
        <v>470</v>
      </c>
      <c r="B26" s="8">
        <v>44152</v>
      </c>
      <c r="C26">
        <v>63</v>
      </c>
      <c r="D26" s="4">
        <f>AVERAGE(CNZergBMX[[#This Row],[W]],CNZergBMX[[#This Row],[W2]],CNZergBMX[[#This Row],[W3]])</f>
        <v>1481.3333333333333</v>
      </c>
      <c r="E26" s="9">
        <f>CNZergBMX[[#This Row],[Max W]]/CNZergBMX[[#This Row],[Weight]]</f>
        <v>23.513227513227513</v>
      </c>
      <c r="F26" s="4">
        <f>AVERAGE(CNZergBMX[[#This Row],[OC]],CNZergBMX[[#This Row],[OC2]],CNZergBMX[[#This Row],[OC3]])</f>
        <v>124.33333333333333</v>
      </c>
      <c r="G26" s="10">
        <f>AVERAGE(CNZergBMX[[#This Row],[TTP]],CNZergBMX[[#This Row],[TTP2]],CNZergBMX[[#This Row],[TTP3]])</f>
        <v>1.1666666666666667</v>
      </c>
      <c r="H26" s="4">
        <f>AVERAGE(CNZergBMX[[#This Row],[PRPM]],CNZergBMX[[#This Row],[PRPM2]],CNZergBMX[[#This Row],[PRPM3]])</f>
        <v>196.66666666666666</v>
      </c>
      <c r="I26" s="4">
        <f>AVERAGE(CNZergBMX[[#This Row],[PT]],CNZergBMX[[#This Row],[PT2]],CNZergBMX[[#This Row],[PT3]])</f>
        <v>225.66666666666666</v>
      </c>
      <c r="J26">
        <v>1494</v>
      </c>
      <c r="K26">
        <v>124</v>
      </c>
      <c r="L26" s="11">
        <v>1.17</v>
      </c>
      <c r="M26">
        <v>197</v>
      </c>
      <c r="N26">
        <v>219</v>
      </c>
      <c r="O26">
        <v>1477</v>
      </c>
      <c r="P26">
        <v>125</v>
      </c>
      <c r="Q26">
        <v>1.1299999999999999</v>
      </c>
      <c r="R26">
        <v>196</v>
      </c>
      <c r="S26">
        <v>228</v>
      </c>
      <c r="T26">
        <v>1473</v>
      </c>
      <c r="U26">
        <v>124</v>
      </c>
      <c r="V26">
        <v>1.2</v>
      </c>
      <c r="W26">
        <v>197</v>
      </c>
      <c r="X26">
        <v>230</v>
      </c>
    </row>
    <row r="27" spans="1:24" x14ac:dyDescent="0.3">
      <c r="A27" t="s">
        <v>470</v>
      </c>
      <c r="B27" s="8">
        <v>44158</v>
      </c>
      <c r="C27">
        <v>63</v>
      </c>
      <c r="D27" s="4">
        <f>AVERAGE(CNZergBMX[[#This Row],[W]],CNZergBMX[[#This Row],[W2]],CNZergBMX[[#This Row],[W3]])</f>
        <v>1481.5</v>
      </c>
      <c r="E27" s="9">
        <f>CNZergBMX[[#This Row],[Max W]]/CNZergBMX[[#This Row],[Weight]]</f>
        <v>23.515873015873016</v>
      </c>
      <c r="F27" s="4">
        <f>AVERAGE(CNZergBMX[[#This Row],[OC]],CNZergBMX[[#This Row],[OC2]],CNZergBMX[[#This Row],[OC3]])</f>
        <v>125</v>
      </c>
      <c r="G27" s="10">
        <f>AVERAGE(CNZergBMX[[#This Row],[TTP]],CNZergBMX[[#This Row],[TTP2]],CNZergBMX[[#This Row],[TTP3]])</f>
        <v>1.175</v>
      </c>
      <c r="H27" s="4">
        <f>AVERAGE(CNZergBMX[[#This Row],[PRPM]],CNZergBMX[[#This Row],[PRPM2]],CNZergBMX[[#This Row],[PRPM3]])</f>
        <v>220.5</v>
      </c>
      <c r="I27" s="4">
        <f>AVERAGE(CNZergBMX[[#This Row],[PT]],CNZergBMX[[#This Row],[PT2]],CNZergBMX[[#This Row],[PT3]])</f>
        <v>250.5</v>
      </c>
      <c r="J27">
        <v>1467</v>
      </c>
      <c r="K27">
        <v>124</v>
      </c>
      <c r="L27" s="11">
        <v>1.23</v>
      </c>
      <c r="M27">
        <v>220</v>
      </c>
      <c r="N27">
        <v>255</v>
      </c>
      <c r="O27">
        <v>1496</v>
      </c>
      <c r="P27">
        <v>126</v>
      </c>
      <c r="Q27">
        <v>1.1200000000000001</v>
      </c>
      <c r="R27">
        <v>221</v>
      </c>
      <c r="S27">
        <v>246</v>
      </c>
    </row>
    <row r="28" spans="1:24" x14ac:dyDescent="0.3">
      <c r="A28" t="s">
        <v>470</v>
      </c>
      <c r="B28" s="8">
        <v>44166</v>
      </c>
      <c r="C28">
        <v>63</v>
      </c>
      <c r="D28" s="4">
        <f>AVERAGE(CNZergBMX[[#This Row],[W]],CNZergBMX[[#This Row],[W2]],CNZergBMX[[#This Row],[W3]])</f>
        <v>1461.6666666666667</v>
      </c>
      <c r="E28" s="9">
        <f>CNZergBMX[[#This Row],[Max W]]/CNZergBMX[[#This Row],[Weight]]</f>
        <v>23.201058201058203</v>
      </c>
      <c r="F28" s="4">
        <f>AVERAGE(CNZergBMX[[#This Row],[OC]],CNZergBMX[[#This Row],[OC2]],CNZergBMX[[#This Row],[OC3]])</f>
        <v>123.66666666666667</v>
      </c>
      <c r="G28" s="10">
        <f>AVERAGE(CNZergBMX[[#This Row],[TTP]],CNZergBMX[[#This Row],[TTP2]],CNZergBMX[[#This Row],[TTP3]])</f>
        <v>1.1866666666666665</v>
      </c>
      <c r="H28" s="4">
        <f>AVERAGE(CNZergBMX[[#This Row],[PRPM]],CNZergBMX[[#This Row],[PRPM2]],CNZergBMX[[#This Row],[PRPM3]])</f>
        <v>218.66666666666666</v>
      </c>
      <c r="I28" s="4">
        <f>AVERAGE(CNZergBMX[[#This Row],[PT]],CNZergBMX[[#This Row],[PT2]],CNZergBMX[[#This Row],[PT3]])</f>
        <v>216.66666666666666</v>
      </c>
      <c r="J28">
        <v>1480</v>
      </c>
      <c r="K28">
        <v>124</v>
      </c>
      <c r="L28" s="11">
        <v>1.1399999999999999</v>
      </c>
      <c r="M28">
        <v>218</v>
      </c>
      <c r="N28">
        <v>222</v>
      </c>
      <c r="O28">
        <v>1438</v>
      </c>
      <c r="P28">
        <v>124</v>
      </c>
      <c r="Q28">
        <v>1.17</v>
      </c>
      <c r="R28">
        <v>221</v>
      </c>
      <c r="S28">
        <v>218</v>
      </c>
      <c r="T28">
        <v>1467</v>
      </c>
      <c r="U28">
        <v>123</v>
      </c>
      <c r="V28">
        <v>1.25</v>
      </c>
      <c r="W28">
        <v>217</v>
      </c>
      <c r="X28">
        <v>210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BE3B-A2D2-467B-914A-73A8974717DA}">
  <dimension ref="A1:H20"/>
  <sheetViews>
    <sheetView workbookViewId="0">
      <selection activeCell="E28" sqref="E28"/>
    </sheetView>
  </sheetViews>
  <sheetFormatPr defaultColWidth="8.88671875" defaultRowHeight="14.4" x14ac:dyDescent="0.3"/>
  <cols>
    <col min="1" max="1" width="12.6640625" bestFit="1" customWidth="1"/>
    <col min="2" max="2" width="15" bestFit="1" customWidth="1"/>
    <col min="3" max="3" width="13.33203125" bestFit="1" customWidth="1"/>
    <col min="4" max="4" width="15.88671875" bestFit="1" customWidth="1"/>
    <col min="5" max="5" width="22.109375" bestFit="1" customWidth="1"/>
    <col min="6" max="6" width="24" bestFit="1" customWidth="1"/>
    <col min="7" max="7" width="18.6640625" bestFit="1" customWidth="1"/>
    <col min="8" max="8" width="17.6640625" bestFit="1" customWidth="1"/>
    <col min="9" max="23" width="4.88671875" bestFit="1" customWidth="1"/>
    <col min="24" max="24" width="11" bestFit="1" customWidth="1"/>
  </cols>
  <sheetData>
    <row r="1" spans="1:8" x14ac:dyDescent="0.3">
      <c r="A1" s="2" t="s">
        <v>444</v>
      </c>
      <c r="B1" t="s">
        <v>470</v>
      </c>
    </row>
    <row r="3" spans="1:8" x14ac:dyDescent="0.3">
      <c r="A3" s="2" t="s">
        <v>432</v>
      </c>
      <c r="B3" t="s">
        <v>478</v>
      </c>
      <c r="C3" t="s">
        <v>479</v>
      </c>
      <c r="D3" t="s">
        <v>480</v>
      </c>
      <c r="E3" t="s">
        <v>481</v>
      </c>
      <c r="F3" t="s">
        <v>482</v>
      </c>
      <c r="G3" t="s">
        <v>483</v>
      </c>
      <c r="H3" t="s">
        <v>484</v>
      </c>
    </row>
    <row r="4" spans="1:8" x14ac:dyDescent="0.3">
      <c r="A4" s="3" t="s">
        <v>485</v>
      </c>
      <c r="B4">
        <v>65.2</v>
      </c>
      <c r="C4" s="4">
        <v>1443.6666666666667</v>
      </c>
      <c r="D4" s="9">
        <v>22.142126789366053</v>
      </c>
      <c r="E4" s="4">
        <v>132.5</v>
      </c>
      <c r="F4" s="10">
        <v>1</v>
      </c>
      <c r="G4" s="4">
        <v>196.66666666666666</v>
      </c>
      <c r="H4" s="4">
        <v>223</v>
      </c>
    </row>
    <row r="5" spans="1:8" x14ac:dyDescent="0.3">
      <c r="A5" s="13" t="s">
        <v>486</v>
      </c>
      <c r="B5">
        <v>65.2</v>
      </c>
      <c r="C5" s="4">
        <v>1441.6666666666667</v>
      </c>
      <c r="D5" s="9">
        <v>22.111451942740288</v>
      </c>
      <c r="E5" s="4">
        <v>124.33333333333333</v>
      </c>
      <c r="F5" s="10">
        <v>1.1199999999999999</v>
      </c>
      <c r="G5" s="4">
        <v>195.33333333333334</v>
      </c>
      <c r="H5" s="4">
        <v>223</v>
      </c>
    </row>
    <row r="6" spans="1:8" x14ac:dyDescent="0.3">
      <c r="A6" s="13" t="s">
        <v>487</v>
      </c>
      <c r="B6">
        <v>65.2</v>
      </c>
      <c r="C6" s="4">
        <v>1415.3333333333333</v>
      </c>
      <c r="D6" s="9">
        <v>21.707566462167687</v>
      </c>
      <c r="E6" s="4">
        <v>122.66666666666667</v>
      </c>
      <c r="F6" s="10">
        <v>1.1433333333333333</v>
      </c>
      <c r="G6" s="4">
        <v>193</v>
      </c>
      <c r="H6" s="4">
        <v>214.66666666666666</v>
      </c>
    </row>
    <row r="7" spans="1:8" x14ac:dyDescent="0.3">
      <c r="A7" s="13" t="s">
        <v>488</v>
      </c>
      <c r="B7">
        <v>65.2</v>
      </c>
      <c r="C7" s="4">
        <v>1443.6666666666667</v>
      </c>
      <c r="D7" s="9">
        <v>22.142126789366053</v>
      </c>
      <c r="E7" s="4">
        <v>124.33333333333333</v>
      </c>
      <c r="F7" s="10">
        <v>1.2266666666666668</v>
      </c>
      <c r="G7" s="4">
        <v>196.66666666666666</v>
      </c>
      <c r="H7" s="4">
        <v>216.33333333333334</v>
      </c>
    </row>
    <row r="8" spans="1:8" x14ac:dyDescent="0.3">
      <c r="A8" s="13" t="s">
        <v>489</v>
      </c>
      <c r="B8">
        <v>65.2</v>
      </c>
      <c r="C8" s="4">
        <v>1431.6666666666667</v>
      </c>
      <c r="D8" s="9">
        <v>21.958077709611452</v>
      </c>
      <c r="E8" s="4">
        <v>123.66666666666667</v>
      </c>
      <c r="F8" s="10">
        <v>1.1500000000000001</v>
      </c>
      <c r="G8" s="4">
        <v>195</v>
      </c>
      <c r="H8" s="4">
        <v>215.33333333333334</v>
      </c>
    </row>
    <row r="9" spans="1:8" x14ac:dyDescent="0.3">
      <c r="A9" s="13" t="s">
        <v>490</v>
      </c>
      <c r="B9">
        <v>65.2</v>
      </c>
      <c r="C9" s="4">
        <v>1407.3333333333333</v>
      </c>
      <c r="D9" s="9">
        <v>21.584867075664619</v>
      </c>
      <c r="E9" s="4">
        <v>122.66666666666667</v>
      </c>
      <c r="F9" s="10">
        <v>1.18</v>
      </c>
      <c r="G9" s="4">
        <v>193.66666666666666</v>
      </c>
      <c r="H9" s="4">
        <v>211</v>
      </c>
    </row>
    <row r="10" spans="1:8" x14ac:dyDescent="0.3">
      <c r="A10" s="13" t="s">
        <v>491</v>
      </c>
      <c r="B10">
        <v>65.2</v>
      </c>
      <c r="C10" s="4">
        <v>1390</v>
      </c>
      <c r="D10" s="9">
        <v>21.319018404907975</v>
      </c>
      <c r="E10" s="4">
        <v>122</v>
      </c>
      <c r="F10" s="10">
        <v>1.2149999999999999</v>
      </c>
      <c r="G10" s="4">
        <v>193.5</v>
      </c>
      <c r="H10" s="4">
        <v>213</v>
      </c>
    </row>
    <row r="11" spans="1:8" x14ac:dyDescent="0.3">
      <c r="A11" s="13" t="s">
        <v>492</v>
      </c>
      <c r="B11">
        <v>65.2</v>
      </c>
      <c r="C11" s="4">
        <v>1386</v>
      </c>
      <c r="D11" s="9">
        <v>21.257668711656439</v>
      </c>
      <c r="E11" s="4">
        <v>122</v>
      </c>
      <c r="F11" s="10">
        <v>1.2033333333333334</v>
      </c>
      <c r="G11" s="4">
        <v>193.66666666666666</v>
      </c>
      <c r="H11" s="4">
        <v>214.66666666666666</v>
      </c>
    </row>
    <row r="12" spans="1:8" x14ac:dyDescent="0.3">
      <c r="A12" s="13" t="s">
        <v>493</v>
      </c>
      <c r="B12">
        <v>65.2</v>
      </c>
      <c r="C12" s="4">
        <v>1340.5</v>
      </c>
      <c r="D12" s="9">
        <v>20.559815950920246</v>
      </c>
      <c r="E12" s="4">
        <v>132.5</v>
      </c>
      <c r="F12" s="10">
        <v>1.175</v>
      </c>
      <c r="G12" s="4">
        <v>192</v>
      </c>
      <c r="H12" s="4">
        <v>205.5</v>
      </c>
    </row>
    <row r="13" spans="1:8" x14ac:dyDescent="0.3">
      <c r="A13" s="13" t="s">
        <v>494</v>
      </c>
      <c r="B13">
        <v>63.3</v>
      </c>
      <c r="C13" s="4">
        <v>1373</v>
      </c>
      <c r="D13" s="9">
        <v>21.690363349131122</v>
      </c>
      <c r="E13" s="4">
        <v>122.5</v>
      </c>
      <c r="F13" s="10">
        <v>1</v>
      </c>
      <c r="G13" s="4">
        <v>192.5</v>
      </c>
      <c r="H13" s="4">
        <v>214.5</v>
      </c>
    </row>
    <row r="14" spans="1:8" x14ac:dyDescent="0.3">
      <c r="A14" s="3" t="s">
        <v>495</v>
      </c>
      <c r="B14">
        <v>63.5</v>
      </c>
      <c r="C14" s="4">
        <v>1494</v>
      </c>
      <c r="D14" s="9">
        <v>23.714285714285715</v>
      </c>
      <c r="E14" s="4">
        <v>125</v>
      </c>
      <c r="F14" s="10">
        <v>1.1366666666666665</v>
      </c>
      <c r="G14" s="4">
        <v>220.5</v>
      </c>
      <c r="H14" s="4">
        <v>250.5</v>
      </c>
    </row>
    <row r="15" spans="1:8" x14ac:dyDescent="0.3">
      <c r="A15" s="13" t="s">
        <v>496</v>
      </c>
      <c r="B15">
        <v>63.5</v>
      </c>
      <c r="C15" s="4">
        <v>1464</v>
      </c>
      <c r="D15" s="9">
        <v>23.055118110236222</v>
      </c>
      <c r="E15" s="4">
        <v>124.33333333333333</v>
      </c>
      <c r="F15" s="10">
        <v>1.1366666666666665</v>
      </c>
      <c r="G15" s="4">
        <v>196</v>
      </c>
      <c r="H15" s="4">
        <v>222</v>
      </c>
    </row>
    <row r="16" spans="1:8" x14ac:dyDescent="0.3">
      <c r="A16" s="13" t="s">
        <v>497</v>
      </c>
      <c r="B16">
        <v>63</v>
      </c>
      <c r="C16" s="4">
        <v>1494</v>
      </c>
      <c r="D16" s="9">
        <v>23.714285714285715</v>
      </c>
      <c r="E16" s="4">
        <v>123.66666666666667</v>
      </c>
      <c r="F16" s="10">
        <v>1.2233333333333334</v>
      </c>
      <c r="G16" s="4">
        <v>197.33333333333334</v>
      </c>
      <c r="H16" s="4">
        <v>217.66666666666666</v>
      </c>
    </row>
    <row r="17" spans="1:8" x14ac:dyDescent="0.3">
      <c r="A17" s="13" t="s">
        <v>498</v>
      </c>
      <c r="B17">
        <v>63</v>
      </c>
      <c r="C17" s="4">
        <v>1481.3333333333333</v>
      </c>
      <c r="D17" s="9">
        <v>23.513227513227513</v>
      </c>
      <c r="E17" s="4">
        <v>124.33333333333333</v>
      </c>
      <c r="F17" s="10">
        <v>1.1666666666666667</v>
      </c>
      <c r="G17" s="4">
        <v>196.66666666666666</v>
      </c>
      <c r="H17" s="4">
        <v>225.66666666666666</v>
      </c>
    </row>
    <row r="18" spans="1:8" x14ac:dyDescent="0.3">
      <c r="A18" s="13" t="s">
        <v>499</v>
      </c>
      <c r="B18">
        <v>63</v>
      </c>
      <c r="C18" s="4">
        <v>1481.5</v>
      </c>
      <c r="D18" s="9">
        <v>23.515873015873016</v>
      </c>
      <c r="E18" s="4">
        <v>125</v>
      </c>
      <c r="F18" s="10">
        <v>1.175</v>
      </c>
      <c r="G18" s="4">
        <v>220.5</v>
      </c>
      <c r="H18" s="4">
        <v>250.5</v>
      </c>
    </row>
    <row r="19" spans="1:8" x14ac:dyDescent="0.3">
      <c r="A19" s="13" t="s">
        <v>500</v>
      </c>
      <c r="B19">
        <v>63</v>
      </c>
      <c r="C19" s="4">
        <v>1461.6666666666667</v>
      </c>
      <c r="D19" s="9">
        <v>23.201058201058203</v>
      </c>
      <c r="E19" s="4">
        <v>123.66666666666667</v>
      </c>
      <c r="F19" s="10">
        <v>1.1866666666666665</v>
      </c>
      <c r="G19" s="4">
        <v>218.66666666666666</v>
      </c>
      <c r="H19" s="4">
        <v>216.66666666666666</v>
      </c>
    </row>
    <row r="20" spans="1:8" x14ac:dyDescent="0.3">
      <c r="A20" s="3" t="s">
        <v>501</v>
      </c>
      <c r="B20">
        <v>65.2</v>
      </c>
      <c r="C20" s="4">
        <v>1494</v>
      </c>
      <c r="D20" s="9">
        <v>23.714285714285715</v>
      </c>
      <c r="E20" s="4">
        <v>132.5</v>
      </c>
      <c r="F20" s="10">
        <v>1</v>
      </c>
      <c r="G20" s="4">
        <v>220.5</v>
      </c>
      <c r="H20" s="4">
        <v>250.5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43D9-4D1C-4C45-8A6F-CF77A9FBCCAF}">
  <dimension ref="A1:E8"/>
  <sheetViews>
    <sheetView workbookViewId="0">
      <selection activeCell="G7" sqref="G7"/>
    </sheetView>
  </sheetViews>
  <sheetFormatPr defaultRowHeight="14.4" x14ac:dyDescent="0.3"/>
  <cols>
    <col min="1" max="1" width="12.5546875" bestFit="1" customWidth="1"/>
    <col min="2" max="2" width="20.33203125" bestFit="1" customWidth="1"/>
    <col min="3" max="3" width="22.109375" bestFit="1" customWidth="1"/>
    <col min="4" max="4" width="19.109375" bestFit="1" customWidth="1"/>
    <col min="5" max="5" width="17.77734375" bestFit="1" customWidth="1"/>
    <col min="6" max="6" width="15.88671875" bestFit="1" customWidth="1"/>
  </cols>
  <sheetData>
    <row r="1" spans="1:5" x14ac:dyDescent="0.3">
      <c r="A1" s="2" t="s">
        <v>3</v>
      </c>
      <c r="B1" t="s">
        <v>503</v>
      </c>
    </row>
    <row r="2" spans="1:5" x14ac:dyDescent="0.3">
      <c r="A2" s="2" t="s">
        <v>1</v>
      </c>
      <c r="B2" t="s">
        <v>130</v>
      </c>
    </row>
    <row r="4" spans="1:5" x14ac:dyDescent="0.3">
      <c r="A4" s="2" t="s">
        <v>432</v>
      </c>
      <c r="B4" t="s">
        <v>504</v>
      </c>
      <c r="C4" t="s">
        <v>505</v>
      </c>
      <c r="D4" t="s">
        <v>506</v>
      </c>
      <c r="E4" t="s">
        <v>507</v>
      </c>
    </row>
    <row r="5" spans="1:5" x14ac:dyDescent="0.3">
      <c r="A5" s="18">
        <v>44461</v>
      </c>
      <c r="B5">
        <v>1585.3179120903901</v>
      </c>
      <c r="C5">
        <v>112.70637753890399</v>
      </c>
      <c r="D5">
        <v>224.76109566177601</v>
      </c>
      <c r="E5">
        <v>276.01441273338702</v>
      </c>
    </row>
    <row r="6" spans="1:5" x14ac:dyDescent="0.3">
      <c r="A6" s="18">
        <v>45215</v>
      </c>
      <c r="B6">
        <v>1727</v>
      </c>
      <c r="C6">
        <v>114</v>
      </c>
      <c r="D6">
        <v>226</v>
      </c>
      <c r="E6">
        <v>299</v>
      </c>
    </row>
    <row r="7" spans="1:5" x14ac:dyDescent="0.3">
      <c r="A7" s="18">
        <v>45243</v>
      </c>
      <c r="B7">
        <v>1690</v>
      </c>
      <c r="C7">
        <v>117</v>
      </c>
      <c r="D7">
        <v>227</v>
      </c>
      <c r="E7">
        <v>289</v>
      </c>
    </row>
    <row r="8" spans="1:5" x14ac:dyDescent="0.3">
      <c r="A8" s="18" t="s">
        <v>501</v>
      </c>
      <c r="B8">
        <v>1727</v>
      </c>
      <c r="C8">
        <v>117</v>
      </c>
      <c r="D8">
        <v>227</v>
      </c>
      <c r="E8">
        <v>299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65551c38-962b-4cee-924d-ef2df1bb8b98" xsi:nil="true"/>
    <Subactivity xmlns="4f9c820c-e7e2-444d-97ee-45f2b3485c1d" xsi:nil="true"/>
    <BusinessValue xmlns="4f9c820c-e7e2-444d-97ee-45f2b3485c1d" xsi:nil="true"/>
    <PRADateDisposal xmlns="4f9c820c-e7e2-444d-97ee-45f2b3485c1d" xsi:nil="true"/>
    <KeyWords xmlns="15ffb055-6eb4-45a1-bc20-bf2ac0d420da" xsi:nil="true"/>
    <SecurityClassification xmlns="15ffb055-6eb4-45a1-bc20-bf2ac0d420da" xsi:nil="true"/>
    <TaxCatchAll xmlns="ec750ee3-7d64-422f-9b1f-0ca7238893a8" xsi:nil="true"/>
    <PRADate3 xmlns="4f9c820c-e7e2-444d-97ee-45f2b3485c1d" xsi:nil="true"/>
    <PRAText5 xmlns="4f9c820c-e7e2-444d-97ee-45f2b3485c1d" xsi:nil="true"/>
    <Level2 xmlns="c91a514c-9034-4fa3-897a-8352025b26ed">NA</Level2>
    <Activity xmlns="4f9c820c-e7e2-444d-97ee-45f2b3485c1d">Programmes</Activity>
    <AggregationStatus xmlns="4f9c820c-e7e2-444d-97ee-45f2b3485c1d">Normal</AggregationStatus>
    <CategoryValue xmlns="4f9c820c-e7e2-444d-97ee-45f2b3485c1d">NA</CategoryValue>
    <PRADate2 xmlns="4f9c820c-e7e2-444d-97ee-45f2b3485c1d" xsi:nil="true"/>
    <Case xmlns="4f9c820c-e7e2-444d-97ee-45f2b3485c1d">NA</Case>
    <PRAText1 xmlns="4f9c820c-e7e2-444d-97ee-45f2b3485c1d" xsi:nil="true"/>
    <PRAText4 xmlns="4f9c820c-e7e2-444d-97ee-45f2b3485c1d" xsi:nil="true"/>
    <Level3 xmlns="c91a514c-9034-4fa3-897a-8352025b26ed" xsi:nil="true"/>
    <Team xmlns="c91a514c-9034-4fa3-897a-8352025b26ed">NA</Team>
    <Project xmlns="4f9c820c-e7e2-444d-97ee-45f2b3485c1d">NA</Project>
    <lcf76f155ced4ddcb4097134ff3c332f xmlns="65551c38-962b-4cee-924d-ef2df1bb8b98">
      <Terms xmlns="http://schemas.microsoft.com/office/infopath/2007/PartnerControls"/>
    </lcf76f155ced4ddcb4097134ff3c332f>
    <FunctionGroup xmlns="4f9c820c-e7e2-444d-97ee-45f2b3485c1d">NA</FunctionGroup>
    <Function xmlns="4f9c820c-e7e2-444d-97ee-45f2b3485c1d">Athletes and Programmes</Function>
    <RelatedPeople xmlns="4f9c820c-e7e2-444d-97ee-45f2b3485c1d">
      <UserInfo>
        <DisplayName/>
        <AccountId xsi:nil="true"/>
        <AccountType/>
      </UserInfo>
    </RelatedPeople>
    <AggregationNarrative xmlns="725c79e5-42ce-4aa0-ac78-b6418001f0d2" xsi:nil="true"/>
    <Channel xmlns="c91a514c-9034-4fa3-897a-8352025b26ed">NA</Channel>
    <PRAType xmlns="4f9c820c-e7e2-444d-97ee-45f2b3485c1d">Doc</PRAType>
    <PRADate1 xmlns="4f9c820c-e7e2-444d-97ee-45f2b3485c1d" xsi:nil="true"/>
    <DocumentType xmlns="4f9c820c-e7e2-444d-97ee-45f2b3485c1d" xsi:nil="true"/>
    <PRAText3 xmlns="4f9c820c-e7e2-444d-97ee-45f2b3485c1d" xsi:nil="true"/>
    <Year xmlns="c91a514c-9034-4fa3-897a-8352025b26ed">NA</Year>
    <Narrative xmlns="4f9c820c-e7e2-444d-97ee-45f2b3485c1d" xsi:nil="true"/>
    <CategoryName xmlns="4f9c820c-e7e2-444d-97ee-45f2b3485c1d">NA</CategoryName>
    <PRADateTrigger xmlns="4f9c820c-e7e2-444d-97ee-45f2b3485c1d" xsi:nil="true"/>
    <PRAText2 xmlns="4f9c820c-e7e2-444d-97ee-45f2b3485c1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4F1ECC6B2649324CB24C079D2C04510D" ma:contentTypeVersion="57" ma:contentTypeDescription="Create a new document." ma:contentTypeScope="" ma:versionID="fdb4dd73321d822492c182e4485d4497">
  <xsd:schema xmlns:xsd="http://www.w3.org/2001/XMLSchema" xmlns:xs="http://www.w3.org/2001/XMLSchema" xmlns:p="http://schemas.microsoft.com/office/2006/metadata/properties" xmlns:ns2="65551c38-962b-4cee-924d-ef2df1bb8b98" xmlns:ns3="ec750ee3-7d64-422f-9b1f-0ca7238893a8" xmlns:ns4="4f9c820c-e7e2-444d-97ee-45f2b3485c1d" xmlns:ns5="15ffb055-6eb4-45a1-bc20-bf2ac0d420da" xmlns:ns6="725c79e5-42ce-4aa0-ac78-b6418001f0d2" xmlns:ns7="c91a514c-9034-4fa3-897a-8352025b26ed" targetNamespace="http://schemas.microsoft.com/office/2006/metadata/properties" ma:root="true" ma:fieldsID="71f32cedb21a69b7c21921a0429f953f" ns2:_="" ns3:_="" ns4:_="" ns5:_="" ns6:_="" ns7:_="">
    <xsd:import namespace="65551c38-962b-4cee-924d-ef2df1bb8b98"/>
    <xsd:import namespace="ec750ee3-7d64-422f-9b1f-0ca7238893a8"/>
    <xsd:import namespace="4f9c820c-e7e2-444d-97ee-45f2b3485c1d"/>
    <xsd:import namespace="15ffb055-6eb4-45a1-bc20-bf2ac0d420da"/>
    <xsd:import namespace="725c79e5-42ce-4aa0-ac78-b6418001f0d2"/>
    <xsd:import namespace="c91a514c-9034-4fa3-897a-8352025b2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dat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4:DocumentType" minOccurs="0"/>
                <xsd:element ref="ns5:KeyWords" minOccurs="0"/>
                <xsd:element ref="ns4:Narrative" minOccurs="0"/>
                <xsd:element ref="ns5:SecurityClassification" minOccurs="0"/>
                <xsd:element ref="ns4:Subactivity" minOccurs="0"/>
                <xsd:element ref="ns4:Case" minOccurs="0"/>
                <xsd:element ref="ns4:RelatedPeople" minOccurs="0"/>
                <xsd:element ref="ns4:CategoryName" minOccurs="0"/>
                <xsd:element ref="ns4:CategoryValue" minOccurs="0"/>
                <xsd:element ref="ns4:BusinessValue" minOccurs="0"/>
                <xsd:element ref="ns4:FunctionGroup" minOccurs="0"/>
                <xsd:element ref="ns4:Function" minOccurs="0"/>
                <xsd:element ref="ns4:PRAType" minOccurs="0"/>
                <xsd:element ref="ns4:PRADate1" minOccurs="0"/>
                <xsd:element ref="ns4:PRADate2" minOccurs="0"/>
                <xsd:element ref="ns4:PRADate3" minOccurs="0"/>
                <xsd:element ref="ns4:PRADateDisposal" minOccurs="0"/>
                <xsd:element ref="ns4:PRADateTrigger" minOccurs="0"/>
                <xsd:element ref="ns4:PRAText1" minOccurs="0"/>
                <xsd:element ref="ns4:PRAText2" minOccurs="0"/>
                <xsd:element ref="ns4:PRAText3" minOccurs="0"/>
                <xsd:element ref="ns4:PRAText4" minOccurs="0"/>
                <xsd:element ref="ns4:PRAText5" minOccurs="0"/>
                <xsd:element ref="ns4:AggregationStatus" minOccurs="0"/>
                <xsd:element ref="ns4:Project" minOccurs="0"/>
                <xsd:element ref="ns4:Activity" minOccurs="0"/>
                <xsd:element ref="ns6:AggregationNarrative" minOccurs="0"/>
                <xsd:element ref="ns7:Channel" minOccurs="0"/>
                <xsd:element ref="ns7:Team" minOccurs="0"/>
                <xsd:element ref="ns7:Level2" minOccurs="0"/>
                <xsd:element ref="ns7:Level3" minOccurs="0"/>
                <xsd:element ref="ns7:Yea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51c38-962b-4cee-924d-ef2df1bb8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0" nillable="true" ma:displayName="date" ma:format="DateTime" ma:internalName="date">
      <xsd:simpleType>
        <xsd:restriction base="dms:DateTim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7adadd0-3cd1-47f6-acfa-f6b6a774c7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5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50ee3-7d64-422f-9b1f-0ca723889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16dec42-9700-4b76-91cb-52a2f3d81d3c}" ma:internalName="TaxCatchAll" ma:showField="CatchAllData" ma:web="ec750ee3-7d64-422f-9b1f-0ca723889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c820c-e7e2-444d-97ee-45f2b3485c1d" elementFormDefault="qualified">
    <xsd:import namespace="http://schemas.microsoft.com/office/2006/documentManagement/types"/>
    <xsd:import namespace="http://schemas.microsoft.com/office/infopath/2007/PartnerControls"/>
    <xsd:element name="DocumentType" ma:index="26" nillable="true" ma:displayName="Document Type" ma:format="Dropdown" ma:hidden="true" ma:internalName="DocumentType" ma:readOnly="false">
      <xsd:simpleType>
        <xsd:restriction base="dms:Choice">
          <xsd:enumeration value="APPLICATION, certificate, consent related"/>
          <xsd:enumeration value="CONTRACT, Variation, Agreement"/>
          <xsd:enumeration value="CORRESPONDENCE"/>
          <xsd:enumeration value="DRAWING, Plan, Map"/>
          <xsd:enumeration value="EMPLOYMENT related"/>
          <xsd:enumeration value="FINANCIAL related"/>
          <xsd:enumeration value="KNOWLEDGE article"/>
          <xsd:enumeration value="MEETING related"/>
          <xsd:enumeration value="MEMO, Filenote, Email"/>
          <xsd:enumeration value="MODEL, Calculation, Working"/>
          <xsd:enumeration value="PHOTO, Image or Multi-media"/>
          <xsd:enumeration value="PRESENTATION"/>
          <xsd:enumeration value="PUBLICATION material"/>
          <xsd:enumeration value="PURCHASING related"/>
          <xsd:enumeration value="REPORT, or planning related"/>
          <xsd:enumeration value="RULES, Policy, Bylaw, procedure"/>
          <xsd:enumeration value="SERVICE REQUEST related"/>
          <xsd:enumeration value="SPECIFICATION or standard"/>
          <xsd:enumeration value="SUPPLIER PRODUCT Info"/>
          <xsd:enumeration value="TEMPLATE, Checklist or Form"/>
        </xsd:restriction>
      </xsd:simpleType>
    </xsd:element>
    <xsd:element name="Narrative" ma:index="28" nillable="true" ma:displayName="Narrative" ma:hidden="true" ma:internalName="Narrative" ma:readOnly="false">
      <xsd:simpleType>
        <xsd:restriction base="dms:Note"/>
      </xsd:simpleType>
    </xsd:element>
    <xsd:element name="Subactivity" ma:index="30" nillable="true" ma:displayName="Subactivity" ma:default="" ma:hidden="true" ma:internalName="Subactivity" ma:readOnly="false">
      <xsd:simpleType>
        <xsd:restriction base="dms:Text">
          <xsd:maxLength value="255"/>
        </xsd:restriction>
      </xsd:simpleType>
    </xsd:element>
    <xsd:element name="Case" ma:index="31" nillable="true" ma:displayName="Case" ma:default="NA" ma:hidden="true" ma:internalName="Case" ma:readOnly="false">
      <xsd:simpleType>
        <xsd:restriction base="dms:Text">
          <xsd:maxLength value="255"/>
        </xsd:restriction>
      </xsd:simpleType>
    </xsd:element>
    <xsd:element name="RelatedPeople" ma:index="32" nillable="true" ma:displayName="Related People" ma:hidden="true" ma:list="UserInfo" ma:SharePointGroup="0" ma:internalName="RelatedPeople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yName" ma:index="33" nillable="true" ma:displayName="Category 1" ma:default="NA" ma:hidden="true" ma:internalName="CategoryName" ma:readOnly="false">
      <xsd:simpleType>
        <xsd:restriction base="dms:Text">
          <xsd:maxLength value="255"/>
        </xsd:restriction>
      </xsd:simpleType>
    </xsd:element>
    <xsd:element name="CategoryValue" ma:index="34" nillable="true" ma:displayName="Category 2" ma:default="NA" ma:hidden="true" ma:internalName="CategoryValue" ma:readOnly="false">
      <xsd:simpleType>
        <xsd:restriction base="dms:Text">
          <xsd:maxLength value="255"/>
        </xsd:restriction>
      </xsd:simpleType>
    </xsd:element>
    <xsd:element name="BusinessValue" ma:index="35" nillable="true" ma:displayName="Business Value" ma:hidden="true" ma:internalName="BusinessValue" ma:readOnly="false">
      <xsd:simpleType>
        <xsd:restriction base="dms:Text">
          <xsd:maxLength value="255"/>
        </xsd:restriction>
      </xsd:simpleType>
    </xsd:element>
    <xsd:element name="FunctionGroup" ma:index="36" nillable="true" ma:displayName="Function Group" ma:default="NA" ma:hidden="true" ma:internalName="FunctionGroup" ma:readOnly="false">
      <xsd:simpleType>
        <xsd:restriction base="dms:Text">
          <xsd:maxLength value="255"/>
        </xsd:restriction>
      </xsd:simpleType>
    </xsd:element>
    <xsd:element name="Function" ma:index="37" nillable="true" ma:displayName="Function" ma:default="Athletes and Programmes" ma:hidden="true" ma:internalName="Function" ma:readOnly="false">
      <xsd:simpleType>
        <xsd:restriction base="dms:Text">
          <xsd:maxLength value="255"/>
        </xsd:restriction>
      </xsd:simpleType>
    </xsd:element>
    <xsd:element name="PRAType" ma:index="38" nillable="true" ma:displayName="PRA Type" ma:default="Doc" ma:hidden="true" ma:indexed="true" ma:internalName="PRAType">
      <xsd:simpleType>
        <xsd:restriction base="dms:Text">
          <xsd:maxLength value="255"/>
        </xsd:restriction>
      </xsd:simpleType>
    </xsd:element>
    <xsd:element name="PRADate1" ma:index="39" nillable="true" ma:displayName="PRA Date 1" ma:format="DateOnly" ma:hidden="true" ma:internalName="PRADate1" ma:readOnly="false">
      <xsd:simpleType>
        <xsd:restriction base="dms:DateTime"/>
      </xsd:simpleType>
    </xsd:element>
    <xsd:element name="PRADate2" ma:index="40" nillable="true" ma:displayName="PRA Date 2" ma:format="DateOnly" ma:hidden="true" ma:internalName="PRADate2" ma:readOnly="false">
      <xsd:simpleType>
        <xsd:restriction base="dms:DateTime"/>
      </xsd:simpleType>
    </xsd:element>
    <xsd:element name="PRADate3" ma:index="41" nillable="true" ma:displayName="PRA Date 3" ma:format="DateOnly" ma:hidden="true" ma:internalName="PRADate3" ma:readOnly="false">
      <xsd:simpleType>
        <xsd:restriction base="dms:DateTime"/>
      </xsd:simpleType>
    </xsd:element>
    <xsd:element name="PRADateDisposal" ma:index="42" nillable="true" ma:displayName="PRA Date Disposal" ma:format="DateOnly" ma:hidden="true" ma:internalName="PRADateDisposal" ma:readOnly="false">
      <xsd:simpleType>
        <xsd:restriction base="dms:DateTime"/>
      </xsd:simpleType>
    </xsd:element>
    <xsd:element name="PRADateTrigger" ma:index="43" nillable="true" ma:displayName="PRA Date Trigger" ma:format="DateOnly" ma:hidden="true" ma:internalName="PRADateTrigger" ma:readOnly="false">
      <xsd:simpleType>
        <xsd:restriction base="dms:DateTime"/>
      </xsd:simpleType>
    </xsd:element>
    <xsd:element name="PRAText1" ma:index="44" nillable="true" ma:displayName="PRA Text 1" ma:hidden="true" ma:internalName="PRAText1" ma:readOnly="false">
      <xsd:simpleType>
        <xsd:restriction base="dms:Text">
          <xsd:maxLength value="255"/>
        </xsd:restriction>
      </xsd:simpleType>
    </xsd:element>
    <xsd:element name="PRAText2" ma:index="45" nillable="true" ma:displayName="PRA Text 2" ma:hidden="true" ma:internalName="PRAText2" ma:readOnly="false">
      <xsd:simpleType>
        <xsd:restriction base="dms:Text">
          <xsd:maxLength value="255"/>
        </xsd:restriction>
      </xsd:simpleType>
    </xsd:element>
    <xsd:element name="PRAText3" ma:index="46" nillable="true" ma:displayName="PRA Text 3" ma:hidden="true" ma:internalName="PRAText3" ma:readOnly="false">
      <xsd:simpleType>
        <xsd:restriction base="dms:Text">
          <xsd:maxLength value="255"/>
        </xsd:restriction>
      </xsd:simpleType>
    </xsd:element>
    <xsd:element name="PRAText4" ma:index="47" nillable="true" ma:displayName="PRA Text 4" ma:hidden="true" ma:internalName="PRAText4" ma:readOnly="false">
      <xsd:simpleType>
        <xsd:restriction base="dms:Text">
          <xsd:maxLength value="255"/>
        </xsd:restriction>
      </xsd:simpleType>
    </xsd:element>
    <xsd:element name="PRAText5" ma:index="48" nillable="true" ma:displayName="PRA Text 5" ma:hidden="true" ma:internalName="PRAText5" ma:readOnly="false">
      <xsd:simpleType>
        <xsd:restriction base="dms:Text">
          <xsd:maxLength value="255"/>
        </xsd:restriction>
      </xsd:simpleType>
    </xsd:element>
    <xsd:element name="AggregationStatus" ma:index="49" nillable="true" ma:displayName="Aggregation Status" ma:default="Normal" ma:format="Dropdown" ma:hidden="true" ma:internalName="AggregationStatus" ma:readOnly="false">
      <xsd:simpleType>
        <xsd:union memberTypes="dms:Text">
          <xsd:simpleType>
            <xsd:restriction base="dms:Choice">
              <xsd:enumeration value="Delete Soon"/>
              <xsd:enumeration value="Transfer Soon"/>
              <xsd:enumeration value="Appraise Soon"/>
              <xsd:enumeration value="Delete"/>
              <xsd:enumeration value="Transfer"/>
              <xsd:enumeration value="Appraise"/>
              <xsd:enumeration value="Hold"/>
              <xsd:enumeration value="Normal"/>
              <xsd:enumeration value="Archive"/>
            </xsd:restriction>
          </xsd:simpleType>
        </xsd:union>
      </xsd:simpleType>
    </xsd:element>
    <xsd:element name="Project" ma:index="50" nillable="true" ma:displayName="Project" ma:default="NA" ma:hidden="true" ma:internalName="Project" ma:readOnly="false">
      <xsd:simpleType>
        <xsd:restriction base="dms:Text">
          <xsd:maxLength value="255"/>
        </xsd:restriction>
      </xsd:simpleType>
    </xsd:element>
    <xsd:element name="Activity" ma:index="51" nillable="true" ma:displayName="Activity" ma:default="Programmes" ma:hidden="true" ma:internalName="Activity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b055-6eb4-45a1-bc20-bf2ac0d420da" elementFormDefault="qualified">
    <xsd:import namespace="http://schemas.microsoft.com/office/2006/documentManagement/types"/>
    <xsd:import namespace="http://schemas.microsoft.com/office/infopath/2007/PartnerControls"/>
    <xsd:element name="KeyWords" ma:index="27" nillable="true" ma:displayName="Key Words" ma:hidden="true" ma:internalName="KeyWords" ma:readOnly="false">
      <xsd:simpleType>
        <xsd:restriction base="dms:Note"/>
      </xsd:simpleType>
    </xsd:element>
    <xsd:element name="SecurityClassification" ma:index="29" nillable="true" ma:displayName="Security Classification" ma:format="Dropdown" ma:hidden="true" ma:internalName="SecurityClassification" ma:readOnly="false">
      <xsd:simpleType>
        <xsd:restriction base="dms:Choice">
          <xsd:enumeration value="Confidential"/>
          <xsd:enumeration value="Restricted"/>
          <xsd:enumeration value="Unrestric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c79e5-42ce-4aa0-ac78-b6418001f0d2" elementFormDefault="qualified">
    <xsd:import namespace="http://schemas.microsoft.com/office/2006/documentManagement/types"/>
    <xsd:import namespace="http://schemas.microsoft.com/office/infopath/2007/PartnerControls"/>
    <xsd:element name="AggregationNarrative" ma:index="52" nillable="true" ma:displayName="Aggregation Narrative" ma:hidden="true" ma:internalName="AggregationNarrative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a514c-9034-4fa3-897a-8352025b26ed" elementFormDefault="qualified">
    <xsd:import namespace="http://schemas.microsoft.com/office/2006/documentManagement/types"/>
    <xsd:import namespace="http://schemas.microsoft.com/office/infopath/2007/PartnerControls"/>
    <xsd:element name="Channel" ma:index="53" nillable="true" ma:displayName="Channel" ma:default="NA" ma:hidden="true" ma:internalName="Channel" ma:readOnly="false">
      <xsd:simpleType>
        <xsd:restriction base="dms:Text">
          <xsd:maxLength value="255"/>
        </xsd:restriction>
      </xsd:simpleType>
    </xsd:element>
    <xsd:element name="Team" ma:index="54" nillable="true" ma:displayName="Team" ma:default="NA" ma:hidden="true" ma:internalName="Team" ma:readOnly="false">
      <xsd:simpleType>
        <xsd:restriction base="dms:Text">
          <xsd:maxLength value="255"/>
        </xsd:restriction>
      </xsd:simpleType>
    </xsd:element>
    <xsd:element name="Level2" ma:index="55" nillable="true" ma:displayName="Level2" ma:default="NA" ma:hidden="true" ma:internalName="Level2" ma:readOnly="false">
      <xsd:simpleType>
        <xsd:restriction base="dms:Text">
          <xsd:maxLength value="255"/>
        </xsd:restriction>
      </xsd:simpleType>
    </xsd:element>
    <xsd:element name="Level3" ma:index="56" nillable="true" ma:displayName="Level3" ma:hidden="true" ma:internalName="Level3" ma:readOnly="false">
      <xsd:simpleType>
        <xsd:restriction base="dms:Text">
          <xsd:maxLength value="255"/>
        </xsd:restriction>
      </xsd:simpleType>
    </xsd:element>
    <xsd:element name="Year" ma:index="57" nillable="true" ma:displayName="Year" ma:default="NA" ma:hidden="true" ma:internalName="Year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84DD3F-731D-4838-B255-04FE1B5751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299D74-EB80-44C7-BCE5-9082CDA9BB9A}">
  <ds:schemaRefs>
    <ds:schemaRef ds:uri="http://schemas.microsoft.com/office/2006/metadata/properties"/>
    <ds:schemaRef ds:uri="http://schemas.microsoft.com/office/infopath/2007/PartnerControls"/>
    <ds:schemaRef ds:uri="65551c38-962b-4cee-924d-ef2df1bb8b98"/>
  </ds:schemaRefs>
</ds:datastoreItem>
</file>

<file path=customXml/itemProps3.xml><?xml version="1.0" encoding="utf-8"?>
<ds:datastoreItem xmlns:ds="http://schemas.openxmlformats.org/officeDocument/2006/customXml" ds:itemID="{6150698A-77BD-4EA1-904D-8BBB8B46F5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HPSNZ Erg</vt:lpstr>
      <vt:lpstr>CNZ Erg_Track Sprint</vt:lpstr>
      <vt:lpstr>Track Pivot</vt:lpstr>
      <vt:lpstr>CNZ Erg_BMX</vt:lpstr>
      <vt:lpstr>BMX Pivot</vt:lpstr>
      <vt:lpstr>HPSNZErg 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Jamie.Douglas@hpsnz.org.nz</dc:creator>
  <cp:keywords/>
  <dc:description/>
  <cp:lastModifiedBy>Jamie Douglas</cp:lastModifiedBy>
  <cp:revision/>
  <dcterms:created xsi:type="dcterms:W3CDTF">2018-08-15T01:39:46Z</dcterms:created>
  <dcterms:modified xsi:type="dcterms:W3CDTF">2023-11-13T01:13:42Z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0x0101004F1ECC6B2649324CB24C079D2C04510D</vt:lpwstr>
  </property>
</Properties>
</file>