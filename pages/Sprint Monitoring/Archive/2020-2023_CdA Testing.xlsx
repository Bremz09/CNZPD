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yclingnz.sharepoint.com/sites/SprintStaff/Shared Documents/Sprint Program/Monitoring/Archive/"/>
    </mc:Choice>
  </mc:AlternateContent>
  <xr:revisionPtr revIDLastSave="1040" documentId="13_ncr:1_{2315E9F5-EC69-4CF0-9274-1B775F3B1466}" xr6:coauthVersionLast="47" xr6:coauthVersionMax="47" xr10:uidLastSave="{674A24C2-50F3-4A54-8764-003A111C8996}"/>
  <bookViews>
    <workbookView xWindow="-108" yWindow="-108" windowWidth="23256" windowHeight="14160" xr2:uid="{A9123EC9-0D46-4BC4-B0B9-A9AD4CC24CE9}"/>
  </bookViews>
  <sheets>
    <sheet name="22.07.20" sheetId="1" r:id="rId1"/>
    <sheet name="7.12.20" sheetId="2" r:id="rId2"/>
    <sheet name="9.01.21" sheetId="3" r:id="rId3"/>
    <sheet name="12.11.21" sheetId="4" r:id="rId4"/>
    <sheet name="04.03.22" sheetId="5" r:id="rId5"/>
    <sheet name="17.10.22" sheetId="6" r:id="rId6"/>
    <sheet name="26.10.22" sheetId="7" r:id="rId7"/>
    <sheet name="16.11.22" sheetId="8" r:id="rId8"/>
    <sheet name="27.09.23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2" i="9" l="1"/>
  <c r="AR22" i="9"/>
  <c r="AI22" i="9"/>
  <c r="AJ22" i="9"/>
  <c r="AK22" i="9" s="1"/>
  <c r="AB22" i="9"/>
  <c r="AC22" i="9"/>
  <c r="U22" i="9"/>
  <c r="V22" i="9"/>
  <c r="W22" i="9" s="1"/>
  <c r="N22" i="9"/>
  <c r="O22" i="9"/>
  <c r="G22" i="9"/>
  <c r="H22" i="9"/>
  <c r="I22" i="9" s="1"/>
  <c r="P22" i="9" l="1"/>
  <c r="AS22" i="9"/>
  <c r="AD22" i="9"/>
  <c r="AR21" i="9"/>
  <c r="AQ21" i="9"/>
  <c r="AJ21" i="9"/>
  <c r="AI21" i="9"/>
  <c r="AC21" i="9"/>
  <c r="AB21" i="9"/>
  <c r="V21" i="9"/>
  <c r="U21" i="9"/>
  <c r="O21" i="9"/>
  <c r="N21" i="9"/>
  <c r="H21" i="9"/>
  <c r="G21" i="9"/>
  <c r="AR20" i="9"/>
  <c r="AQ20" i="9"/>
  <c r="AJ20" i="9"/>
  <c r="AI20" i="9"/>
  <c r="AC20" i="9"/>
  <c r="AB20" i="9"/>
  <c r="V20" i="9"/>
  <c r="U20" i="9"/>
  <c r="O20" i="9"/>
  <c r="N20" i="9"/>
  <c r="H20" i="9"/>
  <c r="G20" i="9"/>
  <c r="AR19" i="9"/>
  <c r="AQ19" i="9"/>
  <c r="AJ19" i="9"/>
  <c r="AI19" i="9"/>
  <c r="AC19" i="9"/>
  <c r="AB19" i="9"/>
  <c r="V19" i="9"/>
  <c r="U19" i="9"/>
  <c r="O19" i="9"/>
  <c r="N19" i="9"/>
  <c r="H19" i="9"/>
  <c r="G19" i="9"/>
  <c r="AR18" i="9"/>
  <c r="AQ18" i="9"/>
  <c r="AJ18" i="9"/>
  <c r="AI18" i="9"/>
  <c r="AC18" i="9"/>
  <c r="AB18" i="9"/>
  <c r="V18" i="9"/>
  <c r="U18" i="9"/>
  <c r="O18" i="9"/>
  <c r="N18" i="9"/>
  <c r="H18" i="9"/>
  <c r="G18" i="9"/>
  <c r="AR17" i="9"/>
  <c r="AQ17" i="9"/>
  <c r="AJ17" i="9"/>
  <c r="AJ24" i="9" s="1"/>
  <c r="AI17" i="9"/>
  <c r="AI24" i="9" s="1"/>
  <c r="AC17" i="9"/>
  <c r="AC24" i="9" s="1"/>
  <c r="AB17" i="9"/>
  <c r="AB24" i="9" s="1"/>
  <c r="V17" i="9"/>
  <c r="U17" i="9"/>
  <c r="U24" i="9" s="1"/>
  <c r="O17" i="9"/>
  <c r="N17" i="9"/>
  <c r="N24" i="9" s="1"/>
  <c r="H17" i="9"/>
  <c r="G17" i="9"/>
  <c r="G24" i="9" s="1"/>
  <c r="AJ11" i="9"/>
  <c r="AI11" i="9"/>
  <c r="AJ10" i="9"/>
  <c r="AI10" i="9"/>
  <c r="AJ9" i="9"/>
  <c r="AI9" i="9"/>
  <c r="AJ8" i="9"/>
  <c r="AI8" i="9"/>
  <c r="AJ7" i="9"/>
  <c r="AI7" i="9"/>
  <c r="AR11" i="9"/>
  <c r="AQ11" i="9"/>
  <c r="AR10" i="9"/>
  <c r="AQ10" i="9"/>
  <c r="AR9" i="9"/>
  <c r="AQ9" i="9"/>
  <c r="AR8" i="9"/>
  <c r="AQ8" i="9"/>
  <c r="AR7" i="9"/>
  <c r="AQ7" i="9"/>
  <c r="AC11" i="9"/>
  <c r="AB11" i="9"/>
  <c r="AC10" i="9"/>
  <c r="AB10" i="9"/>
  <c r="AC9" i="9"/>
  <c r="AB9" i="9"/>
  <c r="AC8" i="9"/>
  <c r="AB8" i="9"/>
  <c r="AC7" i="9"/>
  <c r="AB7" i="9"/>
  <c r="V11" i="9"/>
  <c r="U11" i="9"/>
  <c r="V10" i="9"/>
  <c r="U10" i="9"/>
  <c r="V9" i="9"/>
  <c r="U9" i="9"/>
  <c r="V8" i="9"/>
  <c r="U8" i="9"/>
  <c r="V7" i="9"/>
  <c r="U7" i="9"/>
  <c r="O11" i="9"/>
  <c r="N11" i="9"/>
  <c r="O10" i="9"/>
  <c r="N10" i="9"/>
  <c r="O9" i="9"/>
  <c r="N9" i="9"/>
  <c r="O8" i="9"/>
  <c r="N8" i="9"/>
  <c r="O7" i="9"/>
  <c r="N7" i="9"/>
  <c r="G10" i="9"/>
  <c r="H10" i="9"/>
  <c r="G11" i="9"/>
  <c r="H11" i="9"/>
  <c r="H9" i="9"/>
  <c r="G9" i="9"/>
  <c r="H8" i="9"/>
  <c r="G8" i="9"/>
  <c r="H7" i="9"/>
  <c r="G7" i="9"/>
  <c r="E15" i="8"/>
  <c r="V24" i="9" l="1"/>
  <c r="H13" i="9"/>
  <c r="H24" i="9"/>
  <c r="AI13" i="9"/>
  <c r="AJ13" i="9"/>
  <c r="P21" i="9"/>
  <c r="P17" i="9"/>
  <c r="O24" i="9"/>
  <c r="AK9" i="9"/>
  <c r="U13" i="9"/>
  <c r="U26" i="9" s="1"/>
  <c r="AB13" i="9"/>
  <c r="AB26" i="9" s="1"/>
  <c r="V13" i="9"/>
  <c r="N13" i="9"/>
  <c r="N26" i="9" s="1"/>
  <c r="AC13" i="9"/>
  <c r="O13" i="9"/>
  <c r="G13" i="9"/>
  <c r="AI28" i="9"/>
  <c r="AI27" i="9"/>
  <c r="AB28" i="9"/>
  <c r="AB27" i="9"/>
  <c r="U28" i="9"/>
  <c r="U27" i="9"/>
  <c r="N27" i="9"/>
  <c r="N28" i="9"/>
  <c r="P19" i="9"/>
  <c r="AI26" i="9"/>
  <c r="G26" i="9"/>
  <c r="G27" i="9"/>
  <c r="G28" i="9"/>
  <c r="I19" i="9"/>
  <c r="W17" i="9"/>
  <c r="W18" i="9"/>
  <c r="W20" i="9"/>
  <c r="W21" i="9"/>
  <c r="P20" i="9"/>
  <c r="W19" i="9"/>
  <c r="I18" i="9"/>
  <c r="AS19" i="9"/>
  <c r="AK17" i="9"/>
  <c r="AK18" i="9"/>
  <c r="P18" i="9"/>
  <c r="I20" i="9"/>
  <c r="I21" i="9"/>
  <c r="AD17" i="9"/>
  <c r="AD18" i="9"/>
  <c r="AD20" i="9"/>
  <c r="I17" i="9"/>
  <c r="AS17" i="9"/>
  <c r="AK20" i="9"/>
  <c r="AK21" i="9"/>
  <c r="AK19" i="9"/>
  <c r="AS18" i="9"/>
  <c r="AS21" i="9"/>
  <c r="AS20" i="9"/>
  <c r="AD21" i="9"/>
  <c r="AD19" i="9"/>
  <c r="AK10" i="9"/>
  <c r="AK11" i="9"/>
  <c r="AK7" i="9"/>
  <c r="AK8" i="9"/>
  <c r="AS8" i="9"/>
  <c r="AS9" i="9"/>
  <c r="AD9" i="9"/>
  <c r="W10" i="9"/>
  <c r="AD8" i="9"/>
  <c r="W8" i="9"/>
  <c r="AD10" i="9"/>
  <c r="P10" i="9"/>
  <c r="W11" i="9"/>
  <c r="AS7" i="9"/>
  <c r="AS11" i="9"/>
  <c r="W7" i="9"/>
  <c r="AS10" i="9"/>
  <c r="P8" i="9"/>
  <c r="AD7" i="9"/>
  <c r="AD11" i="9"/>
  <c r="W9" i="9"/>
  <c r="P11" i="9"/>
  <c r="I10" i="9"/>
  <c r="P7" i="9"/>
  <c r="P9" i="9"/>
  <c r="I11" i="9"/>
  <c r="I9" i="9"/>
  <c r="I8" i="9"/>
  <c r="I7" i="9"/>
  <c r="Z5" i="8"/>
  <c r="S5" i="8"/>
  <c r="M5" i="8"/>
  <c r="G5" i="8"/>
  <c r="H2" i="8"/>
  <c r="G2" i="8"/>
  <c r="Z9" i="7"/>
  <c r="S9" i="7"/>
  <c r="M9" i="7"/>
  <c r="G9" i="7"/>
  <c r="Z8" i="7"/>
  <c r="S8" i="7"/>
  <c r="M8" i="7"/>
  <c r="G8" i="7"/>
  <c r="Z7" i="7"/>
  <c r="S7" i="7"/>
  <c r="M7" i="7"/>
  <c r="G7" i="7"/>
  <c r="H4" i="7"/>
  <c r="G4" i="7"/>
  <c r="H3" i="7"/>
  <c r="G3" i="7"/>
  <c r="H2" i="7"/>
  <c r="G2" i="7"/>
  <c r="G21" i="6"/>
  <c r="H21" i="6"/>
  <c r="I21" i="6" s="1"/>
  <c r="G22" i="6"/>
  <c r="H22" i="6"/>
  <c r="I22" i="6" s="1"/>
  <c r="G23" i="6"/>
  <c r="H23" i="6"/>
  <c r="H20" i="6"/>
  <c r="G20" i="6"/>
  <c r="H19" i="6"/>
  <c r="G19" i="6"/>
  <c r="H18" i="6"/>
  <c r="G18" i="6"/>
  <c r="F5" i="3"/>
  <c r="G5" i="3"/>
  <c r="H5" i="3" s="1"/>
  <c r="I13" i="9" l="1"/>
  <c r="AD13" i="9"/>
  <c r="AK24" i="9"/>
  <c r="W13" i="9"/>
  <c r="AK13" i="9"/>
  <c r="I24" i="9"/>
  <c r="P13" i="9"/>
  <c r="AD24" i="9"/>
  <c r="P24" i="9"/>
  <c r="W24" i="9"/>
  <c r="I2" i="8"/>
  <c r="I3" i="7"/>
  <c r="I4" i="7"/>
  <c r="I2" i="7"/>
  <c r="I23" i="6"/>
  <c r="I19" i="6"/>
  <c r="I20" i="6"/>
  <c r="I18" i="6"/>
  <c r="Y9" i="6" l="1"/>
  <c r="R9" i="6"/>
  <c r="L9" i="6"/>
  <c r="F9" i="6"/>
  <c r="Y8" i="6"/>
  <c r="R8" i="6"/>
  <c r="L8" i="6"/>
  <c r="F8" i="6"/>
  <c r="Y7" i="6"/>
  <c r="R7" i="6"/>
  <c r="L7" i="6"/>
  <c r="F7" i="6"/>
  <c r="G4" i="6"/>
  <c r="F4" i="6"/>
  <c r="G3" i="6"/>
  <c r="F3" i="6"/>
  <c r="G2" i="6"/>
  <c r="F2" i="6"/>
  <c r="Y10" i="5"/>
  <c r="Y11" i="5"/>
  <c r="Y12" i="5"/>
  <c r="Y13" i="5"/>
  <c r="Y9" i="5"/>
  <c r="H3" i="6" l="1"/>
  <c r="H4" i="6"/>
  <c r="H2" i="6"/>
  <c r="R10" i="5"/>
  <c r="R11" i="5"/>
  <c r="R12" i="5"/>
  <c r="R13" i="5"/>
  <c r="L10" i="5"/>
  <c r="L11" i="5"/>
  <c r="L12" i="5"/>
  <c r="L13" i="5"/>
  <c r="F10" i="5"/>
  <c r="F11" i="5"/>
  <c r="F12" i="5"/>
  <c r="F13" i="5"/>
  <c r="F3" i="5"/>
  <c r="G3" i="5"/>
  <c r="H3" i="5" s="1"/>
  <c r="F4" i="5"/>
  <c r="G4" i="5"/>
  <c r="H4" i="5" s="1"/>
  <c r="F5" i="5"/>
  <c r="G5" i="5"/>
  <c r="H5" i="5" s="1"/>
  <c r="F6" i="5"/>
  <c r="G6" i="5"/>
  <c r="R9" i="5"/>
  <c r="L9" i="5"/>
  <c r="F9" i="5"/>
  <c r="G2" i="5"/>
  <c r="F2" i="5"/>
  <c r="N9" i="4"/>
  <c r="J13" i="4"/>
  <c r="J12" i="4"/>
  <c r="J11" i="4"/>
  <c r="J10" i="4"/>
  <c r="J9" i="4"/>
  <c r="G13" i="4"/>
  <c r="G12" i="4"/>
  <c r="G11" i="4"/>
  <c r="G10" i="4"/>
  <c r="G9" i="4"/>
  <c r="D10" i="4"/>
  <c r="D11" i="4"/>
  <c r="D12" i="4"/>
  <c r="D13" i="4"/>
  <c r="D9" i="4"/>
  <c r="G6" i="4"/>
  <c r="F6" i="4"/>
  <c r="G5" i="4"/>
  <c r="F5" i="4"/>
  <c r="G4" i="4"/>
  <c r="F4" i="4"/>
  <c r="G3" i="4"/>
  <c r="F3" i="4"/>
  <c r="G2" i="4"/>
  <c r="F2" i="4"/>
  <c r="F3" i="3"/>
  <c r="F2" i="3"/>
  <c r="F4" i="3"/>
  <c r="F6" i="3"/>
  <c r="F7" i="3"/>
  <c r="F8" i="3"/>
  <c r="G8" i="3"/>
  <c r="G7" i="3"/>
  <c r="G6" i="3"/>
  <c r="G4" i="3"/>
  <c r="G2" i="3"/>
  <c r="G3" i="3"/>
  <c r="H3" i="3" l="1"/>
  <c r="H8" i="3"/>
  <c r="H6" i="5"/>
  <c r="H2" i="5"/>
  <c r="H6" i="4"/>
  <c r="H2" i="4"/>
  <c r="H4" i="4"/>
  <c r="H3" i="4"/>
  <c r="H5" i="4"/>
  <c r="H2" i="3"/>
  <c r="H6" i="3"/>
  <c r="H4" i="3"/>
  <c r="H7" i="3"/>
  <c r="O7" i="1"/>
  <c r="N7" i="1"/>
  <c r="O6" i="1"/>
  <c r="P6" i="1" s="1"/>
  <c r="N6" i="1"/>
  <c r="O5" i="1"/>
  <c r="N5" i="1"/>
  <c r="O4" i="1"/>
  <c r="N4" i="1"/>
  <c r="O3" i="1"/>
  <c r="N3" i="1"/>
  <c r="P4" i="1" l="1"/>
  <c r="P3" i="1"/>
  <c r="P5" i="1"/>
  <c r="P7" i="1"/>
  <c r="F10" i="2"/>
  <c r="G10" i="2"/>
  <c r="H10" i="2" s="1"/>
  <c r="F4" i="2"/>
  <c r="G4" i="2"/>
  <c r="H4" i="2" s="1"/>
  <c r="F5" i="2"/>
  <c r="G5" i="2"/>
  <c r="F6" i="2"/>
  <c r="G6" i="2"/>
  <c r="F7" i="2"/>
  <c r="G7" i="2"/>
  <c r="H7" i="2" s="1"/>
  <c r="F8" i="2"/>
  <c r="G8" i="2"/>
  <c r="H8" i="2" s="1"/>
  <c r="F9" i="2"/>
  <c r="G9" i="2"/>
  <c r="H9" i="2" l="1"/>
  <c r="H6" i="2"/>
  <c r="H5" i="2"/>
  <c r="G3" i="2"/>
  <c r="F3" i="2"/>
  <c r="G2" i="2"/>
  <c r="F2" i="2"/>
  <c r="H3" i="2" l="1"/>
  <c r="H2" i="2"/>
  <c r="G4" i="1"/>
  <c r="G5" i="1"/>
  <c r="H5" i="1" s="1"/>
  <c r="G6" i="1"/>
  <c r="H6" i="1" s="1"/>
  <c r="G7" i="1"/>
  <c r="H7" i="1" s="1"/>
  <c r="G3" i="1"/>
  <c r="H3" i="1" s="1"/>
  <c r="F4" i="1"/>
  <c r="F5" i="1"/>
  <c r="F6" i="1"/>
  <c r="F7" i="1"/>
  <c r="F3" i="1"/>
  <c r="H4" i="1" l="1"/>
</calcChain>
</file>

<file path=xl/sharedStrings.xml><?xml version="1.0" encoding="utf-8"?>
<sst xmlns="http://schemas.openxmlformats.org/spreadsheetml/2006/main" count="380" uniqueCount="74">
  <si>
    <t>CdA</t>
  </si>
  <si>
    <t>Time</t>
  </si>
  <si>
    <t>T1</t>
  </si>
  <si>
    <t>T2</t>
  </si>
  <si>
    <t>T3</t>
  </si>
  <si>
    <t>T4</t>
  </si>
  <si>
    <t>Mean</t>
  </si>
  <si>
    <t>SD</t>
  </si>
  <si>
    <t>CV%</t>
  </si>
  <si>
    <t>Sam Webster</t>
  </si>
  <si>
    <t>Ethan Mitchell</t>
  </si>
  <si>
    <t>Sam Dakin</t>
  </si>
  <si>
    <t>Olivia Podmore</t>
  </si>
  <si>
    <t>Shaane Fulton</t>
  </si>
  <si>
    <t>Protocol: F250m</t>
  </si>
  <si>
    <t>Callum Saunders</t>
  </si>
  <si>
    <t>Jordan Castle</t>
  </si>
  <si>
    <t>Ellesse Andrews</t>
  </si>
  <si>
    <t>Emma Cumming</t>
  </si>
  <si>
    <t>Tahlay Christie</t>
  </si>
  <si>
    <t>SD/TE</t>
  </si>
  <si>
    <t>CV/TE%</t>
  </si>
  <si>
    <t>CS</t>
  </si>
  <si>
    <t>EM</t>
  </si>
  <si>
    <t>JC</t>
  </si>
  <si>
    <t>OP</t>
  </si>
  <si>
    <t>SF</t>
  </si>
  <si>
    <t>TC</t>
  </si>
  <si>
    <t>BK</t>
  </si>
  <si>
    <t>PC</t>
  </si>
  <si>
    <t>OK</t>
  </si>
  <si>
    <t>P1</t>
  </si>
  <si>
    <t>P2</t>
  </si>
  <si>
    <t>Av</t>
  </si>
  <si>
    <t>C1</t>
  </si>
  <si>
    <t>C2</t>
  </si>
  <si>
    <t>Gear</t>
  </si>
  <si>
    <t>D1</t>
  </si>
  <si>
    <t>D2</t>
  </si>
  <si>
    <t>Average</t>
  </si>
  <si>
    <t>EA</t>
  </si>
  <si>
    <t>P3</t>
  </si>
  <si>
    <t>P4</t>
  </si>
  <si>
    <t>C3</t>
  </si>
  <si>
    <t>C4</t>
  </si>
  <si>
    <t>Density1</t>
  </si>
  <si>
    <t>Density2</t>
  </si>
  <si>
    <t>Density3</t>
  </si>
  <si>
    <t>Density4</t>
  </si>
  <si>
    <t>av</t>
  </si>
  <si>
    <t>Bmass</t>
  </si>
  <si>
    <t>RP</t>
  </si>
  <si>
    <t>Protocol: MPSH375m</t>
  </si>
  <si>
    <t>M: 72km/h</t>
  </si>
  <si>
    <t>F: 65 km/h</t>
  </si>
  <si>
    <t>Power</t>
  </si>
  <si>
    <t>Cadence</t>
  </si>
  <si>
    <t>Mean Speed</t>
  </si>
  <si>
    <t>Delivery Speed</t>
  </si>
  <si>
    <t>CdA1</t>
  </si>
  <si>
    <t>CdA2</t>
  </si>
  <si>
    <t>CdA3</t>
  </si>
  <si>
    <t>CdA4</t>
  </si>
  <si>
    <t>AvSp1</t>
  </si>
  <si>
    <t>AvSp2</t>
  </si>
  <si>
    <t>AvSp3</t>
  </si>
  <si>
    <t>AvSp4</t>
  </si>
  <si>
    <t>EntrySp1</t>
  </si>
  <si>
    <t>EntrySp2</t>
  </si>
  <si>
    <t>EntrySp3</t>
  </si>
  <si>
    <t>EntrySp4</t>
  </si>
  <si>
    <t>%Diff</t>
  </si>
  <si>
    <t>p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</si>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</sst>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1" xfId="0" applyBorder="1"/>
    <xf numFmtId="14" fontId="0" fillId="0" borderId="2" xfId="0" applyNumberFormat="1" applyBorder="1"/>
    <xf numFmtId="0" fontId="0" fillId="2" borderId="1" xfId="0" applyFill="1" applyBorder="1"/>
    <xf numFmtId="14" fontId="0" fillId="2" borderId="2" xfId="0" applyNumberFormat="1" applyFill="1" applyBorder="1"/>
    <xf numFmtId="0" fontId="0" fillId="0" borderId="3" xfId="0" applyBorder="1"/>
    <xf numFmtId="165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3" fillId="0" borderId="10" xfId="0" applyFont="1" applyBorder="1"/>
    <xf numFmtId="164" fontId="3" fillId="0" borderId="10" xfId="0" applyNumberFormat="1" applyFont="1" applyBorder="1" applyAlignment="1">
      <alignment horizontal="center"/>
    </xf>
    <xf numFmtId="0" fontId="2" fillId="3" borderId="10" xfId="1" applyBorder="1" applyAlignment="1">
      <alignment horizontal="center"/>
    </xf>
    <xf numFmtId="0" fontId="2" fillId="3" borderId="11" xfId="1" applyBorder="1" applyAlignment="1">
      <alignment horizontal="center"/>
    </xf>
    <xf numFmtId="164" fontId="2" fillId="3" borderId="0" xfId="1" applyNumberFormat="1" applyBorder="1" applyAlignment="1">
      <alignment horizontal="center"/>
    </xf>
    <xf numFmtId="165" fontId="2" fillId="3" borderId="0" xfId="1" applyNumberFormat="1" applyBorder="1" applyAlignment="1">
      <alignment horizontal="center"/>
    </xf>
    <xf numFmtId="2" fontId="2" fillId="3" borderId="5" xfId="1" applyNumberFormat="1" applyBorder="1" applyAlignment="1">
      <alignment horizontal="center"/>
    </xf>
    <xf numFmtId="164" fontId="2" fillId="3" borderId="7" xfId="1" applyNumberFormat="1" applyBorder="1" applyAlignment="1">
      <alignment horizontal="center"/>
    </xf>
    <xf numFmtId="165" fontId="2" fillId="3" borderId="7" xfId="1" applyNumberFormat="1" applyBorder="1" applyAlignment="1">
      <alignment horizontal="center"/>
    </xf>
    <xf numFmtId="2" fontId="2" fillId="3" borderId="8" xfId="1" applyNumberForma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3" fillId="0" borderId="0" xfId="0" applyFont="1" applyAlignment="1">
      <alignment horizontal="center"/>
    </xf>
    <xf numFmtId="0" fontId="3" fillId="0" borderId="0" xfId="0" applyFont="1"/>
    <xf numFmtId="166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2" fillId="3" borderId="15" xfId="1" applyNumberFormat="1" applyBorder="1" applyAlignment="1">
      <alignment horizontal="center"/>
    </xf>
    <xf numFmtId="165" fontId="2" fillId="3" borderId="15" xfId="1" applyNumberFormat="1" applyBorder="1" applyAlignment="1">
      <alignment horizontal="center"/>
    </xf>
    <xf numFmtId="2" fontId="2" fillId="3" borderId="16" xfId="1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7" xfId="0" applyNumberFormat="1" applyBorder="1" applyAlignment="1">
      <alignment horizontal="center"/>
    </xf>
    <xf numFmtId="1" fontId="2" fillId="3" borderId="0" xfId="1" applyNumberFormat="1" applyBorder="1" applyAlignment="1">
      <alignment horizontal="center"/>
    </xf>
    <xf numFmtId="1" fontId="2" fillId="3" borderId="7" xfId="1" applyNumberFormat="1" applyBorder="1" applyAlignment="1">
      <alignment horizontal="center"/>
    </xf>
    <xf numFmtId="166" fontId="2" fillId="3" borderId="0" xfId="1" applyNumberFormat="1" applyBorder="1" applyAlignment="1">
      <alignment horizontal="center"/>
    </xf>
    <xf numFmtId="166" fontId="2" fillId="3" borderId="7" xfId="1" applyNumberFormat="1" applyBorder="1" applyAlignment="1">
      <alignment horizontal="center"/>
    </xf>
    <xf numFmtId="0" fontId="2" fillId="3" borderId="0" xfId="1"/>
    <xf numFmtId="164" fontId="2" fillId="3" borderId="0" xfId="1" applyNumberFormat="1"/>
    <xf numFmtId="0" fontId="4" fillId="3" borderId="0" xfId="1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E141-B76A-4383-A4BC-DDC2E113FB05}">
  <dimension ref="A1:P11"/>
  <sheetViews>
    <sheetView tabSelected="1" workbookViewId="0">
      <selection activeCell="A9" sqref="A9"/>
    </sheetView>
  </sheetViews>
  <sheetFormatPr defaultRowHeight="14.45"/>
  <cols>
    <col min="1" max="1" width="23.7109375" customWidth="1"/>
  </cols>
  <sheetData>
    <row r="1" spans="1:16">
      <c r="A1" t="s">
        <v>0</v>
      </c>
      <c r="B1" t="s">
        <v>0</v>
      </c>
      <c r="J1" t="s">
        <v>1</v>
      </c>
    </row>
    <row r="2" spans="1:16">
      <c r="A2" s="5">
        <v>44034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spans="1:16">
      <c r="A3" t="s">
        <v>9</v>
      </c>
      <c r="B3" s="1">
        <v>0.21099999999999999</v>
      </c>
      <c r="C3" s="1">
        <v>0.20599999999999999</v>
      </c>
      <c r="D3">
        <v>0.20300000000000001</v>
      </c>
      <c r="E3">
        <v>0.21099999999999999</v>
      </c>
      <c r="F3" s="3">
        <f>AVERAGE(B3:E3)</f>
        <v>0.20774999999999999</v>
      </c>
      <c r="G3" s="3">
        <f>STDEVA(B3:E3)</f>
        <v>3.947573094108996E-3</v>
      </c>
      <c r="H3" s="4">
        <f>(G3/F3)*100</f>
        <v>1.9001555206300824</v>
      </c>
      <c r="J3" s="1"/>
      <c r="K3" s="1"/>
      <c r="N3" s="3" t="e">
        <f>AVERAGE(J3:M3)</f>
        <v>#DIV/0!</v>
      </c>
      <c r="O3" s="3" t="e">
        <f>STDEVA(J3:M3)</f>
        <v>#DIV/0!</v>
      </c>
      <c r="P3" s="4" t="e">
        <f>(O3/N3)*100</f>
        <v>#DIV/0!</v>
      </c>
    </row>
    <row r="4" spans="1:16">
      <c r="A4" t="s">
        <v>10</v>
      </c>
      <c r="B4" s="1">
        <v>0.252</v>
      </c>
      <c r="C4" s="1">
        <v>0.249</v>
      </c>
      <c r="D4">
        <v>0.246</v>
      </c>
      <c r="E4">
        <v>0.251</v>
      </c>
      <c r="F4" s="3">
        <f t="shared" ref="F4:F7" si="0">AVERAGE(B4:E4)</f>
        <v>0.2495</v>
      </c>
      <c r="G4" s="3">
        <f t="shared" ref="G4:G7" si="1">STDEVA(B4:E4)</f>
        <v>2.6457513110645929E-3</v>
      </c>
      <c r="H4" s="4">
        <f t="shared" ref="H4:H7" si="2">(G4/F4)*100</f>
        <v>1.0604213671601574</v>
      </c>
      <c r="J4" s="1"/>
      <c r="K4" s="1"/>
      <c r="N4" s="3" t="e">
        <f t="shared" ref="N4:N7" si="3">AVERAGE(J4:M4)</f>
        <v>#DIV/0!</v>
      </c>
      <c r="O4" s="3" t="e">
        <f t="shared" ref="O4:O7" si="4">STDEVA(J4:M4)</f>
        <v>#DIV/0!</v>
      </c>
      <c r="P4" s="4" t="e">
        <f t="shared" ref="P4:P7" si="5">(O4/N4)*100</f>
        <v>#DIV/0!</v>
      </c>
    </row>
    <row r="5" spans="1:16">
      <c r="A5" t="s">
        <v>11</v>
      </c>
      <c r="B5" s="1">
        <v>0.219</v>
      </c>
      <c r="C5" s="3">
        <v>0.22</v>
      </c>
      <c r="D5">
        <v>0.21299999999999999</v>
      </c>
      <c r="E5">
        <v>0.218</v>
      </c>
      <c r="F5" s="3">
        <f t="shared" si="0"/>
        <v>0.2175</v>
      </c>
      <c r="G5" s="3">
        <f t="shared" si="1"/>
        <v>3.1091263510296075E-3</v>
      </c>
      <c r="H5" s="4">
        <f t="shared" si="2"/>
        <v>1.4294833797837276</v>
      </c>
      <c r="J5" s="1"/>
      <c r="K5" s="3"/>
      <c r="N5" s="3" t="e">
        <f t="shared" si="3"/>
        <v>#DIV/0!</v>
      </c>
      <c r="O5" s="3" t="e">
        <f t="shared" si="4"/>
        <v>#DIV/0!</v>
      </c>
      <c r="P5" s="4" t="e">
        <f t="shared" si="5"/>
        <v>#DIV/0!</v>
      </c>
    </row>
    <row r="6" spans="1:16">
      <c r="A6" t="s">
        <v>12</v>
      </c>
      <c r="B6" s="1">
        <v>0.21199999999999999</v>
      </c>
      <c r="C6" s="1">
        <v>0.214</v>
      </c>
      <c r="D6" s="2">
        <v>0.21</v>
      </c>
      <c r="E6">
        <v>0.21099999999999999</v>
      </c>
      <c r="F6" s="3">
        <f t="shared" si="0"/>
        <v>0.21174999999999999</v>
      </c>
      <c r="G6" s="3">
        <f t="shared" si="1"/>
        <v>1.7078251276599345E-3</v>
      </c>
      <c r="H6" s="4">
        <f t="shared" si="2"/>
        <v>0.80652898590787936</v>
      </c>
      <c r="J6" s="1"/>
      <c r="K6" s="1"/>
      <c r="L6" s="2"/>
      <c r="N6" s="3" t="e">
        <f t="shared" si="3"/>
        <v>#DIV/0!</v>
      </c>
      <c r="O6" s="3" t="e">
        <f t="shared" si="4"/>
        <v>#DIV/0!</v>
      </c>
      <c r="P6" s="4" t="e">
        <f t="shared" si="5"/>
        <v>#DIV/0!</v>
      </c>
    </row>
    <row r="7" spans="1:16">
      <c r="A7" t="s">
        <v>13</v>
      </c>
      <c r="B7" s="1">
        <v>0.22800000000000001</v>
      </c>
      <c r="C7" s="1">
        <v>0.24199999999999999</v>
      </c>
      <c r="D7">
        <v>0.23899999999999999</v>
      </c>
      <c r="E7">
        <v>0.23400000000000001</v>
      </c>
      <c r="F7" s="3">
        <f t="shared" si="0"/>
        <v>0.23574999999999999</v>
      </c>
      <c r="G7" s="3">
        <f t="shared" si="1"/>
        <v>6.1305247192498316E-3</v>
      </c>
      <c r="H7" s="4">
        <f t="shared" si="2"/>
        <v>2.6004346635206073</v>
      </c>
      <c r="J7" s="1"/>
      <c r="K7" s="1"/>
      <c r="N7" s="3" t="e">
        <f t="shared" si="3"/>
        <v>#DIV/0!</v>
      </c>
      <c r="O7" s="3" t="e">
        <f t="shared" si="4"/>
        <v>#DIV/0!</v>
      </c>
      <c r="P7" s="4" t="e">
        <f t="shared" si="5"/>
        <v>#DIV/0!</v>
      </c>
    </row>
    <row r="8" spans="1:16">
      <c r="B8" s="1"/>
      <c r="C8" s="1"/>
    </row>
    <row r="9" spans="1:16">
      <c r="A9" t="s">
        <v>14</v>
      </c>
    </row>
    <row r="11" spans="1:16">
      <c r="F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542F-996A-46AB-88A4-07664DF9C9EF}">
  <dimension ref="A1:H12"/>
  <sheetViews>
    <sheetView workbookViewId="0">
      <selection activeCell="A12" sqref="A12"/>
    </sheetView>
  </sheetViews>
  <sheetFormatPr defaultRowHeight="14.45"/>
  <cols>
    <col min="1" max="1" width="23.7109375" customWidth="1"/>
  </cols>
  <sheetData>
    <row r="1" spans="1:8">
      <c r="A1" s="5">
        <v>44172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s="6">
        <v>0.20710000000000001</v>
      </c>
      <c r="C2" s="6">
        <v>0.20630000000000001</v>
      </c>
      <c r="D2" s="6">
        <v>0.20219999999999999</v>
      </c>
      <c r="E2" s="6">
        <v>0.20419999999999999</v>
      </c>
      <c r="F2" s="3">
        <f>AVERAGE(B2:E2)</f>
        <v>0.20494999999999997</v>
      </c>
      <c r="G2" s="3">
        <f>STDEVA(B2:E2)</f>
        <v>2.2037846234754218E-3</v>
      </c>
      <c r="H2" s="4">
        <f>(G2/F2)*100</f>
        <v>1.0752791527081835</v>
      </c>
    </row>
    <row r="3" spans="1:8">
      <c r="A3" t="s">
        <v>11</v>
      </c>
      <c r="B3" s="6">
        <v>0.21279999999999999</v>
      </c>
      <c r="C3" s="6">
        <v>0.2024</v>
      </c>
      <c r="D3" s="6">
        <v>0.21010000000000001</v>
      </c>
      <c r="E3" s="6">
        <v>0.2044</v>
      </c>
      <c r="F3" s="3">
        <f t="shared" ref="F3" si="0">AVERAGE(B3:E3)</f>
        <v>0.207425</v>
      </c>
      <c r="G3" s="3">
        <f t="shared" ref="G3" si="1">STDEVA(B3:E3)</f>
        <v>4.8458745340753508E-3</v>
      </c>
      <c r="H3" s="4">
        <f t="shared" ref="H3" si="2">(G3/F3)*100</f>
        <v>2.3362056329156808</v>
      </c>
    </row>
    <row r="4" spans="1:8">
      <c r="A4" t="s">
        <v>15</v>
      </c>
      <c r="B4" s="6">
        <v>0.19739999999999999</v>
      </c>
      <c r="C4" s="6">
        <v>0.20830000000000001</v>
      </c>
      <c r="D4" s="6">
        <v>0.19370000000000001</v>
      </c>
      <c r="E4" s="6">
        <v>0.2142</v>
      </c>
      <c r="F4" s="3">
        <f t="shared" ref="F4:F10" si="3">AVERAGE(B4:E4)</f>
        <v>0.20340000000000003</v>
      </c>
      <c r="G4" s="3">
        <f t="shared" ref="G4:G10" si="4">STDEVA(B4:E4)</f>
        <v>9.4998245597835481E-3</v>
      </c>
      <c r="H4" s="4">
        <f t="shared" ref="H4:H10" si="5">(G4/F4)*100</f>
        <v>4.6705135495494332</v>
      </c>
    </row>
    <row r="5" spans="1:8">
      <c r="A5" t="s">
        <v>16</v>
      </c>
      <c r="B5" s="6">
        <v>0.21809999999999999</v>
      </c>
      <c r="C5" s="6"/>
      <c r="D5" s="6">
        <v>0.22120000000000001</v>
      </c>
      <c r="E5" s="6">
        <v>0.21920000000000001</v>
      </c>
      <c r="F5" s="3">
        <f t="shared" si="3"/>
        <v>0.21950000000000003</v>
      </c>
      <c r="G5" s="3">
        <f t="shared" si="4"/>
        <v>1.5716233645501798E-3</v>
      </c>
      <c r="H5" s="4">
        <f t="shared" si="5"/>
        <v>0.71600153282468326</v>
      </c>
    </row>
    <row r="6" spans="1:8">
      <c r="A6" t="s">
        <v>17</v>
      </c>
      <c r="B6" s="6">
        <v>0.2228</v>
      </c>
      <c r="C6" s="6">
        <v>0.22450000000000001</v>
      </c>
      <c r="D6" s="6">
        <v>0.22159999999999999</v>
      </c>
      <c r="E6" s="6">
        <v>0.2218</v>
      </c>
      <c r="F6" s="3">
        <f t="shared" si="3"/>
        <v>0.22267500000000001</v>
      </c>
      <c r="G6" s="3">
        <f t="shared" si="4"/>
        <v>1.3250786140200691E-3</v>
      </c>
      <c r="H6" s="4">
        <f t="shared" si="5"/>
        <v>0.59507291524422101</v>
      </c>
    </row>
    <row r="7" spans="1:8">
      <c r="A7" t="s">
        <v>12</v>
      </c>
      <c r="B7" s="6">
        <v>0.21360000000000001</v>
      </c>
      <c r="C7" s="6">
        <v>0.21609999999999999</v>
      </c>
      <c r="D7" s="6">
        <v>0.21879999999999999</v>
      </c>
      <c r="E7" s="6">
        <v>0.21179999999999999</v>
      </c>
      <c r="F7" s="3">
        <f t="shared" si="3"/>
        <v>0.21507499999999999</v>
      </c>
      <c r="G7" s="3">
        <f t="shared" si="4"/>
        <v>3.0456252778917705E-3</v>
      </c>
      <c r="H7" s="4">
        <f t="shared" si="5"/>
        <v>1.4160759167228971</v>
      </c>
    </row>
    <row r="8" spans="1:8">
      <c r="A8" t="s">
        <v>13</v>
      </c>
      <c r="B8" s="6">
        <v>0.22550000000000001</v>
      </c>
      <c r="C8" s="6">
        <v>0.22570000000000001</v>
      </c>
      <c r="D8" s="6">
        <v>0.22670000000000001</v>
      </c>
      <c r="E8" s="6">
        <v>0.23580000000000001</v>
      </c>
      <c r="F8" s="3">
        <f t="shared" si="3"/>
        <v>0.22842500000000002</v>
      </c>
      <c r="G8" s="3">
        <f t="shared" si="4"/>
        <v>4.9446098599046891E-3</v>
      </c>
      <c r="H8" s="4">
        <f t="shared" si="5"/>
        <v>2.1646535448854936</v>
      </c>
    </row>
    <row r="9" spans="1:8">
      <c r="A9" t="s">
        <v>18</v>
      </c>
      <c r="B9" s="6">
        <v>0.21879999999999999</v>
      </c>
      <c r="C9" s="6">
        <v>0.21690000000000001</v>
      </c>
      <c r="D9" s="6">
        <v>0.2175</v>
      </c>
      <c r="E9" s="6">
        <v>0.2177</v>
      </c>
      <c r="F9" s="3">
        <f t="shared" si="3"/>
        <v>0.217725</v>
      </c>
      <c r="G9" s="3">
        <f t="shared" si="4"/>
        <v>7.9320026895271392E-4</v>
      </c>
      <c r="H9" s="4">
        <f t="shared" si="5"/>
        <v>0.36431290341151173</v>
      </c>
    </row>
    <row r="10" spans="1:8">
      <c r="A10" t="s">
        <v>19</v>
      </c>
      <c r="B10" s="6">
        <v>0.1976</v>
      </c>
      <c r="C10" s="6">
        <v>0.19889999999999999</v>
      </c>
      <c r="D10" s="6">
        <v>0.1903</v>
      </c>
      <c r="E10" s="6">
        <v>0.19500000000000001</v>
      </c>
      <c r="F10" s="3">
        <f t="shared" si="3"/>
        <v>0.19545000000000001</v>
      </c>
      <c r="G10" s="3">
        <f t="shared" si="4"/>
        <v>3.7969285832981708E-3</v>
      </c>
      <c r="H10" s="4">
        <f t="shared" si="5"/>
        <v>1.9426598021479513</v>
      </c>
    </row>
    <row r="12" spans="1:8">
      <c r="A12" t="s">
        <v>14</v>
      </c>
      <c r="F12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66DD-CC1F-4489-8511-604B2BF4DBB4}">
  <dimension ref="A1:H12"/>
  <sheetViews>
    <sheetView workbookViewId="0">
      <selection activeCell="A10" sqref="A10"/>
    </sheetView>
  </sheetViews>
  <sheetFormatPr defaultRowHeight="14.45"/>
  <cols>
    <col min="1" max="1" width="10.85546875" customWidth="1"/>
  </cols>
  <sheetData>
    <row r="1" spans="1:8">
      <c r="A1" s="5">
        <v>44205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20</v>
      </c>
      <c r="H1" s="1" t="s">
        <v>21</v>
      </c>
    </row>
    <row r="2" spans="1:8">
      <c r="A2" t="s">
        <v>22</v>
      </c>
      <c r="B2" s="6">
        <v>0.21690000000000001</v>
      </c>
      <c r="C2" s="6">
        <v>0.219</v>
      </c>
      <c r="D2" s="6">
        <v>0.21379999999999999</v>
      </c>
      <c r="E2" s="6">
        <v>0.21809999999999999</v>
      </c>
      <c r="F2" s="3">
        <f>AVERAGE(B2:E2)</f>
        <v>0.21694999999999998</v>
      </c>
      <c r="G2" s="3">
        <f>STDEVA(B2:E2)</f>
        <v>2.2693611435820457E-3</v>
      </c>
      <c r="H2" s="4">
        <f>(G2/F2)*100</f>
        <v>1.0460295660668568</v>
      </c>
    </row>
    <row r="3" spans="1:8">
      <c r="A3" t="s">
        <v>23</v>
      </c>
      <c r="B3" s="6">
        <v>0.22040000000000001</v>
      </c>
      <c r="C3" s="6">
        <v>0.22600000000000001</v>
      </c>
      <c r="D3" s="6">
        <v>0.2298</v>
      </c>
      <c r="E3" s="6">
        <v>0.22040000000000001</v>
      </c>
      <c r="F3" s="3">
        <f>AVERAGE(B3:E3)</f>
        <v>0.22415000000000002</v>
      </c>
      <c r="G3" s="3">
        <f>STDEVA(B3:E3)</f>
        <v>4.5996376668892766E-3</v>
      </c>
      <c r="H3" s="4">
        <f>(G3/F3)*100</f>
        <v>2.052035541775274</v>
      </c>
    </row>
    <row r="4" spans="1:8">
      <c r="A4" t="s">
        <v>24</v>
      </c>
      <c r="B4" s="6">
        <v>0.21199999999999999</v>
      </c>
      <c r="C4" s="6"/>
      <c r="D4" s="6">
        <v>0.20949999999999999</v>
      </c>
      <c r="E4" s="6">
        <v>0.2046</v>
      </c>
      <c r="F4" s="3">
        <f>AVERAGE(B4:E4)</f>
        <v>0.2087</v>
      </c>
      <c r="G4" s="3">
        <f>STDEVA(B4:E4)</f>
        <v>3.7643060449437369E-3</v>
      </c>
      <c r="H4" s="4">
        <f>(G4/F4)*100</f>
        <v>1.8036924029438124</v>
      </c>
    </row>
    <row r="5" spans="1:8">
      <c r="A5" t="s">
        <v>7</v>
      </c>
      <c r="B5" s="6">
        <v>0.2079</v>
      </c>
      <c r="C5" s="6">
        <v>0.20669999999999999</v>
      </c>
      <c r="D5" s="6">
        <v>0.21360000000000001</v>
      </c>
      <c r="E5" s="6"/>
      <c r="F5" s="3">
        <f t="shared" ref="F5:F8" si="0">AVERAGE(B5:E5)</f>
        <v>0.2094</v>
      </c>
      <c r="G5" s="3">
        <f t="shared" ref="G5:G8" si="1">STDEVA(B5:E5)</f>
        <v>3.6864617182333606E-3</v>
      </c>
      <c r="H5" s="4">
        <f t="shared" ref="H5:H8" si="2">(G5/F5)*100</f>
        <v>1.7604879265679849</v>
      </c>
    </row>
    <row r="6" spans="1:8">
      <c r="A6" t="s">
        <v>25</v>
      </c>
      <c r="B6" s="6">
        <v>0.22309999999999999</v>
      </c>
      <c r="C6" s="6">
        <v>0.2228</v>
      </c>
      <c r="D6" s="6">
        <v>0.22309999999999999</v>
      </c>
      <c r="E6" s="6">
        <v>0.22509999999999999</v>
      </c>
      <c r="F6" s="3">
        <f t="shared" si="0"/>
        <v>0.22352499999999997</v>
      </c>
      <c r="G6" s="3">
        <f t="shared" si="1"/>
        <v>1.0594810050208541E-3</v>
      </c>
      <c r="H6" s="4">
        <f t="shared" si="2"/>
        <v>0.47398769937181717</v>
      </c>
    </row>
    <row r="7" spans="1:8">
      <c r="A7" t="s">
        <v>26</v>
      </c>
      <c r="B7" s="6">
        <v>0.23150000000000001</v>
      </c>
      <c r="C7" s="6">
        <v>0.2329</v>
      </c>
      <c r="D7" s="6">
        <v>0.23369999999999999</v>
      </c>
      <c r="E7" s="6">
        <v>0.2374</v>
      </c>
      <c r="F7" s="3">
        <f t="shared" si="0"/>
        <v>0.233875</v>
      </c>
      <c r="G7" s="3">
        <f t="shared" si="1"/>
        <v>2.5197552791226875E-3</v>
      </c>
      <c r="H7" s="4">
        <f t="shared" si="2"/>
        <v>1.0773940263485569</v>
      </c>
    </row>
    <row r="8" spans="1:8">
      <c r="A8" t="s">
        <v>27</v>
      </c>
      <c r="B8" s="6">
        <v>0.2019</v>
      </c>
      <c r="C8" s="6">
        <v>0.19420000000000001</v>
      </c>
      <c r="D8" s="6">
        <v>0.1958</v>
      </c>
      <c r="E8" s="6"/>
      <c r="F8" s="3">
        <f t="shared" si="0"/>
        <v>0.1973</v>
      </c>
      <c r="G8" s="3">
        <f t="shared" si="1"/>
        <v>4.0632499307820015E-3</v>
      </c>
      <c r="H8" s="4">
        <f t="shared" si="2"/>
        <v>2.0594272330370003</v>
      </c>
    </row>
    <row r="9" spans="1:8">
      <c r="B9" s="6"/>
      <c r="C9" s="6"/>
      <c r="D9" s="6"/>
      <c r="E9" s="6"/>
      <c r="F9" s="3"/>
      <c r="G9" s="3"/>
      <c r="H9" s="4"/>
    </row>
    <row r="10" spans="1:8">
      <c r="A10" t="s">
        <v>14</v>
      </c>
      <c r="B10" s="6"/>
      <c r="C10" s="6"/>
      <c r="D10" s="6"/>
      <c r="E10" s="6"/>
      <c r="F10" s="3"/>
      <c r="G10" s="3"/>
      <c r="H10" s="4"/>
    </row>
    <row r="12" spans="1:8">
      <c r="F12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1954-CD43-4585-938B-3C5E012386D2}">
  <dimension ref="A1:N15"/>
  <sheetViews>
    <sheetView workbookViewId="0">
      <selection activeCell="A15" sqref="A15"/>
    </sheetView>
  </sheetViews>
  <sheetFormatPr defaultRowHeight="14.45"/>
  <cols>
    <col min="1" max="1" width="10.85546875" customWidth="1"/>
  </cols>
  <sheetData>
    <row r="1" spans="1:14">
      <c r="A1" s="5">
        <v>44512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20</v>
      </c>
      <c r="H1" s="1" t="s">
        <v>21</v>
      </c>
    </row>
    <row r="2" spans="1:14">
      <c r="A2" t="s">
        <v>7</v>
      </c>
      <c r="B2" s="6">
        <v>0.21729999999999999</v>
      </c>
      <c r="C2" s="6">
        <v>0.20830000000000001</v>
      </c>
      <c r="D2" s="6">
        <v>0.21460000000000001</v>
      </c>
      <c r="E2" s="6">
        <v>0.22009999999999999</v>
      </c>
      <c r="F2" s="3">
        <f t="shared" ref="F2:F6" si="0">AVERAGE(B2:E2)</f>
        <v>0.21507499999999999</v>
      </c>
      <c r="G2" s="3">
        <f t="shared" ref="G2:G6" si="1">STDEVA(B2:E2)</f>
        <v>5.044055907699665E-3</v>
      </c>
      <c r="H2" s="4">
        <f t="shared" ref="H2:H6" si="2">(G2/F2)*100</f>
        <v>2.3452544032080276</v>
      </c>
    </row>
    <row r="3" spans="1:14">
      <c r="A3" t="s">
        <v>22</v>
      </c>
      <c r="B3" s="6">
        <v>0.22570000000000001</v>
      </c>
      <c r="C3" s="6">
        <v>0.21879999999999999</v>
      </c>
      <c r="D3" s="6">
        <v>0.21160000000000001</v>
      </c>
      <c r="E3" s="6">
        <v>0.22140000000000001</v>
      </c>
      <c r="F3" s="3">
        <f t="shared" si="0"/>
        <v>0.21937500000000001</v>
      </c>
      <c r="G3" s="3">
        <f t="shared" si="1"/>
        <v>5.9129096052620332E-3</v>
      </c>
      <c r="H3" s="4">
        <f t="shared" si="2"/>
        <v>2.6953434098060547</v>
      </c>
    </row>
    <row r="4" spans="1:14">
      <c r="A4" t="s">
        <v>28</v>
      </c>
      <c r="B4" s="6">
        <v>0.23119999999999999</v>
      </c>
      <c r="C4" s="6">
        <v>0.2306</v>
      </c>
      <c r="D4" s="6">
        <v>0.23269999999999999</v>
      </c>
      <c r="E4" s="6">
        <v>0.22950000000000001</v>
      </c>
      <c r="F4" s="3">
        <f t="shared" si="0"/>
        <v>0.23100000000000001</v>
      </c>
      <c r="G4" s="3">
        <f t="shared" si="1"/>
        <v>1.334166406412625E-3</v>
      </c>
      <c r="H4" s="4">
        <f t="shared" si="2"/>
        <v>0.57756121489724022</v>
      </c>
    </row>
    <row r="5" spans="1:14">
      <c r="A5" t="s">
        <v>29</v>
      </c>
      <c r="B5" s="6">
        <v>0.23710000000000001</v>
      </c>
      <c r="C5" s="6">
        <v>0.24010000000000001</v>
      </c>
      <c r="D5" s="6">
        <v>0.23050000000000001</v>
      </c>
      <c r="E5" s="6">
        <v>0.23860000000000001</v>
      </c>
      <c r="F5" s="3">
        <f t="shared" si="0"/>
        <v>0.23657500000000001</v>
      </c>
      <c r="G5" s="3">
        <f t="shared" si="1"/>
        <v>4.231134599608004E-3</v>
      </c>
      <c r="H5" s="4">
        <f t="shared" si="2"/>
        <v>1.7884960793017028</v>
      </c>
    </row>
    <row r="6" spans="1:14">
      <c r="A6" t="s">
        <v>30</v>
      </c>
      <c r="B6" s="6">
        <v>0.18970000000000001</v>
      </c>
      <c r="C6" s="6">
        <v>0.187</v>
      </c>
      <c r="D6" s="6">
        <v>0.19009999999999999</v>
      </c>
      <c r="E6" s="6">
        <v>0.19020000000000001</v>
      </c>
      <c r="F6" s="3">
        <f t="shared" si="0"/>
        <v>0.18925</v>
      </c>
      <c r="G6" s="3">
        <f t="shared" si="1"/>
        <v>1.5154757228892416E-3</v>
      </c>
      <c r="H6" s="4">
        <f t="shared" si="2"/>
        <v>0.80077977431399827</v>
      </c>
    </row>
    <row r="7" spans="1:14">
      <c r="B7" s="6"/>
      <c r="C7" s="6"/>
      <c r="D7" s="6"/>
      <c r="E7" s="6"/>
      <c r="F7" s="3"/>
      <c r="G7" s="3"/>
      <c r="H7" s="4"/>
    </row>
    <row r="8" spans="1:14">
      <c r="B8" s="6" t="s">
        <v>31</v>
      </c>
      <c r="C8" s="6" t="s">
        <v>32</v>
      </c>
      <c r="D8" t="s">
        <v>33</v>
      </c>
      <c r="E8" s="6" t="s">
        <v>34</v>
      </c>
      <c r="F8" s="6" t="s">
        <v>35</v>
      </c>
      <c r="G8" s="6" t="s">
        <v>33</v>
      </c>
      <c r="H8" s="3" t="s">
        <v>2</v>
      </c>
      <c r="I8" s="6" t="s">
        <v>3</v>
      </c>
      <c r="J8" s="6" t="s">
        <v>33</v>
      </c>
      <c r="K8" s="6" t="s">
        <v>36</v>
      </c>
      <c r="L8" s="6" t="s">
        <v>37</v>
      </c>
      <c r="M8" s="6" t="s">
        <v>38</v>
      </c>
      <c r="N8" s="6" t="s">
        <v>39</v>
      </c>
    </row>
    <row r="9" spans="1:14">
      <c r="A9" t="s">
        <v>7</v>
      </c>
      <c r="B9" s="7">
        <v>851</v>
      </c>
      <c r="C9" s="6">
        <v>827</v>
      </c>
      <c r="D9" s="8">
        <f>AVERAGE(B9:C9)</f>
        <v>839</v>
      </c>
      <c r="E9" s="8">
        <v>117</v>
      </c>
      <c r="F9" s="8">
        <v>116</v>
      </c>
      <c r="G9" s="8">
        <f>AVERAGE(E9:F9)</f>
        <v>116.5</v>
      </c>
      <c r="H9" s="9">
        <v>12.92</v>
      </c>
      <c r="I9" s="9">
        <v>13.12</v>
      </c>
      <c r="J9" s="9">
        <f>AVERAGE(H9:I9)</f>
        <v>13.02</v>
      </c>
      <c r="K9" s="9">
        <v>129</v>
      </c>
      <c r="L9" s="2">
        <v>1.173</v>
      </c>
      <c r="M9" s="2">
        <v>1.1679999999999999</v>
      </c>
      <c r="N9" s="2">
        <f>AVERAGE(L9:M9)</f>
        <v>1.1705000000000001</v>
      </c>
    </row>
    <row r="10" spans="1:14">
      <c r="A10" t="s">
        <v>22</v>
      </c>
      <c r="B10" s="8">
        <v>884</v>
      </c>
      <c r="C10">
        <v>890</v>
      </c>
      <c r="D10" s="8">
        <f t="shared" ref="D10:D13" si="3">AVERAGE(B10:C10)</f>
        <v>887</v>
      </c>
      <c r="E10" s="8">
        <v>127</v>
      </c>
      <c r="F10" s="8">
        <v>127</v>
      </c>
      <c r="G10" s="8">
        <f t="shared" ref="G10:G13" si="4">AVERAGE(E10:F10)</f>
        <v>127</v>
      </c>
      <c r="H10" s="9">
        <v>12.81</v>
      </c>
      <c r="I10" s="9">
        <v>12.88</v>
      </c>
      <c r="J10" s="9">
        <f t="shared" ref="J10:J13" si="5">AVERAGE(H10:I10)</f>
        <v>12.845000000000001</v>
      </c>
      <c r="K10" s="9">
        <v>120</v>
      </c>
    </row>
    <row r="11" spans="1:14">
      <c r="A11" t="s">
        <v>28</v>
      </c>
      <c r="B11" s="8">
        <v>912</v>
      </c>
      <c r="C11">
        <v>952</v>
      </c>
      <c r="D11" s="8">
        <f t="shared" si="3"/>
        <v>932</v>
      </c>
      <c r="E11" s="8">
        <v>122</v>
      </c>
      <c r="F11" s="8">
        <v>121</v>
      </c>
      <c r="G11" s="8">
        <f t="shared" si="4"/>
        <v>121.5</v>
      </c>
      <c r="H11" s="9">
        <v>12.85</v>
      </c>
      <c r="I11" s="9">
        <v>12.97</v>
      </c>
      <c r="J11" s="9">
        <f t="shared" si="5"/>
        <v>12.91</v>
      </c>
      <c r="K11" s="9">
        <v>125</v>
      </c>
    </row>
    <row r="12" spans="1:14">
      <c r="A12" t="s">
        <v>29</v>
      </c>
      <c r="B12" s="8">
        <v>759</v>
      </c>
      <c r="C12">
        <v>779</v>
      </c>
      <c r="D12" s="8">
        <f t="shared" si="3"/>
        <v>769</v>
      </c>
      <c r="E12" s="8">
        <v>120</v>
      </c>
      <c r="F12" s="8">
        <v>120</v>
      </c>
      <c r="G12" s="8">
        <f t="shared" si="4"/>
        <v>120</v>
      </c>
      <c r="H12" s="9">
        <v>13.71</v>
      </c>
      <c r="I12" s="9">
        <v>13.71</v>
      </c>
      <c r="J12" s="9">
        <f t="shared" si="5"/>
        <v>13.71</v>
      </c>
      <c r="K12" s="9">
        <v>118</v>
      </c>
    </row>
    <row r="13" spans="1:14">
      <c r="A13" t="s">
        <v>30</v>
      </c>
      <c r="B13" s="8">
        <v>477</v>
      </c>
      <c r="C13">
        <v>492</v>
      </c>
      <c r="D13" s="8">
        <f t="shared" si="3"/>
        <v>484.5</v>
      </c>
      <c r="E13" s="8">
        <v>122</v>
      </c>
      <c r="F13" s="8">
        <v>121</v>
      </c>
      <c r="G13" s="8">
        <f t="shared" si="4"/>
        <v>121.5</v>
      </c>
      <c r="H13" s="9">
        <v>14.82</v>
      </c>
      <c r="I13" s="9">
        <v>14.89</v>
      </c>
      <c r="J13" s="9">
        <f t="shared" si="5"/>
        <v>14.855</v>
      </c>
      <c r="K13" s="9">
        <v>108</v>
      </c>
    </row>
    <row r="15" spans="1:14">
      <c r="A15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D33B-0DC4-4BB8-AFB0-EA3C638713AC}">
  <dimension ref="A1:Y20"/>
  <sheetViews>
    <sheetView workbookViewId="0">
      <selection activeCell="G26" sqref="G26"/>
    </sheetView>
  </sheetViews>
  <sheetFormatPr defaultRowHeight="14.45"/>
  <cols>
    <col min="1" max="1" width="10.5703125" bestFit="1" customWidth="1"/>
  </cols>
  <sheetData>
    <row r="1" spans="1:25">
      <c r="A1" s="5">
        <v>44624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20</v>
      </c>
      <c r="H1" s="1" t="s">
        <v>21</v>
      </c>
    </row>
    <row r="2" spans="1:25">
      <c r="A2" t="s">
        <v>40</v>
      </c>
      <c r="B2" s="6">
        <v>0.1983</v>
      </c>
      <c r="C2" s="6"/>
      <c r="D2" s="6">
        <v>0.20730000000000001</v>
      </c>
      <c r="E2" s="6">
        <v>0.19689999999999999</v>
      </c>
      <c r="F2" s="3">
        <f t="shared" ref="F2" si="0">AVERAGE(B2:E2)</f>
        <v>0.20083333333333334</v>
      </c>
      <c r="G2" s="3">
        <f t="shared" ref="G2" si="1">STDEVA(B2:E2)</f>
        <v>5.6438757368791736E-3</v>
      </c>
      <c r="H2" s="4">
        <f t="shared" ref="H2" si="2">(G2/F2)*100</f>
        <v>2.8102285826784268</v>
      </c>
    </row>
    <row r="3" spans="1:25">
      <c r="A3" t="s">
        <v>30</v>
      </c>
      <c r="B3" s="6">
        <v>0.2177</v>
      </c>
      <c r="C3" s="6">
        <v>0.21890000000000001</v>
      </c>
      <c r="D3" s="6">
        <v>0.2198</v>
      </c>
      <c r="E3" s="6">
        <v>0.21740000000000001</v>
      </c>
      <c r="F3" s="3">
        <f t="shared" ref="F3:F6" si="3">AVERAGE(B3:E3)</f>
        <v>0.21845000000000001</v>
      </c>
      <c r="G3" s="3">
        <f t="shared" ref="G3:G6" si="4">STDEVA(B3:E3)</f>
        <v>1.1090536506409372E-3</v>
      </c>
      <c r="H3" s="4">
        <f t="shared" ref="H3:H6" si="5">(G3/F3)*100</f>
        <v>0.50769221819223487</v>
      </c>
    </row>
    <row r="4" spans="1:25">
      <c r="A4" t="s">
        <v>7</v>
      </c>
      <c r="B4" s="6">
        <v>0.216</v>
      </c>
      <c r="C4" s="6">
        <v>0.215</v>
      </c>
      <c r="D4" s="6">
        <v>0.21199999999999999</v>
      </c>
      <c r="E4" s="6">
        <v>0.2132</v>
      </c>
      <c r="F4" s="3">
        <f t="shared" si="3"/>
        <v>0.21405000000000002</v>
      </c>
      <c r="G4" s="3">
        <f t="shared" si="4"/>
        <v>1.7916472867168926E-3</v>
      </c>
      <c r="H4" s="4">
        <f t="shared" si="5"/>
        <v>0.83702279220597642</v>
      </c>
    </row>
    <row r="5" spans="1:25">
      <c r="A5" t="s">
        <v>28</v>
      </c>
      <c r="B5" s="6">
        <v>0.22900000000000001</v>
      </c>
      <c r="C5" s="6">
        <v>0.23319999999999999</v>
      </c>
      <c r="D5" s="6">
        <v>0.23</v>
      </c>
      <c r="E5" s="6">
        <v>0.23089999999999999</v>
      </c>
      <c r="F5" s="3">
        <f t="shared" si="3"/>
        <v>0.23077500000000001</v>
      </c>
      <c r="G5" s="3">
        <f t="shared" si="4"/>
        <v>1.7932744723921383E-3</v>
      </c>
      <c r="H5" s="4">
        <f t="shared" si="5"/>
        <v>0.77706617804880862</v>
      </c>
    </row>
    <row r="6" spans="1:25">
      <c r="A6" t="s">
        <v>29</v>
      </c>
      <c r="B6" s="6"/>
      <c r="C6" s="6">
        <v>0.2215</v>
      </c>
      <c r="D6" s="6">
        <v>0.22789999999999999</v>
      </c>
      <c r="E6" s="6"/>
      <c r="F6" s="3">
        <f t="shared" si="3"/>
        <v>0.22470000000000001</v>
      </c>
      <c r="G6" s="3">
        <f t="shared" si="4"/>
        <v>4.5254833995938964E-3</v>
      </c>
      <c r="H6" s="4">
        <f t="shared" si="5"/>
        <v>2.0140113037801051</v>
      </c>
    </row>
    <row r="7" spans="1:25">
      <c r="B7" s="6"/>
      <c r="C7" s="6"/>
      <c r="D7" s="6"/>
      <c r="E7" s="6"/>
      <c r="F7" s="3"/>
      <c r="G7" s="3"/>
      <c r="H7" s="4"/>
    </row>
    <row r="8" spans="1:25">
      <c r="B8" s="6" t="s">
        <v>31</v>
      </c>
      <c r="C8" s="6" t="s">
        <v>32</v>
      </c>
      <c r="D8" t="s">
        <v>41</v>
      </c>
      <c r="E8" t="s">
        <v>42</v>
      </c>
      <c r="F8" t="s">
        <v>33</v>
      </c>
      <c r="H8" s="6" t="s">
        <v>34</v>
      </c>
      <c r="I8" s="6" t="s">
        <v>35</v>
      </c>
      <c r="J8" t="s">
        <v>43</v>
      </c>
      <c r="K8" t="s">
        <v>44</v>
      </c>
      <c r="L8" s="6" t="s">
        <v>33</v>
      </c>
      <c r="N8" s="3" t="s">
        <v>2</v>
      </c>
      <c r="O8" s="6" t="s">
        <v>3</v>
      </c>
      <c r="P8" s="6" t="s">
        <v>4</v>
      </c>
      <c r="Q8" s="6" t="s">
        <v>5</v>
      </c>
      <c r="R8" s="6" t="s">
        <v>33</v>
      </c>
      <c r="S8" s="6"/>
      <c r="T8" s="6" t="s">
        <v>36</v>
      </c>
      <c r="U8" s="6" t="s">
        <v>45</v>
      </c>
      <c r="V8" s="6" t="s">
        <v>46</v>
      </c>
      <c r="W8" s="6" t="s">
        <v>47</v>
      </c>
      <c r="X8" s="6" t="s">
        <v>48</v>
      </c>
      <c r="Y8" s="6" t="s">
        <v>49</v>
      </c>
    </row>
    <row r="9" spans="1:25">
      <c r="A9" t="s">
        <v>40</v>
      </c>
      <c r="B9" s="7">
        <v>598</v>
      </c>
      <c r="C9" s="7"/>
      <c r="D9" s="7">
        <v>671</v>
      </c>
      <c r="E9" s="7">
        <v>628</v>
      </c>
      <c r="F9" s="7">
        <f>AVERAGE(B9:E9)</f>
        <v>632.33333333333337</v>
      </c>
      <c r="G9" s="1"/>
      <c r="H9" s="7">
        <v>118</v>
      </c>
      <c r="I9" s="7"/>
      <c r="J9" s="7">
        <v>118</v>
      </c>
      <c r="K9" s="7">
        <v>119</v>
      </c>
      <c r="L9" s="7">
        <f>AVERAGE(H9:K9)</f>
        <v>118.33333333333333</v>
      </c>
      <c r="M9" s="1"/>
      <c r="N9" s="4">
        <v>14.4</v>
      </c>
      <c r="O9" s="4"/>
      <c r="P9" s="4">
        <v>14.27</v>
      </c>
      <c r="Q9" s="4">
        <v>14.22</v>
      </c>
      <c r="R9" s="4">
        <f>AVERAGE(N9:Q9)</f>
        <v>14.296666666666667</v>
      </c>
      <c r="S9" s="4"/>
      <c r="T9" s="7">
        <v>116</v>
      </c>
      <c r="U9" s="3">
        <v>1.177</v>
      </c>
      <c r="V9" s="3">
        <v>1.177</v>
      </c>
      <c r="W9" s="3">
        <v>1.177</v>
      </c>
      <c r="X9" s="3">
        <v>1.177</v>
      </c>
      <c r="Y9" s="2">
        <f>AVERAGE(U9:X9)</f>
        <v>1.177</v>
      </c>
    </row>
    <row r="10" spans="1:25">
      <c r="A10" t="s">
        <v>30</v>
      </c>
      <c r="B10" s="7">
        <v>591</v>
      </c>
      <c r="C10" s="1">
        <v>610</v>
      </c>
      <c r="D10" s="7">
        <v>601</v>
      </c>
      <c r="E10" s="7">
        <v>605</v>
      </c>
      <c r="F10" s="7">
        <f t="shared" ref="F10:F13" si="6">AVERAGE(B10:E10)</f>
        <v>601.75</v>
      </c>
      <c r="G10" s="7"/>
      <c r="H10" s="7">
        <v>116</v>
      </c>
      <c r="I10" s="7">
        <v>115</v>
      </c>
      <c r="J10" s="7">
        <v>117</v>
      </c>
      <c r="K10" s="7">
        <v>117</v>
      </c>
      <c r="L10" s="7">
        <f t="shared" ref="L10:L13" si="7">AVERAGE(H10:K10)</f>
        <v>116.25</v>
      </c>
      <c r="M10" s="1"/>
      <c r="N10" s="4">
        <v>14.71</v>
      </c>
      <c r="O10" s="4">
        <v>14.88</v>
      </c>
      <c r="P10" s="4">
        <v>14.67</v>
      </c>
      <c r="Q10" s="4">
        <v>14.63</v>
      </c>
      <c r="R10" s="4">
        <f t="shared" ref="R10:R13" si="8">AVERAGE(N10:Q10)</f>
        <v>14.722500000000002</v>
      </c>
      <c r="S10" s="4"/>
      <c r="T10" s="7">
        <v>114</v>
      </c>
      <c r="U10" s="1">
        <v>1.1819999999999999</v>
      </c>
      <c r="V10" s="1">
        <v>1.1819999999999999</v>
      </c>
      <c r="W10" s="1">
        <v>1.1779999999999999</v>
      </c>
      <c r="X10" s="1">
        <v>1.1779999999999999</v>
      </c>
      <c r="Y10" s="2">
        <f t="shared" ref="Y10:Y13" si="9">AVERAGE(U10:X10)</f>
        <v>1.18</v>
      </c>
    </row>
    <row r="11" spans="1:25">
      <c r="A11" t="s">
        <v>7</v>
      </c>
      <c r="B11" s="1">
        <v>803</v>
      </c>
      <c r="C11" s="1">
        <v>889</v>
      </c>
      <c r="D11" s="1">
        <v>912</v>
      </c>
      <c r="E11" s="1">
        <v>887</v>
      </c>
      <c r="F11" s="7">
        <f t="shared" si="6"/>
        <v>872.75</v>
      </c>
      <c r="G11" s="1"/>
      <c r="H11" s="7">
        <v>111</v>
      </c>
      <c r="I11" s="7">
        <v>112</v>
      </c>
      <c r="J11" s="7">
        <v>112</v>
      </c>
      <c r="K11" s="7">
        <v>111</v>
      </c>
      <c r="L11" s="7">
        <f t="shared" si="7"/>
        <v>111.5</v>
      </c>
      <c r="M11" s="1"/>
      <c r="N11" s="4">
        <v>13</v>
      </c>
      <c r="O11" s="4">
        <v>12.9</v>
      </c>
      <c r="P11" s="4">
        <v>12.91</v>
      </c>
      <c r="Q11" s="4">
        <v>13.01</v>
      </c>
      <c r="R11" s="4">
        <f t="shared" si="8"/>
        <v>12.955</v>
      </c>
      <c r="S11" s="4"/>
      <c r="T11" s="7">
        <v>135</v>
      </c>
      <c r="U11" s="1">
        <v>1.1819999999999999</v>
      </c>
      <c r="V11" s="1">
        <v>1.1819999999999999</v>
      </c>
      <c r="W11" s="1">
        <v>1.1779999999999999</v>
      </c>
      <c r="X11" s="1">
        <v>1.1779999999999999</v>
      </c>
      <c r="Y11" s="2">
        <f t="shared" si="9"/>
        <v>1.18</v>
      </c>
    </row>
    <row r="12" spans="1:25">
      <c r="A12" t="s">
        <v>28</v>
      </c>
      <c r="B12" s="1">
        <v>913</v>
      </c>
      <c r="C12" s="1">
        <v>911</v>
      </c>
      <c r="D12" s="1">
        <v>982</v>
      </c>
      <c r="E12" s="1">
        <v>1021</v>
      </c>
      <c r="F12" s="7">
        <f t="shared" si="6"/>
        <v>956.75</v>
      </c>
      <c r="G12" s="1"/>
      <c r="H12" s="7">
        <v>119</v>
      </c>
      <c r="I12" s="7">
        <v>120</v>
      </c>
      <c r="J12" s="7">
        <v>119</v>
      </c>
      <c r="K12" s="7">
        <v>120</v>
      </c>
      <c r="L12" s="7">
        <f t="shared" si="7"/>
        <v>119.5</v>
      </c>
      <c r="M12" s="1"/>
      <c r="N12" s="4">
        <v>13.02</v>
      </c>
      <c r="O12" s="4">
        <v>12.9</v>
      </c>
      <c r="P12" s="4">
        <v>12.93</v>
      </c>
      <c r="Q12" s="4">
        <v>12.87</v>
      </c>
      <c r="R12" s="4">
        <f t="shared" si="8"/>
        <v>12.93</v>
      </c>
      <c r="S12" s="4"/>
      <c r="T12" s="7">
        <v>127</v>
      </c>
      <c r="U12" s="1">
        <v>1.1819999999999999</v>
      </c>
      <c r="V12" s="1">
        <v>1.1819999999999999</v>
      </c>
      <c r="W12" s="1">
        <v>1.1779999999999999</v>
      </c>
      <c r="X12" s="1">
        <v>1.1779999999999999</v>
      </c>
      <c r="Y12" s="2">
        <f t="shared" si="9"/>
        <v>1.18</v>
      </c>
    </row>
    <row r="13" spans="1:25">
      <c r="A13" t="s">
        <v>29</v>
      </c>
      <c r="B13" s="1"/>
      <c r="C13" s="1">
        <v>827</v>
      </c>
      <c r="D13" s="1">
        <v>782</v>
      </c>
      <c r="E13" s="1"/>
      <c r="F13" s="7">
        <f t="shared" si="6"/>
        <v>804.5</v>
      </c>
      <c r="G13" s="1"/>
      <c r="H13" s="7"/>
      <c r="I13" s="7">
        <v>110</v>
      </c>
      <c r="J13" s="7">
        <v>110</v>
      </c>
      <c r="K13" s="7"/>
      <c r="L13" s="7">
        <f t="shared" si="7"/>
        <v>110</v>
      </c>
      <c r="M13" s="1"/>
      <c r="N13" s="4"/>
      <c r="O13" s="4">
        <v>13.74</v>
      </c>
      <c r="P13" s="4">
        <v>13.82</v>
      </c>
      <c r="Q13" s="4"/>
      <c r="R13" s="4">
        <f t="shared" si="8"/>
        <v>13.780000000000001</v>
      </c>
      <c r="S13" s="4"/>
      <c r="T13" s="7">
        <v>129</v>
      </c>
      <c r="U13" s="1">
        <v>1.1819999999999999</v>
      </c>
      <c r="V13" s="1">
        <v>1.1819999999999999</v>
      </c>
      <c r="W13" s="1">
        <v>1.1779999999999999</v>
      </c>
      <c r="X13" s="1">
        <v>1.1779999999999999</v>
      </c>
      <c r="Y13" s="2">
        <f t="shared" si="9"/>
        <v>1.18</v>
      </c>
    </row>
    <row r="14" spans="1:25">
      <c r="H14" s="8"/>
      <c r="I14" s="8"/>
      <c r="J14" s="8"/>
      <c r="K14" s="8"/>
      <c r="T14" s="8"/>
    </row>
    <row r="15" spans="1:25">
      <c r="A15" t="s">
        <v>14</v>
      </c>
      <c r="H15" s="8"/>
      <c r="I15" s="8"/>
      <c r="J15" s="8"/>
      <c r="K15" s="8"/>
      <c r="T15" s="8"/>
    </row>
    <row r="16" spans="1:25">
      <c r="H16" s="8"/>
      <c r="I16" s="8"/>
      <c r="J16" s="8"/>
      <c r="K16" s="8"/>
    </row>
    <row r="17" spans="8:11">
      <c r="H17" s="8"/>
      <c r="I17" s="8"/>
      <c r="J17" s="8"/>
      <c r="K17" s="8"/>
    </row>
    <row r="18" spans="8:11">
      <c r="H18" s="8"/>
      <c r="I18" s="8"/>
      <c r="J18" s="8"/>
      <c r="K18" s="8"/>
    </row>
    <row r="19" spans="8:11">
      <c r="H19" s="8"/>
      <c r="I19" s="8"/>
      <c r="J19" s="8"/>
      <c r="K19" s="8"/>
    </row>
    <row r="20" spans="8:11">
      <c r="H20" s="8"/>
      <c r="I20" s="8"/>
      <c r="J20" s="8"/>
      <c r="K2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EC76-C9E8-4B04-83D5-451BFE007EBD}">
  <dimension ref="A1:Y26"/>
  <sheetViews>
    <sheetView topLeftCell="A4" workbookViewId="0">
      <selection activeCell="H33" sqref="H33"/>
    </sheetView>
  </sheetViews>
  <sheetFormatPr defaultRowHeight="14.45"/>
  <cols>
    <col min="1" max="1" width="15.42578125" bestFit="1" customWidth="1"/>
    <col min="2" max="2" width="10.5703125" bestFit="1" customWidth="1"/>
  </cols>
  <sheetData>
    <row r="1" spans="1:25">
      <c r="A1" s="5">
        <v>44534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20</v>
      </c>
      <c r="H1" s="1" t="s">
        <v>21</v>
      </c>
    </row>
    <row r="2" spans="1:25">
      <c r="A2" t="s">
        <v>7</v>
      </c>
      <c r="B2" s="6">
        <v>0.23100000000000001</v>
      </c>
      <c r="C2" s="6">
        <v>0.22700000000000001</v>
      </c>
      <c r="D2" s="6">
        <v>0.22500000000000001</v>
      </c>
      <c r="E2" s="6">
        <v>0.22700000000000001</v>
      </c>
      <c r="F2" s="3">
        <f t="shared" ref="F2:F4" si="0">AVERAGE(B2:E2)</f>
        <v>0.22750000000000001</v>
      </c>
      <c r="G2" s="3">
        <f t="shared" ref="G2:G4" si="1">STDEVA(B2:E2)</f>
        <v>2.5166114784235857E-3</v>
      </c>
      <c r="H2" s="4">
        <f t="shared" ref="H2:H4" si="2">(G2/F2)*100</f>
        <v>1.1062028476587189</v>
      </c>
    </row>
    <row r="3" spans="1:25">
      <c r="A3" t="s">
        <v>22</v>
      </c>
      <c r="B3" s="6">
        <v>0.24399999999999999</v>
      </c>
      <c r="C3" s="6">
        <v>0.24299999999999999</v>
      </c>
      <c r="D3" s="6">
        <v>0.23899999999999999</v>
      </c>
      <c r="E3" s="6">
        <v>0.23899999999999999</v>
      </c>
      <c r="F3" s="3">
        <f t="shared" si="0"/>
        <v>0.24124999999999999</v>
      </c>
      <c r="G3" s="3">
        <f t="shared" si="1"/>
        <v>2.6299556396765858E-3</v>
      </c>
      <c r="H3" s="4">
        <f t="shared" si="2"/>
        <v>1.0901370527156833</v>
      </c>
    </row>
    <row r="4" spans="1:25">
      <c r="A4" t="s">
        <v>29</v>
      </c>
      <c r="B4" s="6">
        <v>0.22600000000000001</v>
      </c>
      <c r="C4" s="6">
        <v>0.22700000000000001</v>
      </c>
      <c r="D4" s="6">
        <v>0.222</v>
      </c>
      <c r="E4" s="6"/>
      <c r="F4" s="3">
        <f t="shared" si="0"/>
        <v>0.22500000000000001</v>
      </c>
      <c r="G4" s="3">
        <f t="shared" si="1"/>
        <v>2.6457513110645929E-3</v>
      </c>
      <c r="H4" s="4">
        <f t="shared" si="2"/>
        <v>1.1758894715842634</v>
      </c>
    </row>
    <row r="5" spans="1:25">
      <c r="B5" s="6"/>
      <c r="C5" s="6"/>
      <c r="D5" s="6"/>
      <c r="E5" s="6"/>
      <c r="F5" s="3"/>
      <c r="G5" s="3"/>
      <c r="H5" s="4"/>
    </row>
    <row r="6" spans="1:25">
      <c r="B6" s="6" t="s">
        <v>31</v>
      </c>
      <c r="C6" s="6" t="s">
        <v>32</v>
      </c>
      <c r="D6" t="s">
        <v>41</v>
      </c>
      <c r="E6" t="s">
        <v>42</v>
      </c>
      <c r="F6" t="s">
        <v>33</v>
      </c>
      <c r="H6" s="6" t="s">
        <v>34</v>
      </c>
      <c r="I6" s="6" t="s">
        <v>35</v>
      </c>
      <c r="J6" t="s">
        <v>43</v>
      </c>
      <c r="K6" t="s">
        <v>44</v>
      </c>
      <c r="L6" s="6" t="s">
        <v>33</v>
      </c>
      <c r="N6" s="3" t="s">
        <v>2</v>
      </c>
      <c r="O6" s="6" t="s">
        <v>3</v>
      </c>
      <c r="P6" s="6" t="s">
        <v>4</v>
      </c>
      <c r="Q6" s="6" t="s">
        <v>5</v>
      </c>
      <c r="R6" s="6" t="s">
        <v>33</v>
      </c>
      <c r="S6" s="6"/>
      <c r="T6" s="6" t="s">
        <v>36</v>
      </c>
      <c r="U6" s="6" t="s">
        <v>45</v>
      </c>
      <c r="V6" s="6" t="s">
        <v>46</v>
      </c>
      <c r="W6" s="6" t="s">
        <v>47</v>
      </c>
      <c r="X6" s="6" t="s">
        <v>48</v>
      </c>
      <c r="Y6" s="6" t="s">
        <v>49</v>
      </c>
    </row>
    <row r="7" spans="1:25">
      <c r="A7" t="s">
        <v>7</v>
      </c>
      <c r="B7" s="1">
        <v>863</v>
      </c>
      <c r="C7" s="1">
        <v>910</v>
      </c>
      <c r="D7" s="1">
        <v>874</v>
      </c>
      <c r="E7" s="1">
        <v>933</v>
      </c>
      <c r="F7" s="7">
        <f t="shared" ref="F7:F9" si="3">AVERAGE(B7:E7)</f>
        <v>895</v>
      </c>
      <c r="G7" s="1"/>
      <c r="H7" s="7">
        <v>115</v>
      </c>
      <c r="I7" s="7">
        <v>116</v>
      </c>
      <c r="J7" s="7">
        <v>115</v>
      </c>
      <c r="K7" s="7">
        <v>115</v>
      </c>
      <c r="L7" s="7">
        <f t="shared" ref="L7:L9" si="4">AVERAGE(H7:K7)</f>
        <v>115.25</v>
      </c>
      <c r="M7" s="1"/>
      <c r="N7" s="4">
        <v>13.01</v>
      </c>
      <c r="O7" s="4">
        <v>12.97</v>
      </c>
      <c r="P7" s="4">
        <v>13.06</v>
      </c>
      <c r="Q7" s="4">
        <v>13.05</v>
      </c>
      <c r="R7" s="4">
        <f t="shared" ref="R7:R9" si="5">AVERAGE(N7:Q7)</f>
        <v>13.022500000000001</v>
      </c>
      <c r="S7" s="4"/>
      <c r="T7" s="7">
        <v>130.80000000000001</v>
      </c>
      <c r="U7" s="1">
        <v>1.175</v>
      </c>
      <c r="V7" s="1">
        <v>1.175</v>
      </c>
      <c r="W7" s="1">
        <v>1.1759999999999999</v>
      </c>
      <c r="X7" s="1">
        <v>1.1759999999999999</v>
      </c>
      <c r="Y7" s="2">
        <f t="shared" ref="Y7:Y9" si="6">AVERAGE(U7:X7)</f>
        <v>1.1755</v>
      </c>
    </row>
    <row r="8" spans="1:25">
      <c r="A8" t="s">
        <v>22</v>
      </c>
      <c r="B8" s="1">
        <v>880</v>
      </c>
      <c r="C8" s="1">
        <v>937</v>
      </c>
      <c r="D8" s="1">
        <v>900</v>
      </c>
      <c r="E8" s="1">
        <v>936</v>
      </c>
      <c r="F8" s="7">
        <f t="shared" si="3"/>
        <v>913.25</v>
      </c>
      <c r="G8" s="1"/>
      <c r="H8" s="7">
        <v>124</v>
      </c>
      <c r="I8" s="7">
        <v>125</v>
      </c>
      <c r="J8" s="7">
        <v>122</v>
      </c>
      <c r="K8" s="7">
        <v>125</v>
      </c>
      <c r="L8" s="7">
        <f t="shared" si="4"/>
        <v>124</v>
      </c>
      <c r="M8" s="1"/>
      <c r="N8" s="4">
        <v>13.15</v>
      </c>
      <c r="O8" s="4">
        <v>13.02</v>
      </c>
      <c r="P8" s="4">
        <v>13.23</v>
      </c>
      <c r="Q8" s="4">
        <v>13.1</v>
      </c>
      <c r="R8" s="4">
        <f t="shared" si="5"/>
        <v>13.125000000000002</v>
      </c>
      <c r="S8" s="4"/>
      <c r="T8" s="7">
        <v>119.6</v>
      </c>
      <c r="U8" s="1">
        <v>1.175</v>
      </c>
      <c r="V8" s="1">
        <v>1.175</v>
      </c>
      <c r="W8" s="1">
        <v>1.1759999999999999</v>
      </c>
      <c r="X8" s="1">
        <v>1.1759999999999999</v>
      </c>
      <c r="Y8" s="2">
        <f t="shared" si="6"/>
        <v>1.1755</v>
      </c>
    </row>
    <row r="9" spans="1:25">
      <c r="A9" t="s">
        <v>29</v>
      </c>
      <c r="B9" s="1">
        <v>787</v>
      </c>
      <c r="C9" s="1">
        <v>807</v>
      </c>
      <c r="D9" s="1">
        <v>769</v>
      </c>
      <c r="E9" s="1"/>
      <c r="F9" s="7">
        <f t="shared" si="3"/>
        <v>787.66666666666663</v>
      </c>
      <c r="G9" s="1"/>
      <c r="H9" s="7">
        <v>118</v>
      </c>
      <c r="I9" s="7">
        <v>117</v>
      </c>
      <c r="J9" s="7">
        <v>117</v>
      </c>
      <c r="K9" s="7"/>
      <c r="L9" s="7">
        <f t="shared" si="4"/>
        <v>117.33333333333333</v>
      </c>
      <c r="M9" s="1"/>
      <c r="N9" s="4">
        <v>13.49</v>
      </c>
      <c r="O9" s="4">
        <v>13.59</v>
      </c>
      <c r="P9" s="4">
        <v>13.65</v>
      </c>
      <c r="Q9" s="4"/>
      <c r="R9" s="4">
        <f t="shared" si="5"/>
        <v>13.576666666666666</v>
      </c>
      <c r="S9" s="4"/>
      <c r="T9" s="7">
        <v>122.5</v>
      </c>
      <c r="U9" s="1">
        <v>1.175</v>
      </c>
      <c r="V9" s="1">
        <v>1.175</v>
      </c>
      <c r="W9" s="1">
        <v>1.1759999999999999</v>
      </c>
      <c r="X9" s="1"/>
      <c r="Y9" s="2">
        <f t="shared" si="6"/>
        <v>1.1753333333333333</v>
      </c>
    </row>
    <row r="10" spans="1:25">
      <c r="H10" s="8"/>
      <c r="I10" s="8"/>
      <c r="J10" s="8"/>
      <c r="K10" s="8"/>
      <c r="T10" s="8"/>
    </row>
    <row r="11" spans="1:25">
      <c r="H11" s="8"/>
      <c r="I11" s="8"/>
      <c r="J11" s="8"/>
      <c r="K11" s="8"/>
      <c r="T11" s="8"/>
    </row>
    <row r="12" spans="1:25"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20</v>
      </c>
      <c r="H12" s="8" t="s">
        <v>21</v>
      </c>
      <c r="I12" s="8"/>
      <c r="J12" s="8"/>
      <c r="K12" s="8"/>
    </row>
    <row r="13" spans="1:25">
      <c r="F13">
        <v>0.22750000000000001</v>
      </c>
      <c r="G13">
        <v>2.5166114784235857E-3</v>
      </c>
      <c r="H13" s="8">
        <v>1.1062028476587189</v>
      </c>
      <c r="I13" s="8"/>
      <c r="J13" s="8"/>
      <c r="K13" s="8"/>
    </row>
    <row r="14" spans="1:25">
      <c r="F14">
        <v>0.24124999999999999</v>
      </c>
      <c r="G14">
        <v>2.6299556396765858E-3</v>
      </c>
      <c r="H14" s="8">
        <v>1.0901370527156833</v>
      </c>
      <c r="I14" s="8"/>
      <c r="J14" s="8"/>
      <c r="K14" s="8"/>
    </row>
    <row r="15" spans="1:25">
      <c r="F15">
        <v>0.22500000000000001</v>
      </c>
      <c r="G15">
        <v>2.6457513110645929E-3</v>
      </c>
      <c r="H15" s="8">
        <v>1.1758894715842634</v>
      </c>
      <c r="I15" s="8"/>
      <c r="J15" s="8"/>
      <c r="K15" s="8"/>
    </row>
    <row r="16" spans="1:25">
      <c r="H16" s="8"/>
      <c r="I16" s="8"/>
      <c r="J16" s="8"/>
      <c r="K16" s="8"/>
    </row>
    <row r="17" spans="1:9"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20</v>
      </c>
      <c r="I17" s="1" t="s">
        <v>21</v>
      </c>
    </row>
    <row r="18" spans="1:9">
      <c r="A18" s="10" t="s">
        <v>10</v>
      </c>
      <c r="B18" s="11">
        <v>44211</v>
      </c>
      <c r="C18" s="6"/>
      <c r="D18" s="6">
        <v>0.223</v>
      </c>
      <c r="E18" s="6">
        <v>0.22800000000000001</v>
      </c>
      <c r="F18" s="6">
        <v>0.22700000000000001</v>
      </c>
      <c r="G18" s="3">
        <f t="shared" ref="G18:G20" si="7">AVERAGE(C18:F18)</f>
        <v>0.22600000000000001</v>
      </c>
      <c r="H18" s="3">
        <f t="shared" ref="H18:H20" si="8">STDEVA(C18:F18)</f>
        <v>2.6457513110645929E-3</v>
      </c>
      <c r="I18" s="4">
        <f t="shared" ref="I18:I20" si="9">(H18/G18)*100</f>
        <v>1.1706864208250412</v>
      </c>
    </row>
    <row r="19" spans="1:9">
      <c r="A19" s="12" t="s">
        <v>10</v>
      </c>
      <c r="B19" s="13">
        <v>44277</v>
      </c>
      <c r="C19" s="6">
        <v>0.23100000000000001</v>
      </c>
      <c r="D19" s="6">
        <v>0.22900000000000001</v>
      </c>
      <c r="E19" s="6">
        <v>0.22800000000000001</v>
      </c>
      <c r="F19" s="6">
        <v>0.23200000000000001</v>
      </c>
      <c r="G19" s="3">
        <f t="shared" si="7"/>
        <v>0.23</v>
      </c>
      <c r="H19" s="3">
        <f t="shared" si="8"/>
        <v>1.8257418583505554E-3</v>
      </c>
      <c r="I19" s="4">
        <f t="shared" si="9"/>
        <v>0.79380080797850239</v>
      </c>
    </row>
    <row r="20" spans="1:9">
      <c r="A20" s="10" t="s">
        <v>9</v>
      </c>
      <c r="B20" s="11">
        <v>44277</v>
      </c>
      <c r="C20" s="6">
        <v>0.20699999999999999</v>
      </c>
      <c r="D20" s="6">
        <v>0.20599999999999999</v>
      </c>
      <c r="E20" s="6">
        <v>0.20599999999999999</v>
      </c>
      <c r="F20" s="6">
        <v>0.20499999999999999</v>
      </c>
      <c r="G20" s="3">
        <f t="shared" si="7"/>
        <v>0.20599999999999999</v>
      </c>
      <c r="H20" s="3">
        <f t="shared" si="8"/>
        <v>8.1649658092772682E-4</v>
      </c>
      <c r="I20" s="4">
        <f t="shared" si="9"/>
        <v>0.39635756355714902</v>
      </c>
    </row>
    <row r="21" spans="1:9">
      <c r="A21" s="12" t="s">
        <v>11</v>
      </c>
      <c r="B21" s="13">
        <v>44277</v>
      </c>
      <c r="C21">
        <v>0.2112</v>
      </c>
      <c r="D21" s="6">
        <v>0.21099999999999999</v>
      </c>
      <c r="E21" s="6">
        <v>0.214</v>
      </c>
      <c r="F21" s="6">
        <v>0.21299999999999999</v>
      </c>
      <c r="G21" s="3">
        <f t="shared" ref="G21:G23" si="10">AVERAGE(C21:F21)</f>
        <v>0.21229999999999999</v>
      </c>
      <c r="H21" s="3">
        <f t="shared" ref="H21:H23" si="11">STDEVA(C21:F21)</f>
        <v>1.4468356276140469E-3</v>
      </c>
      <c r="I21" s="4">
        <f t="shared" ref="I21:I23" si="12">(H21/G21)*100</f>
        <v>0.68150524145739377</v>
      </c>
    </row>
    <row r="22" spans="1:9">
      <c r="A22" s="10" t="s">
        <v>15</v>
      </c>
      <c r="B22" s="11">
        <v>44277</v>
      </c>
      <c r="C22">
        <v>0.21160000000000001</v>
      </c>
      <c r="D22" s="6">
        <v>0.21099999999999999</v>
      </c>
      <c r="E22" s="6">
        <v>0.214</v>
      </c>
      <c r="F22" s="6">
        <v>0.20499999999999999</v>
      </c>
      <c r="G22" s="3">
        <f t="shared" si="10"/>
        <v>0.21039999999999998</v>
      </c>
      <c r="H22" s="3">
        <f t="shared" si="11"/>
        <v>3.8262252939418036E-3</v>
      </c>
      <c r="I22" s="4">
        <f t="shared" si="12"/>
        <v>1.8185481435084621</v>
      </c>
    </row>
    <row r="23" spans="1:9">
      <c r="A23" s="12" t="s">
        <v>17</v>
      </c>
      <c r="B23" s="13">
        <v>44277</v>
      </c>
      <c r="C23" s="6">
        <v>0.20200000000000001</v>
      </c>
      <c r="D23" s="6">
        <v>0.20200000000000001</v>
      </c>
      <c r="E23" s="6"/>
      <c r="F23" s="6"/>
      <c r="G23" s="3">
        <f t="shared" si="10"/>
        <v>0.20200000000000001</v>
      </c>
      <c r="H23" s="3">
        <f t="shared" si="11"/>
        <v>0</v>
      </c>
      <c r="I23" s="4">
        <f t="shared" si="12"/>
        <v>0</v>
      </c>
    </row>
    <row r="26" spans="1:9">
      <c r="A26" t="s">
        <v>14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D791-397D-42A8-BC1E-252F4ACAD622}">
  <dimension ref="A1:Z16"/>
  <sheetViews>
    <sheetView workbookViewId="0">
      <selection activeCell="A17" sqref="A17"/>
    </sheetView>
  </sheetViews>
  <sheetFormatPr defaultRowHeight="14.45"/>
  <cols>
    <col min="1" max="1" width="15.42578125" bestFit="1" customWidth="1"/>
    <col min="2" max="2" width="7.5703125" customWidth="1"/>
    <col min="3" max="3" width="10.5703125" bestFit="1" customWidth="1"/>
  </cols>
  <sheetData>
    <row r="1" spans="1:26">
      <c r="A1" s="5">
        <v>44860</v>
      </c>
      <c r="B1" s="5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</row>
    <row r="2" spans="1:26">
      <c r="A2" t="s">
        <v>40</v>
      </c>
      <c r="B2">
        <v>82.8</v>
      </c>
      <c r="C2" s="6">
        <v>0.24299999999999999</v>
      </c>
      <c r="D2" s="6">
        <v>0.2364</v>
      </c>
      <c r="E2" s="6">
        <v>0.23719999999999999</v>
      </c>
      <c r="F2" s="6">
        <v>0.2334</v>
      </c>
      <c r="G2" s="3">
        <f t="shared" ref="G2:G4" si="0">AVERAGE(C2:F2)</f>
        <v>0.23749999999999999</v>
      </c>
      <c r="H2" s="6">
        <f t="shared" ref="H2:H4" si="1">STDEVA(C2:F2)</f>
        <v>4.0149719799769451E-3</v>
      </c>
      <c r="I2" s="4">
        <f t="shared" ref="I2:I4" si="2">(H2/G2)*100</f>
        <v>1.6905145178850296</v>
      </c>
    </row>
    <row r="3" spans="1:26">
      <c r="A3" t="s">
        <v>30</v>
      </c>
      <c r="B3">
        <v>72</v>
      </c>
      <c r="C3" s="6">
        <v>0.214</v>
      </c>
      <c r="D3" s="6">
        <v>0.20949999999999999</v>
      </c>
      <c r="E3" s="6">
        <v>0.21510000000000001</v>
      </c>
      <c r="F3" s="6">
        <v>0.2102</v>
      </c>
      <c r="G3" s="3">
        <f t="shared" si="0"/>
        <v>0.2122</v>
      </c>
      <c r="H3" s="6">
        <f t="shared" si="1"/>
        <v>2.7652606869274922E-3</v>
      </c>
      <c r="I3" s="4">
        <f t="shared" si="2"/>
        <v>1.3031388722561226</v>
      </c>
    </row>
    <row r="4" spans="1:26">
      <c r="A4" t="s">
        <v>51</v>
      </c>
      <c r="B4">
        <v>65.5</v>
      </c>
      <c r="C4" s="6">
        <v>0.20050000000000001</v>
      </c>
      <c r="D4" s="6">
        <v>0.19489999999999999</v>
      </c>
      <c r="E4" s="6">
        <v>0.19750000000000001</v>
      </c>
      <c r="F4" s="6">
        <v>0.1963</v>
      </c>
      <c r="G4" s="3">
        <f t="shared" si="0"/>
        <v>0.1973</v>
      </c>
      <c r="H4" s="6">
        <f t="shared" si="1"/>
        <v>2.3832750575626055E-3</v>
      </c>
      <c r="I4" s="4">
        <f t="shared" si="2"/>
        <v>1.207944783356617</v>
      </c>
    </row>
    <row r="5" spans="1:26">
      <c r="C5" s="6"/>
      <c r="D5" s="6"/>
      <c r="E5" s="6"/>
      <c r="F5" s="6"/>
      <c r="G5" s="3"/>
      <c r="H5" s="3"/>
      <c r="I5" s="4"/>
    </row>
    <row r="6" spans="1:26">
      <c r="C6" s="6" t="s">
        <v>31</v>
      </c>
      <c r="D6" s="6" t="s">
        <v>32</v>
      </c>
      <c r="E6" t="s">
        <v>41</v>
      </c>
      <c r="F6" t="s">
        <v>42</v>
      </c>
      <c r="G6" t="s">
        <v>33</v>
      </c>
      <c r="I6" s="6" t="s">
        <v>34</v>
      </c>
      <c r="J6" s="6" t="s">
        <v>35</v>
      </c>
      <c r="K6" t="s">
        <v>43</v>
      </c>
      <c r="L6" t="s">
        <v>44</v>
      </c>
      <c r="M6" s="6" t="s">
        <v>33</v>
      </c>
      <c r="O6" s="3" t="s">
        <v>2</v>
      </c>
      <c r="P6" s="6" t="s">
        <v>3</v>
      </c>
      <c r="Q6" s="6" t="s">
        <v>4</v>
      </c>
      <c r="R6" s="6" t="s">
        <v>5</v>
      </c>
      <c r="S6" s="6" t="s">
        <v>33</v>
      </c>
      <c r="T6" s="6"/>
      <c r="U6" s="6" t="s">
        <v>36</v>
      </c>
      <c r="V6" s="6" t="s">
        <v>45</v>
      </c>
      <c r="W6" s="6" t="s">
        <v>46</v>
      </c>
      <c r="X6" s="6" t="s">
        <v>47</v>
      </c>
      <c r="Y6" s="6" t="s">
        <v>48</v>
      </c>
      <c r="Z6" s="6" t="s">
        <v>49</v>
      </c>
    </row>
    <row r="7" spans="1:26">
      <c r="A7" t="s">
        <v>40</v>
      </c>
      <c r="C7" s="1">
        <v>608</v>
      </c>
      <c r="D7" s="1">
        <v>670</v>
      </c>
      <c r="E7" s="1">
        <v>620</v>
      </c>
      <c r="F7" s="1">
        <v>607</v>
      </c>
      <c r="G7" s="7">
        <f t="shared" ref="G7:G9" si="3">AVERAGE(C7:F7)</f>
        <v>626.25</v>
      </c>
      <c r="H7" s="1"/>
      <c r="I7" s="7">
        <v>118</v>
      </c>
      <c r="J7" s="7">
        <v>118</v>
      </c>
      <c r="K7" s="7">
        <v>116</v>
      </c>
      <c r="L7" s="7">
        <v>115</v>
      </c>
      <c r="M7" s="7">
        <f t="shared" ref="M7:M9" si="4">AVERAGE(I7:L7)</f>
        <v>116.75</v>
      </c>
      <c r="N7" s="1"/>
      <c r="O7" s="4">
        <v>14.77</v>
      </c>
      <c r="P7" s="4">
        <v>14.7</v>
      </c>
      <c r="Q7" s="4">
        <v>15.01</v>
      </c>
      <c r="R7" s="4">
        <v>15.17</v>
      </c>
      <c r="S7" s="4">
        <f t="shared" ref="S7:S9" si="5">AVERAGE(O7:R7)</f>
        <v>14.9125</v>
      </c>
      <c r="T7" s="4"/>
      <c r="U7" s="7">
        <v>111.9</v>
      </c>
      <c r="V7" s="1">
        <v>1.18</v>
      </c>
      <c r="W7" s="1"/>
      <c r="X7" s="1"/>
      <c r="Y7" s="1"/>
      <c r="Z7" s="2">
        <f t="shared" ref="Z7:Z9" si="6">AVERAGE(V7:Y7)</f>
        <v>1.18</v>
      </c>
    </row>
    <row r="8" spans="1:26">
      <c r="A8" t="s">
        <v>30</v>
      </c>
      <c r="C8" s="1">
        <v>560</v>
      </c>
      <c r="D8" s="1">
        <v>578</v>
      </c>
      <c r="E8" s="1">
        <v>591</v>
      </c>
      <c r="F8" s="1">
        <v>589</v>
      </c>
      <c r="G8" s="7">
        <f t="shared" si="3"/>
        <v>579.5</v>
      </c>
      <c r="H8" s="1"/>
      <c r="I8" s="7">
        <v>118</v>
      </c>
      <c r="J8" s="7">
        <v>115</v>
      </c>
      <c r="K8" s="7">
        <v>118</v>
      </c>
      <c r="L8" s="7">
        <v>117</v>
      </c>
      <c r="M8" s="7">
        <f t="shared" si="4"/>
        <v>117</v>
      </c>
      <c r="N8" s="1"/>
      <c r="O8" s="4">
        <v>14.75</v>
      </c>
      <c r="P8" s="4">
        <v>15.14</v>
      </c>
      <c r="Q8" s="4">
        <v>14.78</v>
      </c>
      <c r="R8" s="4">
        <v>14.93</v>
      </c>
      <c r="S8" s="4">
        <f t="shared" si="5"/>
        <v>14.9</v>
      </c>
      <c r="T8" s="4"/>
      <c r="U8" s="7">
        <v>111.9</v>
      </c>
      <c r="V8" s="1">
        <v>1.18</v>
      </c>
      <c r="W8" s="1"/>
      <c r="X8" s="1"/>
      <c r="Y8" s="1"/>
      <c r="Z8" s="2">
        <f t="shared" si="6"/>
        <v>1.18</v>
      </c>
    </row>
    <row r="9" spans="1:26">
      <c r="A9" t="s">
        <v>51</v>
      </c>
      <c r="C9" s="1">
        <v>680</v>
      </c>
      <c r="D9" s="1">
        <v>708</v>
      </c>
      <c r="E9" s="1">
        <v>644</v>
      </c>
      <c r="F9" s="1">
        <v>649</v>
      </c>
      <c r="G9" s="7">
        <f t="shared" si="3"/>
        <v>670.25</v>
      </c>
      <c r="H9" s="1"/>
      <c r="I9" s="7">
        <v>120</v>
      </c>
      <c r="J9" s="7">
        <v>121</v>
      </c>
      <c r="K9" s="7">
        <v>121</v>
      </c>
      <c r="L9" s="7">
        <v>121</v>
      </c>
      <c r="M9" s="7">
        <f t="shared" si="4"/>
        <v>120.75</v>
      </c>
      <c r="N9" s="1"/>
      <c r="O9" s="4">
        <v>14.5</v>
      </c>
      <c r="P9" s="4">
        <v>14.38</v>
      </c>
      <c r="Q9" s="4">
        <v>14.37</v>
      </c>
      <c r="R9" s="4">
        <v>14.3</v>
      </c>
      <c r="S9" s="4">
        <f t="shared" si="5"/>
        <v>14.387499999999999</v>
      </c>
      <c r="T9" s="4"/>
      <c r="U9" s="7">
        <v>111.8</v>
      </c>
      <c r="V9" s="1">
        <v>1.18</v>
      </c>
      <c r="W9" s="1"/>
      <c r="X9" s="1"/>
      <c r="Y9" s="1"/>
      <c r="Z9" s="2">
        <f t="shared" si="6"/>
        <v>1.18</v>
      </c>
    </row>
    <row r="10" spans="1:26">
      <c r="I10" s="8"/>
      <c r="J10" s="8"/>
      <c r="K10" s="8"/>
      <c r="L10" s="8"/>
      <c r="U10" s="8"/>
    </row>
    <row r="11" spans="1:26">
      <c r="I11" s="8"/>
      <c r="J11" s="8"/>
      <c r="K11" s="8"/>
      <c r="L11" s="8"/>
      <c r="U11" s="8"/>
    </row>
    <row r="12" spans="1:26">
      <c r="A12" t="s">
        <v>14</v>
      </c>
      <c r="I12" s="8"/>
      <c r="J12" s="8"/>
      <c r="K12" s="8"/>
      <c r="L12" s="8"/>
    </row>
    <row r="13" spans="1:26">
      <c r="I13" s="8"/>
      <c r="J13" s="8"/>
      <c r="K13" s="8"/>
      <c r="L13" s="8"/>
    </row>
    <row r="14" spans="1:26">
      <c r="I14" s="8"/>
      <c r="J14" s="8"/>
      <c r="K14" s="8"/>
      <c r="L14" s="8"/>
    </row>
    <row r="15" spans="1:26">
      <c r="I15" s="8"/>
      <c r="J15" s="8"/>
      <c r="K15" s="8"/>
      <c r="L15" s="8"/>
    </row>
    <row r="16" spans="1:26">
      <c r="I16" s="8"/>
      <c r="J16" s="8"/>
      <c r="K16" s="8"/>
      <c r="L16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5D1C-B6A2-4E4D-8266-20A79879AC96}">
  <dimension ref="A1:Z15"/>
  <sheetViews>
    <sheetView workbookViewId="0">
      <selection activeCell="A2" sqref="A2"/>
    </sheetView>
  </sheetViews>
  <sheetFormatPr defaultRowHeight="14.45"/>
  <cols>
    <col min="1" max="1" width="15.42578125" bestFit="1" customWidth="1"/>
    <col min="2" max="2" width="7.5703125" customWidth="1"/>
    <col min="3" max="3" width="10.5703125" bestFit="1" customWidth="1"/>
  </cols>
  <sheetData>
    <row r="1" spans="1:26">
      <c r="A1" s="5">
        <v>44881</v>
      </c>
      <c r="B1" s="5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</row>
    <row r="2" spans="1:26">
      <c r="A2" t="s">
        <v>7</v>
      </c>
      <c r="B2">
        <v>93.1</v>
      </c>
      <c r="C2" s="6">
        <v>0.22309999999999999</v>
      </c>
      <c r="D2" s="6">
        <v>0.22159999999999999</v>
      </c>
      <c r="E2" s="6">
        <v>0.21759999999999999</v>
      </c>
      <c r="F2" s="6">
        <v>0.22750000000000001</v>
      </c>
      <c r="G2" s="3">
        <f t="shared" ref="G2" si="0">AVERAGE(C2:F2)</f>
        <v>0.22245000000000001</v>
      </c>
      <c r="H2" s="6">
        <f t="shared" ref="H2" si="1">STDEVA(C2:F2)</f>
        <v>4.0894172363960856E-3</v>
      </c>
      <c r="I2" s="4">
        <f t="shared" ref="I2" si="2">(H2/G2)*100</f>
        <v>1.838353444098038</v>
      </c>
    </row>
    <row r="3" spans="1:26">
      <c r="C3" s="6"/>
      <c r="D3" s="6"/>
      <c r="E3" s="6"/>
      <c r="F3" s="6"/>
      <c r="G3" s="3"/>
      <c r="H3" s="3"/>
      <c r="I3" s="4"/>
    </row>
    <row r="4" spans="1:26">
      <c r="C4" s="6" t="s">
        <v>31</v>
      </c>
      <c r="D4" s="6" t="s">
        <v>32</v>
      </c>
      <c r="E4" t="s">
        <v>41</v>
      </c>
      <c r="F4" t="s">
        <v>42</v>
      </c>
      <c r="G4" t="s">
        <v>33</v>
      </c>
      <c r="I4" s="6" t="s">
        <v>34</v>
      </c>
      <c r="J4" s="6" t="s">
        <v>35</v>
      </c>
      <c r="K4" t="s">
        <v>43</v>
      </c>
      <c r="L4" t="s">
        <v>44</v>
      </c>
      <c r="M4" s="6" t="s">
        <v>33</v>
      </c>
      <c r="O4" s="3" t="s">
        <v>2</v>
      </c>
      <c r="P4" s="6" t="s">
        <v>3</v>
      </c>
      <c r="Q4" s="6" t="s">
        <v>4</v>
      </c>
      <c r="R4" s="6" t="s">
        <v>5</v>
      </c>
      <c r="S4" s="6" t="s">
        <v>33</v>
      </c>
      <c r="T4" s="6"/>
      <c r="U4" s="6" t="s">
        <v>36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</row>
    <row r="5" spans="1:26">
      <c r="A5" t="s">
        <v>7</v>
      </c>
      <c r="C5" s="1">
        <v>898</v>
      </c>
      <c r="D5" s="1">
        <v>928</v>
      </c>
      <c r="E5" s="1">
        <v>930</v>
      </c>
      <c r="F5" s="1">
        <v>937</v>
      </c>
      <c r="G5" s="7">
        <f t="shared" ref="G5" si="3">AVERAGE(C5:F5)</f>
        <v>923.25</v>
      </c>
      <c r="H5" s="1"/>
      <c r="I5" s="7">
        <v>115</v>
      </c>
      <c r="J5" s="7">
        <v>115</v>
      </c>
      <c r="K5" s="7">
        <v>114</v>
      </c>
      <c r="L5" s="7">
        <v>114</v>
      </c>
      <c r="M5" s="7">
        <f t="shared" ref="M5" si="4">AVERAGE(I5:L5)</f>
        <v>114.5</v>
      </c>
      <c r="N5" s="1"/>
      <c r="O5" s="4">
        <v>13.01</v>
      </c>
      <c r="P5" s="4">
        <v>13.02</v>
      </c>
      <c r="Q5" s="4">
        <v>13.09</v>
      </c>
      <c r="R5" s="4">
        <v>13.1</v>
      </c>
      <c r="S5" s="4">
        <f t="shared" ref="S5" si="5">AVERAGE(O5:R5)</f>
        <v>13.055000000000001</v>
      </c>
      <c r="T5" s="4"/>
      <c r="U5" s="7">
        <v>131</v>
      </c>
      <c r="V5" s="1">
        <v>1.1639999999999999</v>
      </c>
      <c r="W5" s="1">
        <v>1.1639999999999999</v>
      </c>
      <c r="X5" s="1">
        <v>1.1619999999999999</v>
      </c>
      <c r="Y5" s="1">
        <v>1.1619999999999999</v>
      </c>
      <c r="Z5" s="2">
        <f t="shared" ref="Z5" si="6">AVERAGE(V5:Y5)</f>
        <v>1.1629999999999998</v>
      </c>
    </row>
    <row r="6" spans="1:26">
      <c r="I6" s="8"/>
      <c r="J6" s="8"/>
      <c r="K6" s="8"/>
      <c r="L6" s="8"/>
      <c r="U6" s="8"/>
    </row>
    <row r="7" spans="1:26">
      <c r="I7" s="8"/>
      <c r="J7" s="8"/>
      <c r="K7" s="8"/>
      <c r="L7" s="8"/>
      <c r="U7" s="8"/>
    </row>
    <row r="8" spans="1:26">
      <c r="A8" t="s">
        <v>14</v>
      </c>
      <c r="I8" s="8"/>
      <c r="J8" s="8"/>
      <c r="K8" s="8"/>
      <c r="L8" s="8"/>
    </row>
    <row r="9" spans="1:26">
      <c r="I9" s="8"/>
      <c r="J9" s="8"/>
      <c r="K9" s="8"/>
      <c r="L9" s="8"/>
    </row>
    <row r="10" spans="1:26">
      <c r="I10" s="8"/>
      <c r="J10" s="8"/>
      <c r="K10" s="8"/>
      <c r="L10" s="8"/>
    </row>
    <row r="11" spans="1:26">
      <c r="I11" s="8"/>
      <c r="J11" s="8"/>
      <c r="K11" s="8"/>
      <c r="L11" s="8"/>
    </row>
    <row r="12" spans="1:26">
      <c r="I12" s="8"/>
      <c r="J12" s="8"/>
      <c r="K12" s="8"/>
      <c r="L12" s="8"/>
    </row>
    <row r="13" spans="1:26">
      <c r="E13">
        <v>13.03</v>
      </c>
    </row>
    <row r="14" spans="1:26">
      <c r="E14">
        <v>13.12</v>
      </c>
    </row>
    <row r="15" spans="1:26">
      <c r="E15">
        <f>AVERAGE(E13:E14)</f>
        <v>13.074999999999999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9287-EB13-4BD3-8ACB-EC82B3173187}">
  <dimension ref="A1:AS32"/>
  <sheetViews>
    <sheetView workbookViewId="0">
      <selection activeCell="H19" sqref="H19"/>
    </sheetView>
  </sheetViews>
  <sheetFormatPr defaultRowHeight="14.45"/>
  <cols>
    <col min="1" max="1" width="15.42578125" bestFit="1" customWidth="1"/>
    <col min="2" max="2" width="7.5703125" customWidth="1"/>
    <col min="3" max="3" width="10.5703125" bestFit="1" customWidth="1"/>
  </cols>
  <sheetData>
    <row r="1" spans="1:45">
      <c r="A1" s="42" t="s">
        <v>52</v>
      </c>
      <c r="H1" s="1"/>
      <c r="O1" s="1"/>
      <c r="V1" s="1"/>
      <c r="AC1" s="1"/>
      <c r="AJ1" s="1"/>
      <c r="AR1" s="1"/>
    </row>
    <row r="2" spans="1:45">
      <c r="A2" s="41" t="s">
        <v>53</v>
      </c>
      <c r="H2" s="1"/>
      <c r="O2" s="1"/>
      <c r="V2" s="1"/>
      <c r="AC2" s="1"/>
      <c r="AJ2" s="1"/>
      <c r="AR2" s="1"/>
    </row>
    <row r="3" spans="1:45">
      <c r="A3" s="41" t="s">
        <v>54</v>
      </c>
      <c r="H3" s="1"/>
      <c r="O3" s="1"/>
      <c r="V3" s="1"/>
      <c r="AC3" s="1"/>
      <c r="AJ3" s="1"/>
      <c r="AR3" s="1"/>
    </row>
    <row r="4" spans="1:45">
      <c r="I4" s="8"/>
      <c r="J4" s="8"/>
      <c r="K4" s="8"/>
      <c r="L4" s="8"/>
      <c r="P4" s="8"/>
      <c r="W4" s="8"/>
      <c r="AD4" s="8"/>
      <c r="AK4" s="8"/>
      <c r="AS4" s="8"/>
    </row>
    <row r="5" spans="1:45">
      <c r="A5" s="37">
        <v>45196</v>
      </c>
      <c r="C5" s="59" t="s">
        <v>0</v>
      </c>
      <c r="D5" s="60"/>
      <c r="E5" s="60"/>
      <c r="F5" s="60"/>
      <c r="G5" s="60"/>
      <c r="H5" s="60"/>
      <c r="I5" s="61"/>
      <c r="J5" s="59" t="s">
        <v>55</v>
      </c>
      <c r="K5" s="60"/>
      <c r="L5" s="60"/>
      <c r="M5" s="60"/>
      <c r="N5" s="60"/>
      <c r="O5" s="60"/>
      <c r="P5" s="61"/>
      <c r="Q5" s="59" t="s">
        <v>56</v>
      </c>
      <c r="R5" s="60"/>
      <c r="S5" s="60"/>
      <c r="T5" s="60"/>
      <c r="U5" s="60"/>
      <c r="V5" s="60"/>
      <c r="W5" s="61"/>
      <c r="X5" s="59" t="s">
        <v>57</v>
      </c>
      <c r="Y5" s="60"/>
      <c r="Z5" s="60"/>
      <c r="AA5" s="60"/>
      <c r="AB5" s="60"/>
      <c r="AC5" s="60"/>
      <c r="AD5" s="61"/>
      <c r="AE5" s="59" t="s">
        <v>58</v>
      </c>
      <c r="AF5" s="60"/>
      <c r="AG5" s="60"/>
      <c r="AH5" s="60"/>
      <c r="AI5" s="60"/>
      <c r="AJ5" s="60"/>
      <c r="AK5" s="61"/>
      <c r="AS5" s="8"/>
    </row>
    <row r="6" spans="1:45">
      <c r="A6" s="14"/>
      <c r="B6" s="38" t="s">
        <v>50</v>
      </c>
      <c r="C6" s="24" t="s">
        <v>59</v>
      </c>
      <c r="D6" s="24" t="s">
        <v>60</v>
      </c>
      <c r="E6" s="24" t="s">
        <v>61</v>
      </c>
      <c r="F6" s="24" t="s">
        <v>62</v>
      </c>
      <c r="G6" s="29" t="s">
        <v>6</v>
      </c>
      <c r="H6" s="29" t="s">
        <v>20</v>
      </c>
      <c r="I6" s="30" t="s">
        <v>21</v>
      </c>
      <c r="J6" s="25" t="s">
        <v>31</v>
      </c>
      <c r="K6" s="26" t="s">
        <v>32</v>
      </c>
      <c r="L6" s="27" t="s">
        <v>41</v>
      </c>
      <c r="M6" s="27" t="s">
        <v>42</v>
      </c>
      <c r="N6" s="29" t="s">
        <v>6</v>
      </c>
      <c r="O6" s="29" t="s">
        <v>20</v>
      </c>
      <c r="P6" s="30" t="s">
        <v>21</v>
      </c>
      <c r="Q6" s="25" t="s">
        <v>34</v>
      </c>
      <c r="R6" s="26" t="s">
        <v>35</v>
      </c>
      <c r="S6" s="27" t="s">
        <v>43</v>
      </c>
      <c r="T6" s="27" t="s">
        <v>44</v>
      </c>
      <c r="U6" s="29" t="s">
        <v>6</v>
      </c>
      <c r="V6" s="29" t="s">
        <v>20</v>
      </c>
      <c r="W6" s="30" t="s">
        <v>21</v>
      </c>
      <c r="X6" s="28" t="s">
        <v>63</v>
      </c>
      <c r="Y6" s="28" t="s">
        <v>64</v>
      </c>
      <c r="Z6" s="28" t="s">
        <v>65</v>
      </c>
      <c r="AA6" s="28" t="s">
        <v>66</v>
      </c>
      <c r="AB6" s="29" t="s">
        <v>6</v>
      </c>
      <c r="AC6" s="29" t="s">
        <v>20</v>
      </c>
      <c r="AD6" s="30" t="s">
        <v>21</v>
      </c>
      <c r="AE6" s="28" t="s">
        <v>67</v>
      </c>
      <c r="AF6" s="28" t="s">
        <v>68</v>
      </c>
      <c r="AG6" s="28" t="s">
        <v>69</v>
      </c>
      <c r="AH6" s="28" t="s">
        <v>70</v>
      </c>
      <c r="AI6" s="29" t="s">
        <v>6</v>
      </c>
      <c r="AJ6" s="29" t="s">
        <v>20</v>
      </c>
      <c r="AK6" s="30" t="s">
        <v>21</v>
      </c>
      <c r="AL6" s="25" t="s">
        <v>36</v>
      </c>
      <c r="AM6" s="26" t="s">
        <v>45</v>
      </c>
      <c r="AN6" s="26" t="s">
        <v>46</v>
      </c>
      <c r="AO6" s="26" t="s">
        <v>47</v>
      </c>
      <c r="AP6" s="26" t="s">
        <v>48</v>
      </c>
      <c r="AQ6" s="29" t="s">
        <v>6</v>
      </c>
      <c r="AR6" s="29" t="s">
        <v>20</v>
      </c>
      <c r="AS6" s="30" t="s">
        <v>21</v>
      </c>
    </row>
    <row r="7" spans="1:45">
      <c r="A7" s="22" t="s">
        <v>40</v>
      </c>
      <c r="B7" s="39">
        <v>81.099999999999994</v>
      </c>
      <c r="C7" s="6">
        <v>0.21879999999999999</v>
      </c>
      <c r="D7" s="6">
        <v>0.21790000000000001</v>
      </c>
      <c r="E7" s="6">
        <v>0.21909999999999999</v>
      </c>
      <c r="F7" s="6">
        <v>0.21790000000000001</v>
      </c>
      <c r="G7" s="31">
        <f t="shared" ref="G7:G9" si="0">AVERAGE(C7:F7)</f>
        <v>0.21842499999999998</v>
      </c>
      <c r="H7" s="32">
        <f t="shared" ref="H7:H9" si="1">STDEVA(C7:F7)</f>
        <v>6.1846584384263824E-4</v>
      </c>
      <c r="I7" s="33">
        <f t="shared" ref="I7:I9" si="2">(H7/G7)*100</f>
        <v>0.28314791980892223</v>
      </c>
      <c r="J7" s="20">
        <v>806</v>
      </c>
      <c r="K7" s="1">
        <v>796</v>
      </c>
      <c r="L7" s="1">
        <v>780</v>
      </c>
      <c r="M7" s="1">
        <v>792</v>
      </c>
      <c r="N7" s="52">
        <f t="shared" ref="N7:N11" si="3">AVERAGE(J7:M7)</f>
        <v>793.5</v>
      </c>
      <c r="O7" s="52">
        <f t="shared" ref="O7:O11" si="4">STDEVA(J7:M7)</f>
        <v>10.754843869934453</v>
      </c>
      <c r="P7" s="33">
        <f t="shared" ref="P7:P11" si="5">(O7/N7)*100</f>
        <v>1.3553678475027666</v>
      </c>
      <c r="Q7" s="18">
        <v>130</v>
      </c>
      <c r="R7" s="7">
        <v>130</v>
      </c>
      <c r="S7" s="7">
        <v>129</v>
      </c>
      <c r="T7" s="7">
        <v>130</v>
      </c>
      <c r="U7" s="52">
        <f t="shared" ref="U7:U11" si="6">AVERAGE(Q7:T7)</f>
        <v>129.75</v>
      </c>
      <c r="V7" s="54">
        <f t="shared" ref="V7:V11" si="7">STDEVA(Q7:T7)</f>
        <v>0.5</v>
      </c>
      <c r="W7" s="33">
        <f t="shared" ref="W7:W11" si="8">(V7/U7)*100</f>
        <v>0.38535645472061658</v>
      </c>
      <c r="X7" s="50">
        <v>67.2</v>
      </c>
      <c r="Y7" s="50">
        <v>67.2</v>
      </c>
      <c r="Z7" s="50">
        <v>66.900000000000006</v>
      </c>
      <c r="AA7" s="50">
        <v>67</v>
      </c>
      <c r="AB7" s="31">
        <f t="shared" ref="AB7:AB11" si="9">AVERAGE(X7:AA7)</f>
        <v>67.075000000000003</v>
      </c>
      <c r="AC7" s="32">
        <f t="shared" ref="AC7:AC11" si="10">STDEVA(X7:AA7)</f>
        <v>0.14999999999999936</v>
      </c>
      <c r="AD7" s="33">
        <f t="shared" ref="AD7:AD11" si="11">(AC7/AB7)*100</f>
        <v>0.22363026462914551</v>
      </c>
      <c r="AE7" s="50">
        <v>65.400000000000006</v>
      </c>
      <c r="AF7" s="50">
        <v>65.7</v>
      </c>
      <c r="AG7" s="50">
        <v>65.900000000000006</v>
      </c>
      <c r="AH7" s="50">
        <v>65.2</v>
      </c>
      <c r="AI7" s="31">
        <f t="shared" ref="AI7:AI11" si="12">AVERAGE(AE7:AH7)</f>
        <v>65.550000000000011</v>
      </c>
      <c r="AJ7" s="32">
        <f t="shared" ref="AJ7:AJ11" si="13">STDEVA(AE7:AH7)</f>
        <v>0.31091263510296113</v>
      </c>
      <c r="AK7" s="33">
        <f t="shared" ref="AK7:AK11" si="14">(AJ7/AI7)*100</f>
        <v>0.47431370725089411</v>
      </c>
      <c r="AL7" s="45">
        <v>111.8</v>
      </c>
      <c r="AM7" s="46">
        <v>1.1679999999999999</v>
      </c>
      <c r="AN7" s="46">
        <v>1.1659999999999999</v>
      </c>
      <c r="AO7" s="46">
        <v>1.1659999999999999</v>
      </c>
      <c r="AP7" s="46">
        <v>1.165</v>
      </c>
      <c r="AQ7" s="47">
        <f t="shared" ref="AQ7:AQ11" si="15">AVERAGE(AM7:AP7)</f>
        <v>1.1662499999999998</v>
      </c>
      <c r="AR7" s="48">
        <f t="shared" ref="AR7:AR11" si="16">STDEVA(AM7:AP7)</f>
        <v>1.258305739211756E-3</v>
      </c>
      <c r="AS7" s="49">
        <f t="shared" ref="AS7:AS11" si="17">(AR7/AQ7)*100</f>
        <v>0.10789331097206913</v>
      </c>
    </row>
    <row r="8" spans="1:45">
      <c r="A8" s="22" t="s">
        <v>30</v>
      </c>
      <c r="B8" s="39">
        <v>75</v>
      </c>
      <c r="C8" s="6">
        <v>0.21260000000000001</v>
      </c>
      <c r="D8" s="6">
        <v>0.20880000000000001</v>
      </c>
      <c r="E8" s="6">
        <v>0.2107</v>
      </c>
      <c r="F8" s="6">
        <v>0.2104</v>
      </c>
      <c r="G8" s="31">
        <f t="shared" si="0"/>
        <v>0.21062500000000001</v>
      </c>
      <c r="H8" s="32">
        <f t="shared" si="1"/>
        <v>1.5585784121008044E-3</v>
      </c>
      <c r="I8" s="33">
        <f t="shared" si="2"/>
        <v>0.73997788111610885</v>
      </c>
      <c r="J8" s="20">
        <v>771</v>
      </c>
      <c r="K8" s="1">
        <v>737</v>
      </c>
      <c r="L8" s="1">
        <v>739</v>
      </c>
      <c r="M8" s="1">
        <v>738</v>
      </c>
      <c r="N8" s="52">
        <f t="shared" si="3"/>
        <v>746.25</v>
      </c>
      <c r="O8" s="52">
        <f t="shared" si="4"/>
        <v>16.520189667999176</v>
      </c>
      <c r="P8" s="33">
        <f t="shared" si="5"/>
        <v>2.2137607595308779</v>
      </c>
      <c r="Q8" s="18">
        <v>127</v>
      </c>
      <c r="R8" s="7">
        <v>129</v>
      </c>
      <c r="S8" s="7">
        <v>128</v>
      </c>
      <c r="T8" s="7">
        <v>128</v>
      </c>
      <c r="U8" s="52">
        <f t="shared" si="6"/>
        <v>128</v>
      </c>
      <c r="V8" s="54">
        <f t="shared" si="7"/>
        <v>0.81649658092772603</v>
      </c>
      <c r="W8" s="33">
        <f t="shared" si="8"/>
        <v>0.63788795384978592</v>
      </c>
      <c r="X8" s="50">
        <v>65.900000000000006</v>
      </c>
      <c r="Y8" s="50">
        <v>66.7</v>
      </c>
      <c r="Z8" s="50">
        <v>66.3</v>
      </c>
      <c r="AA8" s="50">
        <v>66.2</v>
      </c>
      <c r="AB8" s="31">
        <f t="shared" si="9"/>
        <v>66.275000000000006</v>
      </c>
      <c r="AC8" s="32">
        <f t="shared" si="10"/>
        <v>0.33040379335998227</v>
      </c>
      <c r="AD8" s="33">
        <f t="shared" si="11"/>
        <v>0.49853458070159529</v>
      </c>
      <c r="AE8" s="50">
        <v>62.5</v>
      </c>
      <c r="AF8" s="50">
        <v>65.599999999999994</v>
      </c>
      <c r="AG8" s="50">
        <v>65.2</v>
      </c>
      <c r="AH8" s="50">
        <v>65</v>
      </c>
      <c r="AI8" s="31">
        <f t="shared" si="12"/>
        <v>64.575000000000003</v>
      </c>
      <c r="AJ8" s="32">
        <f t="shared" si="13"/>
        <v>1.4056433876817158</v>
      </c>
      <c r="AK8" s="33">
        <f t="shared" si="14"/>
        <v>2.1767609565338226</v>
      </c>
      <c r="AL8" s="43">
        <v>111.9</v>
      </c>
      <c r="AM8" s="1">
        <v>1.1679999999999999</v>
      </c>
      <c r="AN8" s="1">
        <v>1.1659999999999999</v>
      </c>
      <c r="AO8" s="1">
        <v>1.1659999999999999</v>
      </c>
      <c r="AP8" s="1">
        <v>1.165</v>
      </c>
      <c r="AQ8" s="31">
        <f t="shared" si="15"/>
        <v>1.1662499999999998</v>
      </c>
      <c r="AR8" s="32">
        <f t="shared" si="16"/>
        <v>1.258305739211756E-3</v>
      </c>
      <c r="AS8" s="33">
        <f t="shared" si="17"/>
        <v>0.10789331097206913</v>
      </c>
    </row>
    <row r="9" spans="1:45">
      <c r="A9" s="22" t="s">
        <v>51</v>
      </c>
      <c r="B9" s="39">
        <v>67.400000000000006</v>
      </c>
      <c r="C9" s="6">
        <v>0.20569999999999999</v>
      </c>
      <c r="D9" s="6">
        <v>0.2016</v>
      </c>
      <c r="E9" s="6">
        <v>0.20499999999999999</v>
      </c>
      <c r="F9" s="6">
        <v>0.20680000000000001</v>
      </c>
      <c r="G9" s="31">
        <f t="shared" si="0"/>
        <v>0.20477499999999998</v>
      </c>
      <c r="H9" s="32">
        <f t="shared" si="1"/>
        <v>2.2425803590209814E-3</v>
      </c>
      <c r="I9" s="33">
        <f t="shared" si="2"/>
        <v>1.0951436254528051</v>
      </c>
      <c r="J9" s="20">
        <v>834</v>
      </c>
      <c r="K9" s="1">
        <v>845</v>
      </c>
      <c r="L9" s="1">
        <v>847</v>
      </c>
      <c r="M9" s="1">
        <v>838</v>
      </c>
      <c r="N9" s="52">
        <f t="shared" si="3"/>
        <v>841</v>
      </c>
      <c r="O9" s="52">
        <f t="shared" si="4"/>
        <v>6.0553007081949835</v>
      </c>
      <c r="P9" s="33">
        <f t="shared" si="5"/>
        <v>0.72001197481509915</v>
      </c>
      <c r="Q9" s="18">
        <v>130</v>
      </c>
      <c r="R9" s="7">
        <v>133</v>
      </c>
      <c r="S9" s="7">
        <v>134</v>
      </c>
      <c r="T9" s="7">
        <v>132</v>
      </c>
      <c r="U9" s="52">
        <f t="shared" si="6"/>
        <v>132.25</v>
      </c>
      <c r="V9" s="54">
        <f t="shared" si="7"/>
        <v>1.707825127659933</v>
      </c>
      <c r="W9" s="33">
        <f t="shared" si="8"/>
        <v>1.2913611551303841</v>
      </c>
      <c r="X9" s="50">
        <v>67.2</v>
      </c>
      <c r="Y9" s="50">
        <v>68.599999999999994</v>
      </c>
      <c r="Z9" s="50">
        <v>69.099999999999994</v>
      </c>
      <c r="AA9" s="50">
        <v>68.3</v>
      </c>
      <c r="AB9" s="31">
        <f t="shared" si="9"/>
        <v>68.3</v>
      </c>
      <c r="AC9" s="32">
        <f t="shared" si="10"/>
        <v>0.80415587212098405</v>
      </c>
      <c r="AD9" s="33">
        <f t="shared" si="11"/>
        <v>1.1773878069121291</v>
      </c>
      <c r="AE9" s="50">
        <v>63.1</v>
      </c>
      <c r="AF9" s="50">
        <v>64.7</v>
      </c>
      <c r="AG9" s="50">
        <v>66.2</v>
      </c>
      <c r="AH9" s="50">
        <v>65.2</v>
      </c>
      <c r="AI9" s="31">
        <f t="shared" si="12"/>
        <v>64.8</v>
      </c>
      <c r="AJ9" s="32">
        <f t="shared" si="13"/>
        <v>1.2935738607954843</v>
      </c>
      <c r="AK9" s="33">
        <f t="shared" si="14"/>
        <v>1.9962559580177226</v>
      </c>
      <c r="AL9" s="43">
        <v>111.9</v>
      </c>
      <c r="AM9" s="1">
        <v>1.1679999999999999</v>
      </c>
      <c r="AN9" s="1">
        <v>1.1659999999999999</v>
      </c>
      <c r="AO9" s="1">
        <v>1.1659999999999999</v>
      </c>
      <c r="AP9" s="1">
        <v>1.165</v>
      </c>
      <c r="AQ9" s="31">
        <f t="shared" si="15"/>
        <v>1.1662499999999998</v>
      </c>
      <c r="AR9" s="32">
        <f t="shared" si="16"/>
        <v>1.258305739211756E-3</v>
      </c>
      <c r="AS9" s="33">
        <f t="shared" si="17"/>
        <v>0.10789331097206913</v>
      </c>
    </row>
    <row r="10" spans="1:45">
      <c r="A10" s="22" t="s">
        <v>7</v>
      </c>
      <c r="B10" s="39">
        <v>94.4</v>
      </c>
      <c r="C10" s="6"/>
      <c r="D10" s="6">
        <v>0.2228</v>
      </c>
      <c r="E10" s="6">
        <v>0.22320000000000001</v>
      </c>
      <c r="F10" s="6">
        <v>0.22409999999999999</v>
      </c>
      <c r="G10" s="31">
        <f t="shared" ref="G10:G11" si="18">AVERAGE(C10:F10)</f>
        <v>0.22336666666666669</v>
      </c>
      <c r="H10" s="32">
        <f t="shared" ref="H10:H11" si="19">STDEVA(C10:F10)</f>
        <v>6.6583281184793544E-4</v>
      </c>
      <c r="I10" s="33">
        <f t="shared" ref="I10:I11" si="20">(H10/G10)*100</f>
        <v>0.29808960387163203</v>
      </c>
      <c r="J10" s="20"/>
      <c r="K10" s="1">
        <v>1082</v>
      </c>
      <c r="L10" s="1">
        <v>1024</v>
      </c>
      <c r="M10" s="1">
        <v>1059</v>
      </c>
      <c r="N10" s="52">
        <f t="shared" si="3"/>
        <v>1055</v>
      </c>
      <c r="O10" s="52">
        <f t="shared" si="4"/>
        <v>29.206163733020468</v>
      </c>
      <c r="P10" s="33">
        <f t="shared" si="5"/>
        <v>2.7683567519450678</v>
      </c>
      <c r="Q10" s="18"/>
      <c r="R10" s="7">
        <v>126</v>
      </c>
      <c r="S10" s="7">
        <v>126</v>
      </c>
      <c r="T10" s="7">
        <v>127</v>
      </c>
      <c r="U10" s="52">
        <f t="shared" si="6"/>
        <v>126.33333333333333</v>
      </c>
      <c r="V10" s="54">
        <f t="shared" si="7"/>
        <v>0.57735026918962573</v>
      </c>
      <c r="W10" s="33">
        <f t="shared" si="8"/>
        <v>0.45700549012371433</v>
      </c>
      <c r="X10" s="50"/>
      <c r="Y10" s="50">
        <v>72.3</v>
      </c>
      <c r="Z10" s="50">
        <v>72.599999999999994</v>
      </c>
      <c r="AA10" s="50">
        <v>73.400000000000006</v>
      </c>
      <c r="AB10" s="31">
        <f t="shared" si="9"/>
        <v>72.766666666666666</v>
      </c>
      <c r="AC10" s="32">
        <f t="shared" si="10"/>
        <v>0.56862407030773787</v>
      </c>
      <c r="AD10" s="33">
        <f t="shared" si="11"/>
        <v>0.78143481947925508</v>
      </c>
      <c r="AE10" s="50"/>
      <c r="AF10" s="50">
        <v>69.2</v>
      </c>
      <c r="AG10" s="50">
        <v>70.599999999999994</v>
      </c>
      <c r="AH10" s="50">
        <v>71.900000000000006</v>
      </c>
      <c r="AI10" s="31">
        <f t="shared" si="12"/>
        <v>70.566666666666677</v>
      </c>
      <c r="AJ10" s="32">
        <f t="shared" si="13"/>
        <v>1.3503086067019408</v>
      </c>
      <c r="AK10" s="33">
        <f t="shared" si="14"/>
        <v>1.9135218800688814</v>
      </c>
      <c r="AL10" s="43">
        <v>124.6</v>
      </c>
      <c r="AM10" s="1">
        <v>1.1679999999999999</v>
      </c>
      <c r="AN10" s="1">
        <v>1.1659999999999999</v>
      </c>
      <c r="AO10" s="1">
        <v>1.1659999999999999</v>
      </c>
      <c r="AP10" s="1">
        <v>1.165</v>
      </c>
      <c r="AQ10" s="31">
        <f t="shared" si="15"/>
        <v>1.1662499999999998</v>
      </c>
      <c r="AR10" s="32">
        <f t="shared" si="16"/>
        <v>1.258305739211756E-3</v>
      </c>
      <c r="AS10" s="33">
        <f t="shared" si="17"/>
        <v>0.10789331097206913</v>
      </c>
    </row>
    <row r="11" spans="1:45">
      <c r="A11" s="23" t="s">
        <v>22</v>
      </c>
      <c r="B11" s="40">
        <v>94.5</v>
      </c>
      <c r="C11" s="15">
        <v>0.22950000000000001</v>
      </c>
      <c r="D11" s="15">
        <v>0.22969999999999999</v>
      </c>
      <c r="E11" s="15">
        <v>0.23250000000000001</v>
      </c>
      <c r="F11" s="15">
        <v>0.23269999999999999</v>
      </c>
      <c r="G11" s="34">
        <f t="shared" si="18"/>
        <v>0.2311</v>
      </c>
      <c r="H11" s="35">
        <f t="shared" si="19"/>
        <v>1.7358955421722057E-3</v>
      </c>
      <c r="I11" s="36">
        <f t="shared" si="20"/>
        <v>0.75114476078416514</v>
      </c>
      <c r="J11" s="21">
        <v>1057</v>
      </c>
      <c r="K11" s="16">
        <v>1166</v>
      </c>
      <c r="L11" s="16">
        <v>1140</v>
      </c>
      <c r="M11" s="16">
        <v>1096</v>
      </c>
      <c r="N11" s="53">
        <f t="shared" si="3"/>
        <v>1114.75</v>
      </c>
      <c r="O11" s="53">
        <f t="shared" si="4"/>
        <v>48.134360561522641</v>
      </c>
      <c r="P11" s="36">
        <f t="shared" si="5"/>
        <v>4.3179511604864445</v>
      </c>
      <c r="Q11" s="19">
        <v>123</v>
      </c>
      <c r="R11" s="17">
        <v>126</v>
      </c>
      <c r="S11" s="17">
        <v>127</v>
      </c>
      <c r="T11" s="17">
        <v>127</v>
      </c>
      <c r="U11" s="53">
        <f t="shared" si="6"/>
        <v>125.75</v>
      </c>
      <c r="V11" s="55">
        <f t="shared" si="7"/>
        <v>1.8929694486000912</v>
      </c>
      <c r="W11" s="36">
        <f t="shared" si="8"/>
        <v>1.5053434978927167</v>
      </c>
      <c r="X11" s="51">
        <v>70.900000000000006</v>
      </c>
      <c r="Y11" s="51">
        <v>72.8</v>
      </c>
      <c r="Z11" s="51">
        <v>73.2</v>
      </c>
      <c r="AA11" s="51">
        <v>73</v>
      </c>
      <c r="AB11" s="34">
        <f t="shared" si="9"/>
        <v>72.474999999999994</v>
      </c>
      <c r="AC11" s="35">
        <f t="shared" si="10"/>
        <v>1.0626225419530029</v>
      </c>
      <c r="AD11" s="36">
        <f t="shared" si="11"/>
        <v>1.4661918481586795</v>
      </c>
      <c r="AE11" s="51">
        <v>68.3</v>
      </c>
      <c r="AF11" s="51">
        <v>69.7</v>
      </c>
      <c r="AG11" s="51">
        <v>71.099999999999994</v>
      </c>
      <c r="AH11" s="51">
        <v>71.900000000000006</v>
      </c>
      <c r="AI11" s="34">
        <f t="shared" si="12"/>
        <v>70.25</v>
      </c>
      <c r="AJ11" s="35">
        <f t="shared" si="13"/>
        <v>1.5864005379054409</v>
      </c>
      <c r="AK11" s="36">
        <f t="shared" si="14"/>
        <v>2.2582214062710904</v>
      </c>
      <c r="AL11" s="44">
        <v>124.6</v>
      </c>
      <c r="AM11" s="16">
        <v>1.1679999999999999</v>
      </c>
      <c r="AN11" s="16">
        <v>1.1659999999999999</v>
      </c>
      <c r="AO11" s="16">
        <v>1.1659999999999999</v>
      </c>
      <c r="AP11" s="16">
        <v>1.165</v>
      </c>
      <c r="AQ11" s="34">
        <f t="shared" si="15"/>
        <v>1.1662499999999998</v>
      </c>
      <c r="AR11" s="35">
        <f t="shared" si="16"/>
        <v>1.258305739211756E-3</v>
      </c>
      <c r="AS11" s="36">
        <f t="shared" si="17"/>
        <v>0.10789331097206913</v>
      </c>
    </row>
    <row r="12" spans="1:45">
      <c r="C12" s="6"/>
      <c r="D12" s="6"/>
      <c r="E12" s="6"/>
      <c r="F12" s="6"/>
      <c r="G12" s="3"/>
      <c r="H12" s="3"/>
      <c r="I12" s="4"/>
      <c r="N12" s="3"/>
      <c r="O12" s="3"/>
      <c r="P12" s="4"/>
      <c r="U12" s="3"/>
      <c r="V12" s="3"/>
      <c r="W12" s="4"/>
      <c r="AB12" s="3"/>
      <c r="AC12" s="3"/>
      <c r="AD12" s="4"/>
      <c r="AI12" s="3"/>
      <c r="AJ12" s="3"/>
      <c r="AK12" s="4"/>
      <c r="AQ12" s="3"/>
      <c r="AR12" s="3"/>
      <c r="AS12" s="4"/>
    </row>
    <row r="13" spans="1:45">
      <c r="F13" s="56" t="s">
        <v>6</v>
      </c>
      <c r="G13" s="57">
        <f>AVERAGE(G7:G11)</f>
        <v>0.21765833333333334</v>
      </c>
      <c r="H13" s="57">
        <f t="shared" ref="H13:I13" si="21">AVERAGE(H7:H11)</f>
        <v>1.364270593796913E-3</v>
      </c>
      <c r="I13" s="57">
        <f t="shared" si="21"/>
        <v>0.63350075820672658</v>
      </c>
      <c r="M13" s="56" t="s">
        <v>6</v>
      </c>
      <c r="N13" s="57">
        <f>AVERAGE(N7:N11)</f>
        <v>910.1</v>
      </c>
      <c r="O13" s="57">
        <f t="shared" ref="O13:P13" si="22">AVERAGE(O7:O11)</f>
        <v>22.134171708134346</v>
      </c>
      <c r="P13" s="57">
        <f t="shared" si="22"/>
        <v>2.2750896988560512</v>
      </c>
      <c r="T13" s="56" t="s">
        <v>6</v>
      </c>
      <c r="U13" s="57">
        <f>AVERAGE(U7:U11)</f>
        <v>128.41666666666669</v>
      </c>
      <c r="V13" s="57">
        <f t="shared" ref="V13:W13" si="23">AVERAGE(V7:V11)</f>
        <v>1.0989282852754751</v>
      </c>
      <c r="W13" s="57">
        <f t="shared" si="23"/>
        <v>0.8553909103434435</v>
      </c>
      <c r="AA13" s="56" t="s">
        <v>6</v>
      </c>
      <c r="AB13" s="57">
        <f>AVERAGE(AB7:AB11)</f>
        <v>69.37833333333333</v>
      </c>
      <c r="AC13" s="57">
        <f t="shared" ref="AC13:AD13" si="24">AVERAGE(AC7:AC11)</f>
        <v>0.58316125554834131</v>
      </c>
      <c r="AD13" s="57">
        <f t="shared" si="24"/>
        <v>0.82943586397616076</v>
      </c>
      <c r="AH13" s="56" t="s">
        <v>6</v>
      </c>
      <c r="AI13" s="57">
        <f>AVERAGE(AI7:AI11)</f>
        <v>67.148333333333341</v>
      </c>
      <c r="AJ13" s="57">
        <f t="shared" ref="AJ13:AK13" si="25">AVERAGE(AJ7:AJ11)</f>
        <v>1.1893678056375083</v>
      </c>
      <c r="AK13" s="57">
        <f t="shared" si="25"/>
        <v>1.7638147816284822</v>
      </c>
    </row>
    <row r="14" spans="1:45">
      <c r="I14" s="8"/>
      <c r="J14" s="8"/>
      <c r="K14" s="8"/>
      <c r="L14" s="8"/>
      <c r="P14" s="8"/>
      <c r="W14" s="8"/>
      <c r="X14" s="8"/>
      <c r="AD14" s="8"/>
      <c r="AE14" s="8"/>
      <c r="AK14" s="8"/>
      <c r="AS14" s="8"/>
    </row>
    <row r="15" spans="1:45">
      <c r="A15" s="37">
        <v>45203</v>
      </c>
      <c r="I15" s="8"/>
      <c r="J15" s="8"/>
      <c r="K15" s="8"/>
      <c r="L15" s="8"/>
      <c r="P15" s="8"/>
      <c r="W15" s="8"/>
      <c r="AD15" s="8"/>
      <c r="AK15" s="8"/>
      <c r="AS15" s="8"/>
    </row>
    <row r="16" spans="1:45">
      <c r="A16" s="14"/>
      <c r="B16" s="38" t="s">
        <v>50</v>
      </c>
      <c r="C16" s="24" t="s">
        <v>59</v>
      </c>
      <c r="D16" s="24" t="s">
        <v>60</v>
      </c>
      <c r="E16" s="24" t="s">
        <v>61</v>
      </c>
      <c r="F16" s="24" t="s">
        <v>62</v>
      </c>
      <c r="G16" s="29" t="s">
        <v>6</v>
      </c>
      <c r="H16" s="29" t="s">
        <v>20</v>
      </c>
      <c r="I16" s="30" t="s">
        <v>21</v>
      </c>
      <c r="J16" s="25" t="s">
        <v>31</v>
      </c>
      <c r="K16" s="26" t="s">
        <v>32</v>
      </c>
      <c r="L16" s="27" t="s">
        <v>41</v>
      </c>
      <c r="M16" s="27" t="s">
        <v>42</v>
      </c>
      <c r="N16" s="29" t="s">
        <v>6</v>
      </c>
      <c r="O16" s="29" t="s">
        <v>20</v>
      </c>
      <c r="P16" s="30" t="s">
        <v>21</v>
      </c>
      <c r="Q16" s="25" t="s">
        <v>34</v>
      </c>
      <c r="R16" s="26" t="s">
        <v>35</v>
      </c>
      <c r="S16" s="27" t="s">
        <v>43</v>
      </c>
      <c r="T16" s="27" t="s">
        <v>44</v>
      </c>
      <c r="U16" s="29" t="s">
        <v>6</v>
      </c>
      <c r="V16" s="29" t="s">
        <v>20</v>
      </c>
      <c r="W16" s="30" t="s">
        <v>21</v>
      </c>
      <c r="X16" s="28" t="s">
        <v>63</v>
      </c>
      <c r="Y16" s="28" t="s">
        <v>64</v>
      </c>
      <c r="Z16" s="28" t="s">
        <v>65</v>
      </c>
      <c r="AA16" s="28" t="s">
        <v>66</v>
      </c>
      <c r="AB16" s="29" t="s">
        <v>6</v>
      </c>
      <c r="AC16" s="29" t="s">
        <v>20</v>
      </c>
      <c r="AD16" s="30" t="s">
        <v>21</v>
      </c>
      <c r="AE16" s="28" t="s">
        <v>67</v>
      </c>
      <c r="AF16" s="28" t="s">
        <v>68</v>
      </c>
      <c r="AG16" s="28" t="s">
        <v>69</v>
      </c>
      <c r="AH16" s="28" t="s">
        <v>70</v>
      </c>
      <c r="AI16" s="29" t="s">
        <v>6</v>
      </c>
      <c r="AJ16" s="29" t="s">
        <v>20</v>
      </c>
      <c r="AK16" s="30" t="s">
        <v>21</v>
      </c>
      <c r="AL16" s="25" t="s">
        <v>36</v>
      </c>
      <c r="AM16" s="26" t="s">
        <v>45</v>
      </c>
      <c r="AN16" s="26" t="s">
        <v>46</v>
      </c>
      <c r="AO16" s="26" t="s">
        <v>47</v>
      </c>
      <c r="AP16" s="26" t="s">
        <v>48</v>
      </c>
      <c r="AQ16" s="29" t="s">
        <v>6</v>
      </c>
      <c r="AR16" s="29" t="s">
        <v>20</v>
      </c>
      <c r="AS16" s="30" t="s">
        <v>21</v>
      </c>
    </row>
    <row r="17" spans="1:45">
      <c r="A17" s="22" t="s">
        <v>40</v>
      </c>
      <c r="B17" s="39">
        <v>81.599999999999994</v>
      </c>
      <c r="C17" s="6">
        <v>0.21529999999999999</v>
      </c>
      <c r="D17" s="6">
        <v>0.21460000000000001</v>
      </c>
      <c r="E17" s="6">
        <v>0.21479999999999999</v>
      </c>
      <c r="F17" s="6">
        <v>0.2165</v>
      </c>
      <c r="G17" s="31">
        <f t="shared" ref="G17:G21" si="26">AVERAGE(C17:F17)</f>
        <v>0.21530000000000002</v>
      </c>
      <c r="H17" s="32">
        <f t="shared" ref="H17:H21" si="27">STDEVA(C17:F17)</f>
        <v>8.5244745683629209E-4</v>
      </c>
      <c r="I17" s="33">
        <f t="shared" ref="I17:I21" si="28">(H17/G17)*100</f>
        <v>0.39593472217198883</v>
      </c>
      <c r="J17" s="20">
        <v>830</v>
      </c>
      <c r="K17" s="1">
        <v>798</v>
      </c>
      <c r="L17" s="1">
        <v>748</v>
      </c>
      <c r="M17" s="1">
        <v>791</v>
      </c>
      <c r="N17" s="52">
        <f t="shared" ref="N17:N21" si="29">AVERAGE(J17:M17)</f>
        <v>791.75</v>
      </c>
      <c r="O17" s="52">
        <f t="shared" ref="O17:O21" si="30">STDEVA(J17:M17)</f>
        <v>33.747839437016808</v>
      </c>
      <c r="P17" s="33">
        <f t="shared" ref="P17:P21" si="31">(O17/N17)*100</f>
        <v>4.2624363040122271</v>
      </c>
      <c r="Q17" s="18">
        <v>129</v>
      </c>
      <c r="R17" s="7">
        <v>130</v>
      </c>
      <c r="S17" s="7">
        <v>129</v>
      </c>
      <c r="T17" s="7">
        <v>128</v>
      </c>
      <c r="U17" s="52">
        <f t="shared" ref="U17:U21" si="32">AVERAGE(Q17:T17)</f>
        <v>129</v>
      </c>
      <c r="V17" s="54">
        <f t="shared" ref="V17:V21" si="33">STDEVA(Q17:T17)</f>
        <v>0.81649658092772603</v>
      </c>
      <c r="W17" s="33">
        <f t="shared" ref="W17:W21" si="34">(V17/U17)*100</f>
        <v>0.63294308599048521</v>
      </c>
      <c r="X17" s="50">
        <v>66.5</v>
      </c>
      <c r="Y17" s="50">
        <v>66.900000000000006</v>
      </c>
      <c r="Z17" s="50">
        <v>66.7</v>
      </c>
      <c r="AA17" s="50">
        <v>66.2</v>
      </c>
      <c r="AB17" s="31">
        <f t="shared" ref="AB17:AB21" si="35">AVERAGE(X17:AA17)</f>
        <v>66.575000000000003</v>
      </c>
      <c r="AC17" s="32">
        <f t="shared" ref="AC17:AC21" si="36">STDEVA(X17:AA17)</f>
        <v>0.29860788111948322</v>
      </c>
      <c r="AD17" s="33">
        <f t="shared" ref="AD17:AD21" si="37">(AC17/AB17)*100</f>
        <v>0.44852854843332068</v>
      </c>
      <c r="AE17" s="50">
        <v>63.5</v>
      </c>
      <c r="AF17" s="50">
        <v>65.099999999999994</v>
      </c>
      <c r="AG17" s="50">
        <v>66.5</v>
      </c>
      <c r="AH17" s="50">
        <v>64.2</v>
      </c>
      <c r="AI17" s="31">
        <f t="shared" ref="AI17:AI21" si="38">AVERAGE(AE17:AH17)</f>
        <v>64.825000000000003</v>
      </c>
      <c r="AJ17" s="32">
        <f t="shared" ref="AJ17:AJ21" si="39">STDEVA(AE17:AH17)</f>
        <v>1.2945398152754248</v>
      </c>
      <c r="AK17" s="33">
        <f t="shared" ref="AK17:AK21" si="40">(AJ17/AI17)*100</f>
        <v>1.9969761901664864</v>
      </c>
      <c r="AL17" s="45">
        <v>111.8</v>
      </c>
      <c r="AM17" s="46">
        <v>1.1859999999999999</v>
      </c>
      <c r="AN17" s="46">
        <v>1.1930000000000001</v>
      </c>
      <c r="AO17" s="46">
        <v>1.1930000000000001</v>
      </c>
      <c r="AP17" s="46">
        <v>1.1890000000000001</v>
      </c>
      <c r="AQ17" s="47">
        <f t="shared" ref="AQ17:AQ21" si="41">AVERAGE(AM17:AP17)</f>
        <v>1.19025</v>
      </c>
      <c r="AR17" s="48">
        <f t="shared" ref="AR17:AR21" si="42">STDEVA(AM17:AP17)</f>
        <v>3.4034296427770719E-3</v>
      </c>
      <c r="AS17" s="49">
        <f t="shared" ref="AS17:AS21" si="43">(AR17/AQ17)*100</f>
        <v>0.28594241905289408</v>
      </c>
    </row>
    <row r="18" spans="1:45">
      <c r="A18" s="22" t="s">
        <v>30</v>
      </c>
      <c r="B18" s="39">
        <v>75.2</v>
      </c>
      <c r="C18" s="6">
        <v>0.2092</v>
      </c>
      <c r="D18" s="6">
        <v>0.20569999999999999</v>
      </c>
      <c r="E18" s="6">
        <v>0.20830000000000001</v>
      </c>
      <c r="F18" s="6">
        <v>0.20979999999999999</v>
      </c>
      <c r="G18" s="31">
        <f t="shared" si="26"/>
        <v>0.20824999999999999</v>
      </c>
      <c r="H18" s="32">
        <f t="shared" si="27"/>
        <v>1.808314132002511E-3</v>
      </c>
      <c r="I18" s="33">
        <f t="shared" si="28"/>
        <v>0.86833811860864885</v>
      </c>
      <c r="J18" s="20">
        <v>736</v>
      </c>
      <c r="K18" s="1">
        <v>730</v>
      </c>
      <c r="L18" s="1">
        <v>723</v>
      </c>
      <c r="M18" s="1">
        <v>715</v>
      </c>
      <c r="N18" s="52">
        <f t="shared" si="29"/>
        <v>726</v>
      </c>
      <c r="O18" s="52">
        <f t="shared" si="30"/>
        <v>9.0553851381374173</v>
      </c>
      <c r="P18" s="33">
        <f t="shared" si="31"/>
        <v>1.2472982283935836</v>
      </c>
      <c r="Q18" s="18">
        <v>126</v>
      </c>
      <c r="R18" s="7">
        <v>127</v>
      </c>
      <c r="S18" s="7">
        <v>128</v>
      </c>
      <c r="T18" s="7">
        <v>127</v>
      </c>
      <c r="U18" s="52">
        <f t="shared" si="32"/>
        <v>127</v>
      </c>
      <c r="V18" s="54">
        <f t="shared" si="33"/>
        <v>0.81649658092772603</v>
      </c>
      <c r="W18" s="33">
        <f t="shared" si="34"/>
        <v>0.64291069364387876</v>
      </c>
      <c r="X18" s="50">
        <v>65.2</v>
      </c>
      <c r="Y18" s="50">
        <v>65.900000000000006</v>
      </c>
      <c r="Z18" s="50">
        <v>66</v>
      </c>
      <c r="AA18" s="50">
        <v>65.599999999999994</v>
      </c>
      <c r="AB18" s="31">
        <f t="shared" si="35"/>
        <v>65.675000000000011</v>
      </c>
      <c r="AC18" s="32">
        <f t="shared" si="36"/>
        <v>0.35939764421413073</v>
      </c>
      <c r="AD18" s="33">
        <f t="shared" si="37"/>
        <v>0.54723661090845932</v>
      </c>
      <c r="AE18" s="50">
        <v>62.9</v>
      </c>
      <c r="AF18" s="50">
        <v>65</v>
      </c>
      <c r="AG18" s="50">
        <v>65.099999999999994</v>
      </c>
      <c r="AH18" s="50">
        <v>64.5</v>
      </c>
      <c r="AI18" s="31">
        <f t="shared" si="38"/>
        <v>64.375</v>
      </c>
      <c r="AJ18" s="32">
        <f t="shared" si="39"/>
        <v>1.0177589760514678</v>
      </c>
      <c r="AK18" s="33">
        <f t="shared" si="40"/>
        <v>1.5809848171673289</v>
      </c>
      <c r="AL18" s="43">
        <v>111.9</v>
      </c>
      <c r="AM18" s="1">
        <v>1.1859999999999999</v>
      </c>
      <c r="AN18" s="1">
        <v>1.1930000000000001</v>
      </c>
      <c r="AO18" s="1">
        <v>1.1930000000000001</v>
      </c>
      <c r="AP18" s="1">
        <v>1.1890000000000001</v>
      </c>
      <c r="AQ18" s="31">
        <f t="shared" si="41"/>
        <v>1.19025</v>
      </c>
      <c r="AR18" s="32">
        <f t="shared" si="42"/>
        <v>3.4034296427770719E-3</v>
      </c>
      <c r="AS18" s="33">
        <f t="shared" si="43"/>
        <v>0.28594241905289408</v>
      </c>
    </row>
    <row r="19" spans="1:45">
      <c r="A19" s="22" t="s">
        <v>51</v>
      </c>
      <c r="B19" s="39">
        <v>67.599999999999994</v>
      </c>
      <c r="C19" s="6">
        <v>0.1978</v>
      </c>
      <c r="D19" s="6">
        <v>0.1978</v>
      </c>
      <c r="E19" s="6">
        <v>0.2006</v>
      </c>
      <c r="F19" s="6">
        <v>0.20050000000000001</v>
      </c>
      <c r="G19" s="31">
        <f t="shared" si="26"/>
        <v>0.19917500000000002</v>
      </c>
      <c r="H19" s="32">
        <f t="shared" si="27"/>
        <v>1.5882380174268604E-3</v>
      </c>
      <c r="I19" s="33">
        <f t="shared" si="28"/>
        <v>0.79740831802528434</v>
      </c>
      <c r="J19" s="20">
        <v>840</v>
      </c>
      <c r="K19" s="1">
        <v>823</v>
      </c>
      <c r="L19" s="1">
        <v>809</v>
      </c>
      <c r="M19" s="1">
        <v>814</v>
      </c>
      <c r="N19" s="52">
        <f t="shared" si="29"/>
        <v>821.5</v>
      </c>
      <c r="O19" s="52">
        <f t="shared" si="30"/>
        <v>13.625955623979797</v>
      </c>
      <c r="P19" s="33">
        <f t="shared" si="31"/>
        <v>1.6586677570273642</v>
      </c>
      <c r="Q19" s="18">
        <v>131</v>
      </c>
      <c r="R19" s="7">
        <v>133</v>
      </c>
      <c r="S19" s="7">
        <v>132</v>
      </c>
      <c r="T19" s="7">
        <v>131</v>
      </c>
      <c r="U19" s="52">
        <f t="shared" si="32"/>
        <v>131.75</v>
      </c>
      <c r="V19" s="54">
        <f t="shared" si="33"/>
        <v>0.9574271077563381</v>
      </c>
      <c r="W19" s="33">
        <f t="shared" si="34"/>
        <v>0.72669989203517127</v>
      </c>
      <c r="X19" s="50">
        <v>67.7</v>
      </c>
      <c r="Y19" s="50">
        <v>68.8</v>
      </c>
      <c r="Z19" s="50">
        <v>68.2</v>
      </c>
      <c r="AA19" s="50">
        <v>67.7</v>
      </c>
      <c r="AB19" s="31">
        <f t="shared" si="35"/>
        <v>68.099999999999994</v>
      </c>
      <c r="AC19" s="32">
        <f t="shared" si="36"/>
        <v>0.52281290471193487</v>
      </c>
      <c r="AD19" s="33">
        <f t="shared" si="37"/>
        <v>0.76771351646392794</v>
      </c>
      <c r="AE19" s="50">
        <v>63.3</v>
      </c>
      <c r="AF19" s="50">
        <v>66.7</v>
      </c>
      <c r="AG19" s="50">
        <v>66.400000000000006</v>
      </c>
      <c r="AH19" s="50">
        <v>65</v>
      </c>
      <c r="AI19" s="31">
        <f t="shared" si="38"/>
        <v>65.349999999999994</v>
      </c>
      <c r="AJ19" s="32">
        <f t="shared" si="39"/>
        <v>1.5545631755148059</v>
      </c>
      <c r="AK19" s="33">
        <f t="shared" si="40"/>
        <v>2.3788265883929705</v>
      </c>
      <c r="AL19" s="43">
        <v>111.9</v>
      </c>
      <c r="AM19" s="1">
        <v>1.1859999999999999</v>
      </c>
      <c r="AN19" s="1">
        <v>1.1930000000000001</v>
      </c>
      <c r="AO19" s="1">
        <v>1.1930000000000001</v>
      </c>
      <c r="AP19" s="1">
        <v>1.1890000000000001</v>
      </c>
      <c r="AQ19" s="31">
        <f t="shared" si="41"/>
        <v>1.19025</v>
      </c>
      <c r="AR19" s="32">
        <f t="shared" si="42"/>
        <v>3.4034296427770719E-3</v>
      </c>
      <c r="AS19" s="33">
        <f t="shared" si="43"/>
        <v>0.28594241905289408</v>
      </c>
    </row>
    <row r="20" spans="1:45">
      <c r="A20" s="22" t="s">
        <v>7</v>
      </c>
      <c r="B20" s="39">
        <v>94.1</v>
      </c>
      <c r="C20" s="6">
        <v>0.2172</v>
      </c>
      <c r="D20" s="6">
        <v>0.2132</v>
      </c>
      <c r="E20" s="6">
        <v>0.21729999999999999</v>
      </c>
      <c r="F20" s="6">
        <v>0.21779999999999999</v>
      </c>
      <c r="G20" s="31">
        <f t="shared" si="26"/>
        <v>0.21637499999999998</v>
      </c>
      <c r="H20" s="32">
        <f t="shared" si="27"/>
        <v>2.1328775554791367E-3</v>
      </c>
      <c r="I20" s="33">
        <f t="shared" si="28"/>
        <v>0.98573197249180211</v>
      </c>
      <c r="J20" s="20">
        <v>1019</v>
      </c>
      <c r="K20" s="1">
        <v>1020</v>
      </c>
      <c r="L20" s="1">
        <v>1024</v>
      </c>
      <c r="M20" s="1">
        <v>1069</v>
      </c>
      <c r="N20" s="52">
        <f t="shared" si="29"/>
        <v>1033</v>
      </c>
      <c r="O20" s="52">
        <f t="shared" si="30"/>
        <v>24.097026095903757</v>
      </c>
      <c r="P20" s="33">
        <f t="shared" si="31"/>
        <v>2.3327227585579631</v>
      </c>
      <c r="Q20" s="18">
        <v>127</v>
      </c>
      <c r="R20" s="7">
        <v>126</v>
      </c>
      <c r="S20" s="7">
        <v>127</v>
      </c>
      <c r="T20" s="7">
        <v>127</v>
      </c>
      <c r="U20" s="52">
        <f t="shared" si="32"/>
        <v>126.75</v>
      </c>
      <c r="V20" s="54">
        <f t="shared" si="33"/>
        <v>0.5</v>
      </c>
      <c r="W20" s="33">
        <f t="shared" si="34"/>
        <v>0.39447731755424065</v>
      </c>
      <c r="X20" s="50">
        <v>73.099999999999994</v>
      </c>
      <c r="Y20" s="50">
        <v>72.599999999999994</v>
      </c>
      <c r="Z20" s="50">
        <v>73.099999999999994</v>
      </c>
      <c r="AA20" s="50">
        <v>73.099999999999994</v>
      </c>
      <c r="AB20" s="31">
        <f t="shared" si="35"/>
        <v>72.974999999999994</v>
      </c>
      <c r="AC20" s="32">
        <f t="shared" si="36"/>
        <v>0.25</v>
      </c>
      <c r="AD20" s="33">
        <f t="shared" si="37"/>
        <v>0.34258307639602603</v>
      </c>
      <c r="AE20" s="50">
        <v>71.599999999999994</v>
      </c>
      <c r="AF20" s="50">
        <v>70.400000000000006</v>
      </c>
      <c r="AG20" s="50">
        <v>71.400000000000006</v>
      </c>
      <c r="AH20" s="50">
        <v>70.599999999999994</v>
      </c>
      <c r="AI20" s="31">
        <f t="shared" si="38"/>
        <v>71</v>
      </c>
      <c r="AJ20" s="32">
        <f t="shared" si="39"/>
        <v>0.58878405775518849</v>
      </c>
      <c r="AK20" s="33">
        <f t="shared" si="40"/>
        <v>0.8292733207819557</v>
      </c>
      <c r="AL20" s="43">
        <v>124.6</v>
      </c>
      <c r="AM20" s="1">
        <v>1.1859999999999999</v>
      </c>
      <c r="AN20" s="1">
        <v>1.1930000000000001</v>
      </c>
      <c r="AO20" s="1">
        <v>1.1930000000000001</v>
      </c>
      <c r="AP20" s="1">
        <v>1.1890000000000001</v>
      </c>
      <c r="AQ20" s="31">
        <f t="shared" si="41"/>
        <v>1.19025</v>
      </c>
      <c r="AR20" s="32">
        <f t="shared" si="42"/>
        <v>3.4034296427770719E-3</v>
      </c>
      <c r="AS20" s="33">
        <f t="shared" si="43"/>
        <v>0.28594241905289408</v>
      </c>
    </row>
    <row r="21" spans="1:45">
      <c r="A21" s="23" t="s">
        <v>22</v>
      </c>
      <c r="B21" s="40">
        <v>94.8</v>
      </c>
      <c r="C21" s="15">
        <v>0.22450000000000001</v>
      </c>
      <c r="D21" s="15">
        <v>0.22420000000000001</v>
      </c>
      <c r="E21" s="15">
        <v>0.22559999999999999</v>
      </c>
      <c r="F21" s="15">
        <v>0.22559999999999999</v>
      </c>
      <c r="G21" s="34">
        <f t="shared" si="26"/>
        <v>0.22497500000000001</v>
      </c>
      <c r="H21" s="35">
        <f t="shared" si="27"/>
        <v>7.3200637519991725E-4</v>
      </c>
      <c r="I21" s="36">
        <f t="shared" si="28"/>
        <v>0.3253723192354338</v>
      </c>
      <c r="J21" s="21">
        <v>1087</v>
      </c>
      <c r="K21" s="16">
        <v>1087</v>
      </c>
      <c r="L21" s="16">
        <v>1078</v>
      </c>
      <c r="M21" s="16">
        <v>1082</v>
      </c>
      <c r="N21" s="53">
        <f t="shared" si="29"/>
        <v>1083.5</v>
      </c>
      <c r="O21" s="53">
        <f t="shared" si="30"/>
        <v>4.358898943540674</v>
      </c>
      <c r="P21" s="36">
        <f t="shared" si="31"/>
        <v>0.40229801047906544</v>
      </c>
      <c r="Q21" s="19">
        <v>126</v>
      </c>
      <c r="R21" s="17">
        <v>126</v>
      </c>
      <c r="S21" s="17">
        <v>127</v>
      </c>
      <c r="T21" s="17">
        <v>126</v>
      </c>
      <c r="U21" s="53">
        <f t="shared" si="32"/>
        <v>126.25</v>
      </c>
      <c r="V21" s="55">
        <f t="shared" si="33"/>
        <v>0.5</v>
      </c>
      <c r="W21" s="36">
        <f t="shared" si="34"/>
        <v>0.39603960396039606</v>
      </c>
      <c r="X21" s="51">
        <v>72.400000000000006</v>
      </c>
      <c r="Y21" s="51">
        <v>72.3</v>
      </c>
      <c r="Z21" s="51">
        <v>73.3</v>
      </c>
      <c r="AA21" s="51">
        <v>72.7</v>
      </c>
      <c r="AB21" s="34">
        <f t="shared" si="35"/>
        <v>72.674999999999997</v>
      </c>
      <c r="AC21" s="35">
        <f t="shared" si="36"/>
        <v>0.4499999999999984</v>
      </c>
      <c r="AD21" s="36">
        <f t="shared" si="37"/>
        <v>0.61919504643962631</v>
      </c>
      <c r="AE21" s="51">
        <v>70</v>
      </c>
      <c r="AF21" s="51">
        <v>70.099999999999994</v>
      </c>
      <c r="AG21" s="51">
        <v>72</v>
      </c>
      <c r="AH21" s="51">
        <v>70.8</v>
      </c>
      <c r="AI21" s="34">
        <f t="shared" si="38"/>
        <v>70.724999999999994</v>
      </c>
      <c r="AJ21" s="35">
        <f t="shared" si="39"/>
        <v>0.92150239645194021</v>
      </c>
      <c r="AK21" s="36">
        <f t="shared" si="40"/>
        <v>1.3029372873127469</v>
      </c>
      <c r="AL21" s="44">
        <v>124.6</v>
      </c>
      <c r="AM21" s="16">
        <v>1.1859999999999999</v>
      </c>
      <c r="AN21" s="16">
        <v>1.1930000000000001</v>
      </c>
      <c r="AO21" s="16">
        <v>1.1930000000000001</v>
      </c>
      <c r="AP21" s="16">
        <v>1.1890000000000001</v>
      </c>
      <c r="AQ21" s="34">
        <f t="shared" si="41"/>
        <v>1.19025</v>
      </c>
      <c r="AR21" s="35">
        <f t="shared" si="42"/>
        <v>3.4034296427770719E-3</v>
      </c>
      <c r="AS21" s="36">
        <f t="shared" si="43"/>
        <v>0.28594241905289408</v>
      </c>
    </row>
    <row r="22" spans="1:45">
      <c r="A22" s="22" t="s">
        <v>26</v>
      </c>
      <c r="B22" s="39">
        <v>85.8</v>
      </c>
      <c r="C22" s="6">
        <v>0.21629999999999999</v>
      </c>
      <c r="D22" s="6">
        <v>0.2152</v>
      </c>
      <c r="E22" s="6">
        <v>0.21740000000000001</v>
      </c>
      <c r="F22" s="6">
        <v>0.21129999999999999</v>
      </c>
      <c r="G22" s="31">
        <f t="shared" ref="G22" si="44">AVERAGE(C22:F22)</f>
        <v>0.21505000000000002</v>
      </c>
      <c r="H22" s="32">
        <f t="shared" ref="H22" si="45">STDEVA(C22:F22)</f>
        <v>2.656438718786245E-3</v>
      </c>
      <c r="I22" s="33">
        <f t="shared" ref="I22" si="46">(H22/G22)*100</f>
        <v>1.2352656213839781</v>
      </c>
      <c r="J22" s="20">
        <v>745</v>
      </c>
      <c r="K22" s="1">
        <v>773</v>
      </c>
      <c r="L22" s="1">
        <v>801</v>
      </c>
      <c r="M22" s="1">
        <v>778</v>
      </c>
      <c r="N22" s="52">
        <f t="shared" ref="N22" si="47">AVERAGE(J22:M22)</f>
        <v>774.25</v>
      </c>
      <c r="O22" s="52">
        <f t="shared" ref="O22" si="48">STDEVA(J22:M22)</f>
        <v>22.998188334446404</v>
      </c>
      <c r="P22" s="33">
        <f t="shared" ref="P22" si="49">(O22/N22)*100</f>
        <v>2.9703827361248178</v>
      </c>
      <c r="Q22" s="18">
        <v>125</v>
      </c>
      <c r="R22" s="7">
        <v>129</v>
      </c>
      <c r="S22" s="7">
        <v>129</v>
      </c>
      <c r="T22" s="7">
        <v>128</v>
      </c>
      <c r="U22" s="52">
        <f t="shared" ref="U22" si="50">AVERAGE(Q22:T22)</f>
        <v>127.75</v>
      </c>
      <c r="V22" s="54">
        <f t="shared" ref="V22" si="51">STDEVA(Q22:T22)</f>
        <v>1.8929694486000912</v>
      </c>
      <c r="W22" s="33">
        <f t="shared" ref="W22" si="52">(V22/U22)*100</f>
        <v>1.4817764763992887</v>
      </c>
      <c r="X22" s="50">
        <v>64.400000000000006</v>
      </c>
      <c r="Y22" s="50">
        <v>66.599999999999994</v>
      </c>
      <c r="Z22" s="50">
        <v>66.7</v>
      </c>
      <c r="AA22" s="50">
        <v>66</v>
      </c>
      <c r="AB22" s="31">
        <f t="shared" ref="AB22" si="53">AVERAGE(X22:AA22)</f>
        <v>65.924999999999997</v>
      </c>
      <c r="AC22" s="32">
        <f t="shared" ref="AC22" si="54">STDEVA(X22:AA22)</f>
        <v>1.062622541953002</v>
      </c>
      <c r="AD22" s="33">
        <f t="shared" ref="AD22" si="55">(AC22/AB22)*100</f>
        <v>1.6118658201789944</v>
      </c>
      <c r="AE22" s="50">
        <v>63</v>
      </c>
      <c r="AF22" s="50">
        <v>66.400000000000006</v>
      </c>
      <c r="AG22" s="50">
        <v>65.099999999999994</v>
      </c>
      <c r="AH22" s="50">
        <v>64.400000000000006</v>
      </c>
      <c r="AI22" s="31">
        <f t="shared" ref="AI22" si="56">AVERAGE(AE22:AH22)</f>
        <v>64.724999999999994</v>
      </c>
      <c r="AJ22" s="32">
        <f t="shared" ref="AJ22" si="57">STDEVA(AE22:AH22)</f>
        <v>1.417450763401209</v>
      </c>
      <c r="AK22" s="33">
        <f t="shared" ref="AK22" si="58">(AJ22/AI22)*100</f>
        <v>2.1899586920065031</v>
      </c>
      <c r="AL22" s="43">
        <v>124.6</v>
      </c>
      <c r="AM22" s="1">
        <v>1.1859999999999999</v>
      </c>
      <c r="AN22" s="1">
        <v>1.1930000000000001</v>
      </c>
      <c r="AO22" s="1">
        <v>1.1930000000000001</v>
      </c>
      <c r="AP22" s="1">
        <v>1.1890000000000001</v>
      </c>
      <c r="AQ22" s="31">
        <f t="shared" ref="AQ22" si="59">AVERAGE(AM22:AP22)</f>
        <v>1.19025</v>
      </c>
      <c r="AR22" s="32">
        <f t="shared" ref="AR22" si="60">STDEVA(AM22:AP22)</f>
        <v>3.4034296427770719E-3</v>
      </c>
      <c r="AS22" s="33">
        <f t="shared" ref="AS22" si="61">(AR22/AQ22)*100</f>
        <v>0.28594241905289408</v>
      </c>
    </row>
    <row r="23" spans="1:45">
      <c r="C23" s="6"/>
      <c r="D23" s="6"/>
      <c r="E23" s="6"/>
      <c r="F23" s="6"/>
      <c r="G23" s="3"/>
      <c r="H23" s="3"/>
      <c r="I23" s="4"/>
      <c r="N23" s="3"/>
      <c r="O23" s="3"/>
      <c r="P23" s="4"/>
      <c r="U23" s="3"/>
      <c r="V23" s="3"/>
      <c r="W23" s="4"/>
      <c r="AB23" s="3"/>
      <c r="AC23" s="3"/>
      <c r="AD23" s="4"/>
      <c r="AI23" s="3"/>
      <c r="AJ23" s="3"/>
      <c r="AK23" s="4"/>
      <c r="AQ23" s="3"/>
      <c r="AR23" s="3"/>
      <c r="AS23" s="4"/>
    </row>
    <row r="24" spans="1:45">
      <c r="A24" s="42"/>
      <c r="F24" s="56" t="s">
        <v>6</v>
      </c>
      <c r="G24" s="57">
        <f>AVERAGE(G17:G21)</f>
        <v>0.21281499999999998</v>
      </c>
      <c r="H24" s="57">
        <f t="shared" ref="H24:I24" si="62">AVERAGE(H17:H21)</f>
        <v>1.4227767073889436E-3</v>
      </c>
      <c r="I24" s="57">
        <f t="shared" si="62"/>
        <v>0.67455709010663156</v>
      </c>
      <c r="M24" s="56" t="s">
        <v>6</v>
      </c>
      <c r="N24" s="57">
        <f>AVERAGE(N17:N21)</f>
        <v>891.15</v>
      </c>
      <c r="O24" s="57">
        <f t="shared" ref="O24:P24" si="63">AVERAGE(O17:O21)</f>
        <v>16.977021047715692</v>
      </c>
      <c r="P24" s="57">
        <f t="shared" si="63"/>
        <v>1.9806846116940406</v>
      </c>
      <c r="T24" s="56" t="s">
        <v>6</v>
      </c>
      <c r="U24" s="57">
        <f>AVERAGE(U17:U21)</f>
        <v>128.15</v>
      </c>
      <c r="V24" s="57">
        <f t="shared" ref="V24:W24" si="64">AVERAGE(V17:V21)</f>
        <v>0.71808405392235808</v>
      </c>
      <c r="W24" s="57">
        <f t="shared" si="64"/>
        <v>0.5586141186368343</v>
      </c>
      <c r="AA24" s="56" t="s">
        <v>6</v>
      </c>
      <c r="AB24" s="57">
        <f>AVERAGE(AB17:AB21)</f>
        <v>69.2</v>
      </c>
      <c r="AC24" s="57">
        <f t="shared" ref="AC24:AD24" si="65">AVERAGE(AC17:AC21)</f>
        <v>0.37616368600910943</v>
      </c>
      <c r="AD24" s="57">
        <f t="shared" si="65"/>
        <v>0.54505135972827212</v>
      </c>
      <c r="AH24" s="56" t="s">
        <v>6</v>
      </c>
      <c r="AI24" s="57">
        <f>AVERAGE(AI17:AI21)</f>
        <v>67.254999999999995</v>
      </c>
      <c r="AJ24" s="57">
        <f t="shared" ref="AJ24:AK24" si="66">AVERAGE(AJ17:AJ21)</f>
        <v>1.0754296842097655</v>
      </c>
      <c r="AK24" s="57">
        <f t="shared" si="66"/>
        <v>1.6177996407642976</v>
      </c>
    </row>
    <row r="25" spans="1:45">
      <c r="A25" s="41"/>
      <c r="H25" s="1"/>
      <c r="O25" s="1"/>
      <c r="V25" s="1"/>
      <c r="AC25" s="1"/>
      <c r="AJ25" s="1"/>
      <c r="AR25" s="1"/>
    </row>
    <row r="26" spans="1:45">
      <c r="F26" s="56" t="s">
        <v>71</v>
      </c>
      <c r="G26" s="57">
        <f>((G24-G13)/G13)*100</f>
        <v>-2.225200045943581</v>
      </c>
      <c r="M26" s="56" t="s">
        <v>71</v>
      </c>
      <c r="N26" s="57">
        <f>((N24-N13)/N13)*100</f>
        <v>-2.0821887704647888</v>
      </c>
      <c r="T26" s="56" t="s">
        <v>71</v>
      </c>
      <c r="U26" s="57">
        <f>((U24-U13)/U13)*100</f>
        <v>-0.20765736534718746</v>
      </c>
      <c r="AA26" s="56" t="s">
        <v>71</v>
      </c>
      <c r="AB26" s="57">
        <f>((AB24-AB13)/AB13)*100</f>
        <v>-0.25704470656063727</v>
      </c>
      <c r="AH26" s="56" t="s">
        <v>71</v>
      </c>
      <c r="AI26" s="57">
        <f>((AI24-AI13)/AI13)*100</f>
        <v>0.15885229218891744</v>
      </c>
    </row>
    <row r="27" spans="1:45">
      <c r="F27" s="56" t="s">
        <v>72</v>
      </c>
      <c r="G27" s="57">
        <f>TTEST(G7:G11,G17:G21,2,1)</f>
        <v>5.5572311409514677E-3</v>
      </c>
      <c r="M27" s="56" t="s">
        <v>72</v>
      </c>
      <c r="N27" s="57">
        <f>TTEST(N7:N11,N17:N21,2,1)</f>
        <v>1.6703784891862569E-2</v>
      </c>
      <c r="T27" s="56" t="s">
        <v>72</v>
      </c>
      <c r="U27" s="57">
        <f>TTEST(U7:U11,U17:U21,2,1)</f>
        <v>0.43356858324440539</v>
      </c>
      <c r="AA27" s="56" t="s">
        <v>72</v>
      </c>
      <c r="AB27" s="57">
        <f>TTEST(AB7:AB11,AB17:AB21,2,1)</f>
        <v>0.35202524574853872</v>
      </c>
      <c r="AH27" s="56" t="s">
        <v>72</v>
      </c>
      <c r="AI27" s="57">
        <f>TTEST(AI7:AI11,AI17:AI21,2,1)</f>
        <v>0.68863726689847582</v>
      </c>
    </row>
    <row r="28" spans="1:45">
      <c r="A28" s="41"/>
      <c r="F28" s="58" t="s">
        <v>73</v>
      </c>
      <c r="G28" s="57">
        <f>CORREL(G7:G11,G17:G21)</f>
        <v>0.98259383807962031</v>
      </c>
      <c r="H28" s="1"/>
      <c r="M28" s="58" t="s">
        <v>73</v>
      </c>
      <c r="N28" s="57">
        <f>CORREL(N7:N11,N17:N21)</f>
        <v>0.99872364331171137</v>
      </c>
      <c r="O28" s="1"/>
      <c r="T28" s="58" t="s">
        <v>73</v>
      </c>
      <c r="U28" s="57">
        <f>CORREL(U7:U11,U17:U21)</f>
        <v>0.97305391373962191</v>
      </c>
      <c r="V28" s="1"/>
      <c r="AA28" s="58" t="s">
        <v>73</v>
      </c>
      <c r="AB28" s="57">
        <f>CORREL(AB7:AB11,AB17:AB21)</f>
        <v>0.99982618185336458</v>
      </c>
      <c r="AC28" s="1"/>
      <c r="AH28" s="58" t="s">
        <v>73</v>
      </c>
      <c r="AI28" s="57">
        <f>CORREL(AI7:AI11,AI17:AI21)</f>
        <v>0.98951781509267778</v>
      </c>
      <c r="AJ28" s="1"/>
      <c r="AR28" s="1"/>
    </row>
    <row r="29" spans="1:45">
      <c r="G29" s="2"/>
    </row>
    <row r="30" spans="1:45">
      <c r="G30" s="2"/>
    </row>
    <row r="31" spans="1:45">
      <c r="G31" s="2"/>
    </row>
    <row r="32" spans="1:45">
      <c r="G32" s="2"/>
    </row>
  </sheetData>
  <mergeCells count="5">
    <mergeCell ref="C5:I5"/>
    <mergeCell ref="J5:P5"/>
    <mergeCell ref="Q5:W5"/>
    <mergeCell ref="X5:AD5"/>
    <mergeCell ref="AE5:AK5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53EA5-E1E8-4FA6-8D43-2FE45B2567E1}"/>
</file>

<file path=customXml/itemProps2.xml><?xml version="1.0" encoding="utf-8"?>
<ds:datastoreItem xmlns:ds="http://schemas.openxmlformats.org/officeDocument/2006/customXml" ds:itemID="{D042724D-E33D-48A5-9E9E-099900996399}"/>
</file>

<file path=docMetadata/LabelInfo.xml><?xml version="1.0" encoding="utf-8"?>
<clbl:labelList xmlns:clbl="http://schemas.microsoft.com/office/2020/mipLabelMetadata">
  <clbl:label id="{81d9517e-eb2e-4113-bf18-fcf3fc930962}" enabled="0" method="" siteId="{81d9517e-eb2e-4113-bf18-fcf3fc9309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jamiedo</dc:creator>
  <cp:keywords/>
  <dc:description/>
  <cp:lastModifiedBy>Fionn Cullinane</cp:lastModifiedBy>
  <cp:revision/>
  <dcterms:created xsi:type="dcterms:W3CDTF">2020-07-22T02:03:00Z</dcterms:created>
  <dcterms:modified xsi:type="dcterms:W3CDTF">2025-04-27T06:39:19Z</dcterms:modified>
  <cp:category/>
  <cp:contentStatus/>
</cp:coreProperties>
</file>