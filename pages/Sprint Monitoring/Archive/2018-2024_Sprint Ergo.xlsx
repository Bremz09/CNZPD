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yclingnz.sharepoint.com/sites/SprintStaff/Shared Documents/Sprint Program/Monitoring/Archive/"/>
    </mc:Choice>
  </mc:AlternateContent>
  <xr:revisionPtr revIDLastSave="277" documentId="8_{578A8BB8-C596-4E90-80CC-0B75D444C279}" xr6:coauthVersionLast="47" xr6:coauthVersionMax="47" xr10:uidLastSave="{CB356797-5C2C-4A9C-B40E-E2389EEE02E3}"/>
  <bookViews>
    <workbookView xWindow="-108" yWindow="-108" windowWidth="23256" windowHeight="14160" firstSheet="4" activeTab="4" xr2:uid="{E74C00B1-80CD-4BBF-8C77-36E27EAF0365}"/>
  </bookViews>
  <sheets>
    <sheet name="2018" sheetId="5" r:id="rId1"/>
    <sheet name="2021" sheetId="3" r:id="rId2"/>
    <sheet name="2022" sheetId="2" r:id="rId3"/>
    <sheet name="2023" sheetId="1" r:id="rId4"/>
    <sheet name="2024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9" i="5" l="1"/>
  <c r="L49" i="5"/>
  <c r="F49" i="5"/>
  <c r="R48" i="5"/>
  <c r="L48" i="5"/>
  <c r="F48" i="5"/>
  <c r="R44" i="5"/>
  <c r="L44" i="5"/>
  <c r="F44" i="5"/>
  <c r="R43" i="5"/>
  <c r="L43" i="5"/>
  <c r="F43" i="5"/>
  <c r="R39" i="5"/>
  <c r="L39" i="5"/>
  <c r="F39" i="5"/>
  <c r="R38" i="5"/>
  <c r="L38" i="5"/>
  <c r="F38" i="5"/>
  <c r="R34" i="5"/>
  <c r="L34" i="5"/>
  <c r="F34" i="5"/>
  <c r="R33" i="5"/>
  <c r="L33" i="5"/>
  <c r="F33" i="5"/>
  <c r="L7" i="3" l="1"/>
  <c r="G7" i="3"/>
  <c r="G6" i="3"/>
  <c r="L5" i="3"/>
  <c r="G5" i="3"/>
  <c r="Z4" i="3"/>
  <c r="Y4" i="3"/>
  <c r="U4" i="3"/>
  <c r="Q4" i="3"/>
  <c r="L4" i="3"/>
  <c r="G4" i="3"/>
  <c r="L3" i="3"/>
  <c r="G3" i="3"/>
  <c r="S15" i="3" l="1"/>
  <c r="M15" i="3"/>
  <c r="S14" i="3"/>
  <c r="M14" i="3"/>
  <c r="G14" i="3"/>
  <c r="S13" i="3"/>
  <c r="M13" i="3"/>
  <c r="G13" i="3"/>
  <c r="S12" i="3"/>
  <c r="M12" i="3"/>
  <c r="G12" i="3"/>
  <c r="M11" i="3"/>
  <c r="K3" i="2"/>
  <c r="F3" i="2"/>
</calcChain>
</file>

<file path=xl/sharedStrings.xml><?xml version="1.0" encoding="utf-8"?>
<sst xmlns="http://schemas.openxmlformats.org/spreadsheetml/2006/main" count="453" uniqueCount="122">
  <si>
    <t>Ethan</t>
  </si>
  <si>
    <t>Session 1 (90%)</t>
  </si>
  <si>
    <t>Session 2 (95%)</t>
  </si>
  <si>
    <t>Session 3 (100%)</t>
  </si>
  <si>
    <t>Session 4 (105%)</t>
  </si>
  <si>
    <t>Effort Duration</t>
  </si>
  <si>
    <t>20s</t>
  </si>
  <si>
    <t>Target Power</t>
  </si>
  <si>
    <t>Target Cadence</t>
  </si>
  <si>
    <t>150-155</t>
  </si>
  <si>
    <t>Reps</t>
  </si>
  <si>
    <t>Rest</t>
  </si>
  <si>
    <t>4mins 20 ACT + 5mins PAS</t>
  </si>
  <si>
    <t>4mins 20sec ACT + 7 mins PAS</t>
  </si>
  <si>
    <t>4mins 20sec ACT + 9 mins PAS</t>
  </si>
  <si>
    <t>4mins 20sec ACT + 11 mins PAS</t>
  </si>
  <si>
    <t>Recovery Activity</t>
  </si>
  <si>
    <t>ACT: easy pedalling, PAS: Passive</t>
  </si>
  <si>
    <t>Sam</t>
  </si>
  <si>
    <t>30s</t>
  </si>
  <si>
    <t>145-150</t>
  </si>
  <si>
    <t>4mins 10 ACT + 5mins PAS</t>
  </si>
  <si>
    <t>4mins 10sec ACT + 7 mins PAS</t>
  </si>
  <si>
    <t>4mins 10sec ACT + 9 mins PAS</t>
  </si>
  <si>
    <t>4mins 10sec ACT + 11 mins PAS</t>
  </si>
  <si>
    <t>Ed</t>
  </si>
  <si>
    <t>40s</t>
  </si>
  <si>
    <t>140-145</t>
  </si>
  <si>
    <t>4mins ACT + 5mins PAS</t>
  </si>
  <si>
    <t>4mins ACT + 7 mins PAS</t>
  </si>
  <si>
    <t>4mins ACT + 9 mins PAS</t>
  </si>
  <si>
    <t>4mins ACT + 11 mins PAS</t>
  </si>
  <si>
    <t xml:space="preserve">Ergo Session Summary </t>
  </si>
  <si>
    <t>Session 1</t>
  </si>
  <si>
    <t>Eddie</t>
  </si>
  <si>
    <t>Rep 1</t>
  </si>
  <si>
    <t>Rep 2</t>
  </si>
  <si>
    <t>Rep 3</t>
  </si>
  <si>
    <t>Rep 4</t>
  </si>
  <si>
    <t>Average</t>
  </si>
  <si>
    <t>Average Power</t>
  </si>
  <si>
    <t>Average Cadence</t>
  </si>
  <si>
    <t>Session 2</t>
  </si>
  <si>
    <t>Session 3</t>
  </si>
  <si>
    <t>Session 4</t>
  </si>
  <si>
    <t>Nelson Camp</t>
  </si>
  <si>
    <t>Efforts</t>
  </si>
  <si>
    <t>Set 1 Av</t>
  </si>
  <si>
    <t>Rep 5</t>
  </si>
  <si>
    <t>Rep 6</t>
  </si>
  <si>
    <t>Set 2 Av</t>
  </si>
  <si>
    <t>Rep 7</t>
  </si>
  <si>
    <t>Rep 8</t>
  </si>
  <si>
    <t>Rep 9</t>
  </si>
  <si>
    <t>Set 3 Av</t>
  </si>
  <si>
    <t>Overall Average</t>
  </si>
  <si>
    <t>Sam Dakin</t>
  </si>
  <si>
    <t>4x20s :20min</t>
  </si>
  <si>
    <t>Ethan Mitchell</t>
  </si>
  <si>
    <t>4x30s :20min</t>
  </si>
  <si>
    <t>3x(3x10s :3min) :20min</t>
  </si>
  <si>
    <t>Sam Webster</t>
  </si>
  <si>
    <t>4x45s :20min</t>
  </si>
  <si>
    <t>Callum Saunders</t>
  </si>
  <si>
    <t>Ellesse Andrews</t>
  </si>
  <si>
    <t>Waikato Lab</t>
  </si>
  <si>
    <t>Conditions</t>
  </si>
  <si>
    <t>3x20s :20min</t>
  </si>
  <si>
    <r>
      <t>32.7</t>
    </r>
    <r>
      <rPr>
        <sz val="11"/>
        <color theme="1"/>
        <rFont val="Calibri"/>
        <family val="2"/>
      </rPr>
      <t>°.C</t>
    </r>
    <r>
      <rPr>
        <sz val="11"/>
        <color theme="1"/>
        <rFont val="Calibri"/>
        <family val="2"/>
        <scheme val="minor"/>
      </rPr>
      <t>/45%</t>
    </r>
  </si>
  <si>
    <r>
      <t>32.8</t>
    </r>
    <r>
      <rPr>
        <sz val="11"/>
        <color theme="1"/>
        <rFont val="Calibri"/>
        <family val="2"/>
      </rPr>
      <t>°.C</t>
    </r>
    <r>
      <rPr>
        <sz val="11"/>
        <color theme="1"/>
        <rFont val="Calibri"/>
        <family val="2"/>
        <scheme val="minor"/>
      </rPr>
      <t>/53.7%</t>
    </r>
  </si>
  <si>
    <r>
      <t>33.2</t>
    </r>
    <r>
      <rPr>
        <sz val="11"/>
        <color theme="1"/>
        <rFont val="Calibri"/>
        <family val="2"/>
      </rPr>
      <t>°.C</t>
    </r>
    <r>
      <rPr>
        <sz val="11"/>
        <color theme="1"/>
        <rFont val="Calibri"/>
        <family val="2"/>
        <scheme val="minor"/>
      </rPr>
      <t>/53.4%</t>
    </r>
  </si>
  <si>
    <t>3x30s :20min</t>
  </si>
  <si>
    <t>3x45s :20min</t>
  </si>
  <si>
    <t>2x30s Max from Standing Start :20min on 93.8"</t>
  </si>
  <si>
    <t>2x30s Max from Standing Start :20min on 91.8"</t>
  </si>
  <si>
    <t>2x45s Progressive 15s-15s-15s :20min</t>
  </si>
  <si>
    <t>PP1</t>
  </si>
  <si>
    <t>MP1</t>
  </si>
  <si>
    <t>MC1</t>
  </si>
  <si>
    <t>PP2</t>
  </si>
  <si>
    <t>MP2</t>
  </si>
  <si>
    <t>MC2</t>
  </si>
  <si>
    <t>2x30s max (standing)</t>
  </si>
  <si>
    <t>2x45s PROG</t>
  </si>
  <si>
    <t>1x45s PROG</t>
  </si>
  <si>
    <t>MP1 (*28s)</t>
  </si>
  <si>
    <t xml:space="preserve">Ellesse </t>
  </si>
  <si>
    <t>Effort 1</t>
  </si>
  <si>
    <t>PP</t>
  </si>
  <si>
    <t>MP</t>
  </si>
  <si>
    <t>MC</t>
  </si>
  <si>
    <t>Effort 2</t>
  </si>
  <si>
    <t>Effort 3</t>
  </si>
  <si>
    <t>1x20s max (standing)</t>
  </si>
  <si>
    <t>1x40s max (standing)</t>
  </si>
  <si>
    <t>1x30s Max (standing)</t>
  </si>
  <si>
    <t>Ellesse 87"</t>
  </si>
  <si>
    <t>1x30s max (standing)</t>
  </si>
  <si>
    <t>Petch 87"</t>
  </si>
  <si>
    <t>1x12s max (10sMMP)</t>
  </si>
  <si>
    <t>1x20s Max (standing)</t>
  </si>
  <si>
    <t>Liv 86"</t>
  </si>
  <si>
    <t>30sMMP</t>
  </si>
  <si>
    <t>15s Accel + 15s Float + 15s Max</t>
  </si>
  <si>
    <t>Liv 87"</t>
  </si>
  <si>
    <t>Shaane 87"</t>
  </si>
  <si>
    <t>1x30s max (Standing)</t>
  </si>
  <si>
    <t>Ellesse 84"</t>
  </si>
  <si>
    <t>Petch 84"</t>
  </si>
  <si>
    <t>Shaane 84"</t>
  </si>
  <si>
    <t>Liv 84"</t>
  </si>
  <si>
    <t>Dakin 100"</t>
  </si>
  <si>
    <t>1x30s max (rolling)</t>
  </si>
  <si>
    <t>Ellesse 90"</t>
  </si>
  <si>
    <t>Petch 90"</t>
  </si>
  <si>
    <t>PC1</t>
  </si>
  <si>
    <t>PC2</t>
  </si>
  <si>
    <t>PP3</t>
  </si>
  <si>
    <t>PC3</t>
  </si>
  <si>
    <t>PP4</t>
  </si>
  <si>
    <t>PC4</t>
  </si>
  <si>
    <t>4x6s on 115"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</si>
</sst>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9">
    <xf numFmtId="0" fontId="0" fillId="0" borderId="0" xfId="0"/>
    <xf numFmtId="0" fontId="0" fillId="0" borderId="4" xfId="0" applyBorder="1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1" xfId="0" applyBorder="1"/>
    <xf numFmtId="0" fontId="0" fillId="0" borderId="3" xfId="0" applyBorder="1"/>
    <xf numFmtId="0" fontId="1" fillId="0" borderId="6" xfId="0" applyFont="1" applyBorder="1"/>
    <xf numFmtId="0" fontId="2" fillId="2" borderId="6" xfId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1" fontId="2" fillId="2" borderId="8" xfId="1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" fontId="2" fillId="2" borderId="10" xfId="1" applyNumberFormat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" fontId="2" fillId="2" borderId="6" xfId="1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1" fillId="0" borderId="5" xfId="0" applyFont="1" applyBorder="1"/>
    <xf numFmtId="1" fontId="2" fillId="2" borderId="3" xfId="1" applyNumberFormat="1" applyBorder="1" applyAlignment="1">
      <alignment horizontal="center"/>
    </xf>
    <xf numFmtId="0" fontId="0" fillId="0" borderId="5" xfId="0" applyBorder="1"/>
    <xf numFmtId="0" fontId="2" fillId="2" borderId="5" xfId="1" applyBorder="1" applyAlignment="1">
      <alignment horizontal="center"/>
    </xf>
    <xf numFmtId="0" fontId="2" fillId="2" borderId="6" xfId="1" applyBorder="1" applyAlignment="1">
      <alignment horizontal="center" wrapText="1"/>
    </xf>
    <xf numFmtId="1" fontId="2" fillId="2" borderId="3" xfId="1" applyNumberFormat="1" applyBorder="1"/>
    <xf numFmtId="0" fontId="0" fillId="0" borderId="12" xfId="0" applyBorder="1"/>
    <xf numFmtId="0" fontId="2" fillId="2" borderId="0" xfId="1" applyBorder="1"/>
    <xf numFmtId="1" fontId="2" fillId="2" borderId="10" xfId="1" applyNumberFormat="1" applyBorder="1"/>
    <xf numFmtId="0" fontId="0" fillId="0" borderId="13" xfId="0" applyBorder="1"/>
    <xf numFmtId="1" fontId="2" fillId="2" borderId="0" xfId="1" applyNumberFormat="1" applyBorder="1"/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" fontId="2" fillId="2" borderId="6" xfId="1" applyNumberFormat="1" applyBorder="1"/>
    <xf numFmtId="0" fontId="0" fillId="0" borderId="14" xfId="0" applyBorder="1"/>
    <xf numFmtId="0" fontId="2" fillId="2" borderId="5" xfId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 applyAlignment="1">
      <alignment horizontal="center"/>
    </xf>
    <xf numFmtId="0" fontId="0" fillId="0" borderId="21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0" fillId="0" borderId="23" xfId="0" applyBorder="1"/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6" xfId="0" applyBorder="1"/>
    <xf numFmtId="0" fontId="0" fillId="0" borderId="30" xfId="0" applyBorder="1"/>
    <xf numFmtId="0" fontId="1" fillId="0" borderId="31" xfId="0" applyFont="1" applyBorder="1"/>
    <xf numFmtId="0" fontId="2" fillId="2" borderId="15" xfId="1" applyBorder="1" applyAlignment="1">
      <alignment horizontal="center"/>
    </xf>
    <xf numFmtId="0" fontId="2" fillId="2" borderId="22" xfId="1" applyBorder="1"/>
    <xf numFmtId="0" fontId="2" fillId="2" borderId="17" xfId="1" applyBorder="1" applyAlignment="1">
      <alignment horizontal="center"/>
    </xf>
    <xf numFmtId="0" fontId="2" fillId="2" borderId="22" xfId="1" applyBorder="1" applyAlignment="1">
      <alignment horizontal="center"/>
    </xf>
    <xf numFmtId="0" fontId="2" fillId="2" borderId="9" xfId="1" applyBorder="1" applyAlignment="1">
      <alignment horizontal="center"/>
    </xf>
    <xf numFmtId="0" fontId="2" fillId="2" borderId="8" xfId="1" applyBorder="1" applyAlignment="1">
      <alignment horizontal="center"/>
    </xf>
    <xf numFmtId="0" fontId="1" fillId="0" borderId="8" xfId="0" applyFont="1" applyBorder="1"/>
    <xf numFmtId="0" fontId="0" fillId="0" borderId="9" xfId="0" applyBorder="1"/>
    <xf numFmtId="0" fontId="0" fillId="0" borderId="32" xfId="0" applyBorder="1"/>
    <xf numFmtId="0" fontId="0" fillId="0" borderId="33" xfId="0" applyBorder="1"/>
    <xf numFmtId="0" fontId="0" fillId="0" borderId="34" xfId="0" applyBorder="1" applyAlignment="1">
      <alignment horizontal="center"/>
    </xf>
    <xf numFmtId="0" fontId="2" fillId="2" borderId="35" xfId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/>
    <xf numFmtId="0" fontId="0" fillId="0" borderId="37" xfId="0" applyBorder="1" applyAlignment="1">
      <alignment horizontal="center"/>
    </xf>
    <xf numFmtId="0" fontId="0" fillId="0" borderId="38" xfId="0" applyBorder="1"/>
    <xf numFmtId="0" fontId="0" fillId="0" borderId="36" xfId="0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0" fillId="0" borderId="42" xfId="0" applyBorder="1"/>
    <xf numFmtId="0" fontId="0" fillId="0" borderId="39" xfId="0" applyBorder="1"/>
    <xf numFmtId="0" fontId="1" fillId="0" borderId="41" xfId="0" applyFont="1" applyBorder="1"/>
    <xf numFmtId="0" fontId="1" fillId="0" borderId="43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0" fillId="0" borderId="25" xfId="0" applyBorder="1"/>
    <xf numFmtId="0" fontId="2" fillId="2" borderId="15" xfId="1" applyBorder="1"/>
    <xf numFmtId="0" fontId="0" fillId="0" borderId="16" xfId="0" applyBorder="1" applyAlignment="1">
      <alignment horizontal="center"/>
    </xf>
    <xf numFmtId="0" fontId="0" fillId="0" borderId="45" xfId="0" applyBorder="1"/>
    <xf numFmtId="0" fontId="0" fillId="0" borderId="1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1" xfId="0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1" fillId="5" borderId="47" xfId="0" applyFont="1" applyFill="1" applyBorder="1" applyAlignment="1">
      <alignment horizontal="center"/>
    </xf>
    <xf numFmtId="0" fontId="1" fillId="6" borderId="49" xfId="0" applyFont="1" applyFill="1" applyBorder="1" applyAlignment="1">
      <alignment horizontal="center"/>
    </xf>
    <xf numFmtId="0" fontId="5" fillId="7" borderId="48" xfId="0" applyFont="1" applyFill="1" applyBorder="1" applyAlignment="1">
      <alignment horizontal="center"/>
    </xf>
    <xf numFmtId="0" fontId="5" fillId="8" borderId="47" xfId="0" applyFont="1" applyFill="1" applyBorder="1" applyAlignment="1">
      <alignment horizontal="center"/>
    </xf>
    <xf numFmtId="0" fontId="6" fillId="0" borderId="51" xfId="0" applyFont="1" applyBorder="1" applyAlignment="1">
      <alignment horizontal="center"/>
    </xf>
    <xf numFmtId="0" fontId="6" fillId="0" borderId="5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50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1" xfId="0" applyNumberFormat="1" applyBorder="1" applyAlignment="1">
      <alignment horizontal="center"/>
    </xf>
    <xf numFmtId="1" fontId="0" fillId="0" borderId="50" xfId="0" applyNumberFormat="1" applyBorder="1" applyAlignment="1">
      <alignment horizontal="center"/>
    </xf>
    <xf numFmtId="0" fontId="6" fillId="0" borderId="51" xfId="0" applyFont="1" applyBorder="1"/>
    <xf numFmtId="0" fontId="0" fillId="0" borderId="51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0" fillId="0" borderId="52" xfId="0" applyBorder="1" applyAlignment="1">
      <alignment horizontal="center"/>
    </xf>
    <xf numFmtId="0" fontId="9" fillId="0" borderId="0" xfId="0" applyFont="1"/>
    <xf numFmtId="0" fontId="10" fillId="10" borderId="47" xfId="0" applyFont="1" applyFill="1" applyBorder="1"/>
    <xf numFmtId="0" fontId="11" fillId="0" borderId="0" xfId="0" applyFont="1" applyAlignment="1">
      <alignment horizontal="center" vertical="center"/>
    </xf>
    <xf numFmtId="0" fontId="12" fillId="0" borderId="50" xfId="0" applyFont="1" applyBorder="1"/>
    <xf numFmtId="0" fontId="10" fillId="12" borderId="54" xfId="0" applyFont="1" applyFill="1" applyBorder="1" applyAlignment="1">
      <alignment horizontal="center" vertical="center"/>
    </xf>
    <xf numFmtId="0" fontId="11" fillId="0" borderId="5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" fontId="13" fillId="12" borderId="54" xfId="0" applyNumberFormat="1" applyFont="1" applyFill="1" applyBorder="1" applyAlignment="1">
      <alignment horizontal="center" vertical="center"/>
    </xf>
    <xf numFmtId="0" fontId="12" fillId="0" borderId="51" xfId="0" applyFont="1" applyBorder="1" applyAlignment="1">
      <alignment horizontal="center" vertical="center"/>
    </xf>
    <xf numFmtId="0" fontId="12" fillId="0" borderId="35" xfId="0" applyFont="1" applyBorder="1"/>
    <xf numFmtId="0" fontId="12" fillId="0" borderId="52" xfId="0" applyFont="1" applyBorder="1" applyAlignment="1">
      <alignment horizontal="center" vertical="center"/>
    </xf>
    <xf numFmtId="1" fontId="13" fillId="12" borderId="34" xfId="0" applyNumberFormat="1" applyFont="1" applyFill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0" fillId="11" borderId="28" xfId="0" applyFont="1" applyFill="1" applyBorder="1" applyAlignment="1">
      <alignment horizontal="center" vertical="center"/>
    </xf>
    <xf numFmtId="0" fontId="10" fillId="11" borderId="53" xfId="0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/>
    </xf>
    <xf numFmtId="0" fontId="10" fillId="9" borderId="28" xfId="0" applyFont="1" applyFill="1" applyBorder="1" applyAlignment="1">
      <alignment horizontal="center" vertical="center"/>
    </xf>
    <xf numFmtId="0" fontId="10" fillId="9" borderId="53" xfId="0" applyFont="1" applyFill="1" applyBorder="1" applyAlignment="1">
      <alignment horizontal="center" vertical="center"/>
    </xf>
    <xf numFmtId="0" fontId="10" fillId="9" borderId="25" xfId="0" applyFont="1" applyFill="1" applyBorder="1" applyAlignment="1">
      <alignment horizontal="center" vertical="center"/>
    </xf>
    <xf numFmtId="0" fontId="10" fillId="3" borderId="28" xfId="0" applyFont="1" applyFill="1" applyBorder="1" applyAlignment="1">
      <alignment horizontal="center" vertical="center"/>
    </xf>
    <xf numFmtId="0" fontId="10" fillId="3" borderId="53" xfId="0" applyFont="1" applyFill="1" applyBorder="1" applyAlignment="1">
      <alignment horizontal="center" vertical="center"/>
    </xf>
    <xf numFmtId="0" fontId="10" fillId="3" borderId="25" xfId="0" applyFont="1" applyFill="1" applyBorder="1" applyAlignment="1">
      <alignment horizontal="center" vertical="center"/>
    </xf>
    <xf numFmtId="0" fontId="5" fillId="4" borderId="47" xfId="0" applyFont="1" applyFill="1" applyBorder="1" applyAlignment="1">
      <alignment horizontal="center" vertical="center"/>
    </xf>
    <xf numFmtId="0" fontId="5" fillId="4" borderId="50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horizontal="center" vertical="center"/>
    </xf>
    <xf numFmtId="0" fontId="5" fillId="9" borderId="50" xfId="0" applyFont="1" applyFill="1" applyBorder="1" applyAlignment="1">
      <alignment horizontal="center" vertical="center"/>
    </xf>
    <xf numFmtId="0" fontId="5" fillId="9" borderId="35" xfId="0" applyFont="1" applyFill="1" applyBorder="1" applyAlignment="1">
      <alignment horizontal="center" vertical="center"/>
    </xf>
    <xf numFmtId="0" fontId="5" fillId="3" borderId="47" xfId="0" applyFont="1" applyFill="1" applyBorder="1" applyAlignment="1">
      <alignment horizontal="center" vertical="center"/>
    </xf>
    <xf numFmtId="0" fontId="5" fillId="3" borderId="50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1" fillId="0" borderId="3" xfId="0" applyNumberFormat="1" applyFont="1" applyBorder="1" applyAlignment="1">
      <alignment horizontal="center"/>
    </xf>
    <xf numFmtId="14" fontId="1" fillId="0" borderId="11" xfId="0" applyNumberFormat="1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14" fontId="1" fillId="0" borderId="10" xfId="0" applyNumberFormat="1" applyFont="1" applyBorder="1" applyAlignment="1">
      <alignment horizontal="center"/>
    </xf>
    <xf numFmtId="14" fontId="1" fillId="0" borderId="7" xfId="0" applyNumberFormat="1" applyFont="1" applyBorder="1" applyAlignment="1">
      <alignment horizontal="center"/>
    </xf>
    <xf numFmtId="14" fontId="1" fillId="0" borderId="9" xfId="0" applyNumberFormat="1" applyFont="1" applyBorder="1" applyAlignment="1">
      <alignment horizontal="center"/>
    </xf>
    <xf numFmtId="14" fontId="1" fillId="0" borderId="8" xfId="0" applyNumberFormat="1" applyFont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DCA47-CC62-4DDE-9810-69ED75BBBC56}">
  <dimension ref="A2:R50"/>
  <sheetViews>
    <sheetView workbookViewId="0">
      <selection activeCell="H12" sqref="H12"/>
    </sheetView>
  </sheetViews>
  <sheetFormatPr defaultRowHeight="14.45"/>
  <cols>
    <col min="2" max="2" width="15.42578125" bestFit="1" customWidth="1"/>
    <col min="3" max="6" width="27.7109375" bestFit="1" customWidth="1"/>
  </cols>
  <sheetData>
    <row r="2" spans="1:6">
      <c r="A2" s="146" t="s">
        <v>0</v>
      </c>
      <c r="B2" s="108"/>
      <c r="C2" s="109" t="s">
        <v>1</v>
      </c>
      <c r="D2" s="110" t="s">
        <v>2</v>
      </c>
      <c r="E2" s="111" t="s">
        <v>3</v>
      </c>
      <c r="F2" s="112" t="s">
        <v>4</v>
      </c>
    </row>
    <row r="3" spans="1:6">
      <c r="A3" s="147"/>
      <c r="B3" s="113" t="s">
        <v>5</v>
      </c>
      <c r="C3" s="114" t="s">
        <v>6</v>
      </c>
      <c r="D3" s="115" t="s">
        <v>6</v>
      </c>
      <c r="E3" s="113" t="s">
        <v>6</v>
      </c>
      <c r="F3" s="114" t="s">
        <v>6</v>
      </c>
    </row>
    <row r="4" spans="1:6">
      <c r="A4" s="147"/>
      <c r="B4" s="113" t="s">
        <v>7</v>
      </c>
      <c r="C4" s="116">
        <v>1175</v>
      </c>
      <c r="D4" s="117">
        <v>1240</v>
      </c>
      <c r="E4" s="118">
        <v>1305</v>
      </c>
      <c r="F4" s="119">
        <v>1370</v>
      </c>
    </row>
    <row r="5" spans="1:6">
      <c r="A5" s="147"/>
      <c r="B5" s="120" t="s">
        <v>8</v>
      </c>
      <c r="C5" s="116" t="s">
        <v>9</v>
      </c>
      <c r="D5" s="19" t="s">
        <v>9</v>
      </c>
      <c r="E5" s="121" t="s">
        <v>9</v>
      </c>
      <c r="F5" s="116" t="s">
        <v>9</v>
      </c>
    </row>
    <row r="6" spans="1:6">
      <c r="A6" s="147"/>
      <c r="B6" s="113" t="s">
        <v>10</v>
      </c>
      <c r="C6" s="116">
        <v>4</v>
      </c>
      <c r="D6" s="19">
        <v>4</v>
      </c>
      <c r="E6" s="121">
        <v>3</v>
      </c>
      <c r="F6" s="116">
        <v>3</v>
      </c>
    </row>
    <row r="7" spans="1:6">
      <c r="A7" s="147"/>
      <c r="B7" s="113" t="s">
        <v>11</v>
      </c>
      <c r="C7" s="116" t="s">
        <v>12</v>
      </c>
      <c r="D7" s="19" t="s">
        <v>13</v>
      </c>
      <c r="E7" s="121" t="s">
        <v>14</v>
      </c>
      <c r="F7" s="116" t="s">
        <v>15</v>
      </c>
    </row>
    <row r="8" spans="1:6">
      <c r="A8" s="148"/>
      <c r="B8" s="122" t="s">
        <v>16</v>
      </c>
      <c r="C8" s="85" t="s">
        <v>17</v>
      </c>
      <c r="D8" s="123" t="s">
        <v>17</v>
      </c>
      <c r="E8" s="87" t="s">
        <v>17</v>
      </c>
      <c r="F8" s="85" t="s">
        <v>17</v>
      </c>
    </row>
    <row r="10" spans="1:6">
      <c r="A10" s="149" t="s">
        <v>18</v>
      </c>
      <c r="B10" s="108"/>
      <c r="C10" s="109" t="s">
        <v>1</v>
      </c>
      <c r="D10" s="110" t="s">
        <v>2</v>
      </c>
      <c r="E10" s="111" t="s">
        <v>3</v>
      </c>
      <c r="F10" s="112" t="s">
        <v>4</v>
      </c>
    </row>
    <row r="11" spans="1:6">
      <c r="A11" s="150"/>
      <c r="B11" s="113" t="s">
        <v>5</v>
      </c>
      <c r="C11" s="114" t="s">
        <v>19</v>
      </c>
      <c r="D11" s="115" t="s">
        <v>19</v>
      </c>
      <c r="E11" s="113" t="s">
        <v>19</v>
      </c>
      <c r="F11" s="114" t="s">
        <v>19</v>
      </c>
    </row>
    <row r="12" spans="1:6">
      <c r="A12" s="150"/>
      <c r="B12" s="113" t="s">
        <v>7</v>
      </c>
      <c r="C12" s="116">
        <v>1005</v>
      </c>
      <c r="D12" s="117">
        <v>1060</v>
      </c>
      <c r="E12" s="118">
        <v>1115</v>
      </c>
      <c r="F12" s="119">
        <v>1170</v>
      </c>
    </row>
    <row r="13" spans="1:6">
      <c r="A13" s="150"/>
      <c r="B13" s="120" t="s">
        <v>8</v>
      </c>
      <c r="C13" s="116" t="s">
        <v>20</v>
      </c>
      <c r="D13" s="19" t="s">
        <v>20</v>
      </c>
      <c r="E13" s="121" t="s">
        <v>20</v>
      </c>
      <c r="F13" s="116" t="s">
        <v>20</v>
      </c>
    </row>
    <row r="14" spans="1:6">
      <c r="A14" s="150"/>
      <c r="B14" s="113" t="s">
        <v>10</v>
      </c>
      <c r="C14" s="116">
        <v>4</v>
      </c>
      <c r="D14" s="19">
        <v>4</v>
      </c>
      <c r="E14" s="121">
        <v>3</v>
      </c>
      <c r="F14" s="116">
        <v>3</v>
      </c>
    </row>
    <row r="15" spans="1:6">
      <c r="A15" s="150"/>
      <c r="B15" s="113" t="s">
        <v>11</v>
      </c>
      <c r="C15" s="116" t="s">
        <v>21</v>
      </c>
      <c r="D15" s="19" t="s">
        <v>22</v>
      </c>
      <c r="E15" s="121" t="s">
        <v>23</v>
      </c>
      <c r="F15" s="116" t="s">
        <v>24</v>
      </c>
    </row>
    <row r="16" spans="1:6">
      <c r="A16" s="151"/>
      <c r="B16" s="122" t="s">
        <v>16</v>
      </c>
      <c r="C16" s="85" t="s">
        <v>17</v>
      </c>
      <c r="D16" s="123" t="s">
        <v>17</v>
      </c>
      <c r="E16" s="87" t="s">
        <v>17</v>
      </c>
      <c r="F16" s="85" t="s">
        <v>17</v>
      </c>
    </row>
    <row r="18" spans="1:18">
      <c r="A18" s="152" t="s">
        <v>25</v>
      </c>
      <c r="B18" s="108"/>
      <c r="C18" s="109" t="s">
        <v>1</v>
      </c>
      <c r="D18" s="110" t="s">
        <v>2</v>
      </c>
      <c r="E18" s="111" t="s">
        <v>3</v>
      </c>
      <c r="F18" s="112" t="s">
        <v>4</v>
      </c>
    </row>
    <row r="19" spans="1:18">
      <c r="A19" s="153"/>
      <c r="B19" s="113" t="s">
        <v>5</v>
      </c>
      <c r="C19" s="114" t="s">
        <v>26</v>
      </c>
      <c r="D19" s="115" t="s">
        <v>26</v>
      </c>
      <c r="E19" s="113" t="s">
        <v>26</v>
      </c>
      <c r="F19" s="114" t="s">
        <v>26</v>
      </c>
    </row>
    <row r="20" spans="1:18">
      <c r="A20" s="153"/>
      <c r="B20" s="113" t="s">
        <v>7</v>
      </c>
      <c r="C20" s="116">
        <v>930</v>
      </c>
      <c r="D20" s="117">
        <v>985</v>
      </c>
      <c r="E20" s="121">
        <v>1035</v>
      </c>
      <c r="F20" s="119">
        <v>1085</v>
      </c>
    </row>
    <row r="21" spans="1:18">
      <c r="A21" s="153"/>
      <c r="B21" s="120" t="s">
        <v>8</v>
      </c>
      <c r="C21" s="116" t="s">
        <v>27</v>
      </c>
      <c r="D21" s="19" t="s">
        <v>27</v>
      </c>
      <c r="E21" s="121" t="s">
        <v>27</v>
      </c>
      <c r="F21" s="116" t="s">
        <v>27</v>
      </c>
    </row>
    <row r="22" spans="1:18">
      <c r="A22" s="153"/>
      <c r="B22" s="113" t="s">
        <v>10</v>
      </c>
      <c r="C22" s="116">
        <v>4</v>
      </c>
      <c r="D22" s="19">
        <v>4</v>
      </c>
      <c r="E22" s="121">
        <v>3</v>
      </c>
      <c r="F22" s="116">
        <v>3</v>
      </c>
    </row>
    <row r="23" spans="1:18">
      <c r="A23" s="153"/>
      <c r="B23" s="113" t="s">
        <v>11</v>
      </c>
      <c r="C23" s="116" t="s">
        <v>28</v>
      </c>
      <c r="D23" s="19" t="s">
        <v>29</v>
      </c>
      <c r="E23" s="121" t="s">
        <v>30</v>
      </c>
      <c r="F23" s="116" t="s">
        <v>31</v>
      </c>
    </row>
    <row r="24" spans="1:18">
      <c r="A24" s="154"/>
      <c r="B24" s="122" t="s">
        <v>16</v>
      </c>
      <c r="C24" s="85" t="s">
        <v>17</v>
      </c>
      <c r="D24" s="123" t="s">
        <v>17</v>
      </c>
      <c r="E24" s="87" t="s">
        <v>17</v>
      </c>
      <c r="F24" s="85" t="s">
        <v>17</v>
      </c>
    </row>
    <row r="26" spans="1:18">
      <c r="A26" s="155" t="s">
        <v>32</v>
      </c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</row>
    <row r="27" spans="1:18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</row>
    <row r="28" spans="1:18">
      <c r="A28" s="156">
        <v>43344</v>
      </c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</row>
    <row r="29" spans="1:18">
      <c r="A29" s="157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</row>
    <row r="30" spans="1:18">
      <c r="A30" s="124"/>
      <c r="B30" s="124"/>
      <c r="C30" s="124"/>
      <c r="D30" s="124"/>
      <c r="E30" s="124"/>
      <c r="F30" s="124"/>
      <c r="G30" s="124"/>
      <c r="H30" s="124"/>
      <c r="I30" s="124"/>
      <c r="J30" s="124"/>
      <c r="K30" s="124"/>
      <c r="L30" s="124"/>
      <c r="M30" s="124"/>
      <c r="N30" s="124"/>
      <c r="O30" s="124"/>
      <c r="P30" s="124"/>
      <c r="Q30" s="124"/>
      <c r="R30" s="124"/>
    </row>
    <row r="31" spans="1:18">
      <c r="A31" s="125" t="s">
        <v>33</v>
      </c>
      <c r="B31" s="137" t="s">
        <v>0</v>
      </c>
      <c r="C31" s="138"/>
      <c r="D31" s="138"/>
      <c r="E31" s="138"/>
      <c r="F31" s="139"/>
      <c r="G31" s="126"/>
      <c r="H31" s="140" t="s">
        <v>18</v>
      </c>
      <c r="I31" s="141"/>
      <c r="J31" s="141"/>
      <c r="K31" s="141"/>
      <c r="L31" s="142"/>
      <c r="M31" s="126"/>
      <c r="N31" s="143" t="s">
        <v>34</v>
      </c>
      <c r="O31" s="144"/>
      <c r="P31" s="144"/>
      <c r="Q31" s="144"/>
      <c r="R31" s="145"/>
    </row>
    <row r="32" spans="1:18">
      <c r="A32" s="127"/>
      <c r="B32" s="126" t="s">
        <v>35</v>
      </c>
      <c r="C32" s="126" t="s">
        <v>36</v>
      </c>
      <c r="D32" s="126" t="s">
        <v>37</v>
      </c>
      <c r="E32" s="126" t="s">
        <v>38</v>
      </c>
      <c r="F32" s="128" t="s">
        <v>39</v>
      </c>
      <c r="G32" s="126"/>
      <c r="H32" s="129" t="s">
        <v>35</v>
      </c>
      <c r="I32" s="126" t="s">
        <v>36</v>
      </c>
      <c r="J32" s="126" t="s">
        <v>37</v>
      </c>
      <c r="K32" s="126" t="s">
        <v>38</v>
      </c>
      <c r="L32" s="128" t="s">
        <v>39</v>
      </c>
      <c r="M32" s="126"/>
      <c r="N32" s="129" t="s">
        <v>35</v>
      </c>
      <c r="O32" s="126" t="s">
        <v>36</v>
      </c>
      <c r="P32" s="126" t="s">
        <v>37</v>
      </c>
      <c r="Q32" s="126" t="s">
        <v>38</v>
      </c>
      <c r="R32" s="128" t="s">
        <v>39</v>
      </c>
    </row>
    <row r="33" spans="1:18">
      <c r="A33" s="127" t="s">
        <v>40</v>
      </c>
      <c r="B33" s="130">
        <v>1043</v>
      </c>
      <c r="C33" s="130">
        <v>1170</v>
      </c>
      <c r="D33" s="130">
        <v>1070</v>
      </c>
      <c r="E33" s="130">
        <v>865</v>
      </c>
      <c r="F33" s="131">
        <f>AVERAGE(B33:E33)</f>
        <v>1037</v>
      </c>
      <c r="G33" s="130"/>
      <c r="H33" s="132">
        <v>924</v>
      </c>
      <c r="I33" s="130">
        <v>844</v>
      </c>
      <c r="J33" s="130">
        <v>778</v>
      </c>
      <c r="K33" s="130">
        <v>612</v>
      </c>
      <c r="L33" s="131">
        <f>AVERAGE(H33:K33)</f>
        <v>789.5</v>
      </c>
      <c r="M33" s="130"/>
      <c r="N33" s="132">
        <v>765</v>
      </c>
      <c r="O33" s="130">
        <v>765</v>
      </c>
      <c r="P33" s="130">
        <v>664</v>
      </c>
      <c r="Q33" s="130">
        <v>635</v>
      </c>
      <c r="R33" s="131">
        <f>AVERAGE(N33:Q33)</f>
        <v>707.25</v>
      </c>
    </row>
    <row r="34" spans="1:18">
      <c r="A34" s="133" t="s">
        <v>41</v>
      </c>
      <c r="B34" s="134">
        <v>157</v>
      </c>
      <c r="C34" s="134">
        <v>149</v>
      </c>
      <c r="D34" s="134">
        <v>150</v>
      </c>
      <c r="E34" s="134">
        <v>154</v>
      </c>
      <c r="F34" s="135">
        <f>AVERAGE(B34:E34)</f>
        <v>152.5</v>
      </c>
      <c r="G34" s="130"/>
      <c r="H34" s="136">
        <v>149</v>
      </c>
      <c r="I34" s="134">
        <v>148</v>
      </c>
      <c r="J34" s="134">
        <v>145</v>
      </c>
      <c r="K34" s="134">
        <v>134</v>
      </c>
      <c r="L34" s="135">
        <f>AVERAGE(H34:K34)</f>
        <v>144</v>
      </c>
      <c r="M34" s="130"/>
      <c r="N34" s="136">
        <v>147</v>
      </c>
      <c r="O34" s="134">
        <v>140</v>
      </c>
      <c r="P34" s="134">
        <v>139</v>
      </c>
      <c r="Q34" s="134">
        <v>136</v>
      </c>
      <c r="R34" s="135">
        <f>AVERAGE(N34:Q34)</f>
        <v>140.5</v>
      </c>
    </row>
    <row r="35" spans="1:18">
      <c r="A35" s="124"/>
      <c r="B35" s="124"/>
      <c r="C35" s="124"/>
      <c r="D35" s="124"/>
      <c r="E35" s="124"/>
      <c r="F35" s="124"/>
      <c r="G35" s="124"/>
      <c r="H35" s="124"/>
      <c r="I35" s="124"/>
      <c r="J35" s="124"/>
      <c r="K35" s="124"/>
      <c r="L35" s="124"/>
      <c r="M35" s="124"/>
      <c r="N35" s="124"/>
      <c r="O35" s="124"/>
      <c r="P35" s="124"/>
      <c r="Q35" s="124"/>
      <c r="R35" s="124"/>
    </row>
    <row r="36" spans="1:18">
      <c r="A36" s="125" t="s">
        <v>42</v>
      </c>
      <c r="B36" s="137" t="s">
        <v>0</v>
      </c>
      <c r="C36" s="138"/>
      <c r="D36" s="138"/>
      <c r="E36" s="138"/>
      <c r="F36" s="139"/>
      <c r="G36" s="126"/>
      <c r="H36" s="140" t="s">
        <v>18</v>
      </c>
      <c r="I36" s="141"/>
      <c r="J36" s="141"/>
      <c r="K36" s="141"/>
      <c r="L36" s="142"/>
      <c r="M36" s="126"/>
      <c r="N36" s="143" t="s">
        <v>34</v>
      </c>
      <c r="O36" s="144"/>
      <c r="P36" s="144"/>
      <c r="Q36" s="144"/>
      <c r="R36" s="145"/>
    </row>
    <row r="37" spans="1:18">
      <c r="A37" s="127"/>
      <c r="B37" s="126" t="s">
        <v>35</v>
      </c>
      <c r="C37" s="126" t="s">
        <v>36</v>
      </c>
      <c r="D37" s="126" t="s">
        <v>37</v>
      </c>
      <c r="E37" s="126" t="s">
        <v>38</v>
      </c>
      <c r="F37" s="128" t="s">
        <v>39</v>
      </c>
      <c r="G37" s="126"/>
      <c r="H37" s="129" t="s">
        <v>35</v>
      </c>
      <c r="I37" s="126" t="s">
        <v>36</v>
      </c>
      <c r="J37" s="126" t="s">
        <v>37</v>
      </c>
      <c r="K37" s="126" t="s">
        <v>38</v>
      </c>
      <c r="L37" s="128" t="s">
        <v>39</v>
      </c>
      <c r="M37" s="126"/>
      <c r="N37" s="129" t="s">
        <v>35</v>
      </c>
      <c r="O37" s="126" t="s">
        <v>36</v>
      </c>
      <c r="P37" s="126" t="s">
        <v>37</v>
      </c>
      <c r="Q37" s="126" t="s">
        <v>38</v>
      </c>
      <c r="R37" s="128" t="s">
        <v>39</v>
      </c>
    </row>
    <row r="38" spans="1:18">
      <c r="A38" s="127" t="s">
        <v>40</v>
      </c>
      <c r="B38" s="130">
        <v>1153</v>
      </c>
      <c r="C38" s="130">
        <v>1090</v>
      </c>
      <c r="D38" s="130">
        <v>1091</v>
      </c>
      <c r="E38" s="130">
        <v>1005</v>
      </c>
      <c r="F38" s="131">
        <f>AVERAGE(B38:E38)</f>
        <v>1084.75</v>
      </c>
      <c r="G38" s="130"/>
      <c r="H38" s="132">
        <v>891</v>
      </c>
      <c r="I38" s="130">
        <v>868</v>
      </c>
      <c r="J38" s="130">
        <v>807</v>
      </c>
      <c r="K38" s="130">
        <v>717</v>
      </c>
      <c r="L38" s="131">
        <f>AVERAGE(H38:K38)</f>
        <v>820.75</v>
      </c>
      <c r="M38" s="130"/>
      <c r="N38" s="132">
        <v>775</v>
      </c>
      <c r="O38" s="130">
        <v>763</v>
      </c>
      <c r="P38" s="130">
        <v>737</v>
      </c>
      <c r="Q38" s="130">
        <v>710</v>
      </c>
      <c r="R38" s="131">
        <f>AVERAGE(N38:Q38)</f>
        <v>746.25</v>
      </c>
    </row>
    <row r="39" spans="1:18">
      <c r="A39" s="133" t="s">
        <v>41</v>
      </c>
      <c r="B39" s="134">
        <v>153</v>
      </c>
      <c r="C39" s="134">
        <v>149</v>
      </c>
      <c r="D39" s="134">
        <v>151</v>
      </c>
      <c r="E39" s="134">
        <v>155</v>
      </c>
      <c r="F39" s="135">
        <f>AVERAGE(B39:E39)</f>
        <v>152</v>
      </c>
      <c r="G39" s="130"/>
      <c r="H39" s="136">
        <v>138</v>
      </c>
      <c r="I39" s="134">
        <v>139</v>
      </c>
      <c r="J39" s="134">
        <v>136</v>
      </c>
      <c r="K39" s="134">
        <v>130</v>
      </c>
      <c r="L39" s="135">
        <f>AVERAGE(H39:K39)</f>
        <v>135.75</v>
      </c>
      <c r="M39" s="130"/>
      <c r="N39" s="136">
        <v>140</v>
      </c>
      <c r="O39" s="134">
        <v>141</v>
      </c>
      <c r="P39" s="134">
        <v>139</v>
      </c>
      <c r="Q39" s="134">
        <v>138</v>
      </c>
      <c r="R39" s="135">
        <f>AVERAGE(N39:Q39)</f>
        <v>139.5</v>
      </c>
    </row>
    <row r="40" spans="1:18">
      <c r="A40" s="124"/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</row>
    <row r="41" spans="1:18">
      <c r="A41" s="125" t="s">
        <v>43</v>
      </c>
      <c r="B41" s="137" t="s">
        <v>0</v>
      </c>
      <c r="C41" s="138"/>
      <c r="D41" s="138"/>
      <c r="E41" s="138"/>
      <c r="F41" s="139"/>
      <c r="G41" s="126"/>
      <c r="H41" s="140" t="s">
        <v>18</v>
      </c>
      <c r="I41" s="141"/>
      <c r="J41" s="141"/>
      <c r="K41" s="141"/>
      <c r="L41" s="142"/>
      <c r="M41" s="126"/>
      <c r="N41" s="143" t="s">
        <v>34</v>
      </c>
      <c r="O41" s="144"/>
      <c r="P41" s="144"/>
      <c r="Q41" s="144"/>
      <c r="R41" s="145"/>
    </row>
    <row r="42" spans="1:18">
      <c r="A42" s="127"/>
      <c r="B42" s="126" t="s">
        <v>35</v>
      </c>
      <c r="C42" s="126" t="s">
        <v>36</v>
      </c>
      <c r="D42" s="126" t="s">
        <v>37</v>
      </c>
      <c r="E42" s="126"/>
      <c r="F42" s="128" t="s">
        <v>39</v>
      </c>
      <c r="G42" s="126"/>
      <c r="H42" s="129" t="s">
        <v>35</v>
      </c>
      <c r="I42" s="126" t="s">
        <v>36</v>
      </c>
      <c r="J42" s="126" t="s">
        <v>37</v>
      </c>
      <c r="K42" s="126"/>
      <c r="L42" s="128" t="s">
        <v>39</v>
      </c>
      <c r="M42" s="126"/>
      <c r="N42" s="129" t="s">
        <v>35</v>
      </c>
      <c r="O42" s="126" t="s">
        <v>36</v>
      </c>
      <c r="P42" s="126" t="s">
        <v>37</v>
      </c>
      <c r="Q42" s="126"/>
      <c r="R42" s="128" t="s">
        <v>39</v>
      </c>
    </row>
    <row r="43" spans="1:18">
      <c r="A43" s="127" t="s">
        <v>40</v>
      </c>
      <c r="B43" s="130">
        <v>1090</v>
      </c>
      <c r="C43" s="130">
        <v>1090</v>
      </c>
      <c r="D43" s="130">
        <v>1079</v>
      </c>
      <c r="E43" s="130"/>
      <c r="F43" s="131">
        <f>AVERAGE(B43:E43)</f>
        <v>1086.3333333333333</v>
      </c>
      <c r="G43" s="130"/>
      <c r="H43" s="132">
        <v>900</v>
      </c>
      <c r="I43" s="130">
        <v>902</v>
      </c>
      <c r="J43" s="130">
        <v>847</v>
      </c>
      <c r="K43" s="130"/>
      <c r="L43" s="131">
        <f>AVERAGE(H43:K43)</f>
        <v>883</v>
      </c>
      <c r="M43" s="130"/>
      <c r="N43" s="132">
        <v>798</v>
      </c>
      <c r="O43" s="130">
        <v>804</v>
      </c>
      <c r="P43" s="130">
        <v>778</v>
      </c>
      <c r="Q43" s="130"/>
      <c r="R43" s="131">
        <f>AVERAGE(N43:Q43)</f>
        <v>793.33333333333337</v>
      </c>
    </row>
    <row r="44" spans="1:18">
      <c r="A44" s="133" t="s">
        <v>41</v>
      </c>
      <c r="B44" s="134">
        <v>150</v>
      </c>
      <c r="C44" s="134">
        <v>150</v>
      </c>
      <c r="D44" s="134">
        <v>150</v>
      </c>
      <c r="E44" s="134"/>
      <c r="F44" s="135">
        <f>AVERAGE(B44:E44)</f>
        <v>150</v>
      </c>
      <c r="G44" s="130"/>
      <c r="H44" s="136">
        <v>157</v>
      </c>
      <c r="I44" s="134">
        <v>141</v>
      </c>
      <c r="J44" s="134">
        <v>138</v>
      </c>
      <c r="K44" s="134"/>
      <c r="L44" s="135">
        <f>AVERAGE(H44:K44)</f>
        <v>145.33333333333334</v>
      </c>
      <c r="M44" s="130"/>
      <c r="N44" s="136">
        <v>140</v>
      </c>
      <c r="O44" s="134">
        <v>142</v>
      </c>
      <c r="P44" s="134">
        <v>140</v>
      </c>
      <c r="Q44" s="134"/>
      <c r="R44" s="135">
        <f>AVERAGE(N44:Q44)</f>
        <v>140.66666666666666</v>
      </c>
    </row>
    <row r="45" spans="1:18">
      <c r="A45" s="124"/>
      <c r="B45" s="124"/>
      <c r="C45" s="124"/>
      <c r="D45" s="124"/>
      <c r="E45" s="124"/>
      <c r="F45" s="124"/>
      <c r="G45" s="124"/>
      <c r="H45" s="124"/>
      <c r="I45" s="124"/>
      <c r="J45" s="124"/>
      <c r="K45" s="124"/>
      <c r="L45" s="124"/>
      <c r="M45" s="124"/>
      <c r="N45" s="124"/>
      <c r="O45" s="124"/>
      <c r="P45" s="124"/>
      <c r="Q45" s="124"/>
      <c r="R45" s="124"/>
    </row>
    <row r="46" spans="1:18">
      <c r="A46" s="125" t="s">
        <v>44</v>
      </c>
      <c r="B46" s="137" t="s">
        <v>0</v>
      </c>
      <c r="C46" s="138"/>
      <c r="D46" s="138"/>
      <c r="E46" s="138"/>
      <c r="F46" s="139"/>
      <c r="G46" s="126"/>
      <c r="H46" s="140" t="s">
        <v>18</v>
      </c>
      <c r="I46" s="141"/>
      <c r="J46" s="141"/>
      <c r="K46" s="141"/>
      <c r="L46" s="142"/>
      <c r="M46" s="126"/>
      <c r="N46" s="143" t="s">
        <v>34</v>
      </c>
      <c r="O46" s="144"/>
      <c r="P46" s="144"/>
      <c r="Q46" s="144"/>
      <c r="R46" s="145"/>
    </row>
    <row r="47" spans="1:18">
      <c r="A47" s="127"/>
      <c r="B47" s="126" t="s">
        <v>35</v>
      </c>
      <c r="C47" s="126" t="s">
        <v>36</v>
      </c>
      <c r="D47" s="126" t="s">
        <v>37</v>
      </c>
      <c r="E47" s="126"/>
      <c r="F47" s="128" t="s">
        <v>39</v>
      </c>
      <c r="G47" s="126"/>
      <c r="H47" s="129" t="s">
        <v>35</v>
      </c>
      <c r="I47" s="126" t="s">
        <v>36</v>
      </c>
      <c r="J47" s="126" t="s">
        <v>37</v>
      </c>
      <c r="K47" s="126"/>
      <c r="L47" s="128" t="s">
        <v>39</v>
      </c>
      <c r="M47" s="126"/>
      <c r="N47" s="129" t="s">
        <v>35</v>
      </c>
      <c r="O47" s="126" t="s">
        <v>36</v>
      </c>
      <c r="P47" s="126" t="s">
        <v>37</v>
      </c>
      <c r="Q47" s="126"/>
      <c r="R47" s="128" t="s">
        <v>39</v>
      </c>
    </row>
    <row r="48" spans="1:18">
      <c r="A48" s="127" t="s">
        <v>40</v>
      </c>
      <c r="B48" s="130">
        <v>1120</v>
      </c>
      <c r="C48" s="130">
        <v>1113</v>
      </c>
      <c r="D48" s="130">
        <v>1110</v>
      </c>
      <c r="E48" s="130"/>
      <c r="F48" s="131">
        <f>AVERAGE(B48:E48)</f>
        <v>1114.3333333333333</v>
      </c>
      <c r="G48" s="130"/>
      <c r="H48" s="132">
        <v>901</v>
      </c>
      <c r="I48" s="130">
        <v>908</v>
      </c>
      <c r="J48" s="130">
        <v>871</v>
      </c>
      <c r="K48" s="130"/>
      <c r="L48" s="131">
        <f>AVERAGE(H48:K48)</f>
        <v>893.33333333333337</v>
      </c>
      <c r="M48" s="130"/>
      <c r="N48" s="132">
        <v>782</v>
      </c>
      <c r="O48" s="130">
        <v>771</v>
      </c>
      <c r="P48" s="130">
        <v>741</v>
      </c>
      <c r="Q48" s="130"/>
      <c r="R48" s="131">
        <f>AVERAGE(N48:Q48)</f>
        <v>764.66666666666663</v>
      </c>
    </row>
    <row r="49" spans="1:18">
      <c r="A49" s="133" t="s">
        <v>41</v>
      </c>
      <c r="B49" s="134">
        <v>150</v>
      </c>
      <c r="C49" s="134">
        <v>152</v>
      </c>
      <c r="D49" s="134">
        <v>150</v>
      </c>
      <c r="E49" s="134"/>
      <c r="F49" s="135">
        <f>AVERAGE(B49:E49)</f>
        <v>150.66666666666666</v>
      </c>
      <c r="G49" s="130"/>
      <c r="H49" s="136">
        <v>148</v>
      </c>
      <c r="I49" s="134">
        <v>148</v>
      </c>
      <c r="J49" s="134">
        <v>146</v>
      </c>
      <c r="K49" s="134"/>
      <c r="L49" s="135">
        <f>AVERAGE(H49:K49)</f>
        <v>147.33333333333334</v>
      </c>
      <c r="M49" s="130"/>
      <c r="N49" s="136">
        <v>141</v>
      </c>
      <c r="O49" s="134">
        <v>139</v>
      </c>
      <c r="P49" s="134">
        <v>137</v>
      </c>
      <c r="Q49" s="134"/>
      <c r="R49" s="135">
        <f>AVERAGE(N49:Q49)</f>
        <v>139</v>
      </c>
    </row>
    <row r="50" spans="1:18">
      <c r="A50" s="124"/>
      <c r="B50" s="124"/>
      <c r="C50" s="124"/>
      <c r="D50" s="124"/>
      <c r="E50" s="124"/>
      <c r="F50" s="124"/>
      <c r="G50" s="124"/>
      <c r="H50" s="124"/>
      <c r="I50" s="124"/>
      <c r="J50" s="124"/>
      <c r="K50" s="124"/>
      <c r="L50" s="124"/>
      <c r="M50" s="124"/>
      <c r="N50" s="124"/>
      <c r="O50" s="124"/>
      <c r="P50" s="124"/>
      <c r="Q50" s="124"/>
      <c r="R50" s="124"/>
    </row>
  </sheetData>
  <mergeCells count="17">
    <mergeCell ref="B46:F46"/>
    <mergeCell ref="H46:L46"/>
    <mergeCell ref="N46:R46"/>
    <mergeCell ref="B36:F36"/>
    <mergeCell ref="H36:L36"/>
    <mergeCell ref="N36:R36"/>
    <mergeCell ref="B41:F41"/>
    <mergeCell ref="H41:L41"/>
    <mergeCell ref="N41:R41"/>
    <mergeCell ref="B31:F31"/>
    <mergeCell ref="H31:L31"/>
    <mergeCell ref="N31:R31"/>
    <mergeCell ref="A2:A8"/>
    <mergeCell ref="A10:A16"/>
    <mergeCell ref="A18:A24"/>
    <mergeCell ref="A26:R27"/>
    <mergeCell ref="A28:R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C083E-EC73-4EF7-A485-299298F70488}">
  <dimension ref="A1:Z15"/>
  <sheetViews>
    <sheetView workbookViewId="0">
      <selection activeCell="B20" sqref="B20"/>
    </sheetView>
  </sheetViews>
  <sheetFormatPr defaultRowHeight="14.45"/>
  <cols>
    <col min="1" max="1" width="14.42578125" bestFit="1" customWidth="1"/>
    <col min="2" max="2" width="14.42578125" customWidth="1"/>
    <col min="3" max="3" width="11.140625" bestFit="1" customWidth="1"/>
    <col min="4" max="6" width="5.7109375" bestFit="1" customWidth="1"/>
    <col min="7" max="7" width="7.5703125" bestFit="1" customWidth="1"/>
    <col min="8" max="8" width="11.7109375" bestFit="1" customWidth="1"/>
    <col min="9" max="9" width="12.7109375" bestFit="1" customWidth="1"/>
    <col min="10" max="11" width="5.7109375" bestFit="1" customWidth="1"/>
    <col min="12" max="12" width="7.5703125" bestFit="1" customWidth="1"/>
    <col min="13" max="13" width="19.85546875" bestFit="1" customWidth="1"/>
    <col min="14" max="14" width="11.7109375" bestFit="1" customWidth="1"/>
    <col min="15" max="15" width="12.7109375" bestFit="1" customWidth="1"/>
    <col min="16" max="16" width="5.7109375" bestFit="1" customWidth="1"/>
    <col min="17" max="17" width="7.42578125" bestFit="1" customWidth="1"/>
    <col min="19" max="19" width="7.5703125" bestFit="1" customWidth="1"/>
    <col min="20" max="20" width="5.7109375" bestFit="1" customWidth="1"/>
    <col min="21" max="21" width="7.42578125" bestFit="1" customWidth="1"/>
    <col min="22" max="24" width="5.7109375" bestFit="1" customWidth="1"/>
    <col min="26" max="26" width="7.5703125" bestFit="1" customWidth="1"/>
  </cols>
  <sheetData>
    <row r="1" spans="1:26">
      <c r="A1" s="158" t="s">
        <v>45</v>
      </c>
      <c r="B1" s="159"/>
      <c r="C1" s="160">
        <v>44353</v>
      </c>
      <c r="D1" s="161"/>
      <c r="E1" s="161"/>
      <c r="F1" s="161"/>
      <c r="G1" s="162"/>
      <c r="H1" s="160">
        <v>44356</v>
      </c>
      <c r="I1" s="161"/>
      <c r="J1" s="161"/>
      <c r="K1" s="161"/>
      <c r="L1" s="162"/>
      <c r="M1" s="163">
        <v>44358</v>
      </c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5"/>
    </row>
    <row r="2" spans="1:26" ht="29.45" thickBot="1">
      <c r="A2" s="1"/>
      <c r="B2" s="6" t="s">
        <v>46</v>
      </c>
      <c r="C2" s="2" t="s">
        <v>35</v>
      </c>
      <c r="D2" s="3" t="s">
        <v>36</v>
      </c>
      <c r="E2" s="3" t="s">
        <v>37</v>
      </c>
      <c r="F2" s="3" t="s">
        <v>38</v>
      </c>
      <c r="G2" s="7" t="s">
        <v>39</v>
      </c>
      <c r="H2" s="2" t="s">
        <v>35</v>
      </c>
      <c r="I2" s="3" t="s">
        <v>36</v>
      </c>
      <c r="J2" s="3" t="s">
        <v>37</v>
      </c>
      <c r="K2" s="3" t="s">
        <v>38</v>
      </c>
      <c r="L2" s="7" t="s">
        <v>39</v>
      </c>
      <c r="M2" s="6" t="s">
        <v>46</v>
      </c>
      <c r="N2" s="2" t="s">
        <v>35</v>
      </c>
      <c r="O2" s="3" t="s">
        <v>36</v>
      </c>
      <c r="P2" s="3" t="s">
        <v>37</v>
      </c>
      <c r="Q2" s="35" t="s">
        <v>47</v>
      </c>
      <c r="R2" s="3" t="s">
        <v>38</v>
      </c>
      <c r="S2" s="3" t="s">
        <v>48</v>
      </c>
      <c r="T2" s="3" t="s">
        <v>49</v>
      </c>
      <c r="U2" s="35" t="s">
        <v>50</v>
      </c>
      <c r="V2" s="3" t="s">
        <v>51</v>
      </c>
      <c r="W2" s="3" t="s">
        <v>52</v>
      </c>
      <c r="X2" s="3" t="s">
        <v>53</v>
      </c>
      <c r="Y2" s="35" t="s">
        <v>54</v>
      </c>
      <c r="Z2" s="36" t="s">
        <v>55</v>
      </c>
    </row>
    <row r="3" spans="1:26">
      <c r="A3" s="4" t="s">
        <v>56</v>
      </c>
      <c r="B3" s="5" t="s">
        <v>57</v>
      </c>
      <c r="C3" s="13">
        <v>1161</v>
      </c>
      <c r="D3" s="14">
        <v>1148</v>
      </c>
      <c r="E3" s="14">
        <v>1115</v>
      </c>
      <c r="F3" s="14">
        <v>1158</v>
      </c>
      <c r="G3" s="33">
        <f>AVERAGE(C3:F3)</f>
        <v>1145.5</v>
      </c>
      <c r="H3" s="13">
        <v>1163</v>
      </c>
      <c r="I3" s="14">
        <v>1212</v>
      </c>
      <c r="J3" s="14">
        <v>1216</v>
      </c>
      <c r="K3" s="14">
        <v>1153</v>
      </c>
      <c r="L3" s="37">
        <f t="shared" ref="L3:L4" si="0">AVERAGE(H3:K3)</f>
        <v>1186</v>
      </c>
      <c r="M3" s="38"/>
      <c r="N3" s="16"/>
      <c r="Q3" s="39"/>
      <c r="U3" s="39"/>
      <c r="Y3" s="39"/>
      <c r="Z3" s="37"/>
    </row>
    <row r="4" spans="1:26">
      <c r="A4" s="16" t="s">
        <v>58</v>
      </c>
      <c r="B4" s="17" t="s">
        <v>59</v>
      </c>
      <c r="C4" s="18">
        <v>1163</v>
      </c>
      <c r="D4" s="19">
        <v>1115</v>
      </c>
      <c r="E4" s="19">
        <v>1097</v>
      </c>
      <c r="F4" s="19">
        <v>1061</v>
      </c>
      <c r="G4" s="15">
        <f t="shared" ref="G4:G7" si="1">AVERAGE(C4:F4)</f>
        <v>1109</v>
      </c>
      <c r="H4" s="18">
        <v>1154</v>
      </c>
      <c r="I4" s="19">
        <v>1120</v>
      </c>
      <c r="J4" s="19">
        <v>1095</v>
      </c>
      <c r="K4" s="19">
        <v>1124</v>
      </c>
      <c r="L4" s="40">
        <f t="shared" si="0"/>
        <v>1123.25</v>
      </c>
      <c r="M4" s="41" t="s">
        <v>60</v>
      </c>
      <c r="N4" s="16">
        <v>1532</v>
      </c>
      <c r="O4">
        <v>1476</v>
      </c>
      <c r="P4">
        <v>1413</v>
      </c>
      <c r="Q4" s="42">
        <f>AVERAGE(N4:P4)</f>
        <v>1473.6666666666667</v>
      </c>
      <c r="R4">
        <v>1557</v>
      </c>
      <c r="S4">
        <v>1483</v>
      </c>
      <c r="T4">
        <v>1349</v>
      </c>
      <c r="U4" s="42">
        <f>AVERAGE(R4:T4)</f>
        <v>1463</v>
      </c>
      <c r="V4">
        <v>1492</v>
      </c>
      <c r="W4">
        <v>1429</v>
      </c>
      <c r="X4">
        <v>1340</v>
      </c>
      <c r="Y4" s="42">
        <f>AVERAGE(V4:X4)</f>
        <v>1420.3333333333333</v>
      </c>
      <c r="Z4" s="40">
        <f>AVERAGE(N4:P4,R4:T4,V4:X4)</f>
        <v>1452.3333333333333</v>
      </c>
    </row>
    <row r="5" spans="1:26">
      <c r="A5" s="16" t="s">
        <v>61</v>
      </c>
      <c r="B5" s="17" t="s">
        <v>62</v>
      </c>
      <c r="C5" s="18">
        <v>782</v>
      </c>
      <c r="D5" s="19">
        <v>769</v>
      </c>
      <c r="E5" s="19">
        <v>811</v>
      </c>
      <c r="F5" s="19">
        <v>751</v>
      </c>
      <c r="G5" s="15">
        <f t="shared" si="1"/>
        <v>778.25</v>
      </c>
      <c r="H5" s="18">
        <v>836</v>
      </c>
      <c r="I5" s="19">
        <v>836</v>
      </c>
      <c r="J5" s="19">
        <v>790</v>
      </c>
      <c r="K5" s="19">
        <v>823</v>
      </c>
      <c r="L5" s="40">
        <f>AVERAGE(H5:K5)</f>
        <v>821.25</v>
      </c>
      <c r="M5" s="41"/>
      <c r="N5" s="16"/>
      <c r="Q5" s="39"/>
      <c r="U5" s="39"/>
      <c r="Y5" s="39"/>
      <c r="Z5" s="40"/>
    </row>
    <row r="6" spans="1:26">
      <c r="A6" s="16" t="s">
        <v>63</v>
      </c>
      <c r="B6" s="17" t="s">
        <v>62</v>
      </c>
      <c r="C6" s="18">
        <v>847</v>
      </c>
      <c r="D6" s="19">
        <v>766</v>
      </c>
      <c r="E6" s="19"/>
      <c r="F6" s="19">
        <v>696</v>
      </c>
      <c r="G6" s="15">
        <f t="shared" si="1"/>
        <v>769.66666666666663</v>
      </c>
      <c r="H6" s="43"/>
      <c r="I6" s="44"/>
      <c r="J6" s="44"/>
      <c r="K6" s="44"/>
      <c r="L6" s="40"/>
      <c r="M6" s="41"/>
      <c r="N6" s="16"/>
      <c r="Q6" s="39"/>
      <c r="U6" s="39"/>
      <c r="Y6" s="39"/>
      <c r="Z6" s="40"/>
    </row>
    <row r="7" spans="1:26" ht="15" thickBot="1">
      <c r="A7" s="1" t="s">
        <v>64</v>
      </c>
      <c r="B7" s="20" t="s">
        <v>62</v>
      </c>
      <c r="C7" s="21">
        <v>676</v>
      </c>
      <c r="D7" s="22">
        <v>580</v>
      </c>
      <c r="E7" s="22">
        <v>620</v>
      </c>
      <c r="F7" s="22">
        <v>509</v>
      </c>
      <c r="G7" s="23">
        <f t="shared" si="1"/>
        <v>596.25</v>
      </c>
      <c r="H7" s="21">
        <v>713</v>
      </c>
      <c r="I7" s="22">
        <v>724</v>
      </c>
      <c r="J7" s="22">
        <v>682</v>
      </c>
      <c r="K7" s="45"/>
      <c r="L7" s="46">
        <f t="shared" ref="L7" si="2">AVERAGE(H7:K7)</f>
        <v>706.33333333333337</v>
      </c>
      <c r="M7" s="47"/>
      <c r="N7" s="1"/>
      <c r="O7" s="34"/>
      <c r="P7" s="34"/>
      <c r="Q7" s="48"/>
      <c r="R7" s="34"/>
      <c r="S7" s="34"/>
      <c r="T7" s="34"/>
      <c r="U7" s="48"/>
      <c r="V7" s="34"/>
      <c r="W7" s="34"/>
      <c r="X7" s="34"/>
      <c r="Y7" s="48"/>
      <c r="Z7" s="46"/>
    </row>
    <row r="8" spans="1:26" ht="15" thickBot="1"/>
    <row r="9" spans="1:26">
      <c r="A9" s="158" t="s">
        <v>65</v>
      </c>
      <c r="B9" s="159"/>
      <c r="C9" s="31"/>
      <c r="D9" s="160">
        <v>44380</v>
      </c>
      <c r="E9" s="161"/>
      <c r="F9" s="161"/>
      <c r="G9" s="162"/>
      <c r="H9" s="5"/>
      <c r="I9" s="31"/>
      <c r="J9" s="160">
        <v>44383</v>
      </c>
      <c r="K9" s="161"/>
      <c r="L9" s="161"/>
      <c r="M9" s="162"/>
      <c r="N9" s="5"/>
      <c r="O9" s="31"/>
      <c r="P9" s="160">
        <v>44392</v>
      </c>
      <c r="Q9" s="161"/>
      <c r="R9" s="161"/>
      <c r="S9" s="162"/>
    </row>
    <row r="10" spans="1:26" ht="15" thickBot="1">
      <c r="A10" s="1"/>
      <c r="B10" s="6" t="s">
        <v>46</v>
      </c>
      <c r="C10" s="32" t="s">
        <v>66</v>
      </c>
      <c r="D10" s="2" t="s">
        <v>35</v>
      </c>
      <c r="E10" s="3" t="s">
        <v>36</v>
      </c>
      <c r="F10" s="3" t="s">
        <v>37</v>
      </c>
      <c r="G10" s="7" t="s">
        <v>39</v>
      </c>
      <c r="H10" s="6" t="s">
        <v>46</v>
      </c>
      <c r="I10" s="32" t="s">
        <v>66</v>
      </c>
      <c r="J10" s="2" t="s">
        <v>35</v>
      </c>
      <c r="K10" s="3" t="s">
        <v>36</v>
      </c>
      <c r="L10" s="3" t="s">
        <v>37</v>
      </c>
      <c r="M10" s="7" t="s">
        <v>39</v>
      </c>
      <c r="N10" s="6" t="s">
        <v>46</v>
      </c>
      <c r="O10" s="32" t="s">
        <v>66</v>
      </c>
      <c r="P10" s="2" t="s">
        <v>35</v>
      </c>
      <c r="Q10" s="3" t="s">
        <v>36</v>
      </c>
      <c r="R10" s="3" t="s">
        <v>37</v>
      </c>
      <c r="S10" s="7" t="s">
        <v>39</v>
      </c>
    </row>
    <row r="11" spans="1:26">
      <c r="A11" s="4" t="s">
        <v>56</v>
      </c>
      <c r="B11" s="5" t="s">
        <v>67</v>
      </c>
      <c r="C11" t="s">
        <v>68</v>
      </c>
      <c r="D11" s="13"/>
      <c r="E11" s="14"/>
      <c r="F11" s="14"/>
      <c r="G11" s="33"/>
      <c r="H11" s="5" t="s">
        <v>67</v>
      </c>
      <c r="I11" t="s">
        <v>69</v>
      </c>
      <c r="J11" s="13">
        <v>1124</v>
      </c>
      <c r="K11" s="14">
        <v>1149</v>
      </c>
      <c r="L11" s="14">
        <v>1144</v>
      </c>
      <c r="M11" s="33">
        <f>AVERAGE(J11:L11)</f>
        <v>1139</v>
      </c>
      <c r="N11" s="5"/>
      <c r="O11" t="s">
        <v>70</v>
      </c>
      <c r="P11" s="13"/>
      <c r="Q11" s="14"/>
      <c r="R11" s="14"/>
      <c r="S11" s="33"/>
    </row>
    <row r="12" spans="1:26">
      <c r="A12" s="16" t="s">
        <v>58</v>
      </c>
      <c r="B12" s="17" t="s">
        <v>71</v>
      </c>
      <c r="D12" s="18">
        <v>1156</v>
      </c>
      <c r="E12" s="19">
        <v>1226</v>
      </c>
      <c r="F12" s="19">
        <v>1196</v>
      </c>
      <c r="G12" s="15">
        <f>AVERAGE(D12:F12)</f>
        <v>1192.6666666666667</v>
      </c>
      <c r="H12" s="17" t="s">
        <v>71</v>
      </c>
      <c r="J12" s="18">
        <v>1213</v>
      </c>
      <c r="K12" s="19">
        <v>1194</v>
      </c>
      <c r="L12" s="19">
        <v>1200</v>
      </c>
      <c r="M12" s="15">
        <f>AVERAGE(J12:L12)</f>
        <v>1202.3333333333333</v>
      </c>
      <c r="N12" s="17" t="s">
        <v>71</v>
      </c>
      <c r="P12" s="18">
        <v>1226</v>
      </c>
      <c r="Q12" s="19">
        <v>1228</v>
      </c>
      <c r="R12" s="19"/>
      <c r="S12" s="15">
        <f>AVERAGE(P12:R12)</f>
        <v>1227</v>
      </c>
    </row>
    <row r="13" spans="1:26">
      <c r="A13" s="16" t="s">
        <v>61</v>
      </c>
      <c r="B13" s="17" t="s">
        <v>72</v>
      </c>
      <c r="D13" s="18">
        <v>797</v>
      </c>
      <c r="E13" s="19">
        <v>852</v>
      </c>
      <c r="F13" s="19">
        <v>756</v>
      </c>
      <c r="G13" s="15">
        <f>AVERAGE(D13:F13)</f>
        <v>801.66666666666663</v>
      </c>
      <c r="H13" s="17" t="s">
        <v>72</v>
      </c>
      <c r="J13" s="18">
        <v>772</v>
      </c>
      <c r="K13" s="19">
        <v>794</v>
      </c>
      <c r="L13" s="19">
        <v>757</v>
      </c>
      <c r="M13" s="15">
        <f>AVERAGE(J13:L13)</f>
        <v>774.33333333333337</v>
      </c>
      <c r="N13" s="17" t="s">
        <v>71</v>
      </c>
      <c r="P13" s="18">
        <v>1083</v>
      </c>
      <c r="Q13" s="19">
        <v>982</v>
      </c>
      <c r="R13" s="19">
        <v>1008</v>
      </c>
      <c r="S13" s="15">
        <f>AVERAGE(P13:R13)</f>
        <v>1024.3333333333333</v>
      </c>
    </row>
    <row r="14" spans="1:26">
      <c r="A14" s="16" t="s">
        <v>63</v>
      </c>
      <c r="B14" s="17" t="s">
        <v>72</v>
      </c>
      <c r="D14" s="18">
        <v>822</v>
      </c>
      <c r="E14" s="19">
        <v>923</v>
      </c>
      <c r="F14" s="19"/>
      <c r="G14" s="15">
        <f>AVERAGE(D14:F14)</f>
        <v>872.5</v>
      </c>
      <c r="H14" s="17" t="s">
        <v>72</v>
      </c>
      <c r="J14" s="18">
        <v>779</v>
      </c>
      <c r="K14" s="19">
        <v>817</v>
      </c>
      <c r="L14" s="19">
        <v>843</v>
      </c>
      <c r="M14" s="15">
        <f>AVERAGE(J14:L14)</f>
        <v>813</v>
      </c>
      <c r="N14" s="17" t="s">
        <v>71</v>
      </c>
      <c r="P14" s="18">
        <v>931</v>
      </c>
      <c r="Q14" s="19">
        <v>1002</v>
      </c>
      <c r="R14" s="19">
        <v>985</v>
      </c>
      <c r="S14" s="15">
        <f>AVERAGE(P14:R14)</f>
        <v>972.66666666666663</v>
      </c>
    </row>
    <row r="15" spans="1:26" ht="15" thickBot="1">
      <c r="A15" s="1" t="s">
        <v>64</v>
      </c>
      <c r="B15" s="20" t="s">
        <v>72</v>
      </c>
      <c r="C15" s="34"/>
      <c r="D15" s="21"/>
      <c r="E15" s="22"/>
      <c r="F15" s="22"/>
      <c r="G15" s="23"/>
      <c r="H15" s="20" t="s">
        <v>72</v>
      </c>
      <c r="I15" s="34"/>
      <c r="J15" s="21">
        <v>682</v>
      </c>
      <c r="K15" s="22">
        <v>692</v>
      </c>
      <c r="L15" s="22">
        <v>648</v>
      </c>
      <c r="M15" s="23">
        <f>AVERAGE(J15:L15)</f>
        <v>674</v>
      </c>
      <c r="N15" s="20" t="s">
        <v>71</v>
      </c>
      <c r="O15" s="34"/>
      <c r="P15" s="21">
        <v>868</v>
      </c>
      <c r="Q15" s="22">
        <v>866</v>
      </c>
      <c r="R15" s="22"/>
      <c r="S15" s="23">
        <f>AVERAGE(P15:R15)</f>
        <v>867</v>
      </c>
    </row>
  </sheetData>
  <mergeCells count="8">
    <mergeCell ref="A1:B1"/>
    <mergeCell ref="A9:B9"/>
    <mergeCell ref="D9:G9"/>
    <mergeCell ref="J9:M9"/>
    <mergeCell ref="P9:S9"/>
    <mergeCell ref="C1:G1"/>
    <mergeCell ref="H1:L1"/>
    <mergeCell ref="M1:Z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235C0-0256-47FA-A8F4-6C161EA21C82}">
  <dimension ref="A1:K7"/>
  <sheetViews>
    <sheetView workbookViewId="0">
      <selection activeCell="C25" sqref="C25"/>
    </sheetView>
  </sheetViews>
  <sheetFormatPr defaultRowHeight="14.45"/>
  <cols>
    <col min="1" max="1" width="14.42578125" bestFit="1" customWidth="1"/>
    <col min="2" max="2" width="39.85546875" bestFit="1" customWidth="1"/>
    <col min="3" max="3" width="9.28515625" bestFit="1" customWidth="1"/>
    <col min="7" max="7" width="39.85546875" bestFit="1" customWidth="1"/>
  </cols>
  <sheetData>
    <row r="1" spans="1:11">
      <c r="A1" s="4"/>
      <c r="B1" s="5"/>
      <c r="C1" s="160">
        <v>44828</v>
      </c>
      <c r="D1" s="161"/>
      <c r="E1" s="161"/>
      <c r="F1" s="162"/>
      <c r="G1" s="5"/>
      <c r="H1" s="160">
        <v>44838</v>
      </c>
      <c r="I1" s="161"/>
      <c r="J1" s="161"/>
      <c r="K1" s="162"/>
    </row>
    <row r="2" spans="1:11" ht="15" thickBot="1">
      <c r="A2" s="1"/>
      <c r="B2" s="6" t="s">
        <v>46</v>
      </c>
      <c r="C2" s="2" t="s">
        <v>35</v>
      </c>
      <c r="D2" s="3" t="s">
        <v>36</v>
      </c>
      <c r="E2" s="3" t="s">
        <v>37</v>
      </c>
      <c r="F2" s="7" t="s">
        <v>39</v>
      </c>
      <c r="G2" s="6" t="s">
        <v>46</v>
      </c>
      <c r="H2" s="2" t="s">
        <v>35</v>
      </c>
      <c r="I2" s="3" t="s">
        <v>36</v>
      </c>
      <c r="J2" s="3" t="s">
        <v>37</v>
      </c>
      <c r="K2" s="7" t="s">
        <v>39</v>
      </c>
    </row>
    <row r="3" spans="1:11">
      <c r="A3" s="4" t="s">
        <v>64</v>
      </c>
      <c r="B3" s="5" t="s">
        <v>73</v>
      </c>
      <c r="C3" s="13">
        <v>895</v>
      </c>
      <c r="D3" s="14">
        <v>899</v>
      </c>
      <c r="E3" s="14"/>
      <c r="F3" s="15">
        <f>AVERAGE(C3:E3)</f>
        <v>897</v>
      </c>
      <c r="G3" s="5" t="s">
        <v>74</v>
      </c>
      <c r="H3" s="13">
        <v>890</v>
      </c>
      <c r="I3" s="14">
        <v>896</v>
      </c>
      <c r="J3" s="14"/>
      <c r="K3" s="15">
        <f>AVERAGE(H3:J3)</f>
        <v>893</v>
      </c>
    </row>
    <row r="4" spans="1:11">
      <c r="A4" s="16"/>
      <c r="B4" s="17" t="s">
        <v>75</v>
      </c>
      <c r="C4" s="18"/>
      <c r="D4" s="19"/>
      <c r="E4" s="19"/>
      <c r="F4" s="15"/>
      <c r="G4" s="17"/>
      <c r="H4" s="18"/>
      <c r="I4" s="19"/>
      <c r="J4" s="19"/>
      <c r="K4" s="15"/>
    </row>
    <row r="5" spans="1:11">
      <c r="A5" s="16"/>
      <c r="B5" s="17"/>
      <c r="C5" s="18"/>
      <c r="D5" s="19"/>
      <c r="E5" s="19"/>
      <c r="F5" s="15"/>
      <c r="G5" s="17"/>
      <c r="H5" s="18"/>
      <c r="I5" s="19"/>
      <c r="J5" s="19"/>
      <c r="K5" s="15"/>
    </row>
    <row r="6" spans="1:11">
      <c r="A6" s="16"/>
      <c r="B6" s="17"/>
      <c r="C6" s="18"/>
      <c r="D6" s="19"/>
      <c r="E6" s="19"/>
      <c r="F6" s="15"/>
      <c r="G6" s="17"/>
      <c r="H6" s="18"/>
      <c r="I6" s="19"/>
      <c r="J6" s="19"/>
      <c r="K6" s="15"/>
    </row>
    <row r="7" spans="1:11" ht="15" thickBot="1">
      <c r="A7" s="1"/>
      <c r="B7" s="20"/>
      <c r="C7" s="21"/>
      <c r="D7" s="22"/>
      <c r="E7" s="22"/>
      <c r="F7" s="23"/>
      <c r="G7" s="20"/>
      <c r="H7" s="21"/>
      <c r="I7" s="22"/>
      <c r="J7" s="22"/>
      <c r="K7" s="23"/>
    </row>
  </sheetData>
  <mergeCells count="2">
    <mergeCell ref="C1:F1"/>
    <mergeCell ref="H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1D2EF-FCF0-49F0-9848-2180CB9BA876}">
  <dimension ref="A1:P39"/>
  <sheetViews>
    <sheetView topLeftCell="A15" workbookViewId="0">
      <selection activeCell="C29" sqref="C29:M29"/>
    </sheetView>
  </sheetViews>
  <sheetFormatPr defaultRowHeight="14.45"/>
  <cols>
    <col min="1" max="1" width="14.42578125" bestFit="1" customWidth="1"/>
    <col min="2" max="2" width="18.42578125" bestFit="1" customWidth="1"/>
    <col min="3" max="3" width="9.28515625" style="19" bestFit="1" customWidth="1"/>
    <col min="4" max="4" width="9.28515625" customWidth="1"/>
    <col min="6" max="6" width="18.28515625" bestFit="1" customWidth="1"/>
    <col min="7" max="7" width="9.28515625" customWidth="1"/>
    <col min="10" max="10" width="26.85546875" bestFit="1" customWidth="1"/>
    <col min="11" max="11" width="9.28515625" bestFit="1" customWidth="1"/>
    <col min="12" max="12" width="9.28515625" customWidth="1"/>
    <col min="14" max="14" width="9.7109375" bestFit="1" customWidth="1"/>
    <col min="15" max="15" width="9.28515625" customWidth="1"/>
  </cols>
  <sheetData>
    <row r="1" spans="1:16" ht="15" thickBot="1">
      <c r="A1" s="4"/>
      <c r="B1" s="5"/>
      <c r="C1" s="160">
        <v>44950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1"/>
      <c r="P1" s="161"/>
    </row>
    <row r="2" spans="1:16" ht="15" thickBot="1">
      <c r="A2" s="1"/>
      <c r="B2" s="6" t="s">
        <v>46</v>
      </c>
      <c r="C2" s="24" t="s">
        <v>76</v>
      </c>
      <c r="D2" s="25" t="s">
        <v>77</v>
      </c>
      <c r="E2" s="25" t="s">
        <v>78</v>
      </c>
      <c r="F2" s="24" t="s">
        <v>79</v>
      </c>
      <c r="G2" s="25" t="s">
        <v>80</v>
      </c>
      <c r="H2" s="25" t="s">
        <v>81</v>
      </c>
      <c r="I2" s="78"/>
      <c r="J2" s="79" t="s">
        <v>46</v>
      </c>
      <c r="K2" s="24" t="s">
        <v>76</v>
      </c>
      <c r="L2" s="25" t="s">
        <v>77</v>
      </c>
      <c r="M2" s="25" t="s">
        <v>78</v>
      </c>
      <c r="N2" s="24" t="s">
        <v>79</v>
      </c>
      <c r="O2" s="25" t="s">
        <v>80</v>
      </c>
      <c r="P2" s="26" t="s">
        <v>81</v>
      </c>
    </row>
    <row r="3" spans="1:16" ht="15" thickBot="1">
      <c r="A3" s="8" t="s">
        <v>56</v>
      </c>
      <c r="B3" s="9" t="s">
        <v>82</v>
      </c>
      <c r="C3" s="10">
        <v>1831</v>
      </c>
      <c r="D3" s="77">
        <v>1085</v>
      </c>
      <c r="E3" s="11">
        <v>123</v>
      </c>
      <c r="F3" s="10">
        <v>1844</v>
      </c>
      <c r="G3" s="77">
        <v>1128</v>
      </c>
      <c r="H3" s="11">
        <v>125</v>
      </c>
      <c r="I3" s="12"/>
      <c r="J3" s="9" t="s">
        <v>83</v>
      </c>
      <c r="K3" s="10">
        <v>1062</v>
      </c>
      <c r="L3" s="77">
        <v>738</v>
      </c>
      <c r="M3" s="11">
        <v>117</v>
      </c>
      <c r="N3" s="10">
        <v>1076</v>
      </c>
      <c r="O3" s="11">
        <v>811</v>
      </c>
      <c r="P3" s="27">
        <v>118</v>
      </c>
    </row>
    <row r="4" spans="1:16">
      <c r="C4" s="160">
        <v>44968</v>
      </c>
      <c r="D4" s="161"/>
      <c r="E4" s="161"/>
      <c r="F4" s="161"/>
      <c r="G4" s="161"/>
      <c r="H4" s="161"/>
      <c r="I4" s="161"/>
      <c r="J4" s="161"/>
      <c r="K4" s="161"/>
      <c r="L4" s="161"/>
      <c r="M4" s="161"/>
      <c r="N4" s="161"/>
      <c r="O4" s="161"/>
      <c r="P4" s="162"/>
    </row>
    <row r="5" spans="1:16" ht="15" thickBot="1">
      <c r="C5" s="2" t="s">
        <v>76</v>
      </c>
      <c r="D5" s="3" t="s">
        <v>77</v>
      </c>
      <c r="E5" s="3" t="s">
        <v>78</v>
      </c>
      <c r="F5" s="2" t="s">
        <v>79</v>
      </c>
      <c r="G5" s="3" t="s">
        <v>80</v>
      </c>
      <c r="H5" s="3" t="s">
        <v>81</v>
      </c>
      <c r="I5" s="7"/>
      <c r="J5" s="6" t="s">
        <v>46</v>
      </c>
      <c r="K5" s="2" t="s">
        <v>76</v>
      </c>
      <c r="L5" s="3" t="s">
        <v>77</v>
      </c>
      <c r="M5" s="3" t="s">
        <v>78</v>
      </c>
      <c r="N5" s="2" t="s">
        <v>79</v>
      </c>
      <c r="O5" s="3" t="s">
        <v>80</v>
      </c>
      <c r="P5" s="28" t="s">
        <v>81</v>
      </c>
    </row>
    <row r="6" spans="1:16" ht="15" thickBot="1">
      <c r="A6" s="8" t="s">
        <v>56</v>
      </c>
      <c r="B6" s="9" t="s">
        <v>82</v>
      </c>
      <c r="C6" s="10">
        <v>1809</v>
      </c>
      <c r="D6" s="77">
        <v>1108</v>
      </c>
      <c r="E6" s="11">
        <v>126</v>
      </c>
      <c r="F6" s="10">
        <v>1861</v>
      </c>
      <c r="G6" s="77">
        <v>1111</v>
      </c>
      <c r="H6" s="11">
        <v>126</v>
      </c>
      <c r="I6" s="12"/>
      <c r="J6" s="9" t="s">
        <v>84</v>
      </c>
      <c r="K6" s="10">
        <v>1173</v>
      </c>
      <c r="L6" s="77">
        <v>755</v>
      </c>
      <c r="M6" s="11">
        <v>122</v>
      </c>
      <c r="N6" s="10"/>
      <c r="O6" s="11"/>
      <c r="P6" s="27"/>
    </row>
    <row r="7" spans="1:16" ht="15" thickBot="1">
      <c r="C7" s="166">
        <v>44972</v>
      </c>
      <c r="D7" s="167"/>
      <c r="E7" s="167"/>
      <c r="F7" s="167"/>
      <c r="G7" s="167"/>
      <c r="H7" s="167"/>
      <c r="I7" s="167"/>
      <c r="J7" s="167"/>
      <c r="K7" s="167"/>
      <c r="L7" s="167"/>
      <c r="M7" s="167"/>
      <c r="N7" s="167"/>
      <c r="O7" s="167"/>
      <c r="P7" s="168"/>
    </row>
    <row r="8" spans="1:16" ht="15" thickBot="1">
      <c r="C8" s="2" t="s">
        <v>76</v>
      </c>
      <c r="D8" s="3" t="s">
        <v>85</v>
      </c>
      <c r="E8" s="3" t="s">
        <v>78</v>
      </c>
      <c r="F8" s="2" t="s">
        <v>79</v>
      </c>
      <c r="G8" s="3" t="s">
        <v>80</v>
      </c>
      <c r="H8" s="3" t="s">
        <v>81</v>
      </c>
      <c r="I8" s="7"/>
    </row>
    <row r="9" spans="1:16" ht="15" thickBot="1">
      <c r="A9" s="8" t="s">
        <v>86</v>
      </c>
      <c r="B9" s="9" t="s">
        <v>82</v>
      </c>
      <c r="C9" s="10">
        <v>1361</v>
      </c>
      <c r="D9" s="77">
        <v>849</v>
      </c>
      <c r="E9" s="11">
        <v>121</v>
      </c>
      <c r="F9" s="10">
        <v>1317</v>
      </c>
      <c r="G9" s="77">
        <v>884</v>
      </c>
      <c r="H9" s="11">
        <v>123</v>
      </c>
      <c r="I9" s="12"/>
    </row>
    <row r="10" spans="1:16" ht="15" thickBot="1">
      <c r="C10" s="166">
        <v>44988</v>
      </c>
      <c r="D10" s="167"/>
      <c r="E10" s="167"/>
      <c r="F10" s="167"/>
      <c r="G10" s="167"/>
      <c r="H10" s="167"/>
      <c r="I10" s="167"/>
      <c r="J10" s="167"/>
      <c r="K10" s="167"/>
      <c r="L10" s="167"/>
      <c r="M10" s="168"/>
    </row>
    <row r="11" spans="1:16" ht="15" thickBot="1">
      <c r="B11" s="30" t="s">
        <v>87</v>
      </c>
      <c r="C11" s="24" t="s">
        <v>88</v>
      </c>
      <c r="D11" s="25" t="s">
        <v>89</v>
      </c>
      <c r="E11" s="26" t="s">
        <v>90</v>
      </c>
      <c r="F11" s="29" t="s">
        <v>91</v>
      </c>
      <c r="G11" s="24" t="s">
        <v>88</v>
      </c>
      <c r="H11" s="25" t="s">
        <v>89</v>
      </c>
      <c r="I11" s="26" t="s">
        <v>90</v>
      </c>
      <c r="J11" s="29" t="s">
        <v>92</v>
      </c>
      <c r="K11" s="2" t="s">
        <v>88</v>
      </c>
      <c r="L11" s="3" t="s">
        <v>89</v>
      </c>
      <c r="M11" s="28" t="s">
        <v>90</v>
      </c>
    </row>
    <row r="12" spans="1:16" ht="15" thickBot="1">
      <c r="A12" s="8" t="s">
        <v>86</v>
      </c>
      <c r="B12" s="9" t="s">
        <v>93</v>
      </c>
      <c r="C12" s="10">
        <v>1286</v>
      </c>
      <c r="D12" s="77">
        <v>960</v>
      </c>
      <c r="E12" s="27">
        <v>122</v>
      </c>
      <c r="F12" s="9" t="s">
        <v>94</v>
      </c>
      <c r="G12" s="10">
        <v>1188</v>
      </c>
      <c r="H12" s="77">
        <v>756</v>
      </c>
      <c r="I12" s="27">
        <v>118</v>
      </c>
      <c r="J12" s="9" t="s">
        <v>95</v>
      </c>
      <c r="K12" s="10">
        <v>1277</v>
      </c>
      <c r="L12" s="77">
        <v>867</v>
      </c>
      <c r="M12" s="27">
        <v>122</v>
      </c>
    </row>
    <row r="13" spans="1:16" ht="15" thickBot="1">
      <c r="C13" s="166">
        <v>44994</v>
      </c>
      <c r="D13" s="167"/>
      <c r="E13" s="167"/>
      <c r="F13" s="167"/>
      <c r="G13" s="167"/>
      <c r="H13" s="167"/>
      <c r="I13" s="167"/>
      <c r="J13" s="167"/>
      <c r="K13" s="167"/>
      <c r="L13" s="167"/>
      <c r="M13" s="168"/>
    </row>
    <row r="14" spans="1:16" ht="15" thickBot="1">
      <c r="B14" s="30" t="s">
        <v>87</v>
      </c>
      <c r="C14" s="49" t="s">
        <v>88</v>
      </c>
      <c r="D14" s="51" t="s">
        <v>89</v>
      </c>
      <c r="E14" s="51" t="s">
        <v>90</v>
      </c>
      <c r="F14" s="49" t="s">
        <v>91</v>
      </c>
      <c r="G14" s="49" t="s">
        <v>88</v>
      </c>
      <c r="H14" s="51" t="s">
        <v>89</v>
      </c>
      <c r="I14" s="50" t="s">
        <v>90</v>
      </c>
      <c r="J14" s="49" t="s">
        <v>92</v>
      </c>
      <c r="K14" s="49" t="s">
        <v>88</v>
      </c>
      <c r="L14" s="51" t="s">
        <v>89</v>
      </c>
      <c r="M14" s="50" t="s">
        <v>90</v>
      </c>
    </row>
    <row r="15" spans="1:16">
      <c r="A15" s="53" t="s">
        <v>96</v>
      </c>
      <c r="B15" s="64" t="s">
        <v>97</v>
      </c>
      <c r="C15" s="61">
        <v>1356</v>
      </c>
      <c r="D15" s="75">
        <v>859</v>
      </c>
      <c r="E15" s="67">
        <v>126</v>
      </c>
      <c r="F15" s="101" t="s">
        <v>97</v>
      </c>
      <c r="G15" s="61">
        <v>1289</v>
      </c>
      <c r="H15" s="75">
        <v>858</v>
      </c>
      <c r="I15" s="55">
        <v>126</v>
      </c>
      <c r="J15" s="53"/>
      <c r="K15" s="54"/>
      <c r="L15" s="75"/>
      <c r="M15" s="55"/>
    </row>
    <row r="16" spans="1:16">
      <c r="A16" s="56" t="s">
        <v>98</v>
      </c>
      <c r="B16" s="65" t="s">
        <v>99</v>
      </c>
      <c r="C16" s="62">
        <v>1315</v>
      </c>
      <c r="D16" s="73">
        <v>1089</v>
      </c>
      <c r="E16" s="68">
        <v>119</v>
      </c>
      <c r="F16" s="81" t="s">
        <v>93</v>
      </c>
      <c r="G16" s="62">
        <v>1247</v>
      </c>
      <c r="H16" s="73">
        <v>888</v>
      </c>
      <c r="I16" s="57">
        <v>122</v>
      </c>
      <c r="J16" s="56" t="s">
        <v>100</v>
      </c>
      <c r="K16" s="52">
        <v>1232</v>
      </c>
      <c r="L16" s="73">
        <v>887</v>
      </c>
      <c r="M16" s="57">
        <v>125</v>
      </c>
    </row>
    <row r="17" spans="1:13" ht="15" thickBot="1">
      <c r="A17" s="58" t="s">
        <v>101</v>
      </c>
      <c r="B17" s="66" t="s">
        <v>99</v>
      </c>
      <c r="C17" s="63">
        <v>1249</v>
      </c>
      <c r="D17" s="76">
        <v>1038</v>
      </c>
      <c r="E17" s="69">
        <v>120</v>
      </c>
      <c r="F17" s="82" t="s">
        <v>93</v>
      </c>
      <c r="G17" s="63">
        <v>1175</v>
      </c>
      <c r="H17" s="76">
        <v>841</v>
      </c>
      <c r="I17" s="60">
        <v>124</v>
      </c>
      <c r="J17" s="58" t="s">
        <v>100</v>
      </c>
      <c r="K17" s="59">
        <v>1160</v>
      </c>
      <c r="L17" s="76">
        <v>823</v>
      </c>
      <c r="M17" s="60">
        <v>121</v>
      </c>
    </row>
    <row r="18" spans="1:13" ht="15" thickBot="1">
      <c r="A18" s="8"/>
      <c r="B18" s="80"/>
      <c r="C18" s="166">
        <v>45108</v>
      </c>
      <c r="D18" s="167"/>
      <c r="E18" s="167"/>
      <c r="F18" s="167"/>
      <c r="G18" s="167"/>
      <c r="H18" s="167"/>
      <c r="I18" s="167"/>
      <c r="J18" s="167"/>
      <c r="K18" s="167"/>
      <c r="L18" s="167"/>
      <c r="M18" s="168"/>
    </row>
    <row r="19" spans="1:13" ht="15" thickBot="1">
      <c r="A19" s="94"/>
      <c r="B19" s="95" t="s">
        <v>87</v>
      </c>
      <c r="C19" s="90" t="s">
        <v>88</v>
      </c>
      <c r="D19" s="91" t="s">
        <v>102</v>
      </c>
      <c r="E19" s="91" t="s">
        <v>90</v>
      </c>
      <c r="F19" s="92" t="s">
        <v>91</v>
      </c>
      <c r="G19" s="96" t="s">
        <v>88</v>
      </c>
      <c r="H19" s="91" t="s">
        <v>102</v>
      </c>
      <c r="I19" s="97" t="s">
        <v>90</v>
      </c>
      <c r="J19" s="90" t="s">
        <v>92</v>
      </c>
      <c r="K19" s="91" t="s">
        <v>88</v>
      </c>
      <c r="L19" s="91" t="s">
        <v>89</v>
      </c>
      <c r="M19" s="92" t="s">
        <v>90</v>
      </c>
    </row>
    <row r="20" spans="1:13">
      <c r="A20" s="93" t="s">
        <v>96</v>
      </c>
      <c r="B20" s="86" t="s">
        <v>97</v>
      </c>
      <c r="C20" s="83">
        <v>1337</v>
      </c>
      <c r="D20" s="84">
        <v>878</v>
      </c>
      <c r="E20" s="85">
        <v>128</v>
      </c>
      <c r="F20" s="86" t="s">
        <v>97</v>
      </c>
      <c r="G20" s="85">
        <v>1376</v>
      </c>
      <c r="H20" s="84">
        <v>877</v>
      </c>
      <c r="I20" s="87">
        <v>128</v>
      </c>
      <c r="J20" s="88" t="s">
        <v>103</v>
      </c>
      <c r="K20" s="83"/>
      <c r="L20" s="84"/>
      <c r="M20" s="89"/>
    </row>
    <row r="21" spans="1:13">
      <c r="A21" s="56" t="s">
        <v>98</v>
      </c>
      <c r="B21" s="65" t="s">
        <v>97</v>
      </c>
      <c r="C21" s="62">
        <v>1284</v>
      </c>
      <c r="D21" s="73">
        <v>796</v>
      </c>
      <c r="E21" s="52">
        <v>120</v>
      </c>
      <c r="F21" s="65" t="s">
        <v>97</v>
      </c>
      <c r="G21" s="52">
        <v>1307</v>
      </c>
      <c r="H21" s="73">
        <v>799</v>
      </c>
      <c r="I21" s="68">
        <v>120</v>
      </c>
      <c r="J21" s="81" t="s">
        <v>103</v>
      </c>
      <c r="K21" s="62"/>
      <c r="L21" s="73"/>
      <c r="M21" s="57"/>
    </row>
    <row r="22" spans="1:13">
      <c r="A22" s="56" t="s">
        <v>104</v>
      </c>
      <c r="B22" s="65" t="s">
        <v>97</v>
      </c>
      <c r="C22" s="62">
        <v>1208</v>
      </c>
      <c r="D22" s="73">
        <v>780</v>
      </c>
      <c r="E22" s="52">
        <v>119</v>
      </c>
      <c r="F22" s="65" t="s">
        <v>97</v>
      </c>
      <c r="G22" s="52">
        <v>1184</v>
      </c>
      <c r="H22" s="73">
        <v>729</v>
      </c>
      <c r="I22" s="68">
        <v>118</v>
      </c>
      <c r="J22" s="81" t="s">
        <v>103</v>
      </c>
      <c r="K22" s="62"/>
      <c r="L22" s="73"/>
      <c r="M22" s="57"/>
    </row>
    <row r="23" spans="1:13" ht="15" thickBot="1">
      <c r="A23" s="58" t="s">
        <v>105</v>
      </c>
      <c r="B23" s="66" t="s">
        <v>106</v>
      </c>
      <c r="C23" s="63">
        <v>1538</v>
      </c>
      <c r="D23" s="76">
        <v>911</v>
      </c>
      <c r="E23" s="59">
        <v>127</v>
      </c>
      <c r="F23" s="66" t="s">
        <v>106</v>
      </c>
      <c r="G23" s="59">
        <v>1528</v>
      </c>
      <c r="H23" s="76">
        <v>884</v>
      </c>
      <c r="I23" s="69">
        <v>127</v>
      </c>
      <c r="J23" s="82" t="s">
        <v>103</v>
      </c>
      <c r="K23" s="70"/>
      <c r="L23" s="74"/>
      <c r="M23" s="66"/>
    </row>
    <row r="24" spans="1:13" ht="15" thickBot="1">
      <c r="A24" s="8"/>
      <c r="B24" s="80"/>
      <c r="C24" s="166">
        <v>45115</v>
      </c>
      <c r="D24" s="167"/>
      <c r="E24" s="167"/>
      <c r="F24" s="167"/>
      <c r="G24" s="167"/>
      <c r="H24" s="167"/>
      <c r="I24" s="167"/>
      <c r="J24" s="167"/>
      <c r="K24" s="167"/>
      <c r="L24" s="167"/>
      <c r="M24" s="168"/>
    </row>
    <row r="25" spans="1:13" ht="15" thickBot="1">
      <c r="A25" s="71"/>
      <c r="B25" s="72" t="s">
        <v>87</v>
      </c>
      <c r="C25" s="105" t="s">
        <v>88</v>
      </c>
      <c r="D25" s="106" t="s">
        <v>102</v>
      </c>
      <c r="E25" s="106" t="s">
        <v>90</v>
      </c>
      <c r="F25" s="107" t="s">
        <v>91</v>
      </c>
      <c r="G25" s="96" t="s">
        <v>88</v>
      </c>
      <c r="H25" s="91" t="s">
        <v>102</v>
      </c>
      <c r="I25" s="97" t="s">
        <v>90</v>
      </c>
      <c r="J25" s="90" t="s">
        <v>92</v>
      </c>
      <c r="K25" s="91" t="s">
        <v>88</v>
      </c>
      <c r="L25" s="91" t="s">
        <v>89</v>
      </c>
      <c r="M25" s="92" t="s">
        <v>90</v>
      </c>
    </row>
    <row r="26" spans="1:13">
      <c r="A26" s="53" t="s">
        <v>96</v>
      </c>
      <c r="B26" s="64" t="s">
        <v>97</v>
      </c>
      <c r="C26" s="61">
        <v>1359</v>
      </c>
      <c r="D26" s="75">
        <v>875</v>
      </c>
      <c r="E26" s="54">
        <v>129</v>
      </c>
      <c r="F26" s="64" t="s">
        <v>97</v>
      </c>
      <c r="G26" s="85">
        <v>1414</v>
      </c>
      <c r="H26" s="84">
        <v>901</v>
      </c>
      <c r="I26" s="87">
        <v>131</v>
      </c>
      <c r="J26" s="88" t="s">
        <v>103</v>
      </c>
      <c r="K26" s="83"/>
      <c r="L26" s="84"/>
      <c r="M26" s="89"/>
    </row>
    <row r="27" spans="1:13">
      <c r="A27" s="56" t="s">
        <v>98</v>
      </c>
      <c r="B27" s="65" t="s">
        <v>97</v>
      </c>
      <c r="C27" s="62">
        <v>1272</v>
      </c>
      <c r="D27" s="73">
        <v>792</v>
      </c>
      <c r="E27" s="52">
        <v>119</v>
      </c>
      <c r="F27" s="65" t="s">
        <v>97</v>
      </c>
      <c r="G27" s="52">
        <v>1290</v>
      </c>
      <c r="H27" s="73">
        <v>797</v>
      </c>
      <c r="I27" s="68">
        <v>120</v>
      </c>
      <c r="J27" s="81" t="s">
        <v>103</v>
      </c>
      <c r="K27" s="62"/>
      <c r="L27" s="73"/>
      <c r="M27" s="57"/>
    </row>
    <row r="28" spans="1:13" ht="15" thickBot="1">
      <c r="A28" s="58" t="s">
        <v>105</v>
      </c>
      <c r="B28" s="66" t="s">
        <v>97</v>
      </c>
      <c r="C28" s="63">
        <v>1583</v>
      </c>
      <c r="D28" s="76">
        <v>917</v>
      </c>
      <c r="E28" s="59">
        <v>127</v>
      </c>
      <c r="F28" s="66" t="s">
        <v>97</v>
      </c>
      <c r="G28" s="59">
        <v>1593</v>
      </c>
      <c r="H28" s="76">
        <v>926</v>
      </c>
      <c r="I28" s="69">
        <v>130</v>
      </c>
      <c r="J28" s="82" t="s">
        <v>103</v>
      </c>
      <c r="K28" s="70"/>
      <c r="L28" s="74"/>
      <c r="M28" s="66"/>
    </row>
    <row r="29" spans="1:13" ht="15" thickBot="1">
      <c r="A29" s="8"/>
      <c r="B29" s="80"/>
      <c r="C29" s="166">
        <v>45128</v>
      </c>
      <c r="D29" s="167"/>
      <c r="E29" s="167"/>
      <c r="F29" s="167"/>
      <c r="G29" s="167"/>
      <c r="H29" s="167"/>
      <c r="I29" s="167"/>
      <c r="J29" s="167"/>
      <c r="K29" s="167"/>
      <c r="L29" s="167"/>
      <c r="M29" s="168"/>
    </row>
    <row r="30" spans="1:13" ht="15" thickBot="1">
      <c r="A30" s="94"/>
      <c r="B30" s="95" t="s">
        <v>87</v>
      </c>
      <c r="C30" s="90" t="s">
        <v>88</v>
      </c>
      <c r="D30" s="91" t="s">
        <v>102</v>
      </c>
      <c r="E30" s="91" t="s">
        <v>90</v>
      </c>
      <c r="F30" s="92" t="s">
        <v>91</v>
      </c>
      <c r="G30" s="96" t="s">
        <v>88</v>
      </c>
      <c r="H30" s="91" t="s">
        <v>102</v>
      </c>
      <c r="I30" s="97" t="s">
        <v>90</v>
      </c>
      <c r="J30" s="90" t="s">
        <v>92</v>
      </c>
      <c r="K30" s="91" t="s">
        <v>88</v>
      </c>
      <c r="L30" s="91" t="s">
        <v>89</v>
      </c>
      <c r="M30" s="92" t="s">
        <v>90</v>
      </c>
    </row>
    <row r="31" spans="1:13">
      <c r="A31" s="93" t="s">
        <v>107</v>
      </c>
      <c r="B31" s="64" t="s">
        <v>84</v>
      </c>
      <c r="C31" s="100"/>
      <c r="D31" s="75"/>
      <c r="E31" s="54"/>
      <c r="F31" s="64" t="s">
        <v>84</v>
      </c>
      <c r="G31" s="54"/>
      <c r="H31" s="75"/>
      <c r="I31" s="67"/>
      <c r="J31" s="101"/>
      <c r="K31" s="61"/>
      <c r="L31" s="75"/>
      <c r="M31" s="55"/>
    </row>
    <row r="32" spans="1:13">
      <c r="A32" s="56" t="s">
        <v>108</v>
      </c>
      <c r="B32" s="65" t="s">
        <v>84</v>
      </c>
      <c r="C32" s="102"/>
      <c r="D32" s="73"/>
      <c r="E32" s="52"/>
      <c r="F32" s="65" t="s">
        <v>84</v>
      </c>
      <c r="G32" s="52"/>
      <c r="H32" s="73"/>
      <c r="I32" s="68"/>
      <c r="J32" s="81"/>
      <c r="K32" s="62"/>
      <c r="L32" s="73"/>
      <c r="M32" s="57"/>
    </row>
    <row r="33" spans="1:13">
      <c r="A33" s="56" t="s">
        <v>109</v>
      </c>
      <c r="B33" s="65" t="s">
        <v>84</v>
      </c>
      <c r="C33" s="102"/>
      <c r="D33" s="73"/>
      <c r="E33" s="52"/>
      <c r="F33" s="65" t="s">
        <v>84</v>
      </c>
      <c r="G33" s="52"/>
      <c r="H33" s="73"/>
      <c r="I33" s="68"/>
      <c r="J33" s="81"/>
      <c r="K33" s="98"/>
      <c r="L33" s="99"/>
      <c r="M33" s="65"/>
    </row>
    <row r="34" spans="1:13">
      <c r="A34" s="93" t="s">
        <v>110</v>
      </c>
      <c r="B34" s="65" t="s">
        <v>84</v>
      </c>
      <c r="C34" s="103"/>
      <c r="D34" s="84"/>
      <c r="E34" s="85"/>
      <c r="F34" s="65" t="s">
        <v>84</v>
      </c>
      <c r="G34" s="85"/>
      <c r="H34" s="84"/>
      <c r="I34" s="87"/>
      <c r="J34" s="88"/>
      <c r="K34" s="83"/>
      <c r="L34" s="84"/>
      <c r="M34" s="89"/>
    </row>
    <row r="35" spans="1:13" ht="15" thickBot="1">
      <c r="A35" s="58" t="s">
        <v>111</v>
      </c>
      <c r="B35" s="66" t="s">
        <v>112</v>
      </c>
      <c r="C35" s="104">
        <v>1954</v>
      </c>
      <c r="D35" s="76">
        <v>1180</v>
      </c>
      <c r="E35" s="59">
        <v>128</v>
      </c>
      <c r="F35" s="66" t="s">
        <v>112</v>
      </c>
      <c r="G35" s="59">
        <v>1941</v>
      </c>
      <c r="H35" s="76">
        <v>1177</v>
      </c>
      <c r="I35" s="69">
        <v>127</v>
      </c>
      <c r="J35" s="82" t="s">
        <v>84</v>
      </c>
      <c r="K35" s="70"/>
      <c r="L35" s="74"/>
      <c r="M35" s="66"/>
    </row>
    <row r="36" spans="1:13" ht="15" thickBot="1">
      <c r="A36" s="166">
        <v>45128</v>
      </c>
      <c r="B36" s="167"/>
      <c r="C36" s="167"/>
      <c r="D36" s="167"/>
      <c r="E36" s="167"/>
      <c r="F36" s="167"/>
      <c r="G36" s="167"/>
      <c r="H36" s="167"/>
      <c r="I36" s="167"/>
      <c r="J36" s="167"/>
      <c r="K36" s="168"/>
      <c r="L36" s="31"/>
      <c r="M36" s="5"/>
    </row>
    <row r="37" spans="1:13" ht="15" thickBot="1">
      <c r="A37" s="94"/>
      <c r="B37" s="95" t="s">
        <v>87</v>
      </c>
      <c r="C37" s="90" t="s">
        <v>88</v>
      </c>
      <c r="D37" s="91" t="s">
        <v>102</v>
      </c>
      <c r="E37" s="91" t="s">
        <v>90</v>
      </c>
      <c r="F37" s="92" t="s">
        <v>91</v>
      </c>
      <c r="G37" s="96" t="s">
        <v>88</v>
      </c>
      <c r="H37" s="91" t="s">
        <v>102</v>
      </c>
      <c r="I37" s="97" t="s">
        <v>90</v>
      </c>
      <c r="J37" s="90" t="s">
        <v>92</v>
      </c>
      <c r="K37" s="91" t="s">
        <v>88</v>
      </c>
      <c r="L37" s="91" t="s">
        <v>89</v>
      </c>
      <c r="M37" s="92" t="s">
        <v>90</v>
      </c>
    </row>
    <row r="38" spans="1:13">
      <c r="A38" s="93" t="s">
        <v>113</v>
      </c>
      <c r="B38" s="64" t="s">
        <v>84</v>
      </c>
      <c r="C38" s="100"/>
      <c r="D38" s="75"/>
      <c r="E38" s="54"/>
      <c r="F38" s="86" t="s">
        <v>97</v>
      </c>
      <c r="G38" s="54">
        <v>1305</v>
      </c>
      <c r="H38" s="75">
        <v>875</v>
      </c>
      <c r="I38" s="67">
        <v>118</v>
      </c>
      <c r="J38" s="64" t="s">
        <v>84</v>
      </c>
      <c r="K38" s="61"/>
      <c r="L38" s="75"/>
      <c r="M38" s="55"/>
    </row>
    <row r="39" spans="1:13" ht="15" thickBot="1">
      <c r="A39" s="58" t="s">
        <v>114</v>
      </c>
      <c r="B39" s="66" t="s">
        <v>84</v>
      </c>
      <c r="C39" s="104"/>
      <c r="D39" s="76"/>
      <c r="E39" s="59"/>
      <c r="F39" s="66" t="s">
        <v>97</v>
      </c>
      <c r="G39" s="59">
        <v>1255</v>
      </c>
      <c r="H39" s="76">
        <v>762</v>
      </c>
      <c r="I39" s="69">
        <v>116</v>
      </c>
      <c r="J39" s="66" t="s">
        <v>84</v>
      </c>
      <c r="K39" s="63"/>
      <c r="L39" s="76"/>
      <c r="M39" s="60"/>
    </row>
  </sheetData>
  <mergeCells count="9">
    <mergeCell ref="A36:K36"/>
    <mergeCell ref="C29:M29"/>
    <mergeCell ref="C24:M24"/>
    <mergeCell ref="C18:M18"/>
    <mergeCell ref="C1:P1"/>
    <mergeCell ref="C4:P4"/>
    <mergeCell ref="C7:P7"/>
    <mergeCell ref="C10:M10"/>
    <mergeCell ref="C13:M13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F60BA-6B35-4FA9-B3ED-5ECFA500492D}">
  <dimension ref="A1:J6"/>
  <sheetViews>
    <sheetView tabSelected="1" workbookViewId="0">
      <selection activeCell="J16" sqref="J16"/>
    </sheetView>
  </sheetViews>
  <sheetFormatPr defaultRowHeight="14.45"/>
  <cols>
    <col min="1" max="1" width="15.7109375" customWidth="1"/>
    <col min="2" max="2" width="18.42578125" bestFit="1" customWidth="1"/>
    <col min="6" max="6" width="9.5703125" bestFit="1" customWidth="1"/>
  </cols>
  <sheetData>
    <row r="1" spans="1:10" ht="15" thickBot="1">
      <c r="C1" s="160">
        <v>45406</v>
      </c>
      <c r="D1" s="161"/>
      <c r="E1" s="161"/>
      <c r="F1" s="161"/>
      <c r="G1" s="161"/>
      <c r="H1" s="161"/>
    </row>
    <row r="2" spans="1:10" ht="15" thickBot="1">
      <c r="A2" s="1"/>
      <c r="B2" s="6" t="s">
        <v>46</v>
      </c>
      <c r="C2" s="24" t="s">
        <v>76</v>
      </c>
      <c r="D2" s="25" t="s">
        <v>115</v>
      </c>
      <c r="E2" s="24" t="s">
        <v>79</v>
      </c>
      <c r="F2" s="26" t="s">
        <v>116</v>
      </c>
      <c r="G2" s="25" t="s">
        <v>117</v>
      </c>
      <c r="H2" s="25" t="s">
        <v>118</v>
      </c>
      <c r="I2" s="24" t="s">
        <v>119</v>
      </c>
      <c r="J2" s="26" t="s">
        <v>120</v>
      </c>
    </row>
    <row r="3" spans="1:10" ht="15" thickBot="1">
      <c r="A3" s="8" t="s">
        <v>64</v>
      </c>
      <c r="B3" s="9" t="s">
        <v>121</v>
      </c>
      <c r="C3" s="10">
        <v>1084</v>
      </c>
      <c r="D3" s="11">
        <v>88</v>
      </c>
      <c r="E3" s="10">
        <v>1152</v>
      </c>
      <c r="F3" s="27">
        <v>91</v>
      </c>
      <c r="G3" s="11">
        <v>1049</v>
      </c>
      <c r="H3" s="11">
        <v>89</v>
      </c>
      <c r="I3" s="8">
        <v>1058</v>
      </c>
      <c r="J3" s="9">
        <v>89</v>
      </c>
    </row>
    <row r="4" spans="1:10" ht="15" thickBot="1">
      <c r="C4" s="160">
        <v>45413</v>
      </c>
      <c r="D4" s="161"/>
      <c r="E4" s="161"/>
      <c r="F4" s="161"/>
      <c r="G4" s="161"/>
      <c r="H4" s="161"/>
    </row>
    <row r="5" spans="1:10" ht="15" thickBot="1">
      <c r="A5" s="1"/>
      <c r="B5" s="6"/>
      <c r="C5" s="24" t="s">
        <v>76</v>
      </c>
      <c r="D5" s="25" t="s">
        <v>115</v>
      </c>
      <c r="E5" s="24" t="s">
        <v>79</v>
      </c>
      <c r="F5" s="26" t="s">
        <v>116</v>
      </c>
      <c r="G5" s="25" t="s">
        <v>117</v>
      </c>
      <c r="H5" s="25" t="s">
        <v>118</v>
      </c>
      <c r="I5" s="24" t="s">
        <v>119</v>
      </c>
      <c r="J5" s="26" t="s">
        <v>120</v>
      </c>
    </row>
    <row r="6" spans="1:10" ht="15" thickBot="1">
      <c r="A6" s="8" t="s">
        <v>64</v>
      </c>
      <c r="B6" s="9" t="s">
        <v>121</v>
      </c>
      <c r="C6" s="10"/>
      <c r="D6" s="11"/>
      <c r="E6" s="10"/>
      <c r="F6" s="27"/>
      <c r="G6" s="11"/>
      <c r="H6" s="11"/>
      <c r="I6" s="8"/>
      <c r="J6" s="9"/>
    </row>
  </sheetData>
  <mergeCells count="2">
    <mergeCell ref="C1:H1"/>
    <mergeCell ref="C4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Document" ma:contentTypeID="0x0101004F1ECC6B2649324CB24C079D2C04510D" ma:contentTypeVersion="57" ma:contentTypeDescription="Create a new document." ma:contentTypeScope="" ma:versionID="fdb4dd73321d822492c182e4485d4497">
  <xsd:schema xmlns:xsd="http://www.w3.org/2001/XMLSchema" xmlns:xs="http://www.w3.org/2001/XMLSchema" xmlns:p="http://schemas.microsoft.com/office/2006/metadata/properties" xmlns:ns2="65551c38-962b-4cee-924d-ef2df1bb8b98" xmlns:ns3="ec750ee3-7d64-422f-9b1f-0ca7238893a8" xmlns:ns4="4f9c820c-e7e2-444d-97ee-45f2b3485c1d" xmlns:ns5="15ffb055-6eb4-45a1-bc20-bf2ac0d420da" xmlns:ns6="725c79e5-42ce-4aa0-ac78-b6418001f0d2" xmlns:ns7="c91a514c-9034-4fa3-897a-8352025b26ed" targetNamespace="http://schemas.microsoft.com/office/2006/metadata/properties" ma:root="true" ma:fieldsID="71f32cedb21a69b7c21921a0429f953f" ns2:_="" ns3:_="" ns4:_="" ns5:_="" ns6:_="" ns7:_="">
    <xsd:import namespace="65551c38-962b-4cee-924d-ef2df1bb8b98"/>
    <xsd:import namespace="ec750ee3-7d64-422f-9b1f-0ca7238893a8"/>
    <xsd:import namespace="4f9c820c-e7e2-444d-97ee-45f2b3485c1d"/>
    <xsd:import namespace="15ffb055-6eb4-45a1-bc20-bf2ac0d420da"/>
    <xsd:import namespace="725c79e5-42ce-4aa0-ac78-b6418001f0d2"/>
    <xsd:import namespace="c91a514c-9034-4fa3-897a-8352025b26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dat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4:DocumentType" minOccurs="0"/>
                <xsd:element ref="ns5:KeyWords" minOccurs="0"/>
                <xsd:element ref="ns4:Narrative" minOccurs="0"/>
                <xsd:element ref="ns5:SecurityClassification" minOccurs="0"/>
                <xsd:element ref="ns4:Subactivity" minOccurs="0"/>
                <xsd:element ref="ns4:Case" minOccurs="0"/>
                <xsd:element ref="ns4:RelatedPeople" minOccurs="0"/>
                <xsd:element ref="ns4:CategoryName" minOccurs="0"/>
                <xsd:element ref="ns4:CategoryValue" minOccurs="0"/>
                <xsd:element ref="ns4:BusinessValue" minOccurs="0"/>
                <xsd:element ref="ns4:FunctionGroup" minOccurs="0"/>
                <xsd:element ref="ns4:Function" minOccurs="0"/>
                <xsd:element ref="ns4:PRAType" minOccurs="0"/>
                <xsd:element ref="ns4:PRADate1" minOccurs="0"/>
                <xsd:element ref="ns4:PRADate2" minOccurs="0"/>
                <xsd:element ref="ns4:PRADate3" minOccurs="0"/>
                <xsd:element ref="ns4:PRADateDisposal" minOccurs="0"/>
                <xsd:element ref="ns4:PRADateTrigger" minOccurs="0"/>
                <xsd:element ref="ns4:PRAText1" minOccurs="0"/>
                <xsd:element ref="ns4:PRAText2" minOccurs="0"/>
                <xsd:element ref="ns4:PRAText3" minOccurs="0"/>
                <xsd:element ref="ns4:PRAText4" minOccurs="0"/>
                <xsd:element ref="ns4:PRAText5" minOccurs="0"/>
                <xsd:element ref="ns4:AggregationStatus" minOccurs="0"/>
                <xsd:element ref="ns4:Project" minOccurs="0"/>
                <xsd:element ref="ns4:Activity" minOccurs="0"/>
                <xsd:element ref="ns6:AggregationNarrative" minOccurs="0"/>
                <xsd:element ref="ns7:Channel" minOccurs="0"/>
                <xsd:element ref="ns7:Team" minOccurs="0"/>
                <xsd:element ref="ns7:Level2" minOccurs="0"/>
                <xsd:element ref="ns7:Level3" minOccurs="0"/>
                <xsd:element ref="ns7:Yea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551c38-962b-4cee-924d-ef2df1bb8b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date" ma:index="20" nillable="true" ma:displayName="date" ma:format="DateTime" ma:internalName="date">
      <xsd:simpleType>
        <xsd:restriction base="dms:DateTim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67adadd0-3cd1-47f6-acfa-f6b6a774c7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5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750ee3-7d64-422f-9b1f-0ca723889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16dec42-9700-4b76-91cb-52a2f3d81d3c}" ma:internalName="TaxCatchAll" ma:showField="CatchAllData" ma:web="ec750ee3-7d64-422f-9b1f-0ca7238893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9c820c-e7e2-444d-97ee-45f2b3485c1d" elementFormDefault="qualified">
    <xsd:import namespace="http://schemas.microsoft.com/office/2006/documentManagement/types"/>
    <xsd:import namespace="http://schemas.microsoft.com/office/infopath/2007/PartnerControls"/>
    <xsd:element name="DocumentType" ma:index="26" nillable="true" ma:displayName="Document Type" ma:format="Dropdown" ma:hidden="true" ma:internalName="DocumentType" ma:readOnly="false">
      <xsd:simpleType>
        <xsd:restriction base="dms:Choice">
          <xsd:enumeration value="APPLICATION, certificate, consent related"/>
          <xsd:enumeration value="CONTRACT, Variation, Agreement"/>
          <xsd:enumeration value="CORRESPONDENCE"/>
          <xsd:enumeration value="DRAWING, Plan, Map"/>
          <xsd:enumeration value="EMPLOYMENT related"/>
          <xsd:enumeration value="FINANCIAL related"/>
          <xsd:enumeration value="KNOWLEDGE article"/>
          <xsd:enumeration value="MEETING related"/>
          <xsd:enumeration value="MEMO, Filenote, Email"/>
          <xsd:enumeration value="MODEL, Calculation, Working"/>
          <xsd:enumeration value="PHOTO, Image or Multi-media"/>
          <xsd:enumeration value="PRESENTATION"/>
          <xsd:enumeration value="PUBLICATION material"/>
          <xsd:enumeration value="PURCHASING related"/>
          <xsd:enumeration value="REPORT, or planning related"/>
          <xsd:enumeration value="RULES, Policy, Bylaw, procedure"/>
          <xsd:enumeration value="SERVICE REQUEST related"/>
          <xsd:enumeration value="SPECIFICATION or standard"/>
          <xsd:enumeration value="SUPPLIER PRODUCT Info"/>
          <xsd:enumeration value="TEMPLATE, Checklist or Form"/>
        </xsd:restriction>
      </xsd:simpleType>
    </xsd:element>
    <xsd:element name="Narrative" ma:index="28" nillable="true" ma:displayName="Narrative" ma:hidden="true" ma:internalName="Narrative" ma:readOnly="false">
      <xsd:simpleType>
        <xsd:restriction base="dms:Note"/>
      </xsd:simpleType>
    </xsd:element>
    <xsd:element name="Subactivity" ma:index="30" nillable="true" ma:displayName="Subactivity" ma:default="" ma:hidden="true" ma:internalName="Subactivity" ma:readOnly="false">
      <xsd:simpleType>
        <xsd:restriction base="dms:Text">
          <xsd:maxLength value="255"/>
        </xsd:restriction>
      </xsd:simpleType>
    </xsd:element>
    <xsd:element name="Case" ma:index="31" nillable="true" ma:displayName="Case" ma:default="NA" ma:hidden="true" ma:internalName="Case" ma:readOnly="false">
      <xsd:simpleType>
        <xsd:restriction base="dms:Text">
          <xsd:maxLength value="255"/>
        </xsd:restriction>
      </xsd:simpleType>
    </xsd:element>
    <xsd:element name="RelatedPeople" ma:index="32" nillable="true" ma:displayName="Related People" ma:hidden="true" ma:list="UserInfo" ma:SharePointGroup="0" ma:internalName="RelatedPeople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ategoryName" ma:index="33" nillable="true" ma:displayName="Category 1" ma:default="NA" ma:hidden="true" ma:internalName="CategoryName" ma:readOnly="false">
      <xsd:simpleType>
        <xsd:restriction base="dms:Text">
          <xsd:maxLength value="255"/>
        </xsd:restriction>
      </xsd:simpleType>
    </xsd:element>
    <xsd:element name="CategoryValue" ma:index="34" nillable="true" ma:displayName="Category 2" ma:default="NA" ma:hidden="true" ma:internalName="CategoryValue" ma:readOnly="false">
      <xsd:simpleType>
        <xsd:restriction base="dms:Text">
          <xsd:maxLength value="255"/>
        </xsd:restriction>
      </xsd:simpleType>
    </xsd:element>
    <xsd:element name="BusinessValue" ma:index="35" nillable="true" ma:displayName="Business Value" ma:hidden="true" ma:internalName="BusinessValue" ma:readOnly="false">
      <xsd:simpleType>
        <xsd:restriction base="dms:Text">
          <xsd:maxLength value="255"/>
        </xsd:restriction>
      </xsd:simpleType>
    </xsd:element>
    <xsd:element name="FunctionGroup" ma:index="36" nillable="true" ma:displayName="Function Group" ma:default="NA" ma:hidden="true" ma:internalName="FunctionGroup" ma:readOnly="false">
      <xsd:simpleType>
        <xsd:restriction base="dms:Text">
          <xsd:maxLength value="255"/>
        </xsd:restriction>
      </xsd:simpleType>
    </xsd:element>
    <xsd:element name="Function" ma:index="37" nillable="true" ma:displayName="Function" ma:default="Athletes and Programmes" ma:hidden="true" ma:internalName="Function" ma:readOnly="false">
      <xsd:simpleType>
        <xsd:restriction base="dms:Text">
          <xsd:maxLength value="255"/>
        </xsd:restriction>
      </xsd:simpleType>
    </xsd:element>
    <xsd:element name="PRAType" ma:index="38" nillable="true" ma:displayName="PRA Type" ma:default="Doc" ma:hidden="true" ma:indexed="true" ma:internalName="PRAType">
      <xsd:simpleType>
        <xsd:restriction base="dms:Text">
          <xsd:maxLength value="255"/>
        </xsd:restriction>
      </xsd:simpleType>
    </xsd:element>
    <xsd:element name="PRADate1" ma:index="39" nillable="true" ma:displayName="PRA Date 1" ma:format="DateOnly" ma:hidden="true" ma:internalName="PRADate1" ma:readOnly="false">
      <xsd:simpleType>
        <xsd:restriction base="dms:DateTime"/>
      </xsd:simpleType>
    </xsd:element>
    <xsd:element name="PRADate2" ma:index="40" nillable="true" ma:displayName="PRA Date 2" ma:format="DateOnly" ma:hidden="true" ma:internalName="PRADate2" ma:readOnly="false">
      <xsd:simpleType>
        <xsd:restriction base="dms:DateTime"/>
      </xsd:simpleType>
    </xsd:element>
    <xsd:element name="PRADate3" ma:index="41" nillable="true" ma:displayName="PRA Date 3" ma:format="DateOnly" ma:hidden="true" ma:internalName="PRADate3" ma:readOnly="false">
      <xsd:simpleType>
        <xsd:restriction base="dms:DateTime"/>
      </xsd:simpleType>
    </xsd:element>
    <xsd:element name="PRADateDisposal" ma:index="42" nillable="true" ma:displayName="PRA Date Disposal" ma:format="DateOnly" ma:hidden="true" ma:internalName="PRADateDisposal" ma:readOnly="false">
      <xsd:simpleType>
        <xsd:restriction base="dms:DateTime"/>
      </xsd:simpleType>
    </xsd:element>
    <xsd:element name="PRADateTrigger" ma:index="43" nillable="true" ma:displayName="PRA Date Trigger" ma:format="DateOnly" ma:hidden="true" ma:internalName="PRADateTrigger" ma:readOnly="false">
      <xsd:simpleType>
        <xsd:restriction base="dms:DateTime"/>
      </xsd:simpleType>
    </xsd:element>
    <xsd:element name="PRAText1" ma:index="44" nillable="true" ma:displayName="PRA Text 1" ma:hidden="true" ma:internalName="PRAText1" ma:readOnly="false">
      <xsd:simpleType>
        <xsd:restriction base="dms:Text">
          <xsd:maxLength value="255"/>
        </xsd:restriction>
      </xsd:simpleType>
    </xsd:element>
    <xsd:element name="PRAText2" ma:index="45" nillable="true" ma:displayName="PRA Text 2" ma:hidden="true" ma:internalName="PRAText2" ma:readOnly="false">
      <xsd:simpleType>
        <xsd:restriction base="dms:Text">
          <xsd:maxLength value="255"/>
        </xsd:restriction>
      </xsd:simpleType>
    </xsd:element>
    <xsd:element name="PRAText3" ma:index="46" nillable="true" ma:displayName="PRA Text 3" ma:hidden="true" ma:internalName="PRAText3" ma:readOnly="false">
      <xsd:simpleType>
        <xsd:restriction base="dms:Text">
          <xsd:maxLength value="255"/>
        </xsd:restriction>
      </xsd:simpleType>
    </xsd:element>
    <xsd:element name="PRAText4" ma:index="47" nillable="true" ma:displayName="PRA Text 4" ma:hidden="true" ma:internalName="PRAText4" ma:readOnly="false">
      <xsd:simpleType>
        <xsd:restriction base="dms:Text">
          <xsd:maxLength value="255"/>
        </xsd:restriction>
      </xsd:simpleType>
    </xsd:element>
    <xsd:element name="PRAText5" ma:index="48" nillable="true" ma:displayName="PRA Text 5" ma:hidden="true" ma:internalName="PRAText5" ma:readOnly="false">
      <xsd:simpleType>
        <xsd:restriction base="dms:Text">
          <xsd:maxLength value="255"/>
        </xsd:restriction>
      </xsd:simpleType>
    </xsd:element>
    <xsd:element name="AggregationStatus" ma:index="49" nillable="true" ma:displayName="Aggregation Status" ma:default="Normal" ma:format="Dropdown" ma:hidden="true" ma:internalName="AggregationStatus" ma:readOnly="false">
      <xsd:simpleType>
        <xsd:union memberTypes="dms:Text">
          <xsd:simpleType>
            <xsd:restriction base="dms:Choice">
              <xsd:enumeration value="Delete Soon"/>
              <xsd:enumeration value="Transfer Soon"/>
              <xsd:enumeration value="Appraise Soon"/>
              <xsd:enumeration value="Delete"/>
              <xsd:enumeration value="Transfer"/>
              <xsd:enumeration value="Appraise"/>
              <xsd:enumeration value="Hold"/>
              <xsd:enumeration value="Normal"/>
              <xsd:enumeration value="Archive"/>
            </xsd:restriction>
          </xsd:simpleType>
        </xsd:union>
      </xsd:simpleType>
    </xsd:element>
    <xsd:element name="Project" ma:index="50" nillable="true" ma:displayName="Project" ma:default="NA" ma:hidden="true" ma:internalName="Project" ma:readOnly="false">
      <xsd:simpleType>
        <xsd:restriction base="dms:Text">
          <xsd:maxLength value="255"/>
        </xsd:restriction>
      </xsd:simpleType>
    </xsd:element>
    <xsd:element name="Activity" ma:index="51" nillable="true" ma:displayName="Activity" ma:default="Programmes" ma:hidden="true" ma:internalName="Activity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ffb055-6eb4-45a1-bc20-bf2ac0d420da" elementFormDefault="qualified">
    <xsd:import namespace="http://schemas.microsoft.com/office/2006/documentManagement/types"/>
    <xsd:import namespace="http://schemas.microsoft.com/office/infopath/2007/PartnerControls"/>
    <xsd:element name="KeyWords" ma:index="27" nillable="true" ma:displayName="Key Words" ma:hidden="true" ma:internalName="KeyWords" ma:readOnly="false">
      <xsd:simpleType>
        <xsd:restriction base="dms:Note"/>
      </xsd:simpleType>
    </xsd:element>
    <xsd:element name="SecurityClassification" ma:index="29" nillable="true" ma:displayName="Security Classification" ma:format="Dropdown" ma:hidden="true" ma:internalName="SecurityClassification" ma:readOnly="false">
      <xsd:simpleType>
        <xsd:restriction base="dms:Choice">
          <xsd:enumeration value="Confidential"/>
          <xsd:enumeration value="Restricted"/>
          <xsd:enumeration value="Unrestric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5c79e5-42ce-4aa0-ac78-b6418001f0d2" elementFormDefault="qualified">
    <xsd:import namespace="http://schemas.microsoft.com/office/2006/documentManagement/types"/>
    <xsd:import namespace="http://schemas.microsoft.com/office/infopath/2007/PartnerControls"/>
    <xsd:element name="AggregationNarrative" ma:index="52" nillable="true" ma:displayName="Aggregation Narrative" ma:hidden="true" ma:internalName="AggregationNarrative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1a514c-9034-4fa3-897a-8352025b26ed" elementFormDefault="qualified">
    <xsd:import namespace="http://schemas.microsoft.com/office/2006/documentManagement/types"/>
    <xsd:import namespace="http://schemas.microsoft.com/office/infopath/2007/PartnerControls"/>
    <xsd:element name="Channel" ma:index="53" nillable="true" ma:displayName="Channel" ma:default="NA" ma:hidden="true" ma:internalName="Channel" ma:readOnly="false">
      <xsd:simpleType>
        <xsd:restriction base="dms:Text">
          <xsd:maxLength value="255"/>
        </xsd:restriction>
      </xsd:simpleType>
    </xsd:element>
    <xsd:element name="Team" ma:index="54" nillable="true" ma:displayName="Team" ma:default="NA" ma:hidden="true" ma:internalName="Team" ma:readOnly="false">
      <xsd:simpleType>
        <xsd:restriction base="dms:Text">
          <xsd:maxLength value="255"/>
        </xsd:restriction>
      </xsd:simpleType>
    </xsd:element>
    <xsd:element name="Level2" ma:index="55" nillable="true" ma:displayName="Level2" ma:default="NA" ma:hidden="true" ma:internalName="Level2" ma:readOnly="false">
      <xsd:simpleType>
        <xsd:restriction base="dms:Text">
          <xsd:maxLength value="255"/>
        </xsd:restriction>
      </xsd:simpleType>
    </xsd:element>
    <xsd:element name="Level3" ma:index="56" nillable="true" ma:displayName="Level3" ma:hidden="true" ma:internalName="Level3" ma:readOnly="false">
      <xsd:simpleType>
        <xsd:restriction base="dms:Text">
          <xsd:maxLength value="255"/>
        </xsd:restriction>
      </xsd:simpleType>
    </xsd:element>
    <xsd:element name="Year" ma:index="57" nillable="true" ma:displayName="Year" ma:default="NA" ma:hidden="true" ma:internalName="Year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D60302-BD14-436A-B1A6-4EE4E70D872A}"/>
</file>

<file path=customXml/itemProps2.xml><?xml version="1.0" encoding="utf-8"?>
<ds:datastoreItem xmlns:ds="http://schemas.openxmlformats.org/officeDocument/2006/customXml" ds:itemID="{4F545CB0-33DD-400D-A911-C903D625E74D}"/>
</file>

<file path=docMetadata/LabelInfo.xml><?xml version="1.0" encoding="utf-8"?>
<clbl:labelList xmlns:clbl="http://schemas.microsoft.com/office/2020/mipLabelMetadata">
  <clbl:label id="{81d9517e-eb2e-4113-bf18-fcf3fc930962}" enabled="0" method="" siteId="{81d9517e-eb2e-4113-bf18-fcf3fc9309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jamiedo</dc:creator>
  <cp:keywords/>
  <dc:description/>
  <cp:lastModifiedBy>Fionn Cullinane</cp:lastModifiedBy>
  <cp:revision/>
  <dcterms:created xsi:type="dcterms:W3CDTF">2021-06-05T22:24:38Z</dcterms:created>
  <dcterms:modified xsi:type="dcterms:W3CDTF">2025-04-27T06:39:07Z</dcterms:modified>
  <cp:category/>
  <cp:contentStatus/>
</cp:coreProperties>
</file>